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logic" sheetId="1" state="visible" r:id="rId1"/>
    <sheet xmlns:r="http://schemas.openxmlformats.org/officeDocument/2006/relationships" name="1 prepared data" sheetId="2" state="visible" r:id="rId2"/>
    <sheet xmlns:r="http://schemas.openxmlformats.org/officeDocument/2006/relationships" name="2 ridge L2" sheetId="3" state="visible" r:id="rId3"/>
    <sheet xmlns:r="http://schemas.openxmlformats.org/officeDocument/2006/relationships" name="3 lasso L1" sheetId="4" state="visible" r:id="rId4"/>
    <sheet xmlns:r="http://schemas.openxmlformats.org/officeDocument/2006/relationships" name="4 elastic net" sheetId="5" state="visible" r:id="rId5"/>
    <sheet xmlns:r="http://schemas.openxmlformats.org/officeDocument/2006/relationships" name="5 comparison by lambda" sheetId="6" state="visible" r:id="rId6"/>
  </sheets>
  <definedNames/>
  <calcPr calcId="124519" fullCalcOnLoad="1"/>
</workbook>
</file>

<file path=xl/styles.xml><?xml version="1.0" encoding="utf-8"?>
<styleSheet xmlns="http://schemas.openxmlformats.org/spreadsheetml/2006/main">
  <numFmts count="4">
    <numFmt numFmtId="164" formatCode="0.000"/>
    <numFmt numFmtId="165" formatCode="0.0000"/>
    <numFmt numFmtId="166" formatCode="0.0"/>
    <numFmt numFmtId="167" formatCode="0.0%"/>
  </numFmts>
  <fonts count="3">
    <font>
      <name val="Calibri"/>
      <family val="2"/>
      <color theme="1"/>
      <sz val="11"/>
      <scheme val="minor"/>
    </font>
    <font>
      <b val="1"/>
      <sz val="13"/>
    </font>
    <font>
      <b val="1"/>
    </font>
  </fonts>
  <fills count="6">
    <fill>
      <patternFill/>
    </fill>
    <fill>
      <patternFill patternType="gray125"/>
    </fill>
    <fill>
      <patternFill patternType="solid">
        <fgColor rgb="00E7E6E6"/>
      </patternFill>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2" fillId="2" borderId="0" pivotButton="0" quotePrefix="0" xfId="0"/>
    <xf numFmtId="0" fontId="0" fillId="2" borderId="0" pivotButton="0" quotePrefix="0" xfId="0"/>
    <xf numFmtId="164" fontId="0" fillId="2" borderId="0" pivotButton="0" quotePrefix="0" xfId="0"/>
    <xf numFmtId="164" fontId="0" fillId="0" borderId="0" pivotButton="0" quotePrefix="0" xfId="0"/>
    <xf numFmtId="164" fontId="0" fillId="4" borderId="0" pivotButton="0" quotePrefix="0" xfId="0"/>
    <xf numFmtId="165" fontId="0" fillId="4" borderId="0" pivotButton="0" quotePrefix="0" xfId="0"/>
    <xf numFmtId="0" fontId="0" fillId="5" borderId="0" pivotButton="0" quotePrefix="0" xfId="0"/>
    <xf numFmtId="165" fontId="0" fillId="3" borderId="0" pivotButton="0" quotePrefix="0" xfId="0"/>
    <xf numFmtId="165" fontId="0" fillId="2" borderId="0" pivotButton="0" quotePrefix="0" xfId="0"/>
    <xf numFmtId="0" fontId="0" fillId="4" borderId="0" pivotButton="0" quotePrefix="0" xfId="0"/>
    <xf numFmtId="164" fontId="0" fillId="5" borderId="0" pivotButton="0" quotePrefix="0" xfId="0"/>
    <xf numFmtId="166" fontId="0" fillId="3" borderId="0" pivotButton="0" quotePrefix="0" xfId="0"/>
    <xf numFmtId="2" fontId="0" fillId="3" borderId="0" pivotButton="0" quotePrefix="0" xfId="0"/>
    <xf numFmtId="2" fontId="0" fillId="5" borderId="0" pivotButton="0" quotePrefix="0" xfId="0"/>
    <xf numFmtId="2" fontId="0" fillId="4" borderId="0" pivotButton="0" quotePrefix="0" xfId="0"/>
    <xf numFmtId="165" fontId="0" fillId="5" borderId="0" pivotButton="0" quotePrefix="0" xfId="0"/>
    <xf numFmtId="167" fontId="0" fillId="5" borderId="0" pivotButton="0" quotePrefix="0" xfId="0"/>
    <xf numFmtId="1" fontId="0" fillId="5" borderId="0" pivotButton="0" quotePrefix="0" xfId="0"/>
    <xf numFmtId="2" fontId="0" fillId="2" borderId="0" pivotButton="0" quotePrefix="0" xfId="0"/>
    <xf numFmtId="1" fontId="0" fillId="2" borderId="0" pivotButton="0" quotePrefix="0" xfId="0"/>
    <xf numFmtId="167"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Ridge (L2): each weight by λ</a:t>
            </a:r>
          </a:p>
        </rich>
      </tx>
    </title>
    <plotArea>
      <lineChart>
        <grouping val="standard"/>
        <ser>
          <idx val="0"/>
          <order val="0"/>
          <tx>
            <v>duration</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lambda'!$B$8:$H$8</f>
            </numRef>
          </val>
        </ser>
        <ser>
          <idx val="1"/>
          <order val="1"/>
          <tx>
            <v>amount</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lambda'!$B$9:$H$9</f>
            </numRef>
          </val>
        </ser>
        <ser>
          <idx val="2"/>
          <order val="2"/>
          <tx>
            <v>age</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lambda'!$B$10:$H$10</f>
            </numRef>
          </val>
        </ser>
        <ser>
          <idx val="3"/>
          <order val="3"/>
          <tx>
            <v>installment_pct_income</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lambda'!$B$11:$H$11</f>
            </numRef>
          </val>
        </ser>
        <ser>
          <idx val="4"/>
          <order val="4"/>
          <tx>
            <v>chk_negative</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lambda'!$B$12:$H$12</f>
            </numRef>
          </val>
        </ser>
        <ser>
          <idx val="5"/>
          <order val="5"/>
          <tx>
            <v>chk_0_200</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lambda'!$B$13:$H$13</f>
            </numRef>
          </val>
        </ser>
        <ser>
          <idx val="6"/>
          <order val="6"/>
          <tx>
            <v>chk_over_200</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lambda'!$B$14:$H$14</f>
            </numRef>
          </val>
        </ser>
        <ser>
          <idx val="7"/>
          <order val="7"/>
          <tx>
            <v>hist_critical</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lambda'!$B$15:$H$15</f>
            </numRef>
          </val>
        </ser>
        <ser>
          <idx val="8"/>
          <order val="8"/>
          <tx>
            <v>hist_delays</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lambda'!$B$16:$H$16</f>
            </numRef>
          </val>
        </ser>
        <ser>
          <idx val="9"/>
          <order val="9"/>
          <tx>
            <v>hist_no_credits</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lambda'!$B$17:$H$17</f>
            </numRef>
          </val>
        </ser>
        <ser>
          <idx val="10"/>
          <order val="10"/>
          <tx>
            <v>sav_100_1000</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lambda'!$B$18:$H$18</f>
            </numRef>
          </val>
        </ser>
        <ser>
          <idx val="11"/>
          <order val="11"/>
          <tx>
            <v>sav_over_1000</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lambda'!$B$19:$H$19</f>
            </numRef>
          </val>
        </ser>
        <ser>
          <idx val="12"/>
          <order val="12"/>
          <tx>
            <v>sav_unknown</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lambda'!$B$20:$H$20</f>
            </numRef>
          </val>
        </ser>
        <ser>
          <idx val="13"/>
          <order val="13"/>
          <tx>
            <v>housing_rent</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lambda'!$B$21:$H$21</f>
            </numRef>
          </val>
        </ser>
        <ser>
          <idx val="14"/>
          <order val="14"/>
          <tx>
            <v>housing_free</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lambda'!$B$22:$H$22</f>
            </numRef>
          </val>
        </ser>
        <ser>
          <idx val="15"/>
          <order val="15"/>
          <tx>
            <v>purpose_car</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lambda'!$B$23:$H$23</f>
            </numRef>
          </val>
        </ser>
        <ser>
          <idx val="16"/>
          <order val="16"/>
          <tx>
            <v>purpose_radio_tv</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lambda'!$B$24:$H$24</f>
            </numRef>
          </val>
        </ser>
        <ser>
          <idx val="17"/>
          <order val="17"/>
          <tx>
            <v>purpose_furniture</v>
          </tx>
          <spPr>
            <a:ln xmlns:a="http://schemas.openxmlformats.org/drawingml/2006/main">
              <a:prstDash val="solid"/>
            </a:ln>
          </spPr>
          <marker>
            <symbol val="none"/>
            <spPr>
              <a:ln xmlns:a="http://schemas.openxmlformats.org/drawingml/2006/main">
                <a:prstDash val="solid"/>
              </a:ln>
            </spPr>
          </marker>
          <cat>
            <numRef>
              <f>'5 comparison by lambda'!$B$6:$H$6</f>
            </numRef>
          </cat>
          <val>
            <numRef>
              <f>'5 comparison by lambda'!$B$25:$H$25</f>
            </numRef>
          </val>
        </ser>
        <axId val="10"/>
        <axId val="100"/>
      </lineChart>
      <catAx>
        <axId val="10"/>
        <scaling>
          <orientation val="minMax"/>
        </scaling>
        <axPos val="l"/>
        <title>
          <tx>
            <rich>
              <a:bodyPr xmlns:a="http://schemas.openxmlformats.org/drawingml/2006/main"/>
              <a:p xmlns:a="http://schemas.openxmlformats.org/drawingml/2006/main">
                <a:pPr>
                  <a:defRPr/>
                </a:pPr>
                <a:r>
                  <a:t>λ</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theta</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Lasso (L1): each weight by λ</a:t>
            </a:r>
          </a:p>
        </rich>
      </tx>
    </title>
    <plotArea>
      <lineChart>
        <grouping val="standard"/>
        <ser>
          <idx val="0"/>
          <order val="0"/>
          <tx>
            <v>duration</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lambda'!$B$38:$H$38</f>
            </numRef>
          </val>
        </ser>
        <ser>
          <idx val="1"/>
          <order val="1"/>
          <tx>
            <v>amount</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lambda'!$B$39:$H$39</f>
            </numRef>
          </val>
        </ser>
        <ser>
          <idx val="2"/>
          <order val="2"/>
          <tx>
            <v>age</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lambda'!$B$40:$H$40</f>
            </numRef>
          </val>
        </ser>
        <ser>
          <idx val="3"/>
          <order val="3"/>
          <tx>
            <v>installment_pct_income</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lambda'!$B$41:$H$41</f>
            </numRef>
          </val>
        </ser>
        <ser>
          <idx val="4"/>
          <order val="4"/>
          <tx>
            <v>chk_negative</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lambda'!$B$42:$H$42</f>
            </numRef>
          </val>
        </ser>
        <ser>
          <idx val="5"/>
          <order val="5"/>
          <tx>
            <v>chk_0_200</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lambda'!$B$43:$H$43</f>
            </numRef>
          </val>
        </ser>
        <ser>
          <idx val="6"/>
          <order val="6"/>
          <tx>
            <v>chk_over_200</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lambda'!$B$44:$H$44</f>
            </numRef>
          </val>
        </ser>
        <ser>
          <idx val="7"/>
          <order val="7"/>
          <tx>
            <v>hist_critical</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lambda'!$B$45:$H$45</f>
            </numRef>
          </val>
        </ser>
        <ser>
          <idx val="8"/>
          <order val="8"/>
          <tx>
            <v>hist_delays</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lambda'!$B$46:$H$46</f>
            </numRef>
          </val>
        </ser>
        <ser>
          <idx val="9"/>
          <order val="9"/>
          <tx>
            <v>hist_no_credits</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lambda'!$B$47:$H$47</f>
            </numRef>
          </val>
        </ser>
        <ser>
          <idx val="10"/>
          <order val="10"/>
          <tx>
            <v>sav_100_1000</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lambda'!$B$48:$H$48</f>
            </numRef>
          </val>
        </ser>
        <ser>
          <idx val="11"/>
          <order val="11"/>
          <tx>
            <v>sav_over_1000</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lambda'!$B$49:$H$49</f>
            </numRef>
          </val>
        </ser>
        <ser>
          <idx val="12"/>
          <order val="12"/>
          <tx>
            <v>sav_unknown</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lambda'!$B$50:$H$50</f>
            </numRef>
          </val>
        </ser>
        <ser>
          <idx val="13"/>
          <order val="13"/>
          <tx>
            <v>housing_rent</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lambda'!$B$51:$H$51</f>
            </numRef>
          </val>
        </ser>
        <ser>
          <idx val="14"/>
          <order val="14"/>
          <tx>
            <v>housing_free</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lambda'!$B$52:$H$52</f>
            </numRef>
          </val>
        </ser>
        <ser>
          <idx val="15"/>
          <order val="15"/>
          <tx>
            <v>purpose_car</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lambda'!$B$53:$H$53</f>
            </numRef>
          </val>
        </ser>
        <ser>
          <idx val="16"/>
          <order val="16"/>
          <tx>
            <v>purpose_radio_tv</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lambda'!$B$54:$H$54</f>
            </numRef>
          </val>
        </ser>
        <ser>
          <idx val="17"/>
          <order val="17"/>
          <tx>
            <v>purpose_furniture</v>
          </tx>
          <spPr>
            <a:ln xmlns:a="http://schemas.openxmlformats.org/drawingml/2006/main">
              <a:prstDash val="solid"/>
            </a:ln>
          </spPr>
          <marker>
            <symbol val="none"/>
            <spPr>
              <a:ln xmlns:a="http://schemas.openxmlformats.org/drawingml/2006/main">
                <a:prstDash val="solid"/>
              </a:ln>
            </spPr>
          </marker>
          <cat>
            <numRef>
              <f>'5 comparison by lambda'!$B$36:$H$36</f>
            </numRef>
          </cat>
          <val>
            <numRef>
              <f>'5 comparison by lambda'!$B$55:$H$55</f>
            </numRef>
          </val>
        </ser>
        <axId val="10"/>
        <axId val="100"/>
      </lineChart>
      <catAx>
        <axId val="10"/>
        <scaling>
          <orientation val="minMax"/>
        </scaling>
        <axPos val="l"/>
        <title>
          <tx>
            <rich>
              <a:bodyPr xmlns:a="http://schemas.openxmlformats.org/drawingml/2006/main"/>
              <a:p xmlns:a="http://schemas.openxmlformats.org/drawingml/2006/main">
                <a:pPr>
                  <a:defRPr/>
                </a:pPr>
                <a:r>
                  <a:t>λ</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theta</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Elastic net (α = 0.5): each weight by λ</a:t>
            </a:r>
          </a:p>
        </rich>
      </tx>
    </title>
    <plotArea>
      <lineChart>
        <grouping val="standard"/>
        <ser>
          <idx val="0"/>
          <order val="0"/>
          <tx>
            <v>duration</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lambda'!$B$68:$H$68</f>
            </numRef>
          </val>
        </ser>
        <ser>
          <idx val="1"/>
          <order val="1"/>
          <tx>
            <v>amount</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lambda'!$B$69:$H$69</f>
            </numRef>
          </val>
        </ser>
        <ser>
          <idx val="2"/>
          <order val="2"/>
          <tx>
            <v>age</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lambda'!$B$70:$H$70</f>
            </numRef>
          </val>
        </ser>
        <ser>
          <idx val="3"/>
          <order val="3"/>
          <tx>
            <v>installment_pct_income</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lambda'!$B$71:$H$71</f>
            </numRef>
          </val>
        </ser>
        <ser>
          <idx val="4"/>
          <order val="4"/>
          <tx>
            <v>chk_negative</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lambda'!$B$72:$H$72</f>
            </numRef>
          </val>
        </ser>
        <ser>
          <idx val="5"/>
          <order val="5"/>
          <tx>
            <v>chk_0_200</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lambda'!$B$73:$H$73</f>
            </numRef>
          </val>
        </ser>
        <ser>
          <idx val="6"/>
          <order val="6"/>
          <tx>
            <v>chk_over_200</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lambda'!$B$74:$H$74</f>
            </numRef>
          </val>
        </ser>
        <ser>
          <idx val="7"/>
          <order val="7"/>
          <tx>
            <v>hist_critical</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lambda'!$B$75:$H$75</f>
            </numRef>
          </val>
        </ser>
        <ser>
          <idx val="8"/>
          <order val="8"/>
          <tx>
            <v>hist_delays</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lambda'!$B$76:$H$76</f>
            </numRef>
          </val>
        </ser>
        <ser>
          <idx val="9"/>
          <order val="9"/>
          <tx>
            <v>hist_no_credits</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lambda'!$B$77:$H$77</f>
            </numRef>
          </val>
        </ser>
        <ser>
          <idx val="10"/>
          <order val="10"/>
          <tx>
            <v>sav_100_1000</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lambda'!$B$78:$H$78</f>
            </numRef>
          </val>
        </ser>
        <ser>
          <idx val="11"/>
          <order val="11"/>
          <tx>
            <v>sav_over_1000</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lambda'!$B$79:$H$79</f>
            </numRef>
          </val>
        </ser>
        <ser>
          <idx val="12"/>
          <order val="12"/>
          <tx>
            <v>sav_unknown</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lambda'!$B$80:$H$80</f>
            </numRef>
          </val>
        </ser>
        <ser>
          <idx val="13"/>
          <order val="13"/>
          <tx>
            <v>housing_rent</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lambda'!$B$81:$H$81</f>
            </numRef>
          </val>
        </ser>
        <ser>
          <idx val="14"/>
          <order val="14"/>
          <tx>
            <v>housing_free</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lambda'!$B$82:$H$82</f>
            </numRef>
          </val>
        </ser>
        <ser>
          <idx val="15"/>
          <order val="15"/>
          <tx>
            <v>purpose_car</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lambda'!$B$83:$H$83</f>
            </numRef>
          </val>
        </ser>
        <ser>
          <idx val="16"/>
          <order val="16"/>
          <tx>
            <v>purpose_radio_tv</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lambda'!$B$84:$H$84</f>
            </numRef>
          </val>
        </ser>
        <ser>
          <idx val="17"/>
          <order val="17"/>
          <tx>
            <v>purpose_furniture</v>
          </tx>
          <spPr>
            <a:ln xmlns:a="http://schemas.openxmlformats.org/drawingml/2006/main">
              <a:prstDash val="solid"/>
            </a:ln>
          </spPr>
          <marker>
            <symbol val="none"/>
            <spPr>
              <a:ln xmlns:a="http://schemas.openxmlformats.org/drawingml/2006/main">
                <a:prstDash val="solid"/>
              </a:ln>
            </spPr>
          </marker>
          <cat>
            <numRef>
              <f>'5 comparison by lambda'!$B$66:$H$66</f>
            </numRef>
          </cat>
          <val>
            <numRef>
              <f>'5 comparison by lambda'!$B$85:$H$85</f>
            </numRef>
          </val>
        </ser>
        <axId val="10"/>
        <axId val="100"/>
      </lineChart>
      <catAx>
        <axId val="10"/>
        <scaling>
          <orientation val="minMax"/>
        </scaling>
        <axPos val="l"/>
        <title>
          <tx>
            <rich>
              <a:bodyPr xmlns:a="http://schemas.openxmlformats.org/drawingml/2006/main"/>
              <a:p xmlns:a="http://schemas.openxmlformats.org/drawingml/2006/main">
                <a:pPr>
                  <a:defRPr/>
                </a:pPr>
                <a:r>
                  <a:t>λ</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theta</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Claude</author>
  </authors>
  <commentList>
    <comment ref="AE12" authorId="0" shapeId="0">
      <text>
        <t>The intercept is left out of the penalty: it only sets the base level of the probability and says nothing about any variable.</t>
      </text>
    </comment>
    <comment ref="AC32" authorId="0" shapeId="0">
      <text>
        <t>With λ = 0 this sheet is the base workbook. Try 1, 3, 10, 30, 100, 300 and compare with sheet 5. In scikit-learn the parameter is C = 1/λ.</t>
      </text>
    </comment>
  </commentList>
</comments>
</file>

<file path=xl/comments/comment2.xml><?xml version="1.0" encoding="utf-8"?>
<comments xmlns="http://schemas.openxmlformats.org/spreadsheetml/2006/main">
  <authors>
    <author>Claude</author>
  </authors>
  <commentList>
    <comment ref="AE12" authorId="0" shapeId="0">
      <text>
        <t>The intercept is left out of the penalty: it only sets the base level of the probability and says nothing about any variable.</t>
      </text>
    </comment>
    <comment ref="AC32" authorId="0" shapeId="0">
      <text>
        <t>With λ = 0 this sheet is the base workbook. Try 1, 3, 10, 30, 100, 300 and compare with sheet 5. In scikit-learn the parameter is C = 1/λ.</t>
      </text>
    </comment>
  </commentList>
</comments>
</file>

<file path=xl/comments/comment3.xml><?xml version="1.0" encoding="utf-8"?>
<comments xmlns="http://schemas.openxmlformats.org/spreadsheetml/2006/main">
  <authors>
    <author>Claude</author>
  </authors>
  <commentList>
    <comment ref="AE12" authorId="0" shapeId="0">
      <text>
        <t>The intercept is left out of the penalty: it only sets the base level of the probability and says nothing about any variable.</t>
      </text>
    </comment>
    <comment ref="AC32" authorId="0" shapeId="0">
      <text>
        <t>With λ = 0 this sheet is the base workbook. Try 1, 3, 10, 30, 100, 300 and compare with sheet 5. In scikit-learn the parameter is C = 1/λ.</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10</col>
      <colOff>0</colOff>
      <row>4</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34</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64</row>
      <rowOff>0</rowOff>
    </from>
    <ext cx="648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5" customWidth="1" min="1" max="1"/>
  </cols>
  <sheetData>
    <row r="1">
      <c r="A1" s="1" t="inlineStr">
        <is>
          <t>Logistic regression with regularization: L2 (ridge), L1 (lasso) and elastic net, on German Credit</t>
        </is>
      </c>
    </row>
    <row r="2" ht="18.5" customHeight="1">
      <c r="A2" s="2" t="inlineStr">
        <is>
          <t>Prepared by David Díaz, with assistance from Claude (Anthropic).</t>
        </is>
      </c>
    </row>
    <row r="3">
      <c r="A3" t="inlineStr"/>
    </row>
    <row r="4" ht="65" customHeight="1">
      <c r="A4" s="2" t="inlineStr">
        <is>
          <t>This workbook is the regularized variant of the base workbook (logistic_01_german_credit_EN.xlsx). It uses exactly the same 1,000 customers, the same 18 columns already transformed and scaled, and the same 700 training / 300 testing split; sheet 1 brings them in as values so the preparation is not repeated. The only thing that changes is the cost function Solver minimizes.</t>
        </is>
      </c>
    </row>
    <row r="5" ht="127" customHeight="1">
      <c r="A5" s="2" t="inlineStr">
        <is>
          <t>The idea comes from the linear regression classes: when a model is free to move many weights, it tends to fit the noise in training, and one way to rein it in is to charge for the size of the weights. With the logistic it is just as easy: to the sum of the cross-entropy we add a penalty term, and that term is what distinguishes ridge, lasso and elastic net. Ridge (L2) charges λ/2 times the sum of squared weights: it shrinks every weight toward zero, the large ones more, but never leaves any exactly at zero. Lasso (L1) charges λ times the sum of absolute values: it also shrinks, but in addition it leaves weights exactly at zero, that is, it drops variables. Elastic net mixes the two with a parameter α that says what fraction of the penalty is L1. The intercept is never penalized: it says nothing about any variable, it only sets the base level.</t>
        </is>
      </c>
    </row>
    <row r="6" ht="96" customHeight="1">
      <c r="A6" s="2" t="inlineStr">
        <is>
          <t>Each model sheet (2, 3 and 4) has the customer table with Z, p and loss, the weight block in light blue, the λ cell in light blue, the penalty term computed in plain sight and the cost function J = sum of training losses + penalty, which is Solver's objective cell. The weights start from the unregularized solution (the optimum of the base workbook), so Solver only has to shrink. With λ = 0 each sheet reproduces the base workbook; with large λ the weights go to zero and the model becomes the 'everyone pays' model. Alongside are the confusion matrix and the testing report, and the scikit-learn reference for the same λ.</t>
        </is>
      </c>
    </row>
    <row r="7" ht="111.5" customHeight="1">
      <c r="A7" s="2" t="inlineStr">
        <is>
          <t>Sheet 5 compares the three methods for several values of λ, with the weights computed in Python (gray): the path of each weight as λ grows (the classic regularization plot), and the loss and AUC on training and testing. What it shows is honest and worth stating plainly: in this dataset, with 700 customers and 18 variables, the overfitting of the unregularized logistic is mild, so regularization barely improves testing performance; what it does do is stabilize the weights and, with L1, leave a model with fewer variables that performs almost as well. Regularization helps a lot when there are many variables relative to rows, or highly correlated variables, or polynomials; here it mostly helps to understand the mechanics.</t>
        </is>
      </c>
    </row>
    <row r="8" ht="65" customHeight="1">
      <c r="A8" s="2" t="inlineStr">
        <is>
          <t>A scaling detail that matters when comparing with scikit-learn: its parameter is C = 1 / λ, and it penalizes the sum of the losses (not the average), which is exactly how J is set up in these sheets. That is why the reference weights match Solver's for the same λ. Solver with L1 has a real difficulty: the absolute value is not differentiable at zero, and GRG can leave weights at 0.001 instead of 0; read those weights as zero.</t>
        </is>
      </c>
    </row>
    <row r="9" ht="34" customHeight="1">
      <c r="A9" s="2" t="inlineStr">
        <is>
          <t>Colors: light blue cells are parameters (weights, λ, α, threshold), yellow cells are intermediate calculations, green cells are results, gray cells are values that come from Python.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1" customWidth="1" min="1" max="1"/>
    <col width="7" customWidth="1" min="2" max="2"/>
    <col width="21" customWidth="1" min="3" max="3"/>
    <col width="21" customWidth="1" min="4" max="4"/>
    <col width="21" customWidth="1" min="5" max="5"/>
    <col width="21" customWidth="1" min="6" max="6"/>
    <col width="13" customWidth="1" min="7" max="7"/>
    <col width="10" customWidth="1" min="8" max="8"/>
    <col width="13" customWidth="1" min="9" max="9"/>
    <col width="14" customWidth="1" min="10" max="10"/>
    <col width="12" customWidth="1" min="11" max="11"/>
    <col width="16" customWidth="1" min="12" max="12"/>
    <col width="13" customWidth="1" min="13" max="13"/>
    <col width="14" customWidth="1" min="14" max="14"/>
    <col width="12" customWidth="1" min="15" max="15"/>
    <col width="13" customWidth="1" min="16" max="16"/>
    <col width="13" customWidth="1" min="17" max="17"/>
    <col width="12" customWidth="1" min="18" max="18"/>
    <col width="17" customWidth="1" min="19" max="19"/>
    <col width="18" customWidth="1" min="20" max="20"/>
    <col width="9" customWidth="1" min="21" max="21"/>
  </cols>
  <sheetData>
    <row r="1">
      <c r="A1" s="3" t="inlineStr">
        <is>
          <t>The 1,000 customers already transformed and scaled (values; the preparation is in the base workbook, sheets 2 and 3)</t>
        </is>
      </c>
    </row>
    <row r="2" ht="49.5" customHeight="1">
      <c r="A2" s="2" t="inlineStr">
        <is>
          <t>Same columns and same split as logistic_01_german_credit_EN.xlsx: y = 1 if defaulter; four numeric columns scaled with the training mean and standard deviation; 14 0/1 columns with their base category; column set with 700 training and 300 testing. They are pasted here as values so this workbook can be opened on its own.</t>
        </is>
      </c>
    </row>
    <row r="3"/>
    <row r="4">
      <c r="A4" s="4" t="inlineStr">
        <is>
          <t>id</t>
        </is>
      </c>
      <c r="B4" s="4" t="inlineStr">
        <is>
          <t>y</t>
        </is>
      </c>
      <c r="C4" s="4" t="inlineStr">
        <is>
          <t>duration</t>
        </is>
      </c>
      <c r="D4" s="4" t="inlineStr">
        <is>
          <t>amount</t>
        </is>
      </c>
      <c r="E4" s="4" t="inlineStr">
        <is>
          <t>age</t>
        </is>
      </c>
      <c r="F4" s="4" t="inlineStr">
        <is>
          <t>installment_pct_income</t>
        </is>
      </c>
      <c r="G4" s="4" t="inlineStr">
        <is>
          <t>chk_negative</t>
        </is>
      </c>
      <c r="H4" s="4" t="inlineStr">
        <is>
          <t>chk_0_200</t>
        </is>
      </c>
      <c r="I4" s="4" t="inlineStr">
        <is>
          <t>chk_over_200</t>
        </is>
      </c>
      <c r="J4" s="4" t="inlineStr">
        <is>
          <t>hist_critical</t>
        </is>
      </c>
      <c r="K4" s="4" t="inlineStr">
        <is>
          <t>hist_delays</t>
        </is>
      </c>
      <c r="L4" s="4" t="inlineStr">
        <is>
          <t>hist_no_credits</t>
        </is>
      </c>
      <c r="M4" s="4" t="inlineStr">
        <is>
          <t>sav_100_1000</t>
        </is>
      </c>
      <c r="N4" s="4" t="inlineStr">
        <is>
          <t>sav_over_1000</t>
        </is>
      </c>
      <c r="O4" s="4" t="inlineStr">
        <is>
          <t>sav_unknown</t>
        </is>
      </c>
      <c r="P4" s="4" t="inlineStr">
        <is>
          <t>housing_rent</t>
        </is>
      </c>
      <c r="Q4" s="4" t="inlineStr">
        <is>
          <t>housing_free</t>
        </is>
      </c>
      <c r="R4" s="4" t="inlineStr">
        <is>
          <t>purpose_car</t>
        </is>
      </c>
      <c r="S4" s="4" t="inlineStr">
        <is>
          <t>purpose_radio_tv</t>
        </is>
      </c>
      <c r="T4" s="4" t="inlineStr">
        <is>
          <t>purpose_furniture</t>
        </is>
      </c>
      <c r="U4" s="4" t="inlineStr">
        <is>
          <t>set</t>
        </is>
      </c>
    </row>
    <row r="5">
      <c r="A5" s="5" t="n">
        <v>1</v>
      </c>
      <c r="B5" s="5" t="n">
        <v>0</v>
      </c>
      <c r="C5" s="6" t="n">
        <v>-1.241254722473026</v>
      </c>
      <c r="D5" s="6" t="n">
        <v>-0.7283702210177497</v>
      </c>
      <c r="E5" s="6" t="n">
        <v>2.73617123115932</v>
      </c>
      <c r="F5" s="6" t="n">
        <v>0.9185437189662378</v>
      </c>
      <c r="G5" s="5" t="n">
        <v>1</v>
      </c>
      <c r="H5" s="5" t="n">
        <v>0</v>
      </c>
      <c r="I5" s="5" t="n">
        <v>0</v>
      </c>
      <c r="J5" s="5" t="n">
        <v>1</v>
      </c>
      <c r="K5" s="5" t="n">
        <v>0</v>
      </c>
      <c r="L5" s="5" t="n">
        <v>0</v>
      </c>
      <c r="M5" s="5" t="n">
        <v>0</v>
      </c>
      <c r="N5" s="5" t="n">
        <v>0</v>
      </c>
      <c r="O5" s="5" t="n">
        <v>1</v>
      </c>
      <c r="P5" s="5" t="n">
        <v>0</v>
      </c>
      <c r="Q5" s="5" t="n">
        <v>0</v>
      </c>
      <c r="R5" s="5" t="n">
        <v>0</v>
      </c>
      <c r="S5" s="5" t="n">
        <v>1</v>
      </c>
      <c r="T5" s="5" t="n">
        <v>0</v>
      </c>
      <c r="U5" s="5" t="inlineStr">
        <is>
          <t>training</t>
        </is>
      </c>
    </row>
    <row r="6">
      <c r="A6" s="5" t="n">
        <v>2</v>
      </c>
      <c r="B6" s="5" t="n">
        <v>1</v>
      </c>
      <c r="C6" s="6" t="n">
        <v>2.297621231823615</v>
      </c>
      <c r="D6" s="6" t="n">
        <v>0.9448168701619106</v>
      </c>
      <c r="E6" s="6" t="n">
        <v>-1.177614700251023</v>
      </c>
      <c r="F6" s="6" t="n">
        <v>-0.8850484360866833</v>
      </c>
      <c r="G6" s="5" t="n">
        <v>0</v>
      </c>
      <c r="H6" s="5" t="n">
        <v>1</v>
      </c>
      <c r="I6" s="5" t="n">
        <v>0</v>
      </c>
      <c r="J6" s="5" t="n">
        <v>0</v>
      </c>
      <c r="K6" s="5" t="n">
        <v>0</v>
      </c>
      <c r="L6" s="5" t="n">
        <v>0</v>
      </c>
      <c r="M6" s="5" t="n">
        <v>0</v>
      </c>
      <c r="N6" s="5" t="n">
        <v>0</v>
      </c>
      <c r="O6" s="5" t="n">
        <v>0</v>
      </c>
      <c r="P6" s="5" t="n">
        <v>0</v>
      </c>
      <c r="Q6" s="5" t="n">
        <v>0</v>
      </c>
      <c r="R6" s="5" t="n">
        <v>0</v>
      </c>
      <c r="S6" s="5" t="n">
        <v>1</v>
      </c>
      <c r="T6" s="5" t="n">
        <v>0</v>
      </c>
      <c r="U6" s="5" t="inlineStr">
        <is>
          <t>training</t>
        </is>
      </c>
    </row>
    <row r="7">
      <c r="A7" s="5" t="n">
        <v>3</v>
      </c>
      <c r="B7" s="5" t="n">
        <v>0</v>
      </c>
      <c r="C7" s="6" t="n">
        <v>-0.7357010147163632</v>
      </c>
      <c r="D7" s="6" t="n">
        <v>-0.4040196493900741</v>
      </c>
      <c r="E7" s="6" t="n">
        <v>1.170656858595183</v>
      </c>
      <c r="F7" s="6" t="n">
        <v>-0.8850484360866833</v>
      </c>
      <c r="G7" s="5" t="n">
        <v>0</v>
      </c>
      <c r="H7" s="5" t="n">
        <v>0</v>
      </c>
      <c r="I7" s="5" t="n">
        <v>0</v>
      </c>
      <c r="J7" s="5" t="n">
        <v>1</v>
      </c>
      <c r="K7" s="5" t="n">
        <v>0</v>
      </c>
      <c r="L7" s="5" t="n">
        <v>0</v>
      </c>
      <c r="M7" s="5" t="n">
        <v>0</v>
      </c>
      <c r="N7" s="5" t="n">
        <v>0</v>
      </c>
      <c r="O7" s="5" t="n">
        <v>0</v>
      </c>
      <c r="P7" s="5" t="n">
        <v>0</v>
      </c>
      <c r="Q7" s="5" t="n">
        <v>0</v>
      </c>
      <c r="R7" s="5" t="n">
        <v>0</v>
      </c>
      <c r="S7" s="5" t="n">
        <v>0</v>
      </c>
      <c r="T7" s="5" t="n">
        <v>0</v>
      </c>
      <c r="U7" s="5" t="inlineStr">
        <is>
          <t>training</t>
        </is>
      </c>
    </row>
    <row r="8">
      <c r="A8" s="5" t="n">
        <v>4</v>
      </c>
      <c r="B8" s="5" t="n">
        <v>0</v>
      </c>
      <c r="C8" s="6" t="n">
        <v>1.792067524066952</v>
      </c>
      <c r="D8" s="6" t="n">
        <v>1.620459754534124</v>
      </c>
      <c r="E8" s="6" t="n">
        <v>0.8227647758031523</v>
      </c>
      <c r="F8" s="6" t="n">
        <v>-0.8850484360866833</v>
      </c>
      <c r="G8" s="5" t="n">
        <v>1</v>
      </c>
      <c r="H8" s="5" t="n">
        <v>0</v>
      </c>
      <c r="I8" s="5" t="n">
        <v>0</v>
      </c>
      <c r="J8" s="5" t="n">
        <v>0</v>
      </c>
      <c r="K8" s="5" t="n">
        <v>0</v>
      </c>
      <c r="L8" s="5" t="n">
        <v>0</v>
      </c>
      <c r="M8" s="5" t="n">
        <v>0</v>
      </c>
      <c r="N8" s="5" t="n">
        <v>0</v>
      </c>
      <c r="O8" s="5" t="n">
        <v>0</v>
      </c>
      <c r="P8" s="5" t="n">
        <v>0</v>
      </c>
      <c r="Q8" s="5" t="n">
        <v>1</v>
      </c>
      <c r="R8" s="5" t="n">
        <v>0</v>
      </c>
      <c r="S8" s="5" t="n">
        <v>0</v>
      </c>
      <c r="T8" s="5" t="n">
        <v>1</v>
      </c>
      <c r="U8" s="5" t="inlineStr">
        <is>
          <t>testing</t>
        </is>
      </c>
    </row>
    <row r="9">
      <c r="A9" s="5" t="n">
        <v>5</v>
      </c>
      <c r="B9" s="5" t="n">
        <v>1</v>
      </c>
      <c r="C9" s="6" t="n">
        <v>0.275406400796963</v>
      </c>
      <c r="D9" s="6" t="n">
        <v>0.5665828163005111</v>
      </c>
      <c r="E9" s="6" t="n">
        <v>1.518548941387213</v>
      </c>
      <c r="F9" s="6" t="n">
        <v>0.01674764143977723</v>
      </c>
      <c r="G9" s="5" t="n">
        <v>1</v>
      </c>
      <c r="H9" s="5" t="n">
        <v>0</v>
      </c>
      <c r="I9" s="5" t="n">
        <v>0</v>
      </c>
      <c r="J9" s="5" t="n">
        <v>0</v>
      </c>
      <c r="K9" s="5" t="n">
        <v>1</v>
      </c>
      <c r="L9" s="5" t="n">
        <v>0</v>
      </c>
      <c r="M9" s="5" t="n">
        <v>0</v>
      </c>
      <c r="N9" s="5" t="n">
        <v>0</v>
      </c>
      <c r="O9" s="5" t="n">
        <v>0</v>
      </c>
      <c r="P9" s="5" t="n">
        <v>0</v>
      </c>
      <c r="Q9" s="5" t="n">
        <v>1</v>
      </c>
      <c r="R9" s="5" t="n">
        <v>1</v>
      </c>
      <c r="S9" s="5" t="n">
        <v>0</v>
      </c>
      <c r="T9" s="5" t="n">
        <v>0</v>
      </c>
      <c r="U9" s="5" t="inlineStr">
        <is>
          <t>training</t>
        </is>
      </c>
    </row>
    <row r="10">
      <c r="A10" s="5" t="n">
        <v>6</v>
      </c>
      <c r="B10" s="5" t="n">
        <v>0</v>
      </c>
      <c r="C10" s="6" t="n">
        <v>1.286513816310289</v>
      </c>
      <c r="D10" s="6" t="n">
        <v>2.030883940639047</v>
      </c>
      <c r="E10" s="6" t="n">
        <v>-0.04696543117692405</v>
      </c>
      <c r="F10" s="6" t="n">
        <v>-0.8850484360866833</v>
      </c>
      <c r="G10" s="5" t="n">
        <v>0</v>
      </c>
      <c r="H10" s="5" t="n">
        <v>0</v>
      </c>
      <c r="I10" s="5" t="n">
        <v>0</v>
      </c>
      <c r="J10" s="5" t="n">
        <v>0</v>
      </c>
      <c r="K10" s="5" t="n">
        <v>0</v>
      </c>
      <c r="L10" s="5" t="n">
        <v>0</v>
      </c>
      <c r="M10" s="5" t="n">
        <v>0</v>
      </c>
      <c r="N10" s="5" t="n">
        <v>0</v>
      </c>
      <c r="O10" s="5" t="n">
        <v>1</v>
      </c>
      <c r="P10" s="5" t="n">
        <v>0</v>
      </c>
      <c r="Q10" s="5" t="n">
        <v>1</v>
      </c>
      <c r="R10" s="5" t="n">
        <v>0</v>
      </c>
      <c r="S10" s="5" t="n">
        <v>0</v>
      </c>
      <c r="T10" s="5" t="n">
        <v>0</v>
      </c>
      <c r="U10" s="5" t="inlineStr">
        <is>
          <t>testing</t>
        </is>
      </c>
    </row>
    <row r="11">
      <c r="A11" s="5" t="n">
        <v>7</v>
      </c>
      <c r="B11" s="5" t="n">
        <v>0</v>
      </c>
      <c r="C11" s="6" t="n">
        <v>0.275406400796963</v>
      </c>
      <c r="D11" s="6" t="n">
        <v>-0.1454489132165548</v>
      </c>
      <c r="E11" s="6" t="n">
        <v>1.518548941387213</v>
      </c>
      <c r="F11" s="6" t="n">
        <v>0.01674764143977723</v>
      </c>
      <c r="G11" s="5" t="n">
        <v>0</v>
      </c>
      <c r="H11" s="5" t="n">
        <v>0</v>
      </c>
      <c r="I11" s="5" t="n">
        <v>0</v>
      </c>
      <c r="J11" s="5" t="n">
        <v>0</v>
      </c>
      <c r="K11" s="5" t="n">
        <v>0</v>
      </c>
      <c r="L11" s="5" t="n">
        <v>0</v>
      </c>
      <c r="M11" s="5" t="n">
        <v>1</v>
      </c>
      <c r="N11" s="5" t="n">
        <v>0</v>
      </c>
      <c r="O11" s="5" t="n">
        <v>0</v>
      </c>
      <c r="P11" s="5" t="n">
        <v>0</v>
      </c>
      <c r="Q11" s="5" t="n">
        <v>0</v>
      </c>
      <c r="R11" s="5" t="n">
        <v>0</v>
      </c>
      <c r="S11" s="5" t="n">
        <v>0</v>
      </c>
      <c r="T11" s="5" t="n">
        <v>1</v>
      </c>
      <c r="U11" s="5" t="inlineStr">
        <is>
          <t>training</t>
        </is>
      </c>
    </row>
    <row r="12">
      <c r="A12" s="5" t="n">
        <v>8</v>
      </c>
      <c r="B12" s="5" t="n">
        <v>0</v>
      </c>
      <c r="C12" s="6" t="n">
        <v>1.286513816310289</v>
      </c>
      <c r="D12" s="6" t="n">
        <v>1.293659933714006</v>
      </c>
      <c r="E12" s="6" t="n">
        <v>-0.04696543117692405</v>
      </c>
      <c r="F12" s="6" t="n">
        <v>-0.8850484360866833</v>
      </c>
      <c r="G12" s="5" t="n">
        <v>0</v>
      </c>
      <c r="H12" s="5" t="n">
        <v>1</v>
      </c>
      <c r="I12" s="5" t="n">
        <v>0</v>
      </c>
      <c r="J12" s="5" t="n">
        <v>0</v>
      </c>
      <c r="K12" s="5" t="n">
        <v>0</v>
      </c>
      <c r="L12" s="5" t="n">
        <v>0</v>
      </c>
      <c r="M12" s="5" t="n">
        <v>0</v>
      </c>
      <c r="N12" s="5" t="n">
        <v>0</v>
      </c>
      <c r="O12" s="5" t="n">
        <v>0</v>
      </c>
      <c r="P12" s="5" t="n">
        <v>1</v>
      </c>
      <c r="Q12" s="5" t="n">
        <v>0</v>
      </c>
      <c r="R12" s="5" t="n">
        <v>1</v>
      </c>
      <c r="S12" s="5" t="n">
        <v>0</v>
      </c>
      <c r="T12" s="5" t="n">
        <v>0</v>
      </c>
      <c r="U12" s="5" t="inlineStr">
        <is>
          <t>training</t>
        </is>
      </c>
    </row>
    <row r="13">
      <c r="A13" s="5" t="n">
        <v>9</v>
      </c>
      <c r="B13" s="5" t="n">
        <v>0</v>
      </c>
      <c r="C13" s="6" t="n">
        <v>-0.7357010147163632</v>
      </c>
      <c r="D13" s="6" t="n">
        <v>-0.06707293905841095</v>
      </c>
      <c r="E13" s="6" t="n">
        <v>2.214333106971274</v>
      </c>
      <c r="F13" s="6" t="n">
        <v>-0.8850484360866833</v>
      </c>
      <c r="G13" s="5" t="n">
        <v>0</v>
      </c>
      <c r="H13" s="5" t="n">
        <v>0</v>
      </c>
      <c r="I13" s="5" t="n">
        <v>0</v>
      </c>
      <c r="J13" s="5" t="n">
        <v>0</v>
      </c>
      <c r="K13" s="5" t="n">
        <v>0</v>
      </c>
      <c r="L13" s="5" t="n">
        <v>0</v>
      </c>
      <c r="M13" s="5" t="n">
        <v>0</v>
      </c>
      <c r="N13" s="5" t="n">
        <v>1</v>
      </c>
      <c r="O13" s="5" t="n">
        <v>0</v>
      </c>
      <c r="P13" s="5" t="n">
        <v>0</v>
      </c>
      <c r="Q13" s="5" t="n">
        <v>0</v>
      </c>
      <c r="R13" s="5" t="n">
        <v>0</v>
      </c>
      <c r="S13" s="5" t="n">
        <v>1</v>
      </c>
      <c r="T13" s="5" t="n">
        <v>0</v>
      </c>
      <c r="U13" s="5" t="inlineStr">
        <is>
          <t>training</t>
        </is>
      </c>
    </row>
    <row r="14">
      <c r="A14" s="5" t="n">
        <v>10</v>
      </c>
      <c r="B14" s="5" t="n">
        <v>1</v>
      </c>
      <c r="C14" s="6" t="n">
        <v>0.7809601085536261</v>
      </c>
      <c r="D14" s="6" t="n">
        <v>0.6939437743074949</v>
      </c>
      <c r="E14" s="6" t="n">
        <v>-0.6557765760629775</v>
      </c>
      <c r="F14" s="6" t="n">
        <v>0.9185437189662378</v>
      </c>
      <c r="G14" s="5" t="n">
        <v>0</v>
      </c>
      <c r="H14" s="5" t="n">
        <v>1</v>
      </c>
      <c r="I14" s="5" t="n">
        <v>0</v>
      </c>
      <c r="J14" s="5" t="n">
        <v>1</v>
      </c>
      <c r="K14" s="5" t="n">
        <v>0</v>
      </c>
      <c r="L14" s="5" t="n">
        <v>0</v>
      </c>
      <c r="M14" s="5" t="n">
        <v>0</v>
      </c>
      <c r="N14" s="5" t="n">
        <v>0</v>
      </c>
      <c r="O14" s="5" t="n">
        <v>0</v>
      </c>
      <c r="P14" s="5" t="n">
        <v>0</v>
      </c>
      <c r="Q14" s="5" t="n">
        <v>0</v>
      </c>
      <c r="R14" s="5" t="n">
        <v>1</v>
      </c>
      <c r="S14" s="5" t="n">
        <v>0</v>
      </c>
      <c r="T14" s="5" t="n">
        <v>0</v>
      </c>
      <c r="U14" s="5" t="inlineStr">
        <is>
          <t>training</t>
        </is>
      </c>
    </row>
    <row r="15">
      <c r="A15" s="5" t="n">
        <v>11</v>
      </c>
      <c r="B15" s="5" t="n">
        <v>1</v>
      </c>
      <c r="C15" s="6" t="n">
        <v>-0.7357010147163632</v>
      </c>
      <c r="D15" s="6" t="n">
        <v>-0.6842837355537938</v>
      </c>
      <c r="E15" s="6" t="n">
        <v>-0.9166956381570004</v>
      </c>
      <c r="F15" s="6" t="n">
        <v>0.01674764143977723</v>
      </c>
      <c r="G15" s="5" t="n">
        <v>0</v>
      </c>
      <c r="H15" s="5" t="n">
        <v>1</v>
      </c>
      <c r="I15" s="5" t="n">
        <v>0</v>
      </c>
      <c r="J15" s="5" t="n">
        <v>0</v>
      </c>
      <c r="K15" s="5" t="n">
        <v>0</v>
      </c>
      <c r="L15" s="5" t="n">
        <v>0</v>
      </c>
      <c r="M15" s="5" t="n">
        <v>0</v>
      </c>
      <c r="N15" s="5" t="n">
        <v>0</v>
      </c>
      <c r="O15" s="5" t="n">
        <v>0</v>
      </c>
      <c r="P15" s="5" t="n">
        <v>1</v>
      </c>
      <c r="Q15" s="5" t="n">
        <v>0</v>
      </c>
      <c r="R15" s="5" t="n">
        <v>1</v>
      </c>
      <c r="S15" s="5" t="n">
        <v>0</v>
      </c>
      <c r="T15" s="5" t="n">
        <v>0</v>
      </c>
      <c r="U15" s="5" t="inlineStr">
        <is>
          <t>training</t>
        </is>
      </c>
    </row>
    <row r="16">
      <c r="A16" s="5" t="n">
        <v>12</v>
      </c>
      <c r="B16" s="5" t="n">
        <v>1</v>
      </c>
      <c r="C16" s="6" t="n">
        <v>2.297621231823615</v>
      </c>
      <c r="D16" s="6" t="n">
        <v>0.3699430954215965</v>
      </c>
      <c r="E16" s="6" t="n">
        <v>-1.003668658855008</v>
      </c>
      <c r="F16" s="6" t="n">
        <v>0.01674764143977723</v>
      </c>
      <c r="G16" s="5" t="n">
        <v>1</v>
      </c>
      <c r="H16" s="5" t="n">
        <v>0</v>
      </c>
      <c r="I16" s="5" t="n">
        <v>0</v>
      </c>
      <c r="J16" s="5" t="n">
        <v>0</v>
      </c>
      <c r="K16" s="5" t="n">
        <v>0</v>
      </c>
      <c r="L16" s="5" t="n">
        <v>0</v>
      </c>
      <c r="M16" s="5" t="n">
        <v>0</v>
      </c>
      <c r="N16" s="5" t="n">
        <v>0</v>
      </c>
      <c r="O16" s="5" t="n">
        <v>0</v>
      </c>
      <c r="P16" s="5" t="n">
        <v>1</v>
      </c>
      <c r="Q16" s="5" t="n">
        <v>0</v>
      </c>
      <c r="R16" s="5" t="n">
        <v>0</v>
      </c>
      <c r="S16" s="5" t="n">
        <v>0</v>
      </c>
      <c r="T16" s="5" t="n">
        <v>0</v>
      </c>
      <c r="U16" s="5" t="inlineStr">
        <is>
          <t>training</t>
        </is>
      </c>
    </row>
    <row r="17">
      <c r="A17" s="5" t="n">
        <v>13</v>
      </c>
      <c r="B17" s="5" t="n">
        <v>0</v>
      </c>
      <c r="C17" s="6" t="n">
        <v>-0.7357010147163632</v>
      </c>
      <c r="D17" s="6" t="n">
        <v>-0.5891129097903335</v>
      </c>
      <c r="E17" s="6" t="n">
        <v>-1.177614700251023</v>
      </c>
      <c r="F17" s="6" t="n">
        <v>-1.786844513613144</v>
      </c>
      <c r="G17" s="5" t="n">
        <v>0</v>
      </c>
      <c r="H17" s="5" t="n">
        <v>1</v>
      </c>
      <c r="I17" s="5" t="n">
        <v>0</v>
      </c>
      <c r="J17" s="5" t="n">
        <v>0</v>
      </c>
      <c r="K17" s="5" t="n">
        <v>0</v>
      </c>
      <c r="L17" s="5" t="n">
        <v>0</v>
      </c>
      <c r="M17" s="5" t="n">
        <v>0</v>
      </c>
      <c r="N17" s="5" t="n">
        <v>0</v>
      </c>
      <c r="O17" s="5" t="n">
        <v>0</v>
      </c>
      <c r="P17" s="5" t="n">
        <v>0</v>
      </c>
      <c r="Q17" s="5" t="n">
        <v>0</v>
      </c>
      <c r="R17" s="5" t="n">
        <v>0</v>
      </c>
      <c r="S17" s="5" t="n">
        <v>1</v>
      </c>
      <c r="T17" s="5" t="n">
        <v>0</v>
      </c>
      <c r="U17" s="5" t="inlineStr">
        <is>
          <t>training</t>
        </is>
      </c>
    </row>
    <row r="18">
      <c r="A18" s="5" t="n">
        <v>14</v>
      </c>
      <c r="B18" s="5" t="n">
        <v>1</v>
      </c>
      <c r="C18" s="6" t="n">
        <v>0.275406400796963</v>
      </c>
      <c r="D18" s="6" t="n">
        <v>-0.7178734387644269</v>
      </c>
      <c r="E18" s="6" t="n">
        <v>2.127360086273267</v>
      </c>
      <c r="F18" s="6" t="n">
        <v>0.9185437189662378</v>
      </c>
      <c r="G18" s="5" t="n">
        <v>1</v>
      </c>
      <c r="H18" s="5" t="n">
        <v>0</v>
      </c>
      <c r="I18" s="5" t="n">
        <v>0</v>
      </c>
      <c r="J18" s="5" t="n">
        <v>1</v>
      </c>
      <c r="K18" s="5" t="n">
        <v>0</v>
      </c>
      <c r="L18" s="5" t="n">
        <v>0</v>
      </c>
      <c r="M18" s="5" t="n">
        <v>0</v>
      </c>
      <c r="N18" s="5" t="n">
        <v>0</v>
      </c>
      <c r="O18" s="5" t="n">
        <v>0</v>
      </c>
      <c r="P18" s="5" t="n">
        <v>0</v>
      </c>
      <c r="Q18" s="5" t="n">
        <v>0</v>
      </c>
      <c r="R18" s="5" t="n">
        <v>1</v>
      </c>
      <c r="S18" s="5" t="n">
        <v>0</v>
      </c>
      <c r="T18" s="5" t="n">
        <v>0</v>
      </c>
      <c r="U18" s="5" t="inlineStr">
        <is>
          <t>training</t>
        </is>
      </c>
    </row>
    <row r="19">
      <c r="A19" s="5" t="n">
        <v>15</v>
      </c>
      <c r="B19" s="5" t="n">
        <v>0</v>
      </c>
      <c r="C19" s="6" t="n">
        <v>-0.4829241608380317</v>
      </c>
      <c r="D19" s="6" t="n">
        <v>-0.6464953194418316</v>
      </c>
      <c r="E19" s="6" t="n">
        <v>-0.6557765760629775</v>
      </c>
      <c r="F19" s="6" t="n">
        <v>-0.8850484360866833</v>
      </c>
      <c r="G19" s="5" t="n">
        <v>1</v>
      </c>
      <c r="H19" s="5" t="n">
        <v>0</v>
      </c>
      <c r="I19" s="5" t="n">
        <v>0</v>
      </c>
      <c r="J19" s="5" t="n">
        <v>0</v>
      </c>
      <c r="K19" s="5" t="n">
        <v>0</v>
      </c>
      <c r="L19" s="5" t="n">
        <v>0</v>
      </c>
      <c r="M19" s="5" t="n">
        <v>0</v>
      </c>
      <c r="N19" s="5" t="n">
        <v>0</v>
      </c>
      <c r="O19" s="5" t="n">
        <v>0</v>
      </c>
      <c r="P19" s="5" t="n">
        <v>1</v>
      </c>
      <c r="Q19" s="5" t="n">
        <v>0</v>
      </c>
      <c r="R19" s="5" t="n">
        <v>1</v>
      </c>
      <c r="S19" s="5" t="n">
        <v>0</v>
      </c>
      <c r="T19" s="5" t="n">
        <v>0</v>
      </c>
      <c r="U19" s="5" t="inlineStr">
        <is>
          <t>testing</t>
        </is>
      </c>
    </row>
    <row r="20">
      <c r="A20" s="5" t="n">
        <v>16</v>
      </c>
      <c r="B20" s="5" t="n">
        <v>1</v>
      </c>
      <c r="C20" s="6" t="n">
        <v>0.275406400796963</v>
      </c>
      <c r="D20" s="6" t="n">
        <v>-0.6888323411969004</v>
      </c>
      <c r="E20" s="6" t="n">
        <v>-0.307884493270947</v>
      </c>
      <c r="F20" s="6" t="n">
        <v>0.9185437189662378</v>
      </c>
      <c r="G20" s="5" t="n">
        <v>1</v>
      </c>
      <c r="H20" s="5" t="n">
        <v>0</v>
      </c>
      <c r="I20" s="5" t="n">
        <v>0</v>
      </c>
      <c r="J20" s="5" t="n">
        <v>0</v>
      </c>
      <c r="K20" s="5" t="n">
        <v>0</v>
      </c>
      <c r="L20" s="5" t="n">
        <v>0</v>
      </c>
      <c r="M20" s="5" t="n">
        <v>1</v>
      </c>
      <c r="N20" s="5" t="n">
        <v>0</v>
      </c>
      <c r="O20" s="5" t="n">
        <v>0</v>
      </c>
      <c r="P20" s="5" t="n">
        <v>0</v>
      </c>
      <c r="Q20" s="5" t="n">
        <v>0</v>
      </c>
      <c r="R20" s="5" t="n">
        <v>0</v>
      </c>
      <c r="S20" s="5" t="n">
        <v>1</v>
      </c>
      <c r="T20" s="5" t="n">
        <v>0</v>
      </c>
      <c r="U20" s="5" t="inlineStr">
        <is>
          <t>training</t>
        </is>
      </c>
    </row>
    <row r="21">
      <c r="A21" s="5" t="n">
        <v>17</v>
      </c>
      <c r="B21" s="5" t="n">
        <v>0</v>
      </c>
      <c r="C21" s="6" t="n">
        <v>0.275406400796963</v>
      </c>
      <c r="D21" s="6" t="n">
        <v>-0.2892548300870777</v>
      </c>
      <c r="E21" s="6" t="n">
        <v>1.518548941387213</v>
      </c>
      <c r="F21" s="6" t="n">
        <v>0.9185437189662378</v>
      </c>
      <c r="G21" s="5" t="n">
        <v>0</v>
      </c>
      <c r="H21" s="5" t="n">
        <v>0</v>
      </c>
      <c r="I21" s="5" t="n">
        <v>0</v>
      </c>
      <c r="J21" s="5" t="n">
        <v>1</v>
      </c>
      <c r="K21" s="5" t="n">
        <v>0</v>
      </c>
      <c r="L21" s="5" t="n">
        <v>0</v>
      </c>
      <c r="M21" s="5" t="n">
        <v>0</v>
      </c>
      <c r="N21" s="5" t="n">
        <v>0</v>
      </c>
      <c r="O21" s="5" t="n">
        <v>1</v>
      </c>
      <c r="P21" s="5" t="n">
        <v>0</v>
      </c>
      <c r="Q21" s="5" t="n">
        <v>0</v>
      </c>
      <c r="R21" s="5" t="n">
        <v>0</v>
      </c>
      <c r="S21" s="5" t="n">
        <v>1</v>
      </c>
      <c r="T21" s="5" t="n">
        <v>0</v>
      </c>
      <c r="U21" s="5" t="inlineStr">
        <is>
          <t>training</t>
        </is>
      </c>
    </row>
    <row r="22">
      <c r="A22" s="5" t="n">
        <v>18</v>
      </c>
      <c r="B22" s="5" t="n">
        <v>0</v>
      </c>
      <c r="C22" s="6" t="n">
        <v>0.7809601085536261</v>
      </c>
      <c r="D22" s="6" t="n">
        <v>1.686939375471836</v>
      </c>
      <c r="E22" s="6" t="n">
        <v>-0.9166956381570004</v>
      </c>
      <c r="F22" s="6" t="n">
        <v>-0.8850484360866833</v>
      </c>
      <c r="G22" s="5" t="n">
        <v>1</v>
      </c>
      <c r="H22" s="5" t="n">
        <v>0</v>
      </c>
      <c r="I22" s="5" t="n">
        <v>0</v>
      </c>
      <c r="J22" s="5" t="n">
        <v>0</v>
      </c>
      <c r="K22" s="5" t="n">
        <v>0</v>
      </c>
      <c r="L22" s="5" t="n">
        <v>1</v>
      </c>
      <c r="M22" s="5" t="n">
        <v>0</v>
      </c>
      <c r="N22" s="5" t="n">
        <v>0</v>
      </c>
      <c r="O22" s="5" t="n">
        <v>1</v>
      </c>
      <c r="P22" s="5" t="n">
        <v>0</v>
      </c>
      <c r="Q22" s="5" t="n">
        <v>0</v>
      </c>
      <c r="R22" s="5" t="n">
        <v>0</v>
      </c>
      <c r="S22" s="5" t="n">
        <v>0</v>
      </c>
      <c r="T22" s="5" t="n">
        <v>0</v>
      </c>
      <c r="U22" s="5" t="inlineStr">
        <is>
          <t>training</t>
        </is>
      </c>
    </row>
    <row r="23">
      <c r="A23" s="5" t="n">
        <v>19</v>
      </c>
      <c r="B23" s="5" t="n">
        <v>1</v>
      </c>
      <c r="C23" s="6" t="n">
        <v>0.275406400796963</v>
      </c>
      <c r="D23" s="6" t="n">
        <v>3.263905962662703</v>
      </c>
      <c r="E23" s="6" t="n">
        <v>0.7357917551051447</v>
      </c>
      <c r="F23" s="6" t="n">
        <v>0.9185437189662378</v>
      </c>
      <c r="G23" s="5" t="n">
        <v>0</v>
      </c>
      <c r="H23" s="5" t="n">
        <v>1</v>
      </c>
      <c r="I23" s="5" t="n">
        <v>0</v>
      </c>
      <c r="J23" s="5" t="n">
        <v>0</v>
      </c>
      <c r="K23" s="5" t="n">
        <v>0</v>
      </c>
      <c r="L23" s="5" t="n">
        <v>0</v>
      </c>
      <c r="M23" s="5" t="n">
        <v>0</v>
      </c>
      <c r="N23" s="5" t="n">
        <v>0</v>
      </c>
      <c r="O23" s="5" t="n">
        <v>0</v>
      </c>
      <c r="P23" s="5" t="n">
        <v>0</v>
      </c>
      <c r="Q23" s="5" t="n">
        <v>1</v>
      </c>
      <c r="R23" s="5" t="n">
        <v>1</v>
      </c>
      <c r="S23" s="5" t="n">
        <v>0</v>
      </c>
      <c r="T23" s="5" t="n">
        <v>0</v>
      </c>
      <c r="U23" s="5" t="inlineStr">
        <is>
          <t>training</t>
        </is>
      </c>
    </row>
    <row r="24">
      <c r="A24" s="5" t="n">
        <v>20</v>
      </c>
      <c r="B24" s="5" t="n">
        <v>0</v>
      </c>
      <c r="C24" s="6" t="n">
        <v>0.275406400796963</v>
      </c>
      <c r="D24" s="6" t="n">
        <v>0.06273726814101481</v>
      </c>
      <c r="E24" s="6" t="n">
        <v>-0.3948575139689546</v>
      </c>
      <c r="F24" s="6" t="n">
        <v>0.01674764143977723</v>
      </c>
      <c r="G24" s="5" t="n">
        <v>0</v>
      </c>
      <c r="H24" s="5" t="n">
        <v>0</v>
      </c>
      <c r="I24" s="5" t="n">
        <v>0</v>
      </c>
      <c r="J24" s="5" t="n">
        <v>0</v>
      </c>
      <c r="K24" s="5" t="n">
        <v>0</v>
      </c>
      <c r="L24" s="5" t="n">
        <v>0</v>
      </c>
      <c r="M24" s="5" t="n">
        <v>1</v>
      </c>
      <c r="N24" s="5" t="n">
        <v>0</v>
      </c>
      <c r="O24" s="5" t="n">
        <v>0</v>
      </c>
      <c r="P24" s="5" t="n">
        <v>0</v>
      </c>
      <c r="Q24" s="5" t="n">
        <v>0</v>
      </c>
      <c r="R24" s="5" t="n">
        <v>0</v>
      </c>
      <c r="S24" s="5" t="n">
        <v>1</v>
      </c>
      <c r="T24" s="5" t="n">
        <v>0</v>
      </c>
      <c r="U24" s="5" t="inlineStr">
        <is>
          <t>training</t>
        </is>
      </c>
    </row>
    <row r="25">
      <c r="A25" s="5" t="n">
        <v>21</v>
      </c>
      <c r="B25" s="5" t="n">
        <v>0</v>
      </c>
      <c r="C25" s="6" t="n">
        <v>-0.9884778685946948</v>
      </c>
      <c r="D25" s="6" t="n">
        <v>-0.3907237252025318</v>
      </c>
      <c r="E25" s="6" t="n">
        <v>1.083683837897175</v>
      </c>
      <c r="F25" s="6" t="n">
        <v>0.9185437189662378</v>
      </c>
      <c r="G25" s="5" t="n">
        <v>0</v>
      </c>
      <c r="H25" s="5" t="n">
        <v>0</v>
      </c>
      <c r="I25" s="5" t="n">
        <v>0</v>
      </c>
      <c r="J25" s="5" t="n">
        <v>1</v>
      </c>
      <c r="K25" s="5" t="n">
        <v>0</v>
      </c>
      <c r="L25" s="5" t="n">
        <v>0</v>
      </c>
      <c r="M25" s="5" t="n">
        <v>0</v>
      </c>
      <c r="N25" s="5" t="n">
        <v>0</v>
      </c>
      <c r="O25" s="5" t="n">
        <v>0</v>
      </c>
      <c r="P25" s="5" t="n">
        <v>0</v>
      </c>
      <c r="Q25" s="5" t="n">
        <v>0</v>
      </c>
      <c r="R25" s="5" t="n">
        <v>1</v>
      </c>
      <c r="S25" s="5" t="n">
        <v>0</v>
      </c>
      <c r="T25" s="5" t="n">
        <v>0</v>
      </c>
      <c r="U25" s="5" t="inlineStr">
        <is>
          <t>training</t>
        </is>
      </c>
    </row>
    <row r="26">
      <c r="A26" s="5" t="n">
        <v>22</v>
      </c>
      <c r="B26" s="5" t="n">
        <v>0</v>
      </c>
      <c r="C26" s="6" t="n">
        <v>-1.241254722473026</v>
      </c>
      <c r="D26" s="6" t="n">
        <v>-0.2112287486707113</v>
      </c>
      <c r="E26" s="6" t="n">
        <v>0.7357917551051447</v>
      </c>
      <c r="F26" s="6" t="n">
        <v>-0.8850484360866833</v>
      </c>
      <c r="G26" s="5" t="n">
        <v>1</v>
      </c>
      <c r="H26" s="5" t="n">
        <v>0</v>
      </c>
      <c r="I26" s="5" t="n">
        <v>0</v>
      </c>
      <c r="J26" s="5" t="n">
        <v>0</v>
      </c>
      <c r="K26" s="5" t="n">
        <v>0</v>
      </c>
      <c r="L26" s="5" t="n">
        <v>0</v>
      </c>
      <c r="M26" s="5" t="n">
        <v>1</v>
      </c>
      <c r="N26" s="5" t="n">
        <v>0</v>
      </c>
      <c r="O26" s="5" t="n">
        <v>0</v>
      </c>
      <c r="P26" s="5" t="n">
        <v>1</v>
      </c>
      <c r="Q26" s="5" t="n">
        <v>0</v>
      </c>
      <c r="R26" s="5" t="n">
        <v>0</v>
      </c>
      <c r="S26" s="5" t="n">
        <v>1</v>
      </c>
      <c r="T26" s="5" t="n">
        <v>0</v>
      </c>
      <c r="U26" s="5" t="inlineStr">
        <is>
          <t>testing</t>
        </is>
      </c>
    </row>
    <row r="27">
      <c r="A27" s="5" t="n">
        <v>23</v>
      </c>
      <c r="B27" s="5" t="n">
        <v>0</v>
      </c>
      <c r="C27" s="6" t="n">
        <v>-0.9042189173019176</v>
      </c>
      <c r="D27" s="6" t="n">
        <v>-0.353285201832347</v>
      </c>
      <c r="E27" s="6" t="n">
        <v>1.083683837897175</v>
      </c>
      <c r="F27" s="6" t="n">
        <v>-1.786844513613144</v>
      </c>
      <c r="G27" s="5" t="n">
        <v>1</v>
      </c>
      <c r="H27" s="5" t="n">
        <v>0</v>
      </c>
      <c r="I27" s="5" t="n">
        <v>0</v>
      </c>
      <c r="J27" s="5" t="n">
        <v>1</v>
      </c>
      <c r="K27" s="5" t="n">
        <v>0</v>
      </c>
      <c r="L27" s="5" t="n">
        <v>0</v>
      </c>
      <c r="M27" s="5" t="n">
        <v>0</v>
      </c>
      <c r="N27" s="5" t="n">
        <v>0</v>
      </c>
      <c r="O27" s="5" t="n">
        <v>0</v>
      </c>
      <c r="P27" s="5" t="n">
        <v>1</v>
      </c>
      <c r="Q27" s="5" t="n">
        <v>0</v>
      </c>
      <c r="R27" s="5" t="n">
        <v>1</v>
      </c>
      <c r="S27" s="5" t="n">
        <v>0</v>
      </c>
      <c r="T27" s="5" t="n">
        <v>0</v>
      </c>
      <c r="U27" s="5" t="inlineStr">
        <is>
          <t>training</t>
        </is>
      </c>
    </row>
    <row r="28">
      <c r="A28" s="5" t="n">
        <v>24</v>
      </c>
      <c r="B28" s="5" t="n">
        <v>0</v>
      </c>
      <c r="C28" s="6" t="n">
        <v>-0.7357010147163632</v>
      </c>
      <c r="D28" s="6" t="n">
        <v>-0.506188329989083</v>
      </c>
      <c r="E28" s="6" t="n">
        <v>0.7357917551051447</v>
      </c>
      <c r="F28" s="6" t="n">
        <v>0.01674764143977723</v>
      </c>
      <c r="G28" s="5" t="n">
        <v>0</v>
      </c>
      <c r="H28" s="5" t="n">
        <v>1</v>
      </c>
      <c r="I28" s="5" t="n">
        <v>0</v>
      </c>
      <c r="J28" s="5" t="n">
        <v>1</v>
      </c>
      <c r="K28" s="5" t="n">
        <v>0</v>
      </c>
      <c r="L28" s="5" t="n">
        <v>0</v>
      </c>
      <c r="M28" s="5" t="n">
        <v>1</v>
      </c>
      <c r="N28" s="5" t="n">
        <v>0</v>
      </c>
      <c r="O28" s="5" t="n">
        <v>0</v>
      </c>
      <c r="P28" s="5" t="n">
        <v>0</v>
      </c>
      <c r="Q28" s="5" t="n">
        <v>0</v>
      </c>
      <c r="R28" s="5" t="n">
        <v>1</v>
      </c>
      <c r="S28" s="5" t="n">
        <v>0</v>
      </c>
      <c r="T28" s="5" t="n">
        <v>0</v>
      </c>
      <c r="U28" s="5" t="inlineStr">
        <is>
          <t>training</t>
        </is>
      </c>
    </row>
    <row r="29">
      <c r="A29" s="5" t="n">
        <v>25</v>
      </c>
      <c r="B29" s="5" t="n">
        <v>0</v>
      </c>
      <c r="C29" s="6" t="n">
        <v>-0.9042189173019176</v>
      </c>
      <c r="D29" s="6" t="n">
        <v>-0.4134667534180646</v>
      </c>
      <c r="E29" s="6" t="n">
        <v>-0.8297226174589928</v>
      </c>
      <c r="F29" s="6" t="n">
        <v>-0.8850484360866833</v>
      </c>
      <c r="G29" s="5" t="n">
        <v>0</v>
      </c>
      <c r="H29" s="5" t="n">
        <v>0</v>
      </c>
      <c r="I29" s="5" t="n">
        <v>0</v>
      </c>
      <c r="J29" s="5" t="n">
        <v>1</v>
      </c>
      <c r="K29" s="5" t="n">
        <v>0</v>
      </c>
      <c r="L29" s="5" t="n">
        <v>0</v>
      </c>
      <c r="M29" s="5" t="n">
        <v>0</v>
      </c>
      <c r="N29" s="5" t="n">
        <v>0</v>
      </c>
      <c r="O29" s="5" t="n">
        <v>1</v>
      </c>
      <c r="P29" s="5" t="n">
        <v>0</v>
      </c>
      <c r="Q29" s="5" t="n">
        <v>0</v>
      </c>
      <c r="R29" s="5" t="n">
        <v>0</v>
      </c>
      <c r="S29" s="5" t="n">
        <v>0</v>
      </c>
      <c r="T29" s="5" t="n">
        <v>1</v>
      </c>
      <c r="U29" s="5" t="inlineStr">
        <is>
          <t>training</t>
        </is>
      </c>
    </row>
    <row r="30">
      <c r="A30" s="5" t="n">
        <v>26</v>
      </c>
      <c r="B30" s="5" t="n">
        <v>0</v>
      </c>
      <c r="C30" s="6" t="n">
        <v>-1.241254722473026</v>
      </c>
      <c r="D30" s="6" t="n">
        <v>-0.6566422089533771</v>
      </c>
      <c r="E30" s="6" t="n">
        <v>0.04000758952108359</v>
      </c>
      <c r="F30" s="6" t="n">
        <v>-1.786844513613144</v>
      </c>
      <c r="G30" s="5" t="n">
        <v>1</v>
      </c>
      <c r="H30" s="5" t="n">
        <v>0</v>
      </c>
      <c r="I30" s="5" t="n">
        <v>0</v>
      </c>
      <c r="J30" s="5" t="n">
        <v>0</v>
      </c>
      <c r="K30" s="5" t="n">
        <v>0</v>
      </c>
      <c r="L30" s="5" t="n">
        <v>0</v>
      </c>
      <c r="M30" s="5" t="n">
        <v>0</v>
      </c>
      <c r="N30" s="5" t="n">
        <v>0</v>
      </c>
      <c r="O30" s="5" t="n">
        <v>0</v>
      </c>
      <c r="P30" s="5" t="n">
        <v>0</v>
      </c>
      <c r="Q30" s="5" t="n">
        <v>0</v>
      </c>
      <c r="R30" s="5" t="n">
        <v>0</v>
      </c>
      <c r="S30" s="5" t="n">
        <v>0</v>
      </c>
      <c r="T30" s="5" t="n">
        <v>1</v>
      </c>
      <c r="U30" s="5" t="inlineStr">
        <is>
          <t>training</t>
        </is>
      </c>
    </row>
    <row r="31">
      <c r="A31" s="5" t="n">
        <v>27</v>
      </c>
      <c r="B31" s="5" t="n">
        <v>0</v>
      </c>
      <c r="C31" s="6" t="n">
        <v>-1.241254722473026</v>
      </c>
      <c r="D31" s="6" t="n">
        <v>-0.9883405281583787</v>
      </c>
      <c r="E31" s="6" t="n">
        <v>0.3009266516151065</v>
      </c>
      <c r="F31" s="6" t="n">
        <v>0.9185437189662378</v>
      </c>
      <c r="G31" s="5" t="n">
        <v>0</v>
      </c>
      <c r="H31" s="5" t="n">
        <v>0</v>
      </c>
      <c r="I31" s="5" t="n">
        <v>0</v>
      </c>
      <c r="J31" s="5" t="n">
        <v>0</v>
      </c>
      <c r="K31" s="5" t="n">
        <v>0</v>
      </c>
      <c r="L31" s="5" t="n">
        <v>1</v>
      </c>
      <c r="M31" s="5" t="n">
        <v>0</v>
      </c>
      <c r="N31" s="5" t="n">
        <v>0</v>
      </c>
      <c r="O31" s="5" t="n">
        <v>0</v>
      </c>
      <c r="P31" s="5" t="n">
        <v>0</v>
      </c>
      <c r="Q31" s="5" t="n">
        <v>0</v>
      </c>
      <c r="R31" s="5" t="n">
        <v>0</v>
      </c>
      <c r="S31" s="5" t="n">
        <v>1</v>
      </c>
      <c r="T31" s="5" t="n">
        <v>0</v>
      </c>
      <c r="U31" s="5" t="inlineStr">
        <is>
          <t>training</t>
        </is>
      </c>
    </row>
    <row r="32">
      <c r="A32" s="5" t="n">
        <v>28</v>
      </c>
      <c r="B32" s="5" t="n">
        <v>0</v>
      </c>
      <c r="C32" s="6" t="n">
        <v>-0.7357010147163632</v>
      </c>
      <c r="D32" s="6" t="n">
        <v>-0.994288704768595</v>
      </c>
      <c r="E32" s="6" t="n">
        <v>0.5618457137091294</v>
      </c>
      <c r="F32" s="6" t="n">
        <v>0.01674764143977723</v>
      </c>
      <c r="G32" s="5" t="n">
        <v>0</v>
      </c>
      <c r="H32" s="5" t="n">
        <v>0</v>
      </c>
      <c r="I32" s="5" t="n">
        <v>1</v>
      </c>
      <c r="J32" s="5" t="n">
        <v>0</v>
      </c>
      <c r="K32" s="5" t="n">
        <v>0</v>
      </c>
      <c r="L32" s="5" t="n">
        <v>1</v>
      </c>
      <c r="M32" s="5" t="n">
        <v>0</v>
      </c>
      <c r="N32" s="5" t="n">
        <v>1</v>
      </c>
      <c r="O32" s="5" t="n">
        <v>0</v>
      </c>
      <c r="P32" s="5" t="n">
        <v>1</v>
      </c>
      <c r="Q32" s="5" t="n">
        <v>0</v>
      </c>
      <c r="R32" s="5" t="n">
        <v>0</v>
      </c>
      <c r="S32" s="5" t="n">
        <v>1</v>
      </c>
      <c r="T32" s="5" t="n">
        <v>0</v>
      </c>
      <c r="U32" s="5" t="inlineStr">
        <is>
          <t>training</t>
        </is>
      </c>
    </row>
    <row r="33">
      <c r="A33" s="5" t="n">
        <v>29</v>
      </c>
      <c r="B33" s="5" t="n">
        <v>0</v>
      </c>
      <c r="C33" s="6" t="n">
        <v>-1.156995771180249</v>
      </c>
      <c r="D33" s="6" t="n">
        <v>-0.2924038647630746</v>
      </c>
      <c r="E33" s="6" t="n">
        <v>-0.1339384518749317</v>
      </c>
      <c r="F33" s="6" t="n">
        <v>0.01674764143977723</v>
      </c>
      <c r="G33" s="5" t="n">
        <v>0</v>
      </c>
      <c r="H33" s="5" t="n">
        <v>1</v>
      </c>
      <c r="I33" s="5" t="n">
        <v>0</v>
      </c>
      <c r="J33" s="5" t="n">
        <v>0</v>
      </c>
      <c r="K33" s="5" t="n">
        <v>0</v>
      </c>
      <c r="L33" s="5" t="n">
        <v>0</v>
      </c>
      <c r="M33" s="5" t="n">
        <v>0</v>
      </c>
      <c r="N33" s="5" t="n">
        <v>0</v>
      </c>
      <c r="O33" s="5" t="n">
        <v>0</v>
      </c>
      <c r="P33" s="5" t="n">
        <v>0</v>
      </c>
      <c r="Q33" s="5" t="n">
        <v>0</v>
      </c>
      <c r="R33" s="5" t="n">
        <v>0</v>
      </c>
      <c r="S33" s="5" t="n">
        <v>1</v>
      </c>
      <c r="T33" s="5" t="n">
        <v>0</v>
      </c>
      <c r="U33" s="5" t="inlineStr">
        <is>
          <t>training</t>
        </is>
      </c>
    </row>
    <row r="34">
      <c r="A34" s="5" t="n">
        <v>30</v>
      </c>
      <c r="B34" s="5" t="n">
        <v>1</v>
      </c>
      <c r="C34" s="6" t="n">
        <v>3.308728647336942</v>
      </c>
      <c r="D34" s="6" t="n">
        <v>1.254471946634934</v>
      </c>
      <c r="E34" s="6" t="n">
        <v>2.38827914836729</v>
      </c>
      <c r="F34" s="6" t="n">
        <v>0.01674764143977723</v>
      </c>
      <c r="G34" s="5" t="n">
        <v>1</v>
      </c>
      <c r="H34" s="5" t="n">
        <v>0</v>
      </c>
      <c r="I34" s="5" t="n">
        <v>0</v>
      </c>
      <c r="J34" s="5" t="n">
        <v>0</v>
      </c>
      <c r="K34" s="5" t="n">
        <v>1</v>
      </c>
      <c r="L34" s="5" t="n">
        <v>0</v>
      </c>
      <c r="M34" s="5" t="n">
        <v>0</v>
      </c>
      <c r="N34" s="5" t="n">
        <v>0</v>
      </c>
      <c r="O34" s="5" t="n">
        <v>0</v>
      </c>
      <c r="P34" s="5" t="n">
        <v>0</v>
      </c>
      <c r="Q34" s="5" t="n">
        <v>0</v>
      </c>
      <c r="R34" s="5" t="n">
        <v>0</v>
      </c>
      <c r="S34" s="5" t="n">
        <v>0</v>
      </c>
      <c r="T34" s="5" t="n">
        <v>0</v>
      </c>
      <c r="U34" s="5" t="inlineStr">
        <is>
          <t>testing</t>
        </is>
      </c>
    </row>
    <row r="35">
      <c r="A35" s="5" t="n">
        <v>31</v>
      </c>
      <c r="B35" s="5" t="n">
        <v>0</v>
      </c>
      <c r="C35" s="6" t="n">
        <v>-0.2301473069597001</v>
      </c>
      <c r="D35" s="6" t="n">
        <v>-0.4680500211353434</v>
      </c>
      <c r="E35" s="6" t="n">
        <v>0.04000758952108359</v>
      </c>
      <c r="F35" s="6" t="n">
        <v>0.01674764143977723</v>
      </c>
      <c r="G35" s="5" t="n">
        <v>0</v>
      </c>
      <c r="H35" s="5" t="n">
        <v>1</v>
      </c>
      <c r="I35" s="5" t="n">
        <v>0</v>
      </c>
      <c r="J35" s="5" t="n">
        <v>0</v>
      </c>
      <c r="K35" s="5" t="n">
        <v>0</v>
      </c>
      <c r="L35" s="5" t="n">
        <v>0</v>
      </c>
      <c r="M35" s="5" t="n">
        <v>0</v>
      </c>
      <c r="N35" s="5" t="n">
        <v>1</v>
      </c>
      <c r="O35" s="5" t="n">
        <v>0</v>
      </c>
      <c r="P35" s="5" t="n">
        <v>0</v>
      </c>
      <c r="Q35" s="5" t="n">
        <v>0</v>
      </c>
      <c r="R35" s="5" t="n">
        <v>0</v>
      </c>
      <c r="S35" s="5" t="n">
        <v>0</v>
      </c>
      <c r="T35" s="5" t="n">
        <v>0</v>
      </c>
      <c r="U35" s="5" t="inlineStr">
        <is>
          <t>training</t>
        </is>
      </c>
    </row>
    <row r="36">
      <c r="A36" s="5" t="n">
        <v>32</v>
      </c>
      <c r="B36" s="5" t="n">
        <v>0</v>
      </c>
      <c r="C36" s="6" t="n">
        <v>0.275406400796963</v>
      </c>
      <c r="D36" s="6" t="n">
        <v>0.2691739857896973</v>
      </c>
      <c r="E36" s="6" t="n">
        <v>-0.7427495967609852</v>
      </c>
      <c r="F36" s="6" t="n">
        <v>-0.8850484360866833</v>
      </c>
      <c r="G36" s="5" t="n">
        <v>1</v>
      </c>
      <c r="H36" s="5" t="n">
        <v>0</v>
      </c>
      <c r="I36" s="5" t="n">
        <v>0</v>
      </c>
      <c r="J36" s="5" t="n">
        <v>0</v>
      </c>
      <c r="K36" s="5" t="n">
        <v>0</v>
      </c>
      <c r="L36" s="5" t="n">
        <v>0</v>
      </c>
      <c r="M36" s="5" t="n">
        <v>0</v>
      </c>
      <c r="N36" s="5" t="n">
        <v>0</v>
      </c>
      <c r="O36" s="5" t="n">
        <v>0</v>
      </c>
      <c r="P36" s="5" t="n">
        <v>0</v>
      </c>
      <c r="Q36" s="5" t="n">
        <v>0</v>
      </c>
      <c r="R36" s="5" t="n">
        <v>0</v>
      </c>
      <c r="S36" s="5" t="n">
        <v>0</v>
      </c>
      <c r="T36" s="5" t="n">
        <v>1</v>
      </c>
      <c r="U36" s="5" t="inlineStr">
        <is>
          <t>testing</t>
        </is>
      </c>
    </row>
    <row r="37">
      <c r="A37" s="5" t="n">
        <v>33</v>
      </c>
      <c r="B37" s="5" t="n">
        <v>0</v>
      </c>
      <c r="C37" s="6" t="n">
        <v>-0.2301473069597001</v>
      </c>
      <c r="D37" s="6" t="n">
        <v>0.9150759871108293</v>
      </c>
      <c r="E37" s="6" t="n">
        <v>-0.4818305346669622</v>
      </c>
      <c r="F37" s="6" t="n">
        <v>-0.8850484360866833</v>
      </c>
      <c r="G37" s="5" t="n">
        <v>0</v>
      </c>
      <c r="H37" s="5" t="n">
        <v>1</v>
      </c>
      <c r="I37" s="5" t="n">
        <v>0</v>
      </c>
      <c r="J37" s="5" t="n">
        <v>0</v>
      </c>
      <c r="K37" s="5" t="n">
        <v>0</v>
      </c>
      <c r="L37" s="5" t="n">
        <v>0</v>
      </c>
      <c r="M37" s="5" t="n">
        <v>1</v>
      </c>
      <c r="N37" s="5" t="n">
        <v>0</v>
      </c>
      <c r="O37" s="5" t="n">
        <v>0</v>
      </c>
      <c r="P37" s="5" t="n">
        <v>0</v>
      </c>
      <c r="Q37" s="5" t="n">
        <v>0</v>
      </c>
      <c r="R37" s="5" t="n">
        <v>1</v>
      </c>
      <c r="S37" s="5" t="n">
        <v>0</v>
      </c>
      <c r="T37" s="5" t="n">
        <v>0</v>
      </c>
      <c r="U37" s="5" t="inlineStr">
        <is>
          <t>training</t>
        </is>
      </c>
    </row>
    <row r="38">
      <c r="A38" s="5" t="n">
        <v>34</v>
      </c>
      <c r="B38" s="5" t="n">
        <v>0</v>
      </c>
      <c r="C38" s="6" t="n">
        <v>-0.7357010147163632</v>
      </c>
      <c r="D38" s="6" t="n">
        <v>-0.6951304105488941</v>
      </c>
      <c r="E38" s="6" t="n">
        <v>1.866441024179244</v>
      </c>
      <c r="F38" s="6" t="n">
        <v>0.9185437189662378</v>
      </c>
      <c r="G38" s="5" t="n">
        <v>0</v>
      </c>
      <c r="H38" s="5" t="n">
        <v>0</v>
      </c>
      <c r="I38" s="5" t="n">
        <v>0</v>
      </c>
      <c r="J38" s="5" t="n">
        <v>1</v>
      </c>
      <c r="K38" s="5" t="n">
        <v>0</v>
      </c>
      <c r="L38" s="5" t="n">
        <v>0</v>
      </c>
      <c r="M38" s="5" t="n">
        <v>0</v>
      </c>
      <c r="N38" s="5" t="n">
        <v>0</v>
      </c>
      <c r="O38" s="5" t="n">
        <v>1</v>
      </c>
      <c r="P38" s="5" t="n">
        <v>1</v>
      </c>
      <c r="Q38" s="5" t="n">
        <v>0</v>
      </c>
      <c r="R38" s="5" t="n">
        <v>0</v>
      </c>
      <c r="S38" s="5" t="n">
        <v>0</v>
      </c>
      <c r="T38" s="5" t="n">
        <v>0</v>
      </c>
      <c r="U38" s="5" t="inlineStr">
        <is>
          <t>training</t>
        </is>
      </c>
    </row>
    <row r="39">
      <c r="A39" s="5" t="n">
        <v>35</v>
      </c>
      <c r="B39" s="5" t="n">
        <v>0</v>
      </c>
      <c r="C39" s="6" t="n">
        <v>-0.7357010147163632</v>
      </c>
      <c r="D39" s="6" t="n">
        <v>-0.6216529347756342</v>
      </c>
      <c r="E39" s="6" t="n">
        <v>-0.2209114725729393</v>
      </c>
      <c r="F39" s="6" t="n">
        <v>0.9185437189662378</v>
      </c>
      <c r="G39" s="5" t="n">
        <v>0</v>
      </c>
      <c r="H39" s="5" t="n">
        <v>0</v>
      </c>
      <c r="I39" s="5" t="n">
        <v>1</v>
      </c>
      <c r="J39" s="5" t="n">
        <v>0</v>
      </c>
      <c r="K39" s="5" t="n">
        <v>0</v>
      </c>
      <c r="L39" s="5" t="n">
        <v>0</v>
      </c>
      <c r="M39" s="5" t="n">
        <v>0</v>
      </c>
      <c r="N39" s="5" t="n">
        <v>0</v>
      </c>
      <c r="O39" s="5" t="n">
        <v>0</v>
      </c>
      <c r="P39" s="5" t="n">
        <v>0</v>
      </c>
      <c r="Q39" s="5" t="n">
        <v>0</v>
      </c>
      <c r="R39" s="5" t="n">
        <v>0</v>
      </c>
      <c r="S39" s="5" t="n">
        <v>0</v>
      </c>
      <c r="T39" s="5" t="n">
        <v>1</v>
      </c>
      <c r="U39" s="5" t="inlineStr">
        <is>
          <t>testing</t>
        </is>
      </c>
    </row>
    <row r="40">
      <c r="A40" s="5" t="n">
        <v>36</v>
      </c>
      <c r="B40" s="5" t="n">
        <v>1</v>
      </c>
      <c r="C40" s="6" t="n">
        <v>2.044844377945284</v>
      </c>
      <c r="D40" s="6" t="n">
        <v>0.52319611632011</v>
      </c>
      <c r="E40" s="6" t="n">
        <v>-0.9166956381570004</v>
      </c>
      <c r="F40" s="6" t="n">
        <v>0.9185437189662378</v>
      </c>
      <c r="G40" s="5" t="n">
        <v>0</v>
      </c>
      <c r="H40" s="5" t="n">
        <v>1</v>
      </c>
      <c r="I40" s="5" t="n">
        <v>0</v>
      </c>
      <c r="J40" s="5" t="n">
        <v>1</v>
      </c>
      <c r="K40" s="5" t="n">
        <v>0</v>
      </c>
      <c r="L40" s="5" t="n">
        <v>0</v>
      </c>
      <c r="M40" s="5" t="n">
        <v>0</v>
      </c>
      <c r="N40" s="5" t="n">
        <v>0</v>
      </c>
      <c r="O40" s="5" t="n">
        <v>0</v>
      </c>
      <c r="P40" s="5" t="n">
        <v>0</v>
      </c>
      <c r="Q40" s="5" t="n">
        <v>0</v>
      </c>
      <c r="R40" s="5" t="n">
        <v>0</v>
      </c>
      <c r="S40" s="5" t="n">
        <v>1</v>
      </c>
      <c r="T40" s="5" t="n">
        <v>0</v>
      </c>
      <c r="U40" s="5" t="inlineStr">
        <is>
          <t>training</t>
        </is>
      </c>
    </row>
    <row r="41">
      <c r="A41" s="5" t="n">
        <v>37</v>
      </c>
      <c r="B41" s="5" t="n">
        <v>0</v>
      </c>
      <c r="C41" s="6" t="n">
        <v>2.297621231823615</v>
      </c>
      <c r="D41" s="6" t="n">
        <v>1.000449816104522</v>
      </c>
      <c r="E41" s="6" t="n">
        <v>-0.3948575139689546</v>
      </c>
      <c r="F41" s="6" t="n">
        <v>-1.786844513613144</v>
      </c>
      <c r="G41" s="5" t="n">
        <v>0</v>
      </c>
      <c r="H41" s="5" t="n">
        <v>0</v>
      </c>
      <c r="I41" s="5" t="n">
        <v>0</v>
      </c>
      <c r="J41" s="5" t="n">
        <v>1</v>
      </c>
      <c r="K41" s="5" t="n">
        <v>0</v>
      </c>
      <c r="L41" s="5" t="n">
        <v>0</v>
      </c>
      <c r="M41" s="5" t="n">
        <v>0</v>
      </c>
      <c r="N41" s="5" t="n">
        <v>0</v>
      </c>
      <c r="O41" s="5" t="n">
        <v>0</v>
      </c>
      <c r="P41" s="5" t="n">
        <v>0</v>
      </c>
      <c r="Q41" s="5" t="n">
        <v>1</v>
      </c>
      <c r="R41" s="5" t="n">
        <v>0</v>
      </c>
      <c r="S41" s="5" t="n">
        <v>0</v>
      </c>
      <c r="T41" s="5" t="n">
        <v>0</v>
      </c>
      <c r="U41" s="5" t="inlineStr">
        <is>
          <t>testing</t>
        </is>
      </c>
    </row>
    <row r="42">
      <c r="A42" s="5" t="n">
        <v>38</v>
      </c>
      <c r="B42" s="5" t="n">
        <v>1</v>
      </c>
      <c r="C42" s="6" t="n">
        <v>-0.2301473069597001</v>
      </c>
      <c r="D42" s="6" t="n">
        <v>-0.4026200784229644</v>
      </c>
      <c r="E42" s="6" t="n">
        <v>0.1269806102190912</v>
      </c>
      <c r="F42" s="6" t="n">
        <v>0.9185437189662378</v>
      </c>
      <c r="G42" s="5" t="n">
        <v>0</v>
      </c>
      <c r="H42" s="5" t="n">
        <v>0</v>
      </c>
      <c r="I42" s="5" t="n">
        <v>1</v>
      </c>
      <c r="J42" s="5" t="n">
        <v>0</v>
      </c>
      <c r="K42" s="5" t="n">
        <v>0</v>
      </c>
      <c r="L42" s="5" t="n">
        <v>0</v>
      </c>
      <c r="M42" s="5" t="n">
        <v>0</v>
      </c>
      <c r="N42" s="5" t="n">
        <v>0</v>
      </c>
      <c r="O42" s="5" t="n">
        <v>0</v>
      </c>
      <c r="P42" s="5" t="n">
        <v>0</v>
      </c>
      <c r="Q42" s="5" t="n">
        <v>0</v>
      </c>
      <c r="R42" s="5" t="n">
        <v>0</v>
      </c>
      <c r="S42" s="5" t="n">
        <v>1</v>
      </c>
      <c r="T42" s="5" t="n">
        <v>0</v>
      </c>
      <c r="U42" s="5" t="inlineStr">
        <is>
          <t>training</t>
        </is>
      </c>
    </row>
    <row r="43">
      <c r="A43" s="5" t="n">
        <v>39</v>
      </c>
      <c r="B43" s="5" t="n">
        <v>0</v>
      </c>
      <c r="C43" s="6" t="n">
        <v>-0.9042189173019176</v>
      </c>
      <c r="D43" s="6" t="n">
        <v>-0.7087762274782138</v>
      </c>
      <c r="E43" s="6" t="n">
        <v>0.1269806102190912</v>
      </c>
      <c r="F43" s="6" t="n">
        <v>-0.8850484360866833</v>
      </c>
      <c r="G43" s="5" t="n">
        <v>0</v>
      </c>
      <c r="H43" s="5" t="n">
        <v>0</v>
      </c>
      <c r="I43" s="5" t="n">
        <v>1</v>
      </c>
      <c r="J43" s="5" t="n">
        <v>0</v>
      </c>
      <c r="K43" s="5" t="n">
        <v>0</v>
      </c>
      <c r="L43" s="5" t="n">
        <v>0</v>
      </c>
      <c r="M43" s="5" t="n">
        <v>0</v>
      </c>
      <c r="N43" s="5" t="n">
        <v>0</v>
      </c>
      <c r="O43" s="5" t="n">
        <v>0</v>
      </c>
      <c r="P43" s="5" t="n">
        <v>0</v>
      </c>
      <c r="Q43" s="5" t="n">
        <v>0</v>
      </c>
      <c r="R43" s="5" t="n">
        <v>0</v>
      </c>
      <c r="S43" s="5" t="n">
        <v>0</v>
      </c>
      <c r="T43" s="5" t="n">
        <v>0</v>
      </c>
      <c r="U43" s="5" t="inlineStr">
        <is>
          <t>training</t>
        </is>
      </c>
    </row>
    <row r="44">
      <c r="A44" s="5" t="n">
        <v>40</v>
      </c>
      <c r="B44" s="5" t="n">
        <v>0</v>
      </c>
      <c r="C44" s="6" t="n">
        <v>-0.9884778685946948</v>
      </c>
      <c r="D44" s="6" t="n">
        <v>-0.9771439604215011</v>
      </c>
      <c r="E44" s="6" t="n">
        <v>-1.003668658855008</v>
      </c>
      <c r="F44" s="6" t="n">
        <v>0.9185437189662378</v>
      </c>
      <c r="G44" s="5" t="n">
        <v>0</v>
      </c>
      <c r="H44" s="5" t="n">
        <v>1</v>
      </c>
      <c r="I44" s="5" t="n">
        <v>0</v>
      </c>
      <c r="J44" s="5" t="n">
        <v>0</v>
      </c>
      <c r="K44" s="5" t="n">
        <v>0</v>
      </c>
      <c r="L44" s="5" t="n">
        <v>0</v>
      </c>
      <c r="M44" s="5" t="n">
        <v>0</v>
      </c>
      <c r="N44" s="5" t="n">
        <v>0</v>
      </c>
      <c r="O44" s="5" t="n">
        <v>0</v>
      </c>
      <c r="P44" s="5" t="n">
        <v>0</v>
      </c>
      <c r="Q44" s="5" t="n">
        <v>0</v>
      </c>
      <c r="R44" s="5" t="n">
        <v>0</v>
      </c>
      <c r="S44" s="5" t="n">
        <v>1</v>
      </c>
      <c r="T44" s="5" t="n">
        <v>0</v>
      </c>
      <c r="U44" s="5" t="inlineStr">
        <is>
          <t>training</t>
        </is>
      </c>
    </row>
    <row r="45">
      <c r="A45" s="5" t="n">
        <v>41</v>
      </c>
      <c r="B45" s="5" t="n">
        <v>0</v>
      </c>
      <c r="C45" s="6" t="n">
        <v>0.7809601085536261</v>
      </c>
      <c r="D45" s="6" t="n">
        <v>-0.3210950695888237</v>
      </c>
      <c r="E45" s="6" t="n">
        <v>-0.4818305346669622</v>
      </c>
      <c r="F45" s="6" t="n">
        <v>0.9185437189662378</v>
      </c>
      <c r="G45" s="5" t="n">
        <v>0</v>
      </c>
      <c r="H45" s="5" t="n">
        <v>0</v>
      </c>
      <c r="I45" s="5" t="n">
        <v>0</v>
      </c>
      <c r="J45" s="5" t="n">
        <v>0</v>
      </c>
      <c r="K45" s="5" t="n">
        <v>0</v>
      </c>
      <c r="L45" s="5" t="n">
        <v>0</v>
      </c>
      <c r="M45" s="5" t="n">
        <v>1</v>
      </c>
      <c r="N45" s="5" t="n">
        <v>0</v>
      </c>
      <c r="O45" s="5" t="n">
        <v>0</v>
      </c>
      <c r="P45" s="5" t="n">
        <v>0</v>
      </c>
      <c r="Q45" s="5" t="n">
        <v>0</v>
      </c>
      <c r="R45" s="5" t="n">
        <v>0</v>
      </c>
      <c r="S45" s="5" t="n">
        <v>1</v>
      </c>
      <c r="T45" s="5" t="n">
        <v>0</v>
      </c>
      <c r="U45" s="5" t="inlineStr">
        <is>
          <t>testing</t>
        </is>
      </c>
    </row>
    <row r="46">
      <c r="A46" s="5" t="n">
        <v>42</v>
      </c>
      <c r="B46" s="5" t="n">
        <v>0</v>
      </c>
      <c r="C46" s="6" t="n">
        <v>-0.7357010147163632</v>
      </c>
      <c r="D46" s="6" t="n">
        <v>-0.7322190411773015</v>
      </c>
      <c r="E46" s="6" t="n">
        <v>-0.8297226174589928</v>
      </c>
      <c r="F46" s="6" t="n">
        <v>0.01674764143977723</v>
      </c>
      <c r="G46" s="5" t="n">
        <v>0</v>
      </c>
      <c r="H46" s="5" t="n">
        <v>1</v>
      </c>
      <c r="I46" s="5" t="n">
        <v>0</v>
      </c>
      <c r="J46" s="5" t="n">
        <v>0</v>
      </c>
      <c r="K46" s="5" t="n">
        <v>0</v>
      </c>
      <c r="L46" s="5" t="n">
        <v>0</v>
      </c>
      <c r="M46" s="5" t="n">
        <v>1</v>
      </c>
      <c r="N46" s="5" t="n">
        <v>0</v>
      </c>
      <c r="O46" s="5" t="n">
        <v>0</v>
      </c>
      <c r="P46" s="5" t="n">
        <v>0</v>
      </c>
      <c r="Q46" s="5" t="n">
        <v>0</v>
      </c>
      <c r="R46" s="5" t="n">
        <v>0</v>
      </c>
      <c r="S46" s="5" t="n">
        <v>1</v>
      </c>
      <c r="T46" s="5" t="n">
        <v>0</v>
      </c>
      <c r="U46" s="5" t="inlineStr">
        <is>
          <t>training</t>
        </is>
      </c>
    </row>
    <row r="47">
      <c r="A47" s="5" t="n">
        <v>43</v>
      </c>
      <c r="B47" s="5" t="n">
        <v>0</v>
      </c>
      <c r="C47" s="6" t="n">
        <v>-0.2301473069597001</v>
      </c>
      <c r="D47" s="6" t="n">
        <v>1.0333397338316</v>
      </c>
      <c r="E47" s="6" t="n">
        <v>0.7357917551051447</v>
      </c>
      <c r="F47" s="6" t="n">
        <v>-0.8850484360866833</v>
      </c>
      <c r="G47" s="5" t="n">
        <v>0</v>
      </c>
      <c r="H47" s="5" t="n">
        <v>1</v>
      </c>
      <c r="I47" s="5" t="n">
        <v>0</v>
      </c>
      <c r="J47" s="5" t="n">
        <v>0</v>
      </c>
      <c r="K47" s="5" t="n">
        <v>1</v>
      </c>
      <c r="L47" s="5" t="n">
        <v>0</v>
      </c>
      <c r="M47" s="5" t="n">
        <v>0</v>
      </c>
      <c r="N47" s="5" t="n">
        <v>0</v>
      </c>
      <c r="O47" s="5" t="n">
        <v>0</v>
      </c>
      <c r="P47" s="5" t="n">
        <v>0</v>
      </c>
      <c r="Q47" s="5" t="n">
        <v>0</v>
      </c>
      <c r="R47" s="5" t="n">
        <v>0</v>
      </c>
      <c r="S47" s="5" t="n">
        <v>0</v>
      </c>
      <c r="T47" s="5" t="n">
        <v>0</v>
      </c>
      <c r="U47" s="5" t="inlineStr">
        <is>
          <t>training</t>
        </is>
      </c>
    </row>
    <row r="48">
      <c r="A48" s="5" t="n">
        <v>44</v>
      </c>
      <c r="B48" s="5" t="n">
        <v>0</v>
      </c>
      <c r="C48" s="6" t="n">
        <v>0.7809601085536261</v>
      </c>
      <c r="D48" s="6" t="n">
        <v>1.027391557221384</v>
      </c>
      <c r="E48" s="6" t="n">
        <v>-1.003668658855008</v>
      </c>
      <c r="F48" s="6" t="n">
        <v>-1.786844513613144</v>
      </c>
      <c r="G48" s="5" t="n">
        <v>1</v>
      </c>
      <c r="H48" s="5" t="n">
        <v>0</v>
      </c>
      <c r="I48" s="5" t="n">
        <v>0</v>
      </c>
      <c r="J48" s="5" t="n">
        <v>1</v>
      </c>
      <c r="K48" s="5" t="n">
        <v>0</v>
      </c>
      <c r="L48" s="5" t="n">
        <v>0</v>
      </c>
      <c r="M48" s="5" t="n">
        <v>1</v>
      </c>
      <c r="N48" s="5" t="n">
        <v>0</v>
      </c>
      <c r="O48" s="5" t="n">
        <v>0</v>
      </c>
      <c r="P48" s="5" t="n">
        <v>1</v>
      </c>
      <c r="Q48" s="5" t="n">
        <v>0</v>
      </c>
      <c r="R48" s="5" t="n">
        <v>1</v>
      </c>
      <c r="S48" s="5" t="n">
        <v>0</v>
      </c>
      <c r="T48" s="5" t="n">
        <v>0</v>
      </c>
      <c r="U48" s="5" t="inlineStr">
        <is>
          <t>testing</t>
        </is>
      </c>
    </row>
    <row r="49">
      <c r="A49" s="5" t="n">
        <v>45</v>
      </c>
      <c r="B49" s="5" t="n">
        <v>1</v>
      </c>
      <c r="C49" s="6" t="n">
        <v>2.297621231823615</v>
      </c>
      <c r="D49" s="6" t="n">
        <v>1.011996276583177</v>
      </c>
      <c r="E49" s="6" t="n">
        <v>1.953414044877252</v>
      </c>
      <c r="F49" s="6" t="n">
        <v>0.9185437189662378</v>
      </c>
      <c r="G49" s="5" t="n">
        <v>1</v>
      </c>
      <c r="H49" s="5" t="n">
        <v>0</v>
      </c>
      <c r="I49" s="5" t="n">
        <v>0</v>
      </c>
      <c r="J49" s="5" t="n">
        <v>1</v>
      </c>
      <c r="K49" s="5" t="n">
        <v>0</v>
      </c>
      <c r="L49" s="5" t="n">
        <v>0</v>
      </c>
      <c r="M49" s="5" t="n">
        <v>0</v>
      </c>
      <c r="N49" s="5" t="n">
        <v>0</v>
      </c>
      <c r="O49" s="5" t="n">
        <v>0</v>
      </c>
      <c r="P49" s="5" t="n">
        <v>0</v>
      </c>
      <c r="Q49" s="5" t="n">
        <v>1</v>
      </c>
      <c r="R49" s="5" t="n">
        <v>1</v>
      </c>
      <c r="S49" s="5" t="n">
        <v>0</v>
      </c>
      <c r="T49" s="5" t="n">
        <v>0</v>
      </c>
      <c r="U49" s="5" t="inlineStr">
        <is>
          <t>testing</t>
        </is>
      </c>
    </row>
    <row r="50">
      <c r="A50" s="5" t="n">
        <v>46</v>
      </c>
      <c r="B50" s="5" t="n">
        <v>0</v>
      </c>
      <c r="C50" s="6" t="n">
        <v>-0.8199599660091405</v>
      </c>
      <c r="D50" s="6" t="n">
        <v>-0.6499942468596059</v>
      </c>
      <c r="E50" s="6" t="n">
        <v>-0.04696543117692405</v>
      </c>
      <c r="F50" s="6" t="n">
        <v>0.9185437189662378</v>
      </c>
      <c r="G50" s="5" t="n">
        <v>0</v>
      </c>
      <c r="H50" s="5" t="n">
        <v>0</v>
      </c>
      <c r="I50" s="5" t="n">
        <v>0</v>
      </c>
      <c r="J50" s="5" t="n">
        <v>1</v>
      </c>
      <c r="K50" s="5" t="n">
        <v>0</v>
      </c>
      <c r="L50" s="5" t="n">
        <v>0</v>
      </c>
      <c r="M50" s="5" t="n">
        <v>0</v>
      </c>
      <c r="N50" s="5" t="n">
        <v>0</v>
      </c>
      <c r="O50" s="5" t="n">
        <v>0</v>
      </c>
      <c r="P50" s="5" t="n">
        <v>0</v>
      </c>
      <c r="Q50" s="5" t="n">
        <v>0</v>
      </c>
      <c r="R50" s="5" t="n">
        <v>1</v>
      </c>
      <c r="S50" s="5" t="n">
        <v>0</v>
      </c>
      <c r="T50" s="5" t="n">
        <v>0</v>
      </c>
      <c r="U50" s="5" t="inlineStr">
        <is>
          <t>testing</t>
        </is>
      </c>
    </row>
    <row r="51">
      <c r="A51" s="5" t="n">
        <v>47</v>
      </c>
      <c r="B51" s="5" t="n">
        <v>0</v>
      </c>
      <c r="C51" s="6" t="n">
        <v>1.286513816310289</v>
      </c>
      <c r="D51" s="6" t="n">
        <v>-0.3329914228092562</v>
      </c>
      <c r="E51" s="6" t="n">
        <v>0.3009266516151065</v>
      </c>
      <c r="F51" s="6" t="n">
        <v>0.9185437189662378</v>
      </c>
      <c r="G51" s="5" t="n">
        <v>0</v>
      </c>
      <c r="H51" s="5" t="n">
        <v>0</v>
      </c>
      <c r="I51" s="5" t="n">
        <v>0</v>
      </c>
      <c r="J51" s="5" t="n">
        <v>0</v>
      </c>
      <c r="K51" s="5" t="n">
        <v>0</v>
      </c>
      <c r="L51" s="5" t="n">
        <v>0</v>
      </c>
      <c r="M51" s="5" t="n">
        <v>1</v>
      </c>
      <c r="N51" s="5" t="n">
        <v>0</v>
      </c>
      <c r="O51" s="5" t="n">
        <v>0</v>
      </c>
      <c r="P51" s="5" t="n">
        <v>0</v>
      </c>
      <c r="Q51" s="5" t="n">
        <v>0</v>
      </c>
      <c r="R51" s="5" t="n">
        <v>0</v>
      </c>
      <c r="S51" s="5" t="n">
        <v>1</v>
      </c>
      <c r="T51" s="5" t="n">
        <v>0</v>
      </c>
      <c r="U51" s="5" t="inlineStr">
        <is>
          <t>testing</t>
        </is>
      </c>
    </row>
    <row r="52">
      <c r="A52" s="5" t="n">
        <v>48</v>
      </c>
      <c r="B52" s="5" t="n">
        <v>0</v>
      </c>
      <c r="C52" s="6" t="n">
        <v>-1.241254722473026</v>
      </c>
      <c r="D52" s="6" t="n">
        <v>-0.6643398492724805</v>
      </c>
      <c r="E52" s="6" t="n">
        <v>-1.090641679553016</v>
      </c>
      <c r="F52" s="6" t="n">
        <v>-1.786844513613144</v>
      </c>
      <c r="G52" s="5" t="n">
        <v>1</v>
      </c>
      <c r="H52" s="5" t="n">
        <v>0</v>
      </c>
      <c r="I52" s="5" t="n">
        <v>0</v>
      </c>
      <c r="J52" s="5" t="n">
        <v>0</v>
      </c>
      <c r="K52" s="5" t="n">
        <v>0</v>
      </c>
      <c r="L52" s="5" t="n">
        <v>0</v>
      </c>
      <c r="M52" s="5" t="n">
        <v>1</v>
      </c>
      <c r="N52" s="5" t="n">
        <v>0</v>
      </c>
      <c r="O52" s="5" t="n">
        <v>0</v>
      </c>
      <c r="P52" s="5" t="n">
        <v>1</v>
      </c>
      <c r="Q52" s="5" t="n">
        <v>0</v>
      </c>
      <c r="R52" s="5" t="n">
        <v>1</v>
      </c>
      <c r="S52" s="5" t="n">
        <v>0</v>
      </c>
      <c r="T52" s="5" t="n">
        <v>0</v>
      </c>
      <c r="U52" s="5" t="inlineStr">
        <is>
          <t>training</t>
        </is>
      </c>
    </row>
    <row r="53">
      <c r="A53" s="5" t="n">
        <v>49</v>
      </c>
      <c r="B53" s="5" t="n">
        <v>0</v>
      </c>
      <c r="C53" s="6" t="n">
        <v>-0.8199599660091405</v>
      </c>
      <c r="D53" s="6" t="n">
        <v>1.391629901411686</v>
      </c>
      <c r="E53" s="6" t="n">
        <v>0.3009266516151065</v>
      </c>
      <c r="F53" s="6" t="n">
        <v>-1.786844513613144</v>
      </c>
      <c r="G53" s="5" t="n">
        <v>0</v>
      </c>
      <c r="H53" s="5" t="n">
        <v>0</v>
      </c>
      <c r="I53" s="5" t="n">
        <v>0</v>
      </c>
      <c r="J53" s="5" t="n">
        <v>1</v>
      </c>
      <c r="K53" s="5" t="n">
        <v>0</v>
      </c>
      <c r="L53" s="5" t="n">
        <v>0</v>
      </c>
      <c r="M53" s="5" t="n">
        <v>0</v>
      </c>
      <c r="N53" s="5" t="n">
        <v>0</v>
      </c>
      <c r="O53" s="5" t="n">
        <v>0</v>
      </c>
      <c r="P53" s="5" t="n">
        <v>0</v>
      </c>
      <c r="Q53" s="5" t="n">
        <v>0</v>
      </c>
      <c r="R53" s="5" t="n">
        <v>1</v>
      </c>
      <c r="S53" s="5" t="n">
        <v>0</v>
      </c>
      <c r="T53" s="5" t="n">
        <v>0</v>
      </c>
      <c r="U53" s="5" t="inlineStr">
        <is>
          <t>training</t>
        </is>
      </c>
    </row>
    <row r="54">
      <c r="A54" s="5" t="n">
        <v>50</v>
      </c>
      <c r="B54" s="5" t="n">
        <v>0</v>
      </c>
      <c r="C54" s="6" t="n">
        <v>-0.7357010147163632</v>
      </c>
      <c r="D54" s="6" t="n">
        <v>-0.4120671824509549</v>
      </c>
      <c r="E54" s="6" t="n">
        <v>-0.6557765760629775</v>
      </c>
      <c r="F54" s="6" t="n">
        <v>0.9185437189662378</v>
      </c>
      <c r="G54" s="5" t="n">
        <v>0</v>
      </c>
      <c r="H54" s="5" t="n">
        <v>0</v>
      </c>
      <c r="I54" s="5" t="n">
        <v>0</v>
      </c>
      <c r="J54" s="5" t="n">
        <v>0</v>
      </c>
      <c r="K54" s="5" t="n">
        <v>0</v>
      </c>
      <c r="L54" s="5" t="n">
        <v>0</v>
      </c>
      <c r="M54" s="5" t="n">
        <v>1</v>
      </c>
      <c r="N54" s="5" t="n">
        <v>0</v>
      </c>
      <c r="O54" s="5" t="n">
        <v>0</v>
      </c>
      <c r="P54" s="5" t="n">
        <v>0</v>
      </c>
      <c r="Q54" s="5" t="n">
        <v>0</v>
      </c>
      <c r="R54" s="5" t="n">
        <v>0</v>
      </c>
      <c r="S54" s="5" t="n">
        <v>1</v>
      </c>
      <c r="T54" s="5" t="n">
        <v>0</v>
      </c>
      <c r="U54" s="5" t="inlineStr">
        <is>
          <t>training</t>
        </is>
      </c>
    </row>
    <row r="55">
      <c r="A55" s="5" t="n">
        <v>51</v>
      </c>
      <c r="B55" s="5" t="n">
        <v>0</v>
      </c>
      <c r="C55" s="6" t="n">
        <v>0.275406400796963</v>
      </c>
      <c r="D55" s="6" t="n">
        <v>-0.3210950695888237</v>
      </c>
      <c r="E55" s="6" t="n">
        <v>-0.5688035553649698</v>
      </c>
      <c r="F55" s="6" t="n">
        <v>0.9185437189662378</v>
      </c>
      <c r="G55" s="5" t="n">
        <v>0</v>
      </c>
      <c r="H55" s="5" t="n">
        <v>1</v>
      </c>
      <c r="I55" s="5" t="n">
        <v>0</v>
      </c>
      <c r="J55" s="5" t="n">
        <v>0</v>
      </c>
      <c r="K55" s="5" t="n">
        <v>1</v>
      </c>
      <c r="L55" s="5" t="n">
        <v>0</v>
      </c>
      <c r="M55" s="5" t="n">
        <v>0</v>
      </c>
      <c r="N55" s="5" t="n">
        <v>0</v>
      </c>
      <c r="O55" s="5" t="n">
        <v>1</v>
      </c>
      <c r="P55" s="5" t="n">
        <v>0</v>
      </c>
      <c r="Q55" s="5" t="n">
        <v>0</v>
      </c>
      <c r="R55" s="5" t="n">
        <v>0</v>
      </c>
      <c r="S55" s="5" t="n">
        <v>0</v>
      </c>
      <c r="T55" s="5" t="n">
        <v>1</v>
      </c>
      <c r="U55" s="5" t="inlineStr">
        <is>
          <t>testing</t>
        </is>
      </c>
    </row>
    <row r="56">
      <c r="A56" s="5" t="n">
        <v>52</v>
      </c>
      <c r="B56" s="5" t="n">
        <v>0</v>
      </c>
      <c r="C56" s="6" t="n">
        <v>0.5281832546752946</v>
      </c>
      <c r="D56" s="6" t="n">
        <v>0.9497153685467946</v>
      </c>
      <c r="E56" s="6" t="n">
        <v>-0.4818305346669622</v>
      </c>
      <c r="F56" s="6" t="n">
        <v>-1.786844513613144</v>
      </c>
      <c r="G56" s="5" t="n">
        <v>0</v>
      </c>
      <c r="H56" s="5" t="n">
        <v>1</v>
      </c>
      <c r="I56" s="5" t="n">
        <v>0</v>
      </c>
      <c r="J56" s="5" t="n">
        <v>0</v>
      </c>
      <c r="K56" s="5" t="n">
        <v>1</v>
      </c>
      <c r="L56" s="5" t="n">
        <v>0</v>
      </c>
      <c r="M56" s="5" t="n">
        <v>0</v>
      </c>
      <c r="N56" s="5" t="n">
        <v>0</v>
      </c>
      <c r="O56" s="5" t="n">
        <v>0</v>
      </c>
      <c r="P56" s="5" t="n">
        <v>0</v>
      </c>
      <c r="Q56" s="5" t="n">
        <v>0</v>
      </c>
      <c r="R56" s="5" t="n">
        <v>1</v>
      </c>
      <c r="S56" s="5" t="n">
        <v>0</v>
      </c>
      <c r="T56" s="5" t="n">
        <v>0</v>
      </c>
      <c r="U56" s="5" t="inlineStr">
        <is>
          <t>training</t>
        </is>
      </c>
    </row>
    <row r="57">
      <c r="A57" s="5" t="n">
        <v>53</v>
      </c>
      <c r="B57" s="5" t="n">
        <v>0</v>
      </c>
      <c r="C57" s="6" t="n">
        <v>-0.7357010147163632</v>
      </c>
      <c r="D57" s="6" t="n">
        <v>-0.695830196032449</v>
      </c>
      <c r="E57" s="6" t="n">
        <v>-0.9166956381570004</v>
      </c>
      <c r="F57" s="6" t="n">
        <v>0.01674764143977723</v>
      </c>
      <c r="G57" s="5" t="n">
        <v>0</v>
      </c>
      <c r="H57" s="5" t="n">
        <v>0</v>
      </c>
      <c r="I57" s="5" t="n">
        <v>0</v>
      </c>
      <c r="J57" s="5" t="n">
        <v>0</v>
      </c>
      <c r="K57" s="5" t="n">
        <v>0</v>
      </c>
      <c r="L57" s="5" t="n">
        <v>0</v>
      </c>
      <c r="M57" s="5" t="n">
        <v>0</v>
      </c>
      <c r="N57" s="5" t="n">
        <v>0</v>
      </c>
      <c r="O57" s="5" t="n">
        <v>0</v>
      </c>
      <c r="P57" s="5" t="n">
        <v>0</v>
      </c>
      <c r="Q57" s="5" t="n">
        <v>0</v>
      </c>
      <c r="R57" s="5" t="n">
        <v>0</v>
      </c>
      <c r="S57" s="5" t="n">
        <v>1</v>
      </c>
      <c r="T57" s="5" t="n">
        <v>0</v>
      </c>
      <c r="U57" s="5" t="inlineStr">
        <is>
          <t>testing</t>
        </is>
      </c>
    </row>
    <row r="58">
      <c r="A58" s="5" t="n">
        <v>54</v>
      </c>
      <c r="B58" s="5" t="n">
        <v>0</v>
      </c>
      <c r="C58" s="6" t="n">
        <v>-0.2301473069597001</v>
      </c>
      <c r="D58" s="6" t="n">
        <v>0.04454284556858856</v>
      </c>
      <c r="E58" s="6" t="n">
        <v>-0.3948575139689546</v>
      </c>
      <c r="F58" s="6" t="n">
        <v>-0.8850484360866833</v>
      </c>
      <c r="G58" s="5" t="n">
        <v>0</v>
      </c>
      <c r="H58" s="5" t="n">
        <v>0</v>
      </c>
      <c r="I58" s="5" t="n">
        <v>0</v>
      </c>
      <c r="J58" s="5" t="n">
        <v>0</v>
      </c>
      <c r="K58" s="5" t="n">
        <v>0</v>
      </c>
      <c r="L58" s="5" t="n">
        <v>0</v>
      </c>
      <c r="M58" s="5" t="n">
        <v>0</v>
      </c>
      <c r="N58" s="5" t="n">
        <v>0</v>
      </c>
      <c r="O58" s="5" t="n">
        <v>1</v>
      </c>
      <c r="P58" s="5" t="n">
        <v>0</v>
      </c>
      <c r="Q58" s="5" t="n">
        <v>0</v>
      </c>
      <c r="R58" s="5" t="n">
        <v>1</v>
      </c>
      <c r="S58" s="5" t="n">
        <v>0</v>
      </c>
      <c r="T58" s="5" t="n">
        <v>0</v>
      </c>
      <c r="U58" s="5" t="inlineStr">
        <is>
          <t>testing</t>
        </is>
      </c>
    </row>
    <row r="59">
      <c r="A59" s="5" t="n">
        <v>55</v>
      </c>
      <c r="B59" s="5" t="n">
        <v>1</v>
      </c>
      <c r="C59" s="6" t="n">
        <v>1.286513816310289</v>
      </c>
      <c r="D59" s="6" t="n">
        <v>-0.3588834857007859</v>
      </c>
      <c r="E59" s="6" t="n">
        <v>1.866441024179244</v>
      </c>
      <c r="F59" s="6" t="n">
        <v>0.9185437189662378</v>
      </c>
      <c r="G59" s="5" t="n">
        <v>0</v>
      </c>
      <c r="H59" s="5" t="n">
        <v>1</v>
      </c>
      <c r="I59" s="5" t="n">
        <v>0</v>
      </c>
      <c r="J59" s="5" t="n">
        <v>0</v>
      </c>
      <c r="K59" s="5" t="n">
        <v>1</v>
      </c>
      <c r="L59" s="5" t="n">
        <v>0</v>
      </c>
      <c r="M59" s="5" t="n">
        <v>0</v>
      </c>
      <c r="N59" s="5" t="n">
        <v>0</v>
      </c>
      <c r="O59" s="5" t="n">
        <v>0</v>
      </c>
      <c r="P59" s="5" t="n">
        <v>0</v>
      </c>
      <c r="Q59" s="5" t="n">
        <v>1</v>
      </c>
      <c r="R59" s="5" t="n">
        <v>1</v>
      </c>
      <c r="S59" s="5" t="n">
        <v>0</v>
      </c>
      <c r="T59" s="5" t="n">
        <v>0</v>
      </c>
      <c r="U59" s="5" t="inlineStr">
        <is>
          <t>training</t>
        </is>
      </c>
    </row>
    <row r="60">
      <c r="A60" s="5" t="n">
        <v>56</v>
      </c>
      <c r="B60" s="5" t="n">
        <v>0</v>
      </c>
      <c r="C60" s="6" t="n">
        <v>-1.241254722473026</v>
      </c>
      <c r="D60" s="6" t="n">
        <v>-0.863428819343837</v>
      </c>
      <c r="E60" s="6" t="n">
        <v>-0.8297226174589928</v>
      </c>
      <c r="F60" s="6" t="n">
        <v>-1.786844513613144</v>
      </c>
      <c r="G60" s="5" t="n">
        <v>0</v>
      </c>
      <c r="H60" s="5" t="n">
        <v>0</v>
      </c>
      <c r="I60" s="5" t="n">
        <v>0</v>
      </c>
      <c r="J60" s="5" t="n">
        <v>0</v>
      </c>
      <c r="K60" s="5" t="n">
        <v>0</v>
      </c>
      <c r="L60" s="5" t="n">
        <v>1</v>
      </c>
      <c r="M60" s="5" t="n">
        <v>0</v>
      </c>
      <c r="N60" s="5" t="n">
        <v>0</v>
      </c>
      <c r="O60" s="5" t="n">
        <v>1</v>
      </c>
      <c r="P60" s="5" t="n">
        <v>0</v>
      </c>
      <c r="Q60" s="5" t="n">
        <v>0</v>
      </c>
      <c r="R60" s="5" t="n">
        <v>1</v>
      </c>
      <c r="S60" s="5" t="n">
        <v>0</v>
      </c>
      <c r="T60" s="5" t="n">
        <v>0</v>
      </c>
      <c r="U60" s="5" t="inlineStr">
        <is>
          <t>testing</t>
        </is>
      </c>
    </row>
    <row r="61">
      <c r="A61" s="5" t="n">
        <v>57</v>
      </c>
      <c r="B61" s="5" t="n">
        <v>1</v>
      </c>
      <c r="C61" s="6" t="n">
        <v>-0.7357010147163632</v>
      </c>
      <c r="D61" s="6" t="n">
        <v>1.125711417660841</v>
      </c>
      <c r="E61" s="6" t="n">
        <v>1.431575920689206</v>
      </c>
      <c r="F61" s="6" t="n">
        <v>-0.8850484360866833</v>
      </c>
      <c r="G61" s="5" t="n">
        <v>0</v>
      </c>
      <c r="H61" s="5" t="n">
        <v>1</v>
      </c>
      <c r="I61" s="5" t="n">
        <v>0</v>
      </c>
      <c r="J61" s="5" t="n">
        <v>0</v>
      </c>
      <c r="K61" s="5" t="n">
        <v>0</v>
      </c>
      <c r="L61" s="5" t="n">
        <v>0</v>
      </c>
      <c r="M61" s="5" t="n">
        <v>0</v>
      </c>
      <c r="N61" s="5" t="n">
        <v>0</v>
      </c>
      <c r="O61" s="5" t="n">
        <v>1</v>
      </c>
      <c r="P61" s="5" t="n">
        <v>0</v>
      </c>
      <c r="Q61" s="5" t="n">
        <v>0</v>
      </c>
      <c r="R61" s="5" t="n">
        <v>0</v>
      </c>
      <c r="S61" s="5" t="n">
        <v>1</v>
      </c>
      <c r="T61" s="5" t="n">
        <v>0</v>
      </c>
      <c r="U61" s="5" t="inlineStr">
        <is>
          <t>training</t>
        </is>
      </c>
    </row>
    <row r="62">
      <c r="A62" s="5" t="n">
        <v>58</v>
      </c>
      <c r="B62" s="5" t="n">
        <v>0</v>
      </c>
      <c r="C62" s="6" t="n">
        <v>1.286513816310289</v>
      </c>
      <c r="D62" s="6" t="n">
        <v>2.209679131687313</v>
      </c>
      <c r="E62" s="6" t="n">
        <v>-0.3948575139689546</v>
      </c>
      <c r="F62" s="6" t="n">
        <v>-0.8850484360866833</v>
      </c>
      <c r="G62" s="5" t="n">
        <v>0</v>
      </c>
      <c r="H62" s="5" t="n">
        <v>0</v>
      </c>
      <c r="I62" s="5" t="n">
        <v>0</v>
      </c>
      <c r="J62" s="5" t="n">
        <v>1</v>
      </c>
      <c r="K62" s="5" t="n">
        <v>0</v>
      </c>
      <c r="L62" s="5" t="n">
        <v>0</v>
      </c>
      <c r="M62" s="5" t="n">
        <v>0</v>
      </c>
      <c r="N62" s="5" t="n">
        <v>0</v>
      </c>
      <c r="O62" s="5" t="n">
        <v>0</v>
      </c>
      <c r="P62" s="5" t="n">
        <v>0</v>
      </c>
      <c r="Q62" s="5" t="n">
        <v>0</v>
      </c>
      <c r="R62" s="5" t="n">
        <v>0</v>
      </c>
      <c r="S62" s="5" t="n">
        <v>1</v>
      </c>
      <c r="T62" s="5" t="n">
        <v>0</v>
      </c>
      <c r="U62" s="5" t="inlineStr">
        <is>
          <t>testing</t>
        </is>
      </c>
    </row>
    <row r="63">
      <c r="A63" s="5" t="n">
        <v>59</v>
      </c>
      <c r="B63" s="5" t="n">
        <v>0</v>
      </c>
      <c r="C63" s="6" t="n">
        <v>-0.2301473069597001</v>
      </c>
      <c r="D63" s="6" t="n">
        <v>-0.4512551695300269</v>
      </c>
      <c r="E63" s="6" t="n">
        <v>-1.090641679553016</v>
      </c>
      <c r="F63" s="6" t="n">
        <v>0.01674764143977723</v>
      </c>
      <c r="G63" s="5" t="n">
        <v>0</v>
      </c>
      <c r="H63" s="5" t="n">
        <v>0</v>
      </c>
      <c r="I63" s="5" t="n">
        <v>1</v>
      </c>
      <c r="J63" s="5" t="n">
        <v>0</v>
      </c>
      <c r="K63" s="5" t="n">
        <v>0</v>
      </c>
      <c r="L63" s="5" t="n">
        <v>0</v>
      </c>
      <c r="M63" s="5" t="n">
        <v>0</v>
      </c>
      <c r="N63" s="5" t="n">
        <v>0</v>
      </c>
      <c r="O63" s="5" t="n">
        <v>0</v>
      </c>
      <c r="P63" s="5" t="n">
        <v>0</v>
      </c>
      <c r="Q63" s="5" t="n">
        <v>0</v>
      </c>
      <c r="R63" s="5" t="n">
        <v>1</v>
      </c>
      <c r="S63" s="5" t="n">
        <v>0</v>
      </c>
      <c r="T63" s="5" t="n">
        <v>0</v>
      </c>
      <c r="U63" s="5" t="inlineStr">
        <is>
          <t>training</t>
        </is>
      </c>
    </row>
    <row r="64">
      <c r="A64" s="5" t="n">
        <v>60</v>
      </c>
      <c r="B64" s="5" t="n">
        <v>1</v>
      </c>
      <c r="C64" s="6" t="n">
        <v>1.286513816310289</v>
      </c>
      <c r="D64" s="6" t="n">
        <v>1.042087052376036</v>
      </c>
      <c r="E64" s="6" t="n">
        <v>-1.090641679553016</v>
      </c>
      <c r="F64" s="6" t="n">
        <v>0.9185437189662378</v>
      </c>
      <c r="G64" s="5" t="n">
        <v>1</v>
      </c>
      <c r="H64" s="5" t="n">
        <v>0</v>
      </c>
      <c r="I64" s="5" t="n">
        <v>0</v>
      </c>
      <c r="J64" s="5" t="n">
        <v>1</v>
      </c>
      <c r="K64" s="5" t="n">
        <v>0</v>
      </c>
      <c r="L64" s="5" t="n">
        <v>0</v>
      </c>
      <c r="M64" s="5" t="n">
        <v>0</v>
      </c>
      <c r="N64" s="5" t="n">
        <v>0</v>
      </c>
      <c r="O64" s="5" t="n">
        <v>0</v>
      </c>
      <c r="P64" s="5" t="n">
        <v>1</v>
      </c>
      <c r="Q64" s="5" t="n">
        <v>0</v>
      </c>
      <c r="R64" s="5" t="n">
        <v>0</v>
      </c>
      <c r="S64" s="5" t="n">
        <v>0</v>
      </c>
      <c r="T64" s="5" t="n">
        <v>1</v>
      </c>
      <c r="U64" s="5" t="inlineStr">
        <is>
          <t>training</t>
        </is>
      </c>
    </row>
    <row r="65">
      <c r="A65" s="5" t="n">
        <v>61</v>
      </c>
      <c r="B65" s="5" t="n">
        <v>0</v>
      </c>
      <c r="C65" s="6" t="n">
        <v>-0.9884778685946948</v>
      </c>
      <c r="D65" s="6" t="n">
        <v>-0.6506940323431608</v>
      </c>
      <c r="E65" s="6" t="n">
        <v>-0.7427495967609852</v>
      </c>
      <c r="F65" s="6" t="n">
        <v>-0.8850484360866833</v>
      </c>
      <c r="G65" s="5" t="n">
        <v>0</v>
      </c>
      <c r="H65" s="5" t="n">
        <v>1</v>
      </c>
      <c r="I65" s="5" t="n">
        <v>0</v>
      </c>
      <c r="J65" s="5" t="n">
        <v>0</v>
      </c>
      <c r="K65" s="5" t="n">
        <v>0</v>
      </c>
      <c r="L65" s="5" t="n">
        <v>0</v>
      </c>
      <c r="M65" s="5" t="n">
        <v>0</v>
      </c>
      <c r="N65" s="5" t="n">
        <v>0</v>
      </c>
      <c r="O65" s="5" t="n">
        <v>0</v>
      </c>
      <c r="P65" s="5" t="n">
        <v>0</v>
      </c>
      <c r="Q65" s="5" t="n">
        <v>0</v>
      </c>
      <c r="R65" s="5" t="n">
        <v>0</v>
      </c>
      <c r="S65" s="5" t="n">
        <v>0</v>
      </c>
      <c r="T65" s="5" t="n">
        <v>0</v>
      </c>
      <c r="U65" s="5" t="inlineStr">
        <is>
          <t>testing</t>
        </is>
      </c>
    </row>
    <row r="66">
      <c r="A66" s="5" t="n">
        <v>62</v>
      </c>
      <c r="B66" s="5" t="n">
        <v>0</v>
      </c>
      <c r="C66" s="6" t="n">
        <v>-0.4829241608380317</v>
      </c>
      <c r="D66" s="6" t="n">
        <v>-0.5996096920436563</v>
      </c>
      <c r="E66" s="6" t="n">
        <v>1.257629879293191</v>
      </c>
      <c r="F66" s="6" t="n">
        <v>0.9185437189662378</v>
      </c>
      <c r="G66" s="5" t="n">
        <v>0</v>
      </c>
      <c r="H66" s="5" t="n">
        <v>1</v>
      </c>
      <c r="I66" s="5" t="n">
        <v>0</v>
      </c>
      <c r="J66" s="5" t="n">
        <v>1</v>
      </c>
      <c r="K66" s="5" t="n">
        <v>0</v>
      </c>
      <c r="L66" s="5" t="n">
        <v>0</v>
      </c>
      <c r="M66" s="5" t="n">
        <v>0</v>
      </c>
      <c r="N66" s="5" t="n">
        <v>0</v>
      </c>
      <c r="O66" s="5" t="n">
        <v>1</v>
      </c>
      <c r="P66" s="5" t="n">
        <v>0</v>
      </c>
      <c r="Q66" s="5" t="n">
        <v>0</v>
      </c>
      <c r="R66" s="5" t="n">
        <v>0</v>
      </c>
      <c r="S66" s="5" t="n">
        <v>1</v>
      </c>
      <c r="T66" s="5" t="n">
        <v>0</v>
      </c>
      <c r="U66" s="5" t="inlineStr">
        <is>
          <t>training</t>
        </is>
      </c>
    </row>
    <row r="67">
      <c r="A67" s="5" t="n">
        <v>63</v>
      </c>
      <c r="B67" s="5" t="n">
        <v>1</v>
      </c>
      <c r="C67" s="6" t="n">
        <v>1.286513816310289</v>
      </c>
      <c r="D67" s="6" t="n">
        <v>-0.4540543114642463</v>
      </c>
      <c r="E67" s="6" t="n">
        <v>2.214333106971274</v>
      </c>
      <c r="F67" s="6" t="n">
        <v>0.9185437189662378</v>
      </c>
      <c r="G67" s="5" t="n">
        <v>0</v>
      </c>
      <c r="H67" s="5" t="n">
        <v>1</v>
      </c>
      <c r="I67" s="5" t="n">
        <v>0</v>
      </c>
      <c r="J67" s="5" t="n">
        <v>0</v>
      </c>
      <c r="K67" s="5" t="n">
        <v>0</v>
      </c>
      <c r="L67" s="5" t="n">
        <v>1</v>
      </c>
      <c r="M67" s="5" t="n">
        <v>0</v>
      </c>
      <c r="N67" s="5" t="n">
        <v>0</v>
      </c>
      <c r="O67" s="5" t="n">
        <v>0</v>
      </c>
      <c r="P67" s="5" t="n">
        <v>0</v>
      </c>
      <c r="Q67" s="5" t="n">
        <v>1</v>
      </c>
      <c r="R67" s="5" t="n">
        <v>0</v>
      </c>
      <c r="S67" s="5" t="n">
        <v>0</v>
      </c>
      <c r="T67" s="5" t="n">
        <v>0</v>
      </c>
      <c r="U67" s="5" t="inlineStr">
        <is>
          <t>training</t>
        </is>
      </c>
    </row>
    <row r="68">
      <c r="A68" s="5" t="n">
        <v>64</v>
      </c>
      <c r="B68" s="5" t="n">
        <v>1</v>
      </c>
      <c r="C68" s="6" t="n">
        <v>2.297621231823615</v>
      </c>
      <c r="D68" s="6" t="n">
        <v>3.908408393016725</v>
      </c>
      <c r="E68" s="6" t="n">
        <v>-0.9166956381570004</v>
      </c>
      <c r="F68" s="6" t="n">
        <v>-0.8850484360866833</v>
      </c>
      <c r="G68" s="5" t="n">
        <v>0</v>
      </c>
      <c r="H68" s="5" t="n">
        <v>1</v>
      </c>
      <c r="I68" s="5" t="n">
        <v>0</v>
      </c>
      <c r="J68" s="5" t="n">
        <v>0</v>
      </c>
      <c r="K68" s="5" t="n">
        <v>0</v>
      </c>
      <c r="L68" s="5" t="n">
        <v>1</v>
      </c>
      <c r="M68" s="5" t="n">
        <v>0</v>
      </c>
      <c r="N68" s="5" t="n">
        <v>0</v>
      </c>
      <c r="O68" s="5" t="n">
        <v>0</v>
      </c>
      <c r="P68" s="5" t="n">
        <v>0</v>
      </c>
      <c r="Q68" s="5" t="n">
        <v>0</v>
      </c>
      <c r="R68" s="5" t="n">
        <v>0</v>
      </c>
      <c r="S68" s="5" t="n">
        <v>0</v>
      </c>
      <c r="T68" s="5" t="n">
        <v>0</v>
      </c>
      <c r="U68" s="5" t="inlineStr">
        <is>
          <t>training</t>
        </is>
      </c>
    </row>
    <row r="69">
      <c r="A69" s="5" t="n">
        <v>65</v>
      </c>
      <c r="B69" s="5" t="n">
        <v>0</v>
      </c>
      <c r="C69" s="6" t="n">
        <v>0.275406400796963</v>
      </c>
      <c r="D69" s="6" t="n">
        <v>-0.02438602456156475</v>
      </c>
      <c r="E69" s="6" t="n">
        <v>-0.8297226174589928</v>
      </c>
      <c r="F69" s="6" t="n">
        <v>0.9185437189662378</v>
      </c>
      <c r="G69" s="5" t="n">
        <v>0</v>
      </c>
      <c r="H69" s="5" t="n">
        <v>0</v>
      </c>
      <c r="I69" s="5" t="n">
        <v>0</v>
      </c>
      <c r="J69" s="5" t="n">
        <v>0</v>
      </c>
      <c r="K69" s="5" t="n">
        <v>0</v>
      </c>
      <c r="L69" s="5" t="n">
        <v>0</v>
      </c>
      <c r="M69" s="5" t="n">
        <v>0</v>
      </c>
      <c r="N69" s="5" t="n">
        <v>0</v>
      </c>
      <c r="O69" s="5" t="n">
        <v>0</v>
      </c>
      <c r="P69" s="5" t="n">
        <v>0</v>
      </c>
      <c r="Q69" s="5" t="n">
        <v>0</v>
      </c>
      <c r="R69" s="5" t="n">
        <v>0</v>
      </c>
      <c r="S69" s="5" t="n">
        <v>1</v>
      </c>
      <c r="T69" s="5" t="n">
        <v>0</v>
      </c>
      <c r="U69" s="5" t="inlineStr">
        <is>
          <t>training</t>
        </is>
      </c>
    </row>
    <row r="70">
      <c r="A70" s="5" t="n">
        <v>66</v>
      </c>
      <c r="B70" s="5" t="n">
        <v>0</v>
      </c>
      <c r="C70" s="6" t="n">
        <v>0.5281832546752946</v>
      </c>
      <c r="D70" s="6" t="n">
        <v>0.678548493669288</v>
      </c>
      <c r="E70" s="6" t="n">
        <v>1.083683837897175</v>
      </c>
      <c r="F70" s="6" t="n">
        <v>0.9185437189662378</v>
      </c>
      <c r="G70" s="5" t="n">
        <v>0</v>
      </c>
      <c r="H70" s="5" t="n">
        <v>0</v>
      </c>
      <c r="I70" s="5" t="n">
        <v>0</v>
      </c>
      <c r="J70" s="5" t="n">
        <v>0</v>
      </c>
      <c r="K70" s="5" t="n">
        <v>0</v>
      </c>
      <c r="L70" s="5" t="n">
        <v>0</v>
      </c>
      <c r="M70" s="5" t="n">
        <v>0</v>
      </c>
      <c r="N70" s="5" t="n">
        <v>0</v>
      </c>
      <c r="O70" s="5" t="n">
        <v>1</v>
      </c>
      <c r="P70" s="5" t="n">
        <v>0</v>
      </c>
      <c r="Q70" s="5" t="n">
        <v>0</v>
      </c>
      <c r="R70" s="5" t="n">
        <v>0</v>
      </c>
      <c r="S70" s="5" t="n">
        <v>0</v>
      </c>
      <c r="T70" s="5" t="n">
        <v>0</v>
      </c>
      <c r="U70" s="5" t="inlineStr">
        <is>
          <t>training</t>
        </is>
      </c>
    </row>
    <row r="71">
      <c r="A71" s="5" t="n">
        <v>67</v>
      </c>
      <c r="B71" s="5" t="n">
        <v>0</v>
      </c>
      <c r="C71" s="6" t="n">
        <v>-0.7357010147163632</v>
      </c>
      <c r="D71" s="6" t="n">
        <v>-0.377777693756767</v>
      </c>
      <c r="E71" s="6" t="n">
        <v>-0.5688035553649698</v>
      </c>
      <c r="F71" s="6" t="n">
        <v>-0.8850484360866833</v>
      </c>
      <c r="G71" s="5" t="n">
        <v>0</v>
      </c>
      <c r="H71" s="5" t="n">
        <v>0</v>
      </c>
      <c r="I71" s="5" t="n">
        <v>0</v>
      </c>
      <c r="J71" s="5" t="n">
        <v>0</v>
      </c>
      <c r="K71" s="5" t="n">
        <v>0</v>
      </c>
      <c r="L71" s="5" t="n">
        <v>0</v>
      </c>
      <c r="M71" s="5" t="n">
        <v>0</v>
      </c>
      <c r="N71" s="5" t="n">
        <v>0</v>
      </c>
      <c r="O71" s="5" t="n">
        <v>0</v>
      </c>
      <c r="P71" s="5" t="n">
        <v>0</v>
      </c>
      <c r="Q71" s="5" t="n">
        <v>0</v>
      </c>
      <c r="R71" s="5" t="n">
        <v>0</v>
      </c>
      <c r="S71" s="5" t="n">
        <v>1</v>
      </c>
      <c r="T71" s="5" t="n">
        <v>0</v>
      </c>
      <c r="U71" s="5" t="inlineStr">
        <is>
          <t>training</t>
        </is>
      </c>
    </row>
    <row r="72">
      <c r="A72" s="5" t="n">
        <v>68</v>
      </c>
      <c r="B72" s="5" t="n">
        <v>0</v>
      </c>
      <c r="C72" s="6" t="n">
        <v>-0.7357010147163632</v>
      </c>
      <c r="D72" s="6" t="n">
        <v>-0.7850528451856931</v>
      </c>
      <c r="E72" s="6" t="n">
        <v>-1.177614700251023</v>
      </c>
      <c r="F72" s="6" t="n">
        <v>0.9185437189662378</v>
      </c>
      <c r="G72" s="5" t="n">
        <v>0</v>
      </c>
      <c r="H72" s="5" t="n">
        <v>1</v>
      </c>
      <c r="I72" s="5" t="n">
        <v>0</v>
      </c>
      <c r="J72" s="5" t="n">
        <v>0</v>
      </c>
      <c r="K72" s="5" t="n">
        <v>0</v>
      </c>
      <c r="L72" s="5" t="n">
        <v>0</v>
      </c>
      <c r="M72" s="5" t="n">
        <v>0</v>
      </c>
      <c r="N72" s="5" t="n">
        <v>1</v>
      </c>
      <c r="O72" s="5" t="n">
        <v>0</v>
      </c>
      <c r="P72" s="5" t="n">
        <v>0</v>
      </c>
      <c r="Q72" s="5" t="n">
        <v>0</v>
      </c>
      <c r="R72" s="5" t="n">
        <v>1</v>
      </c>
      <c r="S72" s="5" t="n">
        <v>0</v>
      </c>
      <c r="T72" s="5" t="n">
        <v>0</v>
      </c>
      <c r="U72" s="5" t="inlineStr">
        <is>
          <t>training</t>
        </is>
      </c>
    </row>
    <row r="73">
      <c r="A73" s="5" t="n">
        <v>69</v>
      </c>
      <c r="B73" s="5" t="n">
        <v>1</v>
      </c>
      <c r="C73" s="6" t="n">
        <v>1.286513816310289</v>
      </c>
      <c r="D73" s="6" t="n">
        <v>-0.5009399388624216</v>
      </c>
      <c r="E73" s="6" t="n">
        <v>0.1269806102190912</v>
      </c>
      <c r="F73" s="6" t="n">
        <v>0.9185437189662378</v>
      </c>
      <c r="G73" s="5" t="n">
        <v>0</v>
      </c>
      <c r="H73" s="5" t="n">
        <v>0</v>
      </c>
      <c r="I73" s="5" t="n">
        <v>0</v>
      </c>
      <c r="J73" s="5" t="n">
        <v>0</v>
      </c>
      <c r="K73" s="5" t="n">
        <v>0</v>
      </c>
      <c r="L73" s="5" t="n">
        <v>0</v>
      </c>
      <c r="M73" s="5" t="n">
        <v>0</v>
      </c>
      <c r="N73" s="5" t="n">
        <v>0</v>
      </c>
      <c r="O73" s="5" t="n">
        <v>0</v>
      </c>
      <c r="P73" s="5" t="n">
        <v>0</v>
      </c>
      <c r="Q73" s="5" t="n">
        <v>1</v>
      </c>
      <c r="R73" s="5" t="n">
        <v>0</v>
      </c>
      <c r="S73" s="5" t="n">
        <v>0</v>
      </c>
      <c r="T73" s="5" t="n">
        <v>0</v>
      </c>
      <c r="U73" s="5" t="inlineStr">
        <is>
          <t>training</t>
        </is>
      </c>
    </row>
    <row r="74">
      <c r="A74" s="5" t="n">
        <v>70</v>
      </c>
      <c r="B74" s="5" t="n">
        <v>0</v>
      </c>
      <c r="C74" s="6" t="n">
        <v>1.286513816310289</v>
      </c>
      <c r="D74" s="6" t="n">
        <v>-0.2997516123404005</v>
      </c>
      <c r="E74" s="6" t="n">
        <v>-0.9166956381570004</v>
      </c>
      <c r="F74" s="6" t="n">
        <v>0.9185437189662378</v>
      </c>
      <c r="G74" s="5" t="n">
        <v>0</v>
      </c>
      <c r="H74" s="5" t="n">
        <v>0</v>
      </c>
      <c r="I74" s="5" t="n">
        <v>0</v>
      </c>
      <c r="J74" s="5" t="n">
        <v>0</v>
      </c>
      <c r="K74" s="5" t="n">
        <v>0</v>
      </c>
      <c r="L74" s="5" t="n">
        <v>0</v>
      </c>
      <c r="M74" s="5" t="n">
        <v>0</v>
      </c>
      <c r="N74" s="5" t="n">
        <v>0</v>
      </c>
      <c r="O74" s="5" t="n">
        <v>1</v>
      </c>
      <c r="P74" s="5" t="n">
        <v>0</v>
      </c>
      <c r="Q74" s="5" t="n">
        <v>0</v>
      </c>
      <c r="R74" s="5" t="n">
        <v>0</v>
      </c>
      <c r="S74" s="5" t="n">
        <v>1</v>
      </c>
      <c r="T74" s="5" t="n">
        <v>0</v>
      </c>
      <c r="U74" s="5" t="inlineStr">
        <is>
          <t>testing</t>
        </is>
      </c>
    </row>
    <row r="75">
      <c r="A75" s="5" t="n">
        <v>71</v>
      </c>
      <c r="B75" s="5" t="n">
        <v>0</v>
      </c>
      <c r="C75" s="6" t="n">
        <v>1.286513816310289</v>
      </c>
      <c r="D75" s="6" t="n">
        <v>1.708282832720259</v>
      </c>
      <c r="E75" s="6" t="n">
        <v>-0.4818305346669622</v>
      </c>
      <c r="F75" s="6" t="n">
        <v>-1.786844513613144</v>
      </c>
      <c r="G75" s="5" t="n">
        <v>0</v>
      </c>
      <c r="H75" s="5" t="n">
        <v>0</v>
      </c>
      <c r="I75" s="5" t="n">
        <v>0</v>
      </c>
      <c r="J75" s="5" t="n">
        <v>0</v>
      </c>
      <c r="K75" s="5" t="n">
        <v>0</v>
      </c>
      <c r="L75" s="5" t="n">
        <v>0</v>
      </c>
      <c r="M75" s="5" t="n">
        <v>0</v>
      </c>
      <c r="N75" s="5" t="n">
        <v>0</v>
      </c>
      <c r="O75" s="5" t="n">
        <v>0</v>
      </c>
      <c r="P75" s="5" t="n">
        <v>0</v>
      </c>
      <c r="Q75" s="5" t="n">
        <v>0</v>
      </c>
      <c r="R75" s="5" t="n">
        <v>1</v>
      </c>
      <c r="S75" s="5" t="n">
        <v>0</v>
      </c>
      <c r="T75" s="5" t="n">
        <v>0</v>
      </c>
      <c r="U75" s="5" t="inlineStr">
        <is>
          <t>training</t>
        </is>
      </c>
    </row>
    <row r="76">
      <c r="A76" s="5" t="n">
        <v>72</v>
      </c>
      <c r="B76" s="5" t="n">
        <v>0</v>
      </c>
      <c r="C76" s="6" t="n">
        <v>-1.156995771180249</v>
      </c>
      <c r="D76" s="6" t="n">
        <v>-0.8819731346580406</v>
      </c>
      <c r="E76" s="6" t="n">
        <v>0.9097377965011599</v>
      </c>
      <c r="F76" s="6" t="n">
        <v>0.9185437189662378</v>
      </c>
      <c r="G76" s="5" t="n">
        <v>0</v>
      </c>
      <c r="H76" s="5" t="n">
        <v>0</v>
      </c>
      <c r="I76" s="5" t="n">
        <v>0</v>
      </c>
      <c r="J76" s="5" t="n">
        <v>1</v>
      </c>
      <c r="K76" s="5" t="n">
        <v>0</v>
      </c>
      <c r="L76" s="5" t="n">
        <v>0</v>
      </c>
      <c r="M76" s="5" t="n">
        <v>0</v>
      </c>
      <c r="N76" s="5" t="n">
        <v>0</v>
      </c>
      <c r="O76" s="5" t="n">
        <v>1</v>
      </c>
      <c r="P76" s="5" t="n">
        <v>1</v>
      </c>
      <c r="Q76" s="5" t="n">
        <v>0</v>
      </c>
      <c r="R76" s="5" t="n">
        <v>0</v>
      </c>
      <c r="S76" s="5" t="n">
        <v>1</v>
      </c>
      <c r="T76" s="5" t="n">
        <v>0</v>
      </c>
      <c r="U76" s="5" t="inlineStr">
        <is>
          <t>testing</t>
        </is>
      </c>
    </row>
    <row r="77">
      <c r="A77" s="5" t="n">
        <v>73</v>
      </c>
      <c r="B77" s="5" t="n">
        <v>0</v>
      </c>
      <c r="C77" s="6" t="n">
        <v>-1.072736819887472</v>
      </c>
      <c r="D77" s="6" t="n">
        <v>-0.7301196847266369</v>
      </c>
      <c r="E77" s="6" t="n">
        <v>1.344602899991198</v>
      </c>
      <c r="F77" s="6" t="n">
        <v>0.01674764143977723</v>
      </c>
      <c r="G77" s="5" t="n">
        <v>1</v>
      </c>
      <c r="H77" s="5" t="n">
        <v>0</v>
      </c>
      <c r="I77" s="5" t="n">
        <v>0</v>
      </c>
      <c r="J77" s="5" t="n">
        <v>1</v>
      </c>
      <c r="K77" s="5" t="n">
        <v>0</v>
      </c>
      <c r="L77" s="5" t="n">
        <v>0</v>
      </c>
      <c r="M77" s="5" t="n">
        <v>0</v>
      </c>
      <c r="N77" s="5" t="n">
        <v>0</v>
      </c>
      <c r="O77" s="5" t="n">
        <v>0</v>
      </c>
      <c r="P77" s="5" t="n">
        <v>0</v>
      </c>
      <c r="Q77" s="5" t="n">
        <v>1</v>
      </c>
      <c r="R77" s="5" t="n">
        <v>0</v>
      </c>
      <c r="S77" s="5" t="n">
        <v>0</v>
      </c>
      <c r="T77" s="5" t="n">
        <v>0</v>
      </c>
      <c r="U77" s="5" t="inlineStr">
        <is>
          <t>training</t>
        </is>
      </c>
    </row>
    <row r="78">
      <c r="A78" s="5" t="n">
        <v>74</v>
      </c>
      <c r="B78" s="5" t="n">
        <v>0</v>
      </c>
      <c r="C78" s="6" t="n">
        <v>1.792067524066952</v>
      </c>
      <c r="D78" s="6" t="n">
        <v>0.9458665483872429</v>
      </c>
      <c r="E78" s="6" t="n">
        <v>0.4748726930111218</v>
      </c>
      <c r="F78" s="6" t="n">
        <v>-0.8850484360866833</v>
      </c>
      <c r="G78" s="5" t="n">
        <v>0</v>
      </c>
      <c r="H78" s="5" t="n">
        <v>1</v>
      </c>
      <c r="I78" s="5" t="n">
        <v>0</v>
      </c>
      <c r="J78" s="5" t="n">
        <v>1</v>
      </c>
      <c r="K78" s="5" t="n">
        <v>0</v>
      </c>
      <c r="L78" s="5" t="n">
        <v>0</v>
      </c>
      <c r="M78" s="5" t="n">
        <v>0</v>
      </c>
      <c r="N78" s="5" t="n">
        <v>0</v>
      </c>
      <c r="O78" s="5" t="n">
        <v>0</v>
      </c>
      <c r="P78" s="5" t="n">
        <v>0</v>
      </c>
      <c r="Q78" s="5" t="n">
        <v>0</v>
      </c>
      <c r="R78" s="5" t="n">
        <v>0</v>
      </c>
      <c r="S78" s="5" t="n">
        <v>0</v>
      </c>
      <c r="T78" s="5" t="n">
        <v>0</v>
      </c>
      <c r="U78" s="5" t="inlineStr">
        <is>
          <t>testing</t>
        </is>
      </c>
    </row>
    <row r="79">
      <c r="A79" s="5" t="n">
        <v>75</v>
      </c>
      <c r="B79" s="5" t="n">
        <v>1</v>
      </c>
      <c r="C79" s="6" t="n">
        <v>1.286513816310289</v>
      </c>
      <c r="D79" s="6" t="n">
        <v>-0.445656885661588</v>
      </c>
      <c r="E79" s="6" t="n">
        <v>0.3878996723131141</v>
      </c>
      <c r="F79" s="6" t="n">
        <v>0.9185437189662378</v>
      </c>
      <c r="G79" s="5" t="n">
        <v>1</v>
      </c>
      <c r="H79" s="5" t="n">
        <v>0</v>
      </c>
      <c r="I79" s="5" t="n">
        <v>0</v>
      </c>
      <c r="J79" s="5" t="n">
        <v>0</v>
      </c>
      <c r="K79" s="5" t="n">
        <v>0</v>
      </c>
      <c r="L79" s="5" t="n">
        <v>0</v>
      </c>
      <c r="M79" s="5" t="n">
        <v>0</v>
      </c>
      <c r="N79" s="5" t="n">
        <v>0</v>
      </c>
      <c r="O79" s="5" t="n">
        <v>1</v>
      </c>
      <c r="P79" s="5" t="n">
        <v>0</v>
      </c>
      <c r="Q79" s="5" t="n">
        <v>0</v>
      </c>
      <c r="R79" s="5" t="n">
        <v>0</v>
      </c>
      <c r="S79" s="5" t="n">
        <v>0</v>
      </c>
      <c r="T79" s="5" t="n">
        <v>0</v>
      </c>
      <c r="U79" s="5" t="inlineStr">
        <is>
          <t>training</t>
        </is>
      </c>
    </row>
    <row r="80">
      <c r="A80" s="5" t="n">
        <v>76</v>
      </c>
      <c r="B80" s="5" t="n">
        <v>0</v>
      </c>
      <c r="C80" s="6" t="n">
        <v>-0.7357010147163632</v>
      </c>
      <c r="D80" s="6" t="n">
        <v>-0.603458512203208</v>
      </c>
      <c r="E80" s="6" t="n">
        <v>2.649198210461313</v>
      </c>
      <c r="F80" s="6" t="n">
        <v>0.9185437189662378</v>
      </c>
      <c r="G80" s="5" t="n">
        <v>1</v>
      </c>
      <c r="H80" s="5" t="n">
        <v>0</v>
      </c>
      <c r="I80" s="5" t="n">
        <v>0</v>
      </c>
      <c r="J80" s="5" t="n">
        <v>1</v>
      </c>
      <c r="K80" s="5" t="n">
        <v>0</v>
      </c>
      <c r="L80" s="5" t="n">
        <v>0</v>
      </c>
      <c r="M80" s="5" t="n">
        <v>0</v>
      </c>
      <c r="N80" s="5" t="n">
        <v>0</v>
      </c>
      <c r="O80" s="5" t="n">
        <v>0</v>
      </c>
      <c r="P80" s="5" t="n">
        <v>0</v>
      </c>
      <c r="Q80" s="5" t="n">
        <v>1</v>
      </c>
      <c r="R80" s="5" t="n">
        <v>1</v>
      </c>
      <c r="S80" s="5" t="n">
        <v>0</v>
      </c>
      <c r="T80" s="5" t="n">
        <v>0</v>
      </c>
      <c r="U80" s="5" t="inlineStr">
        <is>
          <t>training</t>
        </is>
      </c>
    </row>
    <row r="81">
      <c r="A81" s="5" t="n">
        <v>77</v>
      </c>
      <c r="B81" s="5" t="n">
        <v>1</v>
      </c>
      <c r="C81" s="6" t="n">
        <v>1.792067524066952</v>
      </c>
      <c r="D81" s="6" t="n">
        <v>0.2499298849919388</v>
      </c>
      <c r="E81" s="6" t="n">
        <v>-0.1339384518749317</v>
      </c>
      <c r="F81" s="6" t="n">
        <v>0.9185437189662378</v>
      </c>
      <c r="G81" s="5" t="n">
        <v>1</v>
      </c>
      <c r="H81" s="5" t="n">
        <v>0</v>
      </c>
      <c r="I81" s="5" t="n">
        <v>0</v>
      </c>
      <c r="J81" s="5" t="n">
        <v>0</v>
      </c>
      <c r="K81" s="5" t="n">
        <v>0</v>
      </c>
      <c r="L81" s="5" t="n">
        <v>0</v>
      </c>
      <c r="M81" s="5" t="n">
        <v>0</v>
      </c>
      <c r="N81" s="5" t="n">
        <v>0</v>
      </c>
      <c r="O81" s="5" t="n">
        <v>0</v>
      </c>
      <c r="P81" s="5" t="n">
        <v>0</v>
      </c>
      <c r="Q81" s="5" t="n">
        <v>0</v>
      </c>
      <c r="R81" s="5" t="n">
        <v>0</v>
      </c>
      <c r="S81" s="5" t="n">
        <v>1</v>
      </c>
      <c r="T81" s="5" t="n">
        <v>0</v>
      </c>
      <c r="U81" s="5" t="inlineStr">
        <is>
          <t>training</t>
        </is>
      </c>
    </row>
    <row r="82">
      <c r="A82" s="5" t="n">
        <v>78</v>
      </c>
      <c r="B82" s="5" t="n">
        <v>0</v>
      </c>
      <c r="C82" s="6" t="n">
        <v>-0.8199599660091405</v>
      </c>
      <c r="D82" s="6" t="n">
        <v>0.5319434348645457</v>
      </c>
      <c r="E82" s="6" t="n">
        <v>1.344602899991198</v>
      </c>
      <c r="F82" s="6" t="n">
        <v>-0.8850484360866833</v>
      </c>
      <c r="G82" s="5" t="n">
        <v>0</v>
      </c>
      <c r="H82" s="5" t="n">
        <v>1</v>
      </c>
      <c r="I82" s="5" t="n">
        <v>0</v>
      </c>
      <c r="J82" s="5" t="n">
        <v>0</v>
      </c>
      <c r="K82" s="5" t="n">
        <v>1</v>
      </c>
      <c r="L82" s="5" t="n">
        <v>0</v>
      </c>
      <c r="M82" s="5" t="n">
        <v>0</v>
      </c>
      <c r="N82" s="5" t="n">
        <v>0</v>
      </c>
      <c r="O82" s="5" t="n">
        <v>0</v>
      </c>
      <c r="P82" s="5" t="n">
        <v>0</v>
      </c>
      <c r="Q82" s="5" t="n">
        <v>0</v>
      </c>
      <c r="R82" s="5" t="n">
        <v>0</v>
      </c>
      <c r="S82" s="5" t="n">
        <v>1</v>
      </c>
      <c r="T82" s="5" t="n">
        <v>0</v>
      </c>
      <c r="U82" s="5" t="inlineStr">
        <is>
          <t>testing</t>
        </is>
      </c>
    </row>
    <row r="83">
      <c r="A83" s="5" t="n">
        <v>79</v>
      </c>
      <c r="B83" s="5" t="n">
        <v>0</v>
      </c>
      <c r="C83" s="6" t="n">
        <v>2.803174939580279</v>
      </c>
      <c r="D83" s="6" t="n">
        <v>2.164193075256247</v>
      </c>
      <c r="E83" s="6" t="n">
        <v>0.3009266516151065</v>
      </c>
      <c r="F83" s="6" t="n">
        <v>-0.8850484360866833</v>
      </c>
      <c r="G83" s="5" t="n">
        <v>0</v>
      </c>
      <c r="H83" s="5" t="n">
        <v>0</v>
      </c>
      <c r="I83" s="5" t="n">
        <v>0</v>
      </c>
      <c r="J83" s="5" t="n">
        <v>0</v>
      </c>
      <c r="K83" s="5" t="n">
        <v>0</v>
      </c>
      <c r="L83" s="5" t="n">
        <v>1</v>
      </c>
      <c r="M83" s="5" t="n">
        <v>0</v>
      </c>
      <c r="N83" s="5" t="n">
        <v>0</v>
      </c>
      <c r="O83" s="5" t="n">
        <v>1</v>
      </c>
      <c r="P83" s="5" t="n">
        <v>0</v>
      </c>
      <c r="Q83" s="5" t="n">
        <v>0</v>
      </c>
      <c r="R83" s="5" t="n">
        <v>1</v>
      </c>
      <c r="S83" s="5" t="n">
        <v>0</v>
      </c>
      <c r="T83" s="5" t="n">
        <v>0</v>
      </c>
      <c r="U83" s="5" t="inlineStr">
        <is>
          <t>training</t>
        </is>
      </c>
    </row>
    <row r="84">
      <c r="A84" s="5" t="n">
        <v>80</v>
      </c>
      <c r="B84" s="5" t="n">
        <v>0</v>
      </c>
      <c r="C84" s="6" t="n">
        <v>0.7809601085536261</v>
      </c>
      <c r="D84" s="6" t="n">
        <v>0.2033941503355408</v>
      </c>
      <c r="E84" s="6" t="n">
        <v>-1.177614700251023</v>
      </c>
      <c r="F84" s="6" t="n">
        <v>-0.8850484360866833</v>
      </c>
      <c r="G84" s="5" t="n">
        <v>0</v>
      </c>
      <c r="H84" s="5" t="n">
        <v>1</v>
      </c>
      <c r="I84" s="5" t="n">
        <v>0</v>
      </c>
      <c r="J84" s="5" t="n">
        <v>0</v>
      </c>
      <c r="K84" s="5" t="n">
        <v>0</v>
      </c>
      <c r="L84" s="5" t="n">
        <v>0</v>
      </c>
      <c r="M84" s="5" t="n">
        <v>0</v>
      </c>
      <c r="N84" s="5" t="n">
        <v>0</v>
      </c>
      <c r="O84" s="5" t="n">
        <v>0</v>
      </c>
      <c r="P84" s="5" t="n">
        <v>0</v>
      </c>
      <c r="Q84" s="5" t="n">
        <v>0</v>
      </c>
      <c r="R84" s="5" t="n">
        <v>0</v>
      </c>
      <c r="S84" s="5" t="n">
        <v>0</v>
      </c>
      <c r="T84" s="5" t="n">
        <v>1</v>
      </c>
      <c r="U84" s="5" t="inlineStr">
        <is>
          <t>training</t>
        </is>
      </c>
    </row>
    <row r="85">
      <c r="A85" s="5" t="n">
        <v>81</v>
      </c>
      <c r="B85" s="5" t="n">
        <v>1</v>
      </c>
      <c r="C85" s="6" t="n">
        <v>0.275406400796963</v>
      </c>
      <c r="D85" s="6" t="n">
        <v>0.9420177282276913</v>
      </c>
      <c r="E85" s="6" t="n">
        <v>0.7357917551051447</v>
      </c>
      <c r="F85" s="6" t="n">
        <v>-1.786844513613144</v>
      </c>
      <c r="G85" s="5" t="n">
        <v>0</v>
      </c>
      <c r="H85" s="5" t="n">
        <v>0</v>
      </c>
      <c r="I85" s="5" t="n">
        <v>0</v>
      </c>
      <c r="J85" s="5" t="n">
        <v>0</v>
      </c>
      <c r="K85" s="5" t="n">
        <v>0</v>
      </c>
      <c r="L85" s="5" t="n">
        <v>0</v>
      </c>
      <c r="M85" s="5" t="n">
        <v>0</v>
      </c>
      <c r="N85" s="5" t="n">
        <v>0</v>
      </c>
      <c r="O85" s="5" t="n">
        <v>1</v>
      </c>
      <c r="P85" s="5" t="n">
        <v>0</v>
      </c>
      <c r="Q85" s="5" t="n">
        <v>0</v>
      </c>
      <c r="R85" s="5" t="n">
        <v>0</v>
      </c>
      <c r="S85" s="5" t="n">
        <v>1</v>
      </c>
      <c r="T85" s="5" t="n">
        <v>0</v>
      </c>
      <c r="U85" s="5" t="inlineStr">
        <is>
          <t>testing</t>
        </is>
      </c>
    </row>
    <row r="86">
      <c r="A86" s="5" t="n">
        <v>82</v>
      </c>
      <c r="B86" s="5" t="n">
        <v>0</v>
      </c>
      <c r="C86" s="6" t="n">
        <v>-0.4829241608380317</v>
      </c>
      <c r="D86" s="6" t="n">
        <v>-0.7129749403795429</v>
      </c>
      <c r="E86" s="6" t="n">
        <v>0.9967108171991675</v>
      </c>
      <c r="F86" s="6" t="n">
        <v>0.9185437189662378</v>
      </c>
      <c r="G86" s="5" t="n">
        <v>0</v>
      </c>
      <c r="H86" s="5" t="n">
        <v>0</v>
      </c>
      <c r="I86" s="5" t="n">
        <v>0</v>
      </c>
      <c r="J86" s="5" t="n">
        <v>0</v>
      </c>
      <c r="K86" s="5" t="n">
        <v>0</v>
      </c>
      <c r="L86" s="5" t="n">
        <v>0</v>
      </c>
      <c r="M86" s="5" t="n">
        <v>1</v>
      </c>
      <c r="N86" s="5" t="n">
        <v>0</v>
      </c>
      <c r="O86" s="5" t="n">
        <v>0</v>
      </c>
      <c r="P86" s="5" t="n">
        <v>0</v>
      </c>
      <c r="Q86" s="5" t="n">
        <v>0</v>
      </c>
      <c r="R86" s="5" t="n">
        <v>0</v>
      </c>
      <c r="S86" s="5" t="n">
        <v>1</v>
      </c>
      <c r="T86" s="5" t="n">
        <v>0</v>
      </c>
      <c r="U86" s="5" t="inlineStr">
        <is>
          <t>training</t>
        </is>
      </c>
    </row>
    <row r="87">
      <c r="A87" s="5" t="n">
        <v>83</v>
      </c>
      <c r="B87" s="5" t="n">
        <v>0</v>
      </c>
      <c r="C87" s="6" t="n">
        <v>-0.2301473069597001</v>
      </c>
      <c r="D87" s="6" t="n">
        <v>-0.588763017048556</v>
      </c>
      <c r="E87" s="6" t="n">
        <v>-1.003668658855008</v>
      </c>
      <c r="F87" s="6" t="n">
        <v>0.01674764143977723</v>
      </c>
      <c r="G87" s="5" t="n">
        <v>0</v>
      </c>
      <c r="H87" s="5" t="n">
        <v>0</v>
      </c>
      <c r="I87" s="5" t="n">
        <v>0</v>
      </c>
      <c r="J87" s="5" t="n">
        <v>0</v>
      </c>
      <c r="K87" s="5" t="n">
        <v>0</v>
      </c>
      <c r="L87" s="5" t="n">
        <v>0</v>
      </c>
      <c r="M87" s="5" t="n">
        <v>1</v>
      </c>
      <c r="N87" s="5" t="n">
        <v>0</v>
      </c>
      <c r="O87" s="5" t="n">
        <v>0</v>
      </c>
      <c r="P87" s="5" t="n">
        <v>1</v>
      </c>
      <c r="Q87" s="5" t="n">
        <v>0</v>
      </c>
      <c r="R87" s="5" t="n">
        <v>0</v>
      </c>
      <c r="S87" s="5" t="n">
        <v>0</v>
      </c>
      <c r="T87" s="5" t="n">
        <v>0</v>
      </c>
      <c r="U87" s="5" t="inlineStr">
        <is>
          <t>testing</t>
        </is>
      </c>
    </row>
    <row r="88">
      <c r="A88" s="5" t="n">
        <v>84</v>
      </c>
      <c r="B88" s="5" t="n">
        <v>0</v>
      </c>
      <c r="C88" s="6" t="n">
        <v>0.275406400796963</v>
      </c>
      <c r="D88" s="6" t="n">
        <v>-0.523333074336177</v>
      </c>
      <c r="E88" s="6" t="n">
        <v>1.953414044877252</v>
      </c>
      <c r="F88" s="6" t="n">
        <v>0.9185437189662378</v>
      </c>
      <c r="G88" s="5" t="n">
        <v>1</v>
      </c>
      <c r="H88" s="5" t="n">
        <v>0</v>
      </c>
      <c r="I88" s="5" t="n">
        <v>0</v>
      </c>
      <c r="J88" s="5" t="n">
        <v>0</v>
      </c>
      <c r="K88" s="5" t="n">
        <v>0</v>
      </c>
      <c r="L88" s="5" t="n">
        <v>0</v>
      </c>
      <c r="M88" s="5" t="n">
        <v>0</v>
      </c>
      <c r="N88" s="5" t="n">
        <v>0</v>
      </c>
      <c r="O88" s="5" t="n">
        <v>0</v>
      </c>
      <c r="P88" s="5" t="n">
        <v>0</v>
      </c>
      <c r="Q88" s="5" t="n">
        <v>0</v>
      </c>
      <c r="R88" s="5" t="n">
        <v>0</v>
      </c>
      <c r="S88" s="5" t="n">
        <v>0</v>
      </c>
      <c r="T88" s="5" t="n">
        <v>0</v>
      </c>
      <c r="U88" s="5" t="inlineStr">
        <is>
          <t>testing</t>
        </is>
      </c>
    </row>
    <row r="89">
      <c r="A89" s="5" t="n">
        <v>85</v>
      </c>
      <c r="B89" s="5" t="n">
        <v>0</v>
      </c>
      <c r="C89" s="6" t="n">
        <v>-0.9042189173019176</v>
      </c>
      <c r="D89" s="6" t="n">
        <v>-0.3273931389408173</v>
      </c>
      <c r="E89" s="6" t="n">
        <v>1.431575920689206</v>
      </c>
      <c r="F89" s="6" t="n">
        <v>0.01674764143977723</v>
      </c>
      <c r="G89" s="5" t="n">
        <v>1</v>
      </c>
      <c r="H89" s="5" t="n">
        <v>0</v>
      </c>
      <c r="I89" s="5" t="n">
        <v>0</v>
      </c>
      <c r="J89" s="5" t="n">
        <v>0</v>
      </c>
      <c r="K89" s="5" t="n">
        <v>0</v>
      </c>
      <c r="L89" s="5" t="n">
        <v>0</v>
      </c>
      <c r="M89" s="5" t="n">
        <v>0</v>
      </c>
      <c r="N89" s="5" t="n">
        <v>0</v>
      </c>
      <c r="O89" s="5" t="n">
        <v>0</v>
      </c>
      <c r="P89" s="5" t="n">
        <v>0</v>
      </c>
      <c r="Q89" s="5" t="n">
        <v>0</v>
      </c>
      <c r="R89" s="5" t="n">
        <v>0</v>
      </c>
      <c r="S89" s="5" t="n">
        <v>1</v>
      </c>
      <c r="T89" s="5" t="n">
        <v>0</v>
      </c>
      <c r="U89" s="5" t="inlineStr">
        <is>
          <t>testing</t>
        </is>
      </c>
    </row>
    <row r="90">
      <c r="A90" s="5" t="n">
        <v>86</v>
      </c>
      <c r="B90" s="5" t="n">
        <v>0</v>
      </c>
      <c r="C90" s="6" t="n">
        <v>-0.7357010147163632</v>
      </c>
      <c r="D90" s="6" t="n">
        <v>-0.6433462847658348</v>
      </c>
      <c r="E90" s="6" t="n">
        <v>-0.5688035553649698</v>
      </c>
      <c r="F90" s="6" t="n">
        <v>0.9185437189662378</v>
      </c>
      <c r="G90" s="5" t="n">
        <v>0</v>
      </c>
      <c r="H90" s="5" t="n">
        <v>0</v>
      </c>
      <c r="I90" s="5" t="n">
        <v>0</v>
      </c>
      <c r="J90" s="5" t="n">
        <v>1</v>
      </c>
      <c r="K90" s="5" t="n">
        <v>0</v>
      </c>
      <c r="L90" s="5" t="n">
        <v>0</v>
      </c>
      <c r="M90" s="5" t="n">
        <v>0</v>
      </c>
      <c r="N90" s="5" t="n">
        <v>0</v>
      </c>
      <c r="O90" s="5" t="n">
        <v>0</v>
      </c>
      <c r="P90" s="5" t="n">
        <v>0</v>
      </c>
      <c r="Q90" s="5" t="n">
        <v>0</v>
      </c>
      <c r="R90" s="5" t="n">
        <v>0</v>
      </c>
      <c r="S90" s="5" t="n">
        <v>0</v>
      </c>
      <c r="T90" s="5" t="n">
        <v>0</v>
      </c>
      <c r="U90" s="5" t="inlineStr">
        <is>
          <t>testing</t>
        </is>
      </c>
    </row>
    <row r="91">
      <c r="A91" s="5" t="n">
        <v>87</v>
      </c>
      <c r="B91" s="5" t="n">
        <v>0</v>
      </c>
      <c r="C91" s="6" t="n">
        <v>-0.2301473069597001</v>
      </c>
      <c r="D91" s="6" t="n">
        <v>-0.6842837355537938</v>
      </c>
      <c r="E91" s="6" t="n">
        <v>-0.7427495967609852</v>
      </c>
      <c r="F91" s="6" t="n">
        <v>0.9185437189662378</v>
      </c>
      <c r="G91" s="5" t="n">
        <v>0</v>
      </c>
      <c r="H91" s="5" t="n">
        <v>1</v>
      </c>
      <c r="I91" s="5" t="n">
        <v>0</v>
      </c>
      <c r="J91" s="5" t="n">
        <v>1</v>
      </c>
      <c r="K91" s="5" t="n">
        <v>0</v>
      </c>
      <c r="L91" s="5" t="n">
        <v>0</v>
      </c>
      <c r="M91" s="5" t="n">
        <v>0</v>
      </c>
      <c r="N91" s="5" t="n">
        <v>0</v>
      </c>
      <c r="O91" s="5" t="n">
        <v>0</v>
      </c>
      <c r="P91" s="5" t="n">
        <v>0</v>
      </c>
      <c r="Q91" s="5" t="n">
        <v>0</v>
      </c>
      <c r="R91" s="5" t="n">
        <v>0</v>
      </c>
      <c r="S91" s="5" t="n">
        <v>0</v>
      </c>
      <c r="T91" s="5" t="n">
        <v>1</v>
      </c>
      <c r="U91" s="5" t="inlineStr">
        <is>
          <t>testing</t>
        </is>
      </c>
    </row>
    <row r="92">
      <c r="A92" s="5" t="n">
        <v>88</v>
      </c>
      <c r="B92" s="5" t="n">
        <v>1</v>
      </c>
      <c r="C92" s="6" t="n">
        <v>1.286513816310289</v>
      </c>
      <c r="D92" s="6" t="n">
        <v>3.275452423141358</v>
      </c>
      <c r="E92" s="6" t="n">
        <v>0.9967108171991675</v>
      </c>
      <c r="F92" s="6" t="n">
        <v>-1.786844513613144</v>
      </c>
      <c r="G92" s="5" t="n">
        <v>0</v>
      </c>
      <c r="H92" s="5" t="n">
        <v>1</v>
      </c>
      <c r="I92" s="5" t="n">
        <v>0</v>
      </c>
      <c r="J92" s="5" t="n">
        <v>0</v>
      </c>
      <c r="K92" s="5" t="n">
        <v>0</v>
      </c>
      <c r="L92" s="5" t="n">
        <v>0</v>
      </c>
      <c r="M92" s="5" t="n">
        <v>1</v>
      </c>
      <c r="N92" s="5" t="n">
        <v>0</v>
      </c>
      <c r="O92" s="5" t="n">
        <v>0</v>
      </c>
      <c r="P92" s="5" t="n">
        <v>0</v>
      </c>
      <c r="Q92" s="5" t="n">
        <v>1</v>
      </c>
      <c r="R92" s="5" t="n">
        <v>0</v>
      </c>
      <c r="S92" s="5" t="n">
        <v>0</v>
      </c>
      <c r="T92" s="5" t="n">
        <v>0</v>
      </c>
      <c r="U92" s="5" t="inlineStr">
        <is>
          <t>training</t>
        </is>
      </c>
    </row>
    <row r="93">
      <c r="A93" s="5" t="n">
        <v>89</v>
      </c>
      <c r="B93" s="5" t="n">
        <v>0</v>
      </c>
      <c r="C93" s="6" t="n">
        <v>-0.2301473069597001</v>
      </c>
      <c r="D93" s="6" t="n">
        <v>-0.3504860598981276</v>
      </c>
      <c r="E93" s="6" t="n">
        <v>-0.4818305346669622</v>
      </c>
      <c r="F93" s="6" t="n">
        <v>0.9185437189662378</v>
      </c>
      <c r="G93" s="5" t="n">
        <v>1</v>
      </c>
      <c r="H93" s="5" t="n">
        <v>0</v>
      </c>
      <c r="I93" s="5" t="n">
        <v>0</v>
      </c>
      <c r="J93" s="5" t="n">
        <v>0</v>
      </c>
      <c r="K93" s="5" t="n">
        <v>0</v>
      </c>
      <c r="L93" s="5" t="n">
        <v>0</v>
      </c>
      <c r="M93" s="5" t="n">
        <v>1</v>
      </c>
      <c r="N93" s="5" t="n">
        <v>0</v>
      </c>
      <c r="O93" s="5" t="n">
        <v>0</v>
      </c>
      <c r="P93" s="5" t="n">
        <v>0</v>
      </c>
      <c r="Q93" s="5" t="n">
        <v>0</v>
      </c>
      <c r="R93" s="5" t="n">
        <v>1</v>
      </c>
      <c r="S93" s="5" t="n">
        <v>0</v>
      </c>
      <c r="T93" s="5" t="n">
        <v>0</v>
      </c>
      <c r="U93" s="5" t="inlineStr">
        <is>
          <t>testing</t>
        </is>
      </c>
    </row>
    <row r="94">
      <c r="A94" s="5" t="n">
        <v>90</v>
      </c>
      <c r="B94" s="5" t="n">
        <v>1</v>
      </c>
      <c r="C94" s="6" t="n">
        <v>-0.7357010147163632</v>
      </c>
      <c r="D94" s="6" t="n">
        <v>-0.7497136782661729</v>
      </c>
      <c r="E94" s="6" t="n">
        <v>-0.6557765760629775</v>
      </c>
      <c r="F94" s="6" t="n">
        <v>0.9185437189662378</v>
      </c>
      <c r="G94" s="5" t="n">
        <v>1</v>
      </c>
      <c r="H94" s="5" t="n">
        <v>0</v>
      </c>
      <c r="I94" s="5" t="n">
        <v>0</v>
      </c>
      <c r="J94" s="5" t="n">
        <v>0</v>
      </c>
      <c r="K94" s="5" t="n">
        <v>0</v>
      </c>
      <c r="L94" s="5" t="n">
        <v>1</v>
      </c>
      <c r="M94" s="5" t="n">
        <v>0</v>
      </c>
      <c r="N94" s="5" t="n">
        <v>0</v>
      </c>
      <c r="O94" s="5" t="n">
        <v>0</v>
      </c>
      <c r="P94" s="5" t="n">
        <v>0</v>
      </c>
      <c r="Q94" s="5" t="n">
        <v>0</v>
      </c>
      <c r="R94" s="5" t="n">
        <v>0</v>
      </c>
      <c r="S94" s="5" t="n">
        <v>0</v>
      </c>
      <c r="T94" s="5" t="n">
        <v>0</v>
      </c>
      <c r="U94" s="5" t="inlineStr">
        <is>
          <t>testing</t>
        </is>
      </c>
    </row>
    <row r="95">
      <c r="A95" s="5" t="n">
        <v>91</v>
      </c>
      <c r="B95" s="5" t="n">
        <v>0</v>
      </c>
      <c r="C95" s="6" t="n">
        <v>-0.7357010147163632</v>
      </c>
      <c r="D95" s="6" t="n">
        <v>-0.9211611217371126</v>
      </c>
      <c r="E95" s="6" t="n">
        <v>1.779468003481236</v>
      </c>
      <c r="F95" s="6" t="n">
        <v>0.9185437189662378</v>
      </c>
      <c r="G95" s="5" t="n">
        <v>0</v>
      </c>
      <c r="H95" s="5" t="n">
        <v>0</v>
      </c>
      <c r="I95" s="5" t="n">
        <v>0</v>
      </c>
      <c r="J95" s="5" t="n">
        <v>1</v>
      </c>
      <c r="K95" s="5" t="n">
        <v>0</v>
      </c>
      <c r="L95" s="5" t="n">
        <v>0</v>
      </c>
      <c r="M95" s="5" t="n">
        <v>0</v>
      </c>
      <c r="N95" s="5" t="n">
        <v>0</v>
      </c>
      <c r="O95" s="5" t="n">
        <v>0</v>
      </c>
      <c r="P95" s="5" t="n">
        <v>0</v>
      </c>
      <c r="Q95" s="5" t="n">
        <v>0</v>
      </c>
      <c r="R95" s="5" t="n">
        <v>0</v>
      </c>
      <c r="S95" s="5" t="n">
        <v>1</v>
      </c>
      <c r="T95" s="5" t="n">
        <v>0</v>
      </c>
      <c r="U95" s="5" t="inlineStr">
        <is>
          <t>training</t>
        </is>
      </c>
    </row>
    <row r="96">
      <c r="A96" s="5" t="n">
        <v>92</v>
      </c>
      <c r="B96" s="5" t="n">
        <v>0</v>
      </c>
      <c r="C96" s="6" t="n">
        <v>-0.7357010147163632</v>
      </c>
      <c r="D96" s="6" t="n">
        <v>-0.6443959629911671</v>
      </c>
      <c r="E96" s="6" t="n">
        <v>1.605521962085221</v>
      </c>
      <c r="F96" s="6" t="n">
        <v>0.9185437189662378</v>
      </c>
      <c r="G96" s="5" t="n">
        <v>1</v>
      </c>
      <c r="H96" s="5" t="n">
        <v>0</v>
      </c>
      <c r="I96" s="5" t="n">
        <v>0</v>
      </c>
      <c r="J96" s="5" t="n">
        <v>1</v>
      </c>
      <c r="K96" s="5" t="n">
        <v>0</v>
      </c>
      <c r="L96" s="5" t="n">
        <v>0</v>
      </c>
      <c r="M96" s="5" t="n">
        <v>0</v>
      </c>
      <c r="N96" s="5" t="n">
        <v>0</v>
      </c>
      <c r="O96" s="5" t="n">
        <v>0</v>
      </c>
      <c r="P96" s="5" t="n">
        <v>0</v>
      </c>
      <c r="Q96" s="5" t="n">
        <v>0</v>
      </c>
      <c r="R96" s="5" t="n">
        <v>1</v>
      </c>
      <c r="S96" s="5" t="n">
        <v>0</v>
      </c>
      <c r="T96" s="5" t="n">
        <v>0</v>
      </c>
      <c r="U96" s="5" t="inlineStr">
        <is>
          <t>testing</t>
        </is>
      </c>
    </row>
    <row r="97">
      <c r="A97" s="5" t="n">
        <v>93</v>
      </c>
      <c r="B97" s="5" t="n">
        <v>1</v>
      </c>
      <c r="C97" s="6" t="n">
        <v>-0.7357010147163632</v>
      </c>
      <c r="D97" s="6" t="n">
        <v>-0.858530320958953</v>
      </c>
      <c r="E97" s="6" t="n">
        <v>-0.2209114725729393</v>
      </c>
      <c r="F97" s="6" t="n">
        <v>0.9185437189662378</v>
      </c>
      <c r="G97" s="5" t="n">
        <v>0</v>
      </c>
      <c r="H97" s="5" t="n">
        <v>0</v>
      </c>
      <c r="I97" s="5" t="n">
        <v>0</v>
      </c>
      <c r="J97" s="5" t="n">
        <v>1</v>
      </c>
      <c r="K97" s="5" t="n">
        <v>0</v>
      </c>
      <c r="L97" s="5" t="n">
        <v>0</v>
      </c>
      <c r="M97" s="5" t="n">
        <v>0</v>
      </c>
      <c r="N97" s="5" t="n">
        <v>0</v>
      </c>
      <c r="O97" s="5" t="n">
        <v>1</v>
      </c>
      <c r="P97" s="5" t="n">
        <v>0</v>
      </c>
      <c r="Q97" s="5" t="n">
        <v>0</v>
      </c>
      <c r="R97" s="5" t="n">
        <v>0</v>
      </c>
      <c r="S97" s="5" t="n">
        <v>1</v>
      </c>
      <c r="T97" s="5" t="n">
        <v>0</v>
      </c>
      <c r="U97" s="5" t="inlineStr">
        <is>
          <t>testing</t>
        </is>
      </c>
    </row>
    <row r="98">
      <c r="A98" s="5" t="n">
        <v>94</v>
      </c>
      <c r="B98" s="5" t="n">
        <v>0</v>
      </c>
      <c r="C98" s="6" t="n">
        <v>0.275406400796963</v>
      </c>
      <c r="D98" s="6" t="n">
        <v>0.1281672108533938</v>
      </c>
      <c r="E98" s="6" t="n">
        <v>-1.351560741647039</v>
      </c>
      <c r="F98" s="6" t="n">
        <v>0.9185437189662378</v>
      </c>
      <c r="G98" s="5" t="n">
        <v>0</v>
      </c>
      <c r="H98" s="5" t="n">
        <v>0</v>
      </c>
      <c r="I98" s="5" t="n">
        <v>1</v>
      </c>
      <c r="J98" s="5" t="n">
        <v>1</v>
      </c>
      <c r="K98" s="5" t="n">
        <v>0</v>
      </c>
      <c r="L98" s="5" t="n">
        <v>0</v>
      </c>
      <c r="M98" s="5" t="n">
        <v>0</v>
      </c>
      <c r="N98" s="5" t="n">
        <v>0</v>
      </c>
      <c r="O98" s="5" t="n">
        <v>1</v>
      </c>
      <c r="P98" s="5" t="n">
        <v>1</v>
      </c>
      <c r="Q98" s="5" t="n">
        <v>0</v>
      </c>
      <c r="R98" s="5" t="n">
        <v>0</v>
      </c>
      <c r="S98" s="5" t="n">
        <v>0</v>
      </c>
      <c r="T98" s="5" t="n">
        <v>1</v>
      </c>
      <c r="U98" s="5" t="inlineStr">
        <is>
          <t>training</t>
        </is>
      </c>
    </row>
    <row r="99">
      <c r="A99" s="5" t="n">
        <v>95</v>
      </c>
      <c r="B99" s="5" t="n">
        <v>0</v>
      </c>
      <c r="C99" s="6" t="n">
        <v>-0.7357010147163632</v>
      </c>
      <c r="D99" s="6" t="n">
        <v>-0.6762362024929131</v>
      </c>
      <c r="E99" s="6" t="n">
        <v>1.605521962085221</v>
      </c>
      <c r="F99" s="6" t="n">
        <v>0.9185437189662378</v>
      </c>
      <c r="G99" s="5" t="n">
        <v>0</v>
      </c>
      <c r="H99" s="5" t="n">
        <v>1</v>
      </c>
      <c r="I99" s="5" t="n">
        <v>0</v>
      </c>
      <c r="J99" s="5" t="n">
        <v>0</v>
      </c>
      <c r="K99" s="5" t="n">
        <v>0</v>
      </c>
      <c r="L99" s="5" t="n">
        <v>0</v>
      </c>
      <c r="M99" s="5" t="n">
        <v>0</v>
      </c>
      <c r="N99" s="5" t="n">
        <v>1</v>
      </c>
      <c r="O99" s="5" t="n">
        <v>0</v>
      </c>
      <c r="P99" s="5" t="n">
        <v>0</v>
      </c>
      <c r="Q99" s="5" t="n">
        <v>0</v>
      </c>
      <c r="R99" s="5" t="n">
        <v>1</v>
      </c>
      <c r="S99" s="5" t="n">
        <v>0</v>
      </c>
      <c r="T99" s="5" t="n">
        <v>0</v>
      </c>
      <c r="U99" s="5" t="inlineStr">
        <is>
          <t>testing</t>
        </is>
      </c>
    </row>
    <row r="100">
      <c r="A100" s="5" t="n">
        <v>96</v>
      </c>
      <c r="B100" s="5" t="n">
        <v>1</v>
      </c>
      <c r="C100" s="6" t="n">
        <v>2.803174939580279</v>
      </c>
      <c r="D100" s="6" t="n">
        <v>4.441644931485525</v>
      </c>
      <c r="E100" s="6" t="n">
        <v>1.953414044877252</v>
      </c>
      <c r="F100" s="6" t="n">
        <v>0.01674764143977723</v>
      </c>
      <c r="G100" s="5" t="n">
        <v>0</v>
      </c>
      <c r="H100" s="5" t="n">
        <v>1</v>
      </c>
      <c r="I100" s="5" t="n">
        <v>0</v>
      </c>
      <c r="J100" s="5" t="n">
        <v>0</v>
      </c>
      <c r="K100" s="5" t="n">
        <v>0</v>
      </c>
      <c r="L100" s="5" t="n">
        <v>1</v>
      </c>
      <c r="M100" s="5" t="n">
        <v>0</v>
      </c>
      <c r="N100" s="5" t="n">
        <v>0</v>
      </c>
      <c r="O100" s="5" t="n">
        <v>0</v>
      </c>
      <c r="P100" s="5" t="n">
        <v>1</v>
      </c>
      <c r="Q100" s="5" t="n">
        <v>0</v>
      </c>
      <c r="R100" s="5" t="n">
        <v>0</v>
      </c>
      <c r="S100" s="5" t="n">
        <v>0</v>
      </c>
      <c r="T100" s="5" t="n">
        <v>0</v>
      </c>
      <c r="U100" s="5" t="inlineStr">
        <is>
          <t>training</t>
        </is>
      </c>
    </row>
    <row r="101">
      <c r="A101" s="5" t="n">
        <v>97</v>
      </c>
      <c r="B101" s="5" t="n">
        <v>0</v>
      </c>
      <c r="C101" s="6" t="n">
        <v>-0.7357010147163632</v>
      </c>
      <c r="D101" s="6" t="n">
        <v>-0.433410639699378</v>
      </c>
      <c r="E101" s="6" t="n">
        <v>2.214333106971274</v>
      </c>
      <c r="F101" s="6" t="n">
        <v>0.9185437189662378</v>
      </c>
      <c r="G101" s="5" t="n">
        <v>0</v>
      </c>
      <c r="H101" s="5" t="n">
        <v>0</v>
      </c>
      <c r="I101" s="5" t="n">
        <v>0</v>
      </c>
      <c r="J101" s="5" t="n">
        <v>1</v>
      </c>
      <c r="K101" s="5" t="n">
        <v>0</v>
      </c>
      <c r="L101" s="5" t="n">
        <v>0</v>
      </c>
      <c r="M101" s="5" t="n">
        <v>0</v>
      </c>
      <c r="N101" s="5" t="n">
        <v>0</v>
      </c>
      <c r="O101" s="5" t="n">
        <v>1</v>
      </c>
      <c r="P101" s="5" t="n">
        <v>0</v>
      </c>
      <c r="Q101" s="5" t="n">
        <v>0</v>
      </c>
      <c r="R101" s="5" t="n">
        <v>0</v>
      </c>
      <c r="S101" s="5" t="n">
        <v>0</v>
      </c>
      <c r="T101" s="5" t="n">
        <v>0</v>
      </c>
      <c r="U101" s="5" t="inlineStr">
        <is>
          <t>training</t>
        </is>
      </c>
    </row>
    <row r="102">
      <c r="A102" s="5" t="n">
        <v>98</v>
      </c>
      <c r="B102" s="5" t="n">
        <v>0</v>
      </c>
      <c r="C102" s="6" t="n">
        <v>-0.2301473069597001</v>
      </c>
      <c r="D102" s="6" t="n">
        <v>-0.219976067215147</v>
      </c>
      <c r="E102" s="6" t="n">
        <v>-0.1339384518749317</v>
      </c>
      <c r="F102" s="6" t="n">
        <v>0.9185437189662378</v>
      </c>
      <c r="G102" s="5" t="n">
        <v>0</v>
      </c>
      <c r="H102" s="5" t="n">
        <v>1</v>
      </c>
      <c r="I102" s="5" t="n">
        <v>0</v>
      </c>
      <c r="J102" s="5" t="n">
        <v>0</v>
      </c>
      <c r="K102" s="5" t="n">
        <v>0</v>
      </c>
      <c r="L102" s="5" t="n">
        <v>0</v>
      </c>
      <c r="M102" s="5" t="n">
        <v>1</v>
      </c>
      <c r="N102" s="5" t="n">
        <v>0</v>
      </c>
      <c r="O102" s="5" t="n">
        <v>0</v>
      </c>
      <c r="P102" s="5" t="n">
        <v>0</v>
      </c>
      <c r="Q102" s="5" t="n">
        <v>0</v>
      </c>
      <c r="R102" s="5" t="n">
        <v>0</v>
      </c>
      <c r="S102" s="5" t="n">
        <v>0</v>
      </c>
      <c r="T102" s="5" t="n">
        <v>0</v>
      </c>
      <c r="U102" s="5" t="inlineStr">
        <is>
          <t>training</t>
        </is>
      </c>
    </row>
    <row r="103">
      <c r="A103" s="5" t="n">
        <v>99</v>
      </c>
      <c r="B103" s="5" t="n">
        <v>0</v>
      </c>
      <c r="C103" s="6" t="n">
        <v>1.286513816310289</v>
      </c>
      <c r="D103" s="6" t="n">
        <v>-0.3196954986217139</v>
      </c>
      <c r="E103" s="6" t="n">
        <v>0.04000758952108359</v>
      </c>
      <c r="F103" s="6" t="n">
        <v>0.9185437189662378</v>
      </c>
      <c r="G103" s="5" t="n">
        <v>0</v>
      </c>
      <c r="H103" s="5" t="n">
        <v>1</v>
      </c>
      <c r="I103" s="5" t="n">
        <v>0</v>
      </c>
      <c r="J103" s="5" t="n">
        <v>1</v>
      </c>
      <c r="K103" s="5" t="n">
        <v>0</v>
      </c>
      <c r="L103" s="5" t="n">
        <v>0</v>
      </c>
      <c r="M103" s="5" t="n">
        <v>0</v>
      </c>
      <c r="N103" s="5" t="n">
        <v>0</v>
      </c>
      <c r="O103" s="5" t="n">
        <v>0</v>
      </c>
      <c r="P103" s="5" t="n">
        <v>0</v>
      </c>
      <c r="Q103" s="5" t="n">
        <v>0</v>
      </c>
      <c r="R103" s="5" t="n">
        <v>0</v>
      </c>
      <c r="S103" s="5" t="n">
        <v>1</v>
      </c>
      <c r="T103" s="5" t="n">
        <v>0</v>
      </c>
      <c r="U103" s="5" t="inlineStr">
        <is>
          <t>training</t>
        </is>
      </c>
    </row>
    <row r="104">
      <c r="A104" s="5" t="n">
        <v>100</v>
      </c>
      <c r="B104" s="5" t="n">
        <v>0</v>
      </c>
      <c r="C104" s="6" t="n">
        <v>-0.06162940437414574</v>
      </c>
      <c r="D104" s="6" t="n">
        <v>1.331798242567746</v>
      </c>
      <c r="E104" s="6" t="n">
        <v>0.04000758952108359</v>
      </c>
      <c r="F104" s="6" t="n">
        <v>0.01674764143977723</v>
      </c>
      <c r="G104" s="5" t="n">
        <v>0</v>
      </c>
      <c r="H104" s="5" t="n">
        <v>1</v>
      </c>
      <c r="I104" s="5" t="n">
        <v>0</v>
      </c>
      <c r="J104" s="5" t="n">
        <v>0</v>
      </c>
      <c r="K104" s="5" t="n">
        <v>1</v>
      </c>
      <c r="L104" s="5" t="n">
        <v>0</v>
      </c>
      <c r="M104" s="5" t="n">
        <v>0</v>
      </c>
      <c r="N104" s="5" t="n">
        <v>0</v>
      </c>
      <c r="O104" s="5" t="n">
        <v>1</v>
      </c>
      <c r="P104" s="5" t="n">
        <v>1</v>
      </c>
      <c r="Q104" s="5" t="n">
        <v>0</v>
      </c>
      <c r="R104" s="5" t="n">
        <v>1</v>
      </c>
      <c r="S104" s="5" t="n">
        <v>0</v>
      </c>
      <c r="T104" s="5" t="n">
        <v>0</v>
      </c>
      <c r="U104" s="5" t="inlineStr">
        <is>
          <t>training</t>
        </is>
      </c>
    </row>
    <row r="105">
      <c r="A105" s="5" t="n">
        <v>101</v>
      </c>
      <c r="B105" s="5" t="n">
        <v>0</v>
      </c>
      <c r="C105" s="6" t="n">
        <v>0.275406400796963</v>
      </c>
      <c r="D105" s="6" t="n">
        <v>-0.6234023984845214</v>
      </c>
      <c r="E105" s="6" t="n">
        <v>0.4748726930111218</v>
      </c>
      <c r="F105" s="6" t="n">
        <v>0.9185437189662378</v>
      </c>
      <c r="G105" s="5" t="n">
        <v>0</v>
      </c>
      <c r="H105" s="5" t="n">
        <v>0</v>
      </c>
      <c r="I105" s="5" t="n">
        <v>0</v>
      </c>
      <c r="J105" s="5" t="n">
        <v>0</v>
      </c>
      <c r="K105" s="5" t="n">
        <v>0</v>
      </c>
      <c r="L105" s="5" t="n">
        <v>0</v>
      </c>
      <c r="M105" s="5" t="n">
        <v>1</v>
      </c>
      <c r="N105" s="5" t="n">
        <v>0</v>
      </c>
      <c r="O105" s="5" t="n">
        <v>0</v>
      </c>
      <c r="P105" s="5" t="n">
        <v>1</v>
      </c>
      <c r="Q105" s="5" t="n">
        <v>0</v>
      </c>
      <c r="R105" s="5" t="n">
        <v>1</v>
      </c>
      <c r="S105" s="5" t="n">
        <v>0</v>
      </c>
      <c r="T105" s="5" t="n">
        <v>0</v>
      </c>
      <c r="U105" s="5" t="inlineStr">
        <is>
          <t>training</t>
        </is>
      </c>
    </row>
    <row r="106">
      <c r="A106" s="5" t="n">
        <v>102</v>
      </c>
      <c r="B106" s="5" t="n">
        <v>0</v>
      </c>
      <c r="C106" s="6" t="n">
        <v>1.286513816310289</v>
      </c>
      <c r="D106" s="6" t="n">
        <v>-0.3245939970065979</v>
      </c>
      <c r="E106" s="6" t="n">
        <v>-1.003668658855008</v>
      </c>
      <c r="F106" s="6" t="n">
        <v>0.9185437189662378</v>
      </c>
      <c r="G106" s="5" t="n">
        <v>0</v>
      </c>
      <c r="H106" s="5" t="n">
        <v>1</v>
      </c>
      <c r="I106" s="5" t="n">
        <v>0</v>
      </c>
      <c r="J106" s="5" t="n">
        <v>0</v>
      </c>
      <c r="K106" s="5" t="n">
        <v>0</v>
      </c>
      <c r="L106" s="5" t="n">
        <v>0</v>
      </c>
      <c r="M106" s="5" t="n">
        <v>0</v>
      </c>
      <c r="N106" s="5" t="n">
        <v>0</v>
      </c>
      <c r="O106" s="5" t="n">
        <v>0</v>
      </c>
      <c r="P106" s="5" t="n">
        <v>1</v>
      </c>
      <c r="Q106" s="5" t="n">
        <v>0</v>
      </c>
      <c r="R106" s="5" t="n">
        <v>0</v>
      </c>
      <c r="S106" s="5" t="n">
        <v>1</v>
      </c>
      <c r="T106" s="5" t="n">
        <v>0</v>
      </c>
      <c r="U106" s="5" t="inlineStr">
        <is>
          <t>testing</t>
        </is>
      </c>
    </row>
    <row r="107">
      <c r="A107" s="5" t="n">
        <v>103</v>
      </c>
      <c r="B107" s="5" t="n">
        <v>0</v>
      </c>
      <c r="C107" s="6" t="n">
        <v>-1.241254722473026</v>
      </c>
      <c r="D107" s="6" t="n">
        <v>-0.8112948008190002</v>
      </c>
      <c r="E107" s="6" t="n">
        <v>-1.003668658855008</v>
      </c>
      <c r="F107" s="6" t="n">
        <v>0.01674764143977723</v>
      </c>
      <c r="G107" s="5" t="n">
        <v>0</v>
      </c>
      <c r="H107" s="5" t="n">
        <v>0</v>
      </c>
      <c r="I107" s="5" t="n">
        <v>0</v>
      </c>
      <c r="J107" s="5" t="n">
        <v>0</v>
      </c>
      <c r="K107" s="5" t="n">
        <v>1</v>
      </c>
      <c r="L107" s="5" t="n">
        <v>0</v>
      </c>
      <c r="M107" s="5" t="n">
        <v>0</v>
      </c>
      <c r="N107" s="5" t="n">
        <v>0</v>
      </c>
      <c r="O107" s="5" t="n">
        <v>0</v>
      </c>
      <c r="P107" s="5" t="n">
        <v>0</v>
      </c>
      <c r="Q107" s="5" t="n">
        <v>0</v>
      </c>
      <c r="R107" s="5" t="n">
        <v>0</v>
      </c>
      <c r="S107" s="5" t="n">
        <v>1</v>
      </c>
      <c r="T107" s="5" t="n">
        <v>0</v>
      </c>
      <c r="U107" s="5" t="inlineStr">
        <is>
          <t>training</t>
        </is>
      </c>
    </row>
    <row r="108">
      <c r="A108" s="5" t="n">
        <v>104</v>
      </c>
      <c r="B108" s="5" t="n">
        <v>0</v>
      </c>
      <c r="C108" s="6" t="n">
        <v>-0.9884778685946948</v>
      </c>
      <c r="D108" s="6" t="n">
        <v>-0.4659506646846788</v>
      </c>
      <c r="E108" s="6" t="n">
        <v>-0.04696543117692405</v>
      </c>
      <c r="F108" s="6" t="n">
        <v>0.9185437189662378</v>
      </c>
      <c r="G108" s="5" t="n">
        <v>0</v>
      </c>
      <c r="H108" s="5" t="n">
        <v>1</v>
      </c>
      <c r="I108" s="5" t="n">
        <v>0</v>
      </c>
      <c r="J108" s="5" t="n">
        <v>1</v>
      </c>
      <c r="K108" s="5" t="n">
        <v>0</v>
      </c>
      <c r="L108" s="5" t="n">
        <v>0</v>
      </c>
      <c r="M108" s="5" t="n">
        <v>0</v>
      </c>
      <c r="N108" s="5" t="n">
        <v>0</v>
      </c>
      <c r="O108" s="5" t="n">
        <v>0</v>
      </c>
      <c r="P108" s="5" t="n">
        <v>1</v>
      </c>
      <c r="Q108" s="5" t="n">
        <v>0</v>
      </c>
      <c r="R108" s="5" t="n">
        <v>0</v>
      </c>
      <c r="S108" s="5" t="n">
        <v>0</v>
      </c>
      <c r="T108" s="5" t="n">
        <v>1</v>
      </c>
      <c r="U108" s="5" t="inlineStr">
        <is>
          <t>training</t>
        </is>
      </c>
    </row>
    <row r="109">
      <c r="A109" s="5" t="n">
        <v>105</v>
      </c>
      <c r="B109" s="5" t="n">
        <v>0</v>
      </c>
      <c r="C109" s="6" t="n">
        <v>-0.7357010147163632</v>
      </c>
      <c r="D109" s="6" t="n">
        <v>-0.2819070825097517</v>
      </c>
      <c r="E109" s="6" t="n">
        <v>-0.8297226174589928</v>
      </c>
      <c r="F109" s="6" t="n">
        <v>-0.8850484360866833</v>
      </c>
      <c r="G109" s="5" t="n">
        <v>0</v>
      </c>
      <c r="H109" s="5" t="n">
        <v>0</v>
      </c>
      <c r="I109" s="5" t="n">
        <v>0</v>
      </c>
      <c r="J109" s="5" t="n">
        <v>0</v>
      </c>
      <c r="K109" s="5" t="n">
        <v>0</v>
      </c>
      <c r="L109" s="5" t="n">
        <v>0</v>
      </c>
      <c r="M109" s="5" t="n">
        <v>0</v>
      </c>
      <c r="N109" s="5" t="n">
        <v>0</v>
      </c>
      <c r="O109" s="5" t="n">
        <v>1</v>
      </c>
      <c r="P109" s="5" t="n">
        <v>1</v>
      </c>
      <c r="Q109" s="5" t="n">
        <v>0</v>
      </c>
      <c r="R109" s="5" t="n">
        <v>1</v>
      </c>
      <c r="S109" s="5" t="n">
        <v>0</v>
      </c>
      <c r="T109" s="5" t="n">
        <v>0</v>
      </c>
      <c r="U109" s="5" t="inlineStr">
        <is>
          <t>training</t>
        </is>
      </c>
    </row>
    <row r="110">
      <c r="A110" s="5" t="n">
        <v>106</v>
      </c>
      <c r="B110" s="5" t="n">
        <v>1</v>
      </c>
      <c r="C110" s="6" t="n">
        <v>0.275406400796963</v>
      </c>
      <c r="D110" s="6" t="n">
        <v>3.039624715183372</v>
      </c>
      <c r="E110" s="6" t="n">
        <v>0.3009266516151065</v>
      </c>
      <c r="F110" s="6" t="n">
        <v>-0.8850484360866833</v>
      </c>
      <c r="G110" s="5" t="n">
        <v>0</v>
      </c>
      <c r="H110" s="5" t="n">
        <v>1</v>
      </c>
      <c r="I110" s="5" t="n">
        <v>0</v>
      </c>
      <c r="J110" s="5" t="n">
        <v>1</v>
      </c>
      <c r="K110" s="5" t="n">
        <v>0</v>
      </c>
      <c r="L110" s="5" t="n">
        <v>0</v>
      </c>
      <c r="M110" s="5" t="n">
        <v>0</v>
      </c>
      <c r="N110" s="5" t="n">
        <v>0</v>
      </c>
      <c r="O110" s="5" t="n">
        <v>0</v>
      </c>
      <c r="P110" s="5" t="n">
        <v>0</v>
      </c>
      <c r="Q110" s="5" t="n">
        <v>0</v>
      </c>
      <c r="R110" s="5" t="n">
        <v>0</v>
      </c>
      <c r="S110" s="5" t="n">
        <v>0</v>
      </c>
      <c r="T110" s="5" t="n">
        <v>0</v>
      </c>
      <c r="U110" s="5" t="inlineStr">
        <is>
          <t>training</t>
        </is>
      </c>
    </row>
    <row r="111">
      <c r="A111" s="5" t="n">
        <v>107</v>
      </c>
      <c r="B111" s="5" t="n">
        <v>1</v>
      </c>
      <c r="C111" s="6" t="n">
        <v>-0.2301473069597001</v>
      </c>
      <c r="D111" s="6" t="n">
        <v>1.122212490243067</v>
      </c>
      <c r="E111" s="6" t="n">
        <v>0.3009266516151065</v>
      </c>
      <c r="F111" s="6" t="n">
        <v>-0.8850484360866833</v>
      </c>
      <c r="G111" s="5" t="n">
        <v>0</v>
      </c>
      <c r="H111" s="5" t="n">
        <v>0</v>
      </c>
      <c r="I111" s="5" t="n">
        <v>0</v>
      </c>
      <c r="J111" s="5" t="n">
        <v>0</v>
      </c>
      <c r="K111" s="5" t="n">
        <v>0</v>
      </c>
      <c r="L111" s="5" t="n">
        <v>1</v>
      </c>
      <c r="M111" s="5" t="n">
        <v>0</v>
      </c>
      <c r="N111" s="5" t="n">
        <v>0</v>
      </c>
      <c r="O111" s="5" t="n">
        <v>0</v>
      </c>
      <c r="P111" s="5" t="n">
        <v>0</v>
      </c>
      <c r="Q111" s="5" t="n">
        <v>0</v>
      </c>
      <c r="R111" s="5" t="n">
        <v>1</v>
      </c>
      <c r="S111" s="5" t="n">
        <v>0</v>
      </c>
      <c r="T111" s="5" t="n">
        <v>0</v>
      </c>
      <c r="U111" s="5" t="inlineStr">
        <is>
          <t>training</t>
        </is>
      </c>
    </row>
    <row r="112">
      <c r="A112" s="5" t="n">
        <v>108</v>
      </c>
      <c r="B112" s="5" t="n">
        <v>0</v>
      </c>
      <c r="C112" s="6" t="n">
        <v>-0.7357010147163632</v>
      </c>
      <c r="D112" s="6" t="n">
        <v>0.9892532483676441</v>
      </c>
      <c r="E112" s="6" t="n">
        <v>-0.307884493270947</v>
      </c>
      <c r="F112" s="6" t="n">
        <v>-0.8850484360866833</v>
      </c>
      <c r="G112" s="5" t="n">
        <v>0</v>
      </c>
      <c r="H112" s="5" t="n">
        <v>1</v>
      </c>
      <c r="I112" s="5" t="n">
        <v>0</v>
      </c>
      <c r="J112" s="5" t="n">
        <v>0</v>
      </c>
      <c r="K112" s="5" t="n">
        <v>0</v>
      </c>
      <c r="L112" s="5" t="n">
        <v>0</v>
      </c>
      <c r="M112" s="5" t="n">
        <v>0</v>
      </c>
      <c r="N112" s="5" t="n">
        <v>0</v>
      </c>
      <c r="O112" s="5" t="n">
        <v>0</v>
      </c>
      <c r="P112" s="5" t="n">
        <v>0</v>
      </c>
      <c r="Q112" s="5" t="n">
        <v>0</v>
      </c>
      <c r="R112" s="5" t="n">
        <v>1</v>
      </c>
      <c r="S112" s="5" t="n">
        <v>0</v>
      </c>
      <c r="T112" s="5" t="n">
        <v>0</v>
      </c>
      <c r="U112" s="5" t="inlineStr">
        <is>
          <t>testing</t>
        </is>
      </c>
    </row>
    <row r="113">
      <c r="A113" s="5" t="n">
        <v>109</v>
      </c>
      <c r="B113" s="5" t="n">
        <v>0</v>
      </c>
      <c r="C113" s="6" t="n">
        <v>0.275406400796963</v>
      </c>
      <c r="D113" s="6" t="n">
        <v>1.564127023107958</v>
      </c>
      <c r="E113" s="6" t="n">
        <v>-0.4818305346669622</v>
      </c>
      <c r="F113" s="6" t="n">
        <v>-1.786844513613144</v>
      </c>
      <c r="G113" s="5" t="n">
        <v>1</v>
      </c>
      <c r="H113" s="5" t="n">
        <v>0</v>
      </c>
      <c r="I113" s="5" t="n">
        <v>0</v>
      </c>
      <c r="J113" s="5" t="n">
        <v>0</v>
      </c>
      <c r="K113" s="5" t="n">
        <v>0</v>
      </c>
      <c r="L113" s="5" t="n">
        <v>0</v>
      </c>
      <c r="M113" s="5" t="n">
        <v>0</v>
      </c>
      <c r="N113" s="5" t="n">
        <v>0</v>
      </c>
      <c r="O113" s="5" t="n">
        <v>1</v>
      </c>
      <c r="P113" s="5" t="n">
        <v>0</v>
      </c>
      <c r="Q113" s="5" t="n">
        <v>0</v>
      </c>
      <c r="R113" s="5" t="n">
        <v>0</v>
      </c>
      <c r="S113" s="5" t="n">
        <v>0</v>
      </c>
      <c r="T113" s="5" t="n">
        <v>1</v>
      </c>
      <c r="U113" s="5" t="inlineStr">
        <is>
          <t>training</t>
        </is>
      </c>
    </row>
    <row r="114">
      <c r="A114" s="5" t="n">
        <v>110</v>
      </c>
      <c r="B114" s="5" t="n">
        <v>0</v>
      </c>
      <c r="C114" s="6" t="n">
        <v>-0.5671831121308089</v>
      </c>
      <c r="D114" s="6" t="n">
        <v>-0.6440460702493896</v>
      </c>
      <c r="E114" s="6" t="n">
        <v>-0.04696543117692405</v>
      </c>
      <c r="F114" s="6" t="n">
        <v>-1.786844513613144</v>
      </c>
      <c r="G114" s="5" t="n">
        <v>0</v>
      </c>
      <c r="H114" s="5" t="n">
        <v>1</v>
      </c>
      <c r="I114" s="5" t="n">
        <v>0</v>
      </c>
      <c r="J114" s="5" t="n">
        <v>0</v>
      </c>
      <c r="K114" s="5" t="n">
        <v>0</v>
      </c>
      <c r="L114" s="5" t="n">
        <v>0</v>
      </c>
      <c r="M114" s="5" t="n">
        <v>1</v>
      </c>
      <c r="N114" s="5" t="n">
        <v>0</v>
      </c>
      <c r="O114" s="5" t="n">
        <v>0</v>
      </c>
      <c r="P114" s="5" t="n">
        <v>0</v>
      </c>
      <c r="Q114" s="5" t="n">
        <v>0</v>
      </c>
      <c r="R114" s="5" t="n">
        <v>0</v>
      </c>
      <c r="S114" s="5" t="n">
        <v>0</v>
      </c>
      <c r="T114" s="5" t="n">
        <v>0</v>
      </c>
      <c r="U114" s="5" t="inlineStr">
        <is>
          <t>training</t>
        </is>
      </c>
    </row>
    <row r="115">
      <c r="A115" s="5" t="n">
        <v>111</v>
      </c>
      <c r="B115" s="5" t="n">
        <v>0</v>
      </c>
      <c r="C115" s="6" t="n">
        <v>-1.241254722473026</v>
      </c>
      <c r="D115" s="6" t="n">
        <v>-0.63040025332007</v>
      </c>
      <c r="E115" s="6" t="n">
        <v>-0.3948575139689546</v>
      </c>
      <c r="F115" s="6" t="n">
        <v>-1.786844513613144</v>
      </c>
      <c r="G115" s="5" t="n">
        <v>0</v>
      </c>
      <c r="H115" s="5" t="n">
        <v>1</v>
      </c>
      <c r="I115" s="5" t="n">
        <v>0</v>
      </c>
      <c r="J115" s="5" t="n">
        <v>0</v>
      </c>
      <c r="K115" s="5" t="n">
        <v>1</v>
      </c>
      <c r="L115" s="5" t="n">
        <v>0</v>
      </c>
      <c r="M115" s="5" t="n">
        <v>1</v>
      </c>
      <c r="N115" s="5" t="n">
        <v>0</v>
      </c>
      <c r="O115" s="5" t="n">
        <v>0</v>
      </c>
      <c r="P115" s="5" t="n">
        <v>0</v>
      </c>
      <c r="Q115" s="5" t="n">
        <v>0</v>
      </c>
      <c r="R115" s="5" t="n">
        <v>0</v>
      </c>
      <c r="S115" s="5" t="n">
        <v>0</v>
      </c>
      <c r="T115" s="5" t="n">
        <v>0</v>
      </c>
      <c r="U115" s="5" t="inlineStr">
        <is>
          <t>training</t>
        </is>
      </c>
    </row>
    <row r="116">
      <c r="A116" s="5" t="n">
        <v>112</v>
      </c>
      <c r="B116" s="5" t="n">
        <v>0</v>
      </c>
      <c r="C116" s="6" t="n">
        <v>-0.4829241608380317</v>
      </c>
      <c r="D116" s="6" t="n">
        <v>-1.000236881378811</v>
      </c>
      <c r="E116" s="6" t="n">
        <v>-1.090641679553016</v>
      </c>
      <c r="F116" s="6" t="n">
        <v>0.9185437189662378</v>
      </c>
      <c r="G116" s="5" t="n">
        <v>0</v>
      </c>
      <c r="H116" s="5" t="n">
        <v>0</v>
      </c>
      <c r="I116" s="5" t="n">
        <v>1</v>
      </c>
      <c r="J116" s="5" t="n">
        <v>0</v>
      </c>
      <c r="K116" s="5" t="n">
        <v>0</v>
      </c>
      <c r="L116" s="5" t="n">
        <v>0</v>
      </c>
      <c r="M116" s="5" t="n">
        <v>0</v>
      </c>
      <c r="N116" s="5" t="n">
        <v>0</v>
      </c>
      <c r="O116" s="5" t="n">
        <v>0</v>
      </c>
      <c r="P116" s="5" t="n">
        <v>1</v>
      </c>
      <c r="Q116" s="5" t="n">
        <v>0</v>
      </c>
      <c r="R116" s="5" t="n">
        <v>0</v>
      </c>
      <c r="S116" s="5" t="n">
        <v>0</v>
      </c>
      <c r="T116" s="5" t="n">
        <v>0</v>
      </c>
      <c r="U116" s="5" t="inlineStr">
        <is>
          <t>testing</t>
        </is>
      </c>
    </row>
    <row r="117">
      <c r="A117" s="5" t="n">
        <v>113</v>
      </c>
      <c r="B117" s="5" t="n">
        <v>0</v>
      </c>
      <c r="C117" s="6" t="n">
        <v>-0.2301473069597001</v>
      </c>
      <c r="D117" s="6" t="n">
        <v>1.052933727371136</v>
      </c>
      <c r="E117" s="6" t="n">
        <v>-0.6557765760629775</v>
      </c>
      <c r="F117" s="6" t="n">
        <v>0.01674764143977723</v>
      </c>
      <c r="G117" s="5" t="n">
        <v>0</v>
      </c>
      <c r="H117" s="5" t="n">
        <v>1</v>
      </c>
      <c r="I117" s="5" t="n">
        <v>0</v>
      </c>
      <c r="J117" s="5" t="n">
        <v>0</v>
      </c>
      <c r="K117" s="5" t="n">
        <v>0</v>
      </c>
      <c r="L117" s="5" t="n">
        <v>0</v>
      </c>
      <c r="M117" s="5" t="n">
        <v>0</v>
      </c>
      <c r="N117" s="5" t="n">
        <v>0</v>
      </c>
      <c r="O117" s="5" t="n">
        <v>0</v>
      </c>
      <c r="P117" s="5" t="n">
        <v>1</v>
      </c>
      <c r="Q117" s="5" t="n">
        <v>0</v>
      </c>
      <c r="R117" s="5" t="n">
        <v>1</v>
      </c>
      <c r="S117" s="5" t="n">
        <v>0</v>
      </c>
      <c r="T117" s="5" t="n">
        <v>0</v>
      </c>
      <c r="U117" s="5" t="inlineStr">
        <is>
          <t>training</t>
        </is>
      </c>
    </row>
    <row r="118">
      <c r="A118" s="5" t="n">
        <v>114</v>
      </c>
      <c r="B118" s="5" t="n">
        <v>1</v>
      </c>
      <c r="C118" s="6" t="n">
        <v>1.286513816310289</v>
      </c>
      <c r="D118" s="6" t="n">
        <v>1.611012650506134</v>
      </c>
      <c r="E118" s="6" t="n">
        <v>-0.9166956381570004</v>
      </c>
      <c r="F118" s="6" t="n">
        <v>0.9185437189662378</v>
      </c>
      <c r="G118" s="5" t="n">
        <v>0</v>
      </c>
      <c r="H118" s="5" t="n">
        <v>0</v>
      </c>
      <c r="I118" s="5" t="n">
        <v>0</v>
      </c>
      <c r="J118" s="5" t="n">
        <v>1</v>
      </c>
      <c r="K118" s="5" t="n">
        <v>0</v>
      </c>
      <c r="L118" s="5" t="n">
        <v>0</v>
      </c>
      <c r="M118" s="5" t="n">
        <v>0</v>
      </c>
      <c r="N118" s="5" t="n">
        <v>0</v>
      </c>
      <c r="O118" s="5" t="n">
        <v>0</v>
      </c>
      <c r="P118" s="5" t="n">
        <v>0</v>
      </c>
      <c r="Q118" s="5" t="n">
        <v>0</v>
      </c>
      <c r="R118" s="5" t="n">
        <v>1</v>
      </c>
      <c r="S118" s="5" t="n">
        <v>0</v>
      </c>
      <c r="T118" s="5" t="n">
        <v>0</v>
      </c>
      <c r="U118" s="5" t="inlineStr">
        <is>
          <t>training</t>
        </is>
      </c>
    </row>
    <row r="119">
      <c r="A119" s="5" t="n">
        <v>115</v>
      </c>
      <c r="B119" s="5" t="n">
        <v>0</v>
      </c>
      <c r="C119" s="6" t="n">
        <v>-0.7357010147163632</v>
      </c>
      <c r="D119" s="6" t="n">
        <v>-0.5495750299694842</v>
      </c>
      <c r="E119" s="6" t="n">
        <v>-0.04696543117692405</v>
      </c>
      <c r="F119" s="6" t="n">
        <v>0.01674764143977723</v>
      </c>
      <c r="G119" s="5" t="n">
        <v>1</v>
      </c>
      <c r="H119" s="5" t="n">
        <v>0</v>
      </c>
      <c r="I119" s="5" t="n">
        <v>0</v>
      </c>
      <c r="J119" s="5" t="n">
        <v>0</v>
      </c>
      <c r="K119" s="5" t="n">
        <v>0</v>
      </c>
      <c r="L119" s="5" t="n">
        <v>0</v>
      </c>
      <c r="M119" s="5" t="n">
        <v>1</v>
      </c>
      <c r="N119" s="5" t="n">
        <v>0</v>
      </c>
      <c r="O119" s="5" t="n">
        <v>0</v>
      </c>
      <c r="P119" s="5" t="n">
        <v>0</v>
      </c>
      <c r="Q119" s="5" t="n">
        <v>0</v>
      </c>
      <c r="R119" s="5" t="n">
        <v>0</v>
      </c>
      <c r="S119" s="5" t="n">
        <v>1</v>
      </c>
      <c r="T119" s="5" t="n">
        <v>0</v>
      </c>
      <c r="U119" s="5" t="inlineStr">
        <is>
          <t>training</t>
        </is>
      </c>
    </row>
    <row r="120">
      <c r="A120" s="5" t="n">
        <v>116</v>
      </c>
      <c r="B120" s="5" t="n">
        <v>0</v>
      </c>
      <c r="C120" s="6" t="n">
        <v>2.297621231823615</v>
      </c>
      <c r="D120" s="6" t="n">
        <v>0.1145213939240741</v>
      </c>
      <c r="E120" s="6" t="n">
        <v>0.9967108171991675</v>
      </c>
      <c r="F120" s="6" t="n">
        <v>0.9185437189662378</v>
      </c>
      <c r="G120" s="5" t="n">
        <v>0</v>
      </c>
      <c r="H120" s="5" t="n">
        <v>0</v>
      </c>
      <c r="I120" s="5" t="n">
        <v>0</v>
      </c>
      <c r="J120" s="5" t="n">
        <v>1</v>
      </c>
      <c r="K120" s="5" t="n">
        <v>0</v>
      </c>
      <c r="L120" s="5" t="n">
        <v>0</v>
      </c>
      <c r="M120" s="5" t="n">
        <v>0</v>
      </c>
      <c r="N120" s="5" t="n">
        <v>0</v>
      </c>
      <c r="O120" s="5" t="n">
        <v>1</v>
      </c>
      <c r="P120" s="5" t="n">
        <v>0</v>
      </c>
      <c r="Q120" s="5" t="n">
        <v>0</v>
      </c>
      <c r="R120" s="5" t="n">
        <v>0</v>
      </c>
      <c r="S120" s="5" t="n">
        <v>1</v>
      </c>
      <c r="T120" s="5" t="n">
        <v>0</v>
      </c>
      <c r="U120" s="5" t="inlineStr">
        <is>
          <t>training</t>
        </is>
      </c>
    </row>
    <row r="121">
      <c r="A121" s="5" t="n">
        <v>117</v>
      </c>
      <c r="B121" s="5" t="n">
        <v>1</v>
      </c>
      <c r="C121" s="6" t="n">
        <v>1.792067524066952</v>
      </c>
      <c r="D121" s="6" t="n">
        <v>1.372735693355705</v>
      </c>
      <c r="E121" s="6" t="n">
        <v>-0.4818305346669622</v>
      </c>
      <c r="F121" s="6" t="n">
        <v>0.9185437189662378</v>
      </c>
      <c r="G121" s="5" t="n">
        <v>1</v>
      </c>
      <c r="H121" s="5" t="n">
        <v>0</v>
      </c>
      <c r="I121" s="5" t="n">
        <v>0</v>
      </c>
      <c r="J121" s="5" t="n">
        <v>0</v>
      </c>
      <c r="K121" s="5" t="n">
        <v>0</v>
      </c>
      <c r="L121" s="5" t="n">
        <v>0</v>
      </c>
      <c r="M121" s="5" t="n">
        <v>0</v>
      </c>
      <c r="N121" s="5" t="n">
        <v>0</v>
      </c>
      <c r="O121" s="5" t="n">
        <v>1</v>
      </c>
      <c r="P121" s="5" t="n">
        <v>0</v>
      </c>
      <c r="Q121" s="5" t="n">
        <v>0</v>
      </c>
      <c r="R121" s="5" t="n">
        <v>0</v>
      </c>
      <c r="S121" s="5" t="n">
        <v>1</v>
      </c>
      <c r="T121" s="5" t="n">
        <v>0</v>
      </c>
      <c r="U121" s="5" t="inlineStr">
        <is>
          <t>testing</t>
        </is>
      </c>
    </row>
    <row r="122">
      <c r="A122" s="5" t="n">
        <v>118</v>
      </c>
      <c r="B122" s="5" t="n">
        <v>0</v>
      </c>
      <c r="C122" s="6" t="n">
        <v>-0.9042189173019176</v>
      </c>
      <c r="D122" s="6" t="n">
        <v>-0.3914235106860867</v>
      </c>
      <c r="E122" s="6" t="n">
        <v>-0.7427495967609852</v>
      </c>
      <c r="F122" s="6" t="n">
        <v>-0.8850484360866833</v>
      </c>
      <c r="G122" s="5" t="n">
        <v>1</v>
      </c>
      <c r="H122" s="5" t="n">
        <v>0</v>
      </c>
      <c r="I122" s="5" t="n">
        <v>0</v>
      </c>
      <c r="J122" s="5" t="n">
        <v>1</v>
      </c>
      <c r="K122" s="5" t="n">
        <v>0</v>
      </c>
      <c r="L122" s="5" t="n">
        <v>0</v>
      </c>
      <c r="M122" s="5" t="n">
        <v>0</v>
      </c>
      <c r="N122" s="5" t="n">
        <v>0</v>
      </c>
      <c r="O122" s="5" t="n">
        <v>1</v>
      </c>
      <c r="P122" s="5" t="n">
        <v>1</v>
      </c>
      <c r="Q122" s="5" t="n">
        <v>0</v>
      </c>
      <c r="R122" s="5" t="n">
        <v>0</v>
      </c>
      <c r="S122" s="5" t="n">
        <v>0</v>
      </c>
      <c r="T122" s="5" t="n">
        <v>1</v>
      </c>
      <c r="U122" s="5" t="inlineStr">
        <is>
          <t>testing</t>
        </is>
      </c>
    </row>
    <row r="123">
      <c r="A123" s="5" t="n">
        <v>119</v>
      </c>
      <c r="B123" s="5" t="n">
        <v>1</v>
      </c>
      <c r="C123" s="6" t="n">
        <v>1.033736962431958</v>
      </c>
      <c r="D123" s="6" t="n">
        <v>0.360495991393606</v>
      </c>
      <c r="E123" s="6" t="n">
        <v>-1.090641679553016</v>
      </c>
      <c r="F123" s="6" t="n">
        <v>-1.786844513613144</v>
      </c>
      <c r="G123" s="5" t="n">
        <v>1</v>
      </c>
      <c r="H123" s="5" t="n">
        <v>0</v>
      </c>
      <c r="I123" s="5" t="n">
        <v>0</v>
      </c>
      <c r="J123" s="5" t="n">
        <v>1</v>
      </c>
      <c r="K123" s="5" t="n">
        <v>0</v>
      </c>
      <c r="L123" s="5" t="n">
        <v>0</v>
      </c>
      <c r="M123" s="5" t="n">
        <v>1</v>
      </c>
      <c r="N123" s="5" t="n">
        <v>0</v>
      </c>
      <c r="O123" s="5" t="n">
        <v>0</v>
      </c>
      <c r="P123" s="5" t="n">
        <v>0</v>
      </c>
      <c r="Q123" s="5" t="n">
        <v>0</v>
      </c>
      <c r="R123" s="5" t="n">
        <v>0</v>
      </c>
      <c r="S123" s="5" t="n">
        <v>0</v>
      </c>
      <c r="T123" s="5" t="n">
        <v>1</v>
      </c>
      <c r="U123" s="5" t="inlineStr">
        <is>
          <t>training</t>
        </is>
      </c>
    </row>
    <row r="124">
      <c r="A124" s="5" t="n">
        <v>120</v>
      </c>
      <c r="B124" s="5" t="n">
        <v>0</v>
      </c>
      <c r="C124" s="6" t="n">
        <v>-0.7357010147163632</v>
      </c>
      <c r="D124" s="6" t="n">
        <v>-0.3095486091101685</v>
      </c>
      <c r="E124" s="6" t="n">
        <v>0.04000758952108359</v>
      </c>
      <c r="F124" s="6" t="n">
        <v>0.01674764143977723</v>
      </c>
      <c r="G124" s="5" t="n">
        <v>0</v>
      </c>
      <c r="H124" s="5" t="n">
        <v>1</v>
      </c>
      <c r="I124" s="5" t="n">
        <v>0</v>
      </c>
      <c r="J124" s="5" t="n">
        <v>1</v>
      </c>
      <c r="K124" s="5" t="n">
        <v>0</v>
      </c>
      <c r="L124" s="5" t="n">
        <v>0</v>
      </c>
      <c r="M124" s="5" t="n">
        <v>1</v>
      </c>
      <c r="N124" s="5" t="n">
        <v>0</v>
      </c>
      <c r="O124" s="5" t="n">
        <v>0</v>
      </c>
      <c r="P124" s="5" t="n">
        <v>0</v>
      </c>
      <c r="Q124" s="5" t="n">
        <v>0</v>
      </c>
      <c r="R124" s="5" t="n">
        <v>1</v>
      </c>
      <c r="S124" s="5" t="n">
        <v>0</v>
      </c>
      <c r="T124" s="5" t="n">
        <v>0</v>
      </c>
      <c r="U124" s="5" t="inlineStr">
        <is>
          <t>training</t>
        </is>
      </c>
    </row>
    <row r="125">
      <c r="A125" s="5" t="n">
        <v>121</v>
      </c>
      <c r="B125" s="5" t="n">
        <v>1</v>
      </c>
      <c r="C125" s="6" t="n">
        <v>0.02262954691863145</v>
      </c>
      <c r="D125" s="6" t="n">
        <v>-0.4953416549939827</v>
      </c>
      <c r="E125" s="6" t="n">
        <v>-0.9166956381570004</v>
      </c>
      <c r="F125" s="6" t="n">
        <v>0.01674764143977723</v>
      </c>
      <c r="G125" s="5" t="n">
        <v>1</v>
      </c>
      <c r="H125" s="5" t="n">
        <v>0</v>
      </c>
      <c r="I125" s="5" t="n">
        <v>0</v>
      </c>
      <c r="J125" s="5" t="n">
        <v>0</v>
      </c>
      <c r="K125" s="5" t="n">
        <v>0</v>
      </c>
      <c r="L125" s="5" t="n">
        <v>0</v>
      </c>
      <c r="M125" s="5" t="n">
        <v>0</v>
      </c>
      <c r="N125" s="5" t="n">
        <v>0</v>
      </c>
      <c r="O125" s="5" t="n">
        <v>0</v>
      </c>
      <c r="P125" s="5" t="n">
        <v>0</v>
      </c>
      <c r="Q125" s="5" t="n">
        <v>0</v>
      </c>
      <c r="R125" s="5" t="n">
        <v>0</v>
      </c>
      <c r="S125" s="5" t="n">
        <v>1</v>
      </c>
      <c r="T125" s="5" t="n">
        <v>0</v>
      </c>
      <c r="U125" s="5" t="inlineStr">
        <is>
          <t>training</t>
        </is>
      </c>
    </row>
    <row r="126">
      <c r="A126" s="5" t="n">
        <v>122</v>
      </c>
      <c r="B126" s="5" t="n">
        <v>0</v>
      </c>
      <c r="C126" s="6" t="n">
        <v>0.275406400796963</v>
      </c>
      <c r="D126" s="6" t="n">
        <v>0.2159902890395282</v>
      </c>
      <c r="E126" s="6" t="n">
        <v>0.4748726930111218</v>
      </c>
      <c r="F126" s="6" t="n">
        <v>0.9185437189662378</v>
      </c>
      <c r="G126" s="5" t="n">
        <v>0</v>
      </c>
      <c r="H126" s="5" t="n">
        <v>0</v>
      </c>
      <c r="I126" s="5" t="n">
        <v>0</v>
      </c>
      <c r="J126" s="5" t="n">
        <v>1</v>
      </c>
      <c r="K126" s="5" t="n">
        <v>0</v>
      </c>
      <c r="L126" s="5" t="n">
        <v>0</v>
      </c>
      <c r="M126" s="5" t="n">
        <v>0</v>
      </c>
      <c r="N126" s="5" t="n">
        <v>0</v>
      </c>
      <c r="O126" s="5" t="n">
        <v>0</v>
      </c>
      <c r="P126" s="5" t="n">
        <v>1</v>
      </c>
      <c r="Q126" s="5" t="n">
        <v>0</v>
      </c>
      <c r="R126" s="5" t="n">
        <v>1</v>
      </c>
      <c r="S126" s="5" t="n">
        <v>0</v>
      </c>
      <c r="T126" s="5" t="n">
        <v>0</v>
      </c>
      <c r="U126" s="5" t="inlineStr">
        <is>
          <t>training</t>
        </is>
      </c>
    </row>
    <row r="127">
      <c r="A127" s="5" t="n">
        <v>123</v>
      </c>
      <c r="B127" s="5" t="n">
        <v>0</v>
      </c>
      <c r="C127" s="6" t="n">
        <v>-0.7357010147163632</v>
      </c>
      <c r="D127" s="6" t="n">
        <v>-0.5187844686930705</v>
      </c>
      <c r="E127" s="6" t="n">
        <v>-1.003668658855008</v>
      </c>
      <c r="F127" s="6" t="n">
        <v>0.01674764143977723</v>
      </c>
      <c r="G127" s="5" t="n">
        <v>0</v>
      </c>
      <c r="H127" s="5" t="n">
        <v>0</v>
      </c>
      <c r="I127" s="5" t="n">
        <v>0</v>
      </c>
      <c r="J127" s="5" t="n">
        <v>0</v>
      </c>
      <c r="K127" s="5" t="n">
        <v>0</v>
      </c>
      <c r="L127" s="5" t="n">
        <v>0</v>
      </c>
      <c r="M127" s="5" t="n">
        <v>0</v>
      </c>
      <c r="N127" s="5" t="n">
        <v>0</v>
      </c>
      <c r="O127" s="5" t="n">
        <v>0</v>
      </c>
      <c r="P127" s="5" t="n">
        <v>1</v>
      </c>
      <c r="Q127" s="5" t="n">
        <v>0</v>
      </c>
      <c r="R127" s="5" t="n">
        <v>0</v>
      </c>
      <c r="S127" s="5" t="n">
        <v>0</v>
      </c>
      <c r="T127" s="5" t="n">
        <v>1</v>
      </c>
      <c r="U127" s="5" t="inlineStr">
        <is>
          <t>training</t>
        </is>
      </c>
    </row>
    <row r="128">
      <c r="A128" s="5" t="n">
        <v>124</v>
      </c>
      <c r="B128" s="5" t="n">
        <v>0</v>
      </c>
      <c r="C128" s="6" t="n">
        <v>-0.9042189173019176</v>
      </c>
      <c r="D128" s="6" t="n">
        <v>-0.8641286048273918</v>
      </c>
      <c r="E128" s="6" t="n">
        <v>2.38827914836729</v>
      </c>
      <c r="F128" s="6" t="n">
        <v>0.9185437189662378</v>
      </c>
      <c r="G128" s="5" t="n">
        <v>0</v>
      </c>
      <c r="H128" s="5" t="n">
        <v>0</v>
      </c>
      <c r="I128" s="5" t="n">
        <v>1</v>
      </c>
      <c r="J128" s="5" t="n">
        <v>1</v>
      </c>
      <c r="K128" s="5" t="n">
        <v>0</v>
      </c>
      <c r="L128" s="5" t="n">
        <v>0</v>
      </c>
      <c r="M128" s="5" t="n">
        <v>0</v>
      </c>
      <c r="N128" s="5" t="n">
        <v>0</v>
      </c>
      <c r="O128" s="5" t="n">
        <v>0</v>
      </c>
      <c r="P128" s="5" t="n">
        <v>0</v>
      </c>
      <c r="Q128" s="5" t="n">
        <v>1</v>
      </c>
      <c r="R128" s="5" t="n">
        <v>1</v>
      </c>
      <c r="S128" s="5" t="n">
        <v>0</v>
      </c>
      <c r="T128" s="5" t="n">
        <v>0</v>
      </c>
      <c r="U128" s="5" t="inlineStr">
        <is>
          <t>training</t>
        </is>
      </c>
    </row>
    <row r="129">
      <c r="A129" s="5" t="n">
        <v>125</v>
      </c>
      <c r="B129" s="5" t="n">
        <v>1</v>
      </c>
      <c r="C129" s="6" t="n">
        <v>-0.2301473069597001</v>
      </c>
      <c r="D129" s="6" t="n">
        <v>-0.4642012009757917</v>
      </c>
      <c r="E129" s="6" t="n">
        <v>-0.7427495967609852</v>
      </c>
      <c r="F129" s="6" t="n">
        <v>0.9185437189662378</v>
      </c>
      <c r="G129" s="5" t="n">
        <v>0</v>
      </c>
      <c r="H129" s="5" t="n">
        <v>1</v>
      </c>
      <c r="I129" s="5" t="n">
        <v>0</v>
      </c>
      <c r="J129" s="5" t="n">
        <v>0</v>
      </c>
      <c r="K129" s="5" t="n">
        <v>0</v>
      </c>
      <c r="L129" s="5" t="n">
        <v>0</v>
      </c>
      <c r="M129" s="5" t="n">
        <v>0</v>
      </c>
      <c r="N129" s="5" t="n">
        <v>0</v>
      </c>
      <c r="O129" s="5" t="n">
        <v>1</v>
      </c>
      <c r="P129" s="5" t="n">
        <v>1</v>
      </c>
      <c r="Q129" s="5" t="n">
        <v>0</v>
      </c>
      <c r="R129" s="5" t="n">
        <v>0</v>
      </c>
      <c r="S129" s="5" t="n">
        <v>0</v>
      </c>
      <c r="T129" s="5" t="n">
        <v>1</v>
      </c>
      <c r="U129" s="5" t="inlineStr">
        <is>
          <t>training</t>
        </is>
      </c>
    </row>
    <row r="130">
      <c r="A130" s="5" t="n">
        <v>126</v>
      </c>
      <c r="B130" s="5" t="n">
        <v>0</v>
      </c>
      <c r="C130" s="6" t="n">
        <v>-0.7357010147163632</v>
      </c>
      <c r="D130" s="6" t="n">
        <v>-0.3952723308456384</v>
      </c>
      <c r="E130" s="6" t="n">
        <v>-0.4818305346669622</v>
      </c>
      <c r="F130" s="6" t="n">
        <v>0.9185437189662378</v>
      </c>
      <c r="G130" s="5" t="n">
        <v>1</v>
      </c>
      <c r="H130" s="5" t="n">
        <v>0</v>
      </c>
      <c r="I130" s="5" t="n">
        <v>0</v>
      </c>
      <c r="J130" s="5" t="n">
        <v>1</v>
      </c>
      <c r="K130" s="5" t="n">
        <v>0</v>
      </c>
      <c r="L130" s="5" t="n">
        <v>0</v>
      </c>
      <c r="M130" s="5" t="n">
        <v>0</v>
      </c>
      <c r="N130" s="5" t="n">
        <v>0</v>
      </c>
      <c r="O130" s="5" t="n">
        <v>0</v>
      </c>
      <c r="P130" s="5" t="n">
        <v>0</v>
      </c>
      <c r="Q130" s="5" t="n">
        <v>0</v>
      </c>
      <c r="R130" s="5" t="n">
        <v>1</v>
      </c>
      <c r="S130" s="5" t="n">
        <v>0</v>
      </c>
      <c r="T130" s="5" t="n">
        <v>0</v>
      </c>
      <c r="U130" s="5" t="inlineStr">
        <is>
          <t>training</t>
        </is>
      </c>
    </row>
    <row r="131">
      <c r="A131" s="5" t="n">
        <v>127</v>
      </c>
      <c r="B131" s="5" t="n">
        <v>0</v>
      </c>
      <c r="C131" s="6" t="n">
        <v>-0.7357010147163632</v>
      </c>
      <c r="D131" s="6" t="n">
        <v>-0.892120024169586</v>
      </c>
      <c r="E131" s="6" t="n">
        <v>0.3878996723131141</v>
      </c>
      <c r="F131" s="6" t="n">
        <v>0.9185437189662378</v>
      </c>
      <c r="G131" s="5" t="n">
        <v>1</v>
      </c>
      <c r="H131" s="5" t="n">
        <v>0</v>
      </c>
      <c r="I131" s="5" t="n">
        <v>0</v>
      </c>
      <c r="J131" s="5" t="n">
        <v>0</v>
      </c>
      <c r="K131" s="5" t="n">
        <v>0</v>
      </c>
      <c r="L131" s="5" t="n">
        <v>0</v>
      </c>
      <c r="M131" s="5" t="n">
        <v>0</v>
      </c>
      <c r="N131" s="5" t="n">
        <v>0</v>
      </c>
      <c r="O131" s="5" t="n">
        <v>0</v>
      </c>
      <c r="P131" s="5" t="n">
        <v>0</v>
      </c>
      <c r="Q131" s="5" t="n">
        <v>0</v>
      </c>
      <c r="R131" s="5" t="n">
        <v>0</v>
      </c>
      <c r="S131" s="5" t="n">
        <v>1</v>
      </c>
      <c r="T131" s="5" t="n">
        <v>0</v>
      </c>
      <c r="U131" s="5" t="inlineStr">
        <is>
          <t>training</t>
        </is>
      </c>
    </row>
    <row r="132">
      <c r="A132" s="5" t="n">
        <v>128</v>
      </c>
      <c r="B132" s="5" t="n">
        <v>1</v>
      </c>
      <c r="C132" s="6" t="n">
        <v>-0.7357010147163632</v>
      </c>
      <c r="D132" s="6" t="n">
        <v>-0.9138133741597866</v>
      </c>
      <c r="E132" s="6" t="n">
        <v>-0.4818305346669622</v>
      </c>
      <c r="F132" s="6" t="n">
        <v>0.9185437189662378</v>
      </c>
      <c r="G132" s="5" t="n">
        <v>0</v>
      </c>
      <c r="H132" s="5" t="n">
        <v>1</v>
      </c>
      <c r="I132" s="5" t="n">
        <v>0</v>
      </c>
      <c r="J132" s="5" t="n">
        <v>0</v>
      </c>
      <c r="K132" s="5" t="n">
        <v>0</v>
      </c>
      <c r="L132" s="5" t="n">
        <v>0</v>
      </c>
      <c r="M132" s="5" t="n">
        <v>0</v>
      </c>
      <c r="N132" s="5" t="n">
        <v>0</v>
      </c>
      <c r="O132" s="5" t="n">
        <v>0</v>
      </c>
      <c r="P132" s="5" t="n">
        <v>0</v>
      </c>
      <c r="Q132" s="5" t="n">
        <v>0</v>
      </c>
      <c r="R132" s="5" t="n">
        <v>0</v>
      </c>
      <c r="S132" s="5" t="n">
        <v>0</v>
      </c>
      <c r="T132" s="5" t="n">
        <v>0</v>
      </c>
      <c r="U132" s="5" t="inlineStr">
        <is>
          <t>training</t>
        </is>
      </c>
    </row>
    <row r="133">
      <c r="A133" s="5" t="n">
        <v>129</v>
      </c>
      <c r="B133" s="5" t="n">
        <v>0</v>
      </c>
      <c r="C133" s="6" t="n">
        <v>-0.7357010147163632</v>
      </c>
      <c r="D133" s="6" t="n">
        <v>-0.4865943364495471</v>
      </c>
      <c r="E133" s="6" t="n">
        <v>-0.1339384518749317</v>
      </c>
      <c r="F133" s="6" t="n">
        <v>0.9185437189662378</v>
      </c>
      <c r="G133" s="5" t="n">
        <v>0</v>
      </c>
      <c r="H133" s="5" t="n">
        <v>1</v>
      </c>
      <c r="I133" s="5" t="n">
        <v>0</v>
      </c>
      <c r="J133" s="5" t="n">
        <v>1</v>
      </c>
      <c r="K133" s="5" t="n">
        <v>0</v>
      </c>
      <c r="L133" s="5" t="n">
        <v>0</v>
      </c>
      <c r="M133" s="5" t="n">
        <v>0</v>
      </c>
      <c r="N133" s="5" t="n">
        <v>0</v>
      </c>
      <c r="O133" s="5" t="n">
        <v>0</v>
      </c>
      <c r="P133" s="5" t="n">
        <v>0</v>
      </c>
      <c r="Q133" s="5" t="n">
        <v>0</v>
      </c>
      <c r="R133" s="5" t="n">
        <v>1</v>
      </c>
      <c r="S133" s="5" t="n">
        <v>0</v>
      </c>
      <c r="T133" s="5" t="n">
        <v>0</v>
      </c>
      <c r="U133" s="5" t="inlineStr">
        <is>
          <t>testing</t>
        </is>
      </c>
    </row>
    <row r="134">
      <c r="A134" s="5" t="n">
        <v>130</v>
      </c>
      <c r="B134" s="5" t="n">
        <v>1</v>
      </c>
      <c r="C134" s="6" t="n">
        <v>-0.7357010147163632</v>
      </c>
      <c r="D134" s="6" t="n">
        <v>0.08687986732365734</v>
      </c>
      <c r="E134" s="6" t="n">
        <v>-0.5688035553649698</v>
      </c>
      <c r="F134" s="6" t="n">
        <v>0.01674764143977723</v>
      </c>
      <c r="G134" s="5" t="n">
        <v>1</v>
      </c>
      <c r="H134" s="5" t="n">
        <v>0</v>
      </c>
      <c r="I134" s="5" t="n">
        <v>0</v>
      </c>
      <c r="J134" s="5" t="n">
        <v>1</v>
      </c>
      <c r="K134" s="5" t="n">
        <v>0</v>
      </c>
      <c r="L134" s="5" t="n">
        <v>0</v>
      </c>
      <c r="M134" s="5" t="n">
        <v>0</v>
      </c>
      <c r="N134" s="5" t="n">
        <v>0</v>
      </c>
      <c r="O134" s="5" t="n">
        <v>0</v>
      </c>
      <c r="P134" s="5" t="n">
        <v>0</v>
      </c>
      <c r="Q134" s="5" t="n">
        <v>0</v>
      </c>
      <c r="R134" s="5" t="n">
        <v>1</v>
      </c>
      <c r="S134" s="5" t="n">
        <v>0</v>
      </c>
      <c r="T134" s="5" t="n">
        <v>0</v>
      </c>
      <c r="U134" s="5" t="inlineStr">
        <is>
          <t>training</t>
        </is>
      </c>
    </row>
    <row r="135">
      <c r="A135" s="5" t="n">
        <v>131</v>
      </c>
      <c r="B135" s="5" t="n">
        <v>0</v>
      </c>
      <c r="C135" s="6" t="n">
        <v>2.297621231823615</v>
      </c>
      <c r="D135" s="6" t="n">
        <v>1.832144863309468</v>
      </c>
      <c r="E135" s="6" t="n">
        <v>-1.003668658855008</v>
      </c>
      <c r="F135" s="6" t="n">
        <v>-1.786844513613144</v>
      </c>
      <c r="G135" s="5" t="n">
        <v>0</v>
      </c>
      <c r="H135" s="5" t="n">
        <v>1</v>
      </c>
      <c r="I135" s="5" t="n">
        <v>0</v>
      </c>
      <c r="J135" s="5" t="n">
        <v>0</v>
      </c>
      <c r="K135" s="5" t="n">
        <v>0</v>
      </c>
      <c r="L135" s="5" t="n">
        <v>0</v>
      </c>
      <c r="M135" s="5" t="n">
        <v>0</v>
      </c>
      <c r="N135" s="5" t="n">
        <v>0</v>
      </c>
      <c r="O135" s="5" t="n">
        <v>1</v>
      </c>
      <c r="P135" s="5" t="n">
        <v>0</v>
      </c>
      <c r="Q135" s="5" t="n">
        <v>0</v>
      </c>
      <c r="R135" s="5" t="n">
        <v>1</v>
      </c>
      <c r="S135" s="5" t="n">
        <v>0</v>
      </c>
      <c r="T135" s="5" t="n">
        <v>0</v>
      </c>
      <c r="U135" s="5" t="inlineStr">
        <is>
          <t>training</t>
        </is>
      </c>
    </row>
    <row r="136">
      <c r="A136" s="5" t="n">
        <v>132</v>
      </c>
      <c r="B136" s="5" t="n">
        <v>1</v>
      </c>
      <c r="C136" s="6" t="n">
        <v>1.286513816310289</v>
      </c>
      <c r="D136" s="6" t="n">
        <v>1.272316476465583</v>
      </c>
      <c r="E136" s="6" t="n">
        <v>-0.5688035553649698</v>
      </c>
      <c r="F136" s="6" t="n">
        <v>0.9185437189662378</v>
      </c>
      <c r="G136" s="5" t="n">
        <v>1</v>
      </c>
      <c r="H136" s="5" t="n">
        <v>0</v>
      </c>
      <c r="I136" s="5" t="n">
        <v>0</v>
      </c>
      <c r="J136" s="5" t="n">
        <v>0</v>
      </c>
      <c r="K136" s="5" t="n">
        <v>1</v>
      </c>
      <c r="L136" s="5" t="n">
        <v>0</v>
      </c>
      <c r="M136" s="5" t="n">
        <v>0</v>
      </c>
      <c r="N136" s="5" t="n">
        <v>0</v>
      </c>
      <c r="O136" s="5" t="n">
        <v>0</v>
      </c>
      <c r="P136" s="5" t="n">
        <v>0</v>
      </c>
      <c r="Q136" s="5" t="n">
        <v>0</v>
      </c>
      <c r="R136" s="5" t="n">
        <v>0</v>
      </c>
      <c r="S136" s="5" t="n">
        <v>0</v>
      </c>
      <c r="T136" s="5" t="n">
        <v>0</v>
      </c>
      <c r="U136" s="5" t="inlineStr">
        <is>
          <t>testing</t>
        </is>
      </c>
    </row>
    <row r="137">
      <c r="A137" s="5" t="n">
        <v>133</v>
      </c>
      <c r="B137" s="5" t="n">
        <v>0</v>
      </c>
      <c r="C137" s="6" t="n">
        <v>-0.4829241608380317</v>
      </c>
      <c r="D137" s="6" t="n">
        <v>-0.1898852914222882</v>
      </c>
      <c r="E137" s="6" t="n">
        <v>-0.7427495967609852</v>
      </c>
      <c r="F137" s="6" t="n">
        <v>-0.8850484360866833</v>
      </c>
      <c r="G137" s="5" t="n">
        <v>0</v>
      </c>
      <c r="H137" s="5" t="n">
        <v>0</v>
      </c>
      <c r="I137" s="5" t="n">
        <v>0</v>
      </c>
      <c r="J137" s="5" t="n">
        <v>0</v>
      </c>
      <c r="K137" s="5" t="n">
        <v>0</v>
      </c>
      <c r="L137" s="5" t="n">
        <v>0</v>
      </c>
      <c r="M137" s="5" t="n">
        <v>0</v>
      </c>
      <c r="N137" s="5" t="n">
        <v>0</v>
      </c>
      <c r="O137" s="5" t="n">
        <v>0</v>
      </c>
      <c r="P137" s="5" t="n">
        <v>0</v>
      </c>
      <c r="Q137" s="5" t="n">
        <v>0</v>
      </c>
      <c r="R137" s="5" t="n">
        <v>0</v>
      </c>
      <c r="S137" s="5" t="n">
        <v>0</v>
      </c>
      <c r="T137" s="5" t="n">
        <v>1</v>
      </c>
      <c r="U137" s="5" t="inlineStr">
        <is>
          <t>training</t>
        </is>
      </c>
    </row>
    <row r="138">
      <c r="A138" s="5" t="n">
        <v>134</v>
      </c>
      <c r="B138" s="5" t="n">
        <v>0</v>
      </c>
      <c r="C138" s="6" t="n">
        <v>-0.2301473069597001</v>
      </c>
      <c r="D138" s="6" t="n">
        <v>-0.443207636469146</v>
      </c>
      <c r="E138" s="6" t="n">
        <v>0.9967108171991675</v>
      </c>
      <c r="F138" s="6" t="n">
        <v>0.9185437189662378</v>
      </c>
      <c r="G138" s="5" t="n">
        <v>0</v>
      </c>
      <c r="H138" s="5" t="n">
        <v>0</v>
      </c>
      <c r="I138" s="5" t="n">
        <v>0</v>
      </c>
      <c r="J138" s="5" t="n">
        <v>0</v>
      </c>
      <c r="K138" s="5" t="n">
        <v>0</v>
      </c>
      <c r="L138" s="5" t="n">
        <v>0</v>
      </c>
      <c r="M138" s="5" t="n">
        <v>0</v>
      </c>
      <c r="N138" s="5" t="n">
        <v>0</v>
      </c>
      <c r="O138" s="5" t="n">
        <v>0</v>
      </c>
      <c r="P138" s="5" t="n">
        <v>0</v>
      </c>
      <c r="Q138" s="5" t="n">
        <v>1</v>
      </c>
      <c r="R138" s="5" t="n">
        <v>0</v>
      </c>
      <c r="S138" s="5" t="n">
        <v>0</v>
      </c>
      <c r="T138" s="5" t="n">
        <v>1</v>
      </c>
      <c r="U138" s="5" t="inlineStr">
        <is>
          <t>training</t>
        </is>
      </c>
    </row>
    <row r="139">
      <c r="A139" s="5" t="n">
        <v>135</v>
      </c>
      <c r="B139" s="5" t="n">
        <v>0</v>
      </c>
      <c r="C139" s="6" t="n">
        <v>3.308728647336942</v>
      </c>
      <c r="D139" s="6" t="n">
        <v>2.411917136434666</v>
      </c>
      <c r="E139" s="6" t="n">
        <v>-1.264587720949031</v>
      </c>
      <c r="F139" s="6" t="n">
        <v>-0.8850484360866833</v>
      </c>
      <c r="G139" s="5" t="n">
        <v>0</v>
      </c>
      <c r="H139" s="5" t="n">
        <v>0</v>
      </c>
      <c r="I139" s="5" t="n">
        <v>0</v>
      </c>
      <c r="J139" s="5" t="n">
        <v>0</v>
      </c>
      <c r="K139" s="5" t="n">
        <v>0</v>
      </c>
      <c r="L139" s="5" t="n">
        <v>0</v>
      </c>
      <c r="M139" s="5" t="n">
        <v>1</v>
      </c>
      <c r="N139" s="5" t="n">
        <v>0</v>
      </c>
      <c r="O139" s="5" t="n">
        <v>0</v>
      </c>
      <c r="P139" s="5" t="n">
        <v>0</v>
      </c>
      <c r="Q139" s="5" t="n">
        <v>0</v>
      </c>
      <c r="R139" s="5" t="n">
        <v>0</v>
      </c>
      <c r="S139" s="5" t="n">
        <v>1</v>
      </c>
      <c r="T139" s="5" t="n">
        <v>0</v>
      </c>
      <c r="U139" s="5" t="inlineStr">
        <is>
          <t>training</t>
        </is>
      </c>
    </row>
    <row r="140">
      <c r="A140" s="5" t="n">
        <v>136</v>
      </c>
      <c r="B140" s="5" t="n">
        <v>0</v>
      </c>
      <c r="C140" s="6" t="n">
        <v>-0.7357010147163632</v>
      </c>
      <c r="D140" s="6" t="n">
        <v>-0.7035278363515524</v>
      </c>
      <c r="E140" s="6" t="n">
        <v>0.2139536309170988</v>
      </c>
      <c r="F140" s="6" t="n">
        <v>0.9185437189662378</v>
      </c>
      <c r="G140" s="5" t="n">
        <v>0</v>
      </c>
      <c r="H140" s="5" t="n">
        <v>0</v>
      </c>
      <c r="I140" s="5" t="n">
        <v>0</v>
      </c>
      <c r="J140" s="5" t="n">
        <v>1</v>
      </c>
      <c r="K140" s="5" t="n">
        <v>0</v>
      </c>
      <c r="L140" s="5" t="n">
        <v>0</v>
      </c>
      <c r="M140" s="5" t="n">
        <v>0</v>
      </c>
      <c r="N140" s="5" t="n">
        <v>0</v>
      </c>
      <c r="O140" s="5" t="n">
        <v>1</v>
      </c>
      <c r="P140" s="5" t="n">
        <v>0</v>
      </c>
      <c r="Q140" s="5" t="n">
        <v>0</v>
      </c>
      <c r="R140" s="5" t="n">
        <v>0</v>
      </c>
      <c r="S140" s="5" t="n">
        <v>1</v>
      </c>
      <c r="T140" s="5" t="n">
        <v>0</v>
      </c>
      <c r="U140" s="5" t="inlineStr">
        <is>
          <t>testing</t>
        </is>
      </c>
    </row>
    <row r="141">
      <c r="A141" s="5" t="n">
        <v>137</v>
      </c>
      <c r="B141" s="5" t="n">
        <v>0</v>
      </c>
      <c r="C141" s="6" t="n">
        <v>0.5281832546752946</v>
      </c>
      <c r="D141" s="6" t="n">
        <v>1.876231348773424</v>
      </c>
      <c r="E141" s="6" t="n">
        <v>-0.7427495967609852</v>
      </c>
      <c r="F141" s="6" t="n">
        <v>-0.8850484360866833</v>
      </c>
      <c r="G141" s="5" t="n">
        <v>0</v>
      </c>
      <c r="H141" s="5" t="n">
        <v>0</v>
      </c>
      <c r="I141" s="5" t="n">
        <v>0</v>
      </c>
      <c r="J141" s="5" t="n">
        <v>0</v>
      </c>
      <c r="K141" s="5" t="n">
        <v>1</v>
      </c>
      <c r="L141" s="5" t="n">
        <v>0</v>
      </c>
      <c r="M141" s="5" t="n">
        <v>0</v>
      </c>
      <c r="N141" s="5" t="n">
        <v>1</v>
      </c>
      <c r="O141" s="5" t="n">
        <v>0</v>
      </c>
      <c r="P141" s="5" t="n">
        <v>0</v>
      </c>
      <c r="Q141" s="5" t="n">
        <v>0</v>
      </c>
      <c r="R141" s="5" t="n">
        <v>1</v>
      </c>
      <c r="S141" s="5" t="n">
        <v>0</v>
      </c>
      <c r="T141" s="5" t="n">
        <v>0</v>
      </c>
      <c r="U141" s="5" t="inlineStr">
        <is>
          <t>training</t>
        </is>
      </c>
    </row>
    <row r="142">
      <c r="A142" s="5" t="n">
        <v>138</v>
      </c>
      <c r="B142" s="5" t="n">
        <v>1</v>
      </c>
      <c r="C142" s="6" t="n">
        <v>-0.7357010147163632</v>
      </c>
      <c r="D142" s="6" t="n">
        <v>-0.8693769959540533</v>
      </c>
      <c r="E142" s="6" t="n">
        <v>2.649198210461313</v>
      </c>
      <c r="F142" s="6" t="n">
        <v>0.9185437189662378</v>
      </c>
      <c r="G142" s="5" t="n">
        <v>0</v>
      </c>
      <c r="H142" s="5" t="n">
        <v>1</v>
      </c>
      <c r="I142" s="5" t="n">
        <v>0</v>
      </c>
      <c r="J142" s="5" t="n">
        <v>0</v>
      </c>
      <c r="K142" s="5" t="n">
        <v>0</v>
      </c>
      <c r="L142" s="5" t="n">
        <v>0</v>
      </c>
      <c r="M142" s="5" t="n">
        <v>1</v>
      </c>
      <c r="N142" s="5" t="n">
        <v>0</v>
      </c>
      <c r="O142" s="5" t="n">
        <v>0</v>
      </c>
      <c r="P142" s="5" t="n">
        <v>0</v>
      </c>
      <c r="Q142" s="5" t="n">
        <v>0</v>
      </c>
      <c r="R142" s="5" t="n">
        <v>0</v>
      </c>
      <c r="S142" s="5" t="n">
        <v>1</v>
      </c>
      <c r="T142" s="5" t="n">
        <v>0</v>
      </c>
      <c r="U142" s="5" t="inlineStr">
        <is>
          <t>training</t>
        </is>
      </c>
    </row>
    <row r="143">
      <c r="A143" s="5" t="n">
        <v>139</v>
      </c>
      <c r="B143" s="5" t="n">
        <v>0</v>
      </c>
      <c r="C143" s="6" t="n">
        <v>-0.4829241608380317</v>
      </c>
      <c r="D143" s="6" t="n">
        <v>-0.1828874365867396</v>
      </c>
      <c r="E143" s="6" t="n">
        <v>-0.04696543117692405</v>
      </c>
      <c r="F143" s="6" t="n">
        <v>0.9185437189662378</v>
      </c>
      <c r="G143" s="5" t="n">
        <v>0</v>
      </c>
      <c r="H143" s="5" t="n">
        <v>1</v>
      </c>
      <c r="I143" s="5" t="n">
        <v>0</v>
      </c>
      <c r="J143" s="5" t="n">
        <v>1</v>
      </c>
      <c r="K143" s="5" t="n">
        <v>0</v>
      </c>
      <c r="L143" s="5" t="n">
        <v>0</v>
      </c>
      <c r="M143" s="5" t="n">
        <v>0</v>
      </c>
      <c r="N143" s="5" t="n">
        <v>0</v>
      </c>
      <c r="O143" s="5" t="n">
        <v>1</v>
      </c>
      <c r="P143" s="5" t="n">
        <v>0</v>
      </c>
      <c r="Q143" s="5" t="n">
        <v>0</v>
      </c>
      <c r="R143" s="5" t="n">
        <v>0</v>
      </c>
      <c r="S143" s="5" t="n">
        <v>1</v>
      </c>
      <c r="T143" s="5" t="n">
        <v>0</v>
      </c>
      <c r="U143" s="5" t="inlineStr">
        <is>
          <t>training</t>
        </is>
      </c>
    </row>
    <row r="144">
      <c r="A144" s="5" t="n">
        <v>140</v>
      </c>
      <c r="B144" s="5" t="n">
        <v>0</v>
      </c>
      <c r="C144" s="6" t="n">
        <v>-0.7357010147163632</v>
      </c>
      <c r="D144" s="6" t="n">
        <v>-0.4792465888722211</v>
      </c>
      <c r="E144" s="6" t="n">
        <v>0.7357917551051447</v>
      </c>
      <c r="F144" s="6" t="n">
        <v>-0.8850484360866833</v>
      </c>
      <c r="G144" s="5" t="n">
        <v>0</v>
      </c>
      <c r="H144" s="5" t="n">
        <v>0</v>
      </c>
      <c r="I144" s="5" t="n">
        <v>1</v>
      </c>
      <c r="J144" s="5" t="n">
        <v>0</v>
      </c>
      <c r="K144" s="5" t="n">
        <v>0</v>
      </c>
      <c r="L144" s="5" t="n">
        <v>0</v>
      </c>
      <c r="M144" s="5" t="n">
        <v>0</v>
      </c>
      <c r="N144" s="5" t="n">
        <v>0</v>
      </c>
      <c r="O144" s="5" t="n">
        <v>0</v>
      </c>
      <c r="P144" s="5" t="n">
        <v>1</v>
      </c>
      <c r="Q144" s="5" t="n">
        <v>0</v>
      </c>
      <c r="R144" s="5" t="n">
        <v>0</v>
      </c>
      <c r="S144" s="5" t="n">
        <v>1</v>
      </c>
      <c r="T144" s="5" t="n">
        <v>0</v>
      </c>
      <c r="U144" s="5" t="inlineStr">
        <is>
          <t>testing</t>
        </is>
      </c>
    </row>
    <row r="145">
      <c r="A145" s="5" t="n">
        <v>141</v>
      </c>
      <c r="B145" s="5" t="n">
        <v>0</v>
      </c>
      <c r="C145" s="6" t="n">
        <v>-1.241254722473026</v>
      </c>
      <c r="D145" s="6" t="n">
        <v>-0.8893208822353666</v>
      </c>
      <c r="E145" s="6" t="n">
        <v>-0.7427495967609852</v>
      </c>
      <c r="F145" s="6" t="n">
        <v>-0.8850484360866833</v>
      </c>
      <c r="G145" s="5" t="n">
        <v>0</v>
      </c>
      <c r="H145" s="5" t="n">
        <v>0</v>
      </c>
      <c r="I145" s="5" t="n">
        <v>1</v>
      </c>
      <c r="J145" s="5" t="n">
        <v>0</v>
      </c>
      <c r="K145" s="5" t="n">
        <v>0</v>
      </c>
      <c r="L145" s="5" t="n">
        <v>0</v>
      </c>
      <c r="M145" s="5" t="n">
        <v>0</v>
      </c>
      <c r="N145" s="5" t="n">
        <v>1</v>
      </c>
      <c r="O145" s="5" t="n">
        <v>0</v>
      </c>
      <c r="P145" s="5" t="n">
        <v>0</v>
      </c>
      <c r="Q145" s="5" t="n">
        <v>0</v>
      </c>
      <c r="R145" s="5" t="n">
        <v>1</v>
      </c>
      <c r="S145" s="5" t="n">
        <v>0</v>
      </c>
      <c r="T145" s="5" t="n">
        <v>0</v>
      </c>
      <c r="U145" s="5" t="inlineStr">
        <is>
          <t>training</t>
        </is>
      </c>
    </row>
    <row r="146">
      <c r="A146" s="5" t="n">
        <v>142</v>
      </c>
      <c r="B146" s="5" t="n">
        <v>0</v>
      </c>
      <c r="C146" s="6" t="n">
        <v>1.286513816310289</v>
      </c>
      <c r="D146" s="6" t="n">
        <v>0.540340860667204</v>
      </c>
      <c r="E146" s="6" t="n">
        <v>-0.4818305346669622</v>
      </c>
      <c r="F146" s="6" t="n">
        <v>0.9185437189662378</v>
      </c>
      <c r="G146" s="5" t="n">
        <v>0</v>
      </c>
      <c r="H146" s="5" t="n">
        <v>1</v>
      </c>
      <c r="I146" s="5" t="n">
        <v>0</v>
      </c>
      <c r="J146" s="5" t="n">
        <v>0</v>
      </c>
      <c r="K146" s="5" t="n">
        <v>0</v>
      </c>
      <c r="L146" s="5" t="n">
        <v>0</v>
      </c>
      <c r="M146" s="5" t="n">
        <v>0</v>
      </c>
      <c r="N146" s="5" t="n">
        <v>0</v>
      </c>
      <c r="O146" s="5" t="n">
        <v>0</v>
      </c>
      <c r="P146" s="5" t="n">
        <v>0</v>
      </c>
      <c r="Q146" s="5" t="n">
        <v>0</v>
      </c>
      <c r="R146" s="5" t="n">
        <v>0</v>
      </c>
      <c r="S146" s="5" t="n">
        <v>1</v>
      </c>
      <c r="T146" s="5" t="n">
        <v>0</v>
      </c>
      <c r="U146" s="5" t="inlineStr">
        <is>
          <t>training</t>
        </is>
      </c>
    </row>
    <row r="147">
      <c r="A147" s="5" t="n">
        <v>143</v>
      </c>
      <c r="B147" s="5" t="n">
        <v>0</v>
      </c>
      <c r="C147" s="6" t="n">
        <v>0.5281832546752946</v>
      </c>
      <c r="D147" s="6" t="n">
        <v>0.05783876975613082</v>
      </c>
      <c r="E147" s="6" t="n">
        <v>-0.7427495967609852</v>
      </c>
      <c r="F147" s="6" t="n">
        <v>0.01674764143977723</v>
      </c>
      <c r="G147" s="5" t="n">
        <v>1</v>
      </c>
      <c r="H147" s="5" t="n">
        <v>0</v>
      </c>
      <c r="I147" s="5" t="n">
        <v>0</v>
      </c>
      <c r="J147" s="5" t="n">
        <v>0</v>
      </c>
      <c r="K147" s="5" t="n">
        <v>0</v>
      </c>
      <c r="L147" s="5" t="n">
        <v>0</v>
      </c>
      <c r="M147" s="5" t="n">
        <v>0</v>
      </c>
      <c r="N147" s="5" t="n">
        <v>0</v>
      </c>
      <c r="O147" s="5" t="n">
        <v>0</v>
      </c>
      <c r="P147" s="5" t="n">
        <v>0</v>
      </c>
      <c r="Q147" s="5" t="n">
        <v>0</v>
      </c>
      <c r="R147" s="5" t="n">
        <v>0</v>
      </c>
      <c r="S147" s="5" t="n">
        <v>1</v>
      </c>
      <c r="T147" s="5" t="n">
        <v>0</v>
      </c>
      <c r="U147" s="5" t="inlineStr">
        <is>
          <t>training</t>
        </is>
      </c>
    </row>
    <row r="148">
      <c r="A148" s="5" t="n">
        <v>144</v>
      </c>
      <c r="B148" s="5" t="n">
        <v>1</v>
      </c>
      <c r="C148" s="6" t="n">
        <v>-0.2301473069597001</v>
      </c>
      <c r="D148" s="6" t="n">
        <v>-0.2759589058995354</v>
      </c>
      <c r="E148" s="6" t="n">
        <v>-1.177614700251023</v>
      </c>
      <c r="F148" s="6" t="n">
        <v>-0.8850484360866833</v>
      </c>
      <c r="G148" s="5" t="n">
        <v>1</v>
      </c>
      <c r="H148" s="5" t="n">
        <v>0</v>
      </c>
      <c r="I148" s="5" t="n">
        <v>0</v>
      </c>
      <c r="J148" s="5" t="n">
        <v>0</v>
      </c>
      <c r="K148" s="5" t="n">
        <v>0</v>
      </c>
      <c r="L148" s="5" t="n">
        <v>0</v>
      </c>
      <c r="M148" s="5" t="n">
        <v>0</v>
      </c>
      <c r="N148" s="5" t="n">
        <v>0</v>
      </c>
      <c r="O148" s="5" t="n">
        <v>0</v>
      </c>
      <c r="P148" s="5" t="n">
        <v>0</v>
      </c>
      <c r="Q148" s="5" t="n">
        <v>0</v>
      </c>
      <c r="R148" s="5" t="n">
        <v>0</v>
      </c>
      <c r="S148" s="5" t="n">
        <v>0</v>
      </c>
      <c r="T148" s="5" t="n">
        <v>1</v>
      </c>
      <c r="U148" s="5" t="inlineStr">
        <is>
          <t>training</t>
        </is>
      </c>
    </row>
    <row r="149">
      <c r="A149" s="5" t="n">
        <v>145</v>
      </c>
      <c r="B149" s="5" t="n">
        <v>0</v>
      </c>
      <c r="C149" s="6" t="n">
        <v>0.02262954691863145</v>
      </c>
      <c r="D149" s="6" t="n">
        <v>-0.3368402429688079</v>
      </c>
      <c r="E149" s="6" t="n">
        <v>-1.090641679553016</v>
      </c>
      <c r="F149" s="6" t="n">
        <v>0.9185437189662378</v>
      </c>
      <c r="G149" s="5" t="n">
        <v>0</v>
      </c>
      <c r="H149" s="5" t="n">
        <v>0</v>
      </c>
      <c r="I149" s="5" t="n">
        <v>0</v>
      </c>
      <c r="J149" s="5" t="n">
        <v>1</v>
      </c>
      <c r="K149" s="5" t="n">
        <v>0</v>
      </c>
      <c r="L149" s="5" t="n">
        <v>0</v>
      </c>
      <c r="M149" s="5" t="n">
        <v>0</v>
      </c>
      <c r="N149" s="5" t="n">
        <v>0</v>
      </c>
      <c r="O149" s="5" t="n">
        <v>0</v>
      </c>
      <c r="P149" s="5" t="n">
        <v>0</v>
      </c>
      <c r="Q149" s="5" t="n">
        <v>0</v>
      </c>
      <c r="R149" s="5" t="n">
        <v>0</v>
      </c>
      <c r="S149" s="5" t="n">
        <v>0</v>
      </c>
      <c r="T149" s="5" t="n">
        <v>1</v>
      </c>
      <c r="U149" s="5" t="inlineStr">
        <is>
          <t>training</t>
        </is>
      </c>
    </row>
    <row r="150">
      <c r="A150" s="5" t="n">
        <v>146</v>
      </c>
      <c r="B150" s="5" t="n">
        <v>0</v>
      </c>
      <c r="C150" s="6" t="n">
        <v>2.297621231823615</v>
      </c>
      <c r="D150" s="6" t="n">
        <v>0.110322681022745</v>
      </c>
      <c r="E150" s="6" t="n">
        <v>-0.4818305346669622</v>
      </c>
      <c r="F150" s="6" t="n">
        <v>0.9185437189662378</v>
      </c>
      <c r="G150" s="5" t="n">
        <v>0</v>
      </c>
      <c r="H150" s="5" t="n">
        <v>1</v>
      </c>
      <c r="I150" s="5" t="n">
        <v>0</v>
      </c>
      <c r="J150" s="5" t="n">
        <v>0</v>
      </c>
      <c r="K150" s="5" t="n">
        <v>0</v>
      </c>
      <c r="L150" s="5" t="n">
        <v>1</v>
      </c>
      <c r="M150" s="5" t="n">
        <v>1</v>
      </c>
      <c r="N150" s="5" t="n">
        <v>0</v>
      </c>
      <c r="O150" s="5" t="n">
        <v>0</v>
      </c>
      <c r="P150" s="5" t="n">
        <v>0</v>
      </c>
      <c r="Q150" s="5" t="n">
        <v>0</v>
      </c>
      <c r="R150" s="5" t="n">
        <v>0</v>
      </c>
      <c r="S150" s="5" t="n">
        <v>0</v>
      </c>
      <c r="T150" s="5" t="n">
        <v>0</v>
      </c>
      <c r="U150" s="5" t="inlineStr">
        <is>
          <t>testing</t>
        </is>
      </c>
    </row>
    <row r="151">
      <c r="A151" s="5" t="n">
        <v>147</v>
      </c>
      <c r="B151" s="5" t="n">
        <v>0</v>
      </c>
      <c r="C151" s="6" t="n">
        <v>-1.241254722473026</v>
      </c>
      <c r="D151" s="6" t="n">
        <v>-0.836487078226975</v>
      </c>
      <c r="E151" s="6" t="n">
        <v>0.3009266516151065</v>
      </c>
      <c r="F151" s="6" t="n">
        <v>-1.786844513613144</v>
      </c>
      <c r="G151" s="5" t="n">
        <v>1</v>
      </c>
      <c r="H151" s="5" t="n">
        <v>0</v>
      </c>
      <c r="I151" s="5" t="n">
        <v>0</v>
      </c>
      <c r="J151" s="5" t="n">
        <v>1</v>
      </c>
      <c r="K151" s="5" t="n">
        <v>0</v>
      </c>
      <c r="L151" s="5" t="n">
        <v>0</v>
      </c>
      <c r="M151" s="5" t="n">
        <v>0</v>
      </c>
      <c r="N151" s="5" t="n">
        <v>0</v>
      </c>
      <c r="O151" s="5" t="n">
        <v>0</v>
      </c>
      <c r="P151" s="5" t="n">
        <v>0</v>
      </c>
      <c r="Q151" s="5" t="n">
        <v>0</v>
      </c>
      <c r="R151" s="5" t="n">
        <v>1</v>
      </c>
      <c r="S151" s="5" t="n">
        <v>0</v>
      </c>
      <c r="T151" s="5" t="n">
        <v>0</v>
      </c>
      <c r="U151" s="5" t="inlineStr">
        <is>
          <t>testing</t>
        </is>
      </c>
    </row>
    <row r="152">
      <c r="A152" s="5" t="n">
        <v>148</v>
      </c>
      <c r="B152" s="5" t="n">
        <v>0</v>
      </c>
      <c r="C152" s="6" t="n">
        <v>-0.7357010147163632</v>
      </c>
      <c r="D152" s="6" t="n">
        <v>-0.8987679862633572</v>
      </c>
      <c r="E152" s="6" t="n">
        <v>1.344602899991198</v>
      </c>
      <c r="F152" s="6" t="n">
        <v>0.9185437189662378</v>
      </c>
      <c r="G152" s="5" t="n">
        <v>0</v>
      </c>
      <c r="H152" s="5" t="n">
        <v>0</v>
      </c>
      <c r="I152" s="5" t="n">
        <v>0</v>
      </c>
      <c r="J152" s="5" t="n">
        <v>1</v>
      </c>
      <c r="K152" s="5" t="n">
        <v>0</v>
      </c>
      <c r="L152" s="5" t="n">
        <v>0</v>
      </c>
      <c r="M152" s="5" t="n">
        <v>1</v>
      </c>
      <c r="N152" s="5" t="n">
        <v>0</v>
      </c>
      <c r="O152" s="5" t="n">
        <v>0</v>
      </c>
      <c r="P152" s="5" t="n">
        <v>0</v>
      </c>
      <c r="Q152" s="5" t="n">
        <v>0</v>
      </c>
      <c r="R152" s="5" t="n">
        <v>1</v>
      </c>
      <c r="S152" s="5" t="n">
        <v>0</v>
      </c>
      <c r="T152" s="5" t="n">
        <v>0</v>
      </c>
      <c r="U152" s="5" t="inlineStr">
        <is>
          <t>training</t>
        </is>
      </c>
    </row>
    <row r="153">
      <c r="A153" s="5" t="n">
        <v>149</v>
      </c>
      <c r="B153" s="5" t="n">
        <v>0</v>
      </c>
      <c r="C153" s="6" t="n">
        <v>1.286513816310289</v>
      </c>
      <c r="D153" s="6" t="n">
        <v>0.7418790799310024</v>
      </c>
      <c r="E153" s="6" t="n">
        <v>-0.6557765760629775</v>
      </c>
      <c r="F153" s="6" t="n">
        <v>0.01674764143977723</v>
      </c>
      <c r="G153" s="5" t="n">
        <v>1</v>
      </c>
      <c r="H153" s="5" t="n">
        <v>0</v>
      </c>
      <c r="I153" s="5" t="n">
        <v>0</v>
      </c>
      <c r="J153" s="5" t="n">
        <v>1</v>
      </c>
      <c r="K153" s="5" t="n">
        <v>0</v>
      </c>
      <c r="L153" s="5" t="n">
        <v>0</v>
      </c>
      <c r="M153" s="5" t="n">
        <v>0</v>
      </c>
      <c r="N153" s="5" t="n">
        <v>0</v>
      </c>
      <c r="O153" s="5" t="n">
        <v>0</v>
      </c>
      <c r="P153" s="5" t="n">
        <v>0</v>
      </c>
      <c r="Q153" s="5" t="n">
        <v>0</v>
      </c>
      <c r="R153" s="5" t="n">
        <v>0</v>
      </c>
      <c r="S153" s="5" t="n">
        <v>0</v>
      </c>
      <c r="T153" s="5" t="n">
        <v>1</v>
      </c>
      <c r="U153" s="5" t="inlineStr">
        <is>
          <t>training</t>
        </is>
      </c>
    </row>
    <row r="154">
      <c r="A154" s="5" t="n">
        <v>150</v>
      </c>
      <c r="B154" s="5" t="n">
        <v>0</v>
      </c>
      <c r="C154" s="6" t="n">
        <v>-0.2301473069597001</v>
      </c>
      <c r="D154" s="6" t="n">
        <v>-0.5838645186636721</v>
      </c>
      <c r="E154" s="6" t="n">
        <v>0.9097377965011599</v>
      </c>
      <c r="F154" s="6" t="n">
        <v>0.9185437189662378</v>
      </c>
      <c r="G154" s="5" t="n">
        <v>0</v>
      </c>
      <c r="H154" s="5" t="n">
        <v>0</v>
      </c>
      <c r="I154" s="5" t="n">
        <v>0</v>
      </c>
      <c r="J154" s="5" t="n">
        <v>1</v>
      </c>
      <c r="K154" s="5" t="n">
        <v>0</v>
      </c>
      <c r="L154" s="5" t="n">
        <v>0</v>
      </c>
      <c r="M154" s="5" t="n">
        <v>0</v>
      </c>
      <c r="N154" s="5" t="n">
        <v>1</v>
      </c>
      <c r="O154" s="5" t="n">
        <v>0</v>
      </c>
      <c r="P154" s="5" t="n">
        <v>0</v>
      </c>
      <c r="Q154" s="5" t="n">
        <v>0</v>
      </c>
      <c r="R154" s="5" t="n">
        <v>0</v>
      </c>
      <c r="S154" s="5" t="n">
        <v>1</v>
      </c>
      <c r="T154" s="5" t="n">
        <v>0</v>
      </c>
      <c r="U154" s="5" t="inlineStr">
        <is>
          <t>training</t>
        </is>
      </c>
    </row>
    <row r="155">
      <c r="A155" s="5" t="n">
        <v>151</v>
      </c>
      <c r="B155" s="5" t="n">
        <v>0</v>
      </c>
      <c r="C155" s="6" t="n">
        <v>-1.241254722473026</v>
      </c>
      <c r="D155" s="6" t="n">
        <v>-0.6664392057231451</v>
      </c>
      <c r="E155" s="6" t="n">
        <v>0.5618457137091294</v>
      </c>
      <c r="F155" s="6" t="n">
        <v>-0.8850484360866833</v>
      </c>
      <c r="G155" s="5" t="n">
        <v>0</v>
      </c>
      <c r="H155" s="5" t="n">
        <v>0</v>
      </c>
      <c r="I155" s="5" t="n">
        <v>0</v>
      </c>
      <c r="J155" s="5" t="n">
        <v>0</v>
      </c>
      <c r="K155" s="5" t="n">
        <v>0</v>
      </c>
      <c r="L155" s="5" t="n">
        <v>0</v>
      </c>
      <c r="M155" s="5" t="n">
        <v>1</v>
      </c>
      <c r="N155" s="5" t="n">
        <v>0</v>
      </c>
      <c r="O155" s="5" t="n">
        <v>0</v>
      </c>
      <c r="P155" s="5" t="n">
        <v>0</v>
      </c>
      <c r="Q155" s="5" t="n">
        <v>1</v>
      </c>
      <c r="R155" s="5" t="n">
        <v>0</v>
      </c>
      <c r="S155" s="5" t="n">
        <v>1</v>
      </c>
      <c r="T155" s="5" t="n">
        <v>0</v>
      </c>
      <c r="U155" s="5" t="inlineStr">
        <is>
          <t>training</t>
        </is>
      </c>
    </row>
    <row r="156">
      <c r="A156" s="5" t="n">
        <v>152</v>
      </c>
      <c r="B156" s="5" t="n">
        <v>0</v>
      </c>
      <c r="C156" s="6" t="n">
        <v>-0.9042189173019176</v>
      </c>
      <c r="D156" s="6" t="n">
        <v>-0.4642012009757917</v>
      </c>
      <c r="E156" s="6" t="n">
        <v>0.2139536309170988</v>
      </c>
      <c r="F156" s="6" t="n">
        <v>-1.786844513613144</v>
      </c>
      <c r="G156" s="5" t="n">
        <v>0</v>
      </c>
      <c r="H156" s="5" t="n">
        <v>0</v>
      </c>
      <c r="I156" s="5" t="n">
        <v>0</v>
      </c>
      <c r="J156" s="5" t="n">
        <v>0</v>
      </c>
      <c r="K156" s="5" t="n">
        <v>0</v>
      </c>
      <c r="L156" s="5" t="n">
        <v>0</v>
      </c>
      <c r="M156" s="5" t="n">
        <v>0</v>
      </c>
      <c r="N156" s="5" t="n">
        <v>0</v>
      </c>
      <c r="O156" s="5" t="n">
        <v>0</v>
      </c>
      <c r="P156" s="5" t="n">
        <v>0</v>
      </c>
      <c r="Q156" s="5" t="n">
        <v>0</v>
      </c>
      <c r="R156" s="5" t="n">
        <v>0</v>
      </c>
      <c r="S156" s="5" t="n">
        <v>1</v>
      </c>
      <c r="T156" s="5" t="n">
        <v>0</v>
      </c>
      <c r="U156" s="5" t="inlineStr">
        <is>
          <t>training</t>
        </is>
      </c>
    </row>
    <row r="157">
      <c r="A157" s="5" t="n">
        <v>153</v>
      </c>
      <c r="B157" s="5" t="n">
        <v>0</v>
      </c>
      <c r="C157" s="6" t="n">
        <v>1.286513816310289</v>
      </c>
      <c r="D157" s="6" t="n">
        <v>0.9087779177588355</v>
      </c>
      <c r="E157" s="6" t="n">
        <v>-1.003668658855008</v>
      </c>
      <c r="F157" s="6" t="n">
        <v>0.9185437189662378</v>
      </c>
      <c r="G157" s="5" t="n">
        <v>0</v>
      </c>
      <c r="H157" s="5" t="n">
        <v>0</v>
      </c>
      <c r="I157" s="5" t="n">
        <v>1</v>
      </c>
      <c r="J157" s="5" t="n">
        <v>0</v>
      </c>
      <c r="K157" s="5" t="n">
        <v>0</v>
      </c>
      <c r="L157" s="5" t="n">
        <v>0</v>
      </c>
      <c r="M157" s="5" t="n">
        <v>0</v>
      </c>
      <c r="N157" s="5" t="n">
        <v>0</v>
      </c>
      <c r="O157" s="5" t="n">
        <v>0</v>
      </c>
      <c r="P157" s="5" t="n">
        <v>0</v>
      </c>
      <c r="Q157" s="5" t="n">
        <v>0</v>
      </c>
      <c r="R157" s="5" t="n">
        <v>0</v>
      </c>
      <c r="S157" s="5" t="n">
        <v>1</v>
      </c>
      <c r="T157" s="5" t="n">
        <v>0</v>
      </c>
      <c r="U157" s="5" t="inlineStr">
        <is>
          <t>training</t>
        </is>
      </c>
    </row>
    <row r="158">
      <c r="A158" s="5" t="n">
        <v>154</v>
      </c>
      <c r="B158" s="5" t="n">
        <v>0</v>
      </c>
      <c r="C158" s="6" t="n">
        <v>0.275406400796963</v>
      </c>
      <c r="D158" s="6" t="n">
        <v>1.577073054553723</v>
      </c>
      <c r="E158" s="6" t="n">
        <v>-0.5688035553649698</v>
      </c>
      <c r="F158" s="6" t="n">
        <v>-0.8850484360866833</v>
      </c>
      <c r="G158" s="5" t="n">
        <v>0</v>
      </c>
      <c r="H158" s="5" t="n">
        <v>1</v>
      </c>
      <c r="I158" s="5" t="n">
        <v>0</v>
      </c>
      <c r="J158" s="5" t="n">
        <v>1</v>
      </c>
      <c r="K158" s="5" t="n">
        <v>0</v>
      </c>
      <c r="L158" s="5" t="n">
        <v>0</v>
      </c>
      <c r="M158" s="5" t="n">
        <v>0</v>
      </c>
      <c r="N158" s="5" t="n">
        <v>1</v>
      </c>
      <c r="O158" s="5" t="n">
        <v>0</v>
      </c>
      <c r="P158" s="5" t="n">
        <v>1</v>
      </c>
      <c r="Q158" s="5" t="n">
        <v>0</v>
      </c>
      <c r="R158" s="5" t="n">
        <v>1</v>
      </c>
      <c r="S158" s="5" t="n">
        <v>0</v>
      </c>
      <c r="T158" s="5" t="n">
        <v>0</v>
      </c>
      <c r="U158" s="5" t="inlineStr">
        <is>
          <t>training</t>
        </is>
      </c>
    </row>
    <row r="159">
      <c r="A159" s="5" t="n">
        <v>155</v>
      </c>
      <c r="B159" s="5" t="n">
        <v>0</v>
      </c>
      <c r="C159" s="6" t="n">
        <v>0.275406400796963</v>
      </c>
      <c r="D159" s="6" t="n">
        <v>1.300307895807777</v>
      </c>
      <c r="E159" s="6" t="n">
        <v>0.04000758952108359</v>
      </c>
      <c r="F159" s="6" t="n">
        <v>0.9185437189662378</v>
      </c>
      <c r="G159" s="5" t="n">
        <v>0</v>
      </c>
      <c r="H159" s="5" t="n">
        <v>1</v>
      </c>
      <c r="I159" s="5" t="n">
        <v>0</v>
      </c>
      <c r="J159" s="5" t="n">
        <v>0</v>
      </c>
      <c r="K159" s="5" t="n">
        <v>1</v>
      </c>
      <c r="L159" s="5" t="n">
        <v>0</v>
      </c>
      <c r="M159" s="5" t="n">
        <v>1</v>
      </c>
      <c r="N159" s="5" t="n">
        <v>0</v>
      </c>
      <c r="O159" s="5" t="n">
        <v>0</v>
      </c>
      <c r="P159" s="5" t="n">
        <v>1</v>
      </c>
      <c r="Q159" s="5" t="n">
        <v>0</v>
      </c>
      <c r="R159" s="5" t="n">
        <v>0</v>
      </c>
      <c r="S159" s="5" t="n">
        <v>0</v>
      </c>
      <c r="T159" s="5" t="n">
        <v>0</v>
      </c>
      <c r="U159" s="5" t="inlineStr">
        <is>
          <t>testing</t>
        </is>
      </c>
    </row>
    <row r="160">
      <c r="A160" s="5" t="n">
        <v>156</v>
      </c>
      <c r="B160" s="5" t="n">
        <v>1</v>
      </c>
      <c r="C160" s="6" t="n">
        <v>-0.7357010147163632</v>
      </c>
      <c r="D160" s="6" t="n">
        <v>-0.6888323411969004</v>
      </c>
      <c r="E160" s="6" t="n">
        <v>-1.351560741647039</v>
      </c>
      <c r="F160" s="6" t="n">
        <v>-0.8850484360866833</v>
      </c>
      <c r="G160" s="5" t="n">
        <v>1</v>
      </c>
      <c r="H160" s="5" t="n">
        <v>0</v>
      </c>
      <c r="I160" s="5" t="n">
        <v>0</v>
      </c>
      <c r="J160" s="5" t="n">
        <v>0</v>
      </c>
      <c r="K160" s="5" t="n">
        <v>0</v>
      </c>
      <c r="L160" s="5" t="n">
        <v>0</v>
      </c>
      <c r="M160" s="5" t="n">
        <v>0</v>
      </c>
      <c r="N160" s="5" t="n">
        <v>0</v>
      </c>
      <c r="O160" s="5" t="n">
        <v>0</v>
      </c>
      <c r="P160" s="5" t="n">
        <v>1</v>
      </c>
      <c r="Q160" s="5" t="n">
        <v>0</v>
      </c>
      <c r="R160" s="5" t="n">
        <v>0</v>
      </c>
      <c r="S160" s="5" t="n">
        <v>0</v>
      </c>
      <c r="T160" s="5" t="n">
        <v>1</v>
      </c>
      <c r="U160" s="5" t="inlineStr">
        <is>
          <t>training</t>
        </is>
      </c>
    </row>
    <row r="161">
      <c r="A161" s="5" t="n">
        <v>157</v>
      </c>
      <c r="B161" s="5" t="n">
        <v>0</v>
      </c>
      <c r="C161" s="6" t="n">
        <v>-0.9884778685946948</v>
      </c>
      <c r="D161" s="6" t="n">
        <v>-0.6867329847462359</v>
      </c>
      <c r="E161" s="6" t="n">
        <v>1.083683837897175</v>
      </c>
      <c r="F161" s="6" t="n">
        <v>0.01674764143977723</v>
      </c>
      <c r="G161" s="5" t="n">
        <v>1</v>
      </c>
      <c r="H161" s="5" t="n">
        <v>0</v>
      </c>
      <c r="I161" s="5" t="n">
        <v>0</v>
      </c>
      <c r="J161" s="5" t="n">
        <v>1</v>
      </c>
      <c r="K161" s="5" t="n">
        <v>0</v>
      </c>
      <c r="L161" s="5" t="n">
        <v>0</v>
      </c>
      <c r="M161" s="5" t="n">
        <v>1</v>
      </c>
      <c r="N161" s="5" t="n">
        <v>0</v>
      </c>
      <c r="O161" s="5" t="n">
        <v>0</v>
      </c>
      <c r="P161" s="5" t="n">
        <v>0</v>
      </c>
      <c r="Q161" s="5" t="n">
        <v>0</v>
      </c>
      <c r="R161" s="5" t="n">
        <v>0</v>
      </c>
      <c r="S161" s="5" t="n">
        <v>0</v>
      </c>
      <c r="T161" s="5" t="n">
        <v>0</v>
      </c>
      <c r="U161" s="5" t="inlineStr">
        <is>
          <t>testing</t>
        </is>
      </c>
    </row>
    <row r="162">
      <c r="A162" s="5" t="n">
        <v>158</v>
      </c>
      <c r="B162" s="5" t="n">
        <v>0</v>
      </c>
      <c r="C162" s="6" t="n">
        <v>-0.7357010147163632</v>
      </c>
      <c r="D162" s="6" t="n">
        <v>-1.018781196693015</v>
      </c>
      <c r="E162" s="6" t="n">
        <v>0.8227647758031523</v>
      </c>
      <c r="F162" s="6" t="n">
        <v>0.9185437189662378</v>
      </c>
      <c r="G162" s="5" t="n">
        <v>1</v>
      </c>
      <c r="H162" s="5" t="n">
        <v>0</v>
      </c>
      <c r="I162" s="5" t="n">
        <v>0</v>
      </c>
      <c r="J162" s="5" t="n">
        <v>0</v>
      </c>
      <c r="K162" s="5" t="n">
        <v>0</v>
      </c>
      <c r="L162" s="5" t="n">
        <v>1</v>
      </c>
      <c r="M162" s="5" t="n">
        <v>0</v>
      </c>
      <c r="N162" s="5" t="n">
        <v>0</v>
      </c>
      <c r="O162" s="5" t="n">
        <v>0</v>
      </c>
      <c r="P162" s="5" t="n">
        <v>0</v>
      </c>
      <c r="Q162" s="5" t="n">
        <v>0</v>
      </c>
      <c r="R162" s="5" t="n">
        <v>0</v>
      </c>
      <c r="S162" s="5" t="n">
        <v>0</v>
      </c>
      <c r="T162" s="5" t="n">
        <v>0</v>
      </c>
      <c r="U162" s="5" t="inlineStr">
        <is>
          <t>training</t>
        </is>
      </c>
    </row>
    <row r="163">
      <c r="A163" s="5" t="n">
        <v>159</v>
      </c>
      <c r="B163" s="5" t="n">
        <v>0</v>
      </c>
      <c r="C163" s="6" t="n">
        <v>0.275406400796963</v>
      </c>
      <c r="D163" s="6" t="n">
        <v>0.0914284729667639</v>
      </c>
      <c r="E163" s="6" t="n">
        <v>0.2139536309170988</v>
      </c>
      <c r="F163" s="6" t="n">
        <v>-0.8850484360866833</v>
      </c>
      <c r="G163" s="5" t="n">
        <v>0</v>
      </c>
      <c r="H163" s="5" t="n">
        <v>1</v>
      </c>
      <c r="I163" s="5" t="n">
        <v>0</v>
      </c>
      <c r="J163" s="5" t="n">
        <v>0</v>
      </c>
      <c r="K163" s="5" t="n">
        <v>0</v>
      </c>
      <c r="L163" s="5" t="n">
        <v>0</v>
      </c>
      <c r="M163" s="5" t="n">
        <v>1</v>
      </c>
      <c r="N163" s="5" t="n">
        <v>0</v>
      </c>
      <c r="O163" s="5" t="n">
        <v>0</v>
      </c>
      <c r="P163" s="5" t="n">
        <v>0</v>
      </c>
      <c r="Q163" s="5" t="n">
        <v>0</v>
      </c>
      <c r="R163" s="5" t="n">
        <v>1</v>
      </c>
      <c r="S163" s="5" t="n">
        <v>0</v>
      </c>
      <c r="T163" s="5" t="n">
        <v>0</v>
      </c>
      <c r="U163" s="5" t="inlineStr">
        <is>
          <t>training</t>
        </is>
      </c>
    </row>
    <row r="164">
      <c r="A164" s="5" t="n">
        <v>160</v>
      </c>
      <c r="B164" s="5" t="n">
        <v>0</v>
      </c>
      <c r="C164" s="6" t="n">
        <v>-1.241254722473026</v>
      </c>
      <c r="D164" s="6" t="n">
        <v>-0.4732984122620048</v>
      </c>
      <c r="E164" s="6" t="n">
        <v>-0.1339384518749317</v>
      </c>
      <c r="F164" s="6" t="n">
        <v>-1.786844513613144</v>
      </c>
      <c r="G164" s="5" t="n">
        <v>0</v>
      </c>
      <c r="H164" s="5" t="n">
        <v>0</v>
      </c>
      <c r="I164" s="5" t="n">
        <v>0</v>
      </c>
      <c r="J164" s="5" t="n">
        <v>1</v>
      </c>
      <c r="K164" s="5" t="n">
        <v>0</v>
      </c>
      <c r="L164" s="5" t="n">
        <v>0</v>
      </c>
      <c r="M164" s="5" t="n">
        <v>0</v>
      </c>
      <c r="N164" s="5" t="n">
        <v>0</v>
      </c>
      <c r="O164" s="5" t="n">
        <v>1</v>
      </c>
      <c r="P164" s="5" t="n">
        <v>0</v>
      </c>
      <c r="Q164" s="5" t="n">
        <v>0</v>
      </c>
      <c r="R164" s="5" t="n">
        <v>0</v>
      </c>
      <c r="S164" s="5" t="n">
        <v>1</v>
      </c>
      <c r="T164" s="5" t="n">
        <v>0</v>
      </c>
      <c r="U164" s="5" t="inlineStr">
        <is>
          <t>training</t>
        </is>
      </c>
    </row>
    <row r="165">
      <c r="A165" s="5" t="n">
        <v>161</v>
      </c>
      <c r="B165" s="5" t="n">
        <v>0</v>
      </c>
      <c r="C165" s="6" t="n">
        <v>0.275406400796963</v>
      </c>
      <c r="D165" s="6" t="n">
        <v>-0.13250288177079</v>
      </c>
      <c r="E165" s="6" t="n">
        <v>0.04000758952108359</v>
      </c>
      <c r="F165" s="6" t="n">
        <v>0.01674764143977723</v>
      </c>
      <c r="G165" s="5" t="n">
        <v>0</v>
      </c>
      <c r="H165" s="5" t="n">
        <v>0</v>
      </c>
      <c r="I165" s="5" t="n">
        <v>0</v>
      </c>
      <c r="J165" s="5" t="n">
        <v>1</v>
      </c>
      <c r="K165" s="5" t="n">
        <v>0</v>
      </c>
      <c r="L165" s="5" t="n">
        <v>0</v>
      </c>
      <c r="M165" s="5" t="n">
        <v>1</v>
      </c>
      <c r="N165" s="5" t="n">
        <v>0</v>
      </c>
      <c r="O165" s="5" t="n">
        <v>0</v>
      </c>
      <c r="P165" s="5" t="n">
        <v>0</v>
      </c>
      <c r="Q165" s="5" t="n">
        <v>0</v>
      </c>
      <c r="R165" s="5" t="n">
        <v>0</v>
      </c>
      <c r="S165" s="5" t="n">
        <v>1</v>
      </c>
      <c r="T165" s="5" t="n">
        <v>0</v>
      </c>
      <c r="U165" s="5" t="inlineStr">
        <is>
          <t>training</t>
        </is>
      </c>
    </row>
    <row r="166">
      <c r="A166" s="5" t="n">
        <v>162</v>
      </c>
      <c r="B166" s="5" t="n">
        <v>0</v>
      </c>
      <c r="C166" s="6" t="n">
        <v>-0.2301473069597001</v>
      </c>
      <c r="D166" s="6" t="n">
        <v>-0.7682579935803766</v>
      </c>
      <c r="E166" s="6" t="n">
        <v>-0.4818305346669622</v>
      </c>
      <c r="F166" s="6" t="n">
        <v>0.9185437189662378</v>
      </c>
      <c r="G166" s="5" t="n">
        <v>0</v>
      </c>
      <c r="H166" s="5" t="n">
        <v>0</v>
      </c>
      <c r="I166" s="5" t="n">
        <v>0</v>
      </c>
      <c r="J166" s="5" t="n">
        <v>1</v>
      </c>
      <c r="K166" s="5" t="n">
        <v>0</v>
      </c>
      <c r="L166" s="5" t="n">
        <v>0</v>
      </c>
      <c r="M166" s="5" t="n">
        <v>0</v>
      </c>
      <c r="N166" s="5" t="n">
        <v>0</v>
      </c>
      <c r="O166" s="5" t="n">
        <v>0</v>
      </c>
      <c r="P166" s="5" t="n">
        <v>0</v>
      </c>
      <c r="Q166" s="5" t="n">
        <v>0</v>
      </c>
      <c r="R166" s="5" t="n">
        <v>1</v>
      </c>
      <c r="S166" s="5" t="n">
        <v>0</v>
      </c>
      <c r="T166" s="5" t="n">
        <v>0</v>
      </c>
      <c r="U166" s="5" t="inlineStr">
        <is>
          <t>training</t>
        </is>
      </c>
    </row>
    <row r="167">
      <c r="A167" s="5" t="n">
        <v>163</v>
      </c>
      <c r="B167" s="5" t="n">
        <v>0</v>
      </c>
      <c r="C167" s="6" t="n">
        <v>-0.4829241608380317</v>
      </c>
      <c r="D167" s="6" t="n">
        <v>-0.695830196032449</v>
      </c>
      <c r="E167" s="6" t="n">
        <v>0.04000758952108359</v>
      </c>
      <c r="F167" s="6" t="n">
        <v>0.9185437189662378</v>
      </c>
      <c r="G167" s="5" t="n">
        <v>0</v>
      </c>
      <c r="H167" s="5" t="n">
        <v>0</v>
      </c>
      <c r="I167" s="5" t="n">
        <v>0</v>
      </c>
      <c r="J167" s="5" t="n">
        <v>0</v>
      </c>
      <c r="K167" s="5" t="n">
        <v>0</v>
      </c>
      <c r="L167" s="5" t="n">
        <v>0</v>
      </c>
      <c r="M167" s="5" t="n">
        <v>1</v>
      </c>
      <c r="N167" s="5" t="n">
        <v>0</v>
      </c>
      <c r="O167" s="5" t="n">
        <v>0</v>
      </c>
      <c r="P167" s="5" t="n">
        <v>0</v>
      </c>
      <c r="Q167" s="5" t="n">
        <v>0</v>
      </c>
      <c r="R167" s="5" t="n">
        <v>0</v>
      </c>
      <c r="S167" s="5" t="n">
        <v>0</v>
      </c>
      <c r="T167" s="5" t="n">
        <v>0</v>
      </c>
      <c r="U167" s="5" t="inlineStr">
        <is>
          <t>training</t>
        </is>
      </c>
    </row>
    <row r="168">
      <c r="A168" s="5" t="n">
        <v>164</v>
      </c>
      <c r="B168" s="5" t="n">
        <v>0</v>
      </c>
      <c r="C168" s="6" t="n">
        <v>-0.9042189173019176</v>
      </c>
      <c r="D168" s="6" t="n">
        <v>1.41962132075388</v>
      </c>
      <c r="E168" s="6" t="n">
        <v>2.997090293253343</v>
      </c>
      <c r="F168" s="6" t="n">
        <v>-0.8850484360866833</v>
      </c>
      <c r="G168" s="5" t="n">
        <v>0</v>
      </c>
      <c r="H168" s="5" t="n">
        <v>1</v>
      </c>
      <c r="I168" s="5" t="n">
        <v>0</v>
      </c>
      <c r="J168" s="5" t="n">
        <v>0</v>
      </c>
      <c r="K168" s="5" t="n">
        <v>0</v>
      </c>
      <c r="L168" s="5" t="n">
        <v>0</v>
      </c>
      <c r="M168" s="5" t="n">
        <v>0</v>
      </c>
      <c r="N168" s="5" t="n">
        <v>0</v>
      </c>
      <c r="O168" s="5" t="n">
        <v>0</v>
      </c>
      <c r="P168" s="5" t="n">
        <v>0</v>
      </c>
      <c r="Q168" s="5" t="n">
        <v>1</v>
      </c>
      <c r="R168" s="5" t="n">
        <v>1</v>
      </c>
      <c r="S168" s="5" t="n">
        <v>0</v>
      </c>
      <c r="T168" s="5" t="n">
        <v>0</v>
      </c>
      <c r="U168" s="5" t="inlineStr">
        <is>
          <t>training</t>
        </is>
      </c>
    </row>
    <row r="169">
      <c r="A169" s="5" t="n">
        <v>165</v>
      </c>
      <c r="B169" s="5" t="n">
        <v>0</v>
      </c>
      <c r="C169" s="6" t="n">
        <v>1.286513816310289</v>
      </c>
      <c r="D169" s="6" t="n">
        <v>-0.8193423338798811</v>
      </c>
      <c r="E169" s="6" t="n">
        <v>0.04000758952108359</v>
      </c>
      <c r="F169" s="6" t="n">
        <v>0.9185437189662378</v>
      </c>
      <c r="G169" s="5" t="n">
        <v>0</v>
      </c>
      <c r="H169" s="5" t="n">
        <v>0</v>
      </c>
      <c r="I169" s="5" t="n">
        <v>0</v>
      </c>
      <c r="J169" s="5" t="n">
        <v>0</v>
      </c>
      <c r="K169" s="5" t="n">
        <v>0</v>
      </c>
      <c r="L169" s="5" t="n">
        <v>0</v>
      </c>
      <c r="M169" s="5" t="n">
        <v>1</v>
      </c>
      <c r="N169" s="5" t="n">
        <v>0</v>
      </c>
      <c r="O169" s="5" t="n">
        <v>0</v>
      </c>
      <c r="P169" s="5" t="n">
        <v>0</v>
      </c>
      <c r="Q169" s="5" t="n">
        <v>0</v>
      </c>
      <c r="R169" s="5" t="n">
        <v>1</v>
      </c>
      <c r="S169" s="5" t="n">
        <v>0</v>
      </c>
      <c r="T169" s="5" t="n">
        <v>0</v>
      </c>
      <c r="U169" s="5" t="inlineStr">
        <is>
          <t>testing</t>
        </is>
      </c>
    </row>
    <row r="170">
      <c r="A170" s="5" t="n">
        <v>166</v>
      </c>
      <c r="B170" s="5" t="n">
        <v>0</v>
      </c>
      <c r="C170" s="6" t="n">
        <v>-1.241254722473026</v>
      </c>
      <c r="D170" s="6" t="n">
        <v>-0.09541425114238263</v>
      </c>
      <c r="E170" s="6" t="n">
        <v>-0.307884493270947</v>
      </c>
      <c r="F170" s="6" t="n">
        <v>-1.786844513613144</v>
      </c>
      <c r="G170" s="5" t="n">
        <v>0</v>
      </c>
      <c r="H170" s="5" t="n">
        <v>0</v>
      </c>
      <c r="I170" s="5" t="n">
        <v>0</v>
      </c>
      <c r="J170" s="5" t="n">
        <v>0</v>
      </c>
      <c r="K170" s="5" t="n">
        <v>0</v>
      </c>
      <c r="L170" s="5" t="n">
        <v>0</v>
      </c>
      <c r="M170" s="5" t="n">
        <v>1</v>
      </c>
      <c r="N170" s="5" t="n">
        <v>0</v>
      </c>
      <c r="O170" s="5" t="n">
        <v>0</v>
      </c>
      <c r="P170" s="5" t="n">
        <v>0</v>
      </c>
      <c r="Q170" s="5" t="n">
        <v>0</v>
      </c>
      <c r="R170" s="5" t="n">
        <v>0</v>
      </c>
      <c r="S170" s="5" t="n">
        <v>0</v>
      </c>
      <c r="T170" s="5" t="n">
        <v>1</v>
      </c>
      <c r="U170" s="5" t="inlineStr">
        <is>
          <t>testing</t>
        </is>
      </c>
    </row>
    <row r="171">
      <c r="A171" s="5" t="n">
        <v>167</v>
      </c>
      <c r="B171" s="5" t="n">
        <v>1</v>
      </c>
      <c r="C171" s="6" t="n">
        <v>-0.2301473069597001</v>
      </c>
      <c r="D171" s="6" t="n">
        <v>-0.7416661452052921</v>
      </c>
      <c r="E171" s="6" t="n">
        <v>-0.2209114725729393</v>
      </c>
      <c r="F171" s="6" t="n">
        <v>0.9185437189662378</v>
      </c>
      <c r="G171" s="5" t="n">
        <v>1</v>
      </c>
      <c r="H171" s="5" t="n">
        <v>0</v>
      </c>
      <c r="I171" s="5" t="n">
        <v>0</v>
      </c>
      <c r="J171" s="5" t="n">
        <v>0</v>
      </c>
      <c r="K171" s="5" t="n">
        <v>0</v>
      </c>
      <c r="L171" s="5" t="n">
        <v>0</v>
      </c>
      <c r="M171" s="5" t="n">
        <v>0</v>
      </c>
      <c r="N171" s="5" t="n">
        <v>0</v>
      </c>
      <c r="O171" s="5" t="n">
        <v>0</v>
      </c>
      <c r="P171" s="5" t="n">
        <v>0</v>
      </c>
      <c r="Q171" s="5" t="n">
        <v>0</v>
      </c>
      <c r="R171" s="5" t="n">
        <v>0</v>
      </c>
      <c r="S171" s="5" t="n">
        <v>0</v>
      </c>
      <c r="T171" s="5" t="n">
        <v>1</v>
      </c>
      <c r="U171" s="5" t="inlineStr">
        <is>
          <t>training</t>
        </is>
      </c>
    </row>
    <row r="172">
      <c r="A172" s="5" t="n">
        <v>168</v>
      </c>
      <c r="B172" s="5" t="n">
        <v>0</v>
      </c>
      <c r="C172" s="6" t="n">
        <v>-0.8199599660091405</v>
      </c>
      <c r="D172" s="6" t="n">
        <v>-0.5856139823725591</v>
      </c>
      <c r="E172" s="6" t="n">
        <v>-1.351560741647039</v>
      </c>
      <c r="F172" s="6" t="n">
        <v>0.9185437189662378</v>
      </c>
      <c r="G172" s="5" t="n">
        <v>0</v>
      </c>
      <c r="H172" s="5" t="n">
        <v>1</v>
      </c>
      <c r="I172" s="5" t="n">
        <v>0</v>
      </c>
      <c r="J172" s="5" t="n">
        <v>0</v>
      </c>
      <c r="K172" s="5" t="n">
        <v>0</v>
      </c>
      <c r="L172" s="5" t="n">
        <v>0</v>
      </c>
      <c r="M172" s="5" t="n">
        <v>0</v>
      </c>
      <c r="N172" s="5" t="n">
        <v>1</v>
      </c>
      <c r="O172" s="5" t="n">
        <v>0</v>
      </c>
      <c r="P172" s="5" t="n">
        <v>0</v>
      </c>
      <c r="Q172" s="5" t="n">
        <v>0</v>
      </c>
      <c r="R172" s="5" t="n">
        <v>0</v>
      </c>
      <c r="S172" s="5" t="n">
        <v>0</v>
      </c>
      <c r="T172" s="5" t="n">
        <v>1</v>
      </c>
      <c r="U172" s="5" t="inlineStr">
        <is>
          <t>testing</t>
        </is>
      </c>
    </row>
    <row r="173">
      <c r="A173" s="5" t="n">
        <v>169</v>
      </c>
      <c r="B173" s="5" t="n">
        <v>0</v>
      </c>
      <c r="C173" s="6" t="n">
        <v>0.275406400796963</v>
      </c>
      <c r="D173" s="6" t="n">
        <v>0.2523791341843807</v>
      </c>
      <c r="E173" s="6" t="n">
        <v>-0.9166956381570004</v>
      </c>
      <c r="F173" s="6" t="n">
        <v>-0.8850484360866833</v>
      </c>
      <c r="G173" s="5" t="n">
        <v>0</v>
      </c>
      <c r="H173" s="5" t="n">
        <v>0</v>
      </c>
      <c r="I173" s="5" t="n">
        <v>0</v>
      </c>
      <c r="J173" s="5" t="n">
        <v>0</v>
      </c>
      <c r="K173" s="5" t="n">
        <v>0</v>
      </c>
      <c r="L173" s="5" t="n">
        <v>0</v>
      </c>
      <c r="M173" s="5" t="n">
        <v>0</v>
      </c>
      <c r="N173" s="5" t="n">
        <v>0</v>
      </c>
      <c r="O173" s="5" t="n">
        <v>0</v>
      </c>
      <c r="P173" s="5" t="n">
        <v>1</v>
      </c>
      <c r="Q173" s="5" t="n">
        <v>0</v>
      </c>
      <c r="R173" s="5" t="n">
        <v>0</v>
      </c>
      <c r="S173" s="5" t="n">
        <v>0</v>
      </c>
      <c r="T173" s="5" t="n">
        <v>1</v>
      </c>
      <c r="U173" s="5" t="inlineStr">
        <is>
          <t>training</t>
        </is>
      </c>
    </row>
    <row r="174">
      <c r="A174" s="5" t="n">
        <v>170</v>
      </c>
      <c r="B174" s="5" t="n">
        <v>1</v>
      </c>
      <c r="C174" s="6" t="n">
        <v>0.275406400796963</v>
      </c>
      <c r="D174" s="6" t="n">
        <v>-0.46035238081624</v>
      </c>
      <c r="E174" s="6" t="n">
        <v>-0.3948575139689546</v>
      </c>
      <c r="F174" s="6" t="n">
        <v>0.9185437189662378</v>
      </c>
      <c r="G174" s="5" t="n">
        <v>0</v>
      </c>
      <c r="H174" s="5" t="n">
        <v>1</v>
      </c>
      <c r="I174" s="5" t="n">
        <v>0</v>
      </c>
      <c r="J174" s="5" t="n">
        <v>1</v>
      </c>
      <c r="K174" s="5" t="n">
        <v>0</v>
      </c>
      <c r="L174" s="5" t="n">
        <v>0</v>
      </c>
      <c r="M174" s="5" t="n">
        <v>0</v>
      </c>
      <c r="N174" s="5" t="n">
        <v>0</v>
      </c>
      <c r="O174" s="5" t="n">
        <v>0</v>
      </c>
      <c r="P174" s="5" t="n">
        <v>0</v>
      </c>
      <c r="Q174" s="5" t="n">
        <v>0</v>
      </c>
      <c r="R174" s="5" t="n">
        <v>0</v>
      </c>
      <c r="S174" s="5" t="n">
        <v>0</v>
      </c>
      <c r="T174" s="5" t="n">
        <v>0</v>
      </c>
      <c r="U174" s="5" t="inlineStr">
        <is>
          <t>testing</t>
        </is>
      </c>
    </row>
    <row r="175">
      <c r="A175" s="5" t="n">
        <v>171</v>
      </c>
      <c r="B175" s="5" t="n">
        <v>1</v>
      </c>
      <c r="C175" s="6" t="n">
        <v>-0.4829241608380317</v>
      </c>
      <c r="D175" s="6" t="n">
        <v>-0.8049967314670065</v>
      </c>
      <c r="E175" s="6" t="n">
        <v>-0.2209114725729393</v>
      </c>
      <c r="F175" s="6" t="n">
        <v>0.9185437189662378</v>
      </c>
      <c r="G175" s="5" t="n">
        <v>1</v>
      </c>
      <c r="H175" s="5" t="n">
        <v>0</v>
      </c>
      <c r="I175" s="5" t="n">
        <v>0</v>
      </c>
      <c r="J175" s="5" t="n">
        <v>0</v>
      </c>
      <c r="K175" s="5" t="n">
        <v>0</v>
      </c>
      <c r="L175" s="5" t="n">
        <v>1</v>
      </c>
      <c r="M175" s="5" t="n">
        <v>0</v>
      </c>
      <c r="N175" s="5" t="n">
        <v>0</v>
      </c>
      <c r="O175" s="5" t="n">
        <v>0</v>
      </c>
      <c r="P175" s="5" t="n">
        <v>1</v>
      </c>
      <c r="Q175" s="5" t="n">
        <v>0</v>
      </c>
      <c r="R175" s="5" t="n">
        <v>1</v>
      </c>
      <c r="S175" s="5" t="n">
        <v>0</v>
      </c>
      <c r="T175" s="5" t="n">
        <v>0</v>
      </c>
      <c r="U175" s="5" t="inlineStr">
        <is>
          <t>testing</t>
        </is>
      </c>
    </row>
    <row r="176">
      <c r="A176" s="5" t="n">
        <v>172</v>
      </c>
      <c r="B176" s="5" t="n">
        <v>0</v>
      </c>
      <c r="C176" s="6" t="n">
        <v>-0.7357010147163632</v>
      </c>
      <c r="D176" s="6" t="n">
        <v>-0.8704266741793856</v>
      </c>
      <c r="E176" s="6" t="n">
        <v>-0.8297226174589928</v>
      </c>
      <c r="F176" s="6" t="n">
        <v>0.9185437189662378</v>
      </c>
      <c r="G176" s="5" t="n">
        <v>0</v>
      </c>
      <c r="H176" s="5" t="n">
        <v>0</v>
      </c>
      <c r="I176" s="5" t="n">
        <v>0</v>
      </c>
      <c r="J176" s="5" t="n">
        <v>0</v>
      </c>
      <c r="K176" s="5" t="n">
        <v>0</v>
      </c>
      <c r="L176" s="5" t="n">
        <v>0</v>
      </c>
      <c r="M176" s="5" t="n">
        <v>0</v>
      </c>
      <c r="N176" s="5" t="n">
        <v>0</v>
      </c>
      <c r="O176" s="5" t="n">
        <v>0</v>
      </c>
      <c r="P176" s="5" t="n">
        <v>0</v>
      </c>
      <c r="Q176" s="5" t="n">
        <v>0</v>
      </c>
      <c r="R176" s="5" t="n">
        <v>0</v>
      </c>
      <c r="S176" s="5" t="n">
        <v>0</v>
      </c>
      <c r="T176" s="5" t="n">
        <v>1</v>
      </c>
      <c r="U176" s="5" t="inlineStr">
        <is>
          <t>training</t>
        </is>
      </c>
    </row>
    <row r="177">
      <c r="A177" s="5" t="n">
        <v>173</v>
      </c>
      <c r="B177" s="5" t="n">
        <v>1</v>
      </c>
      <c r="C177" s="6" t="n">
        <v>0.275406400796963</v>
      </c>
      <c r="D177" s="6" t="n">
        <v>-0.4152162171269518</v>
      </c>
      <c r="E177" s="6" t="n">
        <v>-0.1339384518749317</v>
      </c>
      <c r="F177" s="6" t="n">
        <v>0.01674764143977723</v>
      </c>
      <c r="G177" s="5" t="n">
        <v>0</v>
      </c>
      <c r="H177" s="5" t="n">
        <v>1</v>
      </c>
      <c r="I177" s="5" t="n">
        <v>0</v>
      </c>
      <c r="J177" s="5" t="n">
        <v>0</v>
      </c>
      <c r="K177" s="5" t="n">
        <v>1</v>
      </c>
      <c r="L177" s="5" t="n">
        <v>0</v>
      </c>
      <c r="M177" s="5" t="n">
        <v>0</v>
      </c>
      <c r="N177" s="5" t="n">
        <v>0</v>
      </c>
      <c r="O177" s="5" t="n">
        <v>0</v>
      </c>
      <c r="P177" s="5" t="n">
        <v>0</v>
      </c>
      <c r="Q177" s="5" t="n">
        <v>0</v>
      </c>
      <c r="R177" s="5" t="n">
        <v>0</v>
      </c>
      <c r="S177" s="5" t="n">
        <v>0</v>
      </c>
      <c r="T177" s="5" t="n">
        <v>1</v>
      </c>
      <c r="U177" s="5" t="inlineStr">
        <is>
          <t>training</t>
        </is>
      </c>
    </row>
    <row r="178">
      <c r="A178" s="5" t="n">
        <v>174</v>
      </c>
      <c r="B178" s="5" t="n">
        <v>0</v>
      </c>
      <c r="C178" s="6" t="n">
        <v>-1.072736819887472</v>
      </c>
      <c r="D178" s="6" t="n">
        <v>-0.6426464992822799</v>
      </c>
      <c r="E178" s="6" t="n">
        <v>-0.2209114725729393</v>
      </c>
      <c r="F178" s="6" t="n">
        <v>0.9185437189662378</v>
      </c>
      <c r="G178" s="5" t="n">
        <v>0</v>
      </c>
      <c r="H178" s="5" t="n">
        <v>1</v>
      </c>
      <c r="I178" s="5" t="n">
        <v>0</v>
      </c>
      <c r="J178" s="5" t="n">
        <v>0</v>
      </c>
      <c r="K178" s="5" t="n">
        <v>0</v>
      </c>
      <c r="L178" s="5" t="n">
        <v>0</v>
      </c>
      <c r="M178" s="5" t="n">
        <v>0</v>
      </c>
      <c r="N178" s="5" t="n">
        <v>0</v>
      </c>
      <c r="O178" s="5" t="n">
        <v>0</v>
      </c>
      <c r="P178" s="5" t="n">
        <v>0</v>
      </c>
      <c r="Q178" s="5" t="n">
        <v>0</v>
      </c>
      <c r="R178" s="5" t="n">
        <v>0</v>
      </c>
      <c r="S178" s="5" t="n">
        <v>1</v>
      </c>
      <c r="T178" s="5" t="n">
        <v>0</v>
      </c>
      <c r="U178" s="5" t="inlineStr">
        <is>
          <t>training</t>
        </is>
      </c>
    </row>
    <row r="179">
      <c r="A179" s="5" t="n">
        <v>175</v>
      </c>
      <c r="B179" s="5" t="n">
        <v>1</v>
      </c>
      <c r="C179" s="6" t="n">
        <v>0.02262954691863145</v>
      </c>
      <c r="D179" s="6" t="n">
        <v>0.05713898427257596</v>
      </c>
      <c r="E179" s="6" t="n">
        <v>-0.8297226174589928</v>
      </c>
      <c r="F179" s="6" t="n">
        <v>-0.8850484360866833</v>
      </c>
      <c r="G179" s="5" t="n">
        <v>1</v>
      </c>
      <c r="H179" s="5" t="n">
        <v>0</v>
      </c>
      <c r="I179" s="5" t="n">
        <v>0</v>
      </c>
      <c r="J179" s="5" t="n">
        <v>0</v>
      </c>
      <c r="K179" s="5" t="n">
        <v>1</v>
      </c>
      <c r="L179" s="5" t="n">
        <v>0</v>
      </c>
      <c r="M179" s="5" t="n">
        <v>0</v>
      </c>
      <c r="N179" s="5" t="n">
        <v>0</v>
      </c>
      <c r="O179" s="5" t="n">
        <v>0</v>
      </c>
      <c r="P179" s="5" t="n">
        <v>0</v>
      </c>
      <c r="Q179" s="5" t="n">
        <v>0</v>
      </c>
      <c r="R179" s="5" t="n">
        <v>0</v>
      </c>
      <c r="S179" s="5" t="n">
        <v>0</v>
      </c>
      <c r="T179" s="5" t="n">
        <v>0</v>
      </c>
      <c r="U179" s="5" t="inlineStr">
        <is>
          <t>training</t>
        </is>
      </c>
    </row>
    <row r="180">
      <c r="A180" s="5" t="n">
        <v>176</v>
      </c>
      <c r="B180" s="5" t="n">
        <v>1</v>
      </c>
      <c r="C180" s="6" t="n">
        <v>0.7809601085536261</v>
      </c>
      <c r="D180" s="6" t="n">
        <v>1.481552336048485</v>
      </c>
      <c r="E180" s="6" t="n">
        <v>1.518548941387213</v>
      </c>
      <c r="F180" s="6" t="n">
        <v>0.9185437189662378</v>
      </c>
      <c r="G180" s="5" t="n">
        <v>0</v>
      </c>
      <c r="H180" s="5" t="n">
        <v>0</v>
      </c>
      <c r="I180" s="5" t="n">
        <v>0</v>
      </c>
      <c r="J180" s="5" t="n">
        <v>0</v>
      </c>
      <c r="K180" s="5" t="n">
        <v>0</v>
      </c>
      <c r="L180" s="5" t="n">
        <v>1</v>
      </c>
      <c r="M180" s="5" t="n">
        <v>0</v>
      </c>
      <c r="N180" s="5" t="n">
        <v>0</v>
      </c>
      <c r="O180" s="5" t="n">
        <v>1</v>
      </c>
      <c r="P180" s="5" t="n">
        <v>0</v>
      </c>
      <c r="Q180" s="5" t="n">
        <v>0</v>
      </c>
      <c r="R180" s="5" t="n">
        <v>1</v>
      </c>
      <c r="S180" s="5" t="n">
        <v>0</v>
      </c>
      <c r="T180" s="5" t="n">
        <v>0</v>
      </c>
      <c r="U180" s="5" t="inlineStr">
        <is>
          <t>testing</t>
        </is>
      </c>
    </row>
    <row r="181">
      <c r="A181" s="5" t="n">
        <v>177</v>
      </c>
      <c r="B181" s="5" t="n">
        <v>0</v>
      </c>
      <c r="C181" s="6" t="n">
        <v>-0.7357010147163632</v>
      </c>
      <c r="D181" s="6" t="n">
        <v>-0.2357212405951312</v>
      </c>
      <c r="E181" s="6" t="n">
        <v>0.5618457137091294</v>
      </c>
      <c r="F181" s="6" t="n">
        <v>-0.8850484360866833</v>
      </c>
      <c r="G181" s="5" t="n">
        <v>1</v>
      </c>
      <c r="H181" s="5" t="n">
        <v>0</v>
      </c>
      <c r="I181" s="5" t="n">
        <v>0</v>
      </c>
      <c r="J181" s="5" t="n">
        <v>0</v>
      </c>
      <c r="K181" s="5" t="n">
        <v>0</v>
      </c>
      <c r="L181" s="5" t="n">
        <v>0</v>
      </c>
      <c r="M181" s="5" t="n">
        <v>0</v>
      </c>
      <c r="N181" s="5" t="n">
        <v>0</v>
      </c>
      <c r="O181" s="5" t="n">
        <v>0</v>
      </c>
      <c r="P181" s="5" t="n">
        <v>0</v>
      </c>
      <c r="Q181" s="5" t="n">
        <v>0</v>
      </c>
      <c r="R181" s="5" t="n">
        <v>0</v>
      </c>
      <c r="S181" s="5" t="n">
        <v>0</v>
      </c>
      <c r="T181" s="5" t="n">
        <v>1</v>
      </c>
      <c r="U181" s="5" t="inlineStr">
        <is>
          <t>training</t>
        </is>
      </c>
    </row>
    <row r="182">
      <c r="A182" s="5" t="n">
        <v>178</v>
      </c>
      <c r="B182" s="5" t="n">
        <v>0</v>
      </c>
      <c r="C182" s="6" t="n">
        <v>-1.241254722473026</v>
      </c>
      <c r="D182" s="6" t="n">
        <v>-1.019131089434792</v>
      </c>
      <c r="E182" s="6" t="n">
        <v>1.431575920689206</v>
      </c>
      <c r="F182" s="6" t="n">
        <v>0.9185437189662378</v>
      </c>
      <c r="G182" s="5" t="n">
        <v>1</v>
      </c>
      <c r="H182" s="5" t="n">
        <v>0</v>
      </c>
      <c r="I182" s="5" t="n">
        <v>0</v>
      </c>
      <c r="J182" s="5" t="n">
        <v>1</v>
      </c>
      <c r="K182" s="5" t="n">
        <v>0</v>
      </c>
      <c r="L182" s="5" t="n">
        <v>0</v>
      </c>
      <c r="M182" s="5" t="n">
        <v>1</v>
      </c>
      <c r="N182" s="5" t="n">
        <v>0</v>
      </c>
      <c r="O182" s="5" t="n">
        <v>0</v>
      </c>
      <c r="P182" s="5" t="n">
        <v>0</v>
      </c>
      <c r="Q182" s="5" t="n">
        <v>0</v>
      </c>
      <c r="R182" s="5" t="n">
        <v>0</v>
      </c>
      <c r="S182" s="5" t="n">
        <v>1</v>
      </c>
      <c r="T182" s="5" t="n">
        <v>0</v>
      </c>
      <c r="U182" s="5" t="inlineStr">
        <is>
          <t>training</t>
        </is>
      </c>
    </row>
    <row r="183">
      <c r="A183" s="5" t="n">
        <v>179</v>
      </c>
      <c r="B183" s="5" t="n">
        <v>0</v>
      </c>
      <c r="C183" s="6" t="n">
        <v>-0.7357010147163632</v>
      </c>
      <c r="D183" s="6" t="n">
        <v>-0.450555384046472</v>
      </c>
      <c r="E183" s="6" t="n">
        <v>-0.3948575139689546</v>
      </c>
      <c r="F183" s="6" t="n">
        <v>0.9185437189662378</v>
      </c>
      <c r="G183" s="5" t="n">
        <v>0</v>
      </c>
      <c r="H183" s="5" t="n">
        <v>0</v>
      </c>
      <c r="I183" s="5" t="n">
        <v>0</v>
      </c>
      <c r="J183" s="5" t="n">
        <v>0</v>
      </c>
      <c r="K183" s="5" t="n">
        <v>0</v>
      </c>
      <c r="L183" s="5" t="n">
        <v>0</v>
      </c>
      <c r="M183" s="5" t="n">
        <v>0</v>
      </c>
      <c r="N183" s="5" t="n">
        <v>0</v>
      </c>
      <c r="O183" s="5" t="n">
        <v>0</v>
      </c>
      <c r="P183" s="5" t="n">
        <v>1</v>
      </c>
      <c r="Q183" s="5" t="n">
        <v>0</v>
      </c>
      <c r="R183" s="5" t="n">
        <v>0</v>
      </c>
      <c r="S183" s="5" t="n">
        <v>1</v>
      </c>
      <c r="T183" s="5" t="n">
        <v>0</v>
      </c>
      <c r="U183" s="5" t="inlineStr">
        <is>
          <t>training</t>
        </is>
      </c>
    </row>
    <row r="184">
      <c r="A184" s="5" t="n">
        <v>180</v>
      </c>
      <c r="B184" s="5" t="n">
        <v>0</v>
      </c>
      <c r="C184" s="6" t="n">
        <v>0.02262954691863145</v>
      </c>
      <c r="D184" s="6" t="n">
        <v>-0.9376060806006516</v>
      </c>
      <c r="E184" s="6" t="n">
        <v>2.562225189763305</v>
      </c>
      <c r="F184" s="6" t="n">
        <v>0.9185437189662378</v>
      </c>
      <c r="G184" s="5" t="n">
        <v>1</v>
      </c>
      <c r="H184" s="5" t="n">
        <v>0</v>
      </c>
      <c r="I184" s="5" t="n">
        <v>0</v>
      </c>
      <c r="J184" s="5" t="n">
        <v>1</v>
      </c>
      <c r="K184" s="5" t="n">
        <v>0</v>
      </c>
      <c r="L184" s="5" t="n">
        <v>0</v>
      </c>
      <c r="M184" s="5" t="n">
        <v>0</v>
      </c>
      <c r="N184" s="5" t="n">
        <v>0</v>
      </c>
      <c r="O184" s="5" t="n">
        <v>0</v>
      </c>
      <c r="P184" s="5" t="n">
        <v>0</v>
      </c>
      <c r="Q184" s="5" t="n">
        <v>0</v>
      </c>
      <c r="R184" s="5" t="n">
        <v>1</v>
      </c>
      <c r="S184" s="5" t="n">
        <v>0</v>
      </c>
      <c r="T184" s="5" t="n">
        <v>0</v>
      </c>
      <c r="U184" s="5" t="inlineStr">
        <is>
          <t>training</t>
        </is>
      </c>
    </row>
    <row r="185">
      <c r="A185" s="5" t="n">
        <v>181</v>
      </c>
      <c r="B185" s="5" t="n">
        <v>1</v>
      </c>
      <c r="C185" s="6" t="n">
        <v>1.286513816310289</v>
      </c>
      <c r="D185" s="6" t="n">
        <v>2.211778488137977</v>
      </c>
      <c r="E185" s="6" t="n">
        <v>-0.6557765760629775</v>
      </c>
      <c r="F185" s="6" t="n">
        <v>-1.786844513613144</v>
      </c>
      <c r="G185" s="5" t="n">
        <v>0</v>
      </c>
      <c r="H185" s="5" t="n">
        <v>0</v>
      </c>
      <c r="I185" s="5" t="n">
        <v>0</v>
      </c>
      <c r="J185" s="5" t="n">
        <v>0</v>
      </c>
      <c r="K185" s="5" t="n">
        <v>1</v>
      </c>
      <c r="L185" s="5" t="n">
        <v>0</v>
      </c>
      <c r="M185" s="5" t="n">
        <v>0</v>
      </c>
      <c r="N185" s="5" t="n">
        <v>0</v>
      </c>
      <c r="O185" s="5" t="n">
        <v>0</v>
      </c>
      <c r="P185" s="5" t="n">
        <v>0</v>
      </c>
      <c r="Q185" s="5" t="n">
        <v>0</v>
      </c>
      <c r="R185" s="5" t="n">
        <v>0</v>
      </c>
      <c r="S185" s="5" t="n">
        <v>0</v>
      </c>
      <c r="T185" s="5" t="n">
        <v>0</v>
      </c>
      <c r="U185" s="5" t="inlineStr">
        <is>
          <t>training</t>
        </is>
      </c>
    </row>
    <row r="186">
      <c r="A186" s="5" t="n">
        <v>182</v>
      </c>
      <c r="B186" s="5" t="n">
        <v>1</v>
      </c>
      <c r="C186" s="6" t="n">
        <v>1.286513816310289</v>
      </c>
      <c r="D186" s="6" t="n">
        <v>0.4213773284628785</v>
      </c>
      <c r="E186" s="6" t="n">
        <v>-0.4818305346669622</v>
      </c>
      <c r="F186" s="6" t="n">
        <v>-0.8850484360866833</v>
      </c>
      <c r="G186" s="5" t="n">
        <v>0</v>
      </c>
      <c r="H186" s="5" t="n">
        <v>1</v>
      </c>
      <c r="I186" s="5" t="n">
        <v>0</v>
      </c>
      <c r="J186" s="5" t="n">
        <v>0</v>
      </c>
      <c r="K186" s="5" t="n">
        <v>1</v>
      </c>
      <c r="L186" s="5" t="n">
        <v>0</v>
      </c>
      <c r="M186" s="5" t="n">
        <v>0</v>
      </c>
      <c r="N186" s="5" t="n">
        <v>0</v>
      </c>
      <c r="O186" s="5" t="n">
        <v>0</v>
      </c>
      <c r="P186" s="5" t="n">
        <v>0</v>
      </c>
      <c r="Q186" s="5" t="n">
        <v>0</v>
      </c>
      <c r="R186" s="5" t="n">
        <v>0</v>
      </c>
      <c r="S186" s="5" t="n">
        <v>0</v>
      </c>
      <c r="T186" s="5" t="n">
        <v>0</v>
      </c>
      <c r="U186" s="5" t="inlineStr">
        <is>
          <t>training</t>
        </is>
      </c>
    </row>
    <row r="187">
      <c r="A187" s="5" t="n">
        <v>183</v>
      </c>
      <c r="B187" s="5" t="n">
        <v>1</v>
      </c>
      <c r="C187" s="6" t="n">
        <v>0.02262954691863145</v>
      </c>
      <c r="D187" s="6" t="n">
        <v>-0.5611214904481392</v>
      </c>
      <c r="E187" s="6" t="n">
        <v>0.3878996723131141</v>
      </c>
      <c r="F187" s="6" t="n">
        <v>0.9185437189662378</v>
      </c>
      <c r="G187" s="5" t="n">
        <v>1</v>
      </c>
      <c r="H187" s="5" t="n">
        <v>0</v>
      </c>
      <c r="I187" s="5" t="n">
        <v>0</v>
      </c>
      <c r="J187" s="5" t="n">
        <v>0</v>
      </c>
      <c r="K187" s="5" t="n">
        <v>0</v>
      </c>
      <c r="L187" s="5" t="n">
        <v>1</v>
      </c>
      <c r="M187" s="5" t="n">
        <v>0</v>
      </c>
      <c r="N187" s="5" t="n">
        <v>0</v>
      </c>
      <c r="O187" s="5" t="n">
        <v>1</v>
      </c>
      <c r="P187" s="5" t="n">
        <v>0</v>
      </c>
      <c r="Q187" s="5" t="n">
        <v>0</v>
      </c>
      <c r="R187" s="5" t="n">
        <v>1</v>
      </c>
      <c r="S187" s="5" t="n">
        <v>0</v>
      </c>
      <c r="T187" s="5" t="n">
        <v>0</v>
      </c>
      <c r="U187" s="5" t="inlineStr">
        <is>
          <t>training</t>
        </is>
      </c>
    </row>
    <row r="188">
      <c r="A188" s="5" t="n">
        <v>184</v>
      </c>
      <c r="B188" s="5" t="n">
        <v>0</v>
      </c>
      <c r="C188" s="6" t="n">
        <v>0.275406400796963</v>
      </c>
      <c r="D188" s="6" t="n">
        <v>0.1841500495377823</v>
      </c>
      <c r="E188" s="6" t="n">
        <v>1.257629879293191</v>
      </c>
      <c r="F188" s="6" t="n">
        <v>0.9185437189662378</v>
      </c>
      <c r="G188" s="5" t="n">
        <v>0</v>
      </c>
      <c r="H188" s="5" t="n">
        <v>0</v>
      </c>
      <c r="I188" s="5" t="n">
        <v>0</v>
      </c>
      <c r="J188" s="5" t="n">
        <v>1</v>
      </c>
      <c r="K188" s="5" t="n">
        <v>0</v>
      </c>
      <c r="L188" s="5" t="n">
        <v>0</v>
      </c>
      <c r="M188" s="5" t="n">
        <v>0</v>
      </c>
      <c r="N188" s="5" t="n">
        <v>1</v>
      </c>
      <c r="O188" s="5" t="n">
        <v>0</v>
      </c>
      <c r="P188" s="5" t="n">
        <v>0</v>
      </c>
      <c r="Q188" s="5" t="n">
        <v>0</v>
      </c>
      <c r="R188" s="5" t="n">
        <v>0</v>
      </c>
      <c r="S188" s="5" t="n">
        <v>0</v>
      </c>
      <c r="T188" s="5" t="n">
        <v>1</v>
      </c>
      <c r="U188" s="5" t="inlineStr">
        <is>
          <t>testing</t>
        </is>
      </c>
    </row>
    <row r="189">
      <c r="A189" s="5" t="n">
        <v>185</v>
      </c>
      <c r="B189" s="5" t="n">
        <v>1</v>
      </c>
      <c r="C189" s="6" t="n">
        <v>-0.2301473069597001</v>
      </c>
      <c r="D189" s="6" t="n">
        <v>-0.8280896524243168</v>
      </c>
      <c r="E189" s="6" t="n">
        <v>0.04000758952108359</v>
      </c>
      <c r="F189" s="6" t="n">
        <v>0.9185437189662378</v>
      </c>
      <c r="G189" s="5" t="n">
        <v>0</v>
      </c>
      <c r="H189" s="5" t="n">
        <v>1</v>
      </c>
      <c r="I189" s="5" t="n">
        <v>0</v>
      </c>
      <c r="J189" s="5" t="n">
        <v>1</v>
      </c>
      <c r="K189" s="5" t="n">
        <v>0</v>
      </c>
      <c r="L189" s="5" t="n">
        <v>0</v>
      </c>
      <c r="M189" s="5" t="n">
        <v>0</v>
      </c>
      <c r="N189" s="5" t="n">
        <v>0</v>
      </c>
      <c r="O189" s="5" t="n">
        <v>0</v>
      </c>
      <c r="P189" s="5" t="n">
        <v>0</v>
      </c>
      <c r="Q189" s="5" t="n">
        <v>0</v>
      </c>
      <c r="R189" s="5" t="n">
        <v>1</v>
      </c>
      <c r="S189" s="5" t="n">
        <v>0</v>
      </c>
      <c r="T189" s="5" t="n">
        <v>0</v>
      </c>
      <c r="U189" s="5" t="inlineStr">
        <is>
          <t>training</t>
        </is>
      </c>
    </row>
    <row r="190">
      <c r="A190" s="5" t="n">
        <v>186</v>
      </c>
      <c r="B190" s="5" t="n">
        <v>0</v>
      </c>
      <c r="C190" s="6" t="n">
        <v>-0.4829241608380317</v>
      </c>
      <c r="D190" s="6" t="n">
        <v>-0.6615407073382611</v>
      </c>
      <c r="E190" s="6" t="n">
        <v>-0.3948575139689546</v>
      </c>
      <c r="F190" s="6" t="n">
        <v>0.9185437189662378</v>
      </c>
      <c r="G190" s="5" t="n">
        <v>0</v>
      </c>
      <c r="H190" s="5" t="n">
        <v>0</v>
      </c>
      <c r="I190" s="5" t="n">
        <v>0</v>
      </c>
      <c r="J190" s="5" t="n">
        <v>1</v>
      </c>
      <c r="K190" s="5" t="n">
        <v>0</v>
      </c>
      <c r="L190" s="5" t="n">
        <v>0</v>
      </c>
      <c r="M190" s="5" t="n">
        <v>0</v>
      </c>
      <c r="N190" s="5" t="n">
        <v>0</v>
      </c>
      <c r="O190" s="5" t="n">
        <v>0</v>
      </c>
      <c r="P190" s="5" t="n">
        <v>0</v>
      </c>
      <c r="Q190" s="5" t="n">
        <v>0</v>
      </c>
      <c r="R190" s="5" t="n">
        <v>0</v>
      </c>
      <c r="S190" s="5" t="n">
        <v>1</v>
      </c>
      <c r="T190" s="5" t="n">
        <v>0</v>
      </c>
      <c r="U190" s="5" t="inlineStr">
        <is>
          <t>training</t>
        </is>
      </c>
    </row>
    <row r="191">
      <c r="A191" s="5" t="n">
        <v>187</v>
      </c>
      <c r="B191" s="5" t="n">
        <v>1</v>
      </c>
      <c r="C191" s="6" t="n">
        <v>-0.9884778685946948</v>
      </c>
      <c r="D191" s="6" t="n">
        <v>0.6572050364208649</v>
      </c>
      <c r="E191" s="6" t="n">
        <v>3.344982376045374</v>
      </c>
      <c r="F191" s="6" t="n">
        <v>-0.8850484360866833</v>
      </c>
      <c r="G191" s="5" t="n">
        <v>0</v>
      </c>
      <c r="H191" s="5" t="n">
        <v>1</v>
      </c>
      <c r="I191" s="5" t="n">
        <v>0</v>
      </c>
      <c r="J191" s="5" t="n">
        <v>0</v>
      </c>
      <c r="K191" s="5" t="n">
        <v>0</v>
      </c>
      <c r="L191" s="5" t="n">
        <v>1</v>
      </c>
      <c r="M191" s="5" t="n">
        <v>0</v>
      </c>
      <c r="N191" s="5" t="n">
        <v>0</v>
      </c>
      <c r="O191" s="5" t="n">
        <v>0</v>
      </c>
      <c r="P191" s="5" t="n">
        <v>0</v>
      </c>
      <c r="Q191" s="5" t="n">
        <v>1</v>
      </c>
      <c r="R191" s="5" t="n">
        <v>1</v>
      </c>
      <c r="S191" s="5" t="n">
        <v>0</v>
      </c>
      <c r="T191" s="5" t="n">
        <v>0</v>
      </c>
      <c r="U191" s="5" t="inlineStr">
        <is>
          <t>training</t>
        </is>
      </c>
    </row>
    <row r="192">
      <c r="A192" s="5" t="n">
        <v>188</v>
      </c>
      <c r="B192" s="5" t="n">
        <v>0</v>
      </c>
      <c r="C192" s="6" t="n">
        <v>-0.3986652095452545</v>
      </c>
      <c r="D192" s="6" t="n">
        <v>-0.7262708645670852</v>
      </c>
      <c r="E192" s="6" t="n">
        <v>2.823144251857328</v>
      </c>
      <c r="F192" s="6" t="n">
        <v>-0.8850484360866833</v>
      </c>
      <c r="G192" s="5" t="n">
        <v>0</v>
      </c>
      <c r="H192" s="5" t="n">
        <v>1</v>
      </c>
      <c r="I192" s="5" t="n">
        <v>0</v>
      </c>
      <c r="J192" s="5" t="n">
        <v>1</v>
      </c>
      <c r="K192" s="5" t="n">
        <v>0</v>
      </c>
      <c r="L192" s="5" t="n">
        <v>0</v>
      </c>
      <c r="M192" s="5" t="n">
        <v>0</v>
      </c>
      <c r="N192" s="5" t="n">
        <v>0</v>
      </c>
      <c r="O192" s="5" t="n">
        <v>0</v>
      </c>
      <c r="P192" s="5" t="n">
        <v>0</v>
      </c>
      <c r="Q192" s="5" t="n">
        <v>1</v>
      </c>
      <c r="R192" s="5" t="n">
        <v>1</v>
      </c>
      <c r="S192" s="5" t="n">
        <v>0</v>
      </c>
      <c r="T192" s="5" t="n">
        <v>0</v>
      </c>
      <c r="U192" s="5" t="inlineStr">
        <is>
          <t>training</t>
        </is>
      </c>
    </row>
    <row r="193">
      <c r="A193" s="5" t="n">
        <v>189</v>
      </c>
      <c r="B193" s="5" t="n">
        <v>1</v>
      </c>
      <c r="C193" s="6" t="n">
        <v>-0.7357010147163632</v>
      </c>
      <c r="D193" s="6" t="n">
        <v>-0.9015671281975766</v>
      </c>
      <c r="E193" s="6" t="n">
        <v>-1.351560741647039</v>
      </c>
      <c r="F193" s="6" t="n">
        <v>0.9185437189662378</v>
      </c>
      <c r="G193" s="5" t="n">
        <v>1</v>
      </c>
      <c r="H193" s="5" t="n">
        <v>0</v>
      </c>
      <c r="I193" s="5" t="n">
        <v>0</v>
      </c>
      <c r="J193" s="5" t="n">
        <v>0</v>
      </c>
      <c r="K193" s="5" t="n">
        <v>0</v>
      </c>
      <c r="L193" s="5" t="n">
        <v>0</v>
      </c>
      <c r="M193" s="5" t="n">
        <v>1</v>
      </c>
      <c r="N193" s="5" t="n">
        <v>0</v>
      </c>
      <c r="O193" s="5" t="n">
        <v>0</v>
      </c>
      <c r="P193" s="5" t="n">
        <v>0</v>
      </c>
      <c r="Q193" s="5" t="n">
        <v>0</v>
      </c>
      <c r="R193" s="5" t="n">
        <v>0</v>
      </c>
      <c r="S193" s="5" t="n">
        <v>1</v>
      </c>
      <c r="T193" s="5" t="n">
        <v>0</v>
      </c>
      <c r="U193" s="5" t="inlineStr">
        <is>
          <t>training</t>
        </is>
      </c>
    </row>
    <row r="194">
      <c r="A194" s="5" t="n">
        <v>190</v>
      </c>
      <c r="B194" s="5" t="n">
        <v>0</v>
      </c>
      <c r="C194" s="6" t="n">
        <v>-0.2301473069597001</v>
      </c>
      <c r="D194" s="6" t="n">
        <v>-0.00234278182958679</v>
      </c>
      <c r="E194" s="6" t="n">
        <v>-0.2209114725729393</v>
      </c>
      <c r="F194" s="6" t="n">
        <v>-1.786844513613144</v>
      </c>
      <c r="G194" s="5" t="n">
        <v>0</v>
      </c>
      <c r="H194" s="5" t="n">
        <v>1</v>
      </c>
      <c r="I194" s="5" t="n">
        <v>0</v>
      </c>
      <c r="J194" s="5" t="n">
        <v>0</v>
      </c>
      <c r="K194" s="5" t="n">
        <v>0</v>
      </c>
      <c r="L194" s="5" t="n">
        <v>1</v>
      </c>
      <c r="M194" s="5" t="n">
        <v>0</v>
      </c>
      <c r="N194" s="5" t="n">
        <v>0</v>
      </c>
      <c r="O194" s="5" t="n">
        <v>0</v>
      </c>
      <c r="P194" s="5" t="n">
        <v>0</v>
      </c>
      <c r="Q194" s="5" t="n">
        <v>0</v>
      </c>
      <c r="R194" s="5" t="n">
        <v>0</v>
      </c>
      <c r="S194" s="5" t="n">
        <v>0</v>
      </c>
      <c r="T194" s="5" t="n">
        <v>1</v>
      </c>
      <c r="U194" s="5" t="inlineStr">
        <is>
          <t>training</t>
        </is>
      </c>
    </row>
    <row r="195">
      <c r="A195" s="5" t="n">
        <v>191</v>
      </c>
      <c r="B195" s="5" t="n">
        <v>1</v>
      </c>
      <c r="C195" s="6" t="n">
        <v>0.275406400796963</v>
      </c>
      <c r="D195" s="6" t="n">
        <v>0.4689627413446086</v>
      </c>
      <c r="E195" s="6" t="n">
        <v>1.605521962085221</v>
      </c>
      <c r="F195" s="6" t="n">
        <v>-0.8850484360866833</v>
      </c>
      <c r="G195" s="5" t="n">
        <v>0</v>
      </c>
      <c r="H195" s="5" t="n">
        <v>0</v>
      </c>
      <c r="I195" s="5" t="n">
        <v>0</v>
      </c>
      <c r="J195" s="5" t="n">
        <v>0</v>
      </c>
      <c r="K195" s="5" t="n">
        <v>0</v>
      </c>
      <c r="L195" s="5" t="n">
        <v>0</v>
      </c>
      <c r="M195" s="5" t="n">
        <v>0</v>
      </c>
      <c r="N195" s="5" t="n">
        <v>1</v>
      </c>
      <c r="O195" s="5" t="n">
        <v>0</v>
      </c>
      <c r="P195" s="5" t="n">
        <v>0</v>
      </c>
      <c r="Q195" s="5" t="n">
        <v>0</v>
      </c>
      <c r="R195" s="5" t="n">
        <v>0</v>
      </c>
      <c r="S195" s="5" t="n">
        <v>0</v>
      </c>
      <c r="T195" s="5" t="n">
        <v>0</v>
      </c>
      <c r="U195" s="5" t="inlineStr">
        <is>
          <t>training</t>
        </is>
      </c>
    </row>
    <row r="196">
      <c r="A196" s="5" t="n">
        <v>192</v>
      </c>
      <c r="B196" s="5" t="n">
        <v>1</v>
      </c>
      <c r="C196" s="6" t="n">
        <v>2.297621231823615</v>
      </c>
      <c r="D196" s="6" t="n">
        <v>0.20759286323687</v>
      </c>
      <c r="E196" s="6" t="n">
        <v>-0.1339384518749317</v>
      </c>
      <c r="F196" s="6" t="n">
        <v>0.9185437189662378</v>
      </c>
      <c r="G196" s="5" t="n">
        <v>0</v>
      </c>
      <c r="H196" s="5" t="n">
        <v>1</v>
      </c>
      <c r="I196" s="5" t="n">
        <v>0</v>
      </c>
      <c r="J196" s="5" t="n">
        <v>0</v>
      </c>
      <c r="K196" s="5" t="n">
        <v>0</v>
      </c>
      <c r="L196" s="5" t="n">
        <v>1</v>
      </c>
      <c r="M196" s="5" t="n">
        <v>1</v>
      </c>
      <c r="N196" s="5" t="n">
        <v>0</v>
      </c>
      <c r="O196" s="5" t="n">
        <v>0</v>
      </c>
      <c r="P196" s="5" t="n">
        <v>0</v>
      </c>
      <c r="Q196" s="5" t="n">
        <v>1</v>
      </c>
      <c r="R196" s="5" t="n">
        <v>0</v>
      </c>
      <c r="S196" s="5" t="n">
        <v>0</v>
      </c>
      <c r="T196" s="5" t="n">
        <v>0</v>
      </c>
      <c r="U196" s="5" t="inlineStr">
        <is>
          <t>training</t>
        </is>
      </c>
    </row>
    <row r="197">
      <c r="A197" s="5" t="n">
        <v>193</v>
      </c>
      <c r="B197" s="5" t="n">
        <v>1</v>
      </c>
      <c r="C197" s="6" t="n">
        <v>0.5281832546752946</v>
      </c>
      <c r="D197" s="6" t="n">
        <v>0.2324352479030674</v>
      </c>
      <c r="E197" s="6" t="n">
        <v>0.04000758952108359</v>
      </c>
      <c r="F197" s="6" t="n">
        <v>0.9185437189662378</v>
      </c>
      <c r="G197" s="5" t="n">
        <v>0</v>
      </c>
      <c r="H197" s="5" t="n">
        <v>1</v>
      </c>
      <c r="I197" s="5" t="n">
        <v>0</v>
      </c>
      <c r="J197" s="5" t="n">
        <v>0</v>
      </c>
      <c r="K197" s="5" t="n">
        <v>0</v>
      </c>
      <c r="L197" s="5" t="n">
        <v>0</v>
      </c>
      <c r="M197" s="5" t="n">
        <v>0</v>
      </c>
      <c r="N197" s="5" t="n">
        <v>0</v>
      </c>
      <c r="O197" s="5" t="n">
        <v>0</v>
      </c>
      <c r="P197" s="5" t="n">
        <v>0</v>
      </c>
      <c r="Q197" s="5" t="n">
        <v>0</v>
      </c>
      <c r="R197" s="5" t="n">
        <v>0</v>
      </c>
      <c r="S197" s="5" t="n">
        <v>0</v>
      </c>
      <c r="T197" s="5" t="n">
        <v>0</v>
      </c>
      <c r="U197" s="5" t="inlineStr">
        <is>
          <t>testing</t>
        </is>
      </c>
    </row>
    <row r="198">
      <c r="A198" s="5" t="n">
        <v>194</v>
      </c>
      <c r="B198" s="5" t="n">
        <v>0</v>
      </c>
      <c r="C198" s="6" t="n">
        <v>-1.241254722473026</v>
      </c>
      <c r="D198" s="6" t="n">
        <v>-0.3998209364887449</v>
      </c>
      <c r="E198" s="6" t="n">
        <v>-0.5688035553649698</v>
      </c>
      <c r="F198" s="6" t="n">
        <v>-0.8850484360866833</v>
      </c>
      <c r="G198" s="5" t="n">
        <v>0</v>
      </c>
      <c r="H198" s="5" t="n">
        <v>0</v>
      </c>
      <c r="I198" s="5" t="n">
        <v>0</v>
      </c>
      <c r="J198" s="5" t="n">
        <v>0</v>
      </c>
      <c r="K198" s="5" t="n">
        <v>0</v>
      </c>
      <c r="L198" s="5" t="n">
        <v>0</v>
      </c>
      <c r="M198" s="5" t="n">
        <v>0</v>
      </c>
      <c r="N198" s="5" t="n">
        <v>0</v>
      </c>
      <c r="O198" s="5" t="n">
        <v>0</v>
      </c>
      <c r="P198" s="5" t="n">
        <v>1</v>
      </c>
      <c r="Q198" s="5" t="n">
        <v>0</v>
      </c>
      <c r="R198" s="5" t="n">
        <v>0</v>
      </c>
      <c r="S198" s="5" t="n">
        <v>1</v>
      </c>
      <c r="T198" s="5" t="n">
        <v>0</v>
      </c>
      <c r="U198" s="5" t="inlineStr">
        <is>
          <t>testing</t>
        </is>
      </c>
    </row>
    <row r="199">
      <c r="A199" s="5" t="n">
        <v>195</v>
      </c>
      <c r="B199" s="5" t="n">
        <v>1</v>
      </c>
      <c r="C199" s="6" t="n">
        <v>2.044844377945284</v>
      </c>
      <c r="D199" s="6" t="n">
        <v>-0.07686993582817894</v>
      </c>
      <c r="E199" s="6" t="n">
        <v>-1.264587720949031</v>
      </c>
      <c r="F199" s="6" t="n">
        <v>0.9185437189662378</v>
      </c>
      <c r="G199" s="5" t="n">
        <v>0</v>
      </c>
      <c r="H199" s="5" t="n">
        <v>1</v>
      </c>
      <c r="I199" s="5" t="n">
        <v>0</v>
      </c>
      <c r="J199" s="5" t="n">
        <v>0</v>
      </c>
      <c r="K199" s="5" t="n">
        <v>0</v>
      </c>
      <c r="L199" s="5" t="n">
        <v>0</v>
      </c>
      <c r="M199" s="5" t="n">
        <v>1</v>
      </c>
      <c r="N199" s="5" t="n">
        <v>0</v>
      </c>
      <c r="O199" s="5" t="n">
        <v>0</v>
      </c>
      <c r="P199" s="5" t="n">
        <v>1</v>
      </c>
      <c r="Q199" s="5" t="n">
        <v>0</v>
      </c>
      <c r="R199" s="5" t="n">
        <v>0</v>
      </c>
      <c r="S199" s="5" t="n">
        <v>1</v>
      </c>
      <c r="T199" s="5" t="n">
        <v>0</v>
      </c>
      <c r="U199" s="5" t="inlineStr">
        <is>
          <t>training</t>
        </is>
      </c>
    </row>
    <row r="200">
      <c r="A200" s="5" t="n">
        <v>196</v>
      </c>
      <c r="B200" s="5" t="n">
        <v>1</v>
      </c>
      <c r="C200" s="6" t="n">
        <v>-0.9884778685946948</v>
      </c>
      <c r="D200" s="6" t="n">
        <v>-0.6122058307476437</v>
      </c>
      <c r="E200" s="6" t="n">
        <v>-0.1339384518749317</v>
      </c>
      <c r="F200" s="6" t="n">
        <v>-0.8850484360866833</v>
      </c>
      <c r="G200" s="5" t="n">
        <v>0</v>
      </c>
      <c r="H200" s="5" t="n">
        <v>1</v>
      </c>
      <c r="I200" s="5" t="n">
        <v>0</v>
      </c>
      <c r="J200" s="5" t="n">
        <v>1</v>
      </c>
      <c r="K200" s="5" t="n">
        <v>0</v>
      </c>
      <c r="L200" s="5" t="n">
        <v>0</v>
      </c>
      <c r="M200" s="5" t="n">
        <v>0</v>
      </c>
      <c r="N200" s="5" t="n">
        <v>0</v>
      </c>
      <c r="O200" s="5" t="n">
        <v>0</v>
      </c>
      <c r="P200" s="5" t="n">
        <v>0</v>
      </c>
      <c r="Q200" s="5" t="n">
        <v>0</v>
      </c>
      <c r="R200" s="5" t="n">
        <v>0</v>
      </c>
      <c r="S200" s="5" t="n">
        <v>0</v>
      </c>
      <c r="T200" s="5" t="n">
        <v>0</v>
      </c>
      <c r="U200" s="5" t="inlineStr">
        <is>
          <t>training</t>
        </is>
      </c>
    </row>
    <row r="201">
      <c r="A201" s="5" t="n">
        <v>197</v>
      </c>
      <c r="B201" s="5" t="n">
        <v>0</v>
      </c>
      <c r="C201" s="6" t="n">
        <v>-1.241254722473026</v>
      </c>
      <c r="D201" s="6" t="n">
        <v>-0.6538430670191576</v>
      </c>
      <c r="E201" s="6" t="n">
        <v>-0.6557765760629775</v>
      </c>
      <c r="F201" s="6" t="n">
        <v>-1.786844513613144</v>
      </c>
      <c r="G201" s="5" t="n">
        <v>0</v>
      </c>
      <c r="H201" s="5" t="n">
        <v>0</v>
      </c>
      <c r="I201" s="5" t="n">
        <v>0</v>
      </c>
      <c r="J201" s="5" t="n">
        <v>1</v>
      </c>
      <c r="K201" s="5" t="n">
        <v>0</v>
      </c>
      <c r="L201" s="5" t="n">
        <v>0</v>
      </c>
      <c r="M201" s="5" t="n">
        <v>0</v>
      </c>
      <c r="N201" s="5" t="n">
        <v>0</v>
      </c>
      <c r="O201" s="5" t="n">
        <v>0</v>
      </c>
      <c r="P201" s="5" t="n">
        <v>0</v>
      </c>
      <c r="Q201" s="5" t="n">
        <v>0</v>
      </c>
      <c r="R201" s="5" t="n">
        <v>0</v>
      </c>
      <c r="S201" s="5" t="n">
        <v>1</v>
      </c>
      <c r="T201" s="5" t="n">
        <v>0</v>
      </c>
      <c r="U201" s="5" t="inlineStr">
        <is>
          <t>training</t>
        </is>
      </c>
    </row>
    <row r="202">
      <c r="A202" s="5" t="n">
        <v>198</v>
      </c>
      <c r="B202" s="5" t="n">
        <v>1</v>
      </c>
      <c r="C202" s="6" t="n">
        <v>-0.7357010147163632</v>
      </c>
      <c r="D202" s="6" t="n">
        <v>-0.804646838725229</v>
      </c>
      <c r="E202" s="6" t="n">
        <v>-0.7427495967609852</v>
      </c>
      <c r="F202" s="6" t="n">
        <v>0.9185437189662378</v>
      </c>
      <c r="G202" s="5" t="n">
        <v>0</v>
      </c>
      <c r="H202" s="5" t="n">
        <v>1</v>
      </c>
      <c r="I202" s="5" t="n">
        <v>0</v>
      </c>
      <c r="J202" s="5" t="n">
        <v>0</v>
      </c>
      <c r="K202" s="5" t="n">
        <v>0</v>
      </c>
      <c r="L202" s="5" t="n">
        <v>0</v>
      </c>
      <c r="M202" s="5" t="n">
        <v>1</v>
      </c>
      <c r="N202" s="5" t="n">
        <v>0</v>
      </c>
      <c r="O202" s="5" t="n">
        <v>0</v>
      </c>
      <c r="P202" s="5" t="n">
        <v>1</v>
      </c>
      <c r="Q202" s="5" t="n">
        <v>0</v>
      </c>
      <c r="R202" s="5" t="n">
        <v>0</v>
      </c>
      <c r="S202" s="5" t="n">
        <v>0</v>
      </c>
      <c r="T202" s="5" t="n">
        <v>1</v>
      </c>
      <c r="U202" s="5" t="inlineStr">
        <is>
          <t>training</t>
        </is>
      </c>
    </row>
    <row r="203">
      <c r="A203" s="5" t="n">
        <v>199</v>
      </c>
      <c r="B203" s="5" t="n">
        <v>0</v>
      </c>
      <c r="C203" s="6" t="n">
        <v>0.275406400796963</v>
      </c>
      <c r="D203" s="6" t="n">
        <v>-0.1716908688498619</v>
      </c>
      <c r="E203" s="6" t="n">
        <v>0.04000758952108359</v>
      </c>
      <c r="F203" s="6" t="n">
        <v>0.9185437189662378</v>
      </c>
      <c r="G203" s="5" t="n">
        <v>0</v>
      </c>
      <c r="H203" s="5" t="n">
        <v>1</v>
      </c>
      <c r="I203" s="5" t="n">
        <v>0</v>
      </c>
      <c r="J203" s="5" t="n">
        <v>0</v>
      </c>
      <c r="K203" s="5" t="n">
        <v>0</v>
      </c>
      <c r="L203" s="5" t="n">
        <v>0</v>
      </c>
      <c r="M203" s="5" t="n">
        <v>0</v>
      </c>
      <c r="N203" s="5" t="n">
        <v>0</v>
      </c>
      <c r="O203" s="5" t="n">
        <v>1</v>
      </c>
      <c r="P203" s="5" t="n">
        <v>0</v>
      </c>
      <c r="Q203" s="5" t="n">
        <v>1</v>
      </c>
      <c r="R203" s="5" t="n">
        <v>1</v>
      </c>
      <c r="S203" s="5" t="n">
        <v>0</v>
      </c>
      <c r="T203" s="5" t="n">
        <v>0</v>
      </c>
      <c r="U203" s="5" t="inlineStr">
        <is>
          <t>training</t>
        </is>
      </c>
    </row>
    <row r="204">
      <c r="A204" s="5" t="n">
        <v>200</v>
      </c>
      <c r="B204" s="5" t="n">
        <v>1</v>
      </c>
      <c r="C204" s="6" t="n">
        <v>-0.2301473069597001</v>
      </c>
      <c r="D204" s="6" t="n">
        <v>0.3660942752620449</v>
      </c>
      <c r="E204" s="6" t="n">
        <v>0.3878996723131141</v>
      </c>
      <c r="F204" s="6" t="n">
        <v>0.9185437189662378</v>
      </c>
      <c r="G204" s="5" t="n">
        <v>0</v>
      </c>
      <c r="H204" s="5" t="n">
        <v>1</v>
      </c>
      <c r="I204" s="5" t="n">
        <v>0</v>
      </c>
      <c r="J204" s="5" t="n">
        <v>0</v>
      </c>
      <c r="K204" s="5" t="n">
        <v>1</v>
      </c>
      <c r="L204" s="5" t="n">
        <v>0</v>
      </c>
      <c r="M204" s="5" t="n">
        <v>0</v>
      </c>
      <c r="N204" s="5" t="n">
        <v>0</v>
      </c>
      <c r="O204" s="5" t="n">
        <v>0</v>
      </c>
      <c r="P204" s="5" t="n">
        <v>0</v>
      </c>
      <c r="Q204" s="5" t="n">
        <v>0</v>
      </c>
      <c r="R204" s="5" t="n">
        <v>0</v>
      </c>
      <c r="S204" s="5" t="n">
        <v>0</v>
      </c>
      <c r="T204" s="5" t="n">
        <v>1</v>
      </c>
      <c r="U204" s="5" t="inlineStr">
        <is>
          <t>training</t>
        </is>
      </c>
    </row>
    <row r="205">
      <c r="A205" s="5" t="n">
        <v>201</v>
      </c>
      <c r="B205" s="5" t="n">
        <v>0</v>
      </c>
      <c r="C205" s="6" t="n">
        <v>-0.9884778685946948</v>
      </c>
      <c r="D205" s="6" t="n">
        <v>-0.8098952298518904</v>
      </c>
      <c r="E205" s="6" t="n">
        <v>1.431575920689206</v>
      </c>
      <c r="F205" s="6" t="n">
        <v>0.9185437189662378</v>
      </c>
      <c r="G205" s="5" t="n">
        <v>0</v>
      </c>
      <c r="H205" s="5" t="n">
        <v>0</v>
      </c>
      <c r="I205" s="5" t="n">
        <v>0</v>
      </c>
      <c r="J205" s="5" t="n">
        <v>1</v>
      </c>
      <c r="K205" s="5" t="n">
        <v>0</v>
      </c>
      <c r="L205" s="5" t="n">
        <v>0</v>
      </c>
      <c r="M205" s="5" t="n">
        <v>1</v>
      </c>
      <c r="N205" s="5" t="n">
        <v>0</v>
      </c>
      <c r="O205" s="5" t="n">
        <v>0</v>
      </c>
      <c r="P205" s="5" t="n">
        <v>0</v>
      </c>
      <c r="Q205" s="5" t="n">
        <v>0</v>
      </c>
      <c r="R205" s="5" t="n">
        <v>0</v>
      </c>
      <c r="S205" s="5" t="n">
        <v>0</v>
      </c>
      <c r="T205" s="5" t="n">
        <v>0</v>
      </c>
      <c r="U205" s="5" t="inlineStr">
        <is>
          <t>training</t>
        </is>
      </c>
    </row>
    <row r="206">
      <c r="A206" s="5" t="n">
        <v>202</v>
      </c>
      <c r="B206" s="5" t="n">
        <v>0</v>
      </c>
      <c r="C206" s="6" t="n">
        <v>-0.7357010147163632</v>
      </c>
      <c r="D206" s="6" t="n">
        <v>-0.7287201137595272</v>
      </c>
      <c r="E206" s="6" t="n">
        <v>-0.7427495967609852</v>
      </c>
      <c r="F206" s="6" t="n">
        <v>0.9185437189662378</v>
      </c>
      <c r="G206" s="5" t="n">
        <v>1</v>
      </c>
      <c r="H206" s="5" t="n">
        <v>0</v>
      </c>
      <c r="I206" s="5" t="n">
        <v>0</v>
      </c>
      <c r="J206" s="5" t="n">
        <v>0</v>
      </c>
      <c r="K206" s="5" t="n">
        <v>0</v>
      </c>
      <c r="L206" s="5" t="n">
        <v>0</v>
      </c>
      <c r="M206" s="5" t="n">
        <v>0</v>
      </c>
      <c r="N206" s="5" t="n">
        <v>0</v>
      </c>
      <c r="O206" s="5" t="n">
        <v>0</v>
      </c>
      <c r="P206" s="5" t="n">
        <v>0</v>
      </c>
      <c r="Q206" s="5" t="n">
        <v>0</v>
      </c>
      <c r="R206" s="5" t="n">
        <v>1</v>
      </c>
      <c r="S206" s="5" t="n">
        <v>0</v>
      </c>
      <c r="T206" s="5" t="n">
        <v>0</v>
      </c>
      <c r="U206" s="5" t="inlineStr">
        <is>
          <t>training</t>
        </is>
      </c>
    </row>
    <row r="207">
      <c r="A207" s="5" t="n">
        <v>203</v>
      </c>
      <c r="B207" s="5" t="n">
        <v>0</v>
      </c>
      <c r="C207" s="6" t="n">
        <v>0.5281832546752946</v>
      </c>
      <c r="D207" s="6" t="n">
        <v>0.6530063235195358</v>
      </c>
      <c r="E207" s="6" t="n">
        <v>-0.8297226174589928</v>
      </c>
      <c r="F207" s="6" t="n">
        <v>0.01674764143977723</v>
      </c>
      <c r="G207" s="5" t="n">
        <v>0</v>
      </c>
      <c r="H207" s="5" t="n">
        <v>0</v>
      </c>
      <c r="I207" s="5" t="n">
        <v>0</v>
      </c>
      <c r="J207" s="5" t="n">
        <v>0</v>
      </c>
      <c r="K207" s="5" t="n">
        <v>1</v>
      </c>
      <c r="L207" s="5" t="n">
        <v>0</v>
      </c>
      <c r="M207" s="5" t="n">
        <v>0</v>
      </c>
      <c r="N207" s="5" t="n">
        <v>0</v>
      </c>
      <c r="O207" s="5" t="n">
        <v>0</v>
      </c>
      <c r="P207" s="5" t="n">
        <v>0</v>
      </c>
      <c r="Q207" s="5" t="n">
        <v>0</v>
      </c>
      <c r="R207" s="5" t="n">
        <v>0</v>
      </c>
      <c r="S207" s="5" t="n">
        <v>0</v>
      </c>
      <c r="T207" s="5" t="n">
        <v>0</v>
      </c>
      <c r="U207" s="5" t="inlineStr">
        <is>
          <t>testing</t>
        </is>
      </c>
    </row>
    <row r="208">
      <c r="A208" s="5" t="n">
        <v>204</v>
      </c>
      <c r="B208" s="5" t="n">
        <v>1</v>
      </c>
      <c r="C208" s="6" t="n">
        <v>-0.7357010147163632</v>
      </c>
      <c r="D208" s="6" t="n">
        <v>-0.821791583072323</v>
      </c>
      <c r="E208" s="6" t="n">
        <v>-1.264587720949031</v>
      </c>
      <c r="F208" s="6" t="n">
        <v>0.9185437189662378</v>
      </c>
      <c r="G208" s="5" t="n">
        <v>1</v>
      </c>
      <c r="H208" s="5" t="n">
        <v>0</v>
      </c>
      <c r="I208" s="5" t="n">
        <v>0</v>
      </c>
      <c r="J208" s="5" t="n">
        <v>0</v>
      </c>
      <c r="K208" s="5" t="n">
        <v>0</v>
      </c>
      <c r="L208" s="5" t="n">
        <v>0</v>
      </c>
      <c r="M208" s="5" t="n">
        <v>0</v>
      </c>
      <c r="N208" s="5" t="n">
        <v>0</v>
      </c>
      <c r="O208" s="5" t="n">
        <v>0</v>
      </c>
      <c r="P208" s="5" t="n">
        <v>1</v>
      </c>
      <c r="Q208" s="5" t="n">
        <v>0</v>
      </c>
      <c r="R208" s="5" t="n">
        <v>0</v>
      </c>
      <c r="S208" s="5" t="n">
        <v>0</v>
      </c>
      <c r="T208" s="5" t="n">
        <v>0</v>
      </c>
      <c r="U208" s="5" t="inlineStr">
        <is>
          <t>testing</t>
        </is>
      </c>
    </row>
    <row r="209">
      <c r="A209" s="5" t="n">
        <v>205</v>
      </c>
      <c r="B209" s="5" t="n">
        <v>0</v>
      </c>
      <c r="C209" s="6" t="n">
        <v>-0.7357010147163632</v>
      </c>
      <c r="D209" s="6" t="n">
        <v>-0.6143051871983083</v>
      </c>
      <c r="E209" s="6" t="n">
        <v>0.2139536309170988</v>
      </c>
      <c r="F209" s="6" t="n">
        <v>0.9185437189662378</v>
      </c>
      <c r="G209" s="5" t="n">
        <v>0</v>
      </c>
      <c r="H209" s="5" t="n">
        <v>0</v>
      </c>
      <c r="I209" s="5" t="n">
        <v>0</v>
      </c>
      <c r="J209" s="5" t="n">
        <v>1</v>
      </c>
      <c r="K209" s="5" t="n">
        <v>0</v>
      </c>
      <c r="L209" s="5" t="n">
        <v>0</v>
      </c>
      <c r="M209" s="5" t="n">
        <v>0</v>
      </c>
      <c r="N209" s="5" t="n">
        <v>0</v>
      </c>
      <c r="O209" s="5" t="n">
        <v>0</v>
      </c>
      <c r="P209" s="5" t="n">
        <v>0</v>
      </c>
      <c r="Q209" s="5" t="n">
        <v>0</v>
      </c>
      <c r="R209" s="5" t="n">
        <v>1</v>
      </c>
      <c r="S209" s="5" t="n">
        <v>0</v>
      </c>
      <c r="T209" s="5" t="n">
        <v>0</v>
      </c>
      <c r="U209" s="5" t="inlineStr">
        <is>
          <t>training</t>
        </is>
      </c>
    </row>
    <row r="210">
      <c r="A210" s="5" t="n">
        <v>206</v>
      </c>
      <c r="B210" s="5" t="n">
        <v>0</v>
      </c>
      <c r="C210" s="6" t="n">
        <v>0.7809601085536261</v>
      </c>
      <c r="D210" s="6" t="n">
        <v>2.579515759746054</v>
      </c>
      <c r="E210" s="6" t="n">
        <v>0.2139536309170988</v>
      </c>
      <c r="F210" s="6" t="n">
        <v>0.01674764143977723</v>
      </c>
      <c r="G210" s="5" t="n">
        <v>1</v>
      </c>
      <c r="H210" s="5" t="n">
        <v>0</v>
      </c>
      <c r="I210" s="5" t="n">
        <v>0</v>
      </c>
      <c r="J210" s="5" t="n">
        <v>1</v>
      </c>
      <c r="K210" s="5" t="n">
        <v>0</v>
      </c>
      <c r="L210" s="5" t="n">
        <v>0</v>
      </c>
      <c r="M210" s="5" t="n">
        <v>0</v>
      </c>
      <c r="N210" s="5" t="n">
        <v>0</v>
      </c>
      <c r="O210" s="5" t="n">
        <v>0</v>
      </c>
      <c r="P210" s="5" t="n">
        <v>0</v>
      </c>
      <c r="Q210" s="5" t="n">
        <v>1</v>
      </c>
      <c r="R210" s="5" t="n">
        <v>1</v>
      </c>
      <c r="S210" s="5" t="n">
        <v>0</v>
      </c>
      <c r="T210" s="5" t="n">
        <v>0</v>
      </c>
      <c r="U210" s="5" t="inlineStr">
        <is>
          <t>testing</t>
        </is>
      </c>
    </row>
    <row r="211">
      <c r="A211" s="5" t="n">
        <v>207</v>
      </c>
      <c r="B211" s="5" t="n">
        <v>0</v>
      </c>
      <c r="C211" s="6" t="n">
        <v>-0.7357010147163632</v>
      </c>
      <c r="D211" s="6" t="n">
        <v>-0.46035238081624</v>
      </c>
      <c r="E211" s="6" t="n">
        <v>0.648818734407137</v>
      </c>
      <c r="F211" s="6" t="n">
        <v>0.9185437189662378</v>
      </c>
      <c r="G211" s="5" t="n">
        <v>0</v>
      </c>
      <c r="H211" s="5" t="n">
        <v>0</v>
      </c>
      <c r="I211" s="5" t="n">
        <v>0</v>
      </c>
      <c r="J211" s="5" t="n">
        <v>1</v>
      </c>
      <c r="K211" s="5" t="n">
        <v>0</v>
      </c>
      <c r="L211" s="5" t="n">
        <v>0</v>
      </c>
      <c r="M211" s="5" t="n">
        <v>0</v>
      </c>
      <c r="N211" s="5" t="n">
        <v>0</v>
      </c>
      <c r="O211" s="5" t="n">
        <v>0</v>
      </c>
      <c r="P211" s="5" t="n">
        <v>0</v>
      </c>
      <c r="Q211" s="5" t="n">
        <v>0</v>
      </c>
      <c r="R211" s="5" t="n">
        <v>0</v>
      </c>
      <c r="S211" s="5" t="n">
        <v>0</v>
      </c>
      <c r="T211" s="5" t="n">
        <v>1</v>
      </c>
      <c r="U211" s="5" t="inlineStr">
        <is>
          <t>testing</t>
        </is>
      </c>
    </row>
    <row r="212">
      <c r="A212" s="5" t="n">
        <v>208</v>
      </c>
      <c r="B212" s="5" t="n">
        <v>0</v>
      </c>
      <c r="C212" s="6" t="n">
        <v>-0.7357010147163632</v>
      </c>
      <c r="D212" s="6" t="n">
        <v>-0.6391475718645057</v>
      </c>
      <c r="E212" s="6" t="n">
        <v>-0.8297226174589928</v>
      </c>
      <c r="F212" s="6" t="n">
        <v>0.9185437189662378</v>
      </c>
      <c r="G212" s="5" t="n">
        <v>0</v>
      </c>
      <c r="H212" s="5" t="n">
        <v>1</v>
      </c>
      <c r="I212" s="5" t="n">
        <v>0</v>
      </c>
      <c r="J212" s="5" t="n">
        <v>1</v>
      </c>
      <c r="K212" s="5" t="n">
        <v>0</v>
      </c>
      <c r="L212" s="5" t="n">
        <v>0</v>
      </c>
      <c r="M212" s="5" t="n">
        <v>0</v>
      </c>
      <c r="N212" s="5" t="n">
        <v>0</v>
      </c>
      <c r="O212" s="5" t="n">
        <v>0</v>
      </c>
      <c r="P212" s="5" t="n">
        <v>0</v>
      </c>
      <c r="Q212" s="5" t="n">
        <v>0</v>
      </c>
      <c r="R212" s="5" t="n">
        <v>0</v>
      </c>
      <c r="S212" s="5" t="n">
        <v>0</v>
      </c>
      <c r="T212" s="5" t="n">
        <v>0</v>
      </c>
      <c r="U212" s="5" t="inlineStr">
        <is>
          <t>training</t>
        </is>
      </c>
    </row>
    <row r="213">
      <c r="A213" s="5" t="n">
        <v>209</v>
      </c>
      <c r="B213" s="5" t="n">
        <v>0</v>
      </c>
      <c r="C213" s="6" t="n">
        <v>0.275406400796963</v>
      </c>
      <c r="D213" s="6" t="n">
        <v>1.160700691838584</v>
      </c>
      <c r="E213" s="6" t="n">
        <v>-1.264587720949031</v>
      </c>
      <c r="F213" s="6" t="n">
        <v>-0.8850484360866833</v>
      </c>
      <c r="G213" s="5" t="n">
        <v>1</v>
      </c>
      <c r="H213" s="5" t="n">
        <v>0</v>
      </c>
      <c r="I213" s="5" t="n">
        <v>0</v>
      </c>
      <c r="J213" s="5" t="n">
        <v>0</v>
      </c>
      <c r="K213" s="5" t="n">
        <v>0</v>
      </c>
      <c r="L213" s="5" t="n">
        <v>0</v>
      </c>
      <c r="M213" s="5" t="n">
        <v>0</v>
      </c>
      <c r="N213" s="5" t="n">
        <v>0</v>
      </c>
      <c r="O213" s="5" t="n">
        <v>0</v>
      </c>
      <c r="P213" s="5" t="n">
        <v>0</v>
      </c>
      <c r="Q213" s="5" t="n">
        <v>0</v>
      </c>
      <c r="R213" s="5" t="n">
        <v>0</v>
      </c>
      <c r="S213" s="5" t="n">
        <v>0</v>
      </c>
      <c r="T213" s="5" t="n">
        <v>0</v>
      </c>
      <c r="U213" s="5" t="inlineStr">
        <is>
          <t>training</t>
        </is>
      </c>
    </row>
    <row r="214">
      <c r="A214" s="5" t="n">
        <v>210</v>
      </c>
      <c r="B214" s="5" t="n">
        <v>0</v>
      </c>
      <c r="C214" s="6" t="n">
        <v>-0.7357010147163632</v>
      </c>
      <c r="D214" s="6" t="n">
        <v>-0.6429963920240573</v>
      </c>
      <c r="E214" s="6" t="n">
        <v>1.692494982783229</v>
      </c>
      <c r="F214" s="6" t="n">
        <v>0.01674764143977723</v>
      </c>
      <c r="G214" s="5" t="n">
        <v>0</v>
      </c>
      <c r="H214" s="5" t="n">
        <v>0</v>
      </c>
      <c r="I214" s="5" t="n">
        <v>0</v>
      </c>
      <c r="J214" s="5" t="n">
        <v>0</v>
      </c>
      <c r="K214" s="5" t="n">
        <v>0</v>
      </c>
      <c r="L214" s="5" t="n">
        <v>0</v>
      </c>
      <c r="M214" s="5" t="n">
        <v>0</v>
      </c>
      <c r="N214" s="5" t="n">
        <v>1</v>
      </c>
      <c r="O214" s="5" t="n">
        <v>0</v>
      </c>
      <c r="P214" s="5" t="n">
        <v>0</v>
      </c>
      <c r="Q214" s="5" t="n">
        <v>0</v>
      </c>
      <c r="R214" s="5" t="n">
        <v>1</v>
      </c>
      <c r="S214" s="5" t="n">
        <v>0</v>
      </c>
      <c r="T214" s="5" t="n">
        <v>0</v>
      </c>
      <c r="U214" s="5" t="inlineStr">
        <is>
          <t>training</t>
        </is>
      </c>
    </row>
    <row r="215">
      <c r="A215" s="5" t="n">
        <v>211</v>
      </c>
      <c r="B215" s="5" t="n">
        <v>0</v>
      </c>
      <c r="C215" s="6" t="n">
        <v>-0.9884778685946948</v>
      </c>
      <c r="D215" s="6" t="n">
        <v>-0.06182454793174954</v>
      </c>
      <c r="E215" s="6" t="n">
        <v>-0.2209114725729393</v>
      </c>
      <c r="F215" s="6" t="n">
        <v>-1.786844513613144</v>
      </c>
      <c r="G215" s="5" t="n">
        <v>0</v>
      </c>
      <c r="H215" s="5" t="n">
        <v>0</v>
      </c>
      <c r="I215" s="5" t="n">
        <v>0</v>
      </c>
      <c r="J215" s="5" t="n">
        <v>1</v>
      </c>
      <c r="K215" s="5" t="n">
        <v>0</v>
      </c>
      <c r="L215" s="5" t="n">
        <v>0</v>
      </c>
      <c r="M215" s="5" t="n">
        <v>0</v>
      </c>
      <c r="N215" s="5" t="n">
        <v>0</v>
      </c>
      <c r="O215" s="5" t="n">
        <v>1</v>
      </c>
      <c r="P215" s="5" t="n">
        <v>0</v>
      </c>
      <c r="Q215" s="5" t="n">
        <v>0</v>
      </c>
      <c r="R215" s="5" t="n">
        <v>0</v>
      </c>
      <c r="S215" s="5" t="n">
        <v>1</v>
      </c>
      <c r="T215" s="5" t="n">
        <v>0</v>
      </c>
      <c r="U215" s="5" t="inlineStr">
        <is>
          <t>training</t>
        </is>
      </c>
    </row>
    <row r="216">
      <c r="A216" s="5" t="n">
        <v>212</v>
      </c>
      <c r="B216" s="5" t="n">
        <v>0</v>
      </c>
      <c r="C216" s="6" t="n">
        <v>1.286513816310289</v>
      </c>
      <c r="D216" s="6" t="n">
        <v>0.2044438285608731</v>
      </c>
      <c r="E216" s="6" t="n">
        <v>0.8227647758031523</v>
      </c>
      <c r="F216" s="6" t="n">
        <v>-0.8850484360866833</v>
      </c>
      <c r="G216" s="5" t="n">
        <v>0</v>
      </c>
      <c r="H216" s="5" t="n">
        <v>0</v>
      </c>
      <c r="I216" s="5" t="n">
        <v>0</v>
      </c>
      <c r="J216" s="5" t="n">
        <v>0</v>
      </c>
      <c r="K216" s="5" t="n">
        <v>0</v>
      </c>
      <c r="L216" s="5" t="n">
        <v>0</v>
      </c>
      <c r="M216" s="5" t="n">
        <v>0</v>
      </c>
      <c r="N216" s="5" t="n">
        <v>0</v>
      </c>
      <c r="O216" s="5" t="n">
        <v>1</v>
      </c>
      <c r="P216" s="5" t="n">
        <v>0</v>
      </c>
      <c r="Q216" s="5" t="n">
        <v>0</v>
      </c>
      <c r="R216" s="5" t="n">
        <v>0</v>
      </c>
      <c r="S216" s="5" t="n">
        <v>1</v>
      </c>
      <c r="T216" s="5" t="n">
        <v>0</v>
      </c>
      <c r="U216" s="5" t="inlineStr">
        <is>
          <t>training</t>
        </is>
      </c>
    </row>
    <row r="217">
      <c r="A217" s="5" t="n">
        <v>213</v>
      </c>
      <c r="B217" s="5" t="n">
        <v>1</v>
      </c>
      <c r="C217" s="6" t="n">
        <v>0.5281832546752946</v>
      </c>
      <c r="D217" s="6" t="n">
        <v>0.714587446072363</v>
      </c>
      <c r="E217" s="6" t="n">
        <v>1.257629879293191</v>
      </c>
      <c r="F217" s="6" t="n">
        <v>-0.8850484360866833</v>
      </c>
      <c r="G217" s="5" t="n">
        <v>1</v>
      </c>
      <c r="H217" s="5" t="n">
        <v>0</v>
      </c>
      <c r="I217" s="5" t="n">
        <v>0</v>
      </c>
      <c r="J217" s="5" t="n">
        <v>0</v>
      </c>
      <c r="K217" s="5" t="n">
        <v>0</v>
      </c>
      <c r="L217" s="5" t="n">
        <v>1</v>
      </c>
      <c r="M217" s="5" t="n">
        <v>0</v>
      </c>
      <c r="N217" s="5" t="n">
        <v>0</v>
      </c>
      <c r="O217" s="5" t="n">
        <v>0</v>
      </c>
      <c r="P217" s="5" t="n">
        <v>0</v>
      </c>
      <c r="Q217" s="5" t="n">
        <v>0</v>
      </c>
      <c r="R217" s="5" t="n">
        <v>0</v>
      </c>
      <c r="S217" s="5" t="n">
        <v>0</v>
      </c>
      <c r="T217" s="5" t="n">
        <v>0</v>
      </c>
      <c r="U217" s="5" t="inlineStr">
        <is>
          <t>testing</t>
        </is>
      </c>
    </row>
    <row r="218">
      <c r="A218" s="5" t="n">
        <v>214</v>
      </c>
      <c r="B218" s="5" t="n">
        <v>1</v>
      </c>
      <c r="C218" s="6" t="n">
        <v>0.7809601085536261</v>
      </c>
      <c r="D218" s="6" t="n">
        <v>-0.4697994848442305</v>
      </c>
      <c r="E218" s="6" t="n">
        <v>2.649198210461313</v>
      </c>
      <c r="F218" s="6" t="n">
        <v>0.9185437189662378</v>
      </c>
      <c r="G218" s="5" t="n">
        <v>0</v>
      </c>
      <c r="H218" s="5" t="n">
        <v>0</v>
      </c>
      <c r="I218" s="5" t="n">
        <v>1</v>
      </c>
      <c r="J218" s="5" t="n">
        <v>0</v>
      </c>
      <c r="K218" s="5" t="n">
        <v>1</v>
      </c>
      <c r="L218" s="5" t="n">
        <v>0</v>
      </c>
      <c r="M218" s="5" t="n">
        <v>0</v>
      </c>
      <c r="N218" s="5" t="n">
        <v>0</v>
      </c>
      <c r="O218" s="5" t="n">
        <v>0</v>
      </c>
      <c r="P218" s="5" t="n">
        <v>0</v>
      </c>
      <c r="Q218" s="5" t="n">
        <v>0</v>
      </c>
      <c r="R218" s="5" t="n">
        <v>0</v>
      </c>
      <c r="S218" s="5" t="n">
        <v>0</v>
      </c>
      <c r="T218" s="5" t="n">
        <v>0</v>
      </c>
      <c r="U218" s="5" t="inlineStr">
        <is>
          <t>testing</t>
        </is>
      </c>
    </row>
    <row r="219">
      <c r="A219" s="5" t="n">
        <v>215</v>
      </c>
      <c r="B219" s="5" t="n">
        <v>0</v>
      </c>
      <c r="C219" s="6" t="n">
        <v>1.286513816310289</v>
      </c>
      <c r="D219" s="6" t="n">
        <v>0.03194670686460115</v>
      </c>
      <c r="E219" s="6" t="n">
        <v>1.344602899991198</v>
      </c>
      <c r="F219" s="6" t="n">
        <v>0.9185437189662378</v>
      </c>
      <c r="G219" s="5" t="n">
        <v>0</v>
      </c>
      <c r="H219" s="5" t="n">
        <v>0</v>
      </c>
      <c r="I219" s="5" t="n">
        <v>0</v>
      </c>
      <c r="J219" s="5" t="n">
        <v>1</v>
      </c>
      <c r="K219" s="5" t="n">
        <v>0</v>
      </c>
      <c r="L219" s="5" t="n">
        <v>0</v>
      </c>
      <c r="M219" s="5" t="n">
        <v>0</v>
      </c>
      <c r="N219" s="5" t="n">
        <v>0</v>
      </c>
      <c r="O219" s="5" t="n">
        <v>1</v>
      </c>
      <c r="P219" s="5" t="n">
        <v>0</v>
      </c>
      <c r="Q219" s="5" t="n">
        <v>0</v>
      </c>
      <c r="R219" s="5" t="n">
        <v>0</v>
      </c>
      <c r="S219" s="5" t="n">
        <v>1</v>
      </c>
      <c r="T219" s="5" t="n">
        <v>0</v>
      </c>
      <c r="U219" s="5" t="inlineStr">
        <is>
          <t>training</t>
        </is>
      </c>
    </row>
    <row r="220">
      <c r="A220" s="5" t="n">
        <v>216</v>
      </c>
      <c r="B220" s="5" t="n">
        <v>0</v>
      </c>
      <c r="C220" s="6" t="n">
        <v>-1.241254722473026</v>
      </c>
      <c r="D220" s="6" t="n">
        <v>-0.8112948008190002</v>
      </c>
      <c r="E220" s="6" t="n">
        <v>0.3009266516151065</v>
      </c>
      <c r="F220" s="6" t="n">
        <v>-1.786844513613144</v>
      </c>
      <c r="G220" s="5" t="n">
        <v>0</v>
      </c>
      <c r="H220" s="5" t="n">
        <v>1</v>
      </c>
      <c r="I220" s="5" t="n">
        <v>0</v>
      </c>
      <c r="J220" s="5" t="n">
        <v>1</v>
      </c>
      <c r="K220" s="5" t="n">
        <v>0</v>
      </c>
      <c r="L220" s="5" t="n">
        <v>0</v>
      </c>
      <c r="M220" s="5" t="n">
        <v>0</v>
      </c>
      <c r="N220" s="5" t="n">
        <v>0</v>
      </c>
      <c r="O220" s="5" t="n">
        <v>1</v>
      </c>
      <c r="P220" s="5" t="n">
        <v>0</v>
      </c>
      <c r="Q220" s="5" t="n">
        <v>0</v>
      </c>
      <c r="R220" s="5" t="n">
        <v>0</v>
      </c>
      <c r="S220" s="5" t="n">
        <v>0</v>
      </c>
      <c r="T220" s="5" t="n">
        <v>0</v>
      </c>
      <c r="U220" s="5" t="inlineStr">
        <is>
          <t>training</t>
        </is>
      </c>
    </row>
    <row r="221">
      <c r="A221" s="5" t="n">
        <v>217</v>
      </c>
      <c r="B221" s="5" t="n">
        <v>0</v>
      </c>
      <c r="C221" s="6" t="n">
        <v>-0.2301473069597001</v>
      </c>
      <c r="D221" s="6" t="n">
        <v>-0.0513277656784267</v>
      </c>
      <c r="E221" s="6" t="n">
        <v>-0.3948575139689546</v>
      </c>
      <c r="F221" s="6" t="n">
        <v>0.01674764143977723</v>
      </c>
      <c r="G221" s="5" t="n">
        <v>1</v>
      </c>
      <c r="H221" s="5" t="n">
        <v>0</v>
      </c>
      <c r="I221" s="5" t="n">
        <v>0</v>
      </c>
      <c r="J221" s="5" t="n">
        <v>0</v>
      </c>
      <c r="K221" s="5" t="n">
        <v>0</v>
      </c>
      <c r="L221" s="5" t="n">
        <v>1</v>
      </c>
      <c r="M221" s="5" t="n">
        <v>0</v>
      </c>
      <c r="N221" s="5" t="n">
        <v>0</v>
      </c>
      <c r="O221" s="5" t="n">
        <v>0</v>
      </c>
      <c r="P221" s="5" t="n">
        <v>0</v>
      </c>
      <c r="Q221" s="5" t="n">
        <v>0</v>
      </c>
      <c r="R221" s="5" t="n">
        <v>0</v>
      </c>
      <c r="S221" s="5" t="n">
        <v>0</v>
      </c>
      <c r="T221" s="5" t="n">
        <v>0</v>
      </c>
      <c r="U221" s="5" t="inlineStr">
        <is>
          <t>testing</t>
        </is>
      </c>
    </row>
    <row r="222">
      <c r="A222" s="5" t="n">
        <v>218</v>
      </c>
      <c r="B222" s="5" t="n">
        <v>0</v>
      </c>
      <c r="C222" s="6" t="n">
        <v>1.286513816310289</v>
      </c>
      <c r="D222" s="6" t="n">
        <v>0.2317354624195125</v>
      </c>
      <c r="E222" s="6" t="n">
        <v>-1.090641679553016</v>
      </c>
      <c r="F222" s="6" t="n">
        <v>-0.8850484360866833</v>
      </c>
      <c r="G222" s="5" t="n">
        <v>0</v>
      </c>
      <c r="H222" s="5" t="n">
        <v>0</v>
      </c>
      <c r="I222" s="5" t="n">
        <v>1</v>
      </c>
      <c r="J222" s="5" t="n">
        <v>0</v>
      </c>
      <c r="K222" s="5" t="n">
        <v>0</v>
      </c>
      <c r="L222" s="5" t="n">
        <v>0</v>
      </c>
      <c r="M222" s="5" t="n">
        <v>0</v>
      </c>
      <c r="N222" s="5" t="n">
        <v>0</v>
      </c>
      <c r="O222" s="5" t="n">
        <v>0</v>
      </c>
      <c r="P222" s="5" t="n">
        <v>0</v>
      </c>
      <c r="Q222" s="5" t="n">
        <v>0</v>
      </c>
      <c r="R222" s="5" t="n">
        <v>0</v>
      </c>
      <c r="S222" s="5" t="n">
        <v>1</v>
      </c>
      <c r="T222" s="5" t="n">
        <v>0</v>
      </c>
      <c r="U222" s="5" t="inlineStr">
        <is>
          <t>training</t>
        </is>
      </c>
    </row>
    <row r="223">
      <c r="A223" s="5" t="n">
        <v>219</v>
      </c>
      <c r="B223" s="5" t="n">
        <v>0</v>
      </c>
      <c r="C223" s="6" t="n">
        <v>0.275406400796963</v>
      </c>
      <c r="D223" s="6" t="n">
        <v>-0.08036886324595323</v>
      </c>
      <c r="E223" s="6" t="n">
        <v>-1.003668658855008</v>
      </c>
      <c r="F223" s="6" t="n">
        <v>-0.8850484360866833</v>
      </c>
      <c r="G223" s="5" t="n">
        <v>1</v>
      </c>
      <c r="H223" s="5" t="n">
        <v>0</v>
      </c>
      <c r="I223" s="5" t="n">
        <v>0</v>
      </c>
      <c r="J223" s="5" t="n">
        <v>0</v>
      </c>
      <c r="K223" s="5" t="n">
        <v>0</v>
      </c>
      <c r="L223" s="5" t="n">
        <v>0</v>
      </c>
      <c r="M223" s="5" t="n">
        <v>0</v>
      </c>
      <c r="N223" s="5" t="n">
        <v>0</v>
      </c>
      <c r="O223" s="5" t="n">
        <v>0</v>
      </c>
      <c r="P223" s="5" t="n">
        <v>1</v>
      </c>
      <c r="Q223" s="5" t="n">
        <v>0</v>
      </c>
      <c r="R223" s="5" t="n">
        <v>0</v>
      </c>
      <c r="S223" s="5" t="n">
        <v>0</v>
      </c>
      <c r="T223" s="5" t="n">
        <v>1</v>
      </c>
      <c r="U223" s="5" t="inlineStr">
        <is>
          <t>testing</t>
        </is>
      </c>
    </row>
    <row r="224">
      <c r="A224" s="5" t="n">
        <v>220</v>
      </c>
      <c r="B224" s="5" t="n">
        <v>0</v>
      </c>
      <c r="C224" s="6" t="n">
        <v>-0.9042189173019176</v>
      </c>
      <c r="D224" s="6" t="n">
        <v>-0.6601411363711513</v>
      </c>
      <c r="E224" s="6" t="n">
        <v>2.475252169065298</v>
      </c>
      <c r="F224" s="6" t="n">
        <v>-0.8850484360866833</v>
      </c>
      <c r="G224" s="5" t="n">
        <v>0</v>
      </c>
      <c r="H224" s="5" t="n">
        <v>0</v>
      </c>
      <c r="I224" s="5" t="n">
        <v>0</v>
      </c>
      <c r="J224" s="5" t="n">
        <v>0</v>
      </c>
      <c r="K224" s="5" t="n">
        <v>0</v>
      </c>
      <c r="L224" s="5" t="n">
        <v>0</v>
      </c>
      <c r="M224" s="5" t="n">
        <v>0</v>
      </c>
      <c r="N224" s="5" t="n">
        <v>0</v>
      </c>
      <c r="O224" s="5" t="n">
        <v>0</v>
      </c>
      <c r="P224" s="5" t="n">
        <v>0</v>
      </c>
      <c r="Q224" s="5" t="n">
        <v>0</v>
      </c>
      <c r="R224" s="5" t="n">
        <v>1</v>
      </c>
      <c r="S224" s="5" t="n">
        <v>0</v>
      </c>
      <c r="T224" s="5" t="n">
        <v>0</v>
      </c>
      <c r="U224" s="5" t="inlineStr">
        <is>
          <t>training</t>
        </is>
      </c>
    </row>
    <row r="225">
      <c r="A225" s="5" t="n">
        <v>221</v>
      </c>
      <c r="B225" s="5" t="n">
        <v>0</v>
      </c>
      <c r="C225" s="6" t="n">
        <v>-0.7357010147163632</v>
      </c>
      <c r="D225" s="6" t="n">
        <v>-0.9187118725446706</v>
      </c>
      <c r="E225" s="6" t="n">
        <v>-0.8297226174589928</v>
      </c>
      <c r="F225" s="6" t="n">
        <v>0.9185437189662378</v>
      </c>
      <c r="G225" s="5" t="n">
        <v>0</v>
      </c>
      <c r="H225" s="5" t="n">
        <v>1</v>
      </c>
      <c r="I225" s="5" t="n">
        <v>0</v>
      </c>
      <c r="J225" s="5" t="n">
        <v>0</v>
      </c>
      <c r="K225" s="5" t="n">
        <v>0</v>
      </c>
      <c r="L225" s="5" t="n">
        <v>0</v>
      </c>
      <c r="M225" s="5" t="n">
        <v>0</v>
      </c>
      <c r="N225" s="5" t="n">
        <v>0</v>
      </c>
      <c r="O225" s="5" t="n">
        <v>0</v>
      </c>
      <c r="P225" s="5" t="n">
        <v>0</v>
      </c>
      <c r="Q225" s="5" t="n">
        <v>0</v>
      </c>
      <c r="R225" s="5" t="n">
        <v>0</v>
      </c>
      <c r="S225" s="5" t="n">
        <v>1</v>
      </c>
      <c r="T225" s="5" t="n">
        <v>0</v>
      </c>
      <c r="U225" s="5" t="inlineStr">
        <is>
          <t>testing</t>
        </is>
      </c>
    </row>
    <row r="226">
      <c r="A226" s="5" t="n">
        <v>222</v>
      </c>
      <c r="B226" s="5" t="n">
        <v>0</v>
      </c>
      <c r="C226" s="6" t="n">
        <v>-0.7357010147163632</v>
      </c>
      <c r="D226" s="6" t="n">
        <v>-0.7175235460226496</v>
      </c>
      <c r="E226" s="6" t="n">
        <v>-1.090641679553016</v>
      </c>
      <c r="F226" s="6" t="n">
        <v>0.9185437189662378</v>
      </c>
      <c r="G226" s="5" t="n">
        <v>1</v>
      </c>
      <c r="H226" s="5" t="n">
        <v>0</v>
      </c>
      <c r="I226" s="5" t="n">
        <v>0</v>
      </c>
      <c r="J226" s="5" t="n">
        <v>0</v>
      </c>
      <c r="K226" s="5" t="n">
        <v>0</v>
      </c>
      <c r="L226" s="5" t="n">
        <v>0</v>
      </c>
      <c r="M226" s="5" t="n">
        <v>0</v>
      </c>
      <c r="N226" s="5" t="n">
        <v>0</v>
      </c>
      <c r="O226" s="5" t="n">
        <v>1</v>
      </c>
      <c r="P226" s="5" t="n">
        <v>1</v>
      </c>
      <c r="Q226" s="5" t="n">
        <v>0</v>
      </c>
      <c r="R226" s="5" t="n">
        <v>0</v>
      </c>
      <c r="S226" s="5" t="n">
        <v>0</v>
      </c>
      <c r="T226" s="5" t="n">
        <v>0</v>
      </c>
      <c r="U226" s="5" t="inlineStr">
        <is>
          <t>testing</t>
        </is>
      </c>
    </row>
    <row r="227">
      <c r="A227" s="5" t="n">
        <v>223</v>
      </c>
      <c r="B227" s="5" t="n">
        <v>0</v>
      </c>
      <c r="C227" s="6" t="n">
        <v>-0.7357010147163632</v>
      </c>
      <c r="D227" s="6" t="n">
        <v>-0.8900206677189215</v>
      </c>
      <c r="E227" s="6" t="n">
        <v>-0.4818305346669622</v>
      </c>
      <c r="F227" s="6" t="n">
        <v>0.9185437189662378</v>
      </c>
      <c r="G227" s="5" t="n">
        <v>0</v>
      </c>
      <c r="H227" s="5" t="n">
        <v>0</v>
      </c>
      <c r="I227" s="5" t="n">
        <v>0</v>
      </c>
      <c r="J227" s="5" t="n">
        <v>0</v>
      </c>
      <c r="K227" s="5" t="n">
        <v>0</v>
      </c>
      <c r="L227" s="5" t="n">
        <v>0</v>
      </c>
      <c r="M227" s="5" t="n">
        <v>0</v>
      </c>
      <c r="N227" s="5" t="n">
        <v>0</v>
      </c>
      <c r="O227" s="5" t="n">
        <v>0</v>
      </c>
      <c r="P227" s="5" t="n">
        <v>0</v>
      </c>
      <c r="Q227" s="5" t="n">
        <v>0</v>
      </c>
      <c r="R227" s="5" t="n">
        <v>0</v>
      </c>
      <c r="S227" s="5" t="n">
        <v>1</v>
      </c>
      <c r="T227" s="5" t="n">
        <v>0</v>
      </c>
      <c r="U227" s="5" t="inlineStr">
        <is>
          <t>training</t>
        </is>
      </c>
    </row>
    <row r="228">
      <c r="A228" s="5" t="n">
        <v>224</v>
      </c>
      <c r="B228" s="5" t="n">
        <v>0</v>
      </c>
      <c r="C228" s="6" t="n">
        <v>0.275406400796963</v>
      </c>
      <c r="D228" s="6" t="n">
        <v>-0.09541425114238263</v>
      </c>
      <c r="E228" s="6" t="n">
        <v>-0.307884493270947</v>
      </c>
      <c r="F228" s="6" t="n">
        <v>0.9185437189662378</v>
      </c>
      <c r="G228" s="5" t="n">
        <v>0</v>
      </c>
      <c r="H228" s="5" t="n">
        <v>0</v>
      </c>
      <c r="I228" s="5" t="n">
        <v>0</v>
      </c>
      <c r="J228" s="5" t="n">
        <v>0</v>
      </c>
      <c r="K228" s="5" t="n">
        <v>1</v>
      </c>
      <c r="L228" s="5" t="n">
        <v>0</v>
      </c>
      <c r="M228" s="5" t="n">
        <v>0</v>
      </c>
      <c r="N228" s="5" t="n">
        <v>0</v>
      </c>
      <c r="O228" s="5" t="n">
        <v>1</v>
      </c>
      <c r="P228" s="5" t="n">
        <v>0</v>
      </c>
      <c r="Q228" s="5" t="n">
        <v>0</v>
      </c>
      <c r="R228" s="5" t="n">
        <v>0</v>
      </c>
      <c r="S228" s="5" t="n">
        <v>0</v>
      </c>
      <c r="T228" s="5" t="n">
        <v>0</v>
      </c>
      <c r="U228" s="5" t="inlineStr">
        <is>
          <t>training</t>
        </is>
      </c>
    </row>
    <row r="229">
      <c r="A229" s="5" t="n">
        <v>225</v>
      </c>
      <c r="B229" s="5" t="n">
        <v>0</v>
      </c>
      <c r="C229" s="6" t="n">
        <v>-0.4829241608380317</v>
      </c>
      <c r="D229" s="6" t="n">
        <v>0.4920556623019189</v>
      </c>
      <c r="E229" s="6" t="n">
        <v>-0.4818305346669622</v>
      </c>
      <c r="F229" s="6" t="n">
        <v>0.01674764143977723</v>
      </c>
      <c r="G229" s="5" t="n">
        <v>0</v>
      </c>
      <c r="H229" s="5" t="n">
        <v>0</v>
      </c>
      <c r="I229" s="5" t="n">
        <v>0</v>
      </c>
      <c r="J229" s="5" t="n">
        <v>0</v>
      </c>
      <c r="K229" s="5" t="n">
        <v>0</v>
      </c>
      <c r="L229" s="5" t="n">
        <v>0</v>
      </c>
      <c r="M229" s="5" t="n">
        <v>0</v>
      </c>
      <c r="N229" s="5" t="n">
        <v>0</v>
      </c>
      <c r="O229" s="5" t="n">
        <v>0</v>
      </c>
      <c r="P229" s="5" t="n">
        <v>0</v>
      </c>
      <c r="Q229" s="5" t="n">
        <v>0</v>
      </c>
      <c r="R229" s="5" t="n">
        <v>1</v>
      </c>
      <c r="S229" s="5" t="n">
        <v>0</v>
      </c>
      <c r="T229" s="5" t="n">
        <v>0</v>
      </c>
      <c r="U229" s="5" t="inlineStr">
        <is>
          <t>training</t>
        </is>
      </c>
    </row>
    <row r="230">
      <c r="A230" s="5" t="n">
        <v>226</v>
      </c>
      <c r="B230" s="5" t="n">
        <v>0</v>
      </c>
      <c r="C230" s="6" t="n">
        <v>1.286513816310289</v>
      </c>
      <c r="D230" s="6" t="n">
        <v>-0.2231251018911438</v>
      </c>
      <c r="E230" s="6" t="n">
        <v>-0.7427495967609852</v>
      </c>
      <c r="F230" s="6" t="n">
        <v>0.9185437189662378</v>
      </c>
      <c r="G230" s="5" t="n">
        <v>0</v>
      </c>
      <c r="H230" s="5" t="n">
        <v>0</v>
      </c>
      <c r="I230" s="5" t="n">
        <v>0</v>
      </c>
      <c r="J230" s="5" t="n">
        <v>0</v>
      </c>
      <c r="K230" s="5" t="n">
        <v>0</v>
      </c>
      <c r="L230" s="5" t="n">
        <v>1</v>
      </c>
      <c r="M230" s="5" t="n">
        <v>0</v>
      </c>
      <c r="N230" s="5" t="n">
        <v>0</v>
      </c>
      <c r="O230" s="5" t="n">
        <v>0</v>
      </c>
      <c r="P230" s="5" t="n">
        <v>0</v>
      </c>
      <c r="Q230" s="5" t="n">
        <v>0</v>
      </c>
      <c r="R230" s="5" t="n">
        <v>0</v>
      </c>
      <c r="S230" s="5" t="n">
        <v>0</v>
      </c>
      <c r="T230" s="5" t="n">
        <v>0</v>
      </c>
      <c r="U230" s="5" t="inlineStr">
        <is>
          <t>training</t>
        </is>
      </c>
    </row>
    <row r="231">
      <c r="A231" s="5" t="n">
        <v>227</v>
      </c>
      <c r="B231" s="5" t="n">
        <v>1</v>
      </c>
      <c r="C231" s="6" t="n">
        <v>2.297621231823615</v>
      </c>
      <c r="D231" s="6" t="n">
        <v>2.697779506466825</v>
      </c>
      <c r="E231" s="6" t="n">
        <v>-0.7427495967609852</v>
      </c>
      <c r="F231" s="6" t="n">
        <v>-1.786844513613144</v>
      </c>
      <c r="G231" s="5" t="n">
        <v>0</v>
      </c>
      <c r="H231" s="5" t="n">
        <v>1</v>
      </c>
      <c r="I231" s="5" t="n">
        <v>0</v>
      </c>
      <c r="J231" s="5" t="n">
        <v>0</v>
      </c>
      <c r="K231" s="5" t="n">
        <v>0</v>
      </c>
      <c r="L231" s="5" t="n">
        <v>0</v>
      </c>
      <c r="M231" s="5" t="n">
        <v>0</v>
      </c>
      <c r="N231" s="5" t="n">
        <v>1</v>
      </c>
      <c r="O231" s="5" t="n">
        <v>0</v>
      </c>
      <c r="P231" s="5" t="n">
        <v>0</v>
      </c>
      <c r="Q231" s="5" t="n">
        <v>0</v>
      </c>
      <c r="R231" s="5" t="n">
        <v>0</v>
      </c>
      <c r="S231" s="5" t="n">
        <v>1</v>
      </c>
      <c r="T231" s="5" t="n">
        <v>0</v>
      </c>
      <c r="U231" s="5" t="inlineStr">
        <is>
          <t>training</t>
        </is>
      </c>
    </row>
    <row r="232">
      <c r="A232" s="5" t="n">
        <v>228</v>
      </c>
      <c r="B232" s="5" t="n">
        <v>1</v>
      </c>
      <c r="C232" s="6" t="n">
        <v>-0.7357010147163632</v>
      </c>
      <c r="D232" s="6" t="n">
        <v>1.614511577923908</v>
      </c>
      <c r="E232" s="6" t="n">
        <v>1.518548941387213</v>
      </c>
      <c r="F232" s="6" t="n">
        <v>0.9185437189662378</v>
      </c>
      <c r="G232" s="5" t="n">
        <v>1</v>
      </c>
      <c r="H232" s="5" t="n">
        <v>0</v>
      </c>
      <c r="I232" s="5" t="n">
        <v>0</v>
      </c>
      <c r="J232" s="5" t="n">
        <v>0</v>
      </c>
      <c r="K232" s="5" t="n">
        <v>0</v>
      </c>
      <c r="L232" s="5" t="n">
        <v>0</v>
      </c>
      <c r="M232" s="5" t="n">
        <v>0</v>
      </c>
      <c r="N232" s="5" t="n">
        <v>0</v>
      </c>
      <c r="O232" s="5" t="n">
        <v>0</v>
      </c>
      <c r="P232" s="5" t="n">
        <v>0</v>
      </c>
      <c r="Q232" s="5" t="n">
        <v>1</v>
      </c>
      <c r="R232" s="5" t="n">
        <v>0</v>
      </c>
      <c r="S232" s="5" t="n">
        <v>0</v>
      </c>
      <c r="T232" s="5" t="n">
        <v>1</v>
      </c>
      <c r="U232" s="5" t="inlineStr">
        <is>
          <t>training</t>
        </is>
      </c>
    </row>
    <row r="233">
      <c r="A233" s="5" t="n">
        <v>229</v>
      </c>
      <c r="B233" s="5" t="n">
        <v>1</v>
      </c>
      <c r="C233" s="6" t="n">
        <v>-0.9884778685946948</v>
      </c>
      <c r="D233" s="6" t="n">
        <v>-0.6202533638085246</v>
      </c>
      <c r="E233" s="6" t="n">
        <v>-1.177614700251023</v>
      </c>
      <c r="F233" s="6" t="n">
        <v>0.9185437189662378</v>
      </c>
      <c r="G233" s="5" t="n">
        <v>0</v>
      </c>
      <c r="H233" s="5" t="n">
        <v>0</v>
      </c>
      <c r="I233" s="5" t="n">
        <v>0</v>
      </c>
      <c r="J233" s="5" t="n">
        <v>0</v>
      </c>
      <c r="K233" s="5" t="n">
        <v>0</v>
      </c>
      <c r="L233" s="5" t="n">
        <v>0</v>
      </c>
      <c r="M233" s="5" t="n">
        <v>0</v>
      </c>
      <c r="N233" s="5" t="n">
        <v>0</v>
      </c>
      <c r="O233" s="5" t="n">
        <v>0</v>
      </c>
      <c r="P233" s="5" t="n">
        <v>0</v>
      </c>
      <c r="Q233" s="5" t="n">
        <v>0</v>
      </c>
      <c r="R233" s="5" t="n">
        <v>0</v>
      </c>
      <c r="S233" s="5" t="n">
        <v>1</v>
      </c>
      <c r="T233" s="5" t="n">
        <v>0</v>
      </c>
      <c r="U233" s="5" t="inlineStr">
        <is>
          <t>training</t>
        </is>
      </c>
    </row>
    <row r="234">
      <c r="A234" s="5" t="n">
        <v>230</v>
      </c>
      <c r="B234" s="5" t="n">
        <v>0</v>
      </c>
      <c r="C234" s="6" t="n">
        <v>0.275406400796963</v>
      </c>
      <c r="D234" s="6" t="n">
        <v>-0.03558259229844245</v>
      </c>
      <c r="E234" s="6" t="n">
        <v>-1.177614700251023</v>
      </c>
      <c r="F234" s="6" t="n">
        <v>0.9185437189662378</v>
      </c>
      <c r="G234" s="5" t="n">
        <v>1</v>
      </c>
      <c r="H234" s="5" t="n">
        <v>0</v>
      </c>
      <c r="I234" s="5" t="n">
        <v>0</v>
      </c>
      <c r="J234" s="5" t="n">
        <v>0</v>
      </c>
      <c r="K234" s="5" t="n">
        <v>0</v>
      </c>
      <c r="L234" s="5" t="n">
        <v>0</v>
      </c>
      <c r="M234" s="5" t="n">
        <v>0</v>
      </c>
      <c r="N234" s="5" t="n">
        <v>0</v>
      </c>
      <c r="O234" s="5" t="n">
        <v>0</v>
      </c>
      <c r="P234" s="5" t="n">
        <v>0</v>
      </c>
      <c r="Q234" s="5" t="n">
        <v>1</v>
      </c>
      <c r="R234" s="5" t="n">
        <v>0</v>
      </c>
      <c r="S234" s="5" t="n">
        <v>0</v>
      </c>
      <c r="T234" s="5" t="n">
        <v>1</v>
      </c>
      <c r="U234" s="5" t="inlineStr">
        <is>
          <t>training</t>
        </is>
      </c>
    </row>
    <row r="235">
      <c r="A235" s="5" t="n">
        <v>231</v>
      </c>
      <c r="B235" s="5" t="n">
        <v>1</v>
      </c>
      <c r="C235" s="6" t="n">
        <v>1.286513816310289</v>
      </c>
      <c r="D235" s="6" t="n">
        <v>0.3356536067274086</v>
      </c>
      <c r="E235" s="6" t="n">
        <v>-0.8297226174589928</v>
      </c>
      <c r="F235" s="6" t="n">
        <v>0.9185437189662378</v>
      </c>
      <c r="G235" s="5" t="n">
        <v>0</v>
      </c>
      <c r="H235" s="5" t="n">
        <v>0</v>
      </c>
      <c r="I235" s="5" t="n">
        <v>1</v>
      </c>
      <c r="J235" s="5" t="n">
        <v>0</v>
      </c>
      <c r="K235" s="5" t="n">
        <v>0</v>
      </c>
      <c r="L235" s="5" t="n">
        <v>0</v>
      </c>
      <c r="M235" s="5" t="n">
        <v>0</v>
      </c>
      <c r="N235" s="5" t="n">
        <v>0</v>
      </c>
      <c r="O235" s="5" t="n">
        <v>0</v>
      </c>
      <c r="P235" s="5" t="n">
        <v>0</v>
      </c>
      <c r="Q235" s="5" t="n">
        <v>0</v>
      </c>
      <c r="R235" s="5" t="n">
        <v>0</v>
      </c>
      <c r="S235" s="5" t="n">
        <v>1</v>
      </c>
      <c r="T235" s="5" t="n">
        <v>0</v>
      </c>
      <c r="U235" s="5" t="inlineStr">
        <is>
          <t>training</t>
        </is>
      </c>
    </row>
    <row r="236">
      <c r="A236" s="5" t="n">
        <v>232</v>
      </c>
      <c r="B236" s="5" t="n">
        <v>0</v>
      </c>
      <c r="C236" s="6" t="n">
        <v>-0.9884778685946948</v>
      </c>
      <c r="D236" s="6" t="n">
        <v>-0.2602137325195512</v>
      </c>
      <c r="E236" s="6" t="n">
        <v>1.344602899991198</v>
      </c>
      <c r="F236" s="6" t="n">
        <v>-0.8850484360866833</v>
      </c>
      <c r="G236" s="5" t="n">
        <v>0</v>
      </c>
      <c r="H236" s="5" t="n">
        <v>0</v>
      </c>
      <c r="I236" s="5" t="n">
        <v>0</v>
      </c>
      <c r="J236" s="5" t="n">
        <v>0</v>
      </c>
      <c r="K236" s="5" t="n">
        <v>0</v>
      </c>
      <c r="L236" s="5" t="n">
        <v>0</v>
      </c>
      <c r="M236" s="5" t="n">
        <v>1</v>
      </c>
      <c r="N236" s="5" t="n">
        <v>0</v>
      </c>
      <c r="O236" s="5" t="n">
        <v>0</v>
      </c>
      <c r="P236" s="5" t="n">
        <v>0</v>
      </c>
      <c r="Q236" s="5" t="n">
        <v>1</v>
      </c>
      <c r="R236" s="5" t="n">
        <v>1</v>
      </c>
      <c r="S236" s="5" t="n">
        <v>0</v>
      </c>
      <c r="T236" s="5" t="n">
        <v>0</v>
      </c>
      <c r="U236" s="5" t="inlineStr">
        <is>
          <t>testing</t>
        </is>
      </c>
    </row>
    <row r="237">
      <c r="A237" s="5" t="n">
        <v>233</v>
      </c>
      <c r="B237" s="5" t="n">
        <v>0</v>
      </c>
      <c r="C237" s="6" t="n">
        <v>-0.7357010147163632</v>
      </c>
      <c r="D237" s="6" t="n">
        <v>-0.3882744760100898</v>
      </c>
      <c r="E237" s="6" t="n">
        <v>-0.04696543117692405</v>
      </c>
      <c r="F237" s="6" t="n">
        <v>0.01674764143977723</v>
      </c>
      <c r="G237" s="5" t="n">
        <v>0</v>
      </c>
      <c r="H237" s="5" t="n">
        <v>0</v>
      </c>
      <c r="I237" s="5" t="n">
        <v>0</v>
      </c>
      <c r="J237" s="5" t="n">
        <v>0</v>
      </c>
      <c r="K237" s="5" t="n">
        <v>0</v>
      </c>
      <c r="L237" s="5" t="n">
        <v>0</v>
      </c>
      <c r="M237" s="5" t="n">
        <v>1</v>
      </c>
      <c r="N237" s="5" t="n">
        <v>0</v>
      </c>
      <c r="O237" s="5" t="n">
        <v>0</v>
      </c>
      <c r="P237" s="5" t="n">
        <v>0</v>
      </c>
      <c r="Q237" s="5" t="n">
        <v>0</v>
      </c>
      <c r="R237" s="5" t="n">
        <v>0</v>
      </c>
      <c r="S237" s="5" t="n">
        <v>1</v>
      </c>
      <c r="T237" s="5" t="n">
        <v>0</v>
      </c>
      <c r="U237" s="5" t="inlineStr">
        <is>
          <t>training</t>
        </is>
      </c>
    </row>
    <row r="238">
      <c r="A238" s="5" t="n">
        <v>234</v>
      </c>
      <c r="B238" s="5" t="n">
        <v>0</v>
      </c>
      <c r="C238" s="6" t="n">
        <v>-0.2301473069597001</v>
      </c>
      <c r="D238" s="6" t="n">
        <v>-0.8343877217763105</v>
      </c>
      <c r="E238" s="6" t="n">
        <v>-0.9166956381570004</v>
      </c>
      <c r="F238" s="6" t="n">
        <v>0.9185437189662378</v>
      </c>
      <c r="G238" s="5" t="n">
        <v>0</v>
      </c>
      <c r="H238" s="5" t="n">
        <v>1</v>
      </c>
      <c r="I238" s="5" t="n">
        <v>0</v>
      </c>
      <c r="J238" s="5" t="n">
        <v>0</v>
      </c>
      <c r="K238" s="5" t="n">
        <v>0</v>
      </c>
      <c r="L238" s="5" t="n">
        <v>0</v>
      </c>
      <c r="M238" s="5" t="n">
        <v>0</v>
      </c>
      <c r="N238" s="5" t="n">
        <v>0</v>
      </c>
      <c r="O238" s="5" t="n">
        <v>0</v>
      </c>
      <c r="P238" s="5" t="n">
        <v>0</v>
      </c>
      <c r="Q238" s="5" t="n">
        <v>0</v>
      </c>
      <c r="R238" s="5" t="n">
        <v>0</v>
      </c>
      <c r="S238" s="5" t="n">
        <v>1</v>
      </c>
      <c r="T238" s="5" t="n">
        <v>0</v>
      </c>
      <c r="U238" s="5" t="inlineStr">
        <is>
          <t>training</t>
        </is>
      </c>
    </row>
    <row r="239">
      <c r="A239" s="5" t="n">
        <v>235</v>
      </c>
      <c r="B239" s="5" t="n">
        <v>0</v>
      </c>
      <c r="C239" s="6" t="n">
        <v>-1.409772625058581</v>
      </c>
      <c r="D239" s="6" t="n">
        <v>-0.5971604428512143</v>
      </c>
      <c r="E239" s="6" t="n">
        <v>0.5618457137091294</v>
      </c>
      <c r="F239" s="6" t="n">
        <v>-0.8850484360866833</v>
      </c>
      <c r="G239" s="5" t="n">
        <v>0</v>
      </c>
      <c r="H239" s="5" t="n">
        <v>0</v>
      </c>
      <c r="I239" s="5" t="n">
        <v>0</v>
      </c>
      <c r="J239" s="5" t="n">
        <v>1</v>
      </c>
      <c r="K239" s="5" t="n">
        <v>0</v>
      </c>
      <c r="L239" s="5" t="n">
        <v>0</v>
      </c>
      <c r="M239" s="5" t="n">
        <v>0</v>
      </c>
      <c r="N239" s="5" t="n">
        <v>0</v>
      </c>
      <c r="O239" s="5" t="n">
        <v>0</v>
      </c>
      <c r="P239" s="5" t="n">
        <v>0</v>
      </c>
      <c r="Q239" s="5" t="n">
        <v>0</v>
      </c>
      <c r="R239" s="5" t="n">
        <v>0</v>
      </c>
      <c r="S239" s="5" t="n">
        <v>1</v>
      </c>
      <c r="T239" s="5" t="n">
        <v>0</v>
      </c>
      <c r="U239" s="5" t="inlineStr">
        <is>
          <t>testing</t>
        </is>
      </c>
    </row>
    <row r="240">
      <c r="A240" s="5" t="n">
        <v>236</v>
      </c>
      <c r="B240" s="5" t="n">
        <v>1</v>
      </c>
      <c r="C240" s="6" t="n">
        <v>0.275406400796963</v>
      </c>
      <c r="D240" s="6" t="n">
        <v>-0.4995403678953119</v>
      </c>
      <c r="E240" s="6" t="n">
        <v>-0.4818305346669622</v>
      </c>
      <c r="F240" s="6" t="n">
        <v>0.9185437189662378</v>
      </c>
      <c r="G240" s="5" t="n">
        <v>1</v>
      </c>
      <c r="H240" s="5" t="n">
        <v>0</v>
      </c>
      <c r="I240" s="5" t="n">
        <v>0</v>
      </c>
      <c r="J240" s="5" t="n">
        <v>0</v>
      </c>
      <c r="K240" s="5" t="n">
        <v>0</v>
      </c>
      <c r="L240" s="5" t="n">
        <v>0</v>
      </c>
      <c r="M240" s="5" t="n">
        <v>0</v>
      </c>
      <c r="N240" s="5" t="n">
        <v>0</v>
      </c>
      <c r="O240" s="5" t="n">
        <v>0</v>
      </c>
      <c r="P240" s="5" t="n">
        <v>0</v>
      </c>
      <c r="Q240" s="5" t="n">
        <v>0</v>
      </c>
      <c r="R240" s="5" t="n">
        <v>0</v>
      </c>
      <c r="S240" s="5" t="n">
        <v>1</v>
      </c>
      <c r="T240" s="5" t="n">
        <v>0</v>
      </c>
      <c r="U240" s="5" t="inlineStr">
        <is>
          <t>training</t>
        </is>
      </c>
    </row>
    <row r="241">
      <c r="A241" s="5" t="n">
        <v>237</v>
      </c>
      <c r="B241" s="5" t="n">
        <v>1</v>
      </c>
      <c r="C241" s="6" t="n">
        <v>-1.241254722473026</v>
      </c>
      <c r="D241" s="6" t="n">
        <v>3.955294020414901</v>
      </c>
      <c r="E241" s="6" t="n">
        <v>-1.090641679553016</v>
      </c>
      <c r="F241" s="6" t="n">
        <v>-1.786844513613144</v>
      </c>
      <c r="G241" s="5" t="n">
        <v>0</v>
      </c>
      <c r="H241" s="5" t="n">
        <v>1</v>
      </c>
      <c r="I241" s="5" t="n">
        <v>0</v>
      </c>
      <c r="J241" s="5" t="n">
        <v>0</v>
      </c>
      <c r="K241" s="5" t="n">
        <v>0</v>
      </c>
      <c r="L241" s="5" t="n">
        <v>0</v>
      </c>
      <c r="M241" s="5" t="n">
        <v>0</v>
      </c>
      <c r="N241" s="5" t="n">
        <v>0</v>
      </c>
      <c r="O241" s="5" t="n">
        <v>1</v>
      </c>
      <c r="P241" s="5" t="n">
        <v>0</v>
      </c>
      <c r="Q241" s="5" t="n">
        <v>0</v>
      </c>
      <c r="R241" s="5" t="n">
        <v>1</v>
      </c>
      <c r="S241" s="5" t="n">
        <v>0</v>
      </c>
      <c r="T241" s="5" t="n">
        <v>0</v>
      </c>
      <c r="U241" s="5" t="inlineStr">
        <is>
          <t>training</t>
        </is>
      </c>
    </row>
    <row r="242">
      <c r="A242" s="5" t="n">
        <v>238</v>
      </c>
      <c r="B242" s="5" t="n">
        <v>1</v>
      </c>
      <c r="C242" s="6" t="n">
        <v>0.02262954691863145</v>
      </c>
      <c r="D242" s="6" t="n">
        <v>-0.1692416196574199</v>
      </c>
      <c r="E242" s="6" t="n">
        <v>2.214333106971274</v>
      </c>
      <c r="F242" s="6" t="n">
        <v>0.9185437189662378</v>
      </c>
      <c r="G242" s="5" t="n">
        <v>0</v>
      </c>
      <c r="H242" s="5" t="n">
        <v>1</v>
      </c>
      <c r="I242" s="5" t="n">
        <v>0</v>
      </c>
      <c r="J242" s="5" t="n">
        <v>0</v>
      </c>
      <c r="K242" s="5" t="n">
        <v>0</v>
      </c>
      <c r="L242" s="5" t="n">
        <v>0</v>
      </c>
      <c r="M242" s="5" t="n">
        <v>1</v>
      </c>
      <c r="N242" s="5" t="n">
        <v>0</v>
      </c>
      <c r="O242" s="5" t="n">
        <v>0</v>
      </c>
      <c r="P242" s="5" t="n">
        <v>1</v>
      </c>
      <c r="Q242" s="5" t="n">
        <v>0</v>
      </c>
      <c r="R242" s="5" t="n">
        <v>0</v>
      </c>
      <c r="S242" s="5" t="n">
        <v>0</v>
      </c>
      <c r="T242" s="5" t="n">
        <v>0</v>
      </c>
      <c r="U242" s="5" t="inlineStr">
        <is>
          <t>training</t>
        </is>
      </c>
    </row>
    <row r="243">
      <c r="A243" s="5" t="n">
        <v>239</v>
      </c>
      <c r="B243" s="5" t="n">
        <v>0</v>
      </c>
      <c r="C243" s="6" t="n">
        <v>-0.7357010147163632</v>
      </c>
      <c r="D243" s="6" t="n">
        <v>-0.6856833065209036</v>
      </c>
      <c r="E243" s="6" t="n">
        <v>-0.04696543117692405</v>
      </c>
      <c r="F243" s="6" t="n">
        <v>0.9185437189662378</v>
      </c>
      <c r="G243" s="5" t="n">
        <v>0</v>
      </c>
      <c r="H243" s="5" t="n">
        <v>0</v>
      </c>
      <c r="I243" s="5" t="n">
        <v>0</v>
      </c>
      <c r="J243" s="5" t="n">
        <v>1</v>
      </c>
      <c r="K243" s="5" t="n">
        <v>0</v>
      </c>
      <c r="L243" s="5" t="n">
        <v>0</v>
      </c>
      <c r="M243" s="5" t="n">
        <v>0</v>
      </c>
      <c r="N243" s="5" t="n">
        <v>0</v>
      </c>
      <c r="O243" s="5" t="n">
        <v>0</v>
      </c>
      <c r="P243" s="5" t="n">
        <v>0</v>
      </c>
      <c r="Q243" s="5" t="n">
        <v>0</v>
      </c>
      <c r="R243" s="5" t="n">
        <v>0</v>
      </c>
      <c r="S243" s="5" t="n">
        <v>1</v>
      </c>
      <c r="T243" s="5" t="n">
        <v>0</v>
      </c>
      <c r="U243" s="5" t="inlineStr">
        <is>
          <t>training</t>
        </is>
      </c>
    </row>
    <row r="244">
      <c r="A244" s="5" t="n">
        <v>240</v>
      </c>
      <c r="B244" s="5" t="n">
        <v>0</v>
      </c>
      <c r="C244" s="6" t="n">
        <v>0.7809601085536261</v>
      </c>
      <c r="D244" s="6" t="n">
        <v>-0.2549653413928898</v>
      </c>
      <c r="E244" s="6" t="n">
        <v>0.3009266516151065</v>
      </c>
      <c r="F244" s="6" t="n">
        <v>-1.786844513613144</v>
      </c>
      <c r="G244" s="5" t="n">
        <v>1</v>
      </c>
      <c r="H244" s="5" t="n">
        <v>0</v>
      </c>
      <c r="I244" s="5" t="n">
        <v>0</v>
      </c>
      <c r="J244" s="5" t="n">
        <v>0</v>
      </c>
      <c r="K244" s="5" t="n">
        <v>0</v>
      </c>
      <c r="L244" s="5" t="n">
        <v>0</v>
      </c>
      <c r="M244" s="5" t="n">
        <v>0</v>
      </c>
      <c r="N244" s="5" t="n">
        <v>0</v>
      </c>
      <c r="O244" s="5" t="n">
        <v>0</v>
      </c>
      <c r="P244" s="5" t="n">
        <v>0</v>
      </c>
      <c r="Q244" s="5" t="n">
        <v>0</v>
      </c>
      <c r="R244" s="5" t="n">
        <v>0</v>
      </c>
      <c r="S244" s="5" t="n">
        <v>1</v>
      </c>
      <c r="T244" s="5" t="n">
        <v>0</v>
      </c>
      <c r="U244" s="5" t="inlineStr">
        <is>
          <t>testing</t>
        </is>
      </c>
    </row>
    <row r="245">
      <c r="A245" s="5" t="n">
        <v>241</v>
      </c>
      <c r="B245" s="5" t="n">
        <v>1</v>
      </c>
      <c r="C245" s="6" t="n">
        <v>0.275406400796963</v>
      </c>
      <c r="D245" s="6" t="n">
        <v>-0.8172429774292165</v>
      </c>
      <c r="E245" s="6" t="n">
        <v>-0.5688035553649698</v>
      </c>
      <c r="F245" s="6" t="n">
        <v>0.9185437189662378</v>
      </c>
      <c r="G245" s="5" t="n">
        <v>1</v>
      </c>
      <c r="H245" s="5" t="n">
        <v>0</v>
      </c>
      <c r="I245" s="5" t="n">
        <v>0</v>
      </c>
      <c r="J245" s="5" t="n">
        <v>0</v>
      </c>
      <c r="K245" s="5" t="n">
        <v>0</v>
      </c>
      <c r="L245" s="5" t="n">
        <v>0</v>
      </c>
      <c r="M245" s="5" t="n">
        <v>0</v>
      </c>
      <c r="N245" s="5" t="n">
        <v>0</v>
      </c>
      <c r="O245" s="5" t="n">
        <v>1</v>
      </c>
      <c r="P245" s="5" t="n">
        <v>0</v>
      </c>
      <c r="Q245" s="5" t="n">
        <v>0</v>
      </c>
      <c r="R245" s="5" t="n">
        <v>1</v>
      </c>
      <c r="S245" s="5" t="n">
        <v>0</v>
      </c>
      <c r="T245" s="5" t="n">
        <v>0</v>
      </c>
      <c r="U245" s="5" t="inlineStr">
        <is>
          <t>testing</t>
        </is>
      </c>
    </row>
    <row r="246">
      <c r="A246" s="5" t="n">
        <v>242</v>
      </c>
      <c r="B246" s="5" t="n">
        <v>0</v>
      </c>
      <c r="C246" s="6" t="n">
        <v>-1.241254722473026</v>
      </c>
      <c r="D246" s="6" t="n">
        <v>-0.5793159130205655</v>
      </c>
      <c r="E246" s="6" t="n">
        <v>1.344602899991198</v>
      </c>
      <c r="F246" s="6" t="n">
        <v>0.01674764143977723</v>
      </c>
      <c r="G246" s="5" t="n">
        <v>0</v>
      </c>
      <c r="H246" s="5" t="n">
        <v>0</v>
      </c>
      <c r="I246" s="5" t="n">
        <v>0</v>
      </c>
      <c r="J246" s="5" t="n">
        <v>0</v>
      </c>
      <c r="K246" s="5" t="n">
        <v>0</v>
      </c>
      <c r="L246" s="5" t="n">
        <v>0</v>
      </c>
      <c r="M246" s="5" t="n">
        <v>0</v>
      </c>
      <c r="N246" s="5" t="n">
        <v>0</v>
      </c>
      <c r="O246" s="5" t="n">
        <v>0</v>
      </c>
      <c r="P246" s="5" t="n">
        <v>0</v>
      </c>
      <c r="Q246" s="5" t="n">
        <v>0</v>
      </c>
      <c r="R246" s="5" t="n">
        <v>0</v>
      </c>
      <c r="S246" s="5" t="n">
        <v>1</v>
      </c>
      <c r="T246" s="5" t="n">
        <v>0</v>
      </c>
      <c r="U246" s="5" t="inlineStr">
        <is>
          <t>testing</t>
        </is>
      </c>
    </row>
    <row r="247">
      <c r="A247" s="5" t="n">
        <v>243</v>
      </c>
      <c r="B247" s="5" t="n">
        <v>1</v>
      </c>
      <c r="C247" s="6" t="n">
        <v>2.297621231823615</v>
      </c>
      <c r="D247" s="6" t="n">
        <v>0.4738612397294926</v>
      </c>
      <c r="E247" s="6" t="n">
        <v>-1.003668658855008</v>
      </c>
      <c r="F247" s="6" t="n">
        <v>0.01674764143977723</v>
      </c>
      <c r="G247" s="5" t="n">
        <v>1</v>
      </c>
      <c r="H247" s="5" t="n">
        <v>0</v>
      </c>
      <c r="I247" s="5" t="n">
        <v>0</v>
      </c>
      <c r="J247" s="5" t="n">
        <v>0</v>
      </c>
      <c r="K247" s="5" t="n">
        <v>0</v>
      </c>
      <c r="L247" s="5" t="n">
        <v>1</v>
      </c>
      <c r="M247" s="5" t="n">
        <v>0</v>
      </c>
      <c r="N247" s="5" t="n">
        <v>0</v>
      </c>
      <c r="O247" s="5" t="n">
        <v>0</v>
      </c>
      <c r="P247" s="5" t="n">
        <v>0</v>
      </c>
      <c r="Q247" s="5" t="n">
        <v>1</v>
      </c>
      <c r="R247" s="5" t="n">
        <v>1</v>
      </c>
      <c r="S247" s="5" t="n">
        <v>0</v>
      </c>
      <c r="T247" s="5" t="n">
        <v>0</v>
      </c>
      <c r="U247" s="5" t="inlineStr">
        <is>
          <t>testing</t>
        </is>
      </c>
    </row>
    <row r="248">
      <c r="A248" s="5" t="n">
        <v>244</v>
      </c>
      <c r="B248" s="5" t="n">
        <v>0</v>
      </c>
      <c r="C248" s="6" t="n">
        <v>-0.7357010147163632</v>
      </c>
      <c r="D248" s="6" t="n">
        <v>-0.722771937149311</v>
      </c>
      <c r="E248" s="6" t="n">
        <v>-0.7427495967609852</v>
      </c>
      <c r="F248" s="6" t="n">
        <v>0.01674764143977723</v>
      </c>
      <c r="G248" s="5" t="n">
        <v>0</v>
      </c>
      <c r="H248" s="5" t="n">
        <v>0</v>
      </c>
      <c r="I248" s="5" t="n">
        <v>0</v>
      </c>
      <c r="J248" s="5" t="n">
        <v>1</v>
      </c>
      <c r="K248" s="5" t="n">
        <v>0</v>
      </c>
      <c r="L248" s="5" t="n">
        <v>0</v>
      </c>
      <c r="M248" s="5" t="n">
        <v>0</v>
      </c>
      <c r="N248" s="5" t="n">
        <v>0</v>
      </c>
      <c r="O248" s="5" t="n">
        <v>0</v>
      </c>
      <c r="P248" s="5" t="n">
        <v>0</v>
      </c>
      <c r="Q248" s="5" t="n">
        <v>0</v>
      </c>
      <c r="R248" s="5" t="n">
        <v>0</v>
      </c>
      <c r="S248" s="5" t="n">
        <v>0</v>
      </c>
      <c r="T248" s="5" t="n">
        <v>0</v>
      </c>
      <c r="U248" s="5" t="inlineStr">
        <is>
          <t>training</t>
        </is>
      </c>
    </row>
    <row r="249">
      <c r="A249" s="5" t="n">
        <v>245</v>
      </c>
      <c r="B249" s="5" t="n">
        <v>0</v>
      </c>
      <c r="C249" s="6" t="n">
        <v>-0.7357010147163632</v>
      </c>
      <c r="D249" s="6" t="n">
        <v>0.06868544475123109</v>
      </c>
      <c r="E249" s="6" t="n">
        <v>-0.04696543117692405</v>
      </c>
      <c r="F249" s="6" t="n">
        <v>0.9185437189662378</v>
      </c>
      <c r="G249" s="5" t="n">
        <v>0</v>
      </c>
      <c r="H249" s="5" t="n">
        <v>0</v>
      </c>
      <c r="I249" s="5" t="n">
        <v>0</v>
      </c>
      <c r="J249" s="5" t="n">
        <v>0</v>
      </c>
      <c r="K249" s="5" t="n">
        <v>0</v>
      </c>
      <c r="L249" s="5" t="n">
        <v>1</v>
      </c>
      <c r="M249" s="5" t="n">
        <v>1</v>
      </c>
      <c r="N249" s="5" t="n">
        <v>0</v>
      </c>
      <c r="O249" s="5" t="n">
        <v>0</v>
      </c>
      <c r="P249" s="5" t="n">
        <v>0</v>
      </c>
      <c r="Q249" s="5" t="n">
        <v>0</v>
      </c>
      <c r="R249" s="5" t="n">
        <v>0</v>
      </c>
      <c r="S249" s="5" t="n">
        <v>0</v>
      </c>
      <c r="T249" s="5" t="n">
        <v>0</v>
      </c>
      <c r="U249" s="5" t="inlineStr">
        <is>
          <t>training</t>
        </is>
      </c>
    </row>
    <row r="250">
      <c r="A250" s="5" t="n">
        <v>246</v>
      </c>
      <c r="B250" s="5" t="n">
        <v>0</v>
      </c>
      <c r="C250" s="6" t="n">
        <v>0.275406400796963</v>
      </c>
      <c r="D250" s="6" t="n">
        <v>-0.6972297669995587</v>
      </c>
      <c r="E250" s="6" t="n">
        <v>-0.9166956381570004</v>
      </c>
      <c r="F250" s="6" t="n">
        <v>0.9185437189662378</v>
      </c>
      <c r="G250" s="5" t="n">
        <v>0</v>
      </c>
      <c r="H250" s="5" t="n">
        <v>0</v>
      </c>
      <c r="I250" s="5" t="n">
        <v>0</v>
      </c>
      <c r="J250" s="5" t="n">
        <v>0</v>
      </c>
      <c r="K250" s="5" t="n">
        <v>0</v>
      </c>
      <c r="L250" s="5" t="n">
        <v>0</v>
      </c>
      <c r="M250" s="5" t="n">
        <v>0</v>
      </c>
      <c r="N250" s="5" t="n">
        <v>0</v>
      </c>
      <c r="O250" s="5" t="n">
        <v>0</v>
      </c>
      <c r="P250" s="5" t="n">
        <v>0</v>
      </c>
      <c r="Q250" s="5" t="n">
        <v>0</v>
      </c>
      <c r="R250" s="5" t="n">
        <v>0</v>
      </c>
      <c r="S250" s="5" t="n">
        <v>0</v>
      </c>
      <c r="T250" s="5" t="n">
        <v>0</v>
      </c>
      <c r="U250" s="5" t="inlineStr">
        <is>
          <t>testing</t>
        </is>
      </c>
    </row>
    <row r="251">
      <c r="A251" s="5" t="n">
        <v>247</v>
      </c>
      <c r="B251" s="5" t="n">
        <v>0</v>
      </c>
      <c r="C251" s="6" t="n">
        <v>-0.7357010147163632</v>
      </c>
      <c r="D251" s="6" t="n">
        <v>-0.8865217403011472</v>
      </c>
      <c r="E251" s="6" t="n">
        <v>1.431575920689206</v>
      </c>
      <c r="F251" s="6" t="n">
        <v>0.9185437189662378</v>
      </c>
      <c r="G251" s="5" t="n">
        <v>0</v>
      </c>
      <c r="H251" s="5" t="n">
        <v>0</v>
      </c>
      <c r="I251" s="5" t="n">
        <v>0</v>
      </c>
      <c r="J251" s="5" t="n">
        <v>1</v>
      </c>
      <c r="K251" s="5" t="n">
        <v>0</v>
      </c>
      <c r="L251" s="5" t="n">
        <v>0</v>
      </c>
      <c r="M251" s="5" t="n">
        <v>0</v>
      </c>
      <c r="N251" s="5" t="n">
        <v>0</v>
      </c>
      <c r="O251" s="5" t="n">
        <v>0</v>
      </c>
      <c r="P251" s="5" t="n">
        <v>0</v>
      </c>
      <c r="Q251" s="5" t="n">
        <v>0</v>
      </c>
      <c r="R251" s="5" t="n">
        <v>0</v>
      </c>
      <c r="S251" s="5" t="n">
        <v>1</v>
      </c>
      <c r="T251" s="5" t="n">
        <v>0</v>
      </c>
      <c r="U251" s="5" t="inlineStr">
        <is>
          <t>training</t>
        </is>
      </c>
    </row>
    <row r="252">
      <c r="A252" s="5" t="n">
        <v>248</v>
      </c>
      <c r="B252" s="5" t="n">
        <v>0</v>
      </c>
      <c r="C252" s="6" t="n">
        <v>-1.241254722473026</v>
      </c>
      <c r="D252" s="6" t="n">
        <v>-0.7161239750555398</v>
      </c>
      <c r="E252" s="6" t="n">
        <v>-0.04696543117692405</v>
      </c>
      <c r="F252" s="6" t="n">
        <v>0.9185437189662378</v>
      </c>
      <c r="G252" s="5" t="n">
        <v>0</v>
      </c>
      <c r="H252" s="5" t="n">
        <v>0</v>
      </c>
      <c r="I252" s="5" t="n">
        <v>0</v>
      </c>
      <c r="J252" s="5" t="n">
        <v>0</v>
      </c>
      <c r="K252" s="5" t="n">
        <v>0</v>
      </c>
      <c r="L252" s="5" t="n">
        <v>1</v>
      </c>
      <c r="M252" s="5" t="n">
        <v>1</v>
      </c>
      <c r="N252" s="5" t="n">
        <v>0</v>
      </c>
      <c r="O252" s="5" t="n">
        <v>0</v>
      </c>
      <c r="P252" s="5" t="n">
        <v>1</v>
      </c>
      <c r="Q252" s="5" t="n">
        <v>0</v>
      </c>
      <c r="R252" s="5" t="n">
        <v>1</v>
      </c>
      <c r="S252" s="5" t="n">
        <v>0</v>
      </c>
      <c r="T252" s="5" t="n">
        <v>0</v>
      </c>
      <c r="U252" s="5" t="inlineStr">
        <is>
          <t>training</t>
        </is>
      </c>
    </row>
    <row r="253">
      <c r="A253" s="5" t="n">
        <v>249</v>
      </c>
      <c r="B253" s="5" t="n">
        <v>0</v>
      </c>
      <c r="C253" s="6" t="n">
        <v>0.275406400796963</v>
      </c>
      <c r="D253" s="6" t="n">
        <v>-0.4638513082340143</v>
      </c>
      <c r="E253" s="6" t="n">
        <v>-0.8297226174589928</v>
      </c>
      <c r="F253" s="6" t="n">
        <v>-0.8850484360866833</v>
      </c>
      <c r="G253" s="5" t="n">
        <v>0</v>
      </c>
      <c r="H253" s="5" t="n">
        <v>0</v>
      </c>
      <c r="I253" s="5" t="n">
        <v>1</v>
      </c>
      <c r="J253" s="5" t="n">
        <v>0</v>
      </c>
      <c r="K253" s="5" t="n">
        <v>0</v>
      </c>
      <c r="L253" s="5" t="n">
        <v>0</v>
      </c>
      <c r="M253" s="5" t="n">
        <v>0</v>
      </c>
      <c r="N253" s="5" t="n">
        <v>0</v>
      </c>
      <c r="O253" s="5" t="n">
        <v>0</v>
      </c>
      <c r="P253" s="5" t="n">
        <v>0</v>
      </c>
      <c r="Q253" s="5" t="n">
        <v>0</v>
      </c>
      <c r="R253" s="5" t="n">
        <v>0</v>
      </c>
      <c r="S253" s="5" t="n">
        <v>0</v>
      </c>
      <c r="T253" s="5" t="n">
        <v>1</v>
      </c>
      <c r="U253" s="5" t="inlineStr">
        <is>
          <t>training</t>
        </is>
      </c>
    </row>
    <row r="254">
      <c r="A254" s="5" t="n">
        <v>250</v>
      </c>
      <c r="B254" s="5" t="n">
        <v>1</v>
      </c>
      <c r="C254" s="6" t="n">
        <v>-0.2301473069597001</v>
      </c>
      <c r="D254" s="6" t="n">
        <v>-0.9858912789659368</v>
      </c>
      <c r="E254" s="6" t="n">
        <v>-1.177614700251023</v>
      </c>
      <c r="F254" s="6" t="n">
        <v>0.01674764143977723</v>
      </c>
      <c r="G254" s="5" t="n">
        <v>0</v>
      </c>
      <c r="H254" s="5" t="n">
        <v>0</v>
      </c>
      <c r="I254" s="5" t="n">
        <v>0</v>
      </c>
      <c r="J254" s="5" t="n">
        <v>0</v>
      </c>
      <c r="K254" s="5" t="n">
        <v>0</v>
      </c>
      <c r="L254" s="5" t="n">
        <v>0</v>
      </c>
      <c r="M254" s="5" t="n">
        <v>0</v>
      </c>
      <c r="N254" s="5" t="n">
        <v>0</v>
      </c>
      <c r="O254" s="5" t="n">
        <v>0</v>
      </c>
      <c r="P254" s="5" t="n">
        <v>1</v>
      </c>
      <c r="Q254" s="5" t="n">
        <v>0</v>
      </c>
      <c r="R254" s="5" t="n">
        <v>0</v>
      </c>
      <c r="S254" s="5" t="n">
        <v>1</v>
      </c>
      <c r="T254" s="5" t="n">
        <v>0</v>
      </c>
      <c r="U254" s="5" t="inlineStr">
        <is>
          <t>training</t>
        </is>
      </c>
    </row>
    <row r="255">
      <c r="A255" s="5" t="n">
        <v>251</v>
      </c>
      <c r="B255" s="5" t="n">
        <v>0</v>
      </c>
      <c r="C255" s="6" t="n">
        <v>-1.241254722473026</v>
      </c>
      <c r="D255" s="6" t="n">
        <v>-0.904366270131796</v>
      </c>
      <c r="E255" s="6" t="n">
        <v>0.3009266516151065</v>
      </c>
      <c r="F255" s="6" t="n">
        <v>0.01674764143977723</v>
      </c>
      <c r="G255" s="5" t="n">
        <v>1</v>
      </c>
      <c r="H255" s="5" t="n">
        <v>0</v>
      </c>
      <c r="I255" s="5" t="n">
        <v>0</v>
      </c>
      <c r="J255" s="5" t="n">
        <v>1</v>
      </c>
      <c r="K255" s="5" t="n">
        <v>0</v>
      </c>
      <c r="L255" s="5" t="n">
        <v>0</v>
      </c>
      <c r="M255" s="5" t="n">
        <v>0</v>
      </c>
      <c r="N255" s="5" t="n">
        <v>1</v>
      </c>
      <c r="O255" s="5" t="n">
        <v>0</v>
      </c>
      <c r="P255" s="5" t="n">
        <v>0</v>
      </c>
      <c r="Q255" s="5" t="n">
        <v>0</v>
      </c>
      <c r="R255" s="5" t="n">
        <v>1</v>
      </c>
      <c r="S255" s="5" t="n">
        <v>0</v>
      </c>
      <c r="T255" s="5" t="n">
        <v>0</v>
      </c>
      <c r="U255" s="5" t="inlineStr">
        <is>
          <t>testing</t>
        </is>
      </c>
    </row>
    <row r="256">
      <c r="A256" s="5" t="n">
        <v>252</v>
      </c>
      <c r="B256" s="5" t="n">
        <v>0</v>
      </c>
      <c r="C256" s="6" t="n">
        <v>-0.7357010147163632</v>
      </c>
      <c r="D256" s="6" t="n">
        <v>-0.3497862744145727</v>
      </c>
      <c r="E256" s="6" t="n">
        <v>0.9097377965011599</v>
      </c>
      <c r="F256" s="6" t="n">
        <v>-1.786844513613144</v>
      </c>
      <c r="G256" s="5" t="n">
        <v>0</v>
      </c>
      <c r="H256" s="5" t="n">
        <v>0</v>
      </c>
      <c r="I256" s="5" t="n">
        <v>1</v>
      </c>
      <c r="J256" s="5" t="n">
        <v>0</v>
      </c>
      <c r="K256" s="5" t="n">
        <v>0</v>
      </c>
      <c r="L256" s="5" t="n">
        <v>0</v>
      </c>
      <c r="M256" s="5" t="n">
        <v>0</v>
      </c>
      <c r="N256" s="5" t="n">
        <v>0</v>
      </c>
      <c r="O256" s="5" t="n">
        <v>0</v>
      </c>
      <c r="P256" s="5" t="n">
        <v>0</v>
      </c>
      <c r="Q256" s="5" t="n">
        <v>0</v>
      </c>
      <c r="R256" s="5" t="n">
        <v>0</v>
      </c>
      <c r="S256" s="5" t="n">
        <v>0</v>
      </c>
      <c r="T256" s="5" t="n">
        <v>1</v>
      </c>
      <c r="U256" s="5" t="inlineStr">
        <is>
          <t>training</t>
        </is>
      </c>
    </row>
    <row r="257">
      <c r="A257" s="5" t="n">
        <v>253</v>
      </c>
      <c r="B257" s="5" t="n">
        <v>1</v>
      </c>
      <c r="C257" s="6" t="n">
        <v>0.7809601085536261</v>
      </c>
      <c r="D257" s="6" t="n">
        <v>-0.385125441334093</v>
      </c>
      <c r="E257" s="6" t="n">
        <v>-1.003668658855008</v>
      </c>
      <c r="F257" s="6" t="n">
        <v>0.9185437189662378</v>
      </c>
      <c r="G257" s="5" t="n">
        <v>0</v>
      </c>
      <c r="H257" s="5" t="n">
        <v>1</v>
      </c>
      <c r="I257" s="5" t="n">
        <v>0</v>
      </c>
      <c r="J257" s="5" t="n">
        <v>0</v>
      </c>
      <c r="K257" s="5" t="n">
        <v>0</v>
      </c>
      <c r="L257" s="5" t="n">
        <v>0</v>
      </c>
      <c r="M257" s="5" t="n">
        <v>0</v>
      </c>
      <c r="N257" s="5" t="n">
        <v>0</v>
      </c>
      <c r="O257" s="5" t="n">
        <v>0</v>
      </c>
      <c r="P257" s="5" t="n">
        <v>0</v>
      </c>
      <c r="Q257" s="5" t="n">
        <v>0</v>
      </c>
      <c r="R257" s="5" t="n">
        <v>1</v>
      </c>
      <c r="S257" s="5" t="n">
        <v>0</v>
      </c>
      <c r="T257" s="5" t="n">
        <v>0</v>
      </c>
      <c r="U257" s="5" t="inlineStr">
        <is>
          <t>training</t>
        </is>
      </c>
    </row>
    <row r="258">
      <c r="A258" s="5" t="n">
        <v>254</v>
      </c>
      <c r="B258" s="5" t="n">
        <v>0</v>
      </c>
      <c r="C258" s="6" t="n">
        <v>0.275406400796963</v>
      </c>
      <c r="D258" s="6" t="n">
        <v>0.3150099349625404</v>
      </c>
      <c r="E258" s="6" t="n">
        <v>-0.04696543117692405</v>
      </c>
      <c r="F258" s="6" t="n">
        <v>-0.8850484360866833</v>
      </c>
      <c r="G258" s="5" t="n">
        <v>0</v>
      </c>
      <c r="H258" s="5" t="n">
        <v>0</v>
      </c>
      <c r="I258" s="5" t="n">
        <v>0</v>
      </c>
      <c r="J258" s="5" t="n">
        <v>0</v>
      </c>
      <c r="K258" s="5" t="n">
        <v>1</v>
      </c>
      <c r="L258" s="5" t="n">
        <v>0</v>
      </c>
      <c r="M258" s="5" t="n">
        <v>1</v>
      </c>
      <c r="N258" s="5" t="n">
        <v>0</v>
      </c>
      <c r="O258" s="5" t="n">
        <v>0</v>
      </c>
      <c r="P258" s="5" t="n">
        <v>0</v>
      </c>
      <c r="Q258" s="5" t="n">
        <v>0</v>
      </c>
      <c r="R258" s="5" t="n">
        <v>0</v>
      </c>
      <c r="S258" s="5" t="n">
        <v>0</v>
      </c>
      <c r="T258" s="5" t="n">
        <v>1</v>
      </c>
      <c r="U258" s="5" t="inlineStr">
        <is>
          <t>testing</t>
        </is>
      </c>
    </row>
    <row r="259">
      <c r="A259" s="5" t="n">
        <v>255</v>
      </c>
      <c r="B259" s="5" t="n">
        <v>0</v>
      </c>
      <c r="C259" s="6" t="n">
        <v>-0.9884778685946948</v>
      </c>
      <c r="D259" s="6" t="n">
        <v>-0.4271125703473843</v>
      </c>
      <c r="E259" s="6" t="n">
        <v>-1.003668658855008</v>
      </c>
      <c r="F259" s="6" t="n">
        <v>-0.8850484360866833</v>
      </c>
      <c r="G259" s="5" t="n">
        <v>0</v>
      </c>
      <c r="H259" s="5" t="n">
        <v>1</v>
      </c>
      <c r="I259" s="5" t="n">
        <v>0</v>
      </c>
      <c r="J259" s="5" t="n">
        <v>0</v>
      </c>
      <c r="K259" s="5" t="n">
        <v>0</v>
      </c>
      <c r="L259" s="5" t="n">
        <v>0</v>
      </c>
      <c r="M259" s="5" t="n">
        <v>0</v>
      </c>
      <c r="N259" s="5" t="n">
        <v>0</v>
      </c>
      <c r="O259" s="5" t="n">
        <v>1</v>
      </c>
      <c r="P259" s="5" t="n">
        <v>0</v>
      </c>
      <c r="Q259" s="5" t="n">
        <v>0</v>
      </c>
      <c r="R259" s="5" t="n">
        <v>0</v>
      </c>
      <c r="S259" s="5" t="n">
        <v>0</v>
      </c>
      <c r="T259" s="5" t="n">
        <v>1</v>
      </c>
      <c r="U259" s="5" t="inlineStr">
        <is>
          <t>testing</t>
        </is>
      </c>
    </row>
    <row r="260">
      <c r="A260" s="5" t="n">
        <v>256</v>
      </c>
      <c r="B260" s="5" t="n">
        <v>0</v>
      </c>
      <c r="C260" s="6" t="n">
        <v>3.308728647336942</v>
      </c>
      <c r="D260" s="6" t="n">
        <v>1.458109522349398</v>
      </c>
      <c r="E260" s="6" t="n">
        <v>-0.7427495967609852</v>
      </c>
      <c r="F260" s="6" t="n">
        <v>-1.786844513613144</v>
      </c>
      <c r="G260" s="5" t="n">
        <v>0</v>
      </c>
      <c r="H260" s="5" t="n">
        <v>1</v>
      </c>
      <c r="I260" s="5" t="n">
        <v>0</v>
      </c>
      <c r="J260" s="5" t="n">
        <v>0</v>
      </c>
      <c r="K260" s="5" t="n">
        <v>1</v>
      </c>
      <c r="L260" s="5" t="n">
        <v>0</v>
      </c>
      <c r="M260" s="5" t="n">
        <v>0</v>
      </c>
      <c r="N260" s="5" t="n">
        <v>0</v>
      </c>
      <c r="O260" s="5" t="n">
        <v>1</v>
      </c>
      <c r="P260" s="5" t="n">
        <v>0</v>
      </c>
      <c r="Q260" s="5" t="n">
        <v>0</v>
      </c>
      <c r="R260" s="5" t="n">
        <v>0</v>
      </c>
      <c r="S260" s="5" t="n">
        <v>1</v>
      </c>
      <c r="T260" s="5" t="n">
        <v>0</v>
      </c>
      <c r="U260" s="5" t="inlineStr">
        <is>
          <t>training</t>
        </is>
      </c>
    </row>
    <row r="261">
      <c r="A261" s="5" t="n">
        <v>257</v>
      </c>
      <c r="B261" s="5" t="n">
        <v>0</v>
      </c>
      <c r="C261" s="6" t="n">
        <v>0.275406400796963</v>
      </c>
      <c r="D261" s="6" t="n">
        <v>-0.1982827172249464</v>
      </c>
      <c r="E261" s="6" t="n">
        <v>-0.04696543117692405</v>
      </c>
      <c r="F261" s="6" t="n">
        <v>0.9185437189662378</v>
      </c>
      <c r="G261" s="5" t="n">
        <v>0</v>
      </c>
      <c r="H261" s="5" t="n">
        <v>0</v>
      </c>
      <c r="I261" s="5" t="n">
        <v>0</v>
      </c>
      <c r="J261" s="5" t="n">
        <v>1</v>
      </c>
      <c r="K261" s="5" t="n">
        <v>0</v>
      </c>
      <c r="L261" s="5" t="n">
        <v>0</v>
      </c>
      <c r="M261" s="5" t="n">
        <v>0</v>
      </c>
      <c r="N261" s="5" t="n">
        <v>0</v>
      </c>
      <c r="O261" s="5" t="n">
        <v>0</v>
      </c>
      <c r="P261" s="5" t="n">
        <v>0</v>
      </c>
      <c r="Q261" s="5" t="n">
        <v>0</v>
      </c>
      <c r="R261" s="5" t="n">
        <v>0</v>
      </c>
      <c r="S261" s="5" t="n">
        <v>1</v>
      </c>
      <c r="T261" s="5" t="n">
        <v>0</v>
      </c>
      <c r="U261" s="5" t="inlineStr">
        <is>
          <t>training</t>
        </is>
      </c>
    </row>
    <row r="262">
      <c r="A262" s="5" t="n">
        <v>258</v>
      </c>
      <c r="B262" s="5" t="n">
        <v>1</v>
      </c>
      <c r="C262" s="6" t="n">
        <v>-0.7357010147163632</v>
      </c>
      <c r="D262" s="6" t="n">
        <v>-0.3854753340758704</v>
      </c>
      <c r="E262" s="6" t="n">
        <v>-0.5688035553649698</v>
      </c>
      <c r="F262" s="6" t="n">
        <v>0.9185437189662378</v>
      </c>
      <c r="G262" s="5" t="n">
        <v>1</v>
      </c>
      <c r="H262" s="5" t="n">
        <v>0</v>
      </c>
      <c r="I262" s="5" t="n">
        <v>0</v>
      </c>
      <c r="J262" s="5" t="n">
        <v>0</v>
      </c>
      <c r="K262" s="5" t="n">
        <v>0</v>
      </c>
      <c r="L262" s="5" t="n">
        <v>1</v>
      </c>
      <c r="M262" s="5" t="n">
        <v>0</v>
      </c>
      <c r="N262" s="5" t="n">
        <v>0</v>
      </c>
      <c r="O262" s="5" t="n">
        <v>0</v>
      </c>
      <c r="P262" s="5" t="n">
        <v>0</v>
      </c>
      <c r="Q262" s="5" t="n">
        <v>1</v>
      </c>
      <c r="R262" s="5" t="n">
        <v>0</v>
      </c>
      <c r="S262" s="5" t="n">
        <v>1</v>
      </c>
      <c r="T262" s="5" t="n">
        <v>0</v>
      </c>
      <c r="U262" s="5" t="inlineStr">
        <is>
          <t>testing</t>
        </is>
      </c>
    </row>
    <row r="263">
      <c r="A263" s="5" t="n">
        <v>259</v>
      </c>
      <c r="B263" s="5" t="n">
        <v>0</v>
      </c>
      <c r="C263" s="6" t="n">
        <v>-0.4829241608380317</v>
      </c>
      <c r="D263" s="6" t="n">
        <v>0.1963962954999923</v>
      </c>
      <c r="E263" s="6" t="n">
        <v>-1.090641679553016</v>
      </c>
      <c r="F263" s="6" t="n">
        <v>-1.786844513613144</v>
      </c>
      <c r="G263" s="5" t="n">
        <v>0</v>
      </c>
      <c r="H263" s="5" t="n">
        <v>0</v>
      </c>
      <c r="I263" s="5" t="n">
        <v>0</v>
      </c>
      <c r="J263" s="5" t="n">
        <v>0</v>
      </c>
      <c r="K263" s="5" t="n">
        <v>0</v>
      </c>
      <c r="L263" s="5" t="n">
        <v>0</v>
      </c>
      <c r="M263" s="5" t="n">
        <v>1</v>
      </c>
      <c r="N263" s="5" t="n">
        <v>0</v>
      </c>
      <c r="O263" s="5" t="n">
        <v>0</v>
      </c>
      <c r="P263" s="5" t="n">
        <v>0</v>
      </c>
      <c r="Q263" s="5" t="n">
        <v>0</v>
      </c>
      <c r="R263" s="5" t="n">
        <v>1</v>
      </c>
      <c r="S263" s="5" t="n">
        <v>0</v>
      </c>
      <c r="T263" s="5" t="n">
        <v>0</v>
      </c>
      <c r="U263" s="5" t="inlineStr">
        <is>
          <t>training</t>
        </is>
      </c>
    </row>
    <row r="264">
      <c r="A264" s="5" t="n">
        <v>260</v>
      </c>
      <c r="B264" s="5" t="n">
        <v>0</v>
      </c>
      <c r="C264" s="6" t="n">
        <v>-0.8199599660091405</v>
      </c>
      <c r="D264" s="6" t="n">
        <v>-0.7336186121444112</v>
      </c>
      <c r="E264" s="6" t="n">
        <v>1.866441024179244</v>
      </c>
      <c r="F264" s="6" t="n">
        <v>0.9185437189662378</v>
      </c>
      <c r="G264" s="5" t="n">
        <v>0</v>
      </c>
      <c r="H264" s="5" t="n">
        <v>0</v>
      </c>
      <c r="I264" s="5" t="n">
        <v>0</v>
      </c>
      <c r="J264" s="5" t="n">
        <v>1</v>
      </c>
      <c r="K264" s="5" t="n">
        <v>0</v>
      </c>
      <c r="L264" s="5" t="n">
        <v>0</v>
      </c>
      <c r="M264" s="5" t="n">
        <v>1</v>
      </c>
      <c r="N264" s="5" t="n">
        <v>0</v>
      </c>
      <c r="O264" s="5" t="n">
        <v>0</v>
      </c>
      <c r="P264" s="5" t="n">
        <v>0</v>
      </c>
      <c r="Q264" s="5" t="n">
        <v>0</v>
      </c>
      <c r="R264" s="5" t="n">
        <v>0</v>
      </c>
      <c r="S264" s="5" t="n">
        <v>1</v>
      </c>
      <c r="T264" s="5" t="n">
        <v>0</v>
      </c>
      <c r="U264" s="5" t="inlineStr">
        <is>
          <t>training</t>
        </is>
      </c>
    </row>
    <row r="265">
      <c r="A265" s="5" t="n">
        <v>261</v>
      </c>
      <c r="B265" s="5" t="n">
        <v>0</v>
      </c>
      <c r="C265" s="6" t="n">
        <v>-0.7357010147163632</v>
      </c>
      <c r="D265" s="6" t="n">
        <v>-0.5576225630303649</v>
      </c>
      <c r="E265" s="6" t="n">
        <v>-0.7427495967609852</v>
      </c>
      <c r="F265" s="6" t="n">
        <v>-0.8850484360866833</v>
      </c>
      <c r="G265" s="5" t="n">
        <v>1</v>
      </c>
      <c r="H265" s="5" t="n">
        <v>0</v>
      </c>
      <c r="I265" s="5" t="n">
        <v>0</v>
      </c>
      <c r="J265" s="5" t="n">
        <v>0</v>
      </c>
      <c r="K265" s="5" t="n">
        <v>0</v>
      </c>
      <c r="L265" s="5" t="n">
        <v>0</v>
      </c>
      <c r="M265" s="5" t="n">
        <v>0</v>
      </c>
      <c r="N265" s="5" t="n">
        <v>0</v>
      </c>
      <c r="O265" s="5" t="n">
        <v>0</v>
      </c>
      <c r="P265" s="5" t="n">
        <v>0</v>
      </c>
      <c r="Q265" s="5" t="n">
        <v>0</v>
      </c>
      <c r="R265" s="5" t="n">
        <v>0</v>
      </c>
      <c r="S265" s="5" t="n">
        <v>0</v>
      </c>
      <c r="T265" s="5" t="n">
        <v>1</v>
      </c>
      <c r="U265" s="5" t="inlineStr">
        <is>
          <t>training</t>
        </is>
      </c>
    </row>
    <row r="266">
      <c r="A266" s="5" t="n">
        <v>262</v>
      </c>
      <c r="B266" s="5" t="n">
        <v>0</v>
      </c>
      <c r="C266" s="6" t="n">
        <v>0.275406400796963</v>
      </c>
      <c r="D266" s="6" t="n">
        <v>-0.576516771086346</v>
      </c>
      <c r="E266" s="6" t="n">
        <v>1.692494982783229</v>
      </c>
      <c r="F266" s="6" t="n">
        <v>0.9185437189662378</v>
      </c>
      <c r="G266" s="5" t="n">
        <v>1</v>
      </c>
      <c r="H266" s="5" t="n">
        <v>0</v>
      </c>
      <c r="I266" s="5" t="n">
        <v>0</v>
      </c>
      <c r="J266" s="5" t="n">
        <v>0</v>
      </c>
      <c r="K266" s="5" t="n">
        <v>0</v>
      </c>
      <c r="L266" s="5" t="n">
        <v>0</v>
      </c>
      <c r="M266" s="5" t="n">
        <v>0</v>
      </c>
      <c r="N266" s="5" t="n">
        <v>0</v>
      </c>
      <c r="O266" s="5" t="n">
        <v>0</v>
      </c>
      <c r="P266" s="5" t="n">
        <v>0</v>
      </c>
      <c r="Q266" s="5" t="n">
        <v>0</v>
      </c>
      <c r="R266" s="5" t="n">
        <v>0</v>
      </c>
      <c r="S266" s="5" t="n">
        <v>1</v>
      </c>
      <c r="T266" s="5" t="n">
        <v>0</v>
      </c>
      <c r="U266" s="5" t="inlineStr">
        <is>
          <t>testing</t>
        </is>
      </c>
    </row>
    <row r="267">
      <c r="A267" s="5" t="n">
        <v>263</v>
      </c>
      <c r="B267" s="5" t="n">
        <v>0</v>
      </c>
      <c r="C267" s="6" t="n">
        <v>-0.2301473069597001</v>
      </c>
      <c r="D267" s="6" t="n">
        <v>0.7177364807483599</v>
      </c>
      <c r="E267" s="6" t="n">
        <v>0.04000758952108359</v>
      </c>
      <c r="F267" s="6" t="n">
        <v>-0.8850484360866833</v>
      </c>
      <c r="G267" s="5" t="n">
        <v>1</v>
      </c>
      <c r="H267" s="5" t="n">
        <v>0</v>
      </c>
      <c r="I267" s="5" t="n">
        <v>0</v>
      </c>
      <c r="J267" s="5" t="n">
        <v>1</v>
      </c>
      <c r="K267" s="5" t="n">
        <v>0</v>
      </c>
      <c r="L267" s="5" t="n">
        <v>0</v>
      </c>
      <c r="M267" s="5" t="n">
        <v>0</v>
      </c>
      <c r="N267" s="5" t="n">
        <v>0</v>
      </c>
      <c r="O267" s="5" t="n">
        <v>0</v>
      </c>
      <c r="P267" s="5" t="n">
        <v>0</v>
      </c>
      <c r="Q267" s="5" t="n">
        <v>1</v>
      </c>
      <c r="R267" s="5" t="n">
        <v>1</v>
      </c>
      <c r="S267" s="5" t="n">
        <v>0</v>
      </c>
      <c r="T267" s="5" t="n">
        <v>0</v>
      </c>
      <c r="U267" s="5" t="inlineStr">
        <is>
          <t>training</t>
        </is>
      </c>
    </row>
    <row r="268">
      <c r="A268" s="5" t="n">
        <v>264</v>
      </c>
      <c r="B268" s="5" t="n">
        <v>0</v>
      </c>
      <c r="C268" s="6" t="n">
        <v>-0.7357010147163632</v>
      </c>
      <c r="D268" s="6" t="n">
        <v>-0.175889581751191</v>
      </c>
      <c r="E268" s="6" t="n">
        <v>1.866441024179244</v>
      </c>
      <c r="F268" s="6" t="n">
        <v>-0.8850484360866833</v>
      </c>
      <c r="G268" s="5" t="n">
        <v>0</v>
      </c>
      <c r="H268" s="5" t="n">
        <v>0</v>
      </c>
      <c r="I268" s="5" t="n">
        <v>0</v>
      </c>
      <c r="J268" s="5" t="n">
        <v>1</v>
      </c>
      <c r="K268" s="5" t="n">
        <v>0</v>
      </c>
      <c r="L268" s="5" t="n">
        <v>0</v>
      </c>
      <c r="M268" s="5" t="n">
        <v>0</v>
      </c>
      <c r="N268" s="5" t="n">
        <v>0</v>
      </c>
      <c r="O268" s="5" t="n">
        <v>0</v>
      </c>
      <c r="P268" s="5" t="n">
        <v>0</v>
      </c>
      <c r="Q268" s="5" t="n">
        <v>1</v>
      </c>
      <c r="R268" s="5" t="n">
        <v>0</v>
      </c>
      <c r="S268" s="5" t="n">
        <v>0</v>
      </c>
      <c r="T268" s="5" t="n">
        <v>0</v>
      </c>
      <c r="U268" s="5" t="inlineStr">
        <is>
          <t>training</t>
        </is>
      </c>
    </row>
    <row r="269">
      <c r="A269" s="5" t="n">
        <v>265</v>
      </c>
      <c r="B269" s="5" t="n">
        <v>0</v>
      </c>
      <c r="C269" s="6" t="n">
        <v>-0.9042189173019176</v>
      </c>
      <c r="D269" s="6" t="n">
        <v>-0.7066768710275493</v>
      </c>
      <c r="E269" s="6" t="n">
        <v>-0.307884493270947</v>
      </c>
      <c r="F269" s="6" t="n">
        <v>0.01674764143977723</v>
      </c>
      <c r="G269" s="5" t="n">
        <v>0</v>
      </c>
      <c r="H269" s="5" t="n">
        <v>0</v>
      </c>
      <c r="I269" s="5" t="n">
        <v>0</v>
      </c>
      <c r="J269" s="5" t="n">
        <v>1</v>
      </c>
      <c r="K269" s="5" t="n">
        <v>0</v>
      </c>
      <c r="L269" s="5" t="n">
        <v>0</v>
      </c>
      <c r="M269" s="5" t="n">
        <v>0</v>
      </c>
      <c r="N269" s="5" t="n">
        <v>0</v>
      </c>
      <c r="O269" s="5" t="n">
        <v>0</v>
      </c>
      <c r="P269" s="5" t="n">
        <v>0</v>
      </c>
      <c r="Q269" s="5" t="n">
        <v>0</v>
      </c>
      <c r="R269" s="5" t="n">
        <v>1</v>
      </c>
      <c r="S269" s="5" t="n">
        <v>0</v>
      </c>
      <c r="T269" s="5" t="n">
        <v>0</v>
      </c>
      <c r="U269" s="5" t="inlineStr">
        <is>
          <t>training</t>
        </is>
      </c>
    </row>
    <row r="270">
      <c r="A270" s="5" t="n">
        <v>266</v>
      </c>
      <c r="B270" s="5" t="n">
        <v>1</v>
      </c>
      <c r="C270" s="6" t="n">
        <v>-0.4829241608380317</v>
      </c>
      <c r="D270" s="6" t="n">
        <v>-0.8567808572500658</v>
      </c>
      <c r="E270" s="6" t="n">
        <v>0.1269806102190912</v>
      </c>
      <c r="F270" s="6" t="n">
        <v>0.9185437189662378</v>
      </c>
      <c r="G270" s="5" t="n">
        <v>0</v>
      </c>
      <c r="H270" s="5" t="n">
        <v>1</v>
      </c>
      <c r="I270" s="5" t="n">
        <v>0</v>
      </c>
      <c r="J270" s="5" t="n">
        <v>0</v>
      </c>
      <c r="K270" s="5" t="n">
        <v>0</v>
      </c>
      <c r="L270" s="5" t="n">
        <v>0</v>
      </c>
      <c r="M270" s="5" t="n">
        <v>0</v>
      </c>
      <c r="N270" s="5" t="n">
        <v>0</v>
      </c>
      <c r="O270" s="5" t="n">
        <v>0</v>
      </c>
      <c r="P270" s="5" t="n">
        <v>0</v>
      </c>
      <c r="Q270" s="5" t="n">
        <v>0</v>
      </c>
      <c r="R270" s="5" t="n">
        <v>0</v>
      </c>
      <c r="S270" s="5" t="n">
        <v>1</v>
      </c>
      <c r="T270" s="5" t="n">
        <v>0</v>
      </c>
      <c r="U270" s="5" t="inlineStr">
        <is>
          <t>training</t>
        </is>
      </c>
    </row>
    <row r="271">
      <c r="A271" s="5" t="n">
        <v>267</v>
      </c>
      <c r="B271" s="5" t="n">
        <v>0</v>
      </c>
      <c r="C271" s="6" t="n">
        <v>1.286513816310289</v>
      </c>
      <c r="D271" s="6" t="n">
        <v>1.068329008009343</v>
      </c>
      <c r="E271" s="6" t="n">
        <v>0.04000758952108359</v>
      </c>
      <c r="F271" s="6" t="n">
        <v>0.9185437189662378</v>
      </c>
      <c r="G271" s="5" t="n">
        <v>0</v>
      </c>
      <c r="H271" s="5" t="n">
        <v>0</v>
      </c>
      <c r="I271" s="5" t="n">
        <v>0</v>
      </c>
      <c r="J271" s="5" t="n">
        <v>1</v>
      </c>
      <c r="K271" s="5" t="n">
        <v>0</v>
      </c>
      <c r="L271" s="5" t="n">
        <v>0</v>
      </c>
      <c r="M271" s="5" t="n">
        <v>0</v>
      </c>
      <c r="N271" s="5" t="n">
        <v>0</v>
      </c>
      <c r="O271" s="5" t="n">
        <v>1</v>
      </c>
      <c r="P271" s="5" t="n">
        <v>0</v>
      </c>
      <c r="Q271" s="5" t="n">
        <v>0</v>
      </c>
      <c r="R271" s="5" t="n">
        <v>0</v>
      </c>
      <c r="S271" s="5" t="n">
        <v>0</v>
      </c>
      <c r="T271" s="5" t="n">
        <v>0</v>
      </c>
      <c r="U271" s="5" t="inlineStr">
        <is>
          <t>testing</t>
        </is>
      </c>
    </row>
    <row r="272">
      <c r="A272" s="5" t="n">
        <v>268</v>
      </c>
      <c r="B272" s="5" t="n">
        <v>0</v>
      </c>
      <c r="C272" s="6" t="n">
        <v>0.275406400796963</v>
      </c>
      <c r="D272" s="6" t="n">
        <v>-0.601009263010766</v>
      </c>
      <c r="E272" s="6" t="n">
        <v>0.2139536309170988</v>
      </c>
      <c r="F272" s="6" t="n">
        <v>0.9185437189662378</v>
      </c>
      <c r="G272" s="5" t="n">
        <v>0</v>
      </c>
      <c r="H272" s="5" t="n">
        <v>0</v>
      </c>
      <c r="I272" s="5" t="n">
        <v>0</v>
      </c>
      <c r="J272" s="5" t="n">
        <v>0</v>
      </c>
      <c r="K272" s="5" t="n">
        <v>0</v>
      </c>
      <c r="L272" s="5" t="n">
        <v>0</v>
      </c>
      <c r="M272" s="5" t="n">
        <v>0</v>
      </c>
      <c r="N272" s="5" t="n">
        <v>0</v>
      </c>
      <c r="O272" s="5" t="n">
        <v>0</v>
      </c>
      <c r="P272" s="5" t="n">
        <v>0</v>
      </c>
      <c r="Q272" s="5" t="n">
        <v>0</v>
      </c>
      <c r="R272" s="5" t="n">
        <v>0</v>
      </c>
      <c r="S272" s="5" t="n">
        <v>1</v>
      </c>
      <c r="T272" s="5" t="n">
        <v>0</v>
      </c>
      <c r="U272" s="5" t="inlineStr">
        <is>
          <t>training</t>
        </is>
      </c>
    </row>
    <row r="273">
      <c r="A273" s="5" t="n">
        <v>269</v>
      </c>
      <c r="B273" s="5" t="n">
        <v>1</v>
      </c>
      <c r="C273" s="6" t="n">
        <v>-0.5671831121308089</v>
      </c>
      <c r="D273" s="6" t="n">
        <v>2.003942199522185</v>
      </c>
      <c r="E273" s="6" t="n">
        <v>0.8227647758031523</v>
      </c>
      <c r="F273" s="6" t="n">
        <v>-1.786844513613144</v>
      </c>
      <c r="G273" s="5" t="n">
        <v>1</v>
      </c>
      <c r="H273" s="5" t="n">
        <v>0</v>
      </c>
      <c r="I273" s="5" t="n">
        <v>0</v>
      </c>
      <c r="J273" s="5" t="n">
        <v>0</v>
      </c>
      <c r="K273" s="5" t="n">
        <v>0</v>
      </c>
      <c r="L273" s="5" t="n">
        <v>0</v>
      </c>
      <c r="M273" s="5" t="n">
        <v>0</v>
      </c>
      <c r="N273" s="5" t="n">
        <v>0</v>
      </c>
      <c r="O273" s="5" t="n">
        <v>0</v>
      </c>
      <c r="P273" s="5" t="n">
        <v>0</v>
      </c>
      <c r="Q273" s="5" t="n">
        <v>0</v>
      </c>
      <c r="R273" s="5" t="n">
        <v>1</v>
      </c>
      <c r="S273" s="5" t="n">
        <v>0</v>
      </c>
      <c r="T273" s="5" t="n">
        <v>0</v>
      </c>
      <c r="U273" s="5" t="inlineStr">
        <is>
          <t>testing</t>
        </is>
      </c>
    </row>
    <row r="274">
      <c r="A274" s="5" t="n">
        <v>270</v>
      </c>
      <c r="B274" s="5" t="n">
        <v>0</v>
      </c>
      <c r="C274" s="6" t="n">
        <v>0.275406400796963</v>
      </c>
      <c r="D274" s="6" t="n">
        <v>-0.7878519871199126</v>
      </c>
      <c r="E274" s="6" t="n">
        <v>-0.9166956381570004</v>
      </c>
      <c r="F274" s="6" t="n">
        <v>0.9185437189662378</v>
      </c>
      <c r="G274" s="5" t="n">
        <v>0</v>
      </c>
      <c r="H274" s="5" t="n">
        <v>0</v>
      </c>
      <c r="I274" s="5" t="n">
        <v>0</v>
      </c>
      <c r="J274" s="5" t="n">
        <v>0</v>
      </c>
      <c r="K274" s="5" t="n">
        <v>0</v>
      </c>
      <c r="L274" s="5" t="n">
        <v>0</v>
      </c>
      <c r="M274" s="5" t="n">
        <v>0</v>
      </c>
      <c r="N274" s="5" t="n">
        <v>0</v>
      </c>
      <c r="O274" s="5" t="n">
        <v>1</v>
      </c>
      <c r="P274" s="5" t="n">
        <v>0</v>
      </c>
      <c r="Q274" s="5" t="n">
        <v>0</v>
      </c>
      <c r="R274" s="5" t="n">
        <v>0</v>
      </c>
      <c r="S274" s="5" t="n">
        <v>1</v>
      </c>
      <c r="T274" s="5" t="n">
        <v>0</v>
      </c>
      <c r="U274" s="5" t="inlineStr">
        <is>
          <t>training</t>
        </is>
      </c>
    </row>
    <row r="275">
      <c r="A275" s="5" t="n">
        <v>271</v>
      </c>
      <c r="B275" s="5" t="n">
        <v>0</v>
      </c>
      <c r="C275" s="6" t="n">
        <v>-0.2301473069597001</v>
      </c>
      <c r="D275" s="6" t="n">
        <v>-0.2059803575440499</v>
      </c>
      <c r="E275" s="6" t="n">
        <v>-0.307884493270947</v>
      </c>
      <c r="F275" s="6" t="n">
        <v>0.9185437189662378</v>
      </c>
      <c r="G275" s="5" t="n">
        <v>0</v>
      </c>
      <c r="H275" s="5" t="n">
        <v>0</v>
      </c>
      <c r="I275" s="5" t="n">
        <v>0</v>
      </c>
      <c r="J275" s="5" t="n">
        <v>0</v>
      </c>
      <c r="K275" s="5" t="n">
        <v>0</v>
      </c>
      <c r="L275" s="5" t="n">
        <v>0</v>
      </c>
      <c r="M275" s="5" t="n">
        <v>0</v>
      </c>
      <c r="N275" s="5" t="n">
        <v>0</v>
      </c>
      <c r="O275" s="5" t="n">
        <v>1</v>
      </c>
      <c r="P275" s="5" t="n">
        <v>0</v>
      </c>
      <c r="Q275" s="5" t="n">
        <v>0</v>
      </c>
      <c r="R275" s="5" t="n">
        <v>1</v>
      </c>
      <c r="S275" s="5" t="n">
        <v>0</v>
      </c>
      <c r="T275" s="5" t="n">
        <v>0</v>
      </c>
      <c r="U275" s="5" t="inlineStr">
        <is>
          <t>testing</t>
        </is>
      </c>
    </row>
    <row r="276">
      <c r="A276" s="5" t="n">
        <v>272</v>
      </c>
      <c r="B276" s="5" t="n">
        <v>0</v>
      </c>
      <c r="C276" s="6" t="n">
        <v>-0.7357010147163632</v>
      </c>
      <c r="D276" s="6" t="n">
        <v>-0.646845212183609</v>
      </c>
      <c r="E276" s="6" t="n">
        <v>0.1269806102190912</v>
      </c>
      <c r="F276" s="6" t="n">
        <v>0.01674764143977723</v>
      </c>
      <c r="G276" s="5" t="n">
        <v>0</v>
      </c>
      <c r="H276" s="5" t="n">
        <v>0</v>
      </c>
      <c r="I276" s="5" t="n">
        <v>0</v>
      </c>
      <c r="J276" s="5" t="n">
        <v>1</v>
      </c>
      <c r="K276" s="5" t="n">
        <v>0</v>
      </c>
      <c r="L276" s="5" t="n">
        <v>0</v>
      </c>
      <c r="M276" s="5" t="n">
        <v>1</v>
      </c>
      <c r="N276" s="5" t="n">
        <v>0</v>
      </c>
      <c r="O276" s="5" t="n">
        <v>0</v>
      </c>
      <c r="P276" s="5" t="n">
        <v>1</v>
      </c>
      <c r="Q276" s="5" t="n">
        <v>0</v>
      </c>
      <c r="R276" s="5" t="n">
        <v>0</v>
      </c>
      <c r="S276" s="5" t="n">
        <v>0</v>
      </c>
      <c r="T276" s="5" t="n">
        <v>1</v>
      </c>
      <c r="U276" s="5" t="inlineStr">
        <is>
          <t>testing</t>
        </is>
      </c>
    </row>
    <row r="277">
      <c r="A277" s="5" t="n">
        <v>273</v>
      </c>
      <c r="B277" s="5" t="n">
        <v>0</v>
      </c>
      <c r="C277" s="6" t="n">
        <v>2.297621231823615</v>
      </c>
      <c r="D277" s="6" t="n">
        <v>3.120449938533958</v>
      </c>
      <c r="E277" s="6" t="n">
        <v>0.04000758952108359</v>
      </c>
      <c r="F277" s="6" t="n">
        <v>0.9185437189662378</v>
      </c>
      <c r="G277" s="5" t="n">
        <v>0</v>
      </c>
      <c r="H277" s="5" t="n">
        <v>1</v>
      </c>
      <c r="I277" s="5" t="n">
        <v>0</v>
      </c>
      <c r="J277" s="5" t="n">
        <v>0</v>
      </c>
      <c r="K277" s="5" t="n">
        <v>0</v>
      </c>
      <c r="L277" s="5" t="n">
        <v>1</v>
      </c>
      <c r="M277" s="5" t="n">
        <v>0</v>
      </c>
      <c r="N277" s="5" t="n">
        <v>0</v>
      </c>
      <c r="O277" s="5" t="n">
        <v>1</v>
      </c>
      <c r="P277" s="5" t="n">
        <v>0</v>
      </c>
      <c r="Q277" s="5" t="n">
        <v>1</v>
      </c>
      <c r="R277" s="5" t="n">
        <v>1</v>
      </c>
      <c r="S277" s="5" t="n">
        <v>0</v>
      </c>
      <c r="T277" s="5" t="n">
        <v>0</v>
      </c>
      <c r="U277" s="5" t="inlineStr">
        <is>
          <t>training</t>
        </is>
      </c>
    </row>
    <row r="278">
      <c r="A278" s="5" t="n">
        <v>274</v>
      </c>
      <c r="B278" s="5" t="n">
        <v>1</v>
      </c>
      <c r="C278" s="6" t="n">
        <v>2.297621231823615</v>
      </c>
      <c r="D278" s="6" t="n">
        <v>-0.06672304631663353</v>
      </c>
      <c r="E278" s="6" t="n">
        <v>-0.6557765760629775</v>
      </c>
      <c r="F278" s="6" t="n">
        <v>0.9185437189662378</v>
      </c>
      <c r="G278" s="5" t="n">
        <v>0</v>
      </c>
      <c r="H278" s="5" t="n">
        <v>1</v>
      </c>
      <c r="I278" s="5" t="n">
        <v>0</v>
      </c>
      <c r="J278" s="5" t="n">
        <v>0</v>
      </c>
      <c r="K278" s="5" t="n">
        <v>0</v>
      </c>
      <c r="L278" s="5" t="n">
        <v>0</v>
      </c>
      <c r="M278" s="5" t="n">
        <v>0</v>
      </c>
      <c r="N278" s="5" t="n">
        <v>0</v>
      </c>
      <c r="O278" s="5" t="n">
        <v>0</v>
      </c>
      <c r="P278" s="5" t="n">
        <v>0</v>
      </c>
      <c r="Q278" s="5" t="n">
        <v>0</v>
      </c>
      <c r="R278" s="5" t="n">
        <v>0</v>
      </c>
      <c r="S278" s="5" t="n">
        <v>1</v>
      </c>
      <c r="T278" s="5" t="n">
        <v>0</v>
      </c>
      <c r="U278" s="5" t="inlineStr">
        <is>
          <t>training</t>
        </is>
      </c>
    </row>
    <row r="279">
      <c r="A279" s="5" t="n">
        <v>275</v>
      </c>
      <c r="B279" s="5" t="n">
        <v>1</v>
      </c>
      <c r="C279" s="6" t="n">
        <v>0.7809601085536261</v>
      </c>
      <c r="D279" s="6" t="n">
        <v>3.060618279690018</v>
      </c>
      <c r="E279" s="6" t="n">
        <v>-0.1339384518749317</v>
      </c>
      <c r="F279" s="6" t="n">
        <v>-1.786844513613144</v>
      </c>
      <c r="G279" s="5" t="n">
        <v>1</v>
      </c>
      <c r="H279" s="5" t="n">
        <v>0</v>
      </c>
      <c r="I279" s="5" t="n">
        <v>0</v>
      </c>
      <c r="J279" s="5" t="n">
        <v>0</v>
      </c>
      <c r="K279" s="5" t="n">
        <v>0</v>
      </c>
      <c r="L279" s="5" t="n">
        <v>0</v>
      </c>
      <c r="M279" s="5" t="n">
        <v>0</v>
      </c>
      <c r="N279" s="5" t="n">
        <v>0</v>
      </c>
      <c r="O279" s="5" t="n">
        <v>0</v>
      </c>
      <c r="P279" s="5" t="n">
        <v>0</v>
      </c>
      <c r="Q279" s="5" t="n">
        <v>0</v>
      </c>
      <c r="R279" s="5" t="n">
        <v>0</v>
      </c>
      <c r="S279" s="5" t="n">
        <v>0</v>
      </c>
      <c r="T279" s="5" t="n">
        <v>0</v>
      </c>
      <c r="U279" s="5" t="inlineStr">
        <is>
          <t>training</t>
        </is>
      </c>
    </row>
    <row r="280">
      <c r="A280" s="5" t="n">
        <v>276</v>
      </c>
      <c r="B280" s="5" t="n">
        <v>0</v>
      </c>
      <c r="C280" s="6" t="n">
        <v>-0.9884778685946948</v>
      </c>
      <c r="D280" s="6" t="n">
        <v>-0.1937341115818399</v>
      </c>
      <c r="E280" s="6" t="n">
        <v>-0.307884493270947</v>
      </c>
      <c r="F280" s="6" t="n">
        <v>-1.786844513613144</v>
      </c>
      <c r="G280" s="5" t="n">
        <v>0</v>
      </c>
      <c r="H280" s="5" t="n">
        <v>0</v>
      </c>
      <c r="I280" s="5" t="n">
        <v>0</v>
      </c>
      <c r="J280" s="5" t="n">
        <v>0</v>
      </c>
      <c r="K280" s="5" t="n">
        <v>0</v>
      </c>
      <c r="L280" s="5" t="n">
        <v>0</v>
      </c>
      <c r="M280" s="5" t="n">
        <v>0</v>
      </c>
      <c r="N280" s="5" t="n">
        <v>0</v>
      </c>
      <c r="O280" s="5" t="n">
        <v>0</v>
      </c>
      <c r="P280" s="5" t="n">
        <v>0</v>
      </c>
      <c r="Q280" s="5" t="n">
        <v>0</v>
      </c>
      <c r="R280" s="5" t="n">
        <v>0</v>
      </c>
      <c r="S280" s="5" t="n">
        <v>1</v>
      </c>
      <c r="T280" s="5" t="n">
        <v>0</v>
      </c>
      <c r="U280" s="5" t="inlineStr">
        <is>
          <t>training</t>
        </is>
      </c>
    </row>
    <row r="281">
      <c r="A281" s="5" t="n">
        <v>277</v>
      </c>
      <c r="B281" s="5" t="n">
        <v>0</v>
      </c>
      <c r="C281" s="6" t="n">
        <v>-0.2301473069597001</v>
      </c>
      <c r="D281" s="6" t="n">
        <v>-0.2962526849226262</v>
      </c>
      <c r="E281" s="6" t="n">
        <v>-0.8297226174589928</v>
      </c>
      <c r="F281" s="6" t="n">
        <v>-0.8850484360866833</v>
      </c>
      <c r="G281" s="5" t="n">
        <v>0</v>
      </c>
      <c r="H281" s="5" t="n">
        <v>0</v>
      </c>
      <c r="I281" s="5" t="n">
        <v>0</v>
      </c>
      <c r="J281" s="5" t="n">
        <v>1</v>
      </c>
      <c r="K281" s="5" t="n">
        <v>0</v>
      </c>
      <c r="L281" s="5" t="n">
        <v>0</v>
      </c>
      <c r="M281" s="5" t="n">
        <v>0</v>
      </c>
      <c r="N281" s="5" t="n">
        <v>0</v>
      </c>
      <c r="O281" s="5" t="n">
        <v>0</v>
      </c>
      <c r="P281" s="5" t="n">
        <v>0</v>
      </c>
      <c r="Q281" s="5" t="n">
        <v>0</v>
      </c>
      <c r="R281" s="5" t="n">
        <v>0</v>
      </c>
      <c r="S281" s="5" t="n">
        <v>1</v>
      </c>
      <c r="T281" s="5" t="n">
        <v>0</v>
      </c>
      <c r="U281" s="5" t="inlineStr">
        <is>
          <t>training</t>
        </is>
      </c>
    </row>
    <row r="282">
      <c r="A282" s="5" t="n">
        <v>278</v>
      </c>
      <c r="B282" s="5" t="n">
        <v>0</v>
      </c>
      <c r="C282" s="6" t="n">
        <v>-0.7357010147163632</v>
      </c>
      <c r="D282" s="6" t="n">
        <v>-0.695830196032449</v>
      </c>
      <c r="E282" s="6" t="n">
        <v>1.170656858595183</v>
      </c>
      <c r="F282" s="6" t="n">
        <v>-0.8850484360866833</v>
      </c>
      <c r="G282" s="5" t="n">
        <v>1</v>
      </c>
      <c r="H282" s="5" t="n">
        <v>0</v>
      </c>
      <c r="I282" s="5" t="n">
        <v>0</v>
      </c>
      <c r="J282" s="5" t="n">
        <v>0</v>
      </c>
      <c r="K282" s="5" t="n">
        <v>0</v>
      </c>
      <c r="L282" s="5" t="n">
        <v>0</v>
      </c>
      <c r="M282" s="5" t="n">
        <v>0</v>
      </c>
      <c r="N282" s="5" t="n">
        <v>0</v>
      </c>
      <c r="O282" s="5" t="n">
        <v>1</v>
      </c>
      <c r="P282" s="5" t="n">
        <v>0</v>
      </c>
      <c r="Q282" s="5" t="n">
        <v>0</v>
      </c>
      <c r="R282" s="5" t="n">
        <v>0</v>
      </c>
      <c r="S282" s="5" t="n">
        <v>0</v>
      </c>
      <c r="T282" s="5" t="n">
        <v>1</v>
      </c>
      <c r="U282" s="5" t="inlineStr">
        <is>
          <t>training</t>
        </is>
      </c>
    </row>
    <row r="283">
      <c r="A283" s="5" t="n">
        <v>279</v>
      </c>
      <c r="B283" s="5" t="n">
        <v>1</v>
      </c>
      <c r="C283" s="6" t="n">
        <v>-1.241254722473026</v>
      </c>
      <c r="D283" s="6" t="n">
        <v>0.4759605961801572</v>
      </c>
      <c r="E283" s="6" t="n">
        <v>-0.307884493270947</v>
      </c>
      <c r="F283" s="6" t="n">
        <v>-1.786844513613144</v>
      </c>
      <c r="G283" s="5" t="n">
        <v>0</v>
      </c>
      <c r="H283" s="5" t="n">
        <v>0</v>
      </c>
      <c r="I283" s="5" t="n">
        <v>0</v>
      </c>
      <c r="J283" s="5" t="n">
        <v>0</v>
      </c>
      <c r="K283" s="5" t="n">
        <v>0</v>
      </c>
      <c r="L283" s="5" t="n">
        <v>0</v>
      </c>
      <c r="M283" s="5" t="n">
        <v>0</v>
      </c>
      <c r="N283" s="5" t="n">
        <v>0</v>
      </c>
      <c r="O283" s="5" t="n">
        <v>0</v>
      </c>
      <c r="P283" s="5" t="n">
        <v>0</v>
      </c>
      <c r="Q283" s="5" t="n">
        <v>0</v>
      </c>
      <c r="R283" s="5" t="n">
        <v>0</v>
      </c>
      <c r="S283" s="5" t="n">
        <v>0</v>
      </c>
      <c r="T283" s="5" t="n">
        <v>1</v>
      </c>
      <c r="U283" s="5" t="inlineStr">
        <is>
          <t>testing</t>
        </is>
      </c>
    </row>
    <row r="284">
      <c r="A284" s="5" t="n">
        <v>280</v>
      </c>
      <c r="B284" s="5" t="n">
        <v>0</v>
      </c>
      <c r="C284" s="6" t="n">
        <v>0.275406400796963</v>
      </c>
      <c r="D284" s="6" t="n">
        <v>-0.4722487340366725</v>
      </c>
      <c r="E284" s="6" t="n">
        <v>-0.5688035553649698</v>
      </c>
      <c r="F284" s="6" t="n">
        <v>0.9185437189662378</v>
      </c>
      <c r="G284" s="5" t="n">
        <v>0</v>
      </c>
      <c r="H284" s="5" t="n">
        <v>0</v>
      </c>
      <c r="I284" s="5" t="n">
        <v>0</v>
      </c>
      <c r="J284" s="5" t="n">
        <v>0</v>
      </c>
      <c r="K284" s="5" t="n">
        <v>0</v>
      </c>
      <c r="L284" s="5" t="n">
        <v>0</v>
      </c>
      <c r="M284" s="5" t="n">
        <v>1</v>
      </c>
      <c r="N284" s="5" t="n">
        <v>0</v>
      </c>
      <c r="O284" s="5" t="n">
        <v>0</v>
      </c>
      <c r="P284" s="5" t="n">
        <v>1</v>
      </c>
      <c r="Q284" s="5" t="n">
        <v>0</v>
      </c>
      <c r="R284" s="5" t="n">
        <v>0</v>
      </c>
      <c r="S284" s="5" t="n">
        <v>1</v>
      </c>
      <c r="T284" s="5" t="n">
        <v>0</v>
      </c>
      <c r="U284" s="5" t="inlineStr">
        <is>
          <t>testing</t>
        </is>
      </c>
    </row>
    <row r="285">
      <c r="A285" s="5" t="n">
        <v>281</v>
      </c>
      <c r="B285" s="5" t="n">
        <v>0</v>
      </c>
      <c r="C285" s="6" t="n">
        <v>-0.4829241608380317</v>
      </c>
      <c r="D285" s="6" t="n">
        <v>0.04104391815081428</v>
      </c>
      <c r="E285" s="6" t="n">
        <v>-1.090641679553016</v>
      </c>
      <c r="F285" s="6" t="n">
        <v>0.01674764143977723</v>
      </c>
      <c r="G285" s="5" t="n">
        <v>0</v>
      </c>
      <c r="H285" s="5" t="n">
        <v>0</v>
      </c>
      <c r="I285" s="5" t="n">
        <v>0</v>
      </c>
      <c r="J285" s="5" t="n">
        <v>1</v>
      </c>
      <c r="K285" s="5" t="n">
        <v>0</v>
      </c>
      <c r="L285" s="5" t="n">
        <v>0</v>
      </c>
      <c r="M285" s="5" t="n">
        <v>0</v>
      </c>
      <c r="N285" s="5" t="n">
        <v>1</v>
      </c>
      <c r="O285" s="5" t="n">
        <v>0</v>
      </c>
      <c r="P285" s="5" t="n">
        <v>1</v>
      </c>
      <c r="Q285" s="5" t="n">
        <v>0</v>
      </c>
      <c r="R285" s="5" t="n">
        <v>1</v>
      </c>
      <c r="S285" s="5" t="n">
        <v>0</v>
      </c>
      <c r="T285" s="5" t="n">
        <v>0</v>
      </c>
      <c r="U285" s="5" t="inlineStr">
        <is>
          <t>testing</t>
        </is>
      </c>
    </row>
    <row r="286">
      <c r="A286" s="5" t="n">
        <v>282</v>
      </c>
      <c r="B286" s="5" t="n">
        <v>0</v>
      </c>
      <c r="C286" s="6" t="n">
        <v>-0.7357010147163632</v>
      </c>
      <c r="D286" s="6" t="n">
        <v>-0.5866636605978914</v>
      </c>
      <c r="E286" s="6" t="n">
        <v>1.257629879293191</v>
      </c>
      <c r="F286" s="6" t="n">
        <v>0.9185437189662378</v>
      </c>
      <c r="G286" s="5" t="n">
        <v>0</v>
      </c>
      <c r="H286" s="5" t="n">
        <v>0</v>
      </c>
      <c r="I286" s="5" t="n">
        <v>0</v>
      </c>
      <c r="J286" s="5" t="n">
        <v>0</v>
      </c>
      <c r="K286" s="5" t="n">
        <v>0</v>
      </c>
      <c r="L286" s="5" t="n">
        <v>0</v>
      </c>
      <c r="M286" s="5" t="n">
        <v>0</v>
      </c>
      <c r="N286" s="5" t="n">
        <v>0</v>
      </c>
      <c r="O286" s="5" t="n">
        <v>0</v>
      </c>
      <c r="P286" s="5" t="n">
        <v>0</v>
      </c>
      <c r="Q286" s="5" t="n">
        <v>0</v>
      </c>
      <c r="R286" s="5" t="n">
        <v>0</v>
      </c>
      <c r="S286" s="5" t="n">
        <v>0</v>
      </c>
      <c r="T286" s="5" t="n">
        <v>1</v>
      </c>
      <c r="U286" s="5" t="inlineStr">
        <is>
          <t>training</t>
        </is>
      </c>
    </row>
    <row r="287">
      <c r="A287" s="5" t="n">
        <v>283</v>
      </c>
      <c r="B287" s="5" t="n">
        <v>0</v>
      </c>
      <c r="C287" s="6" t="n">
        <v>-0.2301473069597001</v>
      </c>
      <c r="D287" s="6" t="n">
        <v>-0.6317998242871796</v>
      </c>
      <c r="E287" s="6" t="n">
        <v>1.170656858595183</v>
      </c>
      <c r="F287" s="6" t="n">
        <v>0.9185437189662378</v>
      </c>
      <c r="G287" s="5" t="n">
        <v>0</v>
      </c>
      <c r="H287" s="5" t="n">
        <v>0</v>
      </c>
      <c r="I287" s="5" t="n">
        <v>1</v>
      </c>
      <c r="J287" s="5" t="n">
        <v>0</v>
      </c>
      <c r="K287" s="5" t="n">
        <v>0</v>
      </c>
      <c r="L287" s="5" t="n">
        <v>1</v>
      </c>
      <c r="M287" s="5" t="n">
        <v>0</v>
      </c>
      <c r="N287" s="5" t="n">
        <v>0</v>
      </c>
      <c r="O287" s="5" t="n">
        <v>1</v>
      </c>
      <c r="P287" s="5" t="n">
        <v>0</v>
      </c>
      <c r="Q287" s="5" t="n">
        <v>0</v>
      </c>
      <c r="R287" s="5" t="n">
        <v>0</v>
      </c>
      <c r="S287" s="5" t="n">
        <v>1</v>
      </c>
      <c r="T287" s="5" t="n">
        <v>0</v>
      </c>
      <c r="U287" s="5" t="inlineStr">
        <is>
          <t>training</t>
        </is>
      </c>
    </row>
    <row r="288">
      <c r="A288" s="5" t="n">
        <v>284</v>
      </c>
      <c r="B288" s="5" t="n">
        <v>0</v>
      </c>
      <c r="C288" s="6" t="n">
        <v>-0.4829241608380317</v>
      </c>
      <c r="D288" s="6" t="n">
        <v>-0.6055578686538726</v>
      </c>
      <c r="E288" s="6" t="n">
        <v>2.38827914836729</v>
      </c>
      <c r="F288" s="6" t="n">
        <v>0.9185437189662378</v>
      </c>
      <c r="G288" s="5" t="n">
        <v>0</v>
      </c>
      <c r="H288" s="5" t="n">
        <v>0</v>
      </c>
      <c r="I288" s="5" t="n">
        <v>0</v>
      </c>
      <c r="J288" s="5" t="n">
        <v>1</v>
      </c>
      <c r="K288" s="5" t="n">
        <v>0</v>
      </c>
      <c r="L288" s="5" t="n">
        <v>0</v>
      </c>
      <c r="M288" s="5" t="n">
        <v>0</v>
      </c>
      <c r="N288" s="5" t="n">
        <v>0</v>
      </c>
      <c r="O288" s="5" t="n">
        <v>1</v>
      </c>
      <c r="P288" s="5" t="n">
        <v>0</v>
      </c>
      <c r="Q288" s="5" t="n">
        <v>0</v>
      </c>
      <c r="R288" s="5" t="n">
        <v>0</v>
      </c>
      <c r="S288" s="5" t="n">
        <v>0</v>
      </c>
      <c r="T288" s="5" t="n">
        <v>1</v>
      </c>
      <c r="U288" s="5" t="inlineStr">
        <is>
          <t>training</t>
        </is>
      </c>
    </row>
    <row r="289">
      <c r="A289" s="5" t="n">
        <v>285</v>
      </c>
      <c r="B289" s="5" t="n">
        <v>0</v>
      </c>
      <c r="C289" s="6" t="n">
        <v>0.275406400796963</v>
      </c>
      <c r="D289" s="6" t="n">
        <v>0.2194892164573025</v>
      </c>
      <c r="E289" s="6" t="n">
        <v>0.1269806102190912</v>
      </c>
      <c r="F289" s="6" t="n">
        <v>0.9185437189662378</v>
      </c>
      <c r="G289" s="5" t="n">
        <v>0</v>
      </c>
      <c r="H289" s="5" t="n">
        <v>1</v>
      </c>
      <c r="I289" s="5" t="n">
        <v>0</v>
      </c>
      <c r="J289" s="5" t="n">
        <v>1</v>
      </c>
      <c r="K289" s="5" t="n">
        <v>0</v>
      </c>
      <c r="L289" s="5" t="n">
        <v>0</v>
      </c>
      <c r="M289" s="5" t="n">
        <v>1</v>
      </c>
      <c r="N289" s="5" t="n">
        <v>0</v>
      </c>
      <c r="O289" s="5" t="n">
        <v>0</v>
      </c>
      <c r="P289" s="5" t="n">
        <v>0</v>
      </c>
      <c r="Q289" s="5" t="n">
        <v>0</v>
      </c>
      <c r="R289" s="5" t="n">
        <v>1</v>
      </c>
      <c r="S289" s="5" t="n">
        <v>0</v>
      </c>
      <c r="T289" s="5" t="n">
        <v>0</v>
      </c>
      <c r="U289" s="5" t="inlineStr">
        <is>
          <t>training</t>
        </is>
      </c>
    </row>
    <row r="290">
      <c r="A290" s="5" t="n">
        <v>286</v>
      </c>
      <c r="B290" s="5" t="n">
        <v>0</v>
      </c>
      <c r="C290" s="6" t="n">
        <v>2.213362280530838</v>
      </c>
      <c r="D290" s="6" t="n">
        <v>2.61415514118202</v>
      </c>
      <c r="E290" s="6" t="n">
        <v>-0.04696543117692405</v>
      </c>
      <c r="F290" s="6" t="n">
        <v>-1.786844513613144</v>
      </c>
      <c r="G290" s="5" t="n">
        <v>1</v>
      </c>
      <c r="H290" s="5" t="n">
        <v>0</v>
      </c>
      <c r="I290" s="5" t="n">
        <v>0</v>
      </c>
      <c r="J290" s="5" t="n">
        <v>0</v>
      </c>
      <c r="K290" s="5" t="n">
        <v>0</v>
      </c>
      <c r="L290" s="5" t="n">
        <v>0</v>
      </c>
      <c r="M290" s="5" t="n">
        <v>0</v>
      </c>
      <c r="N290" s="5" t="n">
        <v>0</v>
      </c>
      <c r="O290" s="5" t="n">
        <v>0</v>
      </c>
      <c r="P290" s="5" t="n">
        <v>0</v>
      </c>
      <c r="Q290" s="5" t="n">
        <v>0</v>
      </c>
      <c r="R290" s="5" t="n">
        <v>1</v>
      </c>
      <c r="S290" s="5" t="n">
        <v>0</v>
      </c>
      <c r="T290" s="5" t="n">
        <v>0</v>
      </c>
      <c r="U290" s="5" t="inlineStr">
        <is>
          <t>testing</t>
        </is>
      </c>
    </row>
    <row r="291">
      <c r="A291" s="5" t="n">
        <v>287</v>
      </c>
      <c r="B291" s="5" t="n">
        <v>0</v>
      </c>
      <c r="C291" s="6" t="n">
        <v>2.297621231823615</v>
      </c>
      <c r="D291" s="6" t="n">
        <v>0.5378916114747619</v>
      </c>
      <c r="E291" s="6" t="n">
        <v>-0.8297226174589928</v>
      </c>
      <c r="F291" s="6" t="n">
        <v>0.9185437189662378</v>
      </c>
      <c r="G291" s="5" t="n">
        <v>1</v>
      </c>
      <c r="H291" s="5" t="n">
        <v>0</v>
      </c>
      <c r="I291" s="5" t="n">
        <v>0</v>
      </c>
      <c r="J291" s="5" t="n">
        <v>0</v>
      </c>
      <c r="K291" s="5" t="n">
        <v>0</v>
      </c>
      <c r="L291" s="5" t="n">
        <v>0</v>
      </c>
      <c r="M291" s="5" t="n">
        <v>0</v>
      </c>
      <c r="N291" s="5" t="n">
        <v>0</v>
      </c>
      <c r="O291" s="5" t="n">
        <v>0</v>
      </c>
      <c r="P291" s="5" t="n">
        <v>0</v>
      </c>
      <c r="Q291" s="5" t="n">
        <v>0</v>
      </c>
      <c r="R291" s="5" t="n">
        <v>1</v>
      </c>
      <c r="S291" s="5" t="n">
        <v>0</v>
      </c>
      <c r="T291" s="5" t="n">
        <v>0</v>
      </c>
      <c r="U291" s="5" t="inlineStr">
        <is>
          <t>training</t>
        </is>
      </c>
    </row>
    <row r="292">
      <c r="A292" s="5" t="n">
        <v>288</v>
      </c>
      <c r="B292" s="5" t="n">
        <v>0</v>
      </c>
      <c r="C292" s="6" t="n">
        <v>2.297621231823615</v>
      </c>
      <c r="D292" s="6" t="n">
        <v>1.515491932000896</v>
      </c>
      <c r="E292" s="6" t="n">
        <v>-0.3948575139689546</v>
      </c>
      <c r="F292" s="6" t="n">
        <v>-0.8850484360866833</v>
      </c>
      <c r="G292" s="5" t="n">
        <v>0</v>
      </c>
      <c r="H292" s="5" t="n">
        <v>1</v>
      </c>
      <c r="I292" s="5" t="n">
        <v>0</v>
      </c>
      <c r="J292" s="5" t="n">
        <v>0</v>
      </c>
      <c r="K292" s="5" t="n">
        <v>1</v>
      </c>
      <c r="L292" s="5" t="n">
        <v>0</v>
      </c>
      <c r="M292" s="5" t="n">
        <v>1</v>
      </c>
      <c r="N292" s="5" t="n">
        <v>0</v>
      </c>
      <c r="O292" s="5" t="n">
        <v>0</v>
      </c>
      <c r="P292" s="5" t="n">
        <v>0</v>
      </c>
      <c r="Q292" s="5" t="n">
        <v>1</v>
      </c>
      <c r="R292" s="5" t="n">
        <v>0</v>
      </c>
      <c r="S292" s="5" t="n">
        <v>0</v>
      </c>
      <c r="T292" s="5" t="n">
        <v>0</v>
      </c>
      <c r="U292" s="5" t="inlineStr">
        <is>
          <t>testing</t>
        </is>
      </c>
    </row>
    <row r="293">
      <c r="A293" s="5" t="n">
        <v>289</v>
      </c>
      <c r="B293" s="5" t="n">
        <v>0</v>
      </c>
      <c r="C293" s="6" t="n">
        <v>-0.7357010147163632</v>
      </c>
      <c r="D293" s="6" t="n">
        <v>-0.7553119621346117</v>
      </c>
      <c r="E293" s="6" t="n">
        <v>1.170656858595183</v>
      </c>
      <c r="F293" s="6" t="n">
        <v>0.9185437189662378</v>
      </c>
      <c r="G293" s="5" t="n">
        <v>0</v>
      </c>
      <c r="H293" s="5" t="n">
        <v>1</v>
      </c>
      <c r="I293" s="5" t="n">
        <v>0</v>
      </c>
      <c r="J293" s="5" t="n">
        <v>0</v>
      </c>
      <c r="K293" s="5" t="n">
        <v>0</v>
      </c>
      <c r="L293" s="5" t="n">
        <v>0</v>
      </c>
      <c r="M293" s="5" t="n">
        <v>0</v>
      </c>
      <c r="N293" s="5" t="n">
        <v>0</v>
      </c>
      <c r="O293" s="5" t="n">
        <v>0</v>
      </c>
      <c r="P293" s="5" t="n">
        <v>0</v>
      </c>
      <c r="Q293" s="5" t="n">
        <v>0</v>
      </c>
      <c r="R293" s="5" t="n">
        <v>0</v>
      </c>
      <c r="S293" s="5" t="n">
        <v>1</v>
      </c>
      <c r="T293" s="5" t="n">
        <v>0</v>
      </c>
      <c r="U293" s="5" t="inlineStr">
        <is>
          <t>testing</t>
        </is>
      </c>
    </row>
    <row r="294">
      <c r="A294" s="5" t="n">
        <v>290</v>
      </c>
      <c r="B294" s="5" t="n">
        <v>1</v>
      </c>
      <c r="C294" s="6" t="n">
        <v>0.275406400796963</v>
      </c>
      <c r="D294" s="6" t="n">
        <v>-0.7791046685754768</v>
      </c>
      <c r="E294" s="6" t="n">
        <v>1.083683837897175</v>
      </c>
      <c r="F294" s="6" t="n">
        <v>0.9185437189662378</v>
      </c>
      <c r="G294" s="5" t="n">
        <v>1</v>
      </c>
      <c r="H294" s="5" t="n">
        <v>0</v>
      </c>
      <c r="I294" s="5" t="n">
        <v>0</v>
      </c>
      <c r="J294" s="5" t="n">
        <v>0</v>
      </c>
      <c r="K294" s="5" t="n">
        <v>1</v>
      </c>
      <c r="L294" s="5" t="n">
        <v>0</v>
      </c>
      <c r="M294" s="5" t="n">
        <v>0</v>
      </c>
      <c r="N294" s="5" t="n">
        <v>0</v>
      </c>
      <c r="O294" s="5" t="n">
        <v>0</v>
      </c>
      <c r="P294" s="5" t="n">
        <v>0</v>
      </c>
      <c r="Q294" s="5" t="n">
        <v>0</v>
      </c>
      <c r="R294" s="5" t="n">
        <v>0</v>
      </c>
      <c r="S294" s="5" t="n">
        <v>1</v>
      </c>
      <c r="T294" s="5" t="n">
        <v>0</v>
      </c>
      <c r="U294" s="5" t="inlineStr">
        <is>
          <t>training</t>
        </is>
      </c>
    </row>
    <row r="295">
      <c r="A295" s="5" t="n">
        <v>291</v>
      </c>
      <c r="B295" s="5" t="n">
        <v>0</v>
      </c>
      <c r="C295" s="6" t="n">
        <v>-0.7357010147163632</v>
      </c>
      <c r="D295" s="6" t="n">
        <v>-0.7609102460030506</v>
      </c>
      <c r="E295" s="6" t="n">
        <v>-0.8297226174589928</v>
      </c>
      <c r="F295" s="6" t="n">
        <v>-0.8850484360866833</v>
      </c>
      <c r="G295" s="5" t="n">
        <v>0</v>
      </c>
      <c r="H295" s="5" t="n">
        <v>0</v>
      </c>
      <c r="I295" s="5" t="n">
        <v>0</v>
      </c>
      <c r="J295" s="5" t="n">
        <v>0</v>
      </c>
      <c r="K295" s="5" t="n">
        <v>0</v>
      </c>
      <c r="L295" s="5" t="n">
        <v>0</v>
      </c>
      <c r="M295" s="5" t="n">
        <v>0</v>
      </c>
      <c r="N295" s="5" t="n">
        <v>0</v>
      </c>
      <c r="O295" s="5" t="n">
        <v>0</v>
      </c>
      <c r="P295" s="5" t="n">
        <v>0</v>
      </c>
      <c r="Q295" s="5" t="n">
        <v>0</v>
      </c>
      <c r="R295" s="5" t="n">
        <v>0</v>
      </c>
      <c r="S295" s="5" t="n">
        <v>0</v>
      </c>
      <c r="T295" s="5" t="n">
        <v>0</v>
      </c>
      <c r="U295" s="5" t="inlineStr">
        <is>
          <t>training</t>
        </is>
      </c>
    </row>
    <row r="296">
      <c r="A296" s="5" t="n">
        <v>292</v>
      </c>
      <c r="B296" s="5" t="n">
        <v>1</v>
      </c>
      <c r="C296" s="6" t="n">
        <v>1.286513816310289</v>
      </c>
      <c r="D296" s="6" t="n">
        <v>2.150897151068705</v>
      </c>
      <c r="E296" s="6" t="n">
        <v>-0.6557765760629775</v>
      </c>
      <c r="F296" s="6" t="n">
        <v>-1.786844513613144</v>
      </c>
      <c r="G296" s="5" t="n">
        <v>0</v>
      </c>
      <c r="H296" s="5" t="n">
        <v>1</v>
      </c>
      <c r="I296" s="5" t="n">
        <v>0</v>
      </c>
      <c r="J296" s="5" t="n">
        <v>0</v>
      </c>
      <c r="K296" s="5" t="n">
        <v>0</v>
      </c>
      <c r="L296" s="5" t="n">
        <v>0</v>
      </c>
      <c r="M296" s="5" t="n">
        <v>0</v>
      </c>
      <c r="N296" s="5" t="n">
        <v>0</v>
      </c>
      <c r="O296" s="5" t="n">
        <v>0</v>
      </c>
      <c r="P296" s="5" t="n">
        <v>1</v>
      </c>
      <c r="Q296" s="5" t="n">
        <v>0</v>
      </c>
      <c r="R296" s="5" t="n">
        <v>1</v>
      </c>
      <c r="S296" s="5" t="n">
        <v>0</v>
      </c>
      <c r="T296" s="5" t="n">
        <v>0</v>
      </c>
      <c r="U296" s="5" t="inlineStr">
        <is>
          <t>training</t>
        </is>
      </c>
    </row>
    <row r="297">
      <c r="A297" s="5" t="n">
        <v>293</v>
      </c>
      <c r="B297" s="5" t="n">
        <v>0</v>
      </c>
      <c r="C297" s="6" t="n">
        <v>0.275406400796963</v>
      </c>
      <c r="D297" s="6" t="n">
        <v>1.108566673313747</v>
      </c>
      <c r="E297" s="6" t="n">
        <v>0.7357917551051447</v>
      </c>
      <c r="F297" s="6" t="n">
        <v>-0.8850484360866833</v>
      </c>
      <c r="G297" s="5" t="n">
        <v>1</v>
      </c>
      <c r="H297" s="5" t="n">
        <v>0</v>
      </c>
      <c r="I297" s="5" t="n">
        <v>0</v>
      </c>
      <c r="J297" s="5" t="n">
        <v>1</v>
      </c>
      <c r="K297" s="5" t="n">
        <v>0</v>
      </c>
      <c r="L297" s="5" t="n">
        <v>0</v>
      </c>
      <c r="M297" s="5" t="n">
        <v>0</v>
      </c>
      <c r="N297" s="5" t="n">
        <v>0</v>
      </c>
      <c r="O297" s="5" t="n">
        <v>0</v>
      </c>
      <c r="P297" s="5" t="n">
        <v>0</v>
      </c>
      <c r="Q297" s="5" t="n">
        <v>1</v>
      </c>
      <c r="R297" s="5" t="n">
        <v>1</v>
      </c>
      <c r="S297" s="5" t="n">
        <v>0</v>
      </c>
      <c r="T297" s="5" t="n">
        <v>0</v>
      </c>
      <c r="U297" s="5" t="inlineStr">
        <is>
          <t>training</t>
        </is>
      </c>
    </row>
    <row r="298">
      <c r="A298" s="5" t="n">
        <v>294</v>
      </c>
      <c r="B298" s="5" t="n">
        <v>0</v>
      </c>
      <c r="C298" s="6" t="n">
        <v>1.792067524066952</v>
      </c>
      <c r="D298" s="6" t="n">
        <v>0.5406907534089814</v>
      </c>
      <c r="E298" s="6" t="n">
        <v>1.779468003481236</v>
      </c>
      <c r="F298" s="6" t="n">
        <v>0.9185437189662378</v>
      </c>
      <c r="G298" s="5" t="n">
        <v>0</v>
      </c>
      <c r="H298" s="5" t="n">
        <v>0</v>
      </c>
      <c r="I298" s="5" t="n">
        <v>1</v>
      </c>
      <c r="J298" s="5" t="n">
        <v>1</v>
      </c>
      <c r="K298" s="5" t="n">
        <v>0</v>
      </c>
      <c r="L298" s="5" t="n">
        <v>0</v>
      </c>
      <c r="M298" s="5" t="n">
        <v>0</v>
      </c>
      <c r="N298" s="5" t="n">
        <v>0</v>
      </c>
      <c r="O298" s="5" t="n">
        <v>0</v>
      </c>
      <c r="P298" s="5" t="n">
        <v>0</v>
      </c>
      <c r="Q298" s="5" t="n">
        <v>1</v>
      </c>
      <c r="R298" s="5" t="n">
        <v>1</v>
      </c>
      <c r="S298" s="5" t="n">
        <v>0</v>
      </c>
      <c r="T298" s="5" t="n">
        <v>0</v>
      </c>
      <c r="U298" s="5" t="inlineStr">
        <is>
          <t>training</t>
        </is>
      </c>
    </row>
    <row r="299">
      <c r="A299" s="5" t="n">
        <v>295</v>
      </c>
      <c r="B299" s="5" t="n">
        <v>0</v>
      </c>
      <c r="C299" s="6" t="n">
        <v>2.297621231823615</v>
      </c>
      <c r="D299" s="6" t="n">
        <v>1.531936890864435</v>
      </c>
      <c r="E299" s="6" t="n">
        <v>0.9097377965011599</v>
      </c>
      <c r="F299" s="6" t="n">
        <v>0.9185437189662378</v>
      </c>
      <c r="G299" s="5" t="n">
        <v>0</v>
      </c>
      <c r="H299" s="5" t="n">
        <v>0</v>
      </c>
      <c r="I299" s="5" t="n">
        <v>0</v>
      </c>
      <c r="J299" s="5" t="n">
        <v>1</v>
      </c>
      <c r="K299" s="5" t="n">
        <v>0</v>
      </c>
      <c r="L299" s="5" t="n">
        <v>0</v>
      </c>
      <c r="M299" s="5" t="n">
        <v>0</v>
      </c>
      <c r="N299" s="5" t="n">
        <v>0</v>
      </c>
      <c r="O299" s="5" t="n">
        <v>1</v>
      </c>
      <c r="P299" s="5" t="n">
        <v>0</v>
      </c>
      <c r="Q299" s="5" t="n">
        <v>0</v>
      </c>
      <c r="R299" s="5" t="n">
        <v>0</v>
      </c>
      <c r="S299" s="5" t="n">
        <v>0</v>
      </c>
      <c r="T299" s="5" t="n">
        <v>0</v>
      </c>
      <c r="U299" s="5" t="inlineStr">
        <is>
          <t>training</t>
        </is>
      </c>
    </row>
    <row r="300">
      <c r="A300" s="5" t="n">
        <v>296</v>
      </c>
      <c r="B300" s="5" t="n">
        <v>1</v>
      </c>
      <c r="C300" s="6" t="n">
        <v>2.297621231823615</v>
      </c>
      <c r="D300" s="6" t="n">
        <v>2.347536871947619</v>
      </c>
      <c r="E300" s="6" t="n">
        <v>-0.8297226174589928</v>
      </c>
      <c r="F300" s="6" t="n">
        <v>-1.786844513613144</v>
      </c>
      <c r="G300" s="5" t="n">
        <v>0</v>
      </c>
      <c r="H300" s="5" t="n">
        <v>1</v>
      </c>
      <c r="I300" s="5" t="n">
        <v>0</v>
      </c>
      <c r="J300" s="5" t="n">
        <v>0</v>
      </c>
      <c r="K300" s="5" t="n">
        <v>0</v>
      </c>
      <c r="L300" s="5" t="n">
        <v>0</v>
      </c>
      <c r="M300" s="5" t="n">
        <v>0</v>
      </c>
      <c r="N300" s="5" t="n">
        <v>0</v>
      </c>
      <c r="O300" s="5" t="n">
        <v>0</v>
      </c>
      <c r="P300" s="5" t="n">
        <v>0</v>
      </c>
      <c r="Q300" s="5" t="n">
        <v>0</v>
      </c>
      <c r="R300" s="5" t="n">
        <v>0</v>
      </c>
      <c r="S300" s="5" t="n">
        <v>0</v>
      </c>
      <c r="T300" s="5" t="n">
        <v>1</v>
      </c>
      <c r="U300" s="5" t="inlineStr">
        <is>
          <t>testing</t>
        </is>
      </c>
    </row>
    <row r="301">
      <c r="A301" s="5" t="n">
        <v>297</v>
      </c>
      <c r="B301" s="5" t="n">
        <v>0</v>
      </c>
      <c r="C301" s="6" t="n">
        <v>-0.7357010147163632</v>
      </c>
      <c r="D301" s="6" t="n">
        <v>0.4983537316539126</v>
      </c>
      <c r="E301" s="6" t="n">
        <v>-1.351560741647039</v>
      </c>
      <c r="F301" s="6" t="n">
        <v>-1.786844513613144</v>
      </c>
      <c r="G301" s="5" t="n">
        <v>0</v>
      </c>
      <c r="H301" s="5" t="n">
        <v>0</v>
      </c>
      <c r="I301" s="5" t="n">
        <v>0</v>
      </c>
      <c r="J301" s="5" t="n">
        <v>0</v>
      </c>
      <c r="K301" s="5" t="n">
        <v>0</v>
      </c>
      <c r="L301" s="5" t="n">
        <v>0</v>
      </c>
      <c r="M301" s="5" t="n">
        <v>0</v>
      </c>
      <c r="N301" s="5" t="n">
        <v>0</v>
      </c>
      <c r="O301" s="5" t="n">
        <v>1</v>
      </c>
      <c r="P301" s="5" t="n">
        <v>1</v>
      </c>
      <c r="Q301" s="5" t="n">
        <v>0</v>
      </c>
      <c r="R301" s="5" t="n">
        <v>1</v>
      </c>
      <c r="S301" s="5" t="n">
        <v>0</v>
      </c>
      <c r="T301" s="5" t="n">
        <v>0</v>
      </c>
      <c r="U301" s="5" t="inlineStr">
        <is>
          <t>training</t>
        </is>
      </c>
    </row>
    <row r="302">
      <c r="A302" s="5" t="n">
        <v>298</v>
      </c>
      <c r="B302" s="5" t="n">
        <v>0</v>
      </c>
      <c r="C302" s="6" t="n">
        <v>-0.9042189173019176</v>
      </c>
      <c r="D302" s="6" t="n">
        <v>-0.6870828774880133</v>
      </c>
      <c r="E302" s="6" t="n">
        <v>0.8227647758031523</v>
      </c>
      <c r="F302" s="6" t="n">
        <v>0.9185437189662378</v>
      </c>
      <c r="G302" s="5" t="n">
        <v>0</v>
      </c>
      <c r="H302" s="5" t="n">
        <v>0</v>
      </c>
      <c r="I302" s="5" t="n">
        <v>0</v>
      </c>
      <c r="J302" s="5" t="n">
        <v>0</v>
      </c>
      <c r="K302" s="5" t="n">
        <v>0</v>
      </c>
      <c r="L302" s="5" t="n">
        <v>0</v>
      </c>
      <c r="M302" s="5" t="n">
        <v>0</v>
      </c>
      <c r="N302" s="5" t="n">
        <v>0</v>
      </c>
      <c r="O302" s="5" t="n">
        <v>1</v>
      </c>
      <c r="P302" s="5" t="n">
        <v>0</v>
      </c>
      <c r="Q302" s="5" t="n">
        <v>0</v>
      </c>
      <c r="R302" s="5" t="n">
        <v>1</v>
      </c>
      <c r="S302" s="5" t="n">
        <v>0</v>
      </c>
      <c r="T302" s="5" t="n">
        <v>0</v>
      </c>
      <c r="U302" s="5" t="inlineStr">
        <is>
          <t>testing</t>
        </is>
      </c>
    </row>
    <row r="303">
      <c r="A303" s="5" t="n">
        <v>299</v>
      </c>
      <c r="B303" s="5" t="n">
        <v>0</v>
      </c>
      <c r="C303" s="6" t="n">
        <v>-0.2301473069597001</v>
      </c>
      <c r="D303" s="6" t="n">
        <v>-0.2574145905853318</v>
      </c>
      <c r="E303" s="6" t="n">
        <v>0.648818734407137</v>
      </c>
      <c r="F303" s="6" t="n">
        <v>0.01674764143977723</v>
      </c>
      <c r="G303" s="5" t="n">
        <v>0</v>
      </c>
      <c r="H303" s="5" t="n">
        <v>0</v>
      </c>
      <c r="I303" s="5" t="n">
        <v>0</v>
      </c>
      <c r="J303" s="5" t="n">
        <v>0</v>
      </c>
      <c r="K303" s="5" t="n">
        <v>0</v>
      </c>
      <c r="L303" s="5" t="n">
        <v>0</v>
      </c>
      <c r="M303" s="5" t="n">
        <v>0</v>
      </c>
      <c r="N303" s="5" t="n">
        <v>0</v>
      </c>
      <c r="O303" s="5" t="n">
        <v>0</v>
      </c>
      <c r="P303" s="5" t="n">
        <v>0</v>
      </c>
      <c r="Q303" s="5" t="n">
        <v>0</v>
      </c>
      <c r="R303" s="5" t="n">
        <v>0</v>
      </c>
      <c r="S303" s="5" t="n">
        <v>0</v>
      </c>
      <c r="T303" s="5" t="n">
        <v>1</v>
      </c>
      <c r="U303" s="5" t="inlineStr">
        <is>
          <t>testing</t>
        </is>
      </c>
    </row>
    <row r="304">
      <c r="A304" s="5" t="n">
        <v>300</v>
      </c>
      <c r="B304" s="5" t="n">
        <v>0</v>
      </c>
      <c r="C304" s="6" t="n">
        <v>0.02262954691863145</v>
      </c>
      <c r="D304" s="6" t="n">
        <v>-0.1769392599765233</v>
      </c>
      <c r="E304" s="6" t="n">
        <v>-0.307884493270947</v>
      </c>
      <c r="F304" s="6" t="n">
        <v>0.01674764143977723</v>
      </c>
      <c r="G304" s="5" t="n">
        <v>0</v>
      </c>
      <c r="H304" s="5" t="n">
        <v>1</v>
      </c>
      <c r="I304" s="5" t="n">
        <v>0</v>
      </c>
      <c r="J304" s="5" t="n">
        <v>1</v>
      </c>
      <c r="K304" s="5" t="n">
        <v>0</v>
      </c>
      <c r="L304" s="5" t="n">
        <v>0</v>
      </c>
      <c r="M304" s="5" t="n">
        <v>0</v>
      </c>
      <c r="N304" s="5" t="n">
        <v>1</v>
      </c>
      <c r="O304" s="5" t="n">
        <v>0</v>
      </c>
      <c r="P304" s="5" t="n">
        <v>0</v>
      </c>
      <c r="Q304" s="5" t="n">
        <v>0</v>
      </c>
      <c r="R304" s="5" t="n">
        <v>0</v>
      </c>
      <c r="S304" s="5" t="n">
        <v>0</v>
      </c>
      <c r="T304" s="5" t="n">
        <v>1</v>
      </c>
      <c r="U304" s="5" t="inlineStr">
        <is>
          <t>testing</t>
        </is>
      </c>
    </row>
    <row r="305">
      <c r="A305" s="5" t="n">
        <v>301</v>
      </c>
      <c r="B305" s="5" t="n">
        <v>0</v>
      </c>
      <c r="C305" s="6" t="n">
        <v>-1.241254722473026</v>
      </c>
      <c r="D305" s="6" t="n">
        <v>-0.9022669136811314</v>
      </c>
      <c r="E305" s="6" t="n">
        <v>1.605521962085221</v>
      </c>
      <c r="F305" s="6" t="n">
        <v>-1.786844513613144</v>
      </c>
      <c r="G305" s="5" t="n">
        <v>0</v>
      </c>
      <c r="H305" s="5" t="n">
        <v>0</v>
      </c>
      <c r="I305" s="5" t="n">
        <v>0</v>
      </c>
      <c r="J305" s="5" t="n">
        <v>0</v>
      </c>
      <c r="K305" s="5" t="n">
        <v>0</v>
      </c>
      <c r="L305" s="5" t="n">
        <v>0</v>
      </c>
      <c r="M305" s="5" t="n">
        <v>0</v>
      </c>
      <c r="N305" s="5" t="n">
        <v>0</v>
      </c>
      <c r="O305" s="5" t="n">
        <v>0</v>
      </c>
      <c r="P305" s="5" t="n">
        <v>0</v>
      </c>
      <c r="Q305" s="5" t="n">
        <v>0</v>
      </c>
      <c r="R305" s="5" t="n">
        <v>1</v>
      </c>
      <c r="S305" s="5" t="n">
        <v>0</v>
      </c>
      <c r="T305" s="5" t="n">
        <v>0</v>
      </c>
      <c r="U305" s="5" t="inlineStr">
        <is>
          <t>training</t>
        </is>
      </c>
    </row>
    <row r="306">
      <c r="A306" s="5" t="n">
        <v>302</v>
      </c>
      <c r="B306" s="5" t="n">
        <v>1</v>
      </c>
      <c r="C306" s="6" t="n">
        <v>1.286513816310289</v>
      </c>
      <c r="D306" s="6" t="n">
        <v>0.1935971535657729</v>
      </c>
      <c r="E306" s="6" t="n">
        <v>0.5618457137091294</v>
      </c>
      <c r="F306" s="6" t="n">
        <v>0.9185437189662378</v>
      </c>
      <c r="G306" s="5" t="n">
        <v>0</v>
      </c>
      <c r="H306" s="5" t="n">
        <v>1</v>
      </c>
      <c r="I306" s="5" t="n">
        <v>0</v>
      </c>
      <c r="J306" s="5" t="n">
        <v>0</v>
      </c>
      <c r="K306" s="5" t="n">
        <v>0</v>
      </c>
      <c r="L306" s="5" t="n">
        <v>1</v>
      </c>
      <c r="M306" s="5" t="n">
        <v>0</v>
      </c>
      <c r="N306" s="5" t="n">
        <v>0</v>
      </c>
      <c r="O306" s="5" t="n">
        <v>0</v>
      </c>
      <c r="P306" s="5" t="n">
        <v>0</v>
      </c>
      <c r="Q306" s="5" t="n">
        <v>0</v>
      </c>
      <c r="R306" s="5" t="n">
        <v>0</v>
      </c>
      <c r="S306" s="5" t="n">
        <v>1</v>
      </c>
      <c r="T306" s="5" t="n">
        <v>0</v>
      </c>
      <c r="U306" s="5" t="inlineStr">
        <is>
          <t>testing</t>
        </is>
      </c>
    </row>
    <row r="307">
      <c r="A307" s="5" t="n">
        <v>303</v>
      </c>
      <c r="B307" s="5" t="n">
        <v>1</v>
      </c>
      <c r="C307" s="6" t="n">
        <v>0.275406400796963</v>
      </c>
      <c r="D307" s="6" t="n">
        <v>-0.6671389912066998</v>
      </c>
      <c r="E307" s="6" t="n">
        <v>0.1269806102190912</v>
      </c>
      <c r="F307" s="6" t="n">
        <v>0.9185437189662378</v>
      </c>
      <c r="G307" s="5" t="n">
        <v>0</v>
      </c>
      <c r="H307" s="5" t="n">
        <v>0</v>
      </c>
      <c r="I307" s="5" t="n">
        <v>1</v>
      </c>
      <c r="J307" s="5" t="n">
        <v>1</v>
      </c>
      <c r="K307" s="5" t="n">
        <v>0</v>
      </c>
      <c r="L307" s="5" t="n">
        <v>0</v>
      </c>
      <c r="M307" s="5" t="n">
        <v>0</v>
      </c>
      <c r="N307" s="5" t="n">
        <v>0</v>
      </c>
      <c r="O307" s="5" t="n">
        <v>1</v>
      </c>
      <c r="P307" s="5" t="n">
        <v>0</v>
      </c>
      <c r="Q307" s="5" t="n">
        <v>0</v>
      </c>
      <c r="R307" s="5" t="n">
        <v>1</v>
      </c>
      <c r="S307" s="5" t="n">
        <v>0</v>
      </c>
      <c r="T307" s="5" t="n">
        <v>0</v>
      </c>
      <c r="U307" s="5" t="inlineStr">
        <is>
          <t>training</t>
        </is>
      </c>
    </row>
    <row r="308">
      <c r="A308" s="5" t="n">
        <v>304</v>
      </c>
      <c r="B308" s="5" t="n">
        <v>0</v>
      </c>
      <c r="C308" s="6" t="n">
        <v>-0.9042189173019176</v>
      </c>
      <c r="D308" s="6" t="n">
        <v>-0.7742061701905928</v>
      </c>
      <c r="E308" s="6" t="n">
        <v>1.170656858595183</v>
      </c>
      <c r="F308" s="6" t="n">
        <v>0.9185437189662378</v>
      </c>
      <c r="G308" s="5" t="n">
        <v>1</v>
      </c>
      <c r="H308" s="5" t="n">
        <v>0</v>
      </c>
      <c r="I308" s="5" t="n">
        <v>0</v>
      </c>
      <c r="J308" s="5" t="n">
        <v>1</v>
      </c>
      <c r="K308" s="5" t="n">
        <v>0</v>
      </c>
      <c r="L308" s="5" t="n">
        <v>0</v>
      </c>
      <c r="M308" s="5" t="n">
        <v>0</v>
      </c>
      <c r="N308" s="5" t="n">
        <v>0</v>
      </c>
      <c r="O308" s="5" t="n">
        <v>0</v>
      </c>
      <c r="P308" s="5" t="n">
        <v>0</v>
      </c>
      <c r="Q308" s="5" t="n">
        <v>0</v>
      </c>
      <c r="R308" s="5" t="n">
        <v>1</v>
      </c>
      <c r="S308" s="5" t="n">
        <v>0</v>
      </c>
      <c r="T308" s="5" t="n">
        <v>0</v>
      </c>
      <c r="U308" s="5" t="inlineStr">
        <is>
          <t>testing</t>
        </is>
      </c>
    </row>
    <row r="309">
      <c r="A309" s="5" t="n">
        <v>305</v>
      </c>
      <c r="B309" s="5" t="n">
        <v>1</v>
      </c>
      <c r="C309" s="6" t="n">
        <v>2.297621231823615</v>
      </c>
      <c r="D309" s="6" t="n">
        <v>2.40596895982445</v>
      </c>
      <c r="E309" s="6" t="n">
        <v>0.7357917551051447</v>
      </c>
      <c r="F309" s="6" t="n">
        <v>-0.8850484360866833</v>
      </c>
      <c r="G309" s="5" t="n">
        <v>0</v>
      </c>
      <c r="H309" s="5" t="n">
        <v>0</v>
      </c>
      <c r="I309" s="5" t="n">
        <v>0</v>
      </c>
      <c r="J309" s="5" t="n">
        <v>1</v>
      </c>
      <c r="K309" s="5" t="n">
        <v>0</v>
      </c>
      <c r="L309" s="5" t="n">
        <v>0</v>
      </c>
      <c r="M309" s="5" t="n">
        <v>1</v>
      </c>
      <c r="N309" s="5" t="n">
        <v>0</v>
      </c>
      <c r="O309" s="5" t="n">
        <v>0</v>
      </c>
      <c r="P309" s="5" t="n">
        <v>0</v>
      </c>
      <c r="Q309" s="5" t="n">
        <v>1</v>
      </c>
      <c r="R309" s="5" t="n">
        <v>1</v>
      </c>
      <c r="S309" s="5" t="n">
        <v>0</v>
      </c>
      <c r="T309" s="5" t="n">
        <v>0</v>
      </c>
      <c r="U309" s="5" t="inlineStr">
        <is>
          <t>training</t>
        </is>
      </c>
    </row>
    <row r="310">
      <c r="A310" s="5" t="n">
        <v>306</v>
      </c>
      <c r="B310" s="5" t="n">
        <v>0</v>
      </c>
      <c r="C310" s="6" t="n">
        <v>-1.241254722473026</v>
      </c>
      <c r="D310" s="6" t="n">
        <v>-0.5975103355929917</v>
      </c>
      <c r="E310" s="6" t="n">
        <v>-0.2209114725729393</v>
      </c>
      <c r="F310" s="6" t="n">
        <v>0.9185437189662378</v>
      </c>
      <c r="G310" s="5" t="n">
        <v>0</v>
      </c>
      <c r="H310" s="5" t="n">
        <v>0</v>
      </c>
      <c r="I310" s="5" t="n">
        <v>0</v>
      </c>
      <c r="J310" s="5" t="n">
        <v>0</v>
      </c>
      <c r="K310" s="5" t="n">
        <v>0</v>
      </c>
      <c r="L310" s="5" t="n">
        <v>0</v>
      </c>
      <c r="M310" s="5" t="n">
        <v>0</v>
      </c>
      <c r="N310" s="5" t="n">
        <v>1</v>
      </c>
      <c r="O310" s="5" t="n">
        <v>0</v>
      </c>
      <c r="P310" s="5" t="n">
        <v>0</v>
      </c>
      <c r="Q310" s="5" t="n">
        <v>0</v>
      </c>
      <c r="R310" s="5" t="n">
        <v>0</v>
      </c>
      <c r="S310" s="5" t="n">
        <v>0</v>
      </c>
      <c r="T310" s="5" t="n">
        <v>1</v>
      </c>
      <c r="U310" s="5" t="inlineStr">
        <is>
          <t>training</t>
        </is>
      </c>
    </row>
    <row r="311">
      <c r="A311" s="5" t="n">
        <v>307</v>
      </c>
      <c r="B311" s="5" t="n">
        <v>0</v>
      </c>
      <c r="C311" s="6" t="n">
        <v>0.7809601085536261</v>
      </c>
      <c r="D311" s="6" t="n">
        <v>0.5459391445356429</v>
      </c>
      <c r="E311" s="6" t="n">
        <v>-1.003668658855008</v>
      </c>
      <c r="F311" s="6" t="n">
        <v>-0.8850484360866833</v>
      </c>
      <c r="G311" s="5" t="n">
        <v>0</v>
      </c>
      <c r="H311" s="5" t="n">
        <v>0</v>
      </c>
      <c r="I311" s="5" t="n">
        <v>0</v>
      </c>
      <c r="J311" s="5" t="n">
        <v>0</v>
      </c>
      <c r="K311" s="5" t="n">
        <v>0</v>
      </c>
      <c r="L311" s="5" t="n">
        <v>0</v>
      </c>
      <c r="M311" s="5" t="n">
        <v>0</v>
      </c>
      <c r="N311" s="5" t="n">
        <v>0</v>
      </c>
      <c r="O311" s="5" t="n">
        <v>1</v>
      </c>
      <c r="P311" s="5" t="n">
        <v>1</v>
      </c>
      <c r="Q311" s="5" t="n">
        <v>0</v>
      </c>
      <c r="R311" s="5" t="n">
        <v>1</v>
      </c>
      <c r="S311" s="5" t="n">
        <v>0</v>
      </c>
      <c r="T311" s="5" t="n">
        <v>0</v>
      </c>
      <c r="U311" s="5" t="inlineStr">
        <is>
          <t>training</t>
        </is>
      </c>
    </row>
    <row r="312">
      <c r="A312" s="5" t="n">
        <v>308</v>
      </c>
      <c r="B312" s="5" t="n">
        <v>1</v>
      </c>
      <c r="C312" s="6" t="n">
        <v>-0.7357010147163632</v>
      </c>
      <c r="D312" s="6" t="n">
        <v>-0.8830228128833729</v>
      </c>
      <c r="E312" s="6" t="n">
        <v>-0.2209114725729393</v>
      </c>
      <c r="F312" s="6" t="n">
        <v>0.9185437189662378</v>
      </c>
      <c r="G312" s="5" t="n">
        <v>1</v>
      </c>
      <c r="H312" s="5" t="n">
        <v>0</v>
      </c>
      <c r="I312" s="5" t="n">
        <v>0</v>
      </c>
      <c r="J312" s="5" t="n">
        <v>0</v>
      </c>
      <c r="K312" s="5" t="n">
        <v>0</v>
      </c>
      <c r="L312" s="5" t="n">
        <v>0</v>
      </c>
      <c r="M312" s="5" t="n">
        <v>1</v>
      </c>
      <c r="N312" s="5" t="n">
        <v>0</v>
      </c>
      <c r="O312" s="5" t="n">
        <v>0</v>
      </c>
      <c r="P312" s="5" t="n">
        <v>0</v>
      </c>
      <c r="Q312" s="5" t="n">
        <v>0</v>
      </c>
      <c r="R312" s="5" t="n">
        <v>0</v>
      </c>
      <c r="S312" s="5" t="n">
        <v>1</v>
      </c>
      <c r="T312" s="5" t="n">
        <v>0</v>
      </c>
      <c r="U312" s="5" t="inlineStr">
        <is>
          <t>training</t>
        </is>
      </c>
    </row>
    <row r="313">
      <c r="A313" s="5" t="n">
        <v>309</v>
      </c>
      <c r="B313" s="5" t="n">
        <v>1</v>
      </c>
      <c r="C313" s="6" t="n">
        <v>-1.072736819887472</v>
      </c>
      <c r="D313" s="6" t="n">
        <v>-0.7045775145768847</v>
      </c>
      <c r="E313" s="6" t="n">
        <v>-1.003668658855008</v>
      </c>
      <c r="F313" s="6" t="n">
        <v>0.01674764143977723</v>
      </c>
      <c r="G313" s="5" t="n">
        <v>0</v>
      </c>
      <c r="H313" s="5" t="n">
        <v>1</v>
      </c>
      <c r="I313" s="5" t="n">
        <v>0</v>
      </c>
      <c r="J313" s="5" t="n">
        <v>0</v>
      </c>
      <c r="K313" s="5" t="n">
        <v>0</v>
      </c>
      <c r="L313" s="5" t="n">
        <v>0</v>
      </c>
      <c r="M313" s="5" t="n">
        <v>0</v>
      </c>
      <c r="N313" s="5" t="n">
        <v>0</v>
      </c>
      <c r="O313" s="5" t="n">
        <v>0</v>
      </c>
      <c r="P313" s="5" t="n">
        <v>0</v>
      </c>
      <c r="Q313" s="5" t="n">
        <v>0</v>
      </c>
      <c r="R313" s="5" t="n">
        <v>0</v>
      </c>
      <c r="S313" s="5" t="n">
        <v>0</v>
      </c>
      <c r="T313" s="5" t="n">
        <v>1</v>
      </c>
      <c r="U313" s="5" t="inlineStr">
        <is>
          <t>training</t>
        </is>
      </c>
    </row>
    <row r="314">
      <c r="A314" s="5" t="n">
        <v>310</v>
      </c>
      <c r="B314" s="5" t="n">
        <v>0</v>
      </c>
      <c r="C314" s="6" t="n">
        <v>-0.9884778685946948</v>
      </c>
      <c r="D314" s="6" t="n">
        <v>-1.040824439424993</v>
      </c>
      <c r="E314" s="6" t="n">
        <v>-1.177614700251023</v>
      </c>
      <c r="F314" s="6" t="n">
        <v>0.9185437189662378</v>
      </c>
      <c r="G314" s="5" t="n">
        <v>0</v>
      </c>
      <c r="H314" s="5" t="n">
        <v>1</v>
      </c>
      <c r="I314" s="5" t="n">
        <v>0</v>
      </c>
      <c r="J314" s="5" t="n">
        <v>0</v>
      </c>
      <c r="K314" s="5" t="n">
        <v>0</v>
      </c>
      <c r="L314" s="5" t="n">
        <v>0</v>
      </c>
      <c r="M314" s="5" t="n">
        <v>0</v>
      </c>
      <c r="N314" s="5" t="n">
        <v>0</v>
      </c>
      <c r="O314" s="5" t="n">
        <v>0</v>
      </c>
      <c r="P314" s="5" t="n">
        <v>1</v>
      </c>
      <c r="Q314" s="5" t="n">
        <v>0</v>
      </c>
      <c r="R314" s="5" t="n">
        <v>1</v>
      </c>
      <c r="S314" s="5" t="n">
        <v>0</v>
      </c>
      <c r="T314" s="5" t="n">
        <v>0</v>
      </c>
      <c r="U314" s="5" t="inlineStr">
        <is>
          <t>training</t>
        </is>
      </c>
    </row>
    <row r="315">
      <c r="A315" s="5" t="n">
        <v>311</v>
      </c>
      <c r="B315" s="5" t="n">
        <v>0</v>
      </c>
      <c r="C315" s="6" t="n">
        <v>2.297621231823615</v>
      </c>
      <c r="D315" s="6" t="n">
        <v>0.7453780073487767</v>
      </c>
      <c r="E315" s="6" t="n">
        <v>0.3878996723131141</v>
      </c>
      <c r="F315" s="6" t="n">
        <v>0.01674764143977723</v>
      </c>
      <c r="G315" s="5" t="n">
        <v>0</v>
      </c>
      <c r="H315" s="5" t="n">
        <v>1</v>
      </c>
      <c r="I315" s="5" t="n">
        <v>0</v>
      </c>
      <c r="J315" s="5" t="n">
        <v>0</v>
      </c>
      <c r="K315" s="5" t="n">
        <v>0</v>
      </c>
      <c r="L315" s="5" t="n">
        <v>0</v>
      </c>
      <c r="M315" s="5" t="n">
        <v>0</v>
      </c>
      <c r="N315" s="5" t="n">
        <v>0</v>
      </c>
      <c r="O315" s="5" t="n">
        <v>1</v>
      </c>
      <c r="P315" s="5" t="n">
        <v>0</v>
      </c>
      <c r="Q315" s="5" t="n">
        <v>1</v>
      </c>
      <c r="R315" s="5" t="n">
        <v>0</v>
      </c>
      <c r="S315" s="5" t="n">
        <v>0</v>
      </c>
      <c r="T315" s="5" t="n">
        <v>0</v>
      </c>
      <c r="U315" s="5" t="inlineStr">
        <is>
          <t>training</t>
        </is>
      </c>
    </row>
    <row r="316">
      <c r="A316" s="5" t="n">
        <v>312</v>
      </c>
      <c r="B316" s="5" t="n">
        <v>0</v>
      </c>
      <c r="C316" s="6" t="n">
        <v>0.275406400796963</v>
      </c>
      <c r="D316" s="6" t="n">
        <v>0.7908640637798424</v>
      </c>
      <c r="E316" s="6" t="n">
        <v>-0.9166956381570004</v>
      </c>
      <c r="F316" s="6" t="n">
        <v>0.9185437189662378</v>
      </c>
      <c r="G316" s="5" t="n">
        <v>0</v>
      </c>
      <c r="H316" s="5" t="n">
        <v>0</v>
      </c>
      <c r="I316" s="5" t="n">
        <v>0</v>
      </c>
      <c r="J316" s="5" t="n">
        <v>0</v>
      </c>
      <c r="K316" s="5" t="n">
        <v>0</v>
      </c>
      <c r="L316" s="5" t="n">
        <v>0</v>
      </c>
      <c r="M316" s="5" t="n">
        <v>1</v>
      </c>
      <c r="N316" s="5" t="n">
        <v>0</v>
      </c>
      <c r="O316" s="5" t="n">
        <v>0</v>
      </c>
      <c r="P316" s="5" t="n">
        <v>0</v>
      </c>
      <c r="Q316" s="5" t="n">
        <v>0</v>
      </c>
      <c r="R316" s="5" t="n">
        <v>0</v>
      </c>
      <c r="S316" s="5" t="n">
        <v>0</v>
      </c>
      <c r="T316" s="5" t="n">
        <v>1</v>
      </c>
      <c r="U316" s="5" t="inlineStr">
        <is>
          <t>testing</t>
        </is>
      </c>
    </row>
    <row r="317">
      <c r="A317" s="5" t="n">
        <v>313</v>
      </c>
      <c r="B317" s="5" t="n">
        <v>0</v>
      </c>
      <c r="C317" s="6" t="n">
        <v>0.275406400796963</v>
      </c>
      <c r="D317" s="6" t="n">
        <v>0.1743530527680143</v>
      </c>
      <c r="E317" s="6" t="n">
        <v>-0.8297226174589928</v>
      </c>
      <c r="F317" s="6" t="n">
        <v>-0.8850484360866833</v>
      </c>
      <c r="G317" s="5" t="n">
        <v>0</v>
      </c>
      <c r="H317" s="5" t="n">
        <v>0</v>
      </c>
      <c r="I317" s="5" t="n">
        <v>1</v>
      </c>
      <c r="J317" s="5" t="n">
        <v>0</v>
      </c>
      <c r="K317" s="5" t="n">
        <v>0</v>
      </c>
      <c r="L317" s="5" t="n">
        <v>0</v>
      </c>
      <c r="M317" s="5" t="n">
        <v>0</v>
      </c>
      <c r="N317" s="5" t="n">
        <v>0</v>
      </c>
      <c r="O317" s="5" t="n">
        <v>0</v>
      </c>
      <c r="P317" s="5" t="n">
        <v>0</v>
      </c>
      <c r="Q317" s="5" t="n">
        <v>0</v>
      </c>
      <c r="R317" s="5" t="n">
        <v>0</v>
      </c>
      <c r="S317" s="5" t="n">
        <v>0</v>
      </c>
      <c r="T317" s="5" t="n">
        <v>1</v>
      </c>
      <c r="U317" s="5" t="inlineStr">
        <is>
          <t>training</t>
        </is>
      </c>
    </row>
    <row r="318">
      <c r="A318" s="5" t="n">
        <v>314</v>
      </c>
      <c r="B318" s="5" t="n">
        <v>1</v>
      </c>
      <c r="C318" s="6" t="n">
        <v>-0.7357010147163632</v>
      </c>
      <c r="D318" s="6" t="n">
        <v>-0.8977183080380249</v>
      </c>
      <c r="E318" s="6" t="n">
        <v>-0.9166956381570004</v>
      </c>
      <c r="F318" s="6" t="n">
        <v>-0.8850484360866833</v>
      </c>
      <c r="G318" s="5" t="n">
        <v>0</v>
      </c>
      <c r="H318" s="5" t="n">
        <v>1</v>
      </c>
      <c r="I318" s="5" t="n">
        <v>0</v>
      </c>
      <c r="J318" s="5" t="n">
        <v>0</v>
      </c>
      <c r="K318" s="5" t="n">
        <v>0</v>
      </c>
      <c r="L318" s="5" t="n">
        <v>0</v>
      </c>
      <c r="M318" s="5" t="n">
        <v>0</v>
      </c>
      <c r="N318" s="5" t="n">
        <v>0</v>
      </c>
      <c r="O318" s="5" t="n">
        <v>0</v>
      </c>
      <c r="P318" s="5" t="n">
        <v>0</v>
      </c>
      <c r="Q318" s="5" t="n">
        <v>0</v>
      </c>
      <c r="R318" s="5" t="n">
        <v>1</v>
      </c>
      <c r="S318" s="5" t="n">
        <v>0</v>
      </c>
      <c r="T318" s="5" t="n">
        <v>0</v>
      </c>
      <c r="U318" s="5" t="inlineStr">
        <is>
          <t>training</t>
        </is>
      </c>
    </row>
    <row r="319">
      <c r="A319" s="5" t="n">
        <v>315</v>
      </c>
      <c r="B319" s="5" t="n">
        <v>0</v>
      </c>
      <c r="C319" s="6" t="n">
        <v>-1.409772625058581</v>
      </c>
      <c r="D319" s="6" t="n">
        <v>-0.6146550799400857</v>
      </c>
      <c r="E319" s="6" t="n">
        <v>-0.5688035553649698</v>
      </c>
      <c r="F319" s="6" t="n">
        <v>-1.786844513613144</v>
      </c>
      <c r="G319" s="5" t="n">
        <v>0</v>
      </c>
      <c r="H319" s="5" t="n">
        <v>0</v>
      </c>
      <c r="I319" s="5" t="n">
        <v>1</v>
      </c>
      <c r="J319" s="5" t="n">
        <v>0</v>
      </c>
      <c r="K319" s="5" t="n">
        <v>0</v>
      </c>
      <c r="L319" s="5" t="n">
        <v>0</v>
      </c>
      <c r="M319" s="5" t="n">
        <v>0</v>
      </c>
      <c r="N319" s="5" t="n">
        <v>0</v>
      </c>
      <c r="O319" s="5" t="n">
        <v>1</v>
      </c>
      <c r="P319" s="5" t="n">
        <v>0</v>
      </c>
      <c r="Q319" s="5" t="n">
        <v>0</v>
      </c>
      <c r="R319" s="5" t="n">
        <v>1</v>
      </c>
      <c r="S319" s="5" t="n">
        <v>0</v>
      </c>
      <c r="T319" s="5" t="n">
        <v>0</v>
      </c>
      <c r="U319" s="5" t="inlineStr">
        <is>
          <t>testing</t>
        </is>
      </c>
    </row>
    <row r="320">
      <c r="A320" s="5" t="n">
        <v>316</v>
      </c>
      <c r="B320" s="5" t="n">
        <v>1</v>
      </c>
      <c r="C320" s="6" t="n">
        <v>1.286513816310289</v>
      </c>
      <c r="D320" s="6" t="n">
        <v>-0.1765893672347459</v>
      </c>
      <c r="E320" s="6" t="n">
        <v>-0.3948575139689546</v>
      </c>
      <c r="F320" s="6" t="n">
        <v>0.9185437189662378</v>
      </c>
      <c r="G320" s="5" t="n">
        <v>1</v>
      </c>
      <c r="H320" s="5" t="n">
        <v>0</v>
      </c>
      <c r="I320" s="5" t="n">
        <v>0</v>
      </c>
      <c r="J320" s="5" t="n">
        <v>0</v>
      </c>
      <c r="K320" s="5" t="n">
        <v>0</v>
      </c>
      <c r="L320" s="5" t="n">
        <v>1</v>
      </c>
      <c r="M320" s="5" t="n">
        <v>0</v>
      </c>
      <c r="N320" s="5" t="n">
        <v>0</v>
      </c>
      <c r="O320" s="5" t="n">
        <v>0</v>
      </c>
      <c r="P320" s="5" t="n">
        <v>0</v>
      </c>
      <c r="Q320" s="5" t="n">
        <v>0</v>
      </c>
      <c r="R320" s="5" t="n">
        <v>0</v>
      </c>
      <c r="S320" s="5" t="n">
        <v>0</v>
      </c>
      <c r="T320" s="5" t="n">
        <v>1</v>
      </c>
      <c r="U320" s="5" t="inlineStr">
        <is>
          <t>training</t>
        </is>
      </c>
    </row>
    <row r="321">
      <c r="A321" s="5" t="n">
        <v>317</v>
      </c>
      <c r="B321" s="5" t="n">
        <v>0</v>
      </c>
      <c r="C321" s="6" t="n">
        <v>-0.7357010147163632</v>
      </c>
      <c r="D321" s="6" t="n">
        <v>-0.8896707749771441</v>
      </c>
      <c r="E321" s="6" t="n">
        <v>0.2139536309170988</v>
      </c>
      <c r="F321" s="6" t="n">
        <v>-0.8850484360866833</v>
      </c>
      <c r="G321" s="5" t="n">
        <v>1</v>
      </c>
      <c r="H321" s="5" t="n">
        <v>0</v>
      </c>
      <c r="I321" s="5" t="n">
        <v>0</v>
      </c>
      <c r="J321" s="5" t="n">
        <v>0</v>
      </c>
      <c r="K321" s="5" t="n">
        <v>0</v>
      </c>
      <c r="L321" s="5" t="n">
        <v>0</v>
      </c>
      <c r="M321" s="5" t="n">
        <v>0</v>
      </c>
      <c r="N321" s="5" t="n">
        <v>0</v>
      </c>
      <c r="O321" s="5" t="n">
        <v>0</v>
      </c>
      <c r="P321" s="5" t="n">
        <v>0</v>
      </c>
      <c r="Q321" s="5" t="n">
        <v>0</v>
      </c>
      <c r="R321" s="5" t="n">
        <v>0</v>
      </c>
      <c r="S321" s="5" t="n">
        <v>0</v>
      </c>
      <c r="T321" s="5" t="n">
        <v>1</v>
      </c>
      <c r="U321" s="5" t="inlineStr">
        <is>
          <t>training</t>
        </is>
      </c>
    </row>
    <row r="322">
      <c r="A322" s="5" t="n">
        <v>318</v>
      </c>
      <c r="B322" s="5" t="n">
        <v>0</v>
      </c>
      <c r="C322" s="6" t="n">
        <v>0.275406400796963</v>
      </c>
      <c r="D322" s="6" t="n">
        <v>0.3849884833180259</v>
      </c>
      <c r="E322" s="6" t="n">
        <v>1.083683837897175</v>
      </c>
      <c r="F322" s="6" t="n">
        <v>-1.786844513613144</v>
      </c>
      <c r="G322" s="5" t="n">
        <v>0</v>
      </c>
      <c r="H322" s="5" t="n">
        <v>1</v>
      </c>
      <c r="I322" s="5" t="n">
        <v>0</v>
      </c>
      <c r="J322" s="5" t="n">
        <v>0</v>
      </c>
      <c r="K322" s="5" t="n">
        <v>0</v>
      </c>
      <c r="L322" s="5" t="n">
        <v>0</v>
      </c>
      <c r="M322" s="5" t="n">
        <v>0</v>
      </c>
      <c r="N322" s="5" t="n">
        <v>0</v>
      </c>
      <c r="O322" s="5" t="n">
        <v>1</v>
      </c>
      <c r="P322" s="5" t="n">
        <v>0</v>
      </c>
      <c r="Q322" s="5" t="n">
        <v>0</v>
      </c>
      <c r="R322" s="5" t="n">
        <v>0</v>
      </c>
      <c r="S322" s="5" t="n">
        <v>0</v>
      </c>
      <c r="T322" s="5" t="n">
        <v>1</v>
      </c>
      <c r="U322" s="5" t="inlineStr">
        <is>
          <t>testing</t>
        </is>
      </c>
    </row>
    <row r="323">
      <c r="A323" s="5" t="n">
        <v>319</v>
      </c>
      <c r="B323" s="5" t="n">
        <v>0</v>
      </c>
      <c r="C323" s="6" t="n">
        <v>-0.7357010147163632</v>
      </c>
      <c r="D323" s="6" t="n">
        <v>-0.892120024169586</v>
      </c>
      <c r="E323" s="6" t="n">
        <v>-0.307884493270947</v>
      </c>
      <c r="F323" s="6" t="n">
        <v>0.9185437189662378</v>
      </c>
      <c r="G323" s="5" t="n">
        <v>0</v>
      </c>
      <c r="H323" s="5" t="n">
        <v>0</v>
      </c>
      <c r="I323" s="5" t="n">
        <v>0</v>
      </c>
      <c r="J323" s="5" t="n">
        <v>1</v>
      </c>
      <c r="K323" s="5" t="n">
        <v>0</v>
      </c>
      <c r="L323" s="5" t="n">
        <v>0</v>
      </c>
      <c r="M323" s="5" t="n">
        <v>0</v>
      </c>
      <c r="N323" s="5" t="n">
        <v>0</v>
      </c>
      <c r="O323" s="5" t="n">
        <v>0</v>
      </c>
      <c r="P323" s="5" t="n">
        <v>0</v>
      </c>
      <c r="Q323" s="5" t="n">
        <v>0</v>
      </c>
      <c r="R323" s="5" t="n">
        <v>0</v>
      </c>
      <c r="S323" s="5" t="n">
        <v>0</v>
      </c>
      <c r="T323" s="5" t="n">
        <v>0</v>
      </c>
      <c r="U323" s="5" t="inlineStr">
        <is>
          <t>training</t>
        </is>
      </c>
    </row>
    <row r="324">
      <c r="A324" s="5" t="n">
        <v>320</v>
      </c>
      <c r="B324" s="5" t="n">
        <v>0</v>
      </c>
      <c r="C324" s="6" t="n">
        <v>-0.4829241608380317</v>
      </c>
      <c r="D324" s="6" t="n">
        <v>0.137264422139607</v>
      </c>
      <c r="E324" s="6" t="n">
        <v>-0.7427495967609852</v>
      </c>
      <c r="F324" s="6" t="n">
        <v>-1.786844513613144</v>
      </c>
      <c r="G324" s="5" t="n">
        <v>1</v>
      </c>
      <c r="H324" s="5" t="n">
        <v>0</v>
      </c>
      <c r="I324" s="5" t="n">
        <v>0</v>
      </c>
      <c r="J324" s="5" t="n">
        <v>0</v>
      </c>
      <c r="K324" s="5" t="n">
        <v>1</v>
      </c>
      <c r="L324" s="5" t="n">
        <v>0</v>
      </c>
      <c r="M324" s="5" t="n">
        <v>0</v>
      </c>
      <c r="N324" s="5" t="n">
        <v>0</v>
      </c>
      <c r="O324" s="5" t="n">
        <v>0</v>
      </c>
      <c r="P324" s="5" t="n">
        <v>0</v>
      </c>
      <c r="Q324" s="5" t="n">
        <v>0</v>
      </c>
      <c r="R324" s="5" t="n">
        <v>0</v>
      </c>
      <c r="S324" s="5" t="n">
        <v>0</v>
      </c>
      <c r="T324" s="5" t="n">
        <v>1</v>
      </c>
      <c r="U324" s="5" t="inlineStr">
        <is>
          <t>training</t>
        </is>
      </c>
    </row>
    <row r="325">
      <c r="A325" s="5" t="n">
        <v>321</v>
      </c>
      <c r="B325" s="5" t="n">
        <v>1</v>
      </c>
      <c r="C325" s="6" t="n">
        <v>0.7809601085536261</v>
      </c>
      <c r="D325" s="6" t="n">
        <v>0.3492994236567283</v>
      </c>
      <c r="E325" s="6" t="n">
        <v>-0.6557765760629775</v>
      </c>
      <c r="F325" s="6" t="n">
        <v>0.9185437189662378</v>
      </c>
      <c r="G325" s="5" t="n">
        <v>0</v>
      </c>
      <c r="H325" s="5" t="n">
        <v>1</v>
      </c>
      <c r="I325" s="5" t="n">
        <v>0</v>
      </c>
      <c r="J325" s="5" t="n">
        <v>1</v>
      </c>
      <c r="K325" s="5" t="n">
        <v>0</v>
      </c>
      <c r="L325" s="5" t="n">
        <v>0</v>
      </c>
      <c r="M325" s="5" t="n">
        <v>0</v>
      </c>
      <c r="N325" s="5" t="n">
        <v>0</v>
      </c>
      <c r="O325" s="5" t="n">
        <v>0</v>
      </c>
      <c r="P325" s="5" t="n">
        <v>0</v>
      </c>
      <c r="Q325" s="5" t="n">
        <v>0</v>
      </c>
      <c r="R325" s="5" t="n">
        <v>1</v>
      </c>
      <c r="S325" s="5" t="n">
        <v>0</v>
      </c>
      <c r="T325" s="5" t="n">
        <v>0</v>
      </c>
      <c r="U325" s="5" t="inlineStr">
        <is>
          <t>testing</t>
        </is>
      </c>
    </row>
    <row r="326">
      <c r="A326" s="5" t="n">
        <v>322</v>
      </c>
      <c r="B326" s="5" t="n">
        <v>1</v>
      </c>
      <c r="C326" s="6" t="n">
        <v>0.275406400796963</v>
      </c>
      <c r="D326" s="6" t="n">
        <v>-0.4593027025909077</v>
      </c>
      <c r="E326" s="6" t="n">
        <v>-0.307884493270947</v>
      </c>
      <c r="F326" s="6" t="n">
        <v>0.9185437189662378</v>
      </c>
      <c r="G326" s="5" t="n">
        <v>1</v>
      </c>
      <c r="H326" s="5" t="n">
        <v>0</v>
      </c>
      <c r="I326" s="5" t="n">
        <v>0</v>
      </c>
      <c r="J326" s="5" t="n">
        <v>0</v>
      </c>
      <c r="K326" s="5" t="n">
        <v>0</v>
      </c>
      <c r="L326" s="5" t="n">
        <v>0</v>
      </c>
      <c r="M326" s="5" t="n">
        <v>0</v>
      </c>
      <c r="N326" s="5" t="n">
        <v>0</v>
      </c>
      <c r="O326" s="5" t="n">
        <v>0</v>
      </c>
      <c r="P326" s="5" t="n">
        <v>0</v>
      </c>
      <c r="Q326" s="5" t="n">
        <v>0</v>
      </c>
      <c r="R326" s="5" t="n">
        <v>0</v>
      </c>
      <c r="S326" s="5" t="n">
        <v>1</v>
      </c>
      <c r="T326" s="5" t="n">
        <v>0</v>
      </c>
      <c r="U326" s="5" t="inlineStr">
        <is>
          <t>testing</t>
        </is>
      </c>
    </row>
    <row r="327">
      <c r="A327" s="5" t="n">
        <v>323</v>
      </c>
      <c r="B327" s="5" t="n">
        <v>0</v>
      </c>
      <c r="C327" s="6" t="n">
        <v>0.275406400796963</v>
      </c>
      <c r="D327" s="6" t="n">
        <v>-0.1192069575832477</v>
      </c>
      <c r="E327" s="6" t="n">
        <v>-0.1339384518749317</v>
      </c>
      <c r="F327" s="6" t="n">
        <v>-0.8850484360866833</v>
      </c>
      <c r="G327" s="5" t="n">
        <v>1</v>
      </c>
      <c r="H327" s="5" t="n">
        <v>0</v>
      </c>
      <c r="I327" s="5" t="n">
        <v>0</v>
      </c>
      <c r="J327" s="5" t="n">
        <v>0</v>
      </c>
      <c r="K327" s="5" t="n">
        <v>0</v>
      </c>
      <c r="L327" s="5" t="n">
        <v>0</v>
      </c>
      <c r="M327" s="5" t="n">
        <v>0</v>
      </c>
      <c r="N327" s="5" t="n">
        <v>0</v>
      </c>
      <c r="O327" s="5" t="n">
        <v>0</v>
      </c>
      <c r="P327" s="5" t="n">
        <v>0</v>
      </c>
      <c r="Q327" s="5" t="n">
        <v>1</v>
      </c>
      <c r="R327" s="5" t="n">
        <v>1</v>
      </c>
      <c r="S327" s="5" t="n">
        <v>0</v>
      </c>
      <c r="T327" s="5" t="n">
        <v>0</v>
      </c>
      <c r="U327" s="5" t="inlineStr">
        <is>
          <t>training</t>
        </is>
      </c>
    </row>
    <row r="328">
      <c r="A328" s="5" t="n">
        <v>324</v>
      </c>
      <c r="B328" s="5" t="n">
        <v>0</v>
      </c>
      <c r="C328" s="6" t="n">
        <v>-0.2301473069597001</v>
      </c>
      <c r="D328" s="6" t="n">
        <v>-0.2070300357693821</v>
      </c>
      <c r="E328" s="6" t="n">
        <v>-0.6557765760629775</v>
      </c>
      <c r="F328" s="6" t="n">
        <v>0.9185437189662378</v>
      </c>
      <c r="G328" s="5" t="n">
        <v>1</v>
      </c>
      <c r="H328" s="5" t="n">
        <v>0</v>
      </c>
      <c r="I328" s="5" t="n">
        <v>0</v>
      </c>
      <c r="J328" s="5" t="n">
        <v>0</v>
      </c>
      <c r="K328" s="5" t="n">
        <v>0</v>
      </c>
      <c r="L328" s="5" t="n">
        <v>0</v>
      </c>
      <c r="M328" s="5" t="n">
        <v>0</v>
      </c>
      <c r="N328" s="5" t="n">
        <v>1</v>
      </c>
      <c r="O328" s="5" t="n">
        <v>0</v>
      </c>
      <c r="P328" s="5" t="n">
        <v>0</v>
      </c>
      <c r="Q328" s="5" t="n">
        <v>0</v>
      </c>
      <c r="R328" s="5" t="n">
        <v>0</v>
      </c>
      <c r="S328" s="5" t="n">
        <v>0</v>
      </c>
      <c r="T328" s="5" t="n">
        <v>1</v>
      </c>
      <c r="U328" s="5" t="inlineStr">
        <is>
          <t>training</t>
        </is>
      </c>
    </row>
    <row r="329">
      <c r="A329" s="5" t="n">
        <v>325</v>
      </c>
      <c r="B329" s="5" t="n">
        <v>0</v>
      </c>
      <c r="C329" s="6" t="n">
        <v>-0.2301473069597001</v>
      </c>
      <c r="D329" s="6" t="n">
        <v>-0.7777050976083671</v>
      </c>
      <c r="E329" s="6" t="n">
        <v>0.04000758952108359</v>
      </c>
      <c r="F329" s="6" t="n">
        <v>0.9185437189662378</v>
      </c>
      <c r="G329" s="5" t="n">
        <v>0</v>
      </c>
      <c r="H329" s="5" t="n">
        <v>0</v>
      </c>
      <c r="I329" s="5" t="n">
        <v>0</v>
      </c>
      <c r="J329" s="5" t="n">
        <v>1</v>
      </c>
      <c r="K329" s="5" t="n">
        <v>0</v>
      </c>
      <c r="L329" s="5" t="n">
        <v>0</v>
      </c>
      <c r="M329" s="5" t="n">
        <v>0</v>
      </c>
      <c r="N329" s="5" t="n">
        <v>0</v>
      </c>
      <c r="O329" s="5" t="n">
        <v>0</v>
      </c>
      <c r="P329" s="5" t="n">
        <v>0</v>
      </c>
      <c r="Q329" s="5" t="n">
        <v>0</v>
      </c>
      <c r="R329" s="5" t="n">
        <v>1</v>
      </c>
      <c r="S329" s="5" t="n">
        <v>0</v>
      </c>
      <c r="T329" s="5" t="n">
        <v>0</v>
      </c>
      <c r="U329" s="5" t="inlineStr">
        <is>
          <t>training</t>
        </is>
      </c>
    </row>
    <row r="330">
      <c r="A330" s="5" t="n">
        <v>326</v>
      </c>
      <c r="B330" s="5" t="n">
        <v>0</v>
      </c>
      <c r="C330" s="6" t="n">
        <v>-1.072736819887472</v>
      </c>
      <c r="D330" s="6" t="n">
        <v>0.05154070040413711</v>
      </c>
      <c r="E330" s="6" t="n">
        <v>0.3009266516151065</v>
      </c>
      <c r="F330" s="6" t="n">
        <v>-1.786844513613144</v>
      </c>
      <c r="G330" s="5" t="n">
        <v>1</v>
      </c>
      <c r="H330" s="5" t="n">
        <v>0</v>
      </c>
      <c r="I330" s="5" t="n">
        <v>0</v>
      </c>
      <c r="J330" s="5" t="n">
        <v>1</v>
      </c>
      <c r="K330" s="5" t="n">
        <v>0</v>
      </c>
      <c r="L330" s="5" t="n">
        <v>0</v>
      </c>
      <c r="M330" s="5" t="n">
        <v>0</v>
      </c>
      <c r="N330" s="5" t="n">
        <v>0</v>
      </c>
      <c r="O330" s="5" t="n">
        <v>0</v>
      </c>
      <c r="P330" s="5" t="n">
        <v>0</v>
      </c>
      <c r="Q330" s="5" t="n">
        <v>0</v>
      </c>
      <c r="R330" s="5" t="n">
        <v>1</v>
      </c>
      <c r="S330" s="5" t="n">
        <v>0</v>
      </c>
      <c r="T330" s="5" t="n">
        <v>0</v>
      </c>
      <c r="U330" s="5" t="inlineStr">
        <is>
          <t>training</t>
        </is>
      </c>
    </row>
    <row r="331">
      <c r="A331" s="5" t="n">
        <v>327</v>
      </c>
      <c r="B331" s="5" t="n">
        <v>0</v>
      </c>
      <c r="C331" s="6" t="n">
        <v>-0.7357010147163632</v>
      </c>
      <c r="D331" s="6" t="n">
        <v>0.8923329588952965</v>
      </c>
      <c r="E331" s="6" t="n">
        <v>1.170656858595183</v>
      </c>
      <c r="F331" s="6" t="n">
        <v>-0.8850484360866833</v>
      </c>
      <c r="G331" s="5" t="n">
        <v>0</v>
      </c>
      <c r="H331" s="5" t="n">
        <v>0</v>
      </c>
      <c r="I331" s="5" t="n">
        <v>0</v>
      </c>
      <c r="J331" s="5" t="n">
        <v>1</v>
      </c>
      <c r="K331" s="5" t="n">
        <v>0</v>
      </c>
      <c r="L331" s="5" t="n">
        <v>0</v>
      </c>
      <c r="M331" s="5" t="n">
        <v>0</v>
      </c>
      <c r="N331" s="5" t="n">
        <v>0</v>
      </c>
      <c r="O331" s="5" t="n">
        <v>1</v>
      </c>
      <c r="P331" s="5" t="n">
        <v>1</v>
      </c>
      <c r="Q331" s="5" t="n">
        <v>0</v>
      </c>
      <c r="R331" s="5" t="n">
        <v>0</v>
      </c>
      <c r="S331" s="5" t="n">
        <v>0</v>
      </c>
      <c r="T331" s="5" t="n">
        <v>1</v>
      </c>
      <c r="U331" s="5" t="inlineStr">
        <is>
          <t>testing</t>
        </is>
      </c>
    </row>
    <row r="332">
      <c r="A332" s="5" t="n">
        <v>328</v>
      </c>
      <c r="B332" s="5" t="n">
        <v>0</v>
      </c>
      <c r="C332" s="6" t="n">
        <v>0.275406400796963</v>
      </c>
      <c r="D332" s="6" t="n">
        <v>-0.6038084049449854</v>
      </c>
      <c r="E332" s="6" t="n">
        <v>-0.1339384518749317</v>
      </c>
      <c r="F332" s="6" t="n">
        <v>0.9185437189662378</v>
      </c>
      <c r="G332" s="5" t="n">
        <v>0</v>
      </c>
      <c r="H332" s="5" t="n">
        <v>0</v>
      </c>
      <c r="I332" s="5" t="n">
        <v>0</v>
      </c>
      <c r="J332" s="5" t="n">
        <v>0</v>
      </c>
      <c r="K332" s="5" t="n">
        <v>0</v>
      </c>
      <c r="L332" s="5" t="n">
        <v>0</v>
      </c>
      <c r="M332" s="5" t="n">
        <v>0</v>
      </c>
      <c r="N332" s="5" t="n">
        <v>1</v>
      </c>
      <c r="O332" s="5" t="n">
        <v>0</v>
      </c>
      <c r="P332" s="5" t="n">
        <v>0</v>
      </c>
      <c r="Q332" s="5" t="n">
        <v>0</v>
      </c>
      <c r="R332" s="5" t="n">
        <v>1</v>
      </c>
      <c r="S332" s="5" t="n">
        <v>0</v>
      </c>
      <c r="T332" s="5" t="n">
        <v>0</v>
      </c>
      <c r="U332" s="5" t="inlineStr">
        <is>
          <t>training</t>
        </is>
      </c>
    </row>
    <row r="333">
      <c r="A333" s="5" t="n">
        <v>329</v>
      </c>
      <c r="B333" s="5" t="n">
        <v>0</v>
      </c>
      <c r="C333" s="6" t="n">
        <v>1.286513816310289</v>
      </c>
      <c r="D333" s="6" t="n">
        <v>0.4276753978148722</v>
      </c>
      <c r="E333" s="6" t="n">
        <v>-0.3948575139689546</v>
      </c>
      <c r="F333" s="6" t="n">
        <v>0.9185437189662378</v>
      </c>
      <c r="G333" s="5" t="n">
        <v>0</v>
      </c>
      <c r="H333" s="5" t="n">
        <v>0</v>
      </c>
      <c r="I333" s="5" t="n">
        <v>1</v>
      </c>
      <c r="J333" s="5" t="n">
        <v>0</v>
      </c>
      <c r="K333" s="5" t="n">
        <v>0</v>
      </c>
      <c r="L333" s="5" t="n">
        <v>0</v>
      </c>
      <c r="M333" s="5" t="n">
        <v>0</v>
      </c>
      <c r="N333" s="5" t="n">
        <v>0</v>
      </c>
      <c r="O333" s="5" t="n">
        <v>0</v>
      </c>
      <c r="P333" s="5" t="n">
        <v>0</v>
      </c>
      <c r="Q333" s="5" t="n">
        <v>0</v>
      </c>
      <c r="R333" s="5" t="n">
        <v>0</v>
      </c>
      <c r="S333" s="5" t="n">
        <v>1</v>
      </c>
      <c r="T333" s="5" t="n">
        <v>0</v>
      </c>
      <c r="U333" s="5" t="inlineStr">
        <is>
          <t>training</t>
        </is>
      </c>
    </row>
    <row r="334">
      <c r="A334" s="5" t="n">
        <v>330</v>
      </c>
      <c r="B334" s="5" t="n">
        <v>0</v>
      </c>
      <c r="C334" s="6" t="n">
        <v>-1.241254722473026</v>
      </c>
      <c r="D334" s="6" t="n">
        <v>-0.7637093879372701</v>
      </c>
      <c r="E334" s="6" t="n">
        <v>-0.6557765760629775</v>
      </c>
      <c r="F334" s="6" t="n">
        <v>0.9185437189662378</v>
      </c>
      <c r="G334" s="5" t="n">
        <v>0</v>
      </c>
      <c r="H334" s="5" t="n">
        <v>1</v>
      </c>
      <c r="I334" s="5" t="n">
        <v>0</v>
      </c>
      <c r="J334" s="5" t="n">
        <v>0</v>
      </c>
      <c r="K334" s="5" t="n">
        <v>0</v>
      </c>
      <c r="L334" s="5" t="n">
        <v>0</v>
      </c>
      <c r="M334" s="5" t="n">
        <v>0</v>
      </c>
      <c r="N334" s="5" t="n">
        <v>0</v>
      </c>
      <c r="O334" s="5" t="n">
        <v>0</v>
      </c>
      <c r="P334" s="5" t="n">
        <v>0</v>
      </c>
      <c r="Q334" s="5" t="n">
        <v>0</v>
      </c>
      <c r="R334" s="5" t="n">
        <v>0</v>
      </c>
      <c r="S334" s="5" t="n">
        <v>1</v>
      </c>
      <c r="T334" s="5" t="n">
        <v>0</v>
      </c>
      <c r="U334" s="5" t="inlineStr">
        <is>
          <t>training</t>
        </is>
      </c>
    </row>
    <row r="335">
      <c r="A335" s="5" t="n">
        <v>331</v>
      </c>
      <c r="B335" s="5" t="n">
        <v>0</v>
      </c>
      <c r="C335" s="6" t="n">
        <v>0.275406400796963</v>
      </c>
      <c r="D335" s="6" t="n">
        <v>1.177145650702123</v>
      </c>
      <c r="E335" s="6" t="n">
        <v>3.431955396743382</v>
      </c>
      <c r="F335" s="6" t="n">
        <v>-0.8850484360866833</v>
      </c>
      <c r="G335" s="5" t="n">
        <v>1</v>
      </c>
      <c r="H335" s="5" t="n">
        <v>0</v>
      </c>
      <c r="I335" s="5" t="n">
        <v>0</v>
      </c>
      <c r="J335" s="5" t="n">
        <v>1</v>
      </c>
      <c r="K335" s="5" t="n">
        <v>0</v>
      </c>
      <c r="L335" s="5" t="n">
        <v>0</v>
      </c>
      <c r="M335" s="5" t="n">
        <v>0</v>
      </c>
      <c r="N335" s="5" t="n">
        <v>0</v>
      </c>
      <c r="O335" s="5" t="n">
        <v>0</v>
      </c>
      <c r="P335" s="5" t="n">
        <v>0</v>
      </c>
      <c r="Q335" s="5" t="n">
        <v>1</v>
      </c>
      <c r="R335" s="5" t="n">
        <v>1</v>
      </c>
      <c r="S335" s="5" t="n">
        <v>0</v>
      </c>
      <c r="T335" s="5" t="n">
        <v>0</v>
      </c>
      <c r="U335" s="5" t="inlineStr">
        <is>
          <t>training</t>
        </is>
      </c>
    </row>
    <row r="336">
      <c r="A336" s="5" t="n">
        <v>332</v>
      </c>
      <c r="B336" s="5" t="n">
        <v>1</v>
      </c>
      <c r="C336" s="6" t="n">
        <v>-0.2301473069597001</v>
      </c>
      <c r="D336" s="6" t="n">
        <v>-0.4851947654824373</v>
      </c>
      <c r="E336" s="6" t="n">
        <v>-0.4818305346669622</v>
      </c>
      <c r="F336" s="6" t="n">
        <v>0.9185437189662378</v>
      </c>
      <c r="G336" s="5" t="n">
        <v>0</v>
      </c>
      <c r="H336" s="5" t="n">
        <v>0</v>
      </c>
      <c r="I336" s="5" t="n">
        <v>0</v>
      </c>
      <c r="J336" s="5" t="n">
        <v>1</v>
      </c>
      <c r="K336" s="5" t="n">
        <v>0</v>
      </c>
      <c r="L336" s="5" t="n">
        <v>0</v>
      </c>
      <c r="M336" s="5" t="n">
        <v>1</v>
      </c>
      <c r="N336" s="5" t="n">
        <v>0</v>
      </c>
      <c r="O336" s="5" t="n">
        <v>0</v>
      </c>
      <c r="P336" s="5" t="n">
        <v>0</v>
      </c>
      <c r="Q336" s="5" t="n">
        <v>0</v>
      </c>
      <c r="R336" s="5" t="n">
        <v>0</v>
      </c>
      <c r="S336" s="5" t="n">
        <v>0</v>
      </c>
      <c r="T336" s="5" t="n">
        <v>0</v>
      </c>
      <c r="U336" s="5" t="inlineStr">
        <is>
          <t>training</t>
        </is>
      </c>
    </row>
    <row r="337">
      <c r="A337" s="5" t="n">
        <v>333</v>
      </c>
      <c r="B337" s="5" t="n">
        <v>1</v>
      </c>
      <c r="C337" s="6" t="n">
        <v>3.308728647336942</v>
      </c>
      <c r="D337" s="6" t="n">
        <v>1.454610594931623</v>
      </c>
      <c r="E337" s="6" t="n">
        <v>-1.003668658855008</v>
      </c>
      <c r="F337" s="6" t="n">
        <v>0.9185437189662378</v>
      </c>
      <c r="G337" s="5" t="n">
        <v>0</v>
      </c>
      <c r="H337" s="5" t="n">
        <v>1</v>
      </c>
      <c r="I337" s="5" t="n">
        <v>0</v>
      </c>
      <c r="J337" s="5" t="n">
        <v>0</v>
      </c>
      <c r="K337" s="5" t="n">
        <v>0</v>
      </c>
      <c r="L337" s="5" t="n">
        <v>0</v>
      </c>
      <c r="M337" s="5" t="n">
        <v>1</v>
      </c>
      <c r="N337" s="5" t="n">
        <v>0</v>
      </c>
      <c r="O337" s="5" t="n">
        <v>0</v>
      </c>
      <c r="P337" s="5" t="n">
        <v>0</v>
      </c>
      <c r="Q337" s="5" t="n">
        <v>0</v>
      </c>
      <c r="R337" s="5" t="n">
        <v>1</v>
      </c>
      <c r="S337" s="5" t="n">
        <v>0</v>
      </c>
      <c r="T337" s="5" t="n">
        <v>0</v>
      </c>
      <c r="U337" s="5" t="inlineStr">
        <is>
          <t>training</t>
        </is>
      </c>
    </row>
    <row r="338">
      <c r="A338" s="5" t="n">
        <v>334</v>
      </c>
      <c r="B338" s="5" t="n">
        <v>1</v>
      </c>
      <c r="C338" s="6" t="n">
        <v>2.297621231823615</v>
      </c>
      <c r="D338" s="6" t="n">
        <v>2.917862041044827</v>
      </c>
      <c r="E338" s="6" t="n">
        <v>-1.003668658855008</v>
      </c>
      <c r="F338" s="6" t="n">
        <v>-0.8850484360866833</v>
      </c>
      <c r="G338" s="5" t="n">
        <v>0</v>
      </c>
      <c r="H338" s="5" t="n">
        <v>0</v>
      </c>
      <c r="I338" s="5" t="n">
        <v>0</v>
      </c>
      <c r="J338" s="5" t="n">
        <v>1</v>
      </c>
      <c r="K338" s="5" t="n">
        <v>0</v>
      </c>
      <c r="L338" s="5" t="n">
        <v>0</v>
      </c>
      <c r="M338" s="5" t="n">
        <v>1</v>
      </c>
      <c r="N338" s="5" t="n">
        <v>0</v>
      </c>
      <c r="O338" s="5" t="n">
        <v>0</v>
      </c>
      <c r="P338" s="5" t="n">
        <v>1</v>
      </c>
      <c r="Q338" s="5" t="n">
        <v>0</v>
      </c>
      <c r="R338" s="5" t="n">
        <v>1</v>
      </c>
      <c r="S338" s="5" t="n">
        <v>0</v>
      </c>
      <c r="T338" s="5" t="n">
        <v>0</v>
      </c>
      <c r="U338" s="5" t="inlineStr">
        <is>
          <t>training</t>
        </is>
      </c>
    </row>
    <row r="339">
      <c r="A339" s="5" t="n">
        <v>335</v>
      </c>
      <c r="B339" s="5" t="n">
        <v>1</v>
      </c>
      <c r="C339" s="6" t="n">
        <v>0.275406400796963</v>
      </c>
      <c r="D339" s="6" t="n">
        <v>0.3006643325496658</v>
      </c>
      <c r="E339" s="6" t="n">
        <v>-1.090641679553016</v>
      </c>
      <c r="F339" s="6" t="n">
        <v>0.01674764143977723</v>
      </c>
      <c r="G339" s="5" t="n">
        <v>1</v>
      </c>
      <c r="H339" s="5" t="n">
        <v>0</v>
      </c>
      <c r="I339" s="5" t="n">
        <v>0</v>
      </c>
      <c r="J339" s="5" t="n">
        <v>0</v>
      </c>
      <c r="K339" s="5" t="n">
        <v>0</v>
      </c>
      <c r="L339" s="5" t="n">
        <v>1</v>
      </c>
      <c r="M339" s="5" t="n">
        <v>0</v>
      </c>
      <c r="N339" s="5" t="n">
        <v>0</v>
      </c>
      <c r="O339" s="5" t="n">
        <v>0</v>
      </c>
      <c r="P339" s="5" t="n">
        <v>1</v>
      </c>
      <c r="Q339" s="5" t="n">
        <v>0</v>
      </c>
      <c r="R339" s="5" t="n">
        <v>0</v>
      </c>
      <c r="S339" s="5" t="n">
        <v>0</v>
      </c>
      <c r="T339" s="5" t="n">
        <v>1</v>
      </c>
      <c r="U339" s="5" t="inlineStr">
        <is>
          <t>training</t>
        </is>
      </c>
    </row>
    <row r="340">
      <c r="A340" s="5" t="n">
        <v>336</v>
      </c>
      <c r="B340" s="5" t="n">
        <v>1</v>
      </c>
      <c r="C340" s="6" t="n">
        <v>-1.241254722473026</v>
      </c>
      <c r="D340" s="6" t="n">
        <v>0.04664220201925312</v>
      </c>
      <c r="E340" s="6" t="n">
        <v>0.7357917551051447</v>
      </c>
      <c r="F340" s="6" t="n">
        <v>-1.786844513613144</v>
      </c>
      <c r="G340" s="5" t="n">
        <v>1</v>
      </c>
      <c r="H340" s="5" t="n">
        <v>0</v>
      </c>
      <c r="I340" s="5" t="n">
        <v>0</v>
      </c>
      <c r="J340" s="5" t="n">
        <v>1</v>
      </c>
      <c r="K340" s="5" t="n">
        <v>0</v>
      </c>
      <c r="L340" s="5" t="n">
        <v>0</v>
      </c>
      <c r="M340" s="5" t="n">
        <v>0</v>
      </c>
      <c r="N340" s="5" t="n">
        <v>0</v>
      </c>
      <c r="O340" s="5" t="n">
        <v>0</v>
      </c>
      <c r="P340" s="5" t="n">
        <v>1</v>
      </c>
      <c r="Q340" s="5" t="n">
        <v>0</v>
      </c>
      <c r="R340" s="5" t="n">
        <v>0</v>
      </c>
      <c r="S340" s="5" t="n">
        <v>0</v>
      </c>
      <c r="T340" s="5" t="n">
        <v>1</v>
      </c>
      <c r="U340" s="5" t="inlineStr">
        <is>
          <t>training</t>
        </is>
      </c>
    </row>
    <row r="341">
      <c r="A341" s="5" t="n">
        <v>337</v>
      </c>
      <c r="B341" s="5" t="n">
        <v>0</v>
      </c>
      <c r="C341" s="6" t="n">
        <v>-0.651442063423586</v>
      </c>
      <c r="D341" s="6" t="n">
        <v>-0.4022701856811869</v>
      </c>
      <c r="E341" s="6" t="n">
        <v>-1.090641679553016</v>
      </c>
      <c r="F341" s="6" t="n">
        <v>-0.8850484360866833</v>
      </c>
      <c r="G341" s="5" t="n">
        <v>0</v>
      </c>
      <c r="H341" s="5" t="n">
        <v>1</v>
      </c>
      <c r="I341" s="5" t="n">
        <v>0</v>
      </c>
      <c r="J341" s="5" t="n">
        <v>0</v>
      </c>
      <c r="K341" s="5" t="n">
        <v>0</v>
      </c>
      <c r="L341" s="5" t="n">
        <v>0</v>
      </c>
      <c r="M341" s="5" t="n">
        <v>0</v>
      </c>
      <c r="N341" s="5" t="n">
        <v>0</v>
      </c>
      <c r="O341" s="5" t="n">
        <v>0</v>
      </c>
      <c r="P341" s="5" t="n">
        <v>0</v>
      </c>
      <c r="Q341" s="5" t="n">
        <v>0</v>
      </c>
      <c r="R341" s="5" t="n">
        <v>0</v>
      </c>
      <c r="S341" s="5" t="n">
        <v>1</v>
      </c>
      <c r="T341" s="5" t="n">
        <v>0</v>
      </c>
      <c r="U341" s="5" t="inlineStr">
        <is>
          <t>training</t>
        </is>
      </c>
    </row>
    <row r="342">
      <c r="A342" s="5" t="n">
        <v>338</v>
      </c>
      <c r="B342" s="5" t="n">
        <v>1</v>
      </c>
      <c r="C342" s="6" t="n">
        <v>-0.4829241608380317</v>
      </c>
      <c r="D342" s="6" t="n">
        <v>-0.6912815903893424</v>
      </c>
      <c r="E342" s="6" t="n">
        <v>-1.003668658855008</v>
      </c>
      <c r="F342" s="6" t="n">
        <v>0.9185437189662378</v>
      </c>
      <c r="G342" s="5" t="n">
        <v>1</v>
      </c>
      <c r="H342" s="5" t="n">
        <v>0</v>
      </c>
      <c r="I342" s="5" t="n">
        <v>0</v>
      </c>
      <c r="J342" s="5" t="n">
        <v>0</v>
      </c>
      <c r="K342" s="5" t="n">
        <v>0</v>
      </c>
      <c r="L342" s="5" t="n">
        <v>0</v>
      </c>
      <c r="M342" s="5" t="n">
        <v>0</v>
      </c>
      <c r="N342" s="5" t="n">
        <v>0</v>
      </c>
      <c r="O342" s="5" t="n">
        <v>1</v>
      </c>
      <c r="P342" s="5" t="n">
        <v>1</v>
      </c>
      <c r="Q342" s="5" t="n">
        <v>0</v>
      </c>
      <c r="R342" s="5" t="n">
        <v>0</v>
      </c>
      <c r="S342" s="5" t="n">
        <v>0</v>
      </c>
      <c r="T342" s="5" t="n">
        <v>0</v>
      </c>
      <c r="U342" s="5" t="inlineStr">
        <is>
          <t>testing</t>
        </is>
      </c>
    </row>
    <row r="343">
      <c r="A343" s="5" t="n">
        <v>339</v>
      </c>
      <c r="B343" s="5" t="n">
        <v>0</v>
      </c>
      <c r="C343" s="6" t="n">
        <v>0.275406400796963</v>
      </c>
      <c r="D343" s="6" t="n">
        <v>0.321308004314534</v>
      </c>
      <c r="E343" s="6" t="n">
        <v>-0.6557765760629775</v>
      </c>
      <c r="F343" s="6" t="n">
        <v>0.9185437189662378</v>
      </c>
      <c r="G343" s="5" t="n">
        <v>1</v>
      </c>
      <c r="H343" s="5" t="n">
        <v>0</v>
      </c>
      <c r="I343" s="5" t="n">
        <v>0</v>
      </c>
      <c r="J343" s="5" t="n">
        <v>0</v>
      </c>
      <c r="K343" s="5" t="n">
        <v>0</v>
      </c>
      <c r="L343" s="5" t="n">
        <v>0</v>
      </c>
      <c r="M343" s="5" t="n">
        <v>0</v>
      </c>
      <c r="N343" s="5" t="n">
        <v>0</v>
      </c>
      <c r="O343" s="5" t="n">
        <v>0</v>
      </c>
      <c r="P343" s="5" t="n">
        <v>0</v>
      </c>
      <c r="Q343" s="5" t="n">
        <v>0</v>
      </c>
      <c r="R343" s="5" t="n">
        <v>0</v>
      </c>
      <c r="S343" s="5" t="n">
        <v>0</v>
      </c>
      <c r="T343" s="5" t="n">
        <v>1</v>
      </c>
      <c r="U343" s="5" t="inlineStr">
        <is>
          <t>training</t>
        </is>
      </c>
    </row>
    <row r="344">
      <c r="A344" s="5" t="n">
        <v>340</v>
      </c>
      <c r="B344" s="5" t="n">
        <v>0</v>
      </c>
      <c r="C344" s="6" t="n">
        <v>-0.9042189173019176</v>
      </c>
      <c r="D344" s="6" t="n">
        <v>-0.6052079759120952</v>
      </c>
      <c r="E344" s="6" t="n">
        <v>-0.3948575139689546</v>
      </c>
      <c r="F344" s="6" t="n">
        <v>0.9185437189662378</v>
      </c>
      <c r="G344" s="5" t="n">
        <v>0</v>
      </c>
      <c r="H344" s="5" t="n">
        <v>1</v>
      </c>
      <c r="I344" s="5" t="n">
        <v>0</v>
      </c>
      <c r="J344" s="5" t="n">
        <v>0</v>
      </c>
      <c r="K344" s="5" t="n">
        <v>0</v>
      </c>
      <c r="L344" s="5" t="n">
        <v>0</v>
      </c>
      <c r="M344" s="5" t="n">
        <v>0</v>
      </c>
      <c r="N344" s="5" t="n">
        <v>0</v>
      </c>
      <c r="O344" s="5" t="n">
        <v>0</v>
      </c>
      <c r="P344" s="5" t="n">
        <v>0</v>
      </c>
      <c r="Q344" s="5" t="n">
        <v>0</v>
      </c>
      <c r="R344" s="5" t="n">
        <v>0</v>
      </c>
      <c r="S344" s="5" t="n">
        <v>0</v>
      </c>
      <c r="T344" s="5" t="n">
        <v>1</v>
      </c>
      <c r="U344" s="5" t="inlineStr">
        <is>
          <t>training</t>
        </is>
      </c>
    </row>
    <row r="345">
      <c r="A345" s="5" t="n">
        <v>341</v>
      </c>
      <c r="B345" s="5" t="n">
        <v>0</v>
      </c>
      <c r="C345" s="6" t="n">
        <v>0.275406400796963</v>
      </c>
      <c r="D345" s="6" t="n">
        <v>0.8720391798722057</v>
      </c>
      <c r="E345" s="6" t="n">
        <v>-1.003668658855008</v>
      </c>
      <c r="F345" s="6" t="n">
        <v>-0.8850484360866833</v>
      </c>
      <c r="G345" s="5" t="n">
        <v>0</v>
      </c>
      <c r="H345" s="5" t="n">
        <v>1</v>
      </c>
      <c r="I345" s="5" t="n">
        <v>0</v>
      </c>
      <c r="J345" s="5" t="n">
        <v>1</v>
      </c>
      <c r="K345" s="5" t="n">
        <v>0</v>
      </c>
      <c r="L345" s="5" t="n">
        <v>0</v>
      </c>
      <c r="M345" s="5" t="n">
        <v>0</v>
      </c>
      <c r="N345" s="5" t="n">
        <v>0</v>
      </c>
      <c r="O345" s="5" t="n">
        <v>0</v>
      </c>
      <c r="P345" s="5" t="n">
        <v>0</v>
      </c>
      <c r="Q345" s="5" t="n">
        <v>1</v>
      </c>
      <c r="R345" s="5" t="n">
        <v>0</v>
      </c>
      <c r="S345" s="5" t="n">
        <v>0</v>
      </c>
      <c r="T345" s="5" t="n">
        <v>0</v>
      </c>
      <c r="U345" s="5" t="inlineStr">
        <is>
          <t>training</t>
        </is>
      </c>
    </row>
    <row r="346">
      <c r="A346" s="5" t="n">
        <v>342</v>
      </c>
      <c r="B346" s="5" t="n">
        <v>0</v>
      </c>
      <c r="C346" s="6" t="n">
        <v>0.02262954691863145</v>
      </c>
      <c r="D346" s="6" t="n">
        <v>0.1218691415014001</v>
      </c>
      <c r="E346" s="6" t="n">
        <v>-0.8297226174589928</v>
      </c>
      <c r="F346" s="6" t="n">
        <v>-1.786844513613144</v>
      </c>
      <c r="G346" s="5" t="n">
        <v>1</v>
      </c>
      <c r="H346" s="5" t="n">
        <v>0</v>
      </c>
      <c r="I346" s="5" t="n">
        <v>0</v>
      </c>
      <c r="J346" s="5" t="n">
        <v>0</v>
      </c>
      <c r="K346" s="5" t="n">
        <v>0</v>
      </c>
      <c r="L346" s="5" t="n">
        <v>0</v>
      </c>
      <c r="M346" s="5" t="n">
        <v>0</v>
      </c>
      <c r="N346" s="5" t="n">
        <v>0</v>
      </c>
      <c r="O346" s="5" t="n">
        <v>0</v>
      </c>
      <c r="P346" s="5" t="n">
        <v>1</v>
      </c>
      <c r="Q346" s="5" t="n">
        <v>0</v>
      </c>
      <c r="R346" s="5" t="n">
        <v>0</v>
      </c>
      <c r="S346" s="5" t="n">
        <v>0</v>
      </c>
      <c r="T346" s="5" t="n">
        <v>1</v>
      </c>
      <c r="U346" s="5" t="inlineStr">
        <is>
          <t>testing</t>
        </is>
      </c>
    </row>
    <row r="347">
      <c r="A347" s="5" t="n">
        <v>343</v>
      </c>
      <c r="B347" s="5" t="n">
        <v>0</v>
      </c>
      <c r="C347" s="6" t="n">
        <v>-0.2301473069597001</v>
      </c>
      <c r="D347" s="6" t="n">
        <v>-0.01318945682468706</v>
      </c>
      <c r="E347" s="6" t="n">
        <v>-0.9166956381570004</v>
      </c>
      <c r="F347" s="6" t="n">
        <v>-1.786844513613144</v>
      </c>
      <c r="G347" s="5" t="n">
        <v>0</v>
      </c>
      <c r="H347" s="5" t="n">
        <v>1</v>
      </c>
      <c r="I347" s="5" t="n">
        <v>0</v>
      </c>
      <c r="J347" s="5" t="n">
        <v>0</v>
      </c>
      <c r="K347" s="5" t="n">
        <v>0</v>
      </c>
      <c r="L347" s="5" t="n">
        <v>0</v>
      </c>
      <c r="M347" s="5" t="n">
        <v>1</v>
      </c>
      <c r="N347" s="5" t="n">
        <v>0</v>
      </c>
      <c r="O347" s="5" t="n">
        <v>0</v>
      </c>
      <c r="P347" s="5" t="n">
        <v>1</v>
      </c>
      <c r="Q347" s="5" t="n">
        <v>0</v>
      </c>
      <c r="R347" s="5" t="n">
        <v>0</v>
      </c>
      <c r="S347" s="5" t="n">
        <v>1</v>
      </c>
      <c r="T347" s="5" t="n">
        <v>0</v>
      </c>
      <c r="U347" s="5" t="inlineStr">
        <is>
          <t>training</t>
        </is>
      </c>
    </row>
    <row r="348">
      <c r="A348" s="5" t="n">
        <v>344</v>
      </c>
      <c r="B348" s="5" t="n">
        <v>0</v>
      </c>
      <c r="C348" s="6" t="n">
        <v>-0.2301473069597001</v>
      </c>
      <c r="D348" s="6" t="n">
        <v>0.4157790445944396</v>
      </c>
      <c r="E348" s="6" t="n">
        <v>-0.2209114725729393</v>
      </c>
      <c r="F348" s="6" t="n">
        <v>-1.786844513613144</v>
      </c>
      <c r="G348" s="5" t="n">
        <v>0</v>
      </c>
      <c r="H348" s="5" t="n">
        <v>1</v>
      </c>
      <c r="I348" s="5" t="n">
        <v>0</v>
      </c>
      <c r="J348" s="5" t="n">
        <v>0</v>
      </c>
      <c r="K348" s="5" t="n">
        <v>0</v>
      </c>
      <c r="L348" s="5" t="n">
        <v>0</v>
      </c>
      <c r="M348" s="5" t="n">
        <v>0</v>
      </c>
      <c r="N348" s="5" t="n">
        <v>0</v>
      </c>
      <c r="O348" s="5" t="n">
        <v>0</v>
      </c>
      <c r="P348" s="5" t="n">
        <v>0</v>
      </c>
      <c r="Q348" s="5" t="n">
        <v>0</v>
      </c>
      <c r="R348" s="5" t="n">
        <v>0</v>
      </c>
      <c r="S348" s="5" t="n">
        <v>0</v>
      </c>
      <c r="T348" s="5" t="n">
        <v>0</v>
      </c>
      <c r="U348" s="5" t="inlineStr">
        <is>
          <t>testing</t>
        </is>
      </c>
    </row>
    <row r="349">
      <c r="A349" s="5" t="n">
        <v>345</v>
      </c>
      <c r="B349" s="5" t="n">
        <v>0</v>
      </c>
      <c r="C349" s="6" t="n">
        <v>-0.9042189173019176</v>
      </c>
      <c r="D349" s="6" t="n">
        <v>0.2443316011234999</v>
      </c>
      <c r="E349" s="6" t="n">
        <v>0.1269806102190912</v>
      </c>
      <c r="F349" s="6" t="n">
        <v>-1.786844513613144</v>
      </c>
      <c r="G349" s="5" t="n">
        <v>0</v>
      </c>
      <c r="H349" s="5" t="n">
        <v>0</v>
      </c>
      <c r="I349" s="5" t="n">
        <v>1</v>
      </c>
      <c r="J349" s="5" t="n">
        <v>0</v>
      </c>
      <c r="K349" s="5" t="n">
        <v>0</v>
      </c>
      <c r="L349" s="5" t="n">
        <v>0</v>
      </c>
      <c r="M349" s="5" t="n">
        <v>0</v>
      </c>
      <c r="N349" s="5" t="n">
        <v>0</v>
      </c>
      <c r="O349" s="5" t="n">
        <v>0</v>
      </c>
      <c r="P349" s="5" t="n">
        <v>0</v>
      </c>
      <c r="Q349" s="5" t="n">
        <v>0</v>
      </c>
      <c r="R349" s="5" t="n">
        <v>1</v>
      </c>
      <c r="S349" s="5" t="n">
        <v>0</v>
      </c>
      <c r="T349" s="5" t="n">
        <v>0</v>
      </c>
      <c r="U349" s="5" t="inlineStr">
        <is>
          <t>training</t>
        </is>
      </c>
    </row>
    <row r="350">
      <c r="A350" s="5" t="n">
        <v>346</v>
      </c>
      <c r="B350" s="5" t="n">
        <v>0</v>
      </c>
      <c r="C350" s="6" t="n">
        <v>-0.4829241608380317</v>
      </c>
      <c r="D350" s="6" t="n">
        <v>-0.6269013259022956</v>
      </c>
      <c r="E350" s="6" t="n">
        <v>0.648818734407137</v>
      </c>
      <c r="F350" s="6" t="n">
        <v>0.9185437189662378</v>
      </c>
      <c r="G350" s="5" t="n">
        <v>0</v>
      </c>
      <c r="H350" s="5" t="n">
        <v>0</v>
      </c>
      <c r="I350" s="5" t="n">
        <v>0</v>
      </c>
      <c r="J350" s="5" t="n">
        <v>1</v>
      </c>
      <c r="K350" s="5" t="n">
        <v>0</v>
      </c>
      <c r="L350" s="5" t="n">
        <v>0</v>
      </c>
      <c r="M350" s="5" t="n">
        <v>0</v>
      </c>
      <c r="N350" s="5" t="n">
        <v>0</v>
      </c>
      <c r="O350" s="5" t="n">
        <v>0</v>
      </c>
      <c r="P350" s="5" t="n">
        <v>0</v>
      </c>
      <c r="Q350" s="5" t="n">
        <v>0</v>
      </c>
      <c r="R350" s="5" t="n">
        <v>0</v>
      </c>
      <c r="S350" s="5" t="n">
        <v>1</v>
      </c>
      <c r="T350" s="5" t="n">
        <v>0</v>
      </c>
      <c r="U350" s="5" t="inlineStr">
        <is>
          <t>training</t>
        </is>
      </c>
    </row>
    <row r="351">
      <c r="A351" s="5" t="n">
        <v>347</v>
      </c>
      <c r="B351" s="5" t="n">
        <v>0</v>
      </c>
      <c r="C351" s="6" t="n">
        <v>-0.651442063423586</v>
      </c>
      <c r="D351" s="6" t="n">
        <v>-0.8287894379078716</v>
      </c>
      <c r="E351" s="6" t="n">
        <v>-1.090641679553016</v>
      </c>
      <c r="F351" s="6" t="n">
        <v>0.9185437189662378</v>
      </c>
      <c r="G351" s="5" t="n">
        <v>0</v>
      </c>
      <c r="H351" s="5" t="n">
        <v>1</v>
      </c>
      <c r="I351" s="5" t="n">
        <v>0</v>
      </c>
      <c r="J351" s="5" t="n">
        <v>1</v>
      </c>
      <c r="K351" s="5" t="n">
        <v>0</v>
      </c>
      <c r="L351" s="5" t="n">
        <v>0</v>
      </c>
      <c r="M351" s="5" t="n">
        <v>0</v>
      </c>
      <c r="N351" s="5" t="n">
        <v>0</v>
      </c>
      <c r="O351" s="5" t="n">
        <v>0</v>
      </c>
      <c r="P351" s="5" t="n">
        <v>0</v>
      </c>
      <c r="Q351" s="5" t="n">
        <v>0</v>
      </c>
      <c r="R351" s="5" t="n">
        <v>0</v>
      </c>
      <c r="S351" s="5" t="n">
        <v>1</v>
      </c>
      <c r="T351" s="5" t="n">
        <v>0</v>
      </c>
      <c r="U351" s="5" t="inlineStr">
        <is>
          <t>training</t>
        </is>
      </c>
    </row>
    <row r="352">
      <c r="A352" s="5" t="n">
        <v>348</v>
      </c>
      <c r="B352" s="5" t="n">
        <v>0</v>
      </c>
      <c r="C352" s="6" t="n">
        <v>0.275406400796963</v>
      </c>
      <c r="D352" s="6" t="n">
        <v>0.1775020874440112</v>
      </c>
      <c r="E352" s="6" t="n">
        <v>-1.090641679553016</v>
      </c>
      <c r="F352" s="6" t="n">
        <v>-1.786844513613144</v>
      </c>
      <c r="G352" s="5" t="n">
        <v>0</v>
      </c>
      <c r="H352" s="5" t="n">
        <v>1</v>
      </c>
      <c r="I352" s="5" t="n">
        <v>0</v>
      </c>
      <c r="J352" s="5" t="n">
        <v>0</v>
      </c>
      <c r="K352" s="5" t="n">
        <v>0</v>
      </c>
      <c r="L352" s="5" t="n">
        <v>0</v>
      </c>
      <c r="M352" s="5" t="n">
        <v>1</v>
      </c>
      <c r="N352" s="5" t="n">
        <v>0</v>
      </c>
      <c r="O352" s="5" t="n">
        <v>0</v>
      </c>
      <c r="P352" s="5" t="n">
        <v>1</v>
      </c>
      <c r="Q352" s="5" t="n">
        <v>0</v>
      </c>
      <c r="R352" s="5" t="n">
        <v>0</v>
      </c>
      <c r="S352" s="5" t="n">
        <v>1</v>
      </c>
      <c r="T352" s="5" t="n">
        <v>0</v>
      </c>
      <c r="U352" s="5" t="inlineStr">
        <is>
          <t>training</t>
        </is>
      </c>
    </row>
    <row r="353">
      <c r="A353" s="5" t="n">
        <v>349</v>
      </c>
      <c r="B353" s="5" t="n">
        <v>0</v>
      </c>
      <c r="C353" s="6" t="n">
        <v>-1.241254722473026</v>
      </c>
      <c r="D353" s="6" t="n">
        <v>-0.5275317872375062</v>
      </c>
      <c r="E353" s="6" t="n">
        <v>-0.1339384518749317</v>
      </c>
      <c r="F353" s="6" t="n">
        <v>-1.786844513613144</v>
      </c>
      <c r="G353" s="5" t="n">
        <v>0</v>
      </c>
      <c r="H353" s="5" t="n">
        <v>0</v>
      </c>
      <c r="I353" s="5" t="n">
        <v>0</v>
      </c>
      <c r="J353" s="5" t="n">
        <v>0</v>
      </c>
      <c r="K353" s="5" t="n">
        <v>1</v>
      </c>
      <c r="L353" s="5" t="n">
        <v>0</v>
      </c>
      <c r="M353" s="5" t="n">
        <v>1</v>
      </c>
      <c r="N353" s="5" t="n">
        <v>0</v>
      </c>
      <c r="O353" s="5" t="n">
        <v>0</v>
      </c>
      <c r="P353" s="5" t="n">
        <v>0</v>
      </c>
      <c r="Q353" s="5" t="n">
        <v>0</v>
      </c>
      <c r="R353" s="5" t="n">
        <v>0</v>
      </c>
      <c r="S353" s="5" t="n">
        <v>0</v>
      </c>
      <c r="T353" s="5" t="n">
        <v>0</v>
      </c>
      <c r="U353" s="5" t="inlineStr">
        <is>
          <t>training</t>
        </is>
      </c>
    </row>
    <row r="354">
      <c r="A354" s="5" t="n">
        <v>350</v>
      </c>
      <c r="B354" s="5" t="n">
        <v>1</v>
      </c>
      <c r="C354" s="6" t="n">
        <v>-0.9884778685946948</v>
      </c>
      <c r="D354" s="6" t="n">
        <v>-0.7399166814964049</v>
      </c>
      <c r="E354" s="6" t="n">
        <v>-0.307884493270947</v>
      </c>
      <c r="F354" s="6" t="n">
        <v>0.9185437189662378</v>
      </c>
      <c r="G354" s="5" t="n">
        <v>0</v>
      </c>
      <c r="H354" s="5" t="n">
        <v>1</v>
      </c>
      <c r="I354" s="5" t="n">
        <v>0</v>
      </c>
      <c r="J354" s="5" t="n">
        <v>1</v>
      </c>
      <c r="K354" s="5" t="n">
        <v>0</v>
      </c>
      <c r="L354" s="5" t="n">
        <v>0</v>
      </c>
      <c r="M354" s="5" t="n">
        <v>0</v>
      </c>
      <c r="N354" s="5" t="n">
        <v>1</v>
      </c>
      <c r="O354" s="5" t="n">
        <v>0</v>
      </c>
      <c r="P354" s="5" t="n">
        <v>0</v>
      </c>
      <c r="Q354" s="5" t="n">
        <v>1</v>
      </c>
      <c r="R354" s="5" t="n">
        <v>0</v>
      </c>
      <c r="S354" s="5" t="n">
        <v>0</v>
      </c>
      <c r="T354" s="5" t="n">
        <v>0</v>
      </c>
      <c r="U354" s="5" t="inlineStr">
        <is>
          <t>training</t>
        </is>
      </c>
    </row>
    <row r="355">
      <c r="A355" s="5" t="n">
        <v>351</v>
      </c>
      <c r="B355" s="5" t="n">
        <v>0</v>
      </c>
      <c r="C355" s="6" t="n">
        <v>-0.9884778685946948</v>
      </c>
      <c r="D355" s="6" t="n">
        <v>-0.7049274073186621</v>
      </c>
      <c r="E355" s="6" t="n">
        <v>-1.090641679553016</v>
      </c>
      <c r="F355" s="6" t="n">
        <v>-1.786844513613144</v>
      </c>
      <c r="G355" s="5" t="n">
        <v>0</v>
      </c>
      <c r="H355" s="5" t="n">
        <v>0</v>
      </c>
      <c r="I355" s="5" t="n">
        <v>0</v>
      </c>
      <c r="J355" s="5" t="n">
        <v>0</v>
      </c>
      <c r="K355" s="5" t="n">
        <v>0</v>
      </c>
      <c r="L355" s="5" t="n">
        <v>0</v>
      </c>
      <c r="M355" s="5" t="n">
        <v>0</v>
      </c>
      <c r="N355" s="5" t="n">
        <v>0</v>
      </c>
      <c r="O355" s="5" t="n">
        <v>0</v>
      </c>
      <c r="P355" s="5" t="n">
        <v>1</v>
      </c>
      <c r="Q355" s="5" t="n">
        <v>0</v>
      </c>
      <c r="R355" s="5" t="n">
        <v>0</v>
      </c>
      <c r="S355" s="5" t="n">
        <v>0</v>
      </c>
      <c r="T355" s="5" t="n">
        <v>0</v>
      </c>
      <c r="U355" s="5" t="inlineStr">
        <is>
          <t>training</t>
        </is>
      </c>
    </row>
    <row r="356">
      <c r="A356" s="5" t="n">
        <v>352</v>
      </c>
      <c r="B356" s="5" t="n">
        <v>1</v>
      </c>
      <c r="C356" s="6" t="n">
        <v>-0.9884778685946948</v>
      </c>
      <c r="D356" s="6" t="n">
        <v>-0.8018476967910096</v>
      </c>
      <c r="E356" s="6" t="n">
        <v>-0.5688035553649698</v>
      </c>
      <c r="F356" s="6" t="n">
        <v>-1.786844513613144</v>
      </c>
      <c r="G356" s="5" t="n">
        <v>0</v>
      </c>
      <c r="H356" s="5" t="n">
        <v>1</v>
      </c>
      <c r="I356" s="5" t="n">
        <v>0</v>
      </c>
      <c r="J356" s="5" t="n">
        <v>0</v>
      </c>
      <c r="K356" s="5" t="n">
        <v>0</v>
      </c>
      <c r="L356" s="5" t="n">
        <v>0</v>
      </c>
      <c r="M356" s="5" t="n">
        <v>0</v>
      </c>
      <c r="N356" s="5" t="n">
        <v>0</v>
      </c>
      <c r="O356" s="5" t="n">
        <v>0</v>
      </c>
      <c r="P356" s="5" t="n">
        <v>0</v>
      </c>
      <c r="Q356" s="5" t="n">
        <v>0</v>
      </c>
      <c r="R356" s="5" t="n">
        <v>0</v>
      </c>
      <c r="S356" s="5" t="n">
        <v>0</v>
      </c>
      <c r="T356" s="5" t="n">
        <v>1</v>
      </c>
      <c r="U356" s="5" t="inlineStr">
        <is>
          <t>training</t>
        </is>
      </c>
    </row>
    <row r="357">
      <c r="A357" s="5" t="n">
        <v>353</v>
      </c>
      <c r="B357" s="5" t="n">
        <v>0</v>
      </c>
      <c r="C357" s="6" t="n">
        <v>-0.2301473069597001</v>
      </c>
      <c r="D357" s="6" t="n">
        <v>-0.007591172956248209</v>
      </c>
      <c r="E357" s="6" t="n">
        <v>0.2139536309170988</v>
      </c>
      <c r="F357" s="6" t="n">
        <v>-0.8850484360866833</v>
      </c>
      <c r="G357" s="5" t="n">
        <v>0</v>
      </c>
      <c r="H357" s="5" t="n">
        <v>0</v>
      </c>
      <c r="I357" s="5" t="n">
        <v>0</v>
      </c>
      <c r="J357" s="5" t="n">
        <v>1</v>
      </c>
      <c r="K357" s="5" t="n">
        <v>0</v>
      </c>
      <c r="L357" s="5" t="n">
        <v>0</v>
      </c>
      <c r="M357" s="5" t="n">
        <v>0</v>
      </c>
      <c r="N357" s="5" t="n">
        <v>0</v>
      </c>
      <c r="O357" s="5" t="n">
        <v>1</v>
      </c>
      <c r="P357" s="5" t="n">
        <v>0</v>
      </c>
      <c r="Q357" s="5" t="n">
        <v>0</v>
      </c>
      <c r="R357" s="5" t="n">
        <v>1</v>
      </c>
      <c r="S357" s="5" t="n">
        <v>0</v>
      </c>
      <c r="T357" s="5" t="n">
        <v>0</v>
      </c>
      <c r="U357" s="5" t="inlineStr">
        <is>
          <t>training</t>
        </is>
      </c>
    </row>
    <row r="358">
      <c r="A358" s="5" t="n">
        <v>354</v>
      </c>
      <c r="B358" s="5" t="n">
        <v>1</v>
      </c>
      <c r="C358" s="6" t="n">
        <v>-0.7357010147163632</v>
      </c>
      <c r="D358" s="6" t="n">
        <v>1.031590270122713</v>
      </c>
      <c r="E358" s="6" t="n">
        <v>-0.6557765760629775</v>
      </c>
      <c r="F358" s="6" t="n">
        <v>0.9185437189662378</v>
      </c>
      <c r="G358" s="5" t="n">
        <v>1</v>
      </c>
      <c r="H358" s="5" t="n">
        <v>0</v>
      </c>
      <c r="I358" s="5" t="n">
        <v>0</v>
      </c>
      <c r="J358" s="5" t="n">
        <v>0</v>
      </c>
      <c r="K358" s="5" t="n">
        <v>0</v>
      </c>
      <c r="L358" s="5" t="n">
        <v>1</v>
      </c>
      <c r="M358" s="5" t="n">
        <v>0</v>
      </c>
      <c r="N358" s="5" t="n">
        <v>0</v>
      </c>
      <c r="O358" s="5" t="n">
        <v>0</v>
      </c>
      <c r="P358" s="5" t="n">
        <v>1</v>
      </c>
      <c r="Q358" s="5" t="n">
        <v>0</v>
      </c>
      <c r="R358" s="5" t="n">
        <v>0</v>
      </c>
      <c r="S358" s="5" t="n">
        <v>1</v>
      </c>
      <c r="T358" s="5" t="n">
        <v>0</v>
      </c>
      <c r="U358" s="5" t="inlineStr">
        <is>
          <t>training</t>
        </is>
      </c>
    </row>
    <row r="359">
      <c r="A359" s="5" t="n">
        <v>355</v>
      </c>
      <c r="B359" s="5" t="n">
        <v>0</v>
      </c>
      <c r="C359" s="6" t="n">
        <v>-0.9042189173019176</v>
      </c>
      <c r="D359" s="6" t="n">
        <v>-0.8830228128833729</v>
      </c>
      <c r="E359" s="6" t="n">
        <v>0.9097377965011599</v>
      </c>
      <c r="F359" s="6" t="n">
        <v>0.9185437189662378</v>
      </c>
      <c r="G359" s="5" t="n">
        <v>0</v>
      </c>
      <c r="H359" s="5" t="n">
        <v>0</v>
      </c>
      <c r="I359" s="5" t="n">
        <v>0</v>
      </c>
      <c r="J359" s="5" t="n">
        <v>0</v>
      </c>
      <c r="K359" s="5" t="n">
        <v>0</v>
      </c>
      <c r="L359" s="5" t="n">
        <v>0</v>
      </c>
      <c r="M359" s="5" t="n">
        <v>1</v>
      </c>
      <c r="N359" s="5" t="n">
        <v>0</v>
      </c>
      <c r="O359" s="5" t="n">
        <v>0</v>
      </c>
      <c r="P359" s="5" t="n">
        <v>0</v>
      </c>
      <c r="Q359" s="5" t="n">
        <v>1</v>
      </c>
      <c r="R359" s="5" t="n">
        <v>0</v>
      </c>
      <c r="S359" s="5" t="n">
        <v>0</v>
      </c>
      <c r="T359" s="5" t="n">
        <v>0</v>
      </c>
      <c r="U359" s="5" t="inlineStr">
        <is>
          <t>training</t>
        </is>
      </c>
    </row>
    <row r="360">
      <c r="A360" s="5" t="n">
        <v>356</v>
      </c>
      <c r="B360" s="5" t="n">
        <v>1</v>
      </c>
      <c r="C360" s="6" t="n">
        <v>0.275406400796963</v>
      </c>
      <c r="D360" s="6" t="n">
        <v>-0.7014284799008879</v>
      </c>
      <c r="E360" s="6" t="n">
        <v>-1.090641679553016</v>
      </c>
      <c r="F360" s="6" t="n">
        <v>0.9185437189662378</v>
      </c>
      <c r="G360" s="5" t="n">
        <v>0</v>
      </c>
      <c r="H360" s="5" t="n">
        <v>1</v>
      </c>
      <c r="I360" s="5" t="n">
        <v>0</v>
      </c>
      <c r="J360" s="5" t="n">
        <v>0</v>
      </c>
      <c r="K360" s="5" t="n">
        <v>0</v>
      </c>
      <c r="L360" s="5" t="n">
        <v>0</v>
      </c>
      <c r="M360" s="5" t="n">
        <v>0</v>
      </c>
      <c r="N360" s="5" t="n">
        <v>0</v>
      </c>
      <c r="O360" s="5" t="n">
        <v>0</v>
      </c>
      <c r="P360" s="5" t="n">
        <v>0</v>
      </c>
      <c r="Q360" s="5" t="n">
        <v>0</v>
      </c>
      <c r="R360" s="5" t="n">
        <v>1</v>
      </c>
      <c r="S360" s="5" t="n">
        <v>0</v>
      </c>
      <c r="T360" s="5" t="n">
        <v>0</v>
      </c>
      <c r="U360" s="5" t="inlineStr">
        <is>
          <t>training</t>
        </is>
      </c>
    </row>
    <row r="361">
      <c r="A361" s="5" t="n">
        <v>357</v>
      </c>
      <c r="B361" s="5" t="n">
        <v>0</v>
      </c>
      <c r="C361" s="6" t="n">
        <v>-0.7357010147163632</v>
      </c>
      <c r="D361" s="6" t="n">
        <v>-0.3217948550723785</v>
      </c>
      <c r="E361" s="6" t="n">
        <v>1.170656858595183</v>
      </c>
      <c r="F361" s="6" t="n">
        <v>-1.786844513613144</v>
      </c>
      <c r="G361" s="5" t="n">
        <v>0</v>
      </c>
      <c r="H361" s="5" t="n">
        <v>0</v>
      </c>
      <c r="I361" s="5" t="n">
        <v>0</v>
      </c>
      <c r="J361" s="5" t="n">
        <v>1</v>
      </c>
      <c r="K361" s="5" t="n">
        <v>0</v>
      </c>
      <c r="L361" s="5" t="n">
        <v>0</v>
      </c>
      <c r="M361" s="5" t="n">
        <v>0</v>
      </c>
      <c r="N361" s="5" t="n">
        <v>0</v>
      </c>
      <c r="O361" s="5" t="n">
        <v>1</v>
      </c>
      <c r="P361" s="5" t="n">
        <v>0</v>
      </c>
      <c r="Q361" s="5" t="n">
        <v>0</v>
      </c>
      <c r="R361" s="5" t="n">
        <v>0</v>
      </c>
      <c r="S361" s="5" t="n">
        <v>1</v>
      </c>
      <c r="T361" s="5" t="n">
        <v>0</v>
      </c>
      <c r="U361" s="5" t="inlineStr">
        <is>
          <t>training</t>
        </is>
      </c>
    </row>
    <row r="362">
      <c r="A362" s="5" t="n">
        <v>358</v>
      </c>
      <c r="B362" s="5" t="n">
        <v>1</v>
      </c>
      <c r="C362" s="6" t="n">
        <v>1.286513816310289</v>
      </c>
      <c r="D362" s="6" t="n">
        <v>0.4241764703970979</v>
      </c>
      <c r="E362" s="6" t="n">
        <v>-0.8297226174589928</v>
      </c>
      <c r="F362" s="6" t="n">
        <v>0.9185437189662378</v>
      </c>
      <c r="G362" s="5" t="n">
        <v>0</v>
      </c>
      <c r="H362" s="5" t="n">
        <v>0</v>
      </c>
      <c r="I362" s="5" t="n">
        <v>0</v>
      </c>
      <c r="J362" s="5" t="n">
        <v>0</v>
      </c>
      <c r="K362" s="5" t="n">
        <v>1</v>
      </c>
      <c r="L362" s="5" t="n">
        <v>0</v>
      </c>
      <c r="M362" s="5" t="n">
        <v>0</v>
      </c>
      <c r="N362" s="5" t="n">
        <v>0</v>
      </c>
      <c r="O362" s="5" t="n">
        <v>0</v>
      </c>
      <c r="P362" s="5" t="n">
        <v>0</v>
      </c>
      <c r="Q362" s="5" t="n">
        <v>0</v>
      </c>
      <c r="R362" s="5" t="n">
        <v>0</v>
      </c>
      <c r="S362" s="5" t="n">
        <v>1</v>
      </c>
      <c r="T362" s="5" t="n">
        <v>0</v>
      </c>
      <c r="U362" s="5" t="inlineStr">
        <is>
          <t>training</t>
        </is>
      </c>
    </row>
    <row r="363">
      <c r="A363" s="5" t="n">
        <v>359</v>
      </c>
      <c r="B363" s="5" t="n">
        <v>0</v>
      </c>
      <c r="C363" s="6" t="n">
        <v>-0.7357010147163632</v>
      </c>
      <c r="D363" s="6" t="n">
        <v>-0.8658780685362789</v>
      </c>
      <c r="E363" s="6" t="n">
        <v>-0.6557765760629775</v>
      </c>
      <c r="F363" s="6" t="n">
        <v>0.9185437189662378</v>
      </c>
      <c r="G363" s="5" t="n">
        <v>0</v>
      </c>
      <c r="H363" s="5" t="n">
        <v>0</v>
      </c>
      <c r="I363" s="5" t="n">
        <v>0</v>
      </c>
      <c r="J363" s="5" t="n">
        <v>0</v>
      </c>
      <c r="K363" s="5" t="n">
        <v>0</v>
      </c>
      <c r="L363" s="5" t="n">
        <v>0</v>
      </c>
      <c r="M363" s="5" t="n">
        <v>0</v>
      </c>
      <c r="N363" s="5" t="n">
        <v>0</v>
      </c>
      <c r="O363" s="5" t="n">
        <v>0</v>
      </c>
      <c r="P363" s="5" t="n">
        <v>0</v>
      </c>
      <c r="Q363" s="5" t="n">
        <v>0</v>
      </c>
      <c r="R363" s="5" t="n">
        <v>0</v>
      </c>
      <c r="S363" s="5" t="n">
        <v>1</v>
      </c>
      <c r="T363" s="5" t="n">
        <v>0</v>
      </c>
      <c r="U363" s="5" t="inlineStr">
        <is>
          <t>training</t>
        </is>
      </c>
    </row>
    <row r="364">
      <c r="A364" s="5" t="n">
        <v>360</v>
      </c>
      <c r="B364" s="5" t="n">
        <v>1</v>
      </c>
      <c r="C364" s="6" t="n">
        <v>0.7809601085536261</v>
      </c>
      <c r="D364" s="6" t="n">
        <v>-0.2955528994390714</v>
      </c>
      <c r="E364" s="6" t="n">
        <v>-1.090641679553016</v>
      </c>
      <c r="F364" s="6" t="n">
        <v>0.9185437189662378</v>
      </c>
      <c r="G364" s="5" t="n">
        <v>1</v>
      </c>
      <c r="H364" s="5" t="n">
        <v>0</v>
      </c>
      <c r="I364" s="5" t="n">
        <v>0</v>
      </c>
      <c r="J364" s="5" t="n">
        <v>0</v>
      </c>
      <c r="K364" s="5" t="n">
        <v>0</v>
      </c>
      <c r="L364" s="5" t="n">
        <v>0</v>
      </c>
      <c r="M364" s="5" t="n">
        <v>0</v>
      </c>
      <c r="N364" s="5" t="n">
        <v>0</v>
      </c>
      <c r="O364" s="5" t="n">
        <v>0</v>
      </c>
      <c r="P364" s="5" t="n">
        <v>1</v>
      </c>
      <c r="Q364" s="5" t="n">
        <v>0</v>
      </c>
      <c r="R364" s="5" t="n">
        <v>0</v>
      </c>
      <c r="S364" s="5" t="n">
        <v>0</v>
      </c>
      <c r="T364" s="5" t="n">
        <v>1</v>
      </c>
      <c r="U364" s="5" t="inlineStr">
        <is>
          <t>testing</t>
        </is>
      </c>
    </row>
    <row r="365">
      <c r="A365" s="5" t="n">
        <v>361</v>
      </c>
      <c r="B365" s="5" t="n">
        <v>0</v>
      </c>
      <c r="C365" s="6" t="n">
        <v>-0.2301473069597001</v>
      </c>
      <c r="D365" s="6" t="n">
        <v>-0.7038777290933298</v>
      </c>
      <c r="E365" s="6" t="n">
        <v>2.214333106971274</v>
      </c>
      <c r="F365" s="6" t="n">
        <v>0.9185437189662378</v>
      </c>
      <c r="G365" s="5" t="n">
        <v>0</v>
      </c>
      <c r="H365" s="5" t="n">
        <v>1</v>
      </c>
      <c r="I365" s="5" t="n">
        <v>0</v>
      </c>
      <c r="J365" s="5" t="n">
        <v>0</v>
      </c>
      <c r="K365" s="5" t="n">
        <v>0</v>
      </c>
      <c r="L365" s="5" t="n">
        <v>0</v>
      </c>
      <c r="M365" s="5" t="n">
        <v>0</v>
      </c>
      <c r="N365" s="5" t="n">
        <v>0</v>
      </c>
      <c r="O365" s="5" t="n">
        <v>1</v>
      </c>
      <c r="P365" s="5" t="n">
        <v>0</v>
      </c>
      <c r="Q365" s="5" t="n">
        <v>1</v>
      </c>
      <c r="R365" s="5" t="n">
        <v>0</v>
      </c>
      <c r="S365" s="5" t="n">
        <v>0</v>
      </c>
      <c r="T365" s="5" t="n">
        <v>0</v>
      </c>
      <c r="U365" s="5" t="inlineStr">
        <is>
          <t>training</t>
        </is>
      </c>
    </row>
    <row r="366">
      <c r="A366" s="5" t="n">
        <v>362</v>
      </c>
      <c r="B366" s="5" t="n">
        <v>0</v>
      </c>
      <c r="C366" s="6" t="n">
        <v>-0.7357010147163632</v>
      </c>
      <c r="D366" s="6" t="n">
        <v>0.05189059314591454</v>
      </c>
      <c r="E366" s="6" t="n">
        <v>0.1269806102190912</v>
      </c>
      <c r="F366" s="6" t="n">
        <v>-0.8850484360866833</v>
      </c>
      <c r="G366" s="5" t="n">
        <v>0</v>
      </c>
      <c r="H366" s="5" t="n">
        <v>0</v>
      </c>
      <c r="I366" s="5" t="n">
        <v>1</v>
      </c>
      <c r="J366" s="5" t="n">
        <v>0</v>
      </c>
      <c r="K366" s="5" t="n">
        <v>0</v>
      </c>
      <c r="L366" s="5" t="n">
        <v>0</v>
      </c>
      <c r="M366" s="5" t="n">
        <v>0</v>
      </c>
      <c r="N366" s="5" t="n">
        <v>0</v>
      </c>
      <c r="O366" s="5" t="n">
        <v>1</v>
      </c>
      <c r="P366" s="5" t="n">
        <v>0</v>
      </c>
      <c r="Q366" s="5" t="n">
        <v>0</v>
      </c>
      <c r="R366" s="5" t="n">
        <v>0</v>
      </c>
      <c r="S366" s="5" t="n">
        <v>1</v>
      </c>
      <c r="T366" s="5" t="n">
        <v>0</v>
      </c>
      <c r="U366" s="5" t="inlineStr">
        <is>
          <t>testing</t>
        </is>
      </c>
    </row>
    <row r="367">
      <c r="A367" s="5" t="n">
        <v>363</v>
      </c>
      <c r="B367" s="5" t="n">
        <v>0</v>
      </c>
      <c r="C367" s="6" t="n">
        <v>-0.7357010147163632</v>
      </c>
      <c r="D367" s="6" t="n">
        <v>-0.3511858453816825</v>
      </c>
      <c r="E367" s="6" t="n">
        <v>0.04000758952108359</v>
      </c>
      <c r="F367" s="6" t="n">
        <v>-0.8850484360866833</v>
      </c>
      <c r="G367" s="5" t="n">
        <v>0</v>
      </c>
      <c r="H367" s="5" t="n">
        <v>0</v>
      </c>
      <c r="I367" s="5" t="n">
        <v>1</v>
      </c>
      <c r="J367" s="5" t="n">
        <v>0</v>
      </c>
      <c r="K367" s="5" t="n">
        <v>1</v>
      </c>
      <c r="L367" s="5" t="n">
        <v>0</v>
      </c>
      <c r="M367" s="5" t="n">
        <v>0</v>
      </c>
      <c r="N367" s="5" t="n">
        <v>0</v>
      </c>
      <c r="O367" s="5" t="n">
        <v>0</v>
      </c>
      <c r="P367" s="5" t="n">
        <v>0</v>
      </c>
      <c r="Q367" s="5" t="n">
        <v>0</v>
      </c>
      <c r="R367" s="5" t="n">
        <v>1</v>
      </c>
      <c r="S367" s="5" t="n">
        <v>0</v>
      </c>
      <c r="T367" s="5" t="n">
        <v>0</v>
      </c>
      <c r="U367" s="5" t="inlineStr">
        <is>
          <t>training</t>
        </is>
      </c>
    </row>
    <row r="368">
      <c r="A368" s="5" t="n">
        <v>364</v>
      </c>
      <c r="B368" s="5" t="n">
        <v>0</v>
      </c>
      <c r="C368" s="6" t="n">
        <v>-1.241254722473026</v>
      </c>
      <c r="D368" s="6" t="n">
        <v>-0.5194842541766252</v>
      </c>
      <c r="E368" s="6" t="n">
        <v>-1.264587720949031</v>
      </c>
      <c r="F368" s="6" t="n">
        <v>-1.786844513613144</v>
      </c>
      <c r="G368" s="5" t="n">
        <v>0</v>
      </c>
      <c r="H368" s="5" t="n">
        <v>0</v>
      </c>
      <c r="I368" s="5" t="n">
        <v>0</v>
      </c>
      <c r="J368" s="5" t="n">
        <v>0</v>
      </c>
      <c r="K368" s="5" t="n">
        <v>0</v>
      </c>
      <c r="L368" s="5" t="n">
        <v>0</v>
      </c>
      <c r="M368" s="5" t="n">
        <v>0</v>
      </c>
      <c r="N368" s="5" t="n">
        <v>0</v>
      </c>
      <c r="O368" s="5" t="n">
        <v>0</v>
      </c>
      <c r="P368" s="5" t="n">
        <v>1</v>
      </c>
      <c r="Q368" s="5" t="n">
        <v>0</v>
      </c>
      <c r="R368" s="5" t="n">
        <v>0</v>
      </c>
      <c r="S368" s="5" t="n">
        <v>0</v>
      </c>
      <c r="T368" s="5" t="n">
        <v>1</v>
      </c>
      <c r="U368" s="5" t="inlineStr">
        <is>
          <t>training</t>
        </is>
      </c>
    </row>
    <row r="369">
      <c r="A369" s="5" t="n">
        <v>365</v>
      </c>
      <c r="B369" s="5" t="n">
        <v>1</v>
      </c>
      <c r="C369" s="6" t="n">
        <v>-0.2301473069597001</v>
      </c>
      <c r="D369" s="6" t="n">
        <v>-0.2721100857399837</v>
      </c>
      <c r="E369" s="6" t="n">
        <v>-0.9166956381570004</v>
      </c>
      <c r="F369" s="6" t="n">
        <v>0.9185437189662378</v>
      </c>
      <c r="G369" s="5" t="n">
        <v>1</v>
      </c>
      <c r="H369" s="5" t="n">
        <v>0</v>
      </c>
      <c r="I369" s="5" t="n">
        <v>0</v>
      </c>
      <c r="J369" s="5" t="n">
        <v>0</v>
      </c>
      <c r="K369" s="5" t="n">
        <v>0</v>
      </c>
      <c r="L369" s="5" t="n">
        <v>0</v>
      </c>
      <c r="M369" s="5" t="n">
        <v>0</v>
      </c>
      <c r="N369" s="5" t="n">
        <v>0</v>
      </c>
      <c r="O369" s="5" t="n">
        <v>0</v>
      </c>
      <c r="P369" s="5" t="n">
        <v>0</v>
      </c>
      <c r="Q369" s="5" t="n">
        <v>0</v>
      </c>
      <c r="R369" s="5" t="n">
        <v>0</v>
      </c>
      <c r="S369" s="5" t="n">
        <v>0</v>
      </c>
      <c r="T369" s="5" t="n">
        <v>1</v>
      </c>
      <c r="U369" s="5" t="inlineStr">
        <is>
          <t>testing</t>
        </is>
      </c>
    </row>
    <row r="370">
      <c r="A370" s="5" t="n">
        <v>366</v>
      </c>
      <c r="B370" s="5" t="n">
        <v>0</v>
      </c>
      <c r="C370" s="6" t="n">
        <v>-0.7357010147163632</v>
      </c>
      <c r="D370" s="6" t="n">
        <v>-0.5978602283347692</v>
      </c>
      <c r="E370" s="6" t="n">
        <v>0.04000758952108359</v>
      </c>
      <c r="F370" s="6" t="n">
        <v>-0.8850484360866833</v>
      </c>
      <c r="G370" s="5" t="n">
        <v>0</v>
      </c>
      <c r="H370" s="5" t="n">
        <v>0</v>
      </c>
      <c r="I370" s="5" t="n">
        <v>0</v>
      </c>
      <c r="J370" s="5" t="n">
        <v>0</v>
      </c>
      <c r="K370" s="5" t="n">
        <v>0</v>
      </c>
      <c r="L370" s="5" t="n">
        <v>0</v>
      </c>
      <c r="M370" s="5" t="n">
        <v>0</v>
      </c>
      <c r="N370" s="5" t="n">
        <v>0</v>
      </c>
      <c r="O370" s="5" t="n">
        <v>0</v>
      </c>
      <c r="P370" s="5" t="n">
        <v>0</v>
      </c>
      <c r="Q370" s="5" t="n">
        <v>0</v>
      </c>
      <c r="R370" s="5" t="n">
        <v>0</v>
      </c>
      <c r="S370" s="5" t="n">
        <v>0</v>
      </c>
      <c r="T370" s="5" t="n">
        <v>0</v>
      </c>
      <c r="U370" s="5" t="inlineStr">
        <is>
          <t>testing</t>
        </is>
      </c>
    </row>
    <row r="371">
      <c r="A371" s="5" t="n">
        <v>367</v>
      </c>
      <c r="B371" s="5" t="n">
        <v>0</v>
      </c>
      <c r="C371" s="6" t="n">
        <v>-0.2301473069597001</v>
      </c>
      <c r="D371" s="6" t="n">
        <v>0.2096922196875345</v>
      </c>
      <c r="E371" s="6" t="n">
        <v>-0.7427495967609852</v>
      </c>
      <c r="F371" s="6" t="n">
        <v>0.01674764143977723</v>
      </c>
      <c r="G371" s="5" t="n">
        <v>0</v>
      </c>
      <c r="H371" s="5" t="n">
        <v>0</v>
      </c>
      <c r="I371" s="5" t="n">
        <v>0</v>
      </c>
      <c r="J371" s="5" t="n">
        <v>1</v>
      </c>
      <c r="K371" s="5" t="n">
        <v>0</v>
      </c>
      <c r="L371" s="5" t="n">
        <v>0</v>
      </c>
      <c r="M371" s="5" t="n">
        <v>0</v>
      </c>
      <c r="N371" s="5" t="n">
        <v>0</v>
      </c>
      <c r="O371" s="5" t="n">
        <v>0</v>
      </c>
      <c r="P371" s="5" t="n">
        <v>0</v>
      </c>
      <c r="Q371" s="5" t="n">
        <v>0</v>
      </c>
      <c r="R371" s="5" t="n">
        <v>1</v>
      </c>
      <c r="S371" s="5" t="n">
        <v>0</v>
      </c>
      <c r="T371" s="5" t="n">
        <v>0</v>
      </c>
      <c r="U371" s="5" t="inlineStr">
        <is>
          <t>training</t>
        </is>
      </c>
    </row>
    <row r="372">
      <c r="A372" s="5" t="n">
        <v>368</v>
      </c>
      <c r="B372" s="5" t="n">
        <v>0</v>
      </c>
      <c r="C372" s="6" t="n">
        <v>-0.2301473069597001</v>
      </c>
      <c r="D372" s="6" t="n">
        <v>0.139713671332049</v>
      </c>
      <c r="E372" s="6" t="n">
        <v>-1.177614700251023</v>
      </c>
      <c r="F372" s="6" t="n">
        <v>-1.786844513613144</v>
      </c>
      <c r="G372" s="5" t="n">
        <v>1</v>
      </c>
      <c r="H372" s="5" t="n">
        <v>0</v>
      </c>
      <c r="I372" s="5" t="n">
        <v>0</v>
      </c>
      <c r="J372" s="5" t="n">
        <v>0</v>
      </c>
      <c r="K372" s="5" t="n">
        <v>0</v>
      </c>
      <c r="L372" s="5" t="n">
        <v>0</v>
      </c>
      <c r="M372" s="5" t="n">
        <v>0</v>
      </c>
      <c r="N372" s="5" t="n">
        <v>0</v>
      </c>
      <c r="O372" s="5" t="n">
        <v>0</v>
      </c>
      <c r="P372" s="5" t="n">
        <v>1</v>
      </c>
      <c r="Q372" s="5" t="n">
        <v>0</v>
      </c>
      <c r="R372" s="5" t="n">
        <v>0</v>
      </c>
      <c r="S372" s="5" t="n">
        <v>0</v>
      </c>
      <c r="T372" s="5" t="n">
        <v>1</v>
      </c>
      <c r="U372" s="5" t="inlineStr">
        <is>
          <t>training</t>
        </is>
      </c>
    </row>
    <row r="373">
      <c r="A373" s="5" t="n">
        <v>369</v>
      </c>
      <c r="B373" s="5" t="n">
        <v>1</v>
      </c>
      <c r="C373" s="6" t="n">
        <v>1.286513816310289</v>
      </c>
      <c r="D373" s="6" t="n">
        <v>0.06833555200945365</v>
      </c>
      <c r="E373" s="6" t="n">
        <v>0.5618457137091294</v>
      </c>
      <c r="F373" s="6" t="n">
        <v>0.9185437189662378</v>
      </c>
      <c r="G373" s="5" t="n">
        <v>1</v>
      </c>
      <c r="H373" s="5" t="n">
        <v>0</v>
      </c>
      <c r="I373" s="5" t="n">
        <v>0</v>
      </c>
      <c r="J373" s="5" t="n">
        <v>0</v>
      </c>
      <c r="K373" s="5" t="n">
        <v>0</v>
      </c>
      <c r="L373" s="5" t="n">
        <v>0</v>
      </c>
      <c r="M373" s="5" t="n">
        <v>0</v>
      </c>
      <c r="N373" s="5" t="n">
        <v>0</v>
      </c>
      <c r="O373" s="5" t="n">
        <v>0</v>
      </c>
      <c r="P373" s="5" t="n">
        <v>0</v>
      </c>
      <c r="Q373" s="5" t="n">
        <v>0</v>
      </c>
      <c r="R373" s="5" t="n">
        <v>0</v>
      </c>
      <c r="S373" s="5" t="n">
        <v>0</v>
      </c>
      <c r="T373" s="5" t="n">
        <v>1</v>
      </c>
      <c r="U373" s="5" t="inlineStr">
        <is>
          <t>training</t>
        </is>
      </c>
    </row>
    <row r="374">
      <c r="A374" s="5" t="n">
        <v>370</v>
      </c>
      <c r="B374" s="5" t="n">
        <v>0</v>
      </c>
      <c r="C374" s="6" t="n">
        <v>-0.2301473069597001</v>
      </c>
      <c r="D374" s="6" t="n">
        <v>-0.08736671808150179</v>
      </c>
      <c r="E374" s="6" t="n">
        <v>0.3878996723131141</v>
      </c>
      <c r="F374" s="6" t="n">
        <v>-0.8850484360866833</v>
      </c>
      <c r="G374" s="5" t="n">
        <v>0</v>
      </c>
      <c r="H374" s="5" t="n">
        <v>1</v>
      </c>
      <c r="I374" s="5" t="n">
        <v>0</v>
      </c>
      <c r="J374" s="5" t="n">
        <v>0</v>
      </c>
      <c r="K374" s="5" t="n">
        <v>0</v>
      </c>
      <c r="L374" s="5" t="n">
        <v>0</v>
      </c>
      <c r="M374" s="5" t="n">
        <v>0</v>
      </c>
      <c r="N374" s="5" t="n">
        <v>0</v>
      </c>
      <c r="O374" s="5" t="n">
        <v>0</v>
      </c>
      <c r="P374" s="5" t="n">
        <v>1</v>
      </c>
      <c r="Q374" s="5" t="n">
        <v>0</v>
      </c>
      <c r="R374" s="5" t="n">
        <v>0</v>
      </c>
      <c r="S374" s="5" t="n">
        <v>0</v>
      </c>
      <c r="T374" s="5" t="n">
        <v>1</v>
      </c>
      <c r="U374" s="5" t="inlineStr">
        <is>
          <t>training</t>
        </is>
      </c>
    </row>
    <row r="375">
      <c r="A375" s="5" t="n">
        <v>371</v>
      </c>
      <c r="B375" s="5" t="n">
        <v>0</v>
      </c>
      <c r="C375" s="6" t="n">
        <v>1.286513816310289</v>
      </c>
      <c r="D375" s="6" t="n">
        <v>-0.0600750842228624</v>
      </c>
      <c r="E375" s="6" t="n">
        <v>0.04000758952108359</v>
      </c>
      <c r="F375" s="6" t="n">
        <v>0.9185437189662378</v>
      </c>
      <c r="G375" s="5" t="n">
        <v>0</v>
      </c>
      <c r="H375" s="5" t="n">
        <v>0</v>
      </c>
      <c r="I375" s="5" t="n">
        <v>0</v>
      </c>
      <c r="J375" s="5" t="n">
        <v>0</v>
      </c>
      <c r="K375" s="5" t="n">
        <v>0</v>
      </c>
      <c r="L375" s="5" t="n">
        <v>0</v>
      </c>
      <c r="M375" s="5" t="n">
        <v>0</v>
      </c>
      <c r="N375" s="5" t="n">
        <v>0</v>
      </c>
      <c r="O375" s="5" t="n">
        <v>1</v>
      </c>
      <c r="P375" s="5" t="n">
        <v>0</v>
      </c>
      <c r="Q375" s="5" t="n">
        <v>0</v>
      </c>
      <c r="R375" s="5" t="n">
        <v>1</v>
      </c>
      <c r="S375" s="5" t="n">
        <v>0</v>
      </c>
      <c r="T375" s="5" t="n">
        <v>0</v>
      </c>
      <c r="U375" s="5" t="inlineStr">
        <is>
          <t>training</t>
        </is>
      </c>
    </row>
    <row r="376">
      <c r="A376" s="5" t="n">
        <v>372</v>
      </c>
      <c r="B376" s="5" t="n">
        <v>0</v>
      </c>
      <c r="C376" s="6" t="n">
        <v>-0.2301473069597001</v>
      </c>
      <c r="D376" s="6" t="n">
        <v>0.9864541064334246</v>
      </c>
      <c r="E376" s="6" t="n">
        <v>-0.2209114725729393</v>
      </c>
      <c r="F376" s="6" t="n">
        <v>0.01674764143977723</v>
      </c>
      <c r="G376" s="5" t="n">
        <v>0</v>
      </c>
      <c r="H376" s="5" t="n">
        <v>0</v>
      </c>
      <c r="I376" s="5" t="n">
        <v>0</v>
      </c>
      <c r="J376" s="5" t="n">
        <v>1</v>
      </c>
      <c r="K376" s="5" t="n">
        <v>0</v>
      </c>
      <c r="L376" s="5" t="n">
        <v>0</v>
      </c>
      <c r="M376" s="5" t="n">
        <v>0</v>
      </c>
      <c r="N376" s="5" t="n">
        <v>0</v>
      </c>
      <c r="O376" s="5" t="n">
        <v>0</v>
      </c>
      <c r="P376" s="5" t="n">
        <v>0</v>
      </c>
      <c r="Q376" s="5" t="n">
        <v>0</v>
      </c>
      <c r="R376" s="5" t="n">
        <v>0</v>
      </c>
      <c r="S376" s="5" t="n">
        <v>1</v>
      </c>
      <c r="T376" s="5" t="n">
        <v>0</v>
      </c>
      <c r="U376" s="5" t="inlineStr">
        <is>
          <t>training</t>
        </is>
      </c>
    </row>
    <row r="377">
      <c r="A377" s="5" t="n">
        <v>373</v>
      </c>
      <c r="B377" s="5" t="n">
        <v>0</v>
      </c>
      <c r="C377" s="6" t="n">
        <v>-0.9042189173019176</v>
      </c>
      <c r="D377" s="6" t="n">
        <v>-0.3865250123012027</v>
      </c>
      <c r="E377" s="6" t="n">
        <v>-1.090641679553016</v>
      </c>
      <c r="F377" s="6" t="n">
        <v>-1.786844513613144</v>
      </c>
      <c r="G377" s="5" t="n">
        <v>0</v>
      </c>
      <c r="H377" s="5" t="n">
        <v>0</v>
      </c>
      <c r="I377" s="5" t="n">
        <v>0</v>
      </c>
      <c r="J377" s="5" t="n">
        <v>1</v>
      </c>
      <c r="K377" s="5" t="n">
        <v>0</v>
      </c>
      <c r="L377" s="5" t="n">
        <v>0</v>
      </c>
      <c r="M377" s="5" t="n">
        <v>0</v>
      </c>
      <c r="N377" s="5" t="n">
        <v>0</v>
      </c>
      <c r="O377" s="5" t="n">
        <v>0</v>
      </c>
      <c r="P377" s="5" t="n">
        <v>1</v>
      </c>
      <c r="Q377" s="5" t="n">
        <v>0</v>
      </c>
      <c r="R377" s="5" t="n">
        <v>0</v>
      </c>
      <c r="S377" s="5" t="n">
        <v>0</v>
      </c>
      <c r="T377" s="5" t="n">
        <v>1</v>
      </c>
      <c r="U377" s="5" t="inlineStr">
        <is>
          <t>training</t>
        </is>
      </c>
    </row>
    <row r="378">
      <c r="A378" s="5" t="n">
        <v>374</v>
      </c>
      <c r="B378" s="5" t="n">
        <v>0</v>
      </c>
      <c r="C378" s="6" t="n">
        <v>3.308728647336942</v>
      </c>
      <c r="D378" s="6" t="n">
        <v>3.675729719734736</v>
      </c>
      <c r="E378" s="6" t="n">
        <v>2.38827914836729</v>
      </c>
      <c r="F378" s="6" t="n">
        <v>-0.8850484360866833</v>
      </c>
      <c r="G378" s="5" t="n">
        <v>0</v>
      </c>
      <c r="H378" s="5" t="n">
        <v>0</v>
      </c>
      <c r="I378" s="5" t="n">
        <v>0</v>
      </c>
      <c r="J378" s="5" t="n">
        <v>1</v>
      </c>
      <c r="K378" s="5" t="n">
        <v>0</v>
      </c>
      <c r="L378" s="5" t="n">
        <v>0</v>
      </c>
      <c r="M378" s="5" t="n">
        <v>0</v>
      </c>
      <c r="N378" s="5" t="n">
        <v>0</v>
      </c>
      <c r="O378" s="5" t="n">
        <v>1</v>
      </c>
      <c r="P378" s="5" t="n">
        <v>0</v>
      </c>
      <c r="Q378" s="5" t="n">
        <v>1</v>
      </c>
      <c r="R378" s="5" t="n">
        <v>1</v>
      </c>
      <c r="S378" s="5" t="n">
        <v>0</v>
      </c>
      <c r="T378" s="5" t="n">
        <v>0</v>
      </c>
      <c r="U378" s="5" t="inlineStr">
        <is>
          <t>training</t>
        </is>
      </c>
    </row>
    <row r="379">
      <c r="A379" s="5" t="n">
        <v>375</v>
      </c>
      <c r="B379" s="5" t="n">
        <v>1</v>
      </c>
      <c r="C379" s="6" t="n">
        <v>3.308728647336942</v>
      </c>
      <c r="D379" s="6" t="n">
        <v>4.034719672798377</v>
      </c>
      <c r="E379" s="6" t="n">
        <v>2.127360086273267</v>
      </c>
      <c r="F379" s="6" t="n">
        <v>0.01674764143977723</v>
      </c>
      <c r="G379" s="5" t="n">
        <v>0</v>
      </c>
      <c r="H379" s="5" t="n">
        <v>1</v>
      </c>
      <c r="I379" s="5" t="n">
        <v>0</v>
      </c>
      <c r="J379" s="5" t="n">
        <v>0</v>
      </c>
      <c r="K379" s="5" t="n">
        <v>0</v>
      </c>
      <c r="L379" s="5" t="n">
        <v>1</v>
      </c>
      <c r="M379" s="5" t="n">
        <v>1</v>
      </c>
      <c r="N379" s="5" t="n">
        <v>0</v>
      </c>
      <c r="O379" s="5" t="n">
        <v>0</v>
      </c>
      <c r="P379" s="5" t="n">
        <v>0</v>
      </c>
      <c r="Q379" s="5" t="n">
        <v>1</v>
      </c>
      <c r="R379" s="5" t="n">
        <v>0</v>
      </c>
      <c r="S379" s="5" t="n">
        <v>0</v>
      </c>
      <c r="T379" s="5" t="n">
        <v>0</v>
      </c>
      <c r="U379" s="5" t="inlineStr">
        <is>
          <t>training</t>
        </is>
      </c>
    </row>
    <row r="380">
      <c r="A380" s="5" t="n">
        <v>376</v>
      </c>
      <c r="B380" s="5" t="n">
        <v>1</v>
      </c>
      <c r="C380" s="6" t="n">
        <v>2.297621231823615</v>
      </c>
      <c r="D380" s="6" t="n">
        <v>1.551530884403971</v>
      </c>
      <c r="E380" s="6" t="n">
        <v>0.1269806102190912</v>
      </c>
      <c r="F380" s="6" t="n">
        <v>-0.8850484360866833</v>
      </c>
      <c r="G380" s="5" t="n">
        <v>1</v>
      </c>
      <c r="H380" s="5" t="n">
        <v>0</v>
      </c>
      <c r="I380" s="5" t="n">
        <v>0</v>
      </c>
      <c r="J380" s="5" t="n">
        <v>0</v>
      </c>
      <c r="K380" s="5" t="n">
        <v>0</v>
      </c>
      <c r="L380" s="5" t="n">
        <v>1</v>
      </c>
      <c r="M380" s="5" t="n">
        <v>0</v>
      </c>
      <c r="N380" s="5" t="n">
        <v>0</v>
      </c>
      <c r="O380" s="5" t="n">
        <v>0</v>
      </c>
      <c r="P380" s="5" t="n">
        <v>1</v>
      </c>
      <c r="Q380" s="5" t="n">
        <v>0</v>
      </c>
      <c r="R380" s="5" t="n">
        <v>0</v>
      </c>
      <c r="S380" s="5" t="n">
        <v>0</v>
      </c>
      <c r="T380" s="5" t="n">
        <v>0</v>
      </c>
      <c r="U380" s="5" t="inlineStr">
        <is>
          <t>training</t>
        </is>
      </c>
    </row>
    <row r="381">
      <c r="A381" s="5" t="n">
        <v>377</v>
      </c>
      <c r="B381" s="5" t="n">
        <v>0</v>
      </c>
      <c r="C381" s="6" t="n">
        <v>-0.2301473069597001</v>
      </c>
      <c r="D381" s="6" t="n">
        <v>-0.3256436752319302</v>
      </c>
      <c r="E381" s="6" t="n">
        <v>-0.1339384518749317</v>
      </c>
      <c r="F381" s="6" t="n">
        <v>-0.8850484360866833</v>
      </c>
      <c r="G381" s="5" t="n">
        <v>0</v>
      </c>
      <c r="H381" s="5" t="n">
        <v>0</v>
      </c>
      <c r="I381" s="5" t="n">
        <v>0</v>
      </c>
      <c r="J381" s="5" t="n">
        <v>0</v>
      </c>
      <c r="K381" s="5" t="n">
        <v>1</v>
      </c>
      <c r="L381" s="5" t="n">
        <v>0</v>
      </c>
      <c r="M381" s="5" t="n">
        <v>0</v>
      </c>
      <c r="N381" s="5" t="n">
        <v>0</v>
      </c>
      <c r="O381" s="5" t="n">
        <v>0</v>
      </c>
      <c r="P381" s="5" t="n">
        <v>0</v>
      </c>
      <c r="Q381" s="5" t="n">
        <v>0</v>
      </c>
      <c r="R381" s="5" t="n">
        <v>0</v>
      </c>
      <c r="S381" s="5" t="n">
        <v>1</v>
      </c>
      <c r="T381" s="5" t="n">
        <v>0</v>
      </c>
      <c r="U381" s="5" t="inlineStr">
        <is>
          <t>training</t>
        </is>
      </c>
    </row>
    <row r="382">
      <c r="A382" s="5" t="n">
        <v>378</v>
      </c>
      <c r="B382" s="5" t="n">
        <v>0</v>
      </c>
      <c r="C382" s="6" t="n">
        <v>-1.156995771180249</v>
      </c>
      <c r="D382" s="6" t="n">
        <v>-0.841385576611859</v>
      </c>
      <c r="E382" s="6" t="n">
        <v>0.04000758952108359</v>
      </c>
      <c r="F382" s="6" t="n">
        <v>0.01674764143977723</v>
      </c>
      <c r="G382" s="5" t="n">
        <v>0</v>
      </c>
      <c r="H382" s="5" t="n">
        <v>0</v>
      </c>
      <c r="I382" s="5" t="n">
        <v>0</v>
      </c>
      <c r="J382" s="5" t="n">
        <v>0</v>
      </c>
      <c r="K382" s="5" t="n">
        <v>1</v>
      </c>
      <c r="L382" s="5" t="n">
        <v>0</v>
      </c>
      <c r="M382" s="5" t="n">
        <v>0</v>
      </c>
      <c r="N382" s="5" t="n">
        <v>0</v>
      </c>
      <c r="O382" s="5" t="n">
        <v>1</v>
      </c>
      <c r="P382" s="5" t="n">
        <v>0</v>
      </c>
      <c r="Q382" s="5" t="n">
        <v>1</v>
      </c>
      <c r="R382" s="5" t="n">
        <v>0</v>
      </c>
      <c r="S382" s="5" t="n">
        <v>1</v>
      </c>
      <c r="T382" s="5" t="n">
        <v>0</v>
      </c>
      <c r="U382" s="5" t="inlineStr">
        <is>
          <t>training</t>
        </is>
      </c>
    </row>
    <row r="383">
      <c r="A383" s="5" t="n">
        <v>379</v>
      </c>
      <c r="B383" s="5" t="n">
        <v>1</v>
      </c>
      <c r="C383" s="6" t="n">
        <v>1.286513816310289</v>
      </c>
      <c r="D383" s="6" t="n">
        <v>3.87236944061365</v>
      </c>
      <c r="E383" s="6" t="n">
        <v>1.866441024179244</v>
      </c>
      <c r="F383" s="6" t="n">
        <v>0.9185437189662378</v>
      </c>
      <c r="G383" s="5" t="n">
        <v>0</v>
      </c>
      <c r="H383" s="5" t="n">
        <v>1</v>
      </c>
      <c r="I383" s="5" t="n">
        <v>0</v>
      </c>
      <c r="J383" s="5" t="n">
        <v>0</v>
      </c>
      <c r="K383" s="5" t="n">
        <v>0</v>
      </c>
      <c r="L383" s="5" t="n">
        <v>0</v>
      </c>
      <c r="M383" s="5" t="n">
        <v>0</v>
      </c>
      <c r="N383" s="5" t="n">
        <v>0</v>
      </c>
      <c r="O383" s="5" t="n">
        <v>0</v>
      </c>
      <c r="P383" s="5" t="n">
        <v>0</v>
      </c>
      <c r="Q383" s="5" t="n">
        <v>1</v>
      </c>
      <c r="R383" s="5" t="n">
        <v>1</v>
      </c>
      <c r="S383" s="5" t="n">
        <v>0</v>
      </c>
      <c r="T383" s="5" t="n">
        <v>0</v>
      </c>
      <c r="U383" s="5" t="inlineStr">
        <is>
          <t>training</t>
        </is>
      </c>
    </row>
    <row r="384">
      <c r="A384" s="5" t="n">
        <v>380</v>
      </c>
      <c r="B384" s="5" t="n">
        <v>0</v>
      </c>
      <c r="C384" s="6" t="n">
        <v>-1.241254722473026</v>
      </c>
      <c r="D384" s="6" t="n">
        <v>-1.010733663632134</v>
      </c>
      <c r="E384" s="6" t="n">
        <v>1.431575920689206</v>
      </c>
      <c r="F384" s="6" t="n">
        <v>0.9185437189662378</v>
      </c>
      <c r="G384" s="5" t="n">
        <v>0</v>
      </c>
      <c r="H384" s="5" t="n">
        <v>0</v>
      </c>
      <c r="I384" s="5" t="n">
        <v>0</v>
      </c>
      <c r="J384" s="5" t="n">
        <v>1</v>
      </c>
      <c r="K384" s="5" t="n">
        <v>0</v>
      </c>
      <c r="L384" s="5" t="n">
        <v>0</v>
      </c>
      <c r="M384" s="5" t="n">
        <v>1</v>
      </c>
      <c r="N384" s="5" t="n">
        <v>0</v>
      </c>
      <c r="O384" s="5" t="n">
        <v>0</v>
      </c>
      <c r="P384" s="5" t="n">
        <v>0</v>
      </c>
      <c r="Q384" s="5" t="n">
        <v>0</v>
      </c>
      <c r="R384" s="5" t="n">
        <v>1</v>
      </c>
      <c r="S384" s="5" t="n">
        <v>0</v>
      </c>
      <c r="T384" s="5" t="n">
        <v>0</v>
      </c>
      <c r="U384" s="5" t="inlineStr">
        <is>
          <t>training</t>
        </is>
      </c>
    </row>
    <row r="385">
      <c r="A385" s="5" t="n">
        <v>381</v>
      </c>
      <c r="B385" s="5" t="n">
        <v>0</v>
      </c>
      <c r="C385" s="6" t="n">
        <v>-0.06162940437414574</v>
      </c>
      <c r="D385" s="6" t="n">
        <v>-0.3634320913438924</v>
      </c>
      <c r="E385" s="6" t="n">
        <v>0.3009266516151065</v>
      </c>
      <c r="F385" s="6" t="n">
        <v>0.9185437189662378</v>
      </c>
      <c r="G385" s="5" t="n">
        <v>1</v>
      </c>
      <c r="H385" s="5" t="n">
        <v>0</v>
      </c>
      <c r="I385" s="5" t="n">
        <v>0</v>
      </c>
      <c r="J385" s="5" t="n">
        <v>0</v>
      </c>
      <c r="K385" s="5" t="n">
        <v>0</v>
      </c>
      <c r="L385" s="5" t="n">
        <v>0</v>
      </c>
      <c r="M385" s="5" t="n">
        <v>0</v>
      </c>
      <c r="N385" s="5" t="n">
        <v>0</v>
      </c>
      <c r="O385" s="5" t="n">
        <v>1</v>
      </c>
      <c r="P385" s="5" t="n">
        <v>0</v>
      </c>
      <c r="Q385" s="5" t="n">
        <v>0</v>
      </c>
      <c r="R385" s="5" t="n">
        <v>0</v>
      </c>
      <c r="S385" s="5" t="n">
        <v>0</v>
      </c>
      <c r="T385" s="5" t="n">
        <v>1</v>
      </c>
      <c r="U385" s="5" t="inlineStr">
        <is>
          <t>testing</t>
        </is>
      </c>
    </row>
    <row r="386">
      <c r="A386" s="5" t="n">
        <v>382</v>
      </c>
      <c r="B386" s="5" t="n">
        <v>1</v>
      </c>
      <c r="C386" s="6" t="n">
        <v>-0.2301473069597001</v>
      </c>
      <c r="D386" s="6" t="n">
        <v>3.402813381148342</v>
      </c>
      <c r="E386" s="6" t="n">
        <v>0.2139536309170988</v>
      </c>
      <c r="F386" s="6" t="n">
        <v>0.01674764143977723</v>
      </c>
      <c r="G386" s="5" t="n">
        <v>0</v>
      </c>
      <c r="H386" s="5" t="n">
        <v>1</v>
      </c>
      <c r="I386" s="5" t="n">
        <v>0</v>
      </c>
      <c r="J386" s="5" t="n">
        <v>0</v>
      </c>
      <c r="K386" s="5" t="n">
        <v>0</v>
      </c>
      <c r="L386" s="5" t="n">
        <v>0</v>
      </c>
      <c r="M386" s="5" t="n">
        <v>0</v>
      </c>
      <c r="N386" s="5" t="n">
        <v>0</v>
      </c>
      <c r="O386" s="5" t="n">
        <v>0</v>
      </c>
      <c r="P386" s="5" t="n">
        <v>0</v>
      </c>
      <c r="Q386" s="5" t="n">
        <v>1</v>
      </c>
      <c r="R386" s="5" t="n">
        <v>1</v>
      </c>
      <c r="S386" s="5" t="n">
        <v>0</v>
      </c>
      <c r="T386" s="5" t="n">
        <v>0</v>
      </c>
      <c r="U386" s="5" t="inlineStr">
        <is>
          <t>testing</t>
        </is>
      </c>
    </row>
    <row r="387">
      <c r="A387" s="5" t="n">
        <v>383</v>
      </c>
      <c r="B387" s="5" t="n">
        <v>0</v>
      </c>
      <c r="C387" s="6" t="n">
        <v>0.1068884982114086</v>
      </c>
      <c r="D387" s="6" t="n">
        <v>-0.688482448455123</v>
      </c>
      <c r="E387" s="6" t="n">
        <v>-0.9166956381570004</v>
      </c>
      <c r="F387" s="6" t="n">
        <v>0.9185437189662378</v>
      </c>
      <c r="G387" s="5" t="n">
        <v>0</v>
      </c>
      <c r="H387" s="5" t="n">
        <v>0</v>
      </c>
      <c r="I387" s="5" t="n">
        <v>0</v>
      </c>
      <c r="J387" s="5" t="n">
        <v>0</v>
      </c>
      <c r="K387" s="5" t="n">
        <v>0</v>
      </c>
      <c r="L387" s="5" t="n">
        <v>0</v>
      </c>
      <c r="M387" s="5" t="n">
        <v>0</v>
      </c>
      <c r="N387" s="5" t="n">
        <v>0</v>
      </c>
      <c r="O387" s="5" t="n">
        <v>1</v>
      </c>
      <c r="P387" s="5" t="n">
        <v>1</v>
      </c>
      <c r="Q387" s="5" t="n">
        <v>0</v>
      </c>
      <c r="R387" s="5" t="n">
        <v>1</v>
      </c>
      <c r="S387" s="5" t="n">
        <v>0</v>
      </c>
      <c r="T387" s="5" t="n">
        <v>0</v>
      </c>
      <c r="U387" s="5" t="inlineStr">
        <is>
          <t>training</t>
        </is>
      </c>
    </row>
    <row r="388">
      <c r="A388" s="5" t="n">
        <v>384</v>
      </c>
      <c r="B388" s="5" t="n">
        <v>0</v>
      </c>
      <c r="C388" s="6" t="n">
        <v>-0.7357010147163632</v>
      </c>
      <c r="D388" s="6" t="n">
        <v>-0.6720374895915838</v>
      </c>
      <c r="E388" s="6" t="n">
        <v>-0.8297226174589928</v>
      </c>
      <c r="F388" s="6" t="n">
        <v>0.9185437189662378</v>
      </c>
      <c r="G388" s="5" t="n">
        <v>0</v>
      </c>
      <c r="H388" s="5" t="n">
        <v>0</v>
      </c>
      <c r="I388" s="5" t="n">
        <v>1</v>
      </c>
      <c r="J388" s="5" t="n">
        <v>0</v>
      </c>
      <c r="K388" s="5" t="n">
        <v>0</v>
      </c>
      <c r="L388" s="5" t="n">
        <v>0</v>
      </c>
      <c r="M388" s="5" t="n">
        <v>0</v>
      </c>
      <c r="N388" s="5" t="n">
        <v>0</v>
      </c>
      <c r="O388" s="5" t="n">
        <v>0</v>
      </c>
      <c r="P388" s="5" t="n">
        <v>0</v>
      </c>
      <c r="Q388" s="5" t="n">
        <v>0</v>
      </c>
      <c r="R388" s="5" t="n">
        <v>1</v>
      </c>
      <c r="S388" s="5" t="n">
        <v>0</v>
      </c>
      <c r="T388" s="5" t="n">
        <v>0</v>
      </c>
      <c r="U388" s="5" t="inlineStr">
        <is>
          <t>training</t>
        </is>
      </c>
    </row>
    <row r="389">
      <c r="A389" s="5" t="n">
        <v>385</v>
      </c>
      <c r="B389" s="5" t="n">
        <v>0</v>
      </c>
      <c r="C389" s="6" t="n">
        <v>0.7809601085536261</v>
      </c>
      <c r="D389" s="6" t="n">
        <v>0.3573469567176091</v>
      </c>
      <c r="E389" s="6" t="n">
        <v>-0.8297226174589928</v>
      </c>
      <c r="F389" s="6" t="n">
        <v>-0.8850484360866833</v>
      </c>
      <c r="G389" s="5" t="n">
        <v>0</v>
      </c>
      <c r="H389" s="5" t="n">
        <v>0</v>
      </c>
      <c r="I389" s="5" t="n">
        <v>0</v>
      </c>
      <c r="J389" s="5" t="n">
        <v>0</v>
      </c>
      <c r="K389" s="5" t="n">
        <v>1</v>
      </c>
      <c r="L389" s="5" t="n">
        <v>0</v>
      </c>
      <c r="M389" s="5" t="n">
        <v>1</v>
      </c>
      <c r="N389" s="5" t="n">
        <v>0</v>
      </c>
      <c r="O389" s="5" t="n">
        <v>0</v>
      </c>
      <c r="P389" s="5" t="n">
        <v>0</v>
      </c>
      <c r="Q389" s="5" t="n">
        <v>0</v>
      </c>
      <c r="R389" s="5" t="n">
        <v>0</v>
      </c>
      <c r="S389" s="5" t="n">
        <v>0</v>
      </c>
      <c r="T389" s="5" t="n">
        <v>0</v>
      </c>
      <c r="U389" s="5" t="inlineStr">
        <is>
          <t>training</t>
        </is>
      </c>
    </row>
    <row r="390">
      <c r="A390" s="5" t="n">
        <v>386</v>
      </c>
      <c r="B390" s="5" t="n">
        <v>0</v>
      </c>
      <c r="C390" s="6" t="n">
        <v>-0.2301473069597001</v>
      </c>
      <c r="D390" s="6" t="n">
        <v>-0.3543348800576793</v>
      </c>
      <c r="E390" s="6" t="n">
        <v>-0.9166956381570004</v>
      </c>
      <c r="F390" s="6" t="n">
        <v>-0.8850484360866833</v>
      </c>
      <c r="G390" s="5" t="n">
        <v>0</v>
      </c>
      <c r="H390" s="5" t="n">
        <v>0</v>
      </c>
      <c r="I390" s="5" t="n">
        <v>0</v>
      </c>
      <c r="J390" s="5" t="n">
        <v>1</v>
      </c>
      <c r="K390" s="5" t="n">
        <v>0</v>
      </c>
      <c r="L390" s="5" t="n">
        <v>0</v>
      </c>
      <c r="M390" s="5" t="n">
        <v>0</v>
      </c>
      <c r="N390" s="5" t="n">
        <v>0</v>
      </c>
      <c r="O390" s="5" t="n">
        <v>0</v>
      </c>
      <c r="P390" s="5" t="n">
        <v>0</v>
      </c>
      <c r="Q390" s="5" t="n">
        <v>0</v>
      </c>
      <c r="R390" s="5" t="n">
        <v>0</v>
      </c>
      <c r="S390" s="5" t="n">
        <v>1</v>
      </c>
      <c r="T390" s="5" t="n">
        <v>0</v>
      </c>
      <c r="U390" s="5" t="inlineStr">
        <is>
          <t>testing</t>
        </is>
      </c>
    </row>
    <row r="391">
      <c r="A391" s="5" t="n">
        <v>387</v>
      </c>
      <c r="B391" s="5" t="n">
        <v>0</v>
      </c>
      <c r="C391" s="6" t="n">
        <v>-0.2301473069597001</v>
      </c>
      <c r="D391" s="6" t="n">
        <v>-0.7434156089141791</v>
      </c>
      <c r="E391" s="6" t="n">
        <v>-1.264587720949031</v>
      </c>
      <c r="F391" s="6" t="n">
        <v>0.9185437189662378</v>
      </c>
      <c r="G391" s="5" t="n">
        <v>0</v>
      </c>
      <c r="H391" s="5" t="n">
        <v>0</v>
      </c>
      <c r="I391" s="5" t="n">
        <v>0</v>
      </c>
      <c r="J391" s="5" t="n">
        <v>0</v>
      </c>
      <c r="K391" s="5" t="n">
        <v>0</v>
      </c>
      <c r="L391" s="5" t="n">
        <v>0</v>
      </c>
      <c r="M391" s="5" t="n">
        <v>0</v>
      </c>
      <c r="N391" s="5" t="n">
        <v>0</v>
      </c>
      <c r="O391" s="5" t="n">
        <v>1</v>
      </c>
      <c r="P391" s="5" t="n">
        <v>1</v>
      </c>
      <c r="Q391" s="5" t="n">
        <v>0</v>
      </c>
      <c r="R391" s="5" t="n">
        <v>0</v>
      </c>
      <c r="S391" s="5" t="n">
        <v>1</v>
      </c>
      <c r="T391" s="5" t="n">
        <v>0</v>
      </c>
      <c r="U391" s="5" t="inlineStr">
        <is>
          <t>testing</t>
        </is>
      </c>
    </row>
    <row r="392">
      <c r="A392" s="5" t="n">
        <v>388</v>
      </c>
      <c r="B392" s="5" t="n">
        <v>0</v>
      </c>
      <c r="C392" s="6" t="n">
        <v>-0.2301473069597001</v>
      </c>
      <c r="D392" s="6" t="n">
        <v>1.442714241711191</v>
      </c>
      <c r="E392" s="6" t="n">
        <v>0.3878996723131141</v>
      </c>
      <c r="F392" s="6" t="n">
        <v>0.9185437189662378</v>
      </c>
      <c r="G392" s="5" t="n">
        <v>0</v>
      </c>
      <c r="H392" s="5" t="n">
        <v>1</v>
      </c>
      <c r="I392" s="5" t="n">
        <v>0</v>
      </c>
      <c r="J392" s="5" t="n">
        <v>1</v>
      </c>
      <c r="K392" s="5" t="n">
        <v>0</v>
      </c>
      <c r="L392" s="5" t="n">
        <v>0</v>
      </c>
      <c r="M392" s="5" t="n">
        <v>0</v>
      </c>
      <c r="N392" s="5" t="n">
        <v>0</v>
      </c>
      <c r="O392" s="5" t="n">
        <v>0</v>
      </c>
      <c r="P392" s="5" t="n">
        <v>0</v>
      </c>
      <c r="Q392" s="5" t="n">
        <v>0</v>
      </c>
      <c r="R392" s="5" t="n">
        <v>0</v>
      </c>
      <c r="S392" s="5" t="n">
        <v>0</v>
      </c>
      <c r="T392" s="5" t="n">
        <v>1</v>
      </c>
      <c r="U392" s="5" t="inlineStr">
        <is>
          <t>training</t>
        </is>
      </c>
    </row>
    <row r="393">
      <c r="A393" s="5" t="n">
        <v>389</v>
      </c>
      <c r="B393" s="5" t="n">
        <v>0</v>
      </c>
      <c r="C393" s="6" t="n">
        <v>-0.4829241608380317</v>
      </c>
      <c r="D393" s="6" t="n">
        <v>-0.3235443187812657</v>
      </c>
      <c r="E393" s="6" t="n">
        <v>-0.7427495967609852</v>
      </c>
      <c r="F393" s="6" t="n">
        <v>-0.8850484360866833</v>
      </c>
      <c r="G393" s="5" t="n">
        <v>0</v>
      </c>
      <c r="H393" s="5" t="n">
        <v>1</v>
      </c>
      <c r="I393" s="5" t="n">
        <v>0</v>
      </c>
      <c r="J393" s="5" t="n">
        <v>1</v>
      </c>
      <c r="K393" s="5" t="n">
        <v>0</v>
      </c>
      <c r="L393" s="5" t="n">
        <v>0</v>
      </c>
      <c r="M393" s="5" t="n">
        <v>1</v>
      </c>
      <c r="N393" s="5" t="n">
        <v>0</v>
      </c>
      <c r="O393" s="5" t="n">
        <v>0</v>
      </c>
      <c r="P393" s="5" t="n">
        <v>0</v>
      </c>
      <c r="Q393" s="5" t="n">
        <v>0</v>
      </c>
      <c r="R393" s="5" t="n">
        <v>0</v>
      </c>
      <c r="S393" s="5" t="n">
        <v>0</v>
      </c>
      <c r="T393" s="5" t="n">
        <v>0</v>
      </c>
      <c r="U393" s="5" t="inlineStr">
        <is>
          <t>testing</t>
        </is>
      </c>
    </row>
    <row r="394">
      <c r="A394" s="5" t="n">
        <v>390</v>
      </c>
      <c r="B394" s="5" t="n">
        <v>0</v>
      </c>
      <c r="C394" s="6" t="n">
        <v>-0.9884778685946948</v>
      </c>
      <c r="D394" s="6" t="n">
        <v>-0.63040025332007</v>
      </c>
      <c r="E394" s="6" t="n">
        <v>-0.7427495967609852</v>
      </c>
      <c r="F394" s="6" t="n">
        <v>0.01674764143977723</v>
      </c>
      <c r="G394" s="5" t="n">
        <v>0</v>
      </c>
      <c r="H394" s="5" t="n">
        <v>0</v>
      </c>
      <c r="I394" s="5" t="n">
        <v>0</v>
      </c>
      <c r="J394" s="5" t="n">
        <v>0</v>
      </c>
      <c r="K394" s="5" t="n">
        <v>0</v>
      </c>
      <c r="L394" s="5" t="n">
        <v>0</v>
      </c>
      <c r="M394" s="5" t="n">
        <v>0</v>
      </c>
      <c r="N394" s="5" t="n">
        <v>0</v>
      </c>
      <c r="O394" s="5" t="n">
        <v>0</v>
      </c>
      <c r="P394" s="5" t="n">
        <v>0</v>
      </c>
      <c r="Q394" s="5" t="n">
        <v>0</v>
      </c>
      <c r="R394" s="5" t="n">
        <v>0</v>
      </c>
      <c r="S394" s="5" t="n">
        <v>0</v>
      </c>
      <c r="T394" s="5" t="n">
        <v>0</v>
      </c>
      <c r="U394" s="5" t="inlineStr">
        <is>
          <t>training</t>
        </is>
      </c>
    </row>
    <row r="395">
      <c r="A395" s="5" t="n">
        <v>391</v>
      </c>
      <c r="B395" s="5" t="n">
        <v>0</v>
      </c>
      <c r="C395" s="6" t="n">
        <v>-0.2301473069597001</v>
      </c>
      <c r="D395" s="6" t="n">
        <v>-0.5005900461206442</v>
      </c>
      <c r="E395" s="6" t="n">
        <v>-0.4818305346669622</v>
      </c>
      <c r="F395" s="6" t="n">
        <v>-0.8850484360866833</v>
      </c>
      <c r="G395" s="5" t="n">
        <v>0</v>
      </c>
      <c r="H395" s="5" t="n">
        <v>0</v>
      </c>
      <c r="I395" s="5" t="n">
        <v>0</v>
      </c>
      <c r="J395" s="5" t="n">
        <v>0</v>
      </c>
      <c r="K395" s="5" t="n">
        <v>0</v>
      </c>
      <c r="L395" s="5" t="n">
        <v>0</v>
      </c>
      <c r="M395" s="5" t="n">
        <v>0</v>
      </c>
      <c r="N395" s="5" t="n">
        <v>0</v>
      </c>
      <c r="O395" s="5" t="n">
        <v>0</v>
      </c>
      <c r="P395" s="5" t="n">
        <v>0</v>
      </c>
      <c r="Q395" s="5" t="n">
        <v>0</v>
      </c>
      <c r="R395" s="5" t="n">
        <v>1</v>
      </c>
      <c r="S395" s="5" t="n">
        <v>0</v>
      </c>
      <c r="T395" s="5" t="n">
        <v>0</v>
      </c>
      <c r="U395" s="5" t="inlineStr">
        <is>
          <t>training</t>
        </is>
      </c>
    </row>
    <row r="396">
      <c r="A396" s="5" t="n">
        <v>392</v>
      </c>
      <c r="B396" s="5" t="n">
        <v>0</v>
      </c>
      <c r="C396" s="6" t="n">
        <v>-0.7357010147163632</v>
      </c>
      <c r="D396" s="6" t="n">
        <v>-0.7934502709883514</v>
      </c>
      <c r="E396" s="6" t="n">
        <v>-1.438533762345046</v>
      </c>
      <c r="F396" s="6" t="n">
        <v>-1.786844513613144</v>
      </c>
      <c r="G396" s="5" t="n">
        <v>0</v>
      </c>
      <c r="H396" s="5" t="n">
        <v>1</v>
      </c>
      <c r="I396" s="5" t="n">
        <v>0</v>
      </c>
      <c r="J396" s="5" t="n">
        <v>0</v>
      </c>
      <c r="K396" s="5" t="n">
        <v>0</v>
      </c>
      <c r="L396" s="5" t="n">
        <v>0</v>
      </c>
      <c r="M396" s="5" t="n">
        <v>0</v>
      </c>
      <c r="N396" s="5" t="n">
        <v>1</v>
      </c>
      <c r="O396" s="5" t="n">
        <v>0</v>
      </c>
      <c r="P396" s="5" t="n">
        <v>1</v>
      </c>
      <c r="Q396" s="5" t="n">
        <v>0</v>
      </c>
      <c r="R396" s="5" t="n">
        <v>0</v>
      </c>
      <c r="S396" s="5" t="n">
        <v>0</v>
      </c>
      <c r="T396" s="5" t="n">
        <v>1</v>
      </c>
      <c r="U396" s="5" t="inlineStr">
        <is>
          <t>testing</t>
        </is>
      </c>
    </row>
    <row r="397">
      <c r="A397" s="5" t="n">
        <v>393</v>
      </c>
      <c r="B397" s="5" t="n">
        <v>0</v>
      </c>
      <c r="C397" s="6" t="n">
        <v>1.286513816310289</v>
      </c>
      <c r="D397" s="6" t="n">
        <v>-0.0005933181206996506</v>
      </c>
      <c r="E397" s="6" t="n">
        <v>0.3009266516151065</v>
      </c>
      <c r="F397" s="6" t="n">
        <v>-0.8850484360866833</v>
      </c>
      <c r="G397" s="5" t="n">
        <v>1</v>
      </c>
      <c r="H397" s="5" t="n">
        <v>0</v>
      </c>
      <c r="I397" s="5" t="n">
        <v>0</v>
      </c>
      <c r="J397" s="5" t="n">
        <v>0</v>
      </c>
      <c r="K397" s="5" t="n">
        <v>0</v>
      </c>
      <c r="L397" s="5" t="n">
        <v>0</v>
      </c>
      <c r="M397" s="5" t="n">
        <v>0</v>
      </c>
      <c r="N397" s="5" t="n">
        <v>0</v>
      </c>
      <c r="O397" s="5" t="n">
        <v>0</v>
      </c>
      <c r="P397" s="5" t="n">
        <v>0</v>
      </c>
      <c r="Q397" s="5" t="n">
        <v>1</v>
      </c>
      <c r="R397" s="5" t="n">
        <v>1</v>
      </c>
      <c r="S397" s="5" t="n">
        <v>0</v>
      </c>
      <c r="T397" s="5" t="n">
        <v>0</v>
      </c>
      <c r="U397" s="5" t="inlineStr">
        <is>
          <t>testing</t>
        </is>
      </c>
    </row>
    <row r="398">
      <c r="A398" s="5" t="n">
        <v>394</v>
      </c>
      <c r="B398" s="5" t="n">
        <v>0</v>
      </c>
      <c r="C398" s="6" t="n">
        <v>-1.241254722473026</v>
      </c>
      <c r="D398" s="6" t="n">
        <v>-0.4526547404971366</v>
      </c>
      <c r="E398" s="6" t="n">
        <v>-0.3948575139689546</v>
      </c>
      <c r="F398" s="6" t="n">
        <v>-1.786844513613144</v>
      </c>
      <c r="G398" s="5" t="n">
        <v>1</v>
      </c>
      <c r="H398" s="5" t="n">
        <v>0</v>
      </c>
      <c r="I398" s="5" t="n">
        <v>0</v>
      </c>
      <c r="J398" s="5" t="n">
        <v>1</v>
      </c>
      <c r="K398" s="5" t="n">
        <v>0</v>
      </c>
      <c r="L398" s="5" t="n">
        <v>0</v>
      </c>
      <c r="M398" s="5" t="n">
        <v>0</v>
      </c>
      <c r="N398" s="5" t="n">
        <v>0</v>
      </c>
      <c r="O398" s="5" t="n">
        <v>0</v>
      </c>
      <c r="P398" s="5" t="n">
        <v>0</v>
      </c>
      <c r="Q398" s="5" t="n">
        <v>0</v>
      </c>
      <c r="R398" s="5" t="n">
        <v>0</v>
      </c>
      <c r="S398" s="5" t="n">
        <v>1</v>
      </c>
      <c r="T398" s="5" t="n">
        <v>0</v>
      </c>
      <c r="U398" s="5" t="inlineStr">
        <is>
          <t>testing</t>
        </is>
      </c>
    </row>
    <row r="399">
      <c r="A399" s="5" t="n">
        <v>395</v>
      </c>
      <c r="B399" s="5" t="n">
        <v>0</v>
      </c>
      <c r="C399" s="6" t="n">
        <v>-0.9884778685946948</v>
      </c>
      <c r="D399" s="6" t="n">
        <v>-0.2955528994390714</v>
      </c>
      <c r="E399" s="6" t="n">
        <v>-0.3948575139689546</v>
      </c>
      <c r="F399" s="6" t="n">
        <v>-0.8850484360866833</v>
      </c>
      <c r="G399" s="5" t="n">
        <v>0</v>
      </c>
      <c r="H399" s="5" t="n">
        <v>0</v>
      </c>
      <c r="I399" s="5" t="n">
        <v>0</v>
      </c>
      <c r="J399" s="5" t="n">
        <v>1</v>
      </c>
      <c r="K399" s="5" t="n">
        <v>0</v>
      </c>
      <c r="L399" s="5" t="n">
        <v>0</v>
      </c>
      <c r="M399" s="5" t="n">
        <v>0</v>
      </c>
      <c r="N399" s="5" t="n">
        <v>0</v>
      </c>
      <c r="O399" s="5" t="n">
        <v>0</v>
      </c>
      <c r="P399" s="5" t="n">
        <v>0</v>
      </c>
      <c r="Q399" s="5" t="n">
        <v>0</v>
      </c>
      <c r="R399" s="5" t="n">
        <v>0</v>
      </c>
      <c r="S399" s="5" t="n">
        <v>0</v>
      </c>
      <c r="T399" s="5" t="n">
        <v>1</v>
      </c>
      <c r="U399" s="5" t="inlineStr">
        <is>
          <t>training</t>
        </is>
      </c>
    </row>
    <row r="400">
      <c r="A400" s="5" t="n">
        <v>396</v>
      </c>
      <c r="B400" s="5" t="n">
        <v>0</v>
      </c>
      <c r="C400" s="6" t="n">
        <v>1.539290670188621</v>
      </c>
      <c r="D400" s="6" t="n">
        <v>2.97734380714699</v>
      </c>
      <c r="E400" s="6" t="n">
        <v>-0.307884493270947</v>
      </c>
      <c r="F400" s="6" t="n">
        <v>-0.8850484360866833</v>
      </c>
      <c r="G400" s="5" t="n">
        <v>0</v>
      </c>
      <c r="H400" s="5" t="n">
        <v>1</v>
      </c>
      <c r="I400" s="5" t="n">
        <v>0</v>
      </c>
      <c r="J400" s="5" t="n">
        <v>0</v>
      </c>
      <c r="K400" s="5" t="n">
        <v>1</v>
      </c>
      <c r="L400" s="5" t="n">
        <v>0</v>
      </c>
      <c r="M400" s="5" t="n">
        <v>1</v>
      </c>
      <c r="N400" s="5" t="n">
        <v>0</v>
      </c>
      <c r="O400" s="5" t="n">
        <v>0</v>
      </c>
      <c r="P400" s="5" t="n">
        <v>1</v>
      </c>
      <c r="Q400" s="5" t="n">
        <v>0</v>
      </c>
      <c r="R400" s="5" t="n">
        <v>0</v>
      </c>
      <c r="S400" s="5" t="n">
        <v>0</v>
      </c>
      <c r="T400" s="5" t="n">
        <v>0</v>
      </c>
      <c r="U400" s="5" t="inlineStr">
        <is>
          <t>training</t>
        </is>
      </c>
    </row>
    <row r="401">
      <c r="A401" s="5" t="n">
        <v>397</v>
      </c>
      <c r="B401" s="5" t="n">
        <v>0</v>
      </c>
      <c r="C401" s="6" t="n">
        <v>-0.7357010147163632</v>
      </c>
      <c r="D401" s="6" t="n">
        <v>-0.2353713478533538</v>
      </c>
      <c r="E401" s="6" t="n">
        <v>1.692494982783229</v>
      </c>
      <c r="F401" s="6" t="n">
        <v>0.01674764143977723</v>
      </c>
      <c r="G401" s="5" t="n">
        <v>1</v>
      </c>
      <c r="H401" s="5" t="n">
        <v>0</v>
      </c>
      <c r="I401" s="5" t="n">
        <v>0</v>
      </c>
      <c r="J401" s="5" t="n">
        <v>0</v>
      </c>
      <c r="K401" s="5" t="n">
        <v>0</v>
      </c>
      <c r="L401" s="5" t="n">
        <v>0</v>
      </c>
      <c r="M401" s="5" t="n">
        <v>0</v>
      </c>
      <c r="N401" s="5" t="n">
        <v>0</v>
      </c>
      <c r="O401" s="5" t="n">
        <v>0</v>
      </c>
      <c r="P401" s="5" t="n">
        <v>0</v>
      </c>
      <c r="Q401" s="5" t="n">
        <v>1</v>
      </c>
      <c r="R401" s="5" t="n">
        <v>0</v>
      </c>
      <c r="S401" s="5" t="n">
        <v>0</v>
      </c>
      <c r="T401" s="5" t="n">
        <v>1</v>
      </c>
      <c r="U401" s="5" t="inlineStr">
        <is>
          <t>testing</t>
        </is>
      </c>
    </row>
    <row r="402">
      <c r="A402" s="5" t="n">
        <v>398</v>
      </c>
      <c r="B402" s="5" t="n">
        <v>0</v>
      </c>
      <c r="C402" s="6" t="n">
        <v>1.286513816310289</v>
      </c>
      <c r="D402" s="6" t="n">
        <v>-0.3158466784621622</v>
      </c>
      <c r="E402" s="6" t="n">
        <v>0.9097377965011599</v>
      </c>
      <c r="F402" s="6" t="n">
        <v>0.01674764143977723</v>
      </c>
      <c r="G402" s="5" t="n">
        <v>1</v>
      </c>
      <c r="H402" s="5" t="n">
        <v>0</v>
      </c>
      <c r="I402" s="5" t="n">
        <v>0</v>
      </c>
      <c r="J402" s="5" t="n">
        <v>1</v>
      </c>
      <c r="K402" s="5" t="n">
        <v>0</v>
      </c>
      <c r="L402" s="5" t="n">
        <v>0</v>
      </c>
      <c r="M402" s="5" t="n">
        <v>0</v>
      </c>
      <c r="N402" s="5" t="n">
        <v>0</v>
      </c>
      <c r="O402" s="5" t="n">
        <v>0</v>
      </c>
      <c r="P402" s="5" t="n">
        <v>0</v>
      </c>
      <c r="Q402" s="5" t="n">
        <v>0</v>
      </c>
      <c r="R402" s="5" t="n">
        <v>0</v>
      </c>
      <c r="S402" s="5" t="n">
        <v>0</v>
      </c>
      <c r="T402" s="5" t="n">
        <v>1</v>
      </c>
      <c r="U402" s="5" t="inlineStr">
        <is>
          <t>testing</t>
        </is>
      </c>
    </row>
    <row r="403">
      <c r="A403" s="5" t="n">
        <v>399</v>
      </c>
      <c r="B403" s="5" t="n">
        <v>1</v>
      </c>
      <c r="C403" s="6" t="n">
        <v>-0.7357010147163632</v>
      </c>
      <c r="D403" s="6" t="n">
        <v>-0.7094760129617687</v>
      </c>
      <c r="E403" s="6" t="n">
        <v>0.9097377965011599</v>
      </c>
      <c r="F403" s="6" t="n">
        <v>-1.786844513613144</v>
      </c>
      <c r="G403" s="5" t="n">
        <v>0</v>
      </c>
      <c r="H403" s="5" t="n">
        <v>1</v>
      </c>
      <c r="I403" s="5" t="n">
        <v>0</v>
      </c>
      <c r="J403" s="5" t="n">
        <v>0</v>
      </c>
      <c r="K403" s="5" t="n">
        <v>0</v>
      </c>
      <c r="L403" s="5" t="n">
        <v>0</v>
      </c>
      <c r="M403" s="5" t="n">
        <v>0</v>
      </c>
      <c r="N403" s="5" t="n">
        <v>0</v>
      </c>
      <c r="O403" s="5" t="n">
        <v>0</v>
      </c>
      <c r="P403" s="5" t="n">
        <v>1</v>
      </c>
      <c r="Q403" s="5" t="n">
        <v>0</v>
      </c>
      <c r="R403" s="5" t="n">
        <v>1</v>
      </c>
      <c r="S403" s="5" t="n">
        <v>0</v>
      </c>
      <c r="T403" s="5" t="n">
        <v>0</v>
      </c>
      <c r="U403" s="5" t="inlineStr">
        <is>
          <t>training</t>
        </is>
      </c>
    </row>
    <row r="404">
      <c r="A404" s="5" t="n">
        <v>400</v>
      </c>
      <c r="B404" s="5" t="n">
        <v>0</v>
      </c>
      <c r="C404" s="6" t="n">
        <v>0.275406400796963</v>
      </c>
      <c r="D404" s="6" t="n">
        <v>-0.6069574396209823</v>
      </c>
      <c r="E404" s="6" t="n">
        <v>0.648818734407137</v>
      </c>
      <c r="F404" s="6" t="n">
        <v>0.9185437189662378</v>
      </c>
      <c r="G404" s="5" t="n">
        <v>0</v>
      </c>
      <c r="H404" s="5" t="n">
        <v>0</v>
      </c>
      <c r="I404" s="5" t="n">
        <v>0</v>
      </c>
      <c r="J404" s="5" t="n">
        <v>1</v>
      </c>
      <c r="K404" s="5" t="n">
        <v>0</v>
      </c>
      <c r="L404" s="5" t="n">
        <v>0</v>
      </c>
      <c r="M404" s="5" t="n">
        <v>0</v>
      </c>
      <c r="N404" s="5" t="n">
        <v>1</v>
      </c>
      <c r="O404" s="5" t="n">
        <v>0</v>
      </c>
      <c r="P404" s="5" t="n">
        <v>0</v>
      </c>
      <c r="Q404" s="5" t="n">
        <v>0</v>
      </c>
      <c r="R404" s="5" t="n">
        <v>0</v>
      </c>
      <c r="S404" s="5" t="n">
        <v>1</v>
      </c>
      <c r="T404" s="5" t="n">
        <v>0</v>
      </c>
      <c r="U404" s="5" t="inlineStr">
        <is>
          <t>training</t>
        </is>
      </c>
    </row>
    <row r="405">
      <c r="A405" s="5" t="n">
        <v>401</v>
      </c>
      <c r="B405" s="5" t="n">
        <v>0</v>
      </c>
      <c r="C405" s="6" t="n">
        <v>-0.2301473069597001</v>
      </c>
      <c r="D405" s="6" t="n">
        <v>-0.6220028275174116</v>
      </c>
      <c r="E405" s="6" t="n">
        <v>0.3009266516151065</v>
      </c>
      <c r="F405" s="6" t="n">
        <v>0.01674764143977723</v>
      </c>
      <c r="G405" s="5" t="n">
        <v>0</v>
      </c>
      <c r="H405" s="5" t="n">
        <v>0</v>
      </c>
      <c r="I405" s="5" t="n">
        <v>0</v>
      </c>
      <c r="J405" s="5" t="n">
        <v>0</v>
      </c>
      <c r="K405" s="5" t="n">
        <v>0</v>
      </c>
      <c r="L405" s="5" t="n">
        <v>0</v>
      </c>
      <c r="M405" s="5" t="n">
        <v>0</v>
      </c>
      <c r="N405" s="5" t="n">
        <v>0</v>
      </c>
      <c r="O405" s="5" t="n">
        <v>0</v>
      </c>
      <c r="P405" s="5" t="n">
        <v>0</v>
      </c>
      <c r="Q405" s="5" t="n">
        <v>0</v>
      </c>
      <c r="R405" s="5" t="n">
        <v>0</v>
      </c>
      <c r="S405" s="5" t="n">
        <v>1</v>
      </c>
      <c r="T405" s="5" t="n">
        <v>0</v>
      </c>
      <c r="U405" s="5" t="inlineStr">
        <is>
          <t>testing</t>
        </is>
      </c>
    </row>
    <row r="406">
      <c r="A406" s="5" t="n">
        <v>402</v>
      </c>
      <c r="B406" s="5" t="n">
        <v>0</v>
      </c>
      <c r="C406" s="6" t="n">
        <v>-0.2301473069597001</v>
      </c>
      <c r="D406" s="6" t="n">
        <v>-0.4771472324215565</v>
      </c>
      <c r="E406" s="6" t="n">
        <v>-0.6557765760629775</v>
      </c>
      <c r="F406" s="6" t="n">
        <v>0.9185437189662378</v>
      </c>
      <c r="G406" s="5" t="n">
        <v>0</v>
      </c>
      <c r="H406" s="5" t="n">
        <v>1</v>
      </c>
      <c r="I406" s="5" t="n">
        <v>0</v>
      </c>
      <c r="J406" s="5" t="n">
        <v>1</v>
      </c>
      <c r="K406" s="5" t="n">
        <v>0</v>
      </c>
      <c r="L406" s="5" t="n">
        <v>0</v>
      </c>
      <c r="M406" s="5" t="n">
        <v>0</v>
      </c>
      <c r="N406" s="5" t="n">
        <v>0</v>
      </c>
      <c r="O406" s="5" t="n">
        <v>1</v>
      </c>
      <c r="P406" s="5" t="n">
        <v>0</v>
      </c>
      <c r="Q406" s="5" t="n">
        <v>0</v>
      </c>
      <c r="R406" s="5" t="n">
        <v>0</v>
      </c>
      <c r="S406" s="5" t="n">
        <v>0</v>
      </c>
      <c r="T406" s="5" t="n">
        <v>0</v>
      </c>
      <c r="U406" s="5" t="inlineStr">
        <is>
          <t>training</t>
        </is>
      </c>
    </row>
    <row r="407">
      <c r="A407" s="5" t="n">
        <v>403</v>
      </c>
      <c r="B407" s="5" t="n">
        <v>1</v>
      </c>
      <c r="C407" s="6" t="n">
        <v>0.275406400796963</v>
      </c>
      <c r="D407" s="6" t="n">
        <v>1.888477594735634</v>
      </c>
      <c r="E407" s="6" t="n">
        <v>-0.7427495967609852</v>
      </c>
      <c r="F407" s="6" t="n">
        <v>-0.8850484360866833</v>
      </c>
      <c r="G407" s="5" t="n">
        <v>0</v>
      </c>
      <c r="H407" s="5" t="n">
        <v>0</v>
      </c>
      <c r="I407" s="5" t="n">
        <v>0</v>
      </c>
      <c r="J407" s="5" t="n">
        <v>0</v>
      </c>
      <c r="K407" s="5" t="n">
        <v>1</v>
      </c>
      <c r="L407" s="5" t="n">
        <v>0</v>
      </c>
      <c r="M407" s="5" t="n">
        <v>0</v>
      </c>
      <c r="N407" s="5" t="n">
        <v>0</v>
      </c>
      <c r="O407" s="5" t="n">
        <v>0</v>
      </c>
      <c r="P407" s="5" t="n">
        <v>0</v>
      </c>
      <c r="Q407" s="5" t="n">
        <v>0</v>
      </c>
      <c r="R407" s="5" t="n">
        <v>0</v>
      </c>
      <c r="S407" s="5" t="n">
        <v>0</v>
      </c>
      <c r="T407" s="5" t="n">
        <v>0</v>
      </c>
      <c r="U407" s="5" t="inlineStr">
        <is>
          <t>training</t>
        </is>
      </c>
    </row>
    <row r="408">
      <c r="A408" s="5" t="n">
        <v>404</v>
      </c>
      <c r="B408" s="5" t="n">
        <v>0</v>
      </c>
      <c r="C408" s="6" t="n">
        <v>-0.5671831121308089</v>
      </c>
      <c r="D408" s="6" t="n">
        <v>-0.8567808572500658</v>
      </c>
      <c r="E408" s="6" t="n">
        <v>-0.7427495967609852</v>
      </c>
      <c r="F408" s="6" t="n">
        <v>0.9185437189662378</v>
      </c>
      <c r="G408" s="5" t="n">
        <v>0</v>
      </c>
      <c r="H408" s="5" t="n">
        <v>0</v>
      </c>
      <c r="I408" s="5" t="n">
        <v>0</v>
      </c>
      <c r="J408" s="5" t="n">
        <v>0</v>
      </c>
      <c r="K408" s="5" t="n">
        <v>1</v>
      </c>
      <c r="L408" s="5" t="n">
        <v>0</v>
      </c>
      <c r="M408" s="5" t="n">
        <v>0</v>
      </c>
      <c r="N408" s="5" t="n">
        <v>0</v>
      </c>
      <c r="O408" s="5" t="n">
        <v>0</v>
      </c>
      <c r="P408" s="5" t="n">
        <v>0</v>
      </c>
      <c r="Q408" s="5" t="n">
        <v>0</v>
      </c>
      <c r="R408" s="5" t="n">
        <v>1</v>
      </c>
      <c r="S408" s="5" t="n">
        <v>0</v>
      </c>
      <c r="T408" s="5" t="n">
        <v>0</v>
      </c>
      <c r="U408" s="5" t="inlineStr">
        <is>
          <t>training</t>
        </is>
      </c>
    </row>
    <row r="409">
      <c r="A409" s="5" t="n">
        <v>405</v>
      </c>
      <c r="B409" s="5" t="n">
        <v>0</v>
      </c>
      <c r="C409" s="6" t="n">
        <v>-0.2301473069597001</v>
      </c>
      <c r="D409" s="6" t="n">
        <v>-0.1230557777427994</v>
      </c>
      <c r="E409" s="6" t="n">
        <v>0.648818734407137</v>
      </c>
      <c r="F409" s="6" t="n">
        <v>0.9185437189662378</v>
      </c>
      <c r="G409" s="5" t="n">
        <v>0</v>
      </c>
      <c r="H409" s="5" t="n">
        <v>1</v>
      </c>
      <c r="I409" s="5" t="n">
        <v>0</v>
      </c>
      <c r="J409" s="5" t="n">
        <v>0</v>
      </c>
      <c r="K409" s="5" t="n">
        <v>1</v>
      </c>
      <c r="L409" s="5" t="n">
        <v>0</v>
      </c>
      <c r="M409" s="5" t="n">
        <v>0</v>
      </c>
      <c r="N409" s="5" t="n">
        <v>0</v>
      </c>
      <c r="O409" s="5" t="n">
        <v>1</v>
      </c>
      <c r="P409" s="5" t="n">
        <v>0</v>
      </c>
      <c r="Q409" s="5" t="n">
        <v>0</v>
      </c>
      <c r="R409" s="5" t="n">
        <v>1</v>
      </c>
      <c r="S409" s="5" t="n">
        <v>0</v>
      </c>
      <c r="T409" s="5" t="n">
        <v>0</v>
      </c>
      <c r="U409" s="5" t="inlineStr">
        <is>
          <t>training</t>
        </is>
      </c>
    </row>
    <row r="410">
      <c r="A410" s="5" t="n">
        <v>406</v>
      </c>
      <c r="B410" s="5" t="n">
        <v>1</v>
      </c>
      <c r="C410" s="6" t="n">
        <v>0.275406400796963</v>
      </c>
      <c r="D410" s="6" t="n">
        <v>-0.4239635356713874</v>
      </c>
      <c r="E410" s="6" t="n">
        <v>-1.177614700251023</v>
      </c>
      <c r="F410" s="6" t="n">
        <v>-1.786844513613144</v>
      </c>
      <c r="G410" s="5" t="n">
        <v>0</v>
      </c>
      <c r="H410" s="5" t="n">
        <v>1</v>
      </c>
      <c r="I410" s="5" t="n">
        <v>0</v>
      </c>
      <c r="J410" s="5" t="n">
        <v>0</v>
      </c>
      <c r="K410" s="5" t="n">
        <v>0</v>
      </c>
      <c r="L410" s="5" t="n">
        <v>0</v>
      </c>
      <c r="M410" s="5" t="n">
        <v>0</v>
      </c>
      <c r="N410" s="5" t="n">
        <v>0</v>
      </c>
      <c r="O410" s="5" t="n">
        <v>0</v>
      </c>
      <c r="P410" s="5" t="n">
        <v>0</v>
      </c>
      <c r="Q410" s="5" t="n">
        <v>0</v>
      </c>
      <c r="R410" s="5" t="n">
        <v>0</v>
      </c>
      <c r="S410" s="5" t="n">
        <v>1</v>
      </c>
      <c r="T410" s="5" t="n">
        <v>0</v>
      </c>
      <c r="U410" s="5" t="inlineStr">
        <is>
          <t>training</t>
        </is>
      </c>
    </row>
    <row r="411">
      <c r="A411" s="5" t="n">
        <v>407</v>
      </c>
      <c r="B411" s="5" t="n">
        <v>0</v>
      </c>
      <c r="C411" s="6" t="n">
        <v>0.275406400796963</v>
      </c>
      <c r="D411" s="6" t="n">
        <v>-0.3686804824705538</v>
      </c>
      <c r="E411" s="6" t="n">
        <v>0.648818734407137</v>
      </c>
      <c r="F411" s="6" t="n">
        <v>0.9185437189662378</v>
      </c>
      <c r="G411" s="5" t="n">
        <v>0</v>
      </c>
      <c r="H411" s="5" t="n">
        <v>0</v>
      </c>
      <c r="I411" s="5" t="n">
        <v>0</v>
      </c>
      <c r="J411" s="5" t="n">
        <v>1</v>
      </c>
      <c r="K411" s="5" t="n">
        <v>0</v>
      </c>
      <c r="L411" s="5" t="n">
        <v>0</v>
      </c>
      <c r="M411" s="5" t="n">
        <v>0</v>
      </c>
      <c r="N411" s="5" t="n">
        <v>0</v>
      </c>
      <c r="O411" s="5" t="n">
        <v>1</v>
      </c>
      <c r="P411" s="5" t="n">
        <v>0</v>
      </c>
      <c r="Q411" s="5" t="n">
        <v>0</v>
      </c>
      <c r="R411" s="5" t="n">
        <v>1</v>
      </c>
      <c r="S411" s="5" t="n">
        <v>0</v>
      </c>
      <c r="T411" s="5" t="n">
        <v>0</v>
      </c>
      <c r="U411" s="5" t="inlineStr">
        <is>
          <t>training</t>
        </is>
      </c>
    </row>
    <row r="412">
      <c r="A412" s="5" t="n">
        <v>408</v>
      </c>
      <c r="B412" s="5" t="n">
        <v>0</v>
      </c>
      <c r="C412" s="6" t="n">
        <v>-0.4829241608380317</v>
      </c>
      <c r="D412" s="6" t="n">
        <v>-0.7689577790639314</v>
      </c>
      <c r="E412" s="6" t="n">
        <v>-0.7427495967609852</v>
      </c>
      <c r="F412" s="6" t="n">
        <v>0.9185437189662378</v>
      </c>
      <c r="G412" s="5" t="n">
        <v>1</v>
      </c>
      <c r="H412" s="5" t="n">
        <v>0</v>
      </c>
      <c r="I412" s="5" t="n">
        <v>0</v>
      </c>
      <c r="J412" s="5" t="n">
        <v>0</v>
      </c>
      <c r="K412" s="5" t="n">
        <v>0</v>
      </c>
      <c r="L412" s="5" t="n">
        <v>0</v>
      </c>
      <c r="M412" s="5" t="n">
        <v>0</v>
      </c>
      <c r="N412" s="5" t="n">
        <v>0</v>
      </c>
      <c r="O412" s="5" t="n">
        <v>0</v>
      </c>
      <c r="P412" s="5" t="n">
        <v>0</v>
      </c>
      <c r="Q412" s="5" t="n">
        <v>0</v>
      </c>
      <c r="R412" s="5" t="n">
        <v>0</v>
      </c>
      <c r="S412" s="5" t="n">
        <v>1</v>
      </c>
      <c r="T412" s="5" t="n">
        <v>0</v>
      </c>
      <c r="U412" s="5" t="inlineStr">
        <is>
          <t>testing</t>
        </is>
      </c>
    </row>
    <row r="413">
      <c r="A413" s="5" t="n">
        <v>409</v>
      </c>
      <c r="B413" s="5" t="n">
        <v>0</v>
      </c>
      <c r="C413" s="6" t="n">
        <v>0.275406400796963</v>
      </c>
      <c r="D413" s="6" t="n">
        <v>-0.005491816505583642</v>
      </c>
      <c r="E413" s="6" t="n">
        <v>-0.8297226174589928</v>
      </c>
      <c r="F413" s="6" t="n">
        <v>0.01674764143977723</v>
      </c>
      <c r="G413" s="5" t="n">
        <v>0</v>
      </c>
      <c r="H413" s="5" t="n">
        <v>0</v>
      </c>
      <c r="I413" s="5" t="n">
        <v>0</v>
      </c>
      <c r="J413" s="5" t="n">
        <v>0</v>
      </c>
      <c r="K413" s="5" t="n">
        <v>0</v>
      </c>
      <c r="L413" s="5" t="n">
        <v>0</v>
      </c>
      <c r="M413" s="5" t="n">
        <v>1</v>
      </c>
      <c r="N413" s="5" t="n">
        <v>0</v>
      </c>
      <c r="O413" s="5" t="n">
        <v>0</v>
      </c>
      <c r="P413" s="5" t="n">
        <v>0</v>
      </c>
      <c r="Q413" s="5" t="n">
        <v>0</v>
      </c>
      <c r="R413" s="5" t="n">
        <v>0</v>
      </c>
      <c r="S413" s="5" t="n">
        <v>1</v>
      </c>
      <c r="T413" s="5" t="n">
        <v>0</v>
      </c>
      <c r="U413" s="5" t="inlineStr">
        <is>
          <t>training</t>
        </is>
      </c>
    </row>
    <row r="414">
      <c r="A414" s="5" t="n">
        <v>410</v>
      </c>
      <c r="B414" s="5" t="n">
        <v>1</v>
      </c>
      <c r="C414" s="6" t="n">
        <v>-0.7357010147163632</v>
      </c>
      <c r="D414" s="6" t="n">
        <v>-0.8088455516265582</v>
      </c>
      <c r="E414" s="6" t="n">
        <v>-0.6557765760629775</v>
      </c>
      <c r="F414" s="6" t="n">
        <v>0.9185437189662378</v>
      </c>
      <c r="G414" s="5" t="n">
        <v>0</v>
      </c>
      <c r="H414" s="5" t="n">
        <v>0</v>
      </c>
      <c r="I414" s="5" t="n">
        <v>1</v>
      </c>
      <c r="J414" s="5" t="n">
        <v>1</v>
      </c>
      <c r="K414" s="5" t="n">
        <v>0</v>
      </c>
      <c r="L414" s="5" t="n">
        <v>0</v>
      </c>
      <c r="M414" s="5" t="n">
        <v>1</v>
      </c>
      <c r="N414" s="5" t="n">
        <v>0</v>
      </c>
      <c r="O414" s="5" t="n">
        <v>0</v>
      </c>
      <c r="P414" s="5" t="n">
        <v>0</v>
      </c>
      <c r="Q414" s="5" t="n">
        <v>0</v>
      </c>
      <c r="R414" s="5" t="n">
        <v>1</v>
      </c>
      <c r="S414" s="5" t="n">
        <v>0</v>
      </c>
      <c r="T414" s="5" t="n">
        <v>0</v>
      </c>
      <c r="U414" s="5" t="inlineStr">
        <is>
          <t>testing</t>
        </is>
      </c>
    </row>
    <row r="415">
      <c r="A415" s="5" t="n">
        <v>411</v>
      </c>
      <c r="B415" s="5" t="n">
        <v>0</v>
      </c>
      <c r="C415" s="6" t="n">
        <v>0.275406400796963</v>
      </c>
      <c r="D415" s="6" t="n">
        <v>-0.4491558130793623</v>
      </c>
      <c r="E415" s="6" t="n">
        <v>-1.351560741647039</v>
      </c>
      <c r="F415" s="6" t="n">
        <v>0.9185437189662378</v>
      </c>
      <c r="G415" s="5" t="n">
        <v>0</v>
      </c>
      <c r="H415" s="5" t="n">
        <v>1</v>
      </c>
      <c r="I415" s="5" t="n">
        <v>0</v>
      </c>
      <c r="J415" s="5" t="n">
        <v>0</v>
      </c>
      <c r="K415" s="5" t="n">
        <v>0</v>
      </c>
      <c r="L415" s="5" t="n">
        <v>0</v>
      </c>
      <c r="M415" s="5" t="n">
        <v>0</v>
      </c>
      <c r="N415" s="5" t="n">
        <v>0</v>
      </c>
      <c r="O415" s="5" t="n">
        <v>0</v>
      </c>
      <c r="P415" s="5" t="n">
        <v>0</v>
      </c>
      <c r="Q415" s="5" t="n">
        <v>0</v>
      </c>
      <c r="R415" s="5" t="n">
        <v>0</v>
      </c>
      <c r="S415" s="5" t="n">
        <v>1</v>
      </c>
      <c r="T415" s="5" t="n">
        <v>0</v>
      </c>
      <c r="U415" s="5" t="inlineStr">
        <is>
          <t>testing</t>
        </is>
      </c>
    </row>
    <row r="416">
      <c r="A416" s="5" t="n">
        <v>412</v>
      </c>
      <c r="B416" s="5" t="n">
        <v>0</v>
      </c>
      <c r="C416" s="6" t="n">
        <v>1.033736962431958</v>
      </c>
      <c r="D416" s="6" t="n">
        <v>1.400377219956122</v>
      </c>
      <c r="E416" s="6" t="n">
        <v>-0.04696543117692405</v>
      </c>
      <c r="F416" s="6" t="n">
        <v>0.01674764143977723</v>
      </c>
      <c r="G416" s="5" t="n">
        <v>0</v>
      </c>
      <c r="H416" s="5" t="n">
        <v>0</v>
      </c>
      <c r="I416" s="5" t="n">
        <v>0</v>
      </c>
      <c r="J416" s="5" t="n">
        <v>1</v>
      </c>
      <c r="K416" s="5" t="n">
        <v>0</v>
      </c>
      <c r="L416" s="5" t="n">
        <v>0</v>
      </c>
      <c r="M416" s="5" t="n">
        <v>0</v>
      </c>
      <c r="N416" s="5" t="n">
        <v>0</v>
      </c>
      <c r="O416" s="5" t="n">
        <v>0</v>
      </c>
      <c r="P416" s="5" t="n">
        <v>0</v>
      </c>
      <c r="Q416" s="5" t="n">
        <v>0</v>
      </c>
      <c r="R416" s="5" t="n">
        <v>1</v>
      </c>
      <c r="S416" s="5" t="n">
        <v>0</v>
      </c>
      <c r="T416" s="5" t="n">
        <v>0</v>
      </c>
      <c r="U416" s="5" t="inlineStr">
        <is>
          <t>testing</t>
        </is>
      </c>
    </row>
    <row r="417">
      <c r="A417" s="5" t="n">
        <v>413</v>
      </c>
      <c r="B417" s="5" t="n">
        <v>1</v>
      </c>
      <c r="C417" s="6" t="n">
        <v>-0.7357010147163632</v>
      </c>
      <c r="D417" s="6" t="n">
        <v>-0.3354406720016982</v>
      </c>
      <c r="E417" s="6" t="n">
        <v>0.5618457137091294</v>
      </c>
      <c r="F417" s="6" t="n">
        <v>0.9185437189662378</v>
      </c>
      <c r="G417" s="5" t="n">
        <v>0</v>
      </c>
      <c r="H417" s="5" t="n">
        <v>0</v>
      </c>
      <c r="I417" s="5" t="n">
        <v>0</v>
      </c>
      <c r="J417" s="5" t="n">
        <v>1</v>
      </c>
      <c r="K417" s="5" t="n">
        <v>0</v>
      </c>
      <c r="L417" s="5" t="n">
        <v>0</v>
      </c>
      <c r="M417" s="5" t="n">
        <v>0</v>
      </c>
      <c r="N417" s="5" t="n">
        <v>0</v>
      </c>
      <c r="O417" s="5" t="n">
        <v>0</v>
      </c>
      <c r="P417" s="5" t="n">
        <v>0</v>
      </c>
      <c r="Q417" s="5" t="n">
        <v>0</v>
      </c>
      <c r="R417" s="5" t="n">
        <v>0</v>
      </c>
      <c r="S417" s="5" t="n">
        <v>0</v>
      </c>
      <c r="T417" s="5" t="n">
        <v>0</v>
      </c>
      <c r="U417" s="5" t="inlineStr">
        <is>
          <t>training</t>
        </is>
      </c>
    </row>
    <row r="418">
      <c r="A418" s="5" t="n">
        <v>414</v>
      </c>
      <c r="B418" s="5" t="n">
        <v>0</v>
      </c>
      <c r="C418" s="6" t="n">
        <v>-0.9042189173019176</v>
      </c>
      <c r="D418" s="6" t="n">
        <v>-0.5786161275370106</v>
      </c>
      <c r="E418" s="6" t="n">
        <v>0.3878996723131141</v>
      </c>
      <c r="F418" s="6" t="n">
        <v>0.01674764143977723</v>
      </c>
      <c r="G418" s="5" t="n">
        <v>0</v>
      </c>
      <c r="H418" s="5" t="n">
        <v>0</v>
      </c>
      <c r="I418" s="5" t="n">
        <v>0</v>
      </c>
      <c r="J418" s="5" t="n">
        <v>0</v>
      </c>
      <c r="K418" s="5" t="n">
        <v>0</v>
      </c>
      <c r="L418" s="5" t="n">
        <v>0</v>
      </c>
      <c r="M418" s="5" t="n">
        <v>1</v>
      </c>
      <c r="N418" s="5" t="n">
        <v>0</v>
      </c>
      <c r="O418" s="5" t="n">
        <v>0</v>
      </c>
      <c r="P418" s="5" t="n">
        <v>1</v>
      </c>
      <c r="Q418" s="5" t="n">
        <v>0</v>
      </c>
      <c r="R418" s="5" t="n">
        <v>1</v>
      </c>
      <c r="S418" s="5" t="n">
        <v>0</v>
      </c>
      <c r="T418" s="5" t="n">
        <v>0</v>
      </c>
      <c r="U418" s="5" t="inlineStr">
        <is>
          <t>training</t>
        </is>
      </c>
    </row>
    <row r="419">
      <c r="A419" s="5" t="n">
        <v>415</v>
      </c>
      <c r="B419" s="5" t="n">
        <v>1</v>
      </c>
      <c r="C419" s="6" t="n">
        <v>0.275406400796963</v>
      </c>
      <c r="D419" s="6" t="n">
        <v>-0.6541929597609351</v>
      </c>
      <c r="E419" s="6" t="n">
        <v>-0.04696543117692405</v>
      </c>
      <c r="F419" s="6" t="n">
        <v>0.9185437189662378</v>
      </c>
      <c r="G419" s="5" t="n">
        <v>1</v>
      </c>
      <c r="H419" s="5" t="n">
        <v>0</v>
      </c>
      <c r="I419" s="5" t="n">
        <v>0</v>
      </c>
      <c r="J419" s="5" t="n">
        <v>0</v>
      </c>
      <c r="K419" s="5" t="n">
        <v>0</v>
      </c>
      <c r="L419" s="5" t="n">
        <v>0</v>
      </c>
      <c r="M419" s="5" t="n">
        <v>0</v>
      </c>
      <c r="N419" s="5" t="n">
        <v>0</v>
      </c>
      <c r="O419" s="5" t="n">
        <v>1</v>
      </c>
      <c r="P419" s="5" t="n">
        <v>0</v>
      </c>
      <c r="Q419" s="5" t="n">
        <v>0</v>
      </c>
      <c r="R419" s="5" t="n">
        <v>1</v>
      </c>
      <c r="S419" s="5" t="n">
        <v>0</v>
      </c>
      <c r="T419" s="5" t="n">
        <v>0</v>
      </c>
      <c r="U419" s="5" t="inlineStr">
        <is>
          <t>training</t>
        </is>
      </c>
    </row>
    <row r="420">
      <c r="A420" s="5" t="n">
        <v>416</v>
      </c>
      <c r="B420" s="5" t="n">
        <v>0</v>
      </c>
      <c r="C420" s="6" t="n">
        <v>1.286513816310289</v>
      </c>
      <c r="D420" s="6" t="n">
        <v>0.906678561308171</v>
      </c>
      <c r="E420" s="6" t="n">
        <v>-0.04696543117692405</v>
      </c>
      <c r="F420" s="6" t="n">
        <v>-0.8850484360866833</v>
      </c>
      <c r="G420" s="5" t="n">
        <v>0</v>
      </c>
      <c r="H420" s="5" t="n">
        <v>0</v>
      </c>
      <c r="I420" s="5" t="n">
        <v>0</v>
      </c>
      <c r="J420" s="5" t="n">
        <v>1</v>
      </c>
      <c r="K420" s="5" t="n">
        <v>0</v>
      </c>
      <c r="L420" s="5" t="n">
        <v>0</v>
      </c>
      <c r="M420" s="5" t="n">
        <v>0</v>
      </c>
      <c r="N420" s="5" t="n">
        <v>0</v>
      </c>
      <c r="O420" s="5" t="n">
        <v>0</v>
      </c>
      <c r="P420" s="5" t="n">
        <v>0</v>
      </c>
      <c r="Q420" s="5" t="n">
        <v>0</v>
      </c>
      <c r="R420" s="5" t="n">
        <v>1</v>
      </c>
      <c r="S420" s="5" t="n">
        <v>0</v>
      </c>
      <c r="T420" s="5" t="n">
        <v>0</v>
      </c>
      <c r="U420" s="5" t="inlineStr">
        <is>
          <t>training</t>
        </is>
      </c>
    </row>
    <row r="421">
      <c r="A421" s="5" t="n">
        <v>417</v>
      </c>
      <c r="B421" s="5" t="n">
        <v>1</v>
      </c>
      <c r="C421" s="6" t="n">
        <v>-0.7357010147163632</v>
      </c>
      <c r="D421" s="6" t="n">
        <v>-0.2350214551115764</v>
      </c>
      <c r="E421" s="6" t="n">
        <v>-0.2209114725729393</v>
      </c>
      <c r="F421" s="6" t="n">
        <v>0.9185437189662378</v>
      </c>
      <c r="G421" s="5" t="n">
        <v>1</v>
      </c>
      <c r="H421" s="5" t="n">
        <v>0</v>
      </c>
      <c r="I421" s="5" t="n">
        <v>0</v>
      </c>
      <c r="J421" s="5" t="n">
        <v>0</v>
      </c>
      <c r="K421" s="5" t="n">
        <v>0</v>
      </c>
      <c r="L421" s="5" t="n">
        <v>0</v>
      </c>
      <c r="M421" s="5" t="n">
        <v>0</v>
      </c>
      <c r="N421" s="5" t="n">
        <v>0</v>
      </c>
      <c r="O421" s="5" t="n">
        <v>0</v>
      </c>
      <c r="P421" s="5" t="n">
        <v>0</v>
      </c>
      <c r="Q421" s="5" t="n">
        <v>0</v>
      </c>
      <c r="R421" s="5" t="n">
        <v>1</v>
      </c>
      <c r="S421" s="5" t="n">
        <v>0</v>
      </c>
      <c r="T421" s="5" t="n">
        <v>0</v>
      </c>
      <c r="U421" s="5" t="inlineStr">
        <is>
          <t>testing</t>
        </is>
      </c>
    </row>
    <row r="422">
      <c r="A422" s="5" t="n">
        <v>418</v>
      </c>
      <c r="B422" s="5" t="n">
        <v>0</v>
      </c>
      <c r="C422" s="6" t="n">
        <v>-0.2301473069597001</v>
      </c>
      <c r="D422" s="6" t="n">
        <v>1.826546579441029</v>
      </c>
      <c r="E422" s="6" t="n">
        <v>-1.090641679553016</v>
      </c>
      <c r="F422" s="6" t="n">
        <v>-1.786844513613144</v>
      </c>
      <c r="G422" s="5" t="n">
        <v>1</v>
      </c>
      <c r="H422" s="5" t="n">
        <v>0</v>
      </c>
      <c r="I422" s="5" t="n">
        <v>0</v>
      </c>
      <c r="J422" s="5" t="n">
        <v>0</v>
      </c>
      <c r="K422" s="5" t="n">
        <v>1</v>
      </c>
      <c r="L422" s="5" t="n">
        <v>0</v>
      </c>
      <c r="M422" s="5" t="n">
        <v>0</v>
      </c>
      <c r="N422" s="5" t="n">
        <v>0</v>
      </c>
      <c r="O422" s="5" t="n">
        <v>1</v>
      </c>
      <c r="P422" s="5" t="n">
        <v>1</v>
      </c>
      <c r="Q422" s="5" t="n">
        <v>0</v>
      </c>
      <c r="R422" s="5" t="n">
        <v>0</v>
      </c>
      <c r="S422" s="5" t="n">
        <v>0</v>
      </c>
      <c r="T422" s="5" t="n">
        <v>0</v>
      </c>
      <c r="U422" s="5" t="inlineStr">
        <is>
          <t>training</t>
        </is>
      </c>
    </row>
    <row r="423">
      <c r="A423" s="5" t="n">
        <v>419</v>
      </c>
      <c r="B423" s="5" t="n">
        <v>0</v>
      </c>
      <c r="C423" s="6" t="n">
        <v>0.02262954691863145</v>
      </c>
      <c r="D423" s="6" t="n">
        <v>-0.1639932285307585</v>
      </c>
      <c r="E423" s="6" t="n">
        <v>-0.3948575139689546</v>
      </c>
      <c r="F423" s="6" t="n">
        <v>-1.786844513613144</v>
      </c>
      <c r="G423" s="5" t="n">
        <v>0</v>
      </c>
      <c r="H423" s="5" t="n">
        <v>0</v>
      </c>
      <c r="I423" s="5" t="n">
        <v>0</v>
      </c>
      <c r="J423" s="5" t="n">
        <v>0</v>
      </c>
      <c r="K423" s="5" t="n">
        <v>0</v>
      </c>
      <c r="L423" s="5" t="n">
        <v>0</v>
      </c>
      <c r="M423" s="5" t="n">
        <v>1</v>
      </c>
      <c r="N423" s="5" t="n">
        <v>0</v>
      </c>
      <c r="O423" s="5" t="n">
        <v>0</v>
      </c>
      <c r="P423" s="5" t="n">
        <v>0</v>
      </c>
      <c r="Q423" s="5" t="n">
        <v>0</v>
      </c>
      <c r="R423" s="5" t="n">
        <v>1</v>
      </c>
      <c r="S423" s="5" t="n">
        <v>0</v>
      </c>
      <c r="T423" s="5" t="n">
        <v>0</v>
      </c>
      <c r="U423" s="5" t="inlineStr">
        <is>
          <t>training</t>
        </is>
      </c>
    </row>
    <row r="424">
      <c r="A424" s="5" t="n">
        <v>420</v>
      </c>
      <c r="B424" s="5" t="n">
        <v>1</v>
      </c>
      <c r="C424" s="6" t="n">
        <v>-0.2301473069597001</v>
      </c>
      <c r="D424" s="6" t="n">
        <v>-0.7728065992234832</v>
      </c>
      <c r="E424" s="6" t="n">
        <v>-0.2209114725729393</v>
      </c>
      <c r="F424" s="6" t="n">
        <v>0.9185437189662378</v>
      </c>
      <c r="G424" s="5" t="n">
        <v>0</v>
      </c>
      <c r="H424" s="5" t="n">
        <v>1</v>
      </c>
      <c r="I424" s="5" t="n">
        <v>0</v>
      </c>
      <c r="J424" s="5" t="n">
        <v>0</v>
      </c>
      <c r="K424" s="5" t="n">
        <v>0</v>
      </c>
      <c r="L424" s="5" t="n">
        <v>0</v>
      </c>
      <c r="M424" s="5" t="n">
        <v>0</v>
      </c>
      <c r="N424" s="5" t="n">
        <v>0</v>
      </c>
      <c r="O424" s="5" t="n">
        <v>1</v>
      </c>
      <c r="P424" s="5" t="n">
        <v>0</v>
      </c>
      <c r="Q424" s="5" t="n">
        <v>0</v>
      </c>
      <c r="R424" s="5" t="n">
        <v>1</v>
      </c>
      <c r="S424" s="5" t="n">
        <v>0</v>
      </c>
      <c r="T424" s="5" t="n">
        <v>0</v>
      </c>
      <c r="U424" s="5" t="inlineStr">
        <is>
          <t>training</t>
        </is>
      </c>
    </row>
    <row r="425">
      <c r="A425" s="5" t="n">
        <v>421</v>
      </c>
      <c r="B425" s="5" t="n">
        <v>0</v>
      </c>
      <c r="C425" s="6" t="n">
        <v>-0.4829241608380317</v>
      </c>
      <c r="D425" s="6" t="n">
        <v>-0.02263656085267761</v>
      </c>
      <c r="E425" s="6" t="n">
        <v>-1.351560741647039</v>
      </c>
      <c r="F425" s="6" t="n">
        <v>-0.8850484360866833</v>
      </c>
      <c r="G425" s="5" t="n">
        <v>0</v>
      </c>
      <c r="H425" s="5" t="n">
        <v>0</v>
      </c>
      <c r="I425" s="5" t="n">
        <v>0</v>
      </c>
      <c r="J425" s="5" t="n">
        <v>0</v>
      </c>
      <c r="K425" s="5" t="n">
        <v>0</v>
      </c>
      <c r="L425" s="5" t="n">
        <v>0</v>
      </c>
      <c r="M425" s="5" t="n">
        <v>0</v>
      </c>
      <c r="N425" s="5" t="n">
        <v>1</v>
      </c>
      <c r="O425" s="5" t="n">
        <v>0</v>
      </c>
      <c r="P425" s="5" t="n">
        <v>1</v>
      </c>
      <c r="Q425" s="5" t="n">
        <v>0</v>
      </c>
      <c r="R425" s="5" t="n">
        <v>1</v>
      </c>
      <c r="S425" s="5" t="n">
        <v>0</v>
      </c>
      <c r="T425" s="5" t="n">
        <v>0</v>
      </c>
      <c r="U425" s="5" t="inlineStr">
        <is>
          <t>testing</t>
        </is>
      </c>
    </row>
    <row r="426">
      <c r="A426" s="5" t="n">
        <v>422</v>
      </c>
      <c r="B426" s="5" t="n">
        <v>0</v>
      </c>
      <c r="C426" s="6" t="n">
        <v>-0.7357010147163632</v>
      </c>
      <c r="D426" s="6" t="n">
        <v>-0.4278123558309392</v>
      </c>
      <c r="E426" s="6" t="n">
        <v>-0.4818305346669622</v>
      </c>
      <c r="F426" s="6" t="n">
        <v>0.9185437189662378</v>
      </c>
      <c r="G426" s="5" t="n">
        <v>0</v>
      </c>
      <c r="H426" s="5" t="n">
        <v>1</v>
      </c>
      <c r="I426" s="5" t="n">
        <v>0</v>
      </c>
      <c r="J426" s="5" t="n">
        <v>0</v>
      </c>
      <c r="K426" s="5" t="n">
        <v>0</v>
      </c>
      <c r="L426" s="5" t="n">
        <v>0</v>
      </c>
      <c r="M426" s="5" t="n">
        <v>0</v>
      </c>
      <c r="N426" s="5" t="n">
        <v>0</v>
      </c>
      <c r="O426" s="5" t="n">
        <v>1</v>
      </c>
      <c r="P426" s="5" t="n">
        <v>0</v>
      </c>
      <c r="Q426" s="5" t="n">
        <v>0</v>
      </c>
      <c r="R426" s="5" t="n">
        <v>1</v>
      </c>
      <c r="S426" s="5" t="n">
        <v>0</v>
      </c>
      <c r="T426" s="5" t="n">
        <v>0</v>
      </c>
      <c r="U426" s="5" t="inlineStr">
        <is>
          <t>training</t>
        </is>
      </c>
    </row>
    <row r="427">
      <c r="A427" s="5" t="n">
        <v>423</v>
      </c>
      <c r="B427" s="5" t="n">
        <v>0</v>
      </c>
      <c r="C427" s="6" t="n">
        <v>-0.7357010147163632</v>
      </c>
      <c r="D427" s="6" t="n">
        <v>-0.8021975895327871</v>
      </c>
      <c r="E427" s="6" t="n">
        <v>0.9967108171991675</v>
      </c>
      <c r="F427" s="6" t="n">
        <v>-0.8850484360866833</v>
      </c>
      <c r="G427" s="5" t="n">
        <v>0</v>
      </c>
      <c r="H427" s="5" t="n">
        <v>1</v>
      </c>
      <c r="I427" s="5" t="n">
        <v>0</v>
      </c>
      <c r="J427" s="5" t="n">
        <v>1</v>
      </c>
      <c r="K427" s="5" t="n">
        <v>0</v>
      </c>
      <c r="L427" s="5" t="n">
        <v>0</v>
      </c>
      <c r="M427" s="5" t="n">
        <v>0</v>
      </c>
      <c r="N427" s="5" t="n">
        <v>0</v>
      </c>
      <c r="O427" s="5" t="n">
        <v>0</v>
      </c>
      <c r="P427" s="5" t="n">
        <v>0</v>
      </c>
      <c r="Q427" s="5" t="n">
        <v>0</v>
      </c>
      <c r="R427" s="5" t="n">
        <v>1</v>
      </c>
      <c r="S427" s="5" t="n">
        <v>0</v>
      </c>
      <c r="T427" s="5" t="n">
        <v>0</v>
      </c>
      <c r="U427" s="5" t="inlineStr">
        <is>
          <t>training</t>
        </is>
      </c>
    </row>
    <row r="428">
      <c r="A428" s="5" t="n">
        <v>424</v>
      </c>
      <c r="B428" s="5" t="n">
        <v>0</v>
      </c>
      <c r="C428" s="6" t="n">
        <v>0.02262954691863145</v>
      </c>
      <c r="D428" s="6" t="n">
        <v>-0.5807154839876751</v>
      </c>
      <c r="E428" s="6" t="n">
        <v>-0.1339384518749317</v>
      </c>
      <c r="F428" s="6" t="n">
        <v>0.9185437189662378</v>
      </c>
      <c r="G428" s="5" t="n">
        <v>0</v>
      </c>
      <c r="H428" s="5" t="n">
        <v>0</v>
      </c>
      <c r="I428" s="5" t="n">
        <v>0</v>
      </c>
      <c r="J428" s="5" t="n">
        <v>0</v>
      </c>
      <c r="K428" s="5" t="n">
        <v>1</v>
      </c>
      <c r="L428" s="5" t="n">
        <v>0</v>
      </c>
      <c r="M428" s="5" t="n">
        <v>1</v>
      </c>
      <c r="N428" s="5" t="n">
        <v>0</v>
      </c>
      <c r="O428" s="5" t="n">
        <v>0</v>
      </c>
      <c r="P428" s="5" t="n">
        <v>0</v>
      </c>
      <c r="Q428" s="5" t="n">
        <v>0</v>
      </c>
      <c r="R428" s="5" t="n">
        <v>0</v>
      </c>
      <c r="S428" s="5" t="n">
        <v>0</v>
      </c>
      <c r="T428" s="5" t="n">
        <v>1</v>
      </c>
      <c r="U428" s="5" t="inlineStr">
        <is>
          <t>training</t>
        </is>
      </c>
    </row>
    <row r="429">
      <c r="A429" s="5" t="n">
        <v>425</v>
      </c>
      <c r="B429" s="5" t="n">
        <v>1</v>
      </c>
      <c r="C429" s="6" t="n">
        <v>-0.7357010147163632</v>
      </c>
      <c r="D429" s="6" t="n">
        <v>-0.1709910833663071</v>
      </c>
      <c r="E429" s="6" t="n">
        <v>-0.9166956381570004</v>
      </c>
      <c r="F429" s="6" t="n">
        <v>-1.786844513613144</v>
      </c>
      <c r="G429" s="5" t="n">
        <v>0</v>
      </c>
      <c r="H429" s="5" t="n">
        <v>1</v>
      </c>
      <c r="I429" s="5" t="n">
        <v>0</v>
      </c>
      <c r="J429" s="5" t="n">
        <v>0</v>
      </c>
      <c r="K429" s="5" t="n">
        <v>0</v>
      </c>
      <c r="L429" s="5" t="n">
        <v>0</v>
      </c>
      <c r="M429" s="5" t="n">
        <v>0</v>
      </c>
      <c r="N429" s="5" t="n">
        <v>0</v>
      </c>
      <c r="O429" s="5" t="n">
        <v>1</v>
      </c>
      <c r="P429" s="5" t="n">
        <v>0</v>
      </c>
      <c r="Q429" s="5" t="n">
        <v>0</v>
      </c>
      <c r="R429" s="5" t="n">
        <v>0</v>
      </c>
      <c r="S429" s="5" t="n">
        <v>0</v>
      </c>
      <c r="T429" s="5" t="n">
        <v>1</v>
      </c>
      <c r="U429" s="5" t="inlineStr">
        <is>
          <t>training</t>
        </is>
      </c>
    </row>
    <row r="430">
      <c r="A430" s="5" t="n">
        <v>426</v>
      </c>
      <c r="B430" s="5" t="n">
        <v>0</v>
      </c>
      <c r="C430" s="6" t="n">
        <v>-0.2301473069597001</v>
      </c>
      <c r="D430" s="6" t="n">
        <v>-0.1650429067560908</v>
      </c>
      <c r="E430" s="6" t="n">
        <v>-1.264587720949031</v>
      </c>
      <c r="F430" s="6" t="n">
        <v>-1.786844513613144</v>
      </c>
      <c r="G430" s="5" t="n">
        <v>0</v>
      </c>
      <c r="H430" s="5" t="n">
        <v>1</v>
      </c>
      <c r="I430" s="5" t="n">
        <v>0</v>
      </c>
      <c r="J430" s="5" t="n">
        <v>0</v>
      </c>
      <c r="K430" s="5" t="n">
        <v>0</v>
      </c>
      <c r="L430" s="5" t="n">
        <v>0</v>
      </c>
      <c r="M430" s="5" t="n">
        <v>0</v>
      </c>
      <c r="N430" s="5" t="n">
        <v>0</v>
      </c>
      <c r="O430" s="5" t="n">
        <v>0</v>
      </c>
      <c r="P430" s="5" t="n">
        <v>1</v>
      </c>
      <c r="Q430" s="5" t="n">
        <v>0</v>
      </c>
      <c r="R430" s="5" t="n">
        <v>1</v>
      </c>
      <c r="S430" s="5" t="n">
        <v>0</v>
      </c>
      <c r="T430" s="5" t="n">
        <v>0</v>
      </c>
      <c r="U430" s="5" t="inlineStr">
        <is>
          <t>training</t>
        </is>
      </c>
    </row>
    <row r="431">
      <c r="A431" s="5" t="n">
        <v>427</v>
      </c>
      <c r="B431" s="5" t="n">
        <v>0</v>
      </c>
      <c r="C431" s="6" t="n">
        <v>0.6124422059680718</v>
      </c>
      <c r="D431" s="6" t="n">
        <v>-0.1776390454600782</v>
      </c>
      <c r="E431" s="6" t="n">
        <v>-0.5688035553649698</v>
      </c>
      <c r="F431" s="6" t="n">
        <v>0.9185437189662378</v>
      </c>
      <c r="G431" s="5" t="n">
        <v>0</v>
      </c>
      <c r="H431" s="5" t="n">
        <v>0</v>
      </c>
      <c r="I431" s="5" t="n">
        <v>0</v>
      </c>
      <c r="J431" s="5" t="n">
        <v>1</v>
      </c>
      <c r="K431" s="5" t="n">
        <v>0</v>
      </c>
      <c r="L431" s="5" t="n">
        <v>0</v>
      </c>
      <c r="M431" s="5" t="n">
        <v>0</v>
      </c>
      <c r="N431" s="5" t="n">
        <v>0</v>
      </c>
      <c r="O431" s="5" t="n">
        <v>0</v>
      </c>
      <c r="P431" s="5" t="n">
        <v>0</v>
      </c>
      <c r="Q431" s="5" t="n">
        <v>0</v>
      </c>
      <c r="R431" s="5" t="n">
        <v>0</v>
      </c>
      <c r="S431" s="5" t="n">
        <v>1</v>
      </c>
      <c r="T431" s="5" t="n">
        <v>0</v>
      </c>
      <c r="U431" s="5" t="inlineStr">
        <is>
          <t>training</t>
        </is>
      </c>
    </row>
    <row r="432">
      <c r="A432" s="5" t="n">
        <v>428</v>
      </c>
      <c r="B432" s="5" t="n">
        <v>0</v>
      </c>
      <c r="C432" s="6" t="n">
        <v>-0.2301473069597001</v>
      </c>
      <c r="D432" s="6" t="n">
        <v>-0.7353680758532983</v>
      </c>
      <c r="E432" s="6" t="n">
        <v>0.9097377965011599</v>
      </c>
      <c r="F432" s="6" t="n">
        <v>0.9185437189662378</v>
      </c>
      <c r="G432" s="5" t="n">
        <v>0</v>
      </c>
      <c r="H432" s="5" t="n">
        <v>0</v>
      </c>
      <c r="I432" s="5" t="n">
        <v>0</v>
      </c>
      <c r="J432" s="5" t="n">
        <v>1</v>
      </c>
      <c r="K432" s="5" t="n">
        <v>0</v>
      </c>
      <c r="L432" s="5" t="n">
        <v>0</v>
      </c>
      <c r="M432" s="5" t="n">
        <v>0</v>
      </c>
      <c r="N432" s="5" t="n">
        <v>1</v>
      </c>
      <c r="O432" s="5" t="n">
        <v>0</v>
      </c>
      <c r="P432" s="5" t="n">
        <v>0</v>
      </c>
      <c r="Q432" s="5" t="n">
        <v>0</v>
      </c>
      <c r="R432" s="5" t="n">
        <v>0</v>
      </c>
      <c r="S432" s="5" t="n">
        <v>1</v>
      </c>
      <c r="T432" s="5" t="n">
        <v>0</v>
      </c>
      <c r="U432" s="5" t="inlineStr">
        <is>
          <t>training</t>
        </is>
      </c>
    </row>
    <row r="433">
      <c r="A433" s="5" t="n">
        <v>429</v>
      </c>
      <c r="B433" s="5" t="n">
        <v>0</v>
      </c>
      <c r="C433" s="6" t="n">
        <v>-0.9884778685946948</v>
      </c>
      <c r="D433" s="6" t="n">
        <v>-0.6779856662018001</v>
      </c>
      <c r="E433" s="6" t="n">
        <v>-1.351560741647039</v>
      </c>
      <c r="F433" s="6" t="n">
        <v>-1.786844513613144</v>
      </c>
      <c r="G433" s="5" t="n">
        <v>0</v>
      </c>
      <c r="H433" s="5" t="n">
        <v>0</v>
      </c>
      <c r="I433" s="5" t="n">
        <v>0</v>
      </c>
      <c r="J433" s="5" t="n">
        <v>0</v>
      </c>
      <c r="K433" s="5" t="n">
        <v>0</v>
      </c>
      <c r="L433" s="5" t="n">
        <v>0</v>
      </c>
      <c r="M433" s="5" t="n">
        <v>0</v>
      </c>
      <c r="N433" s="5" t="n">
        <v>0</v>
      </c>
      <c r="O433" s="5" t="n">
        <v>0</v>
      </c>
      <c r="P433" s="5" t="n">
        <v>0</v>
      </c>
      <c r="Q433" s="5" t="n">
        <v>0</v>
      </c>
      <c r="R433" s="5" t="n">
        <v>0</v>
      </c>
      <c r="S433" s="5" t="n">
        <v>0</v>
      </c>
      <c r="T433" s="5" t="n">
        <v>1</v>
      </c>
      <c r="U433" s="5" t="inlineStr">
        <is>
          <t>training</t>
        </is>
      </c>
    </row>
    <row r="434">
      <c r="A434" s="5" t="n">
        <v>430</v>
      </c>
      <c r="B434" s="5" t="n">
        <v>1</v>
      </c>
      <c r="C434" s="6" t="n">
        <v>-0.2301473069597001</v>
      </c>
      <c r="D434" s="6" t="n">
        <v>-0.7210224734404238</v>
      </c>
      <c r="E434" s="6" t="n">
        <v>1.692494982783229</v>
      </c>
      <c r="F434" s="6" t="n">
        <v>-0.8850484360866833</v>
      </c>
      <c r="G434" s="5" t="n">
        <v>1</v>
      </c>
      <c r="H434" s="5" t="n">
        <v>0</v>
      </c>
      <c r="I434" s="5" t="n">
        <v>0</v>
      </c>
      <c r="J434" s="5" t="n">
        <v>1</v>
      </c>
      <c r="K434" s="5" t="n">
        <v>0</v>
      </c>
      <c r="L434" s="5" t="n">
        <v>0</v>
      </c>
      <c r="M434" s="5" t="n">
        <v>0</v>
      </c>
      <c r="N434" s="5" t="n">
        <v>0</v>
      </c>
      <c r="O434" s="5" t="n">
        <v>0</v>
      </c>
      <c r="P434" s="5" t="n">
        <v>0</v>
      </c>
      <c r="Q434" s="5" t="n">
        <v>1</v>
      </c>
      <c r="R434" s="5" t="n">
        <v>0</v>
      </c>
      <c r="S434" s="5" t="n">
        <v>0</v>
      </c>
      <c r="T434" s="5" t="n">
        <v>0</v>
      </c>
      <c r="U434" s="5" t="inlineStr">
        <is>
          <t>testing</t>
        </is>
      </c>
    </row>
    <row r="435">
      <c r="A435" s="5" t="n">
        <v>431</v>
      </c>
      <c r="B435" s="5" t="n">
        <v>0</v>
      </c>
      <c r="C435" s="6" t="n">
        <v>-1.325513673765804</v>
      </c>
      <c r="D435" s="6" t="n">
        <v>0.06903533749300851</v>
      </c>
      <c r="E435" s="6" t="n">
        <v>3.344982376045374</v>
      </c>
      <c r="F435" s="6" t="n">
        <v>-1.786844513613144</v>
      </c>
      <c r="G435" s="5" t="n">
        <v>0</v>
      </c>
      <c r="H435" s="5" t="n">
        <v>0</v>
      </c>
      <c r="I435" s="5" t="n">
        <v>0</v>
      </c>
      <c r="J435" s="5" t="n">
        <v>0</v>
      </c>
      <c r="K435" s="5" t="n">
        <v>0</v>
      </c>
      <c r="L435" s="5" t="n">
        <v>0</v>
      </c>
      <c r="M435" s="5" t="n">
        <v>0</v>
      </c>
      <c r="N435" s="5" t="n">
        <v>0</v>
      </c>
      <c r="O435" s="5" t="n">
        <v>0</v>
      </c>
      <c r="P435" s="5" t="n">
        <v>0</v>
      </c>
      <c r="Q435" s="5" t="n">
        <v>0</v>
      </c>
      <c r="R435" s="5" t="n">
        <v>0</v>
      </c>
      <c r="S435" s="5" t="n">
        <v>0</v>
      </c>
      <c r="T435" s="5" t="n">
        <v>0</v>
      </c>
      <c r="U435" s="5" t="inlineStr">
        <is>
          <t>testing</t>
        </is>
      </c>
    </row>
    <row r="436">
      <c r="A436" s="5" t="n">
        <v>432</v>
      </c>
      <c r="B436" s="5" t="n">
        <v>1</v>
      </c>
      <c r="C436" s="6" t="n">
        <v>0.275406400796963</v>
      </c>
      <c r="D436" s="6" t="n">
        <v>2.826190142699141</v>
      </c>
      <c r="E436" s="6" t="n">
        <v>-0.5688035553649698</v>
      </c>
      <c r="F436" s="6" t="n">
        <v>-0.8850484360866833</v>
      </c>
      <c r="G436" s="5" t="n">
        <v>0</v>
      </c>
      <c r="H436" s="5" t="n">
        <v>1</v>
      </c>
      <c r="I436" s="5" t="n">
        <v>0</v>
      </c>
      <c r="J436" s="5" t="n">
        <v>0</v>
      </c>
      <c r="K436" s="5" t="n">
        <v>0</v>
      </c>
      <c r="L436" s="5" t="n">
        <v>0</v>
      </c>
      <c r="M436" s="5" t="n">
        <v>0</v>
      </c>
      <c r="N436" s="5" t="n">
        <v>0</v>
      </c>
      <c r="O436" s="5" t="n">
        <v>0</v>
      </c>
      <c r="P436" s="5" t="n">
        <v>0</v>
      </c>
      <c r="Q436" s="5" t="n">
        <v>0</v>
      </c>
      <c r="R436" s="5" t="n">
        <v>0</v>
      </c>
      <c r="S436" s="5" t="n">
        <v>0</v>
      </c>
      <c r="T436" s="5" t="n">
        <v>0</v>
      </c>
      <c r="U436" s="5" t="inlineStr">
        <is>
          <t>testing</t>
        </is>
      </c>
    </row>
    <row r="437">
      <c r="A437" s="5" t="n">
        <v>433</v>
      </c>
      <c r="B437" s="5" t="n">
        <v>0</v>
      </c>
      <c r="C437" s="6" t="n">
        <v>-1.241254722473026</v>
      </c>
      <c r="D437" s="6" t="n">
        <v>-0.4823956235482179</v>
      </c>
      <c r="E437" s="6" t="n">
        <v>0.04000758952108359</v>
      </c>
      <c r="F437" s="6" t="n">
        <v>0.9185437189662378</v>
      </c>
      <c r="G437" s="5" t="n">
        <v>1</v>
      </c>
      <c r="H437" s="5" t="n">
        <v>0</v>
      </c>
      <c r="I437" s="5" t="n">
        <v>0</v>
      </c>
      <c r="J437" s="5" t="n">
        <v>1</v>
      </c>
      <c r="K437" s="5" t="n">
        <v>0</v>
      </c>
      <c r="L437" s="5" t="n">
        <v>0</v>
      </c>
      <c r="M437" s="5" t="n">
        <v>0</v>
      </c>
      <c r="N437" s="5" t="n">
        <v>0</v>
      </c>
      <c r="O437" s="5" t="n">
        <v>0</v>
      </c>
      <c r="P437" s="5" t="n">
        <v>0</v>
      </c>
      <c r="Q437" s="5" t="n">
        <v>1</v>
      </c>
      <c r="R437" s="5" t="n">
        <v>0</v>
      </c>
      <c r="S437" s="5" t="n">
        <v>0</v>
      </c>
      <c r="T437" s="5" t="n">
        <v>1</v>
      </c>
      <c r="U437" s="5" t="inlineStr">
        <is>
          <t>testing</t>
        </is>
      </c>
    </row>
    <row r="438">
      <c r="A438" s="5" t="n">
        <v>434</v>
      </c>
      <c r="B438" s="5" t="n">
        <v>0</v>
      </c>
      <c r="C438" s="6" t="n">
        <v>0.275406400796963</v>
      </c>
      <c r="D438" s="6" t="n">
        <v>-0.4173155735776163</v>
      </c>
      <c r="E438" s="6" t="n">
        <v>-0.2209114725729393</v>
      </c>
      <c r="F438" s="6" t="n">
        <v>0.9185437189662378</v>
      </c>
      <c r="G438" s="5" t="n">
        <v>0</v>
      </c>
      <c r="H438" s="5" t="n">
        <v>0</v>
      </c>
      <c r="I438" s="5" t="n">
        <v>0</v>
      </c>
      <c r="J438" s="5" t="n">
        <v>1</v>
      </c>
      <c r="K438" s="5" t="n">
        <v>0</v>
      </c>
      <c r="L438" s="5" t="n">
        <v>0</v>
      </c>
      <c r="M438" s="5" t="n">
        <v>0</v>
      </c>
      <c r="N438" s="5" t="n">
        <v>0</v>
      </c>
      <c r="O438" s="5" t="n">
        <v>0</v>
      </c>
      <c r="P438" s="5" t="n">
        <v>0</v>
      </c>
      <c r="Q438" s="5" t="n">
        <v>0</v>
      </c>
      <c r="R438" s="5" t="n">
        <v>0</v>
      </c>
      <c r="S438" s="5" t="n">
        <v>0</v>
      </c>
      <c r="T438" s="5" t="n">
        <v>0</v>
      </c>
      <c r="U438" s="5" t="inlineStr">
        <is>
          <t>training</t>
        </is>
      </c>
    </row>
    <row r="439">
      <c r="A439" s="5" t="n">
        <v>435</v>
      </c>
      <c r="B439" s="5" t="n">
        <v>0</v>
      </c>
      <c r="C439" s="6" t="n">
        <v>-0.9884778685946948</v>
      </c>
      <c r="D439" s="6" t="n">
        <v>-0.390023939718977</v>
      </c>
      <c r="E439" s="6" t="n">
        <v>-0.9166956381570004</v>
      </c>
      <c r="F439" s="6" t="n">
        <v>0.01674764143977723</v>
      </c>
      <c r="G439" s="5" t="n">
        <v>1</v>
      </c>
      <c r="H439" s="5" t="n">
        <v>0</v>
      </c>
      <c r="I439" s="5" t="n">
        <v>0</v>
      </c>
      <c r="J439" s="5" t="n">
        <v>0</v>
      </c>
      <c r="K439" s="5" t="n">
        <v>0</v>
      </c>
      <c r="L439" s="5" t="n">
        <v>0</v>
      </c>
      <c r="M439" s="5" t="n">
        <v>0</v>
      </c>
      <c r="N439" s="5" t="n">
        <v>0</v>
      </c>
      <c r="O439" s="5" t="n">
        <v>0</v>
      </c>
      <c r="P439" s="5" t="n">
        <v>0</v>
      </c>
      <c r="Q439" s="5" t="n">
        <v>0</v>
      </c>
      <c r="R439" s="5" t="n">
        <v>0</v>
      </c>
      <c r="S439" s="5" t="n">
        <v>0</v>
      </c>
      <c r="T439" s="5" t="n">
        <v>1</v>
      </c>
      <c r="U439" s="5" t="inlineStr">
        <is>
          <t>training</t>
        </is>
      </c>
    </row>
    <row r="440">
      <c r="A440" s="5" t="n">
        <v>436</v>
      </c>
      <c r="B440" s="5" t="n">
        <v>1</v>
      </c>
      <c r="C440" s="6" t="n">
        <v>-0.7357010147163632</v>
      </c>
      <c r="D440" s="6" t="n">
        <v>-0.61815400735786</v>
      </c>
      <c r="E440" s="6" t="n">
        <v>-0.9166956381570004</v>
      </c>
      <c r="F440" s="6" t="n">
        <v>-0.8850484360866833</v>
      </c>
      <c r="G440" s="5" t="n">
        <v>0</v>
      </c>
      <c r="H440" s="5" t="n">
        <v>1</v>
      </c>
      <c r="I440" s="5" t="n">
        <v>0</v>
      </c>
      <c r="J440" s="5" t="n">
        <v>0</v>
      </c>
      <c r="K440" s="5" t="n">
        <v>0</v>
      </c>
      <c r="L440" s="5" t="n">
        <v>0</v>
      </c>
      <c r="M440" s="5" t="n">
        <v>0</v>
      </c>
      <c r="N440" s="5" t="n">
        <v>0</v>
      </c>
      <c r="O440" s="5" t="n">
        <v>1</v>
      </c>
      <c r="P440" s="5" t="n">
        <v>0</v>
      </c>
      <c r="Q440" s="5" t="n">
        <v>0</v>
      </c>
      <c r="R440" s="5" t="n">
        <v>0</v>
      </c>
      <c r="S440" s="5" t="n">
        <v>1</v>
      </c>
      <c r="T440" s="5" t="n">
        <v>0</v>
      </c>
      <c r="U440" s="5" t="inlineStr">
        <is>
          <t>training</t>
        </is>
      </c>
    </row>
    <row r="441">
      <c r="A441" s="5" t="n">
        <v>437</v>
      </c>
      <c r="B441" s="5" t="n">
        <v>0</v>
      </c>
      <c r="C441" s="6" t="n">
        <v>-1.241254722473026</v>
      </c>
      <c r="D441" s="6" t="n">
        <v>-0.9064656265824605</v>
      </c>
      <c r="E441" s="6" t="n">
        <v>-1.090641679553016</v>
      </c>
      <c r="F441" s="6" t="n">
        <v>-0.8850484360866833</v>
      </c>
      <c r="G441" s="5" t="n">
        <v>0</v>
      </c>
      <c r="H441" s="5" t="n">
        <v>0</v>
      </c>
      <c r="I441" s="5" t="n">
        <v>0</v>
      </c>
      <c r="J441" s="5" t="n">
        <v>0</v>
      </c>
      <c r="K441" s="5" t="n">
        <v>0</v>
      </c>
      <c r="L441" s="5" t="n">
        <v>0</v>
      </c>
      <c r="M441" s="5" t="n">
        <v>1</v>
      </c>
      <c r="N441" s="5" t="n">
        <v>0</v>
      </c>
      <c r="O441" s="5" t="n">
        <v>0</v>
      </c>
      <c r="P441" s="5" t="n">
        <v>1</v>
      </c>
      <c r="Q441" s="5" t="n">
        <v>0</v>
      </c>
      <c r="R441" s="5" t="n">
        <v>0</v>
      </c>
      <c r="S441" s="5" t="n">
        <v>0</v>
      </c>
      <c r="T441" s="5" t="n">
        <v>0</v>
      </c>
      <c r="U441" s="5" t="inlineStr">
        <is>
          <t>training</t>
        </is>
      </c>
    </row>
    <row r="442">
      <c r="A442" s="5" t="n">
        <v>438</v>
      </c>
      <c r="B442" s="5" t="n">
        <v>0</v>
      </c>
      <c r="C442" s="6" t="n">
        <v>0.275406400796963</v>
      </c>
      <c r="D442" s="6" t="n">
        <v>-0.6870828774880133</v>
      </c>
      <c r="E442" s="6" t="n">
        <v>0.1269806102190912</v>
      </c>
      <c r="F442" s="6" t="n">
        <v>0.9185437189662378</v>
      </c>
      <c r="G442" s="5" t="n">
        <v>0</v>
      </c>
      <c r="H442" s="5" t="n">
        <v>0</v>
      </c>
      <c r="I442" s="5" t="n">
        <v>0</v>
      </c>
      <c r="J442" s="5" t="n">
        <v>1</v>
      </c>
      <c r="K442" s="5" t="n">
        <v>0</v>
      </c>
      <c r="L442" s="5" t="n">
        <v>0</v>
      </c>
      <c r="M442" s="5" t="n">
        <v>0</v>
      </c>
      <c r="N442" s="5" t="n">
        <v>1</v>
      </c>
      <c r="O442" s="5" t="n">
        <v>0</v>
      </c>
      <c r="P442" s="5" t="n">
        <v>0</v>
      </c>
      <c r="Q442" s="5" t="n">
        <v>0</v>
      </c>
      <c r="R442" s="5" t="n">
        <v>1</v>
      </c>
      <c r="S442" s="5" t="n">
        <v>0</v>
      </c>
      <c r="T442" s="5" t="n">
        <v>0</v>
      </c>
      <c r="U442" s="5" t="inlineStr">
        <is>
          <t>testing</t>
        </is>
      </c>
    </row>
    <row r="443">
      <c r="A443" s="5" t="n">
        <v>439</v>
      </c>
      <c r="B443" s="5" t="n">
        <v>0</v>
      </c>
      <c r="C443" s="6" t="n">
        <v>1.792067524066952</v>
      </c>
      <c r="D443" s="6" t="n">
        <v>0.0501411294370274</v>
      </c>
      <c r="E443" s="6" t="n">
        <v>2.562225189763305</v>
      </c>
      <c r="F443" s="6" t="n">
        <v>0.9185437189662378</v>
      </c>
      <c r="G443" s="5" t="n">
        <v>1</v>
      </c>
      <c r="H443" s="5" t="n">
        <v>0</v>
      </c>
      <c r="I443" s="5" t="n">
        <v>0</v>
      </c>
      <c r="J443" s="5" t="n">
        <v>1</v>
      </c>
      <c r="K443" s="5" t="n">
        <v>0</v>
      </c>
      <c r="L443" s="5" t="n">
        <v>0</v>
      </c>
      <c r="M443" s="5" t="n">
        <v>0</v>
      </c>
      <c r="N443" s="5" t="n">
        <v>0</v>
      </c>
      <c r="O443" s="5" t="n">
        <v>0</v>
      </c>
      <c r="P443" s="5" t="n">
        <v>0</v>
      </c>
      <c r="Q443" s="5" t="n">
        <v>0</v>
      </c>
      <c r="R443" s="5" t="n">
        <v>0</v>
      </c>
      <c r="S443" s="5" t="n">
        <v>0</v>
      </c>
      <c r="T443" s="5" t="n">
        <v>0</v>
      </c>
      <c r="U443" s="5" t="inlineStr">
        <is>
          <t>training</t>
        </is>
      </c>
    </row>
    <row r="444">
      <c r="A444" s="5" t="n">
        <v>440</v>
      </c>
      <c r="B444" s="5" t="n">
        <v>1</v>
      </c>
      <c r="C444" s="6" t="n">
        <v>-0.7357010147163632</v>
      </c>
      <c r="D444" s="6" t="n">
        <v>-0.9243101564131094</v>
      </c>
      <c r="E444" s="6" t="n">
        <v>-0.8297226174589928</v>
      </c>
      <c r="F444" s="6" t="n">
        <v>0.9185437189662378</v>
      </c>
      <c r="G444" s="5" t="n">
        <v>0</v>
      </c>
      <c r="H444" s="5" t="n">
        <v>0</v>
      </c>
      <c r="I444" s="5" t="n">
        <v>1</v>
      </c>
      <c r="J444" s="5" t="n">
        <v>0</v>
      </c>
      <c r="K444" s="5" t="n">
        <v>0</v>
      </c>
      <c r="L444" s="5" t="n">
        <v>1</v>
      </c>
      <c r="M444" s="5" t="n">
        <v>0</v>
      </c>
      <c r="N444" s="5" t="n">
        <v>0</v>
      </c>
      <c r="O444" s="5" t="n">
        <v>0</v>
      </c>
      <c r="P444" s="5" t="n">
        <v>0</v>
      </c>
      <c r="Q444" s="5" t="n">
        <v>0</v>
      </c>
      <c r="R444" s="5" t="n">
        <v>0</v>
      </c>
      <c r="S444" s="5" t="n">
        <v>0</v>
      </c>
      <c r="T444" s="5" t="n">
        <v>0</v>
      </c>
      <c r="U444" s="5" t="inlineStr">
        <is>
          <t>training</t>
        </is>
      </c>
    </row>
    <row r="445">
      <c r="A445" s="5" t="n">
        <v>441</v>
      </c>
      <c r="B445" s="5" t="n">
        <v>0</v>
      </c>
      <c r="C445" s="6" t="n">
        <v>-0.7357010147163632</v>
      </c>
      <c r="D445" s="6" t="n">
        <v>-0.4781969106468888</v>
      </c>
      <c r="E445" s="6" t="n">
        <v>0.3009266516151065</v>
      </c>
      <c r="F445" s="6" t="n">
        <v>0.9185437189662378</v>
      </c>
      <c r="G445" s="5" t="n">
        <v>0</v>
      </c>
      <c r="H445" s="5" t="n">
        <v>0</v>
      </c>
      <c r="I445" s="5" t="n">
        <v>0</v>
      </c>
      <c r="J445" s="5" t="n">
        <v>0</v>
      </c>
      <c r="K445" s="5" t="n">
        <v>0</v>
      </c>
      <c r="L445" s="5" t="n">
        <v>0</v>
      </c>
      <c r="M445" s="5" t="n">
        <v>0</v>
      </c>
      <c r="N445" s="5" t="n">
        <v>0</v>
      </c>
      <c r="O445" s="5" t="n">
        <v>0</v>
      </c>
      <c r="P445" s="5" t="n">
        <v>0</v>
      </c>
      <c r="Q445" s="5" t="n">
        <v>0</v>
      </c>
      <c r="R445" s="5" t="n">
        <v>1</v>
      </c>
      <c r="S445" s="5" t="n">
        <v>0</v>
      </c>
      <c r="T445" s="5" t="n">
        <v>0</v>
      </c>
      <c r="U445" s="5" t="inlineStr">
        <is>
          <t>testing</t>
        </is>
      </c>
    </row>
    <row r="446">
      <c r="A446" s="5" t="n">
        <v>442</v>
      </c>
      <c r="B446" s="5" t="n">
        <v>0</v>
      </c>
      <c r="C446" s="6" t="n">
        <v>-0.7357010147163632</v>
      </c>
      <c r="D446" s="6" t="n">
        <v>-0.5705685944761297</v>
      </c>
      <c r="E446" s="6" t="n">
        <v>-0.4818305346669622</v>
      </c>
      <c r="F446" s="6" t="n">
        <v>-0.8850484360866833</v>
      </c>
      <c r="G446" s="5" t="n">
        <v>1</v>
      </c>
      <c r="H446" s="5" t="n">
        <v>0</v>
      </c>
      <c r="I446" s="5" t="n">
        <v>0</v>
      </c>
      <c r="J446" s="5" t="n">
        <v>0</v>
      </c>
      <c r="K446" s="5" t="n">
        <v>0</v>
      </c>
      <c r="L446" s="5" t="n">
        <v>0</v>
      </c>
      <c r="M446" s="5" t="n">
        <v>0</v>
      </c>
      <c r="N446" s="5" t="n">
        <v>0</v>
      </c>
      <c r="O446" s="5" t="n">
        <v>0</v>
      </c>
      <c r="P446" s="5" t="n">
        <v>0</v>
      </c>
      <c r="Q446" s="5" t="n">
        <v>0</v>
      </c>
      <c r="R446" s="5" t="n">
        <v>0</v>
      </c>
      <c r="S446" s="5" t="n">
        <v>0</v>
      </c>
      <c r="T446" s="5" t="n">
        <v>1</v>
      </c>
      <c r="U446" s="5" t="inlineStr">
        <is>
          <t>testing</t>
        </is>
      </c>
    </row>
    <row r="447">
      <c r="A447" s="5" t="n">
        <v>443</v>
      </c>
      <c r="B447" s="5" t="n">
        <v>0</v>
      </c>
      <c r="C447" s="6" t="n">
        <v>-0.06162940437414574</v>
      </c>
      <c r="D447" s="6" t="n">
        <v>-0.217526818022705</v>
      </c>
      <c r="E447" s="6" t="n">
        <v>-0.5688035553649698</v>
      </c>
      <c r="F447" s="6" t="n">
        <v>-0.8850484360866833</v>
      </c>
      <c r="G447" s="5" t="n">
        <v>0</v>
      </c>
      <c r="H447" s="5" t="n">
        <v>1</v>
      </c>
      <c r="I447" s="5" t="n">
        <v>0</v>
      </c>
      <c r="J447" s="5" t="n">
        <v>0</v>
      </c>
      <c r="K447" s="5" t="n">
        <v>1</v>
      </c>
      <c r="L447" s="5" t="n">
        <v>0</v>
      </c>
      <c r="M447" s="5" t="n">
        <v>0</v>
      </c>
      <c r="N447" s="5" t="n">
        <v>0</v>
      </c>
      <c r="O447" s="5" t="n">
        <v>0</v>
      </c>
      <c r="P447" s="5" t="n">
        <v>0</v>
      </c>
      <c r="Q447" s="5" t="n">
        <v>0</v>
      </c>
      <c r="R447" s="5" t="n">
        <v>0</v>
      </c>
      <c r="S447" s="5" t="n">
        <v>0</v>
      </c>
      <c r="T447" s="5" t="n">
        <v>0</v>
      </c>
      <c r="U447" s="5" t="inlineStr">
        <is>
          <t>training</t>
        </is>
      </c>
    </row>
    <row r="448">
      <c r="A448" s="5" t="n">
        <v>444</v>
      </c>
      <c r="B448" s="5" t="n">
        <v>1</v>
      </c>
      <c r="C448" s="6" t="n">
        <v>-0.7357010147163632</v>
      </c>
      <c r="D448" s="6" t="n">
        <v>-0.8858219548175924</v>
      </c>
      <c r="E448" s="6" t="n">
        <v>0.4748726930111218</v>
      </c>
      <c r="F448" s="6" t="n">
        <v>0.9185437189662378</v>
      </c>
      <c r="G448" s="5" t="n">
        <v>0</v>
      </c>
      <c r="H448" s="5" t="n">
        <v>0</v>
      </c>
      <c r="I448" s="5" t="n">
        <v>0</v>
      </c>
      <c r="J448" s="5" t="n">
        <v>0</v>
      </c>
      <c r="K448" s="5" t="n">
        <v>0</v>
      </c>
      <c r="L448" s="5" t="n">
        <v>0</v>
      </c>
      <c r="M448" s="5" t="n">
        <v>0</v>
      </c>
      <c r="N448" s="5" t="n">
        <v>0</v>
      </c>
      <c r="O448" s="5" t="n">
        <v>0</v>
      </c>
      <c r="P448" s="5" t="n">
        <v>0</v>
      </c>
      <c r="Q448" s="5" t="n">
        <v>0</v>
      </c>
      <c r="R448" s="5" t="n">
        <v>0</v>
      </c>
      <c r="S448" s="5" t="n">
        <v>0</v>
      </c>
      <c r="T448" s="5" t="n">
        <v>0</v>
      </c>
      <c r="U448" s="5" t="inlineStr">
        <is>
          <t>training</t>
        </is>
      </c>
    </row>
    <row r="449">
      <c r="A449" s="5" t="n">
        <v>445</v>
      </c>
      <c r="B449" s="5" t="n">
        <v>1</v>
      </c>
      <c r="C449" s="6" t="n">
        <v>2.297621231823615</v>
      </c>
      <c r="D449" s="6" t="n">
        <v>0.6456585759422098</v>
      </c>
      <c r="E449" s="6" t="n">
        <v>-0.4818305346669622</v>
      </c>
      <c r="F449" s="6" t="n">
        <v>-0.8850484360866833</v>
      </c>
      <c r="G449" s="5" t="n">
        <v>0</v>
      </c>
      <c r="H449" s="5" t="n">
        <v>1</v>
      </c>
      <c r="I449" s="5" t="n">
        <v>0</v>
      </c>
      <c r="J449" s="5" t="n">
        <v>1</v>
      </c>
      <c r="K449" s="5" t="n">
        <v>0</v>
      </c>
      <c r="L449" s="5" t="n">
        <v>0</v>
      </c>
      <c r="M449" s="5" t="n">
        <v>0</v>
      </c>
      <c r="N449" s="5" t="n">
        <v>0</v>
      </c>
      <c r="O449" s="5" t="n">
        <v>0</v>
      </c>
      <c r="P449" s="5" t="n">
        <v>0</v>
      </c>
      <c r="Q449" s="5" t="n">
        <v>0</v>
      </c>
      <c r="R449" s="5" t="n">
        <v>0</v>
      </c>
      <c r="S449" s="5" t="n">
        <v>0</v>
      </c>
      <c r="T449" s="5" t="n">
        <v>1</v>
      </c>
      <c r="U449" s="5" t="inlineStr">
        <is>
          <t>training</t>
        </is>
      </c>
    </row>
    <row r="450">
      <c r="A450" s="5" t="n">
        <v>446</v>
      </c>
      <c r="B450" s="5" t="n">
        <v>0</v>
      </c>
      <c r="C450" s="6" t="n">
        <v>-0.9884778685946948</v>
      </c>
      <c r="D450" s="6" t="n">
        <v>-0.7021282653844427</v>
      </c>
      <c r="E450" s="6" t="n">
        <v>0.4748726930111218</v>
      </c>
      <c r="F450" s="6" t="n">
        <v>0.9185437189662378</v>
      </c>
      <c r="G450" s="5" t="n">
        <v>0</v>
      </c>
      <c r="H450" s="5" t="n">
        <v>0</v>
      </c>
      <c r="I450" s="5" t="n">
        <v>0</v>
      </c>
      <c r="J450" s="5" t="n">
        <v>1</v>
      </c>
      <c r="K450" s="5" t="n">
        <v>0</v>
      </c>
      <c r="L450" s="5" t="n">
        <v>0</v>
      </c>
      <c r="M450" s="5" t="n">
        <v>0</v>
      </c>
      <c r="N450" s="5" t="n">
        <v>0</v>
      </c>
      <c r="O450" s="5" t="n">
        <v>1</v>
      </c>
      <c r="P450" s="5" t="n">
        <v>1</v>
      </c>
      <c r="Q450" s="5" t="n">
        <v>0</v>
      </c>
      <c r="R450" s="5" t="n">
        <v>0</v>
      </c>
      <c r="S450" s="5" t="n">
        <v>0</v>
      </c>
      <c r="T450" s="5" t="n">
        <v>0</v>
      </c>
      <c r="U450" s="5" t="inlineStr">
        <is>
          <t>training</t>
        </is>
      </c>
    </row>
    <row r="451">
      <c r="A451" s="5" t="n">
        <v>447</v>
      </c>
      <c r="B451" s="5" t="n">
        <v>1</v>
      </c>
      <c r="C451" s="6" t="n">
        <v>1.286513816310289</v>
      </c>
      <c r="D451" s="6" t="n">
        <v>-0.4928924058015408</v>
      </c>
      <c r="E451" s="6" t="n">
        <v>-0.1339384518749317</v>
      </c>
      <c r="F451" s="6" t="n">
        <v>0.9185437189662378</v>
      </c>
      <c r="G451" s="5" t="n">
        <v>1</v>
      </c>
      <c r="H451" s="5" t="n">
        <v>0</v>
      </c>
      <c r="I451" s="5" t="n">
        <v>0</v>
      </c>
      <c r="J451" s="5" t="n">
        <v>0</v>
      </c>
      <c r="K451" s="5" t="n">
        <v>0</v>
      </c>
      <c r="L451" s="5" t="n">
        <v>0</v>
      </c>
      <c r="M451" s="5" t="n">
        <v>0</v>
      </c>
      <c r="N451" s="5" t="n">
        <v>0</v>
      </c>
      <c r="O451" s="5" t="n">
        <v>0</v>
      </c>
      <c r="P451" s="5" t="n">
        <v>0</v>
      </c>
      <c r="Q451" s="5" t="n">
        <v>0</v>
      </c>
      <c r="R451" s="5" t="n">
        <v>1</v>
      </c>
      <c r="S451" s="5" t="n">
        <v>0</v>
      </c>
      <c r="T451" s="5" t="n">
        <v>0</v>
      </c>
      <c r="U451" s="5" t="inlineStr">
        <is>
          <t>training</t>
        </is>
      </c>
    </row>
    <row r="452">
      <c r="A452" s="5" t="n">
        <v>448</v>
      </c>
      <c r="B452" s="5" t="n">
        <v>0</v>
      </c>
      <c r="C452" s="6" t="n">
        <v>-1.156995771180249</v>
      </c>
      <c r="D452" s="6" t="n">
        <v>-0.2360711333369087</v>
      </c>
      <c r="E452" s="6" t="n">
        <v>-0.04696543117692405</v>
      </c>
      <c r="F452" s="6" t="n">
        <v>-0.8850484360866833</v>
      </c>
      <c r="G452" s="5" t="n">
        <v>0</v>
      </c>
      <c r="H452" s="5" t="n">
        <v>1</v>
      </c>
      <c r="I452" s="5" t="n">
        <v>0</v>
      </c>
      <c r="J452" s="5" t="n">
        <v>0</v>
      </c>
      <c r="K452" s="5" t="n">
        <v>0</v>
      </c>
      <c r="L452" s="5" t="n">
        <v>0</v>
      </c>
      <c r="M452" s="5" t="n">
        <v>0</v>
      </c>
      <c r="N452" s="5" t="n">
        <v>0</v>
      </c>
      <c r="O452" s="5" t="n">
        <v>0</v>
      </c>
      <c r="P452" s="5" t="n">
        <v>0</v>
      </c>
      <c r="Q452" s="5" t="n">
        <v>0</v>
      </c>
      <c r="R452" s="5" t="n">
        <v>0</v>
      </c>
      <c r="S452" s="5" t="n">
        <v>1</v>
      </c>
      <c r="T452" s="5" t="n">
        <v>0</v>
      </c>
      <c r="U452" s="5" t="inlineStr">
        <is>
          <t>testing</t>
        </is>
      </c>
    </row>
    <row r="453">
      <c r="A453" s="5" t="n">
        <v>449</v>
      </c>
      <c r="B453" s="5" t="n">
        <v>0</v>
      </c>
      <c r="C453" s="6" t="n">
        <v>-0.7357010147163632</v>
      </c>
      <c r="D453" s="6" t="n">
        <v>-0.6391475718645057</v>
      </c>
      <c r="E453" s="6" t="n">
        <v>1.692494982783229</v>
      </c>
      <c r="F453" s="6" t="n">
        <v>0.01674764143977723</v>
      </c>
      <c r="G453" s="5" t="n">
        <v>0</v>
      </c>
      <c r="H453" s="5" t="n">
        <v>0</v>
      </c>
      <c r="I453" s="5" t="n">
        <v>1</v>
      </c>
      <c r="J453" s="5" t="n">
        <v>0</v>
      </c>
      <c r="K453" s="5" t="n">
        <v>0</v>
      </c>
      <c r="L453" s="5" t="n">
        <v>0</v>
      </c>
      <c r="M453" s="5" t="n">
        <v>0</v>
      </c>
      <c r="N453" s="5" t="n">
        <v>0</v>
      </c>
      <c r="O453" s="5" t="n">
        <v>1</v>
      </c>
      <c r="P453" s="5" t="n">
        <v>0</v>
      </c>
      <c r="Q453" s="5" t="n">
        <v>0</v>
      </c>
      <c r="R453" s="5" t="n">
        <v>0</v>
      </c>
      <c r="S453" s="5" t="n">
        <v>0</v>
      </c>
      <c r="T453" s="5" t="n">
        <v>1</v>
      </c>
      <c r="U453" s="5" t="inlineStr">
        <is>
          <t>testing</t>
        </is>
      </c>
    </row>
    <row r="454">
      <c r="A454" s="5" t="n">
        <v>450</v>
      </c>
      <c r="B454" s="5" t="n">
        <v>1</v>
      </c>
      <c r="C454" s="6" t="n">
        <v>-0.4829241608380317</v>
      </c>
      <c r="D454" s="6" t="n">
        <v>-0.608357010588092</v>
      </c>
      <c r="E454" s="6" t="n">
        <v>2.214333106971274</v>
      </c>
      <c r="F454" s="6" t="n">
        <v>0.01674764143977723</v>
      </c>
      <c r="G454" s="5" t="n">
        <v>0</v>
      </c>
      <c r="H454" s="5" t="n">
        <v>1</v>
      </c>
      <c r="I454" s="5" t="n">
        <v>0</v>
      </c>
      <c r="J454" s="5" t="n">
        <v>0</v>
      </c>
      <c r="K454" s="5" t="n">
        <v>1</v>
      </c>
      <c r="L454" s="5" t="n">
        <v>0</v>
      </c>
      <c r="M454" s="5" t="n">
        <v>0</v>
      </c>
      <c r="N454" s="5" t="n">
        <v>1</v>
      </c>
      <c r="O454" s="5" t="n">
        <v>0</v>
      </c>
      <c r="P454" s="5" t="n">
        <v>0</v>
      </c>
      <c r="Q454" s="5" t="n">
        <v>0</v>
      </c>
      <c r="R454" s="5" t="n">
        <v>0</v>
      </c>
      <c r="S454" s="5" t="n">
        <v>0</v>
      </c>
      <c r="T454" s="5" t="n">
        <v>0</v>
      </c>
      <c r="U454" s="5" t="inlineStr">
        <is>
          <t>training</t>
        </is>
      </c>
    </row>
    <row r="455">
      <c r="A455" s="5" t="n">
        <v>451</v>
      </c>
      <c r="B455" s="5" t="n">
        <v>0</v>
      </c>
      <c r="C455" s="6" t="n">
        <v>1.286513816310289</v>
      </c>
      <c r="D455" s="6" t="n">
        <v>2.730319531452126</v>
      </c>
      <c r="E455" s="6" t="n">
        <v>-0.4818305346669622</v>
      </c>
      <c r="F455" s="6" t="n">
        <v>0.9185437189662378</v>
      </c>
      <c r="G455" s="5" t="n">
        <v>0</v>
      </c>
      <c r="H455" s="5" t="n">
        <v>0</v>
      </c>
      <c r="I455" s="5" t="n">
        <v>0</v>
      </c>
      <c r="J455" s="5" t="n">
        <v>1</v>
      </c>
      <c r="K455" s="5" t="n">
        <v>0</v>
      </c>
      <c r="L455" s="5" t="n">
        <v>0</v>
      </c>
      <c r="M455" s="5" t="n">
        <v>0</v>
      </c>
      <c r="N455" s="5" t="n">
        <v>0</v>
      </c>
      <c r="O455" s="5" t="n">
        <v>1</v>
      </c>
      <c r="P455" s="5" t="n">
        <v>0</v>
      </c>
      <c r="Q455" s="5" t="n">
        <v>0</v>
      </c>
      <c r="R455" s="5" t="n">
        <v>1</v>
      </c>
      <c r="S455" s="5" t="n">
        <v>0</v>
      </c>
      <c r="T455" s="5" t="n">
        <v>0</v>
      </c>
      <c r="U455" s="5" t="inlineStr">
        <is>
          <t>testing</t>
        </is>
      </c>
    </row>
    <row r="456">
      <c r="A456" s="5" t="n">
        <v>452</v>
      </c>
      <c r="B456" s="5" t="n">
        <v>0</v>
      </c>
      <c r="C456" s="6" t="n">
        <v>-1.241254722473026</v>
      </c>
      <c r="D456" s="6" t="n">
        <v>-0.9561503959148554</v>
      </c>
      <c r="E456" s="6" t="n">
        <v>-0.5688035553649698</v>
      </c>
      <c r="F456" s="6" t="n">
        <v>0.01674764143977723</v>
      </c>
      <c r="G456" s="5" t="n">
        <v>0</v>
      </c>
      <c r="H456" s="5" t="n">
        <v>0</v>
      </c>
      <c r="I456" s="5" t="n">
        <v>0</v>
      </c>
      <c r="J456" s="5" t="n">
        <v>0</v>
      </c>
      <c r="K456" s="5" t="n">
        <v>0</v>
      </c>
      <c r="L456" s="5" t="n">
        <v>0</v>
      </c>
      <c r="M456" s="5" t="n">
        <v>0</v>
      </c>
      <c r="N456" s="5" t="n">
        <v>0</v>
      </c>
      <c r="O456" s="5" t="n">
        <v>0</v>
      </c>
      <c r="P456" s="5" t="n">
        <v>0</v>
      </c>
      <c r="Q456" s="5" t="n">
        <v>0</v>
      </c>
      <c r="R456" s="5" t="n">
        <v>0</v>
      </c>
      <c r="S456" s="5" t="n">
        <v>1</v>
      </c>
      <c r="T456" s="5" t="n">
        <v>0</v>
      </c>
      <c r="U456" s="5" t="inlineStr">
        <is>
          <t>training</t>
        </is>
      </c>
    </row>
    <row r="457">
      <c r="A457" s="5" t="n">
        <v>453</v>
      </c>
      <c r="B457" s="5" t="n">
        <v>0</v>
      </c>
      <c r="C457" s="6" t="n">
        <v>-0.7357010147163632</v>
      </c>
      <c r="D457" s="6" t="n">
        <v>-0.1720407615916393</v>
      </c>
      <c r="E457" s="6" t="n">
        <v>-0.1339384518749317</v>
      </c>
      <c r="F457" s="6" t="n">
        <v>-0.8850484360866833</v>
      </c>
      <c r="G457" s="5" t="n">
        <v>0</v>
      </c>
      <c r="H457" s="5" t="n">
        <v>0</v>
      </c>
      <c r="I457" s="5" t="n">
        <v>0</v>
      </c>
      <c r="J457" s="5" t="n">
        <v>0</v>
      </c>
      <c r="K457" s="5" t="n">
        <v>0</v>
      </c>
      <c r="L457" s="5" t="n">
        <v>1</v>
      </c>
      <c r="M457" s="5" t="n">
        <v>0</v>
      </c>
      <c r="N457" s="5" t="n">
        <v>0</v>
      </c>
      <c r="O457" s="5" t="n">
        <v>0</v>
      </c>
      <c r="P457" s="5" t="n">
        <v>0</v>
      </c>
      <c r="Q457" s="5" t="n">
        <v>0</v>
      </c>
      <c r="R457" s="5" t="n">
        <v>0</v>
      </c>
      <c r="S457" s="5" t="n">
        <v>0</v>
      </c>
      <c r="T457" s="5" t="n">
        <v>1</v>
      </c>
      <c r="U457" s="5" t="inlineStr">
        <is>
          <t>training</t>
        </is>
      </c>
    </row>
    <row r="458">
      <c r="A458" s="5" t="n">
        <v>454</v>
      </c>
      <c r="B458" s="5" t="n">
        <v>0</v>
      </c>
      <c r="C458" s="6" t="n">
        <v>0.275406400796963</v>
      </c>
      <c r="D458" s="6" t="n">
        <v>-0.2031812156098304</v>
      </c>
      <c r="E458" s="6" t="n">
        <v>-0.04696543117692405</v>
      </c>
      <c r="F458" s="6" t="n">
        <v>0.9185437189662378</v>
      </c>
      <c r="G458" s="5" t="n">
        <v>0</v>
      </c>
      <c r="H458" s="5" t="n">
        <v>0</v>
      </c>
      <c r="I458" s="5" t="n">
        <v>0</v>
      </c>
      <c r="J458" s="5" t="n">
        <v>0</v>
      </c>
      <c r="K458" s="5" t="n">
        <v>0</v>
      </c>
      <c r="L458" s="5" t="n">
        <v>0</v>
      </c>
      <c r="M458" s="5" t="n">
        <v>0</v>
      </c>
      <c r="N458" s="5" t="n">
        <v>0</v>
      </c>
      <c r="O458" s="5" t="n">
        <v>0</v>
      </c>
      <c r="P458" s="5" t="n">
        <v>0</v>
      </c>
      <c r="Q458" s="5" t="n">
        <v>0</v>
      </c>
      <c r="R458" s="5" t="n">
        <v>1</v>
      </c>
      <c r="S458" s="5" t="n">
        <v>0</v>
      </c>
      <c r="T458" s="5" t="n">
        <v>0</v>
      </c>
      <c r="U458" s="5" t="inlineStr">
        <is>
          <t>testing</t>
        </is>
      </c>
    </row>
    <row r="459">
      <c r="A459" s="5" t="n">
        <v>455</v>
      </c>
      <c r="B459" s="5" t="n">
        <v>1</v>
      </c>
      <c r="C459" s="6" t="n">
        <v>0.275406400796963</v>
      </c>
      <c r="D459" s="6" t="n">
        <v>0.5480385009863074</v>
      </c>
      <c r="E459" s="6" t="n">
        <v>-0.3948575139689546</v>
      </c>
      <c r="F459" s="6" t="n">
        <v>-0.8850484360866833</v>
      </c>
      <c r="G459" s="5" t="n">
        <v>1</v>
      </c>
      <c r="H459" s="5" t="n">
        <v>0</v>
      </c>
      <c r="I459" s="5" t="n">
        <v>0</v>
      </c>
      <c r="J459" s="5" t="n">
        <v>0</v>
      </c>
      <c r="K459" s="5" t="n">
        <v>0</v>
      </c>
      <c r="L459" s="5" t="n">
        <v>0</v>
      </c>
      <c r="M459" s="5" t="n">
        <v>0</v>
      </c>
      <c r="N459" s="5" t="n">
        <v>0</v>
      </c>
      <c r="O459" s="5" t="n">
        <v>0</v>
      </c>
      <c r="P459" s="5" t="n">
        <v>0</v>
      </c>
      <c r="Q459" s="5" t="n">
        <v>0</v>
      </c>
      <c r="R459" s="5" t="n">
        <v>1</v>
      </c>
      <c r="S459" s="5" t="n">
        <v>0</v>
      </c>
      <c r="T459" s="5" t="n">
        <v>0</v>
      </c>
      <c r="U459" s="5" t="inlineStr">
        <is>
          <t>testing</t>
        </is>
      </c>
    </row>
    <row r="460">
      <c r="A460" s="5" t="n">
        <v>456</v>
      </c>
      <c r="B460" s="5" t="n">
        <v>0</v>
      </c>
      <c r="C460" s="6" t="n">
        <v>0.275406400796963</v>
      </c>
      <c r="D460" s="6" t="n">
        <v>-0.2000321809338336</v>
      </c>
      <c r="E460" s="6" t="n">
        <v>-0.5688035553649698</v>
      </c>
      <c r="F460" s="6" t="n">
        <v>0.9185437189662378</v>
      </c>
      <c r="G460" s="5" t="n">
        <v>0</v>
      </c>
      <c r="H460" s="5" t="n">
        <v>0</v>
      </c>
      <c r="I460" s="5" t="n">
        <v>0</v>
      </c>
      <c r="J460" s="5" t="n">
        <v>0</v>
      </c>
      <c r="K460" s="5" t="n">
        <v>0</v>
      </c>
      <c r="L460" s="5" t="n">
        <v>0</v>
      </c>
      <c r="M460" s="5" t="n">
        <v>0</v>
      </c>
      <c r="N460" s="5" t="n">
        <v>0</v>
      </c>
      <c r="O460" s="5" t="n">
        <v>0</v>
      </c>
      <c r="P460" s="5" t="n">
        <v>0</v>
      </c>
      <c r="Q460" s="5" t="n">
        <v>0</v>
      </c>
      <c r="R460" s="5" t="n">
        <v>1</v>
      </c>
      <c r="S460" s="5" t="n">
        <v>0</v>
      </c>
      <c r="T460" s="5" t="n">
        <v>0</v>
      </c>
      <c r="U460" s="5" t="inlineStr">
        <is>
          <t>testing</t>
        </is>
      </c>
    </row>
    <row r="461">
      <c r="A461" s="5" t="n">
        <v>457</v>
      </c>
      <c r="B461" s="5" t="n">
        <v>0</v>
      </c>
      <c r="C461" s="6" t="n">
        <v>-0.8199599660091405</v>
      </c>
      <c r="D461" s="6" t="n">
        <v>0.2289363204852931</v>
      </c>
      <c r="E461" s="6" t="n">
        <v>0.04000758952108359</v>
      </c>
      <c r="F461" s="6" t="n">
        <v>-0.8850484360866833</v>
      </c>
      <c r="G461" s="5" t="n">
        <v>1</v>
      </c>
      <c r="H461" s="5" t="n">
        <v>0</v>
      </c>
      <c r="I461" s="5" t="n">
        <v>0</v>
      </c>
      <c r="J461" s="5" t="n">
        <v>1</v>
      </c>
      <c r="K461" s="5" t="n">
        <v>0</v>
      </c>
      <c r="L461" s="5" t="n">
        <v>0</v>
      </c>
      <c r="M461" s="5" t="n">
        <v>0</v>
      </c>
      <c r="N461" s="5" t="n">
        <v>0</v>
      </c>
      <c r="O461" s="5" t="n">
        <v>0</v>
      </c>
      <c r="P461" s="5" t="n">
        <v>1</v>
      </c>
      <c r="Q461" s="5" t="n">
        <v>0</v>
      </c>
      <c r="R461" s="5" t="n">
        <v>1</v>
      </c>
      <c r="S461" s="5" t="n">
        <v>0</v>
      </c>
      <c r="T461" s="5" t="n">
        <v>0</v>
      </c>
      <c r="U461" s="5" t="inlineStr">
        <is>
          <t>testing</t>
        </is>
      </c>
    </row>
    <row r="462">
      <c r="A462" s="5" t="n">
        <v>458</v>
      </c>
      <c r="B462" s="5" t="n">
        <v>1</v>
      </c>
      <c r="C462" s="6" t="n">
        <v>-0.7357010147163632</v>
      </c>
      <c r="D462" s="6" t="n">
        <v>0.04734198750280798</v>
      </c>
      <c r="E462" s="6" t="n">
        <v>-0.04696543117692405</v>
      </c>
      <c r="F462" s="6" t="n">
        <v>0.01674764143977723</v>
      </c>
      <c r="G462" s="5" t="n">
        <v>1</v>
      </c>
      <c r="H462" s="5" t="n">
        <v>0</v>
      </c>
      <c r="I462" s="5" t="n">
        <v>0</v>
      </c>
      <c r="J462" s="5" t="n">
        <v>0</v>
      </c>
      <c r="K462" s="5" t="n">
        <v>0</v>
      </c>
      <c r="L462" s="5" t="n">
        <v>0</v>
      </c>
      <c r="M462" s="5" t="n">
        <v>0</v>
      </c>
      <c r="N462" s="5" t="n">
        <v>0</v>
      </c>
      <c r="O462" s="5" t="n">
        <v>0</v>
      </c>
      <c r="P462" s="5" t="n">
        <v>0</v>
      </c>
      <c r="Q462" s="5" t="n">
        <v>1</v>
      </c>
      <c r="R462" s="5" t="n">
        <v>1</v>
      </c>
      <c r="S462" s="5" t="n">
        <v>0</v>
      </c>
      <c r="T462" s="5" t="n">
        <v>0</v>
      </c>
      <c r="U462" s="5" t="inlineStr">
        <is>
          <t>training</t>
        </is>
      </c>
    </row>
    <row r="463">
      <c r="A463" s="5" t="n">
        <v>459</v>
      </c>
      <c r="B463" s="5" t="n">
        <v>0</v>
      </c>
      <c r="C463" s="6" t="n">
        <v>-1.241254722473026</v>
      </c>
      <c r="D463" s="6" t="n">
        <v>-1.017381625725905</v>
      </c>
      <c r="E463" s="6" t="n">
        <v>-0.7427495967609852</v>
      </c>
      <c r="F463" s="6" t="n">
        <v>0.9185437189662378</v>
      </c>
      <c r="G463" s="5" t="n">
        <v>1</v>
      </c>
      <c r="H463" s="5" t="n">
        <v>0</v>
      </c>
      <c r="I463" s="5" t="n">
        <v>0</v>
      </c>
      <c r="J463" s="5" t="n">
        <v>0</v>
      </c>
      <c r="K463" s="5" t="n">
        <v>0</v>
      </c>
      <c r="L463" s="5" t="n">
        <v>0</v>
      </c>
      <c r="M463" s="5" t="n">
        <v>0</v>
      </c>
      <c r="N463" s="5" t="n">
        <v>0</v>
      </c>
      <c r="O463" s="5" t="n">
        <v>0</v>
      </c>
      <c r="P463" s="5" t="n">
        <v>0</v>
      </c>
      <c r="Q463" s="5" t="n">
        <v>0</v>
      </c>
      <c r="R463" s="5" t="n">
        <v>0</v>
      </c>
      <c r="S463" s="5" t="n">
        <v>0</v>
      </c>
      <c r="T463" s="5" t="n">
        <v>0</v>
      </c>
      <c r="U463" s="5" t="inlineStr">
        <is>
          <t>training</t>
        </is>
      </c>
    </row>
    <row r="464">
      <c r="A464" s="5" t="n">
        <v>460</v>
      </c>
      <c r="B464" s="5" t="n">
        <v>0</v>
      </c>
      <c r="C464" s="6" t="n">
        <v>-0.2301473069597001</v>
      </c>
      <c r="D464" s="6" t="n">
        <v>0.4700124195699409</v>
      </c>
      <c r="E464" s="6" t="n">
        <v>-0.307884493270947</v>
      </c>
      <c r="F464" s="6" t="n">
        <v>0.01674764143977723</v>
      </c>
      <c r="G464" s="5" t="n">
        <v>0</v>
      </c>
      <c r="H464" s="5" t="n">
        <v>0</v>
      </c>
      <c r="I464" s="5" t="n">
        <v>0</v>
      </c>
      <c r="J464" s="5" t="n">
        <v>0</v>
      </c>
      <c r="K464" s="5" t="n">
        <v>0</v>
      </c>
      <c r="L464" s="5" t="n">
        <v>0</v>
      </c>
      <c r="M464" s="5" t="n">
        <v>0</v>
      </c>
      <c r="N464" s="5" t="n">
        <v>0</v>
      </c>
      <c r="O464" s="5" t="n">
        <v>0</v>
      </c>
      <c r="P464" s="5" t="n">
        <v>0</v>
      </c>
      <c r="Q464" s="5" t="n">
        <v>0</v>
      </c>
      <c r="R464" s="5" t="n">
        <v>0</v>
      </c>
      <c r="S464" s="5" t="n">
        <v>1</v>
      </c>
      <c r="T464" s="5" t="n">
        <v>0</v>
      </c>
      <c r="U464" s="5" t="inlineStr">
        <is>
          <t>testing</t>
        </is>
      </c>
    </row>
    <row r="465">
      <c r="A465" s="5" t="n">
        <v>461</v>
      </c>
      <c r="B465" s="5" t="n">
        <v>0</v>
      </c>
      <c r="C465" s="6" t="n">
        <v>1.286513816310289</v>
      </c>
      <c r="D465" s="6" t="n">
        <v>0.1292168890787261</v>
      </c>
      <c r="E465" s="6" t="n">
        <v>0.1269806102190912</v>
      </c>
      <c r="F465" s="6" t="n">
        <v>-1.786844513613144</v>
      </c>
      <c r="G465" s="5" t="n">
        <v>1</v>
      </c>
      <c r="H465" s="5" t="n">
        <v>0</v>
      </c>
      <c r="I465" s="5" t="n">
        <v>0</v>
      </c>
      <c r="J465" s="5" t="n">
        <v>0</v>
      </c>
      <c r="K465" s="5" t="n">
        <v>0</v>
      </c>
      <c r="L465" s="5" t="n">
        <v>0</v>
      </c>
      <c r="M465" s="5" t="n">
        <v>0</v>
      </c>
      <c r="N465" s="5" t="n">
        <v>0</v>
      </c>
      <c r="O465" s="5" t="n">
        <v>0</v>
      </c>
      <c r="P465" s="5" t="n">
        <v>0</v>
      </c>
      <c r="Q465" s="5" t="n">
        <v>0</v>
      </c>
      <c r="R465" s="5" t="n">
        <v>0</v>
      </c>
      <c r="S465" s="5" t="n">
        <v>0</v>
      </c>
      <c r="T465" s="5" t="n">
        <v>1</v>
      </c>
      <c r="U465" s="5" t="inlineStr">
        <is>
          <t>training</t>
        </is>
      </c>
    </row>
    <row r="466">
      <c r="A466" s="5" t="n">
        <v>462</v>
      </c>
      <c r="B466" s="5" t="n">
        <v>0</v>
      </c>
      <c r="C466" s="6" t="n">
        <v>-0.4829241608380317</v>
      </c>
      <c r="D466" s="6" t="n">
        <v>-0.5352294275566095</v>
      </c>
      <c r="E466" s="6" t="n">
        <v>0.04000758952108359</v>
      </c>
      <c r="F466" s="6" t="n">
        <v>-0.8850484360866833</v>
      </c>
      <c r="G466" s="5" t="n">
        <v>1</v>
      </c>
      <c r="H466" s="5" t="n">
        <v>0</v>
      </c>
      <c r="I466" s="5" t="n">
        <v>0</v>
      </c>
      <c r="J466" s="5" t="n">
        <v>0</v>
      </c>
      <c r="K466" s="5" t="n">
        <v>0</v>
      </c>
      <c r="L466" s="5" t="n">
        <v>0</v>
      </c>
      <c r="M466" s="5" t="n">
        <v>0</v>
      </c>
      <c r="N466" s="5" t="n">
        <v>0</v>
      </c>
      <c r="O466" s="5" t="n">
        <v>0</v>
      </c>
      <c r="P466" s="5" t="n">
        <v>0</v>
      </c>
      <c r="Q466" s="5" t="n">
        <v>0</v>
      </c>
      <c r="R466" s="5" t="n">
        <v>1</v>
      </c>
      <c r="S466" s="5" t="n">
        <v>0</v>
      </c>
      <c r="T466" s="5" t="n">
        <v>0</v>
      </c>
      <c r="U466" s="5" t="inlineStr">
        <is>
          <t>training</t>
        </is>
      </c>
    </row>
    <row r="467">
      <c r="A467" s="5" t="n">
        <v>463</v>
      </c>
      <c r="B467" s="5" t="n">
        <v>0</v>
      </c>
      <c r="C467" s="6" t="n">
        <v>-0.7357010147163632</v>
      </c>
      <c r="D467" s="6" t="n">
        <v>-0.08176843421306293</v>
      </c>
      <c r="E467" s="6" t="n">
        <v>-0.1339384518749317</v>
      </c>
      <c r="F467" s="6" t="n">
        <v>0.01674764143977723</v>
      </c>
      <c r="G467" s="5" t="n">
        <v>0</v>
      </c>
      <c r="H467" s="5" t="n">
        <v>1</v>
      </c>
      <c r="I467" s="5" t="n">
        <v>0</v>
      </c>
      <c r="J467" s="5" t="n">
        <v>0</v>
      </c>
      <c r="K467" s="5" t="n">
        <v>0</v>
      </c>
      <c r="L467" s="5" t="n">
        <v>0</v>
      </c>
      <c r="M467" s="5" t="n">
        <v>0</v>
      </c>
      <c r="N467" s="5" t="n">
        <v>0</v>
      </c>
      <c r="O467" s="5" t="n">
        <v>0</v>
      </c>
      <c r="P467" s="5" t="n">
        <v>1</v>
      </c>
      <c r="Q467" s="5" t="n">
        <v>0</v>
      </c>
      <c r="R467" s="5" t="n">
        <v>0</v>
      </c>
      <c r="S467" s="5" t="n">
        <v>0</v>
      </c>
      <c r="T467" s="5" t="n">
        <v>1</v>
      </c>
      <c r="U467" s="5" t="inlineStr">
        <is>
          <t>testing</t>
        </is>
      </c>
    </row>
    <row r="468">
      <c r="A468" s="5" t="n">
        <v>464</v>
      </c>
      <c r="B468" s="5" t="n">
        <v>0</v>
      </c>
      <c r="C468" s="6" t="n">
        <v>-0.7357010147163632</v>
      </c>
      <c r="D468" s="6" t="n">
        <v>-0.8735757088553824</v>
      </c>
      <c r="E468" s="6" t="n">
        <v>0.2139536309170988</v>
      </c>
      <c r="F468" s="6" t="n">
        <v>0.9185437189662378</v>
      </c>
      <c r="G468" s="5" t="n">
        <v>0</v>
      </c>
      <c r="H468" s="5" t="n">
        <v>1</v>
      </c>
      <c r="I468" s="5" t="n">
        <v>0</v>
      </c>
      <c r="J468" s="5" t="n">
        <v>0</v>
      </c>
      <c r="K468" s="5" t="n">
        <v>0</v>
      </c>
      <c r="L468" s="5" t="n">
        <v>0</v>
      </c>
      <c r="M468" s="5" t="n">
        <v>0</v>
      </c>
      <c r="N468" s="5" t="n">
        <v>0</v>
      </c>
      <c r="O468" s="5" t="n">
        <v>1</v>
      </c>
      <c r="P468" s="5" t="n">
        <v>0</v>
      </c>
      <c r="Q468" s="5" t="n">
        <v>0</v>
      </c>
      <c r="R468" s="5" t="n">
        <v>0</v>
      </c>
      <c r="S468" s="5" t="n">
        <v>0</v>
      </c>
      <c r="T468" s="5" t="n">
        <v>0</v>
      </c>
      <c r="U468" s="5" t="inlineStr">
        <is>
          <t>testing</t>
        </is>
      </c>
    </row>
    <row r="469">
      <c r="A469" s="5" t="n">
        <v>465</v>
      </c>
      <c r="B469" s="5" t="n">
        <v>0</v>
      </c>
      <c r="C469" s="6" t="n">
        <v>-0.2301473069597001</v>
      </c>
      <c r="D469" s="6" t="n">
        <v>-0.4551039896895785</v>
      </c>
      <c r="E469" s="6" t="n">
        <v>-0.1339384518749317</v>
      </c>
      <c r="F469" s="6" t="n">
        <v>0.9185437189662378</v>
      </c>
      <c r="G469" s="5" t="n">
        <v>0</v>
      </c>
      <c r="H469" s="5" t="n">
        <v>0</v>
      </c>
      <c r="I469" s="5" t="n">
        <v>0</v>
      </c>
      <c r="J469" s="5" t="n">
        <v>0</v>
      </c>
      <c r="K469" s="5" t="n">
        <v>0</v>
      </c>
      <c r="L469" s="5" t="n">
        <v>0</v>
      </c>
      <c r="M469" s="5" t="n">
        <v>0</v>
      </c>
      <c r="N469" s="5" t="n">
        <v>0</v>
      </c>
      <c r="O469" s="5" t="n">
        <v>0</v>
      </c>
      <c r="P469" s="5" t="n">
        <v>0</v>
      </c>
      <c r="Q469" s="5" t="n">
        <v>0</v>
      </c>
      <c r="R469" s="5" t="n">
        <v>0</v>
      </c>
      <c r="S469" s="5" t="n">
        <v>0</v>
      </c>
      <c r="T469" s="5" t="n">
        <v>0</v>
      </c>
      <c r="U469" s="5" t="inlineStr">
        <is>
          <t>training</t>
        </is>
      </c>
    </row>
    <row r="470">
      <c r="A470" s="5" t="n">
        <v>466</v>
      </c>
      <c r="B470" s="5" t="n">
        <v>0</v>
      </c>
      <c r="C470" s="6" t="n">
        <v>0.275406400796963</v>
      </c>
      <c r="D470" s="6" t="n">
        <v>-0.1143084591983637</v>
      </c>
      <c r="E470" s="6" t="n">
        <v>2.38827914836729</v>
      </c>
      <c r="F470" s="6" t="n">
        <v>0.01674764143977723</v>
      </c>
      <c r="G470" s="5" t="n">
        <v>1</v>
      </c>
      <c r="H470" s="5" t="n">
        <v>0</v>
      </c>
      <c r="I470" s="5" t="n">
        <v>0</v>
      </c>
      <c r="J470" s="5" t="n">
        <v>0</v>
      </c>
      <c r="K470" s="5" t="n">
        <v>0</v>
      </c>
      <c r="L470" s="5" t="n">
        <v>0</v>
      </c>
      <c r="M470" s="5" t="n">
        <v>0</v>
      </c>
      <c r="N470" s="5" t="n">
        <v>0</v>
      </c>
      <c r="O470" s="5" t="n">
        <v>0</v>
      </c>
      <c r="P470" s="5" t="n">
        <v>0</v>
      </c>
      <c r="Q470" s="5" t="n">
        <v>0</v>
      </c>
      <c r="R470" s="5" t="n">
        <v>1</v>
      </c>
      <c r="S470" s="5" t="n">
        <v>0</v>
      </c>
      <c r="T470" s="5" t="n">
        <v>0</v>
      </c>
      <c r="U470" s="5" t="inlineStr">
        <is>
          <t>training</t>
        </is>
      </c>
    </row>
    <row r="471">
      <c r="A471" s="5" t="n">
        <v>467</v>
      </c>
      <c r="B471" s="5" t="n">
        <v>1</v>
      </c>
      <c r="C471" s="6" t="n">
        <v>0.275406400796963</v>
      </c>
      <c r="D471" s="6" t="n">
        <v>-0.5569227775468101</v>
      </c>
      <c r="E471" s="6" t="n">
        <v>-0.5688035553649698</v>
      </c>
      <c r="F471" s="6" t="n">
        <v>0.9185437189662378</v>
      </c>
      <c r="G471" s="5" t="n">
        <v>1</v>
      </c>
      <c r="H471" s="5" t="n">
        <v>0</v>
      </c>
      <c r="I471" s="5" t="n">
        <v>0</v>
      </c>
      <c r="J471" s="5" t="n">
        <v>0</v>
      </c>
      <c r="K471" s="5" t="n">
        <v>1</v>
      </c>
      <c r="L471" s="5" t="n">
        <v>0</v>
      </c>
      <c r="M471" s="5" t="n">
        <v>0</v>
      </c>
      <c r="N471" s="5" t="n">
        <v>0</v>
      </c>
      <c r="O471" s="5" t="n">
        <v>0</v>
      </c>
      <c r="P471" s="5" t="n">
        <v>1</v>
      </c>
      <c r="Q471" s="5" t="n">
        <v>0</v>
      </c>
      <c r="R471" s="5" t="n">
        <v>0</v>
      </c>
      <c r="S471" s="5" t="n">
        <v>1</v>
      </c>
      <c r="T471" s="5" t="n">
        <v>0</v>
      </c>
      <c r="U471" s="5" t="inlineStr">
        <is>
          <t>testing</t>
        </is>
      </c>
    </row>
    <row r="472">
      <c r="A472" s="5" t="n">
        <v>468</v>
      </c>
      <c r="B472" s="5" t="n">
        <v>0</v>
      </c>
      <c r="C472" s="6" t="n">
        <v>2.297621231823615</v>
      </c>
      <c r="D472" s="6" t="n">
        <v>1.39512882882946</v>
      </c>
      <c r="E472" s="6" t="n">
        <v>-0.307884493270947</v>
      </c>
      <c r="F472" s="6" t="n">
        <v>0.01674764143977723</v>
      </c>
      <c r="G472" s="5" t="n">
        <v>0</v>
      </c>
      <c r="H472" s="5" t="n">
        <v>0</v>
      </c>
      <c r="I472" s="5" t="n">
        <v>0</v>
      </c>
      <c r="J472" s="5" t="n">
        <v>0</v>
      </c>
      <c r="K472" s="5" t="n">
        <v>1</v>
      </c>
      <c r="L472" s="5" t="n">
        <v>0</v>
      </c>
      <c r="M472" s="5" t="n">
        <v>0</v>
      </c>
      <c r="N472" s="5" t="n">
        <v>0</v>
      </c>
      <c r="O472" s="5" t="n">
        <v>1</v>
      </c>
      <c r="P472" s="5" t="n">
        <v>0</v>
      </c>
      <c r="Q472" s="5" t="n">
        <v>0</v>
      </c>
      <c r="R472" s="5" t="n">
        <v>0</v>
      </c>
      <c r="S472" s="5" t="n">
        <v>1</v>
      </c>
      <c r="T472" s="5" t="n">
        <v>0</v>
      </c>
      <c r="U472" s="5" t="inlineStr">
        <is>
          <t>testing</t>
        </is>
      </c>
    </row>
    <row r="473">
      <c r="A473" s="5" t="n">
        <v>469</v>
      </c>
      <c r="B473" s="5" t="n">
        <v>0</v>
      </c>
      <c r="C473" s="6" t="n">
        <v>1.033736962431958</v>
      </c>
      <c r="D473" s="6" t="n">
        <v>-0.1702912978827522</v>
      </c>
      <c r="E473" s="6" t="n">
        <v>-0.8297226174589928</v>
      </c>
      <c r="F473" s="6" t="n">
        <v>-0.8850484360866833</v>
      </c>
      <c r="G473" s="5" t="n">
        <v>0</v>
      </c>
      <c r="H473" s="5" t="n">
        <v>0</v>
      </c>
      <c r="I473" s="5" t="n">
        <v>0</v>
      </c>
      <c r="J473" s="5" t="n">
        <v>0</v>
      </c>
      <c r="K473" s="5" t="n">
        <v>1</v>
      </c>
      <c r="L473" s="5" t="n">
        <v>0</v>
      </c>
      <c r="M473" s="5" t="n">
        <v>0</v>
      </c>
      <c r="N473" s="5" t="n">
        <v>0</v>
      </c>
      <c r="O473" s="5" t="n">
        <v>0</v>
      </c>
      <c r="P473" s="5" t="n">
        <v>0</v>
      </c>
      <c r="Q473" s="5" t="n">
        <v>0</v>
      </c>
      <c r="R473" s="5" t="n">
        <v>0</v>
      </c>
      <c r="S473" s="5" t="n">
        <v>0</v>
      </c>
      <c r="T473" s="5" t="n">
        <v>0</v>
      </c>
      <c r="U473" s="5" t="inlineStr">
        <is>
          <t>training</t>
        </is>
      </c>
    </row>
    <row r="474">
      <c r="A474" s="5" t="n">
        <v>470</v>
      </c>
      <c r="B474" s="5" t="n">
        <v>0</v>
      </c>
      <c r="C474" s="6" t="n">
        <v>0.275406400796963</v>
      </c>
      <c r="D474" s="6" t="n">
        <v>0.4997533026210223</v>
      </c>
      <c r="E474" s="6" t="n">
        <v>-0.04696543117692405</v>
      </c>
      <c r="F474" s="6" t="n">
        <v>0.01674764143977723</v>
      </c>
      <c r="G474" s="5" t="n">
        <v>0</v>
      </c>
      <c r="H474" s="5" t="n">
        <v>0</v>
      </c>
      <c r="I474" s="5" t="n">
        <v>0</v>
      </c>
      <c r="J474" s="5" t="n">
        <v>0</v>
      </c>
      <c r="K474" s="5" t="n">
        <v>1</v>
      </c>
      <c r="L474" s="5" t="n">
        <v>0</v>
      </c>
      <c r="M474" s="5" t="n">
        <v>0</v>
      </c>
      <c r="N474" s="5" t="n">
        <v>0</v>
      </c>
      <c r="O474" s="5" t="n">
        <v>0</v>
      </c>
      <c r="P474" s="5" t="n">
        <v>0</v>
      </c>
      <c r="Q474" s="5" t="n">
        <v>0</v>
      </c>
      <c r="R474" s="5" t="n">
        <v>1</v>
      </c>
      <c r="S474" s="5" t="n">
        <v>0</v>
      </c>
      <c r="T474" s="5" t="n">
        <v>0</v>
      </c>
      <c r="U474" s="5" t="inlineStr">
        <is>
          <t>training</t>
        </is>
      </c>
    </row>
    <row r="475">
      <c r="A475" s="5" t="n">
        <v>471</v>
      </c>
      <c r="B475" s="5" t="n">
        <v>1</v>
      </c>
      <c r="C475" s="6" t="n">
        <v>0.275406400796963</v>
      </c>
      <c r="D475" s="6" t="n">
        <v>-0.05552647857975584</v>
      </c>
      <c r="E475" s="6" t="n">
        <v>-1.177614700251023</v>
      </c>
      <c r="F475" s="6" t="n">
        <v>0.01674764143977723</v>
      </c>
      <c r="G475" s="5" t="n">
        <v>0</v>
      </c>
      <c r="H475" s="5" t="n">
        <v>1</v>
      </c>
      <c r="I475" s="5" t="n">
        <v>0</v>
      </c>
      <c r="J475" s="5" t="n">
        <v>0</v>
      </c>
      <c r="K475" s="5" t="n">
        <v>0</v>
      </c>
      <c r="L475" s="5" t="n">
        <v>0</v>
      </c>
      <c r="M475" s="5" t="n">
        <v>1</v>
      </c>
      <c r="N475" s="5" t="n">
        <v>0</v>
      </c>
      <c r="O475" s="5" t="n">
        <v>0</v>
      </c>
      <c r="P475" s="5" t="n">
        <v>1</v>
      </c>
      <c r="Q475" s="5" t="n">
        <v>0</v>
      </c>
      <c r="R475" s="5" t="n">
        <v>0</v>
      </c>
      <c r="S475" s="5" t="n">
        <v>1</v>
      </c>
      <c r="T475" s="5" t="n">
        <v>0</v>
      </c>
      <c r="U475" s="5" t="inlineStr">
        <is>
          <t>testing</t>
        </is>
      </c>
    </row>
    <row r="476">
      <c r="A476" s="5" t="n">
        <v>472</v>
      </c>
      <c r="B476" s="5" t="n">
        <v>1</v>
      </c>
      <c r="C476" s="6" t="n">
        <v>-1.241254722473026</v>
      </c>
      <c r="D476" s="6" t="n">
        <v>-0.9806428878392753</v>
      </c>
      <c r="E476" s="6" t="n">
        <v>-1.090641679553016</v>
      </c>
      <c r="F476" s="6" t="n">
        <v>0.9185437189662378</v>
      </c>
      <c r="G476" s="5" t="n">
        <v>1</v>
      </c>
      <c r="H476" s="5" t="n">
        <v>0</v>
      </c>
      <c r="I476" s="5" t="n">
        <v>0</v>
      </c>
      <c r="J476" s="5" t="n">
        <v>0</v>
      </c>
      <c r="K476" s="5" t="n">
        <v>0</v>
      </c>
      <c r="L476" s="5" t="n">
        <v>0</v>
      </c>
      <c r="M476" s="5" t="n">
        <v>0</v>
      </c>
      <c r="N476" s="5" t="n">
        <v>0</v>
      </c>
      <c r="O476" s="5" t="n">
        <v>0</v>
      </c>
      <c r="P476" s="5" t="n">
        <v>0</v>
      </c>
      <c r="Q476" s="5" t="n">
        <v>0</v>
      </c>
      <c r="R476" s="5" t="n">
        <v>0</v>
      </c>
      <c r="S476" s="5" t="n">
        <v>0</v>
      </c>
      <c r="T476" s="5" t="n">
        <v>0</v>
      </c>
      <c r="U476" s="5" t="inlineStr">
        <is>
          <t>training</t>
        </is>
      </c>
    </row>
    <row r="477">
      <c r="A477" s="5" t="n">
        <v>473</v>
      </c>
      <c r="B477" s="5" t="n">
        <v>1</v>
      </c>
      <c r="C477" s="6" t="n">
        <v>-0.9884778685946948</v>
      </c>
      <c r="D477" s="6" t="n">
        <v>-0.9085649830331252</v>
      </c>
      <c r="E477" s="6" t="n">
        <v>-0.6557765760629775</v>
      </c>
      <c r="F477" s="6" t="n">
        <v>0.9185437189662378</v>
      </c>
      <c r="G477" s="5" t="n">
        <v>1</v>
      </c>
      <c r="H477" s="5" t="n">
        <v>0</v>
      </c>
      <c r="I477" s="5" t="n">
        <v>0</v>
      </c>
      <c r="J477" s="5" t="n">
        <v>0</v>
      </c>
      <c r="K477" s="5" t="n">
        <v>0</v>
      </c>
      <c r="L477" s="5" t="n">
        <v>0</v>
      </c>
      <c r="M477" s="5" t="n">
        <v>0</v>
      </c>
      <c r="N477" s="5" t="n">
        <v>0</v>
      </c>
      <c r="O477" s="5" t="n">
        <v>0</v>
      </c>
      <c r="P477" s="5" t="n">
        <v>0</v>
      </c>
      <c r="Q477" s="5" t="n">
        <v>0</v>
      </c>
      <c r="R477" s="5" t="n">
        <v>1</v>
      </c>
      <c r="S477" s="5" t="n">
        <v>0</v>
      </c>
      <c r="T477" s="5" t="n">
        <v>0</v>
      </c>
      <c r="U477" s="5" t="inlineStr">
        <is>
          <t>testing</t>
        </is>
      </c>
    </row>
    <row r="478">
      <c r="A478" s="5" t="n">
        <v>474</v>
      </c>
      <c r="B478" s="5" t="n">
        <v>0</v>
      </c>
      <c r="C478" s="6" t="n">
        <v>-1.241254722473026</v>
      </c>
      <c r="D478" s="6" t="n">
        <v>-0.7042276218351072</v>
      </c>
      <c r="E478" s="6" t="n">
        <v>0.04000758952108359</v>
      </c>
      <c r="F478" s="6" t="n">
        <v>0.9185437189662378</v>
      </c>
      <c r="G478" s="5" t="n">
        <v>0</v>
      </c>
      <c r="H478" s="5" t="n">
        <v>0</v>
      </c>
      <c r="I478" s="5" t="n">
        <v>0</v>
      </c>
      <c r="J478" s="5" t="n">
        <v>0</v>
      </c>
      <c r="K478" s="5" t="n">
        <v>0</v>
      </c>
      <c r="L478" s="5" t="n">
        <v>0</v>
      </c>
      <c r="M478" s="5" t="n">
        <v>0</v>
      </c>
      <c r="N478" s="5" t="n">
        <v>0</v>
      </c>
      <c r="O478" s="5" t="n">
        <v>1</v>
      </c>
      <c r="P478" s="5" t="n">
        <v>0</v>
      </c>
      <c r="Q478" s="5" t="n">
        <v>0</v>
      </c>
      <c r="R478" s="5" t="n">
        <v>0</v>
      </c>
      <c r="S478" s="5" t="n">
        <v>0</v>
      </c>
      <c r="T478" s="5" t="n">
        <v>0</v>
      </c>
      <c r="U478" s="5" t="inlineStr">
        <is>
          <t>testing</t>
        </is>
      </c>
    </row>
    <row r="479">
      <c r="A479" s="5" t="n">
        <v>475</v>
      </c>
      <c r="B479" s="5" t="n">
        <v>1</v>
      </c>
      <c r="C479" s="6" t="n">
        <v>-0.2301473069597001</v>
      </c>
      <c r="D479" s="6" t="n">
        <v>-0.7017783726426653</v>
      </c>
      <c r="E479" s="6" t="n">
        <v>-0.2209114725729393</v>
      </c>
      <c r="F479" s="6" t="n">
        <v>0.9185437189662378</v>
      </c>
      <c r="G479" s="5" t="n">
        <v>0</v>
      </c>
      <c r="H479" s="5" t="n">
        <v>1</v>
      </c>
      <c r="I479" s="5" t="n">
        <v>0</v>
      </c>
      <c r="J479" s="5" t="n">
        <v>1</v>
      </c>
      <c r="K479" s="5" t="n">
        <v>0</v>
      </c>
      <c r="L479" s="5" t="n">
        <v>0</v>
      </c>
      <c r="M479" s="5" t="n">
        <v>0</v>
      </c>
      <c r="N479" s="5" t="n">
        <v>0</v>
      </c>
      <c r="O479" s="5" t="n">
        <v>0</v>
      </c>
      <c r="P479" s="5" t="n">
        <v>0</v>
      </c>
      <c r="Q479" s="5" t="n">
        <v>0</v>
      </c>
      <c r="R479" s="5" t="n">
        <v>0</v>
      </c>
      <c r="S479" s="5" t="n">
        <v>1</v>
      </c>
      <c r="T479" s="5" t="n">
        <v>0</v>
      </c>
      <c r="U479" s="5" t="inlineStr">
        <is>
          <t>training</t>
        </is>
      </c>
    </row>
    <row r="480">
      <c r="A480" s="5" t="n">
        <v>476</v>
      </c>
      <c r="B480" s="5" t="n">
        <v>1</v>
      </c>
      <c r="C480" s="6" t="n">
        <v>-0.2301473069597001</v>
      </c>
      <c r="D480" s="6" t="n">
        <v>-0.04782883826065242</v>
      </c>
      <c r="E480" s="6" t="n">
        <v>-0.8297226174589928</v>
      </c>
      <c r="F480" s="6" t="n">
        <v>-1.786844513613144</v>
      </c>
      <c r="G480" s="5" t="n">
        <v>1</v>
      </c>
      <c r="H480" s="5" t="n">
        <v>0</v>
      </c>
      <c r="I480" s="5" t="n">
        <v>0</v>
      </c>
      <c r="J480" s="5" t="n">
        <v>0</v>
      </c>
      <c r="K480" s="5" t="n">
        <v>0</v>
      </c>
      <c r="L480" s="5" t="n">
        <v>1</v>
      </c>
      <c r="M480" s="5" t="n">
        <v>0</v>
      </c>
      <c r="N480" s="5" t="n">
        <v>0</v>
      </c>
      <c r="O480" s="5" t="n">
        <v>0</v>
      </c>
      <c r="P480" s="5" t="n">
        <v>1</v>
      </c>
      <c r="Q480" s="5" t="n">
        <v>0</v>
      </c>
      <c r="R480" s="5" t="n">
        <v>0</v>
      </c>
      <c r="S480" s="5" t="n">
        <v>0</v>
      </c>
      <c r="T480" s="5" t="n">
        <v>1</v>
      </c>
      <c r="U480" s="5" t="inlineStr">
        <is>
          <t>training</t>
        </is>
      </c>
    </row>
    <row r="481">
      <c r="A481" s="5" t="n">
        <v>477</v>
      </c>
      <c r="B481" s="5" t="n">
        <v>0</v>
      </c>
      <c r="C481" s="6" t="n">
        <v>1.539290670188621</v>
      </c>
      <c r="D481" s="6" t="n">
        <v>-0.2385203825293506</v>
      </c>
      <c r="E481" s="6" t="n">
        <v>-1.003668658855008</v>
      </c>
      <c r="F481" s="6" t="n">
        <v>0.9185437189662378</v>
      </c>
      <c r="G481" s="5" t="n">
        <v>0</v>
      </c>
      <c r="H481" s="5" t="n">
        <v>0</v>
      </c>
      <c r="I481" s="5" t="n">
        <v>0</v>
      </c>
      <c r="J481" s="5" t="n">
        <v>0</v>
      </c>
      <c r="K481" s="5" t="n">
        <v>0</v>
      </c>
      <c r="L481" s="5" t="n">
        <v>0</v>
      </c>
      <c r="M481" s="5" t="n">
        <v>1</v>
      </c>
      <c r="N481" s="5" t="n">
        <v>0</v>
      </c>
      <c r="O481" s="5" t="n">
        <v>0</v>
      </c>
      <c r="P481" s="5" t="n">
        <v>0</v>
      </c>
      <c r="Q481" s="5" t="n">
        <v>0</v>
      </c>
      <c r="R481" s="5" t="n">
        <v>1</v>
      </c>
      <c r="S481" s="5" t="n">
        <v>0</v>
      </c>
      <c r="T481" s="5" t="n">
        <v>0</v>
      </c>
      <c r="U481" s="5" t="inlineStr">
        <is>
          <t>testing</t>
        </is>
      </c>
    </row>
    <row r="482">
      <c r="A482" s="5" t="n">
        <v>478</v>
      </c>
      <c r="B482" s="5" t="n">
        <v>0</v>
      </c>
      <c r="C482" s="6" t="n">
        <v>0.275406400796963</v>
      </c>
      <c r="D482" s="6" t="n">
        <v>0.6652525694817457</v>
      </c>
      <c r="E482" s="6" t="n">
        <v>-0.9166956381570004</v>
      </c>
      <c r="F482" s="6" t="n">
        <v>0.9185437189662378</v>
      </c>
      <c r="G482" s="5" t="n">
        <v>0</v>
      </c>
      <c r="H482" s="5" t="n">
        <v>0</v>
      </c>
      <c r="I482" s="5" t="n">
        <v>1</v>
      </c>
      <c r="J482" s="5" t="n">
        <v>0</v>
      </c>
      <c r="K482" s="5" t="n">
        <v>0</v>
      </c>
      <c r="L482" s="5" t="n">
        <v>0</v>
      </c>
      <c r="M482" s="5" t="n">
        <v>0</v>
      </c>
      <c r="N482" s="5" t="n">
        <v>0</v>
      </c>
      <c r="O482" s="5" t="n">
        <v>0</v>
      </c>
      <c r="P482" s="5" t="n">
        <v>0</v>
      </c>
      <c r="Q482" s="5" t="n">
        <v>0</v>
      </c>
      <c r="R482" s="5" t="n">
        <v>0</v>
      </c>
      <c r="S482" s="5" t="n">
        <v>1</v>
      </c>
      <c r="T482" s="5" t="n">
        <v>0</v>
      </c>
      <c r="U482" s="5" t="inlineStr">
        <is>
          <t>training</t>
        </is>
      </c>
    </row>
    <row r="483">
      <c r="A483" s="5" t="n">
        <v>479</v>
      </c>
      <c r="B483" s="5" t="n">
        <v>0</v>
      </c>
      <c r="C483" s="6" t="n">
        <v>-0.7357010147163632</v>
      </c>
      <c r="D483" s="6" t="n">
        <v>-0.7745560629323702</v>
      </c>
      <c r="E483" s="6" t="n">
        <v>0.3009266516151065</v>
      </c>
      <c r="F483" s="6" t="n">
        <v>0.01674764143977723</v>
      </c>
      <c r="G483" s="5" t="n">
        <v>0</v>
      </c>
      <c r="H483" s="5" t="n">
        <v>1</v>
      </c>
      <c r="I483" s="5" t="n">
        <v>0</v>
      </c>
      <c r="J483" s="5" t="n">
        <v>0</v>
      </c>
      <c r="K483" s="5" t="n">
        <v>0</v>
      </c>
      <c r="L483" s="5" t="n">
        <v>0</v>
      </c>
      <c r="M483" s="5" t="n">
        <v>1</v>
      </c>
      <c r="N483" s="5" t="n">
        <v>0</v>
      </c>
      <c r="O483" s="5" t="n">
        <v>0</v>
      </c>
      <c r="P483" s="5" t="n">
        <v>0</v>
      </c>
      <c r="Q483" s="5" t="n">
        <v>0</v>
      </c>
      <c r="R483" s="5" t="n">
        <v>0</v>
      </c>
      <c r="S483" s="5" t="n">
        <v>0</v>
      </c>
      <c r="T483" s="5" t="n">
        <v>0</v>
      </c>
      <c r="U483" s="5" t="inlineStr">
        <is>
          <t>training</t>
        </is>
      </c>
    </row>
    <row r="484">
      <c r="A484" s="5" t="n">
        <v>480</v>
      </c>
      <c r="B484" s="5" t="n">
        <v>0</v>
      </c>
      <c r="C484" s="6" t="n">
        <v>-0.4829241608380317</v>
      </c>
      <c r="D484" s="6" t="n">
        <v>-0.6202533638085246</v>
      </c>
      <c r="E484" s="6" t="n">
        <v>0.7357917551051447</v>
      </c>
      <c r="F484" s="6" t="n">
        <v>0.9185437189662378</v>
      </c>
      <c r="G484" s="5" t="n">
        <v>1</v>
      </c>
      <c r="H484" s="5" t="n">
        <v>0</v>
      </c>
      <c r="I484" s="5" t="n">
        <v>0</v>
      </c>
      <c r="J484" s="5" t="n">
        <v>1</v>
      </c>
      <c r="K484" s="5" t="n">
        <v>0</v>
      </c>
      <c r="L484" s="5" t="n">
        <v>0</v>
      </c>
      <c r="M484" s="5" t="n">
        <v>0</v>
      </c>
      <c r="N484" s="5" t="n">
        <v>0</v>
      </c>
      <c r="O484" s="5" t="n">
        <v>0</v>
      </c>
      <c r="P484" s="5" t="n">
        <v>0</v>
      </c>
      <c r="Q484" s="5" t="n">
        <v>0</v>
      </c>
      <c r="R484" s="5" t="n">
        <v>0</v>
      </c>
      <c r="S484" s="5" t="n">
        <v>0</v>
      </c>
      <c r="T484" s="5" t="n">
        <v>1</v>
      </c>
      <c r="U484" s="5" t="inlineStr">
        <is>
          <t>training</t>
        </is>
      </c>
    </row>
    <row r="485">
      <c r="A485" s="5" t="n">
        <v>481</v>
      </c>
      <c r="B485" s="5" t="n">
        <v>0</v>
      </c>
      <c r="C485" s="6" t="n">
        <v>-0.7357010147163632</v>
      </c>
      <c r="D485" s="6" t="n">
        <v>0.112771930215187</v>
      </c>
      <c r="E485" s="6" t="n">
        <v>-1.090641679553016</v>
      </c>
      <c r="F485" s="6" t="n">
        <v>-1.786844513613144</v>
      </c>
      <c r="G485" s="5" t="n">
        <v>0</v>
      </c>
      <c r="H485" s="5" t="n">
        <v>1</v>
      </c>
      <c r="I485" s="5" t="n">
        <v>0</v>
      </c>
      <c r="J485" s="5" t="n">
        <v>1</v>
      </c>
      <c r="K485" s="5" t="n">
        <v>0</v>
      </c>
      <c r="L485" s="5" t="n">
        <v>0</v>
      </c>
      <c r="M485" s="5" t="n">
        <v>0</v>
      </c>
      <c r="N485" s="5" t="n">
        <v>0</v>
      </c>
      <c r="O485" s="5" t="n">
        <v>0</v>
      </c>
      <c r="P485" s="5" t="n">
        <v>0</v>
      </c>
      <c r="Q485" s="5" t="n">
        <v>0</v>
      </c>
      <c r="R485" s="5" t="n">
        <v>0</v>
      </c>
      <c r="S485" s="5" t="n">
        <v>1</v>
      </c>
      <c r="T485" s="5" t="n">
        <v>0</v>
      </c>
      <c r="U485" s="5" t="inlineStr">
        <is>
          <t>testing</t>
        </is>
      </c>
    </row>
    <row r="486">
      <c r="A486" s="5" t="n">
        <v>482</v>
      </c>
      <c r="B486" s="5" t="n">
        <v>0</v>
      </c>
      <c r="C486" s="6" t="n">
        <v>0.275406400796963</v>
      </c>
      <c r="D486" s="6" t="n">
        <v>-0.7171736532808721</v>
      </c>
      <c r="E486" s="6" t="n">
        <v>-0.8297226174589928</v>
      </c>
      <c r="F486" s="6" t="n">
        <v>0.9185437189662378</v>
      </c>
      <c r="G486" s="5" t="n">
        <v>0</v>
      </c>
      <c r="H486" s="5" t="n">
        <v>1</v>
      </c>
      <c r="I486" s="5" t="n">
        <v>0</v>
      </c>
      <c r="J486" s="5" t="n">
        <v>0</v>
      </c>
      <c r="K486" s="5" t="n">
        <v>0</v>
      </c>
      <c r="L486" s="5" t="n">
        <v>0</v>
      </c>
      <c r="M486" s="5" t="n">
        <v>0</v>
      </c>
      <c r="N486" s="5" t="n">
        <v>0</v>
      </c>
      <c r="O486" s="5" t="n">
        <v>0</v>
      </c>
      <c r="P486" s="5" t="n">
        <v>0</v>
      </c>
      <c r="Q486" s="5" t="n">
        <v>0</v>
      </c>
      <c r="R486" s="5" t="n">
        <v>1</v>
      </c>
      <c r="S486" s="5" t="n">
        <v>0</v>
      </c>
      <c r="T486" s="5" t="n">
        <v>0</v>
      </c>
      <c r="U486" s="5" t="inlineStr">
        <is>
          <t>training</t>
        </is>
      </c>
    </row>
    <row r="487">
      <c r="A487" s="5" t="n">
        <v>483</v>
      </c>
      <c r="B487" s="5" t="n">
        <v>0</v>
      </c>
      <c r="C487" s="6" t="n">
        <v>0.7809601085536261</v>
      </c>
      <c r="D487" s="6" t="n">
        <v>0.129916674562281</v>
      </c>
      <c r="E487" s="6" t="n">
        <v>1.866441024179244</v>
      </c>
      <c r="F487" s="6" t="n">
        <v>0.9185437189662378</v>
      </c>
      <c r="G487" s="5" t="n">
        <v>1</v>
      </c>
      <c r="H487" s="5" t="n">
        <v>0</v>
      </c>
      <c r="I487" s="5" t="n">
        <v>0</v>
      </c>
      <c r="J487" s="5" t="n">
        <v>0</v>
      </c>
      <c r="K487" s="5" t="n">
        <v>0</v>
      </c>
      <c r="L487" s="5" t="n">
        <v>0</v>
      </c>
      <c r="M487" s="5" t="n">
        <v>0</v>
      </c>
      <c r="N487" s="5" t="n">
        <v>1</v>
      </c>
      <c r="O487" s="5" t="n">
        <v>0</v>
      </c>
      <c r="P487" s="5" t="n">
        <v>1</v>
      </c>
      <c r="Q487" s="5" t="n">
        <v>0</v>
      </c>
      <c r="R487" s="5" t="n">
        <v>0</v>
      </c>
      <c r="S487" s="5" t="n">
        <v>0</v>
      </c>
      <c r="T487" s="5" t="n">
        <v>1</v>
      </c>
      <c r="U487" s="5" t="inlineStr">
        <is>
          <t>training</t>
        </is>
      </c>
    </row>
    <row r="488">
      <c r="A488" s="5" t="n">
        <v>484</v>
      </c>
      <c r="B488" s="5" t="n">
        <v>0</v>
      </c>
      <c r="C488" s="6" t="n">
        <v>-0.4829241608380317</v>
      </c>
      <c r="D488" s="6" t="n">
        <v>-0.8014978040492322</v>
      </c>
      <c r="E488" s="6" t="n">
        <v>-0.4818305346669622</v>
      </c>
      <c r="F488" s="6" t="n">
        <v>0.01674764143977723</v>
      </c>
      <c r="G488" s="5" t="n">
        <v>0</v>
      </c>
      <c r="H488" s="5" t="n">
        <v>0</v>
      </c>
      <c r="I488" s="5" t="n">
        <v>0</v>
      </c>
      <c r="J488" s="5" t="n">
        <v>0</v>
      </c>
      <c r="K488" s="5" t="n">
        <v>1</v>
      </c>
      <c r="L488" s="5" t="n">
        <v>0</v>
      </c>
      <c r="M488" s="5" t="n">
        <v>0</v>
      </c>
      <c r="N488" s="5" t="n">
        <v>1</v>
      </c>
      <c r="O488" s="5" t="n">
        <v>0</v>
      </c>
      <c r="P488" s="5" t="n">
        <v>0</v>
      </c>
      <c r="Q488" s="5" t="n">
        <v>0</v>
      </c>
      <c r="R488" s="5" t="n">
        <v>0</v>
      </c>
      <c r="S488" s="5" t="n">
        <v>0</v>
      </c>
      <c r="T488" s="5" t="n">
        <v>1</v>
      </c>
      <c r="U488" s="5" t="inlineStr">
        <is>
          <t>training</t>
        </is>
      </c>
    </row>
    <row r="489">
      <c r="A489" s="5" t="n">
        <v>485</v>
      </c>
      <c r="B489" s="5" t="n">
        <v>0</v>
      </c>
      <c r="C489" s="6" t="n">
        <v>-0.7357010147163632</v>
      </c>
      <c r="D489" s="6" t="n">
        <v>-0.7304695774684143</v>
      </c>
      <c r="E489" s="6" t="n">
        <v>0.7357917551051447</v>
      </c>
      <c r="F489" s="6" t="n">
        <v>0.9185437189662378</v>
      </c>
      <c r="G489" s="5" t="n">
        <v>0</v>
      </c>
      <c r="H489" s="5" t="n">
        <v>0</v>
      </c>
      <c r="I489" s="5" t="n">
        <v>0</v>
      </c>
      <c r="J489" s="5" t="n">
        <v>1</v>
      </c>
      <c r="K489" s="5" t="n">
        <v>0</v>
      </c>
      <c r="L489" s="5" t="n">
        <v>0</v>
      </c>
      <c r="M489" s="5" t="n">
        <v>1</v>
      </c>
      <c r="N489" s="5" t="n">
        <v>0</v>
      </c>
      <c r="O489" s="5" t="n">
        <v>0</v>
      </c>
      <c r="P489" s="5" t="n">
        <v>0</v>
      </c>
      <c r="Q489" s="5" t="n">
        <v>0</v>
      </c>
      <c r="R489" s="5" t="n">
        <v>1</v>
      </c>
      <c r="S489" s="5" t="n">
        <v>0</v>
      </c>
      <c r="T489" s="5" t="n">
        <v>0</v>
      </c>
      <c r="U489" s="5" t="inlineStr">
        <is>
          <t>testing</t>
        </is>
      </c>
    </row>
    <row r="490">
      <c r="A490" s="5" t="n">
        <v>486</v>
      </c>
      <c r="B490" s="5" t="n">
        <v>1</v>
      </c>
      <c r="C490" s="6" t="n">
        <v>-1.241254722473026</v>
      </c>
      <c r="D490" s="6" t="n">
        <v>-0.7143745113466526</v>
      </c>
      <c r="E490" s="6" t="n">
        <v>0.9967108171991675</v>
      </c>
      <c r="F490" s="6" t="n">
        <v>0.9185437189662378</v>
      </c>
      <c r="G490" s="5" t="n">
        <v>0</v>
      </c>
      <c r="H490" s="5" t="n">
        <v>1</v>
      </c>
      <c r="I490" s="5" t="n">
        <v>0</v>
      </c>
      <c r="J490" s="5" t="n">
        <v>0</v>
      </c>
      <c r="K490" s="5" t="n">
        <v>1</v>
      </c>
      <c r="L490" s="5" t="n">
        <v>0</v>
      </c>
      <c r="M490" s="5" t="n">
        <v>0</v>
      </c>
      <c r="N490" s="5" t="n">
        <v>0</v>
      </c>
      <c r="O490" s="5" t="n">
        <v>0</v>
      </c>
      <c r="P490" s="5" t="n">
        <v>0</v>
      </c>
      <c r="Q490" s="5" t="n">
        <v>0</v>
      </c>
      <c r="R490" s="5" t="n">
        <v>1</v>
      </c>
      <c r="S490" s="5" t="n">
        <v>0</v>
      </c>
      <c r="T490" s="5" t="n">
        <v>0</v>
      </c>
      <c r="U490" s="5" t="inlineStr">
        <is>
          <t>training</t>
        </is>
      </c>
    </row>
    <row r="491">
      <c r="A491" s="5" t="n">
        <v>487</v>
      </c>
      <c r="B491" s="5" t="n">
        <v>0</v>
      </c>
      <c r="C491" s="6" t="n">
        <v>-0.7357010147163632</v>
      </c>
      <c r="D491" s="6" t="n">
        <v>-0.06077486970641726</v>
      </c>
      <c r="E491" s="6" t="n">
        <v>1.431575920689206</v>
      </c>
      <c r="F491" s="6" t="n">
        <v>-0.8850484360866833</v>
      </c>
      <c r="G491" s="5" t="n">
        <v>0</v>
      </c>
      <c r="H491" s="5" t="n">
        <v>0</v>
      </c>
      <c r="I491" s="5" t="n">
        <v>0</v>
      </c>
      <c r="J491" s="5" t="n">
        <v>0</v>
      </c>
      <c r="K491" s="5" t="n">
        <v>0</v>
      </c>
      <c r="L491" s="5" t="n">
        <v>0</v>
      </c>
      <c r="M491" s="5" t="n">
        <v>0</v>
      </c>
      <c r="N491" s="5" t="n">
        <v>0</v>
      </c>
      <c r="O491" s="5" t="n">
        <v>0</v>
      </c>
      <c r="P491" s="5" t="n">
        <v>0</v>
      </c>
      <c r="Q491" s="5" t="n">
        <v>0</v>
      </c>
      <c r="R491" s="5" t="n">
        <v>0</v>
      </c>
      <c r="S491" s="5" t="n">
        <v>1</v>
      </c>
      <c r="T491" s="5" t="n">
        <v>0</v>
      </c>
      <c r="U491" s="5" t="inlineStr">
        <is>
          <t>training</t>
        </is>
      </c>
    </row>
    <row r="492">
      <c r="A492" s="5" t="n">
        <v>488</v>
      </c>
      <c r="B492" s="5" t="n">
        <v>0</v>
      </c>
      <c r="C492" s="6" t="n">
        <v>0.275406400796963</v>
      </c>
      <c r="D492" s="6" t="n">
        <v>0.1771521947022338</v>
      </c>
      <c r="E492" s="6" t="n">
        <v>2.301306127669282</v>
      </c>
      <c r="F492" s="6" t="n">
        <v>0.9185437189662378</v>
      </c>
      <c r="G492" s="5" t="n">
        <v>0</v>
      </c>
      <c r="H492" s="5" t="n">
        <v>0</v>
      </c>
      <c r="I492" s="5" t="n">
        <v>0</v>
      </c>
      <c r="J492" s="5" t="n">
        <v>0</v>
      </c>
      <c r="K492" s="5" t="n">
        <v>0</v>
      </c>
      <c r="L492" s="5" t="n">
        <v>0</v>
      </c>
      <c r="M492" s="5" t="n">
        <v>0</v>
      </c>
      <c r="N492" s="5" t="n">
        <v>0</v>
      </c>
      <c r="O492" s="5" t="n">
        <v>0</v>
      </c>
      <c r="P492" s="5" t="n">
        <v>0</v>
      </c>
      <c r="Q492" s="5" t="n">
        <v>1</v>
      </c>
      <c r="R492" s="5" t="n">
        <v>1</v>
      </c>
      <c r="S492" s="5" t="n">
        <v>0</v>
      </c>
      <c r="T492" s="5" t="n">
        <v>0</v>
      </c>
      <c r="U492" s="5" t="inlineStr">
        <is>
          <t>training</t>
        </is>
      </c>
    </row>
    <row r="493">
      <c r="A493" s="5" t="n">
        <v>489</v>
      </c>
      <c r="B493" s="5" t="n">
        <v>0</v>
      </c>
      <c r="C493" s="6" t="n">
        <v>-0.9042189173019176</v>
      </c>
      <c r="D493" s="6" t="n">
        <v>-0.6412469283151703</v>
      </c>
      <c r="E493" s="6" t="n">
        <v>-0.04696543117692405</v>
      </c>
      <c r="F493" s="6" t="n">
        <v>0.01674764143977723</v>
      </c>
      <c r="G493" s="5" t="n">
        <v>0</v>
      </c>
      <c r="H493" s="5" t="n">
        <v>0</v>
      </c>
      <c r="I493" s="5" t="n">
        <v>0</v>
      </c>
      <c r="J493" s="5" t="n">
        <v>0</v>
      </c>
      <c r="K493" s="5" t="n">
        <v>0</v>
      </c>
      <c r="L493" s="5" t="n">
        <v>0</v>
      </c>
      <c r="M493" s="5" t="n">
        <v>1</v>
      </c>
      <c r="N493" s="5" t="n">
        <v>0</v>
      </c>
      <c r="O493" s="5" t="n">
        <v>0</v>
      </c>
      <c r="P493" s="5" t="n">
        <v>1</v>
      </c>
      <c r="Q493" s="5" t="n">
        <v>0</v>
      </c>
      <c r="R493" s="5" t="n">
        <v>1</v>
      </c>
      <c r="S493" s="5" t="n">
        <v>0</v>
      </c>
      <c r="T493" s="5" t="n">
        <v>0</v>
      </c>
      <c r="U493" s="5" t="inlineStr">
        <is>
          <t>training</t>
        </is>
      </c>
    </row>
    <row r="494">
      <c r="A494" s="5" t="n">
        <v>490</v>
      </c>
      <c r="B494" s="5" t="n">
        <v>0</v>
      </c>
      <c r="C494" s="6" t="n">
        <v>-1.241254722473026</v>
      </c>
      <c r="D494" s="6" t="n">
        <v>0.09352782941742847</v>
      </c>
      <c r="E494" s="6" t="n">
        <v>-0.8297226174589928</v>
      </c>
      <c r="F494" s="6" t="n">
        <v>-0.8850484360866833</v>
      </c>
      <c r="G494" s="5" t="n">
        <v>0</v>
      </c>
      <c r="H494" s="5" t="n">
        <v>0</v>
      </c>
      <c r="I494" s="5" t="n">
        <v>0</v>
      </c>
      <c r="J494" s="5" t="n">
        <v>0</v>
      </c>
      <c r="K494" s="5" t="n">
        <v>0</v>
      </c>
      <c r="L494" s="5" t="n">
        <v>0</v>
      </c>
      <c r="M494" s="5" t="n">
        <v>0</v>
      </c>
      <c r="N494" s="5" t="n">
        <v>0</v>
      </c>
      <c r="O494" s="5" t="n">
        <v>0</v>
      </c>
      <c r="P494" s="5" t="n">
        <v>1</v>
      </c>
      <c r="Q494" s="5" t="n">
        <v>0</v>
      </c>
      <c r="R494" s="5" t="n">
        <v>1</v>
      </c>
      <c r="S494" s="5" t="n">
        <v>0</v>
      </c>
      <c r="T494" s="5" t="n">
        <v>0</v>
      </c>
      <c r="U494" s="5" t="inlineStr">
        <is>
          <t>training</t>
        </is>
      </c>
    </row>
    <row r="495">
      <c r="A495" s="5" t="n">
        <v>491</v>
      </c>
      <c r="B495" s="5" t="n">
        <v>0</v>
      </c>
      <c r="C495" s="6" t="n">
        <v>-0.7357010147163632</v>
      </c>
      <c r="D495" s="6" t="n">
        <v>-0.4607022735580174</v>
      </c>
      <c r="E495" s="6" t="n">
        <v>-0.8297226174589928</v>
      </c>
      <c r="F495" s="6" t="n">
        <v>-0.8850484360866833</v>
      </c>
      <c r="G495" s="5" t="n">
        <v>0</v>
      </c>
      <c r="H495" s="5" t="n">
        <v>0</v>
      </c>
      <c r="I495" s="5" t="n">
        <v>0</v>
      </c>
      <c r="J495" s="5" t="n">
        <v>1</v>
      </c>
      <c r="K495" s="5" t="n">
        <v>0</v>
      </c>
      <c r="L495" s="5" t="n">
        <v>0</v>
      </c>
      <c r="M495" s="5" t="n">
        <v>0</v>
      </c>
      <c r="N495" s="5" t="n">
        <v>0</v>
      </c>
      <c r="O495" s="5" t="n">
        <v>0</v>
      </c>
      <c r="P495" s="5" t="n">
        <v>0</v>
      </c>
      <c r="Q495" s="5" t="n">
        <v>0</v>
      </c>
      <c r="R495" s="5" t="n">
        <v>0</v>
      </c>
      <c r="S495" s="5" t="n">
        <v>1</v>
      </c>
      <c r="T495" s="5" t="n">
        <v>0</v>
      </c>
      <c r="U495" s="5" t="inlineStr">
        <is>
          <t>testing</t>
        </is>
      </c>
    </row>
    <row r="496">
      <c r="A496" s="5" t="n">
        <v>492</v>
      </c>
      <c r="B496" s="5" t="n">
        <v>1</v>
      </c>
      <c r="C496" s="6" t="n">
        <v>0.5281832546752946</v>
      </c>
      <c r="D496" s="6" t="n">
        <v>1.773012989949083</v>
      </c>
      <c r="E496" s="6" t="n">
        <v>0.5618457137091294</v>
      </c>
      <c r="F496" s="6" t="n">
        <v>-0.8850484360866833</v>
      </c>
      <c r="G496" s="5" t="n">
        <v>0</v>
      </c>
      <c r="H496" s="5" t="n">
        <v>1</v>
      </c>
      <c r="I496" s="5" t="n">
        <v>0</v>
      </c>
      <c r="J496" s="5" t="n">
        <v>0</v>
      </c>
      <c r="K496" s="5" t="n">
        <v>0</v>
      </c>
      <c r="L496" s="5" t="n">
        <v>1</v>
      </c>
      <c r="M496" s="5" t="n">
        <v>0</v>
      </c>
      <c r="N496" s="5" t="n">
        <v>0</v>
      </c>
      <c r="O496" s="5" t="n">
        <v>0</v>
      </c>
      <c r="P496" s="5" t="n">
        <v>0</v>
      </c>
      <c r="Q496" s="5" t="n">
        <v>1</v>
      </c>
      <c r="R496" s="5" t="n">
        <v>0</v>
      </c>
      <c r="S496" s="5" t="n">
        <v>0</v>
      </c>
      <c r="T496" s="5" t="n">
        <v>0</v>
      </c>
      <c r="U496" s="5" t="inlineStr">
        <is>
          <t>testing</t>
        </is>
      </c>
    </row>
    <row r="497">
      <c r="A497" s="5" t="n">
        <v>493</v>
      </c>
      <c r="B497" s="5" t="n">
        <v>0</v>
      </c>
      <c r="C497" s="6" t="n">
        <v>-1.241254722473026</v>
      </c>
      <c r="D497" s="6" t="n">
        <v>-0.7045775145768847</v>
      </c>
      <c r="E497" s="6" t="n">
        <v>-0.7427495967609852</v>
      </c>
      <c r="F497" s="6" t="n">
        <v>-1.786844513613144</v>
      </c>
      <c r="G497" s="5" t="n">
        <v>0</v>
      </c>
      <c r="H497" s="5" t="n">
        <v>0</v>
      </c>
      <c r="I497" s="5" t="n">
        <v>0</v>
      </c>
      <c r="J497" s="5" t="n">
        <v>1</v>
      </c>
      <c r="K497" s="5" t="n">
        <v>0</v>
      </c>
      <c r="L497" s="5" t="n">
        <v>0</v>
      </c>
      <c r="M497" s="5" t="n">
        <v>1</v>
      </c>
      <c r="N497" s="5" t="n">
        <v>0</v>
      </c>
      <c r="O497" s="5" t="n">
        <v>0</v>
      </c>
      <c r="P497" s="5" t="n">
        <v>0</v>
      </c>
      <c r="Q497" s="5" t="n">
        <v>0</v>
      </c>
      <c r="R497" s="5" t="n">
        <v>0</v>
      </c>
      <c r="S497" s="5" t="n">
        <v>1</v>
      </c>
      <c r="T497" s="5" t="n">
        <v>0</v>
      </c>
      <c r="U497" s="5" t="inlineStr">
        <is>
          <t>training</t>
        </is>
      </c>
    </row>
    <row r="498">
      <c r="A498" s="5" t="n">
        <v>494</v>
      </c>
      <c r="B498" s="5" t="n">
        <v>0</v>
      </c>
      <c r="C498" s="6" t="n">
        <v>-1.241254722473026</v>
      </c>
      <c r="D498" s="6" t="n">
        <v>-1.00863430718147</v>
      </c>
      <c r="E498" s="6" t="n">
        <v>0.2139536309170988</v>
      </c>
      <c r="F498" s="6" t="n">
        <v>0.9185437189662378</v>
      </c>
      <c r="G498" s="5" t="n">
        <v>0</v>
      </c>
      <c r="H498" s="5" t="n">
        <v>1</v>
      </c>
      <c r="I498" s="5" t="n">
        <v>0</v>
      </c>
      <c r="J498" s="5" t="n">
        <v>0</v>
      </c>
      <c r="K498" s="5" t="n">
        <v>0</v>
      </c>
      <c r="L498" s="5" t="n">
        <v>0</v>
      </c>
      <c r="M498" s="5" t="n">
        <v>0</v>
      </c>
      <c r="N498" s="5" t="n">
        <v>0</v>
      </c>
      <c r="O498" s="5" t="n">
        <v>1</v>
      </c>
      <c r="P498" s="5" t="n">
        <v>0</v>
      </c>
      <c r="Q498" s="5" t="n">
        <v>0</v>
      </c>
      <c r="R498" s="5" t="n">
        <v>0</v>
      </c>
      <c r="S498" s="5" t="n">
        <v>1</v>
      </c>
      <c r="T498" s="5" t="n">
        <v>0</v>
      </c>
      <c r="U498" s="5" t="inlineStr">
        <is>
          <t>training</t>
        </is>
      </c>
    </row>
    <row r="499">
      <c r="A499" s="5" t="n">
        <v>495</v>
      </c>
      <c r="B499" s="5" t="n">
        <v>0</v>
      </c>
      <c r="C499" s="6" t="n">
        <v>-0.7357010147163632</v>
      </c>
      <c r="D499" s="6" t="n">
        <v>-0.394922438103861</v>
      </c>
      <c r="E499" s="6" t="n">
        <v>0.3009266516151065</v>
      </c>
      <c r="F499" s="6" t="n">
        <v>0.01674764143977723</v>
      </c>
      <c r="G499" s="5" t="n">
        <v>1</v>
      </c>
      <c r="H499" s="5" t="n">
        <v>0</v>
      </c>
      <c r="I499" s="5" t="n">
        <v>0</v>
      </c>
      <c r="J499" s="5" t="n">
        <v>1</v>
      </c>
      <c r="K499" s="5" t="n">
        <v>0</v>
      </c>
      <c r="L499" s="5" t="n">
        <v>0</v>
      </c>
      <c r="M499" s="5" t="n">
        <v>0</v>
      </c>
      <c r="N499" s="5" t="n">
        <v>0</v>
      </c>
      <c r="O499" s="5" t="n">
        <v>0</v>
      </c>
      <c r="P499" s="5" t="n">
        <v>1</v>
      </c>
      <c r="Q499" s="5" t="n">
        <v>0</v>
      </c>
      <c r="R499" s="5" t="n">
        <v>1</v>
      </c>
      <c r="S499" s="5" t="n">
        <v>0</v>
      </c>
      <c r="T499" s="5" t="n">
        <v>0</v>
      </c>
      <c r="U499" s="5" t="inlineStr">
        <is>
          <t>testing</t>
        </is>
      </c>
    </row>
    <row r="500">
      <c r="A500" s="5" t="n">
        <v>496</v>
      </c>
      <c r="B500" s="5" t="n">
        <v>1</v>
      </c>
      <c r="C500" s="6" t="n">
        <v>0.275406400796963</v>
      </c>
      <c r="D500" s="6" t="n">
        <v>-0.08911618179038892</v>
      </c>
      <c r="E500" s="6" t="n">
        <v>-1.351560741647039</v>
      </c>
      <c r="F500" s="6" t="n">
        <v>-0.8850484360866833</v>
      </c>
      <c r="G500" s="5" t="n">
        <v>1</v>
      </c>
      <c r="H500" s="5" t="n">
        <v>0</v>
      </c>
      <c r="I500" s="5" t="n">
        <v>0</v>
      </c>
      <c r="J500" s="5" t="n">
        <v>0</v>
      </c>
      <c r="K500" s="5" t="n">
        <v>0</v>
      </c>
      <c r="L500" s="5" t="n">
        <v>0</v>
      </c>
      <c r="M500" s="5" t="n">
        <v>0</v>
      </c>
      <c r="N500" s="5" t="n">
        <v>0</v>
      </c>
      <c r="O500" s="5" t="n">
        <v>1</v>
      </c>
      <c r="P500" s="5" t="n">
        <v>0</v>
      </c>
      <c r="Q500" s="5" t="n">
        <v>0</v>
      </c>
      <c r="R500" s="5" t="n">
        <v>0</v>
      </c>
      <c r="S500" s="5" t="n">
        <v>0</v>
      </c>
      <c r="T500" s="5" t="n">
        <v>1</v>
      </c>
      <c r="U500" s="5" t="inlineStr">
        <is>
          <t>testing</t>
        </is>
      </c>
    </row>
    <row r="501">
      <c r="A501" s="5" t="n">
        <v>497</v>
      </c>
      <c r="B501" s="5" t="n">
        <v>1</v>
      </c>
      <c r="C501" s="6" t="n">
        <v>1.286513816310289</v>
      </c>
      <c r="D501" s="6" t="n">
        <v>2.023536193061721</v>
      </c>
      <c r="E501" s="6" t="n">
        <v>-0.5688035553649698</v>
      </c>
      <c r="F501" s="6" t="n">
        <v>0.9185437189662378</v>
      </c>
      <c r="G501" s="5" t="n">
        <v>0</v>
      </c>
      <c r="H501" s="5" t="n">
        <v>1</v>
      </c>
      <c r="I501" s="5" t="n">
        <v>0</v>
      </c>
      <c r="J501" s="5" t="n">
        <v>0</v>
      </c>
      <c r="K501" s="5" t="n">
        <v>0</v>
      </c>
      <c r="L501" s="5" t="n">
        <v>0</v>
      </c>
      <c r="M501" s="5" t="n">
        <v>1</v>
      </c>
      <c r="N501" s="5" t="n">
        <v>0</v>
      </c>
      <c r="O501" s="5" t="n">
        <v>0</v>
      </c>
      <c r="P501" s="5" t="n">
        <v>1</v>
      </c>
      <c r="Q501" s="5" t="n">
        <v>0</v>
      </c>
      <c r="R501" s="5" t="n">
        <v>0</v>
      </c>
      <c r="S501" s="5" t="n">
        <v>0</v>
      </c>
      <c r="T501" s="5" t="n">
        <v>1</v>
      </c>
      <c r="U501" s="5" t="inlineStr">
        <is>
          <t>testing</t>
        </is>
      </c>
    </row>
    <row r="502">
      <c r="A502" s="5" t="n">
        <v>498</v>
      </c>
      <c r="B502" s="5" t="n">
        <v>0</v>
      </c>
      <c r="C502" s="6" t="n">
        <v>0.275406400796963</v>
      </c>
      <c r="D502" s="6" t="n">
        <v>-0.5828148404383398</v>
      </c>
      <c r="E502" s="6" t="n">
        <v>0.3878996723131141</v>
      </c>
      <c r="F502" s="6" t="n">
        <v>0.9185437189662378</v>
      </c>
      <c r="G502" s="5" t="n">
        <v>0</v>
      </c>
      <c r="H502" s="5" t="n">
        <v>0</v>
      </c>
      <c r="I502" s="5" t="n">
        <v>0</v>
      </c>
      <c r="J502" s="5" t="n">
        <v>1</v>
      </c>
      <c r="K502" s="5" t="n">
        <v>0</v>
      </c>
      <c r="L502" s="5" t="n">
        <v>0</v>
      </c>
      <c r="M502" s="5" t="n">
        <v>0</v>
      </c>
      <c r="N502" s="5" t="n">
        <v>0</v>
      </c>
      <c r="O502" s="5" t="n">
        <v>0</v>
      </c>
      <c r="P502" s="5" t="n">
        <v>0</v>
      </c>
      <c r="Q502" s="5" t="n">
        <v>0</v>
      </c>
      <c r="R502" s="5" t="n">
        <v>0</v>
      </c>
      <c r="S502" s="5" t="n">
        <v>0</v>
      </c>
      <c r="T502" s="5" t="n">
        <v>1</v>
      </c>
      <c r="U502" s="5" t="inlineStr">
        <is>
          <t>testing</t>
        </is>
      </c>
    </row>
    <row r="503">
      <c r="A503" s="5" t="n">
        <v>499</v>
      </c>
      <c r="B503" s="5" t="n">
        <v>0</v>
      </c>
      <c r="C503" s="6" t="n">
        <v>-0.2301473069597001</v>
      </c>
      <c r="D503" s="6" t="n">
        <v>-0.6821843791031292</v>
      </c>
      <c r="E503" s="6" t="n">
        <v>-0.307884493270947</v>
      </c>
      <c r="F503" s="6" t="n">
        <v>0.9185437189662378</v>
      </c>
      <c r="G503" s="5" t="n">
        <v>0</v>
      </c>
      <c r="H503" s="5" t="n">
        <v>1</v>
      </c>
      <c r="I503" s="5" t="n">
        <v>0</v>
      </c>
      <c r="J503" s="5" t="n">
        <v>0</v>
      </c>
      <c r="K503" s="5" t="n">
        <v>0</v>
      </c>
      <c r="L503" s="5" t="n">
        <v>0</v>
      </c>
      <c r="M503" s="5" t="n">
        <v>0</v>
      </c>
      <c r="N503" s="5" t="n">
        <v>0</v>
      </c>
      <c r="O503" s="5" t="n">
        <v>0</v>
      </c>
      <c r="P503" s="5" t="n">
        <v>0</v>
      </c>
      <c r="Q503" s="5" t="n">
        <v>0</v>
      </c>
      <c r="R503" s="5" t="n">
        <v>0</v>
      </c>
      <c r="S503" s="5" t="n">
        <v>1</v>
      </c>
      <c r="T503" s="5" t="n">
        <v>0</v>
      </c>
      <c r="U503" s="5" t="inlineStr">
        <is>
          <t>training</t>
        </is>
      </c>
    </row>
    <row r="504">
      <c r="A504" s="5" t="n">
        <v>500</v>
      </c>
      <c r="B504" s="5" t="n">
        <v>0</v>
      </c>
      <c r="C504" s="6" t="n">
        <v>-1.241254722473026</v>
      </c>
      <c r="D504" s="6" t="n">
        <v>-0.6744867387840259</v>
      </c>
      <c r="E504" s="6" t="n">
        <v>-0.6557765760629775</v>
      </c>
      <c r="F504" s="6" t="n">
        <v>-0.8850484360866833</v>
      </c>
      <c r="G504" s="5" t="n">
        <v>0</v>
      </c>
      <c r="H504" s="5" t="n">
        <v>0</v>
      </c>
      <c r="I504" s="5" t="n">
        <v>1</v>
      </c>
      <c r="J504" s="5" t="n">
        <v>1</v>
      </c>
      <c r="K504" s="5" t="n">
        <v>0</v>
      </c>
      <c r="L504" s="5" t="n">
        <v>0</v>
      </c>
      <c r="M504" s="5" t="n">
        <v>1</v>
      </c>
      <c r="N504" s="5" t="n">
        <v>0</v>
      </c>
      <c r="O504" s="5" t="n">
        <v>0</v>
      </c>
      <c r="P504" s="5" t="n">
        <v>0</v>
      </c>
      <c r="Q504" s="5" t="n">
        <v>0</v>
      </c>
      <c r="R504" s="5" t="n">
        <v>1</v>
      </c>
      <c r="S504" s="5" t="n">
        <v>0</v>
      </c>
      <c r="T504" s="5" t="n">
        <v>0</v>
      </c>
      <c r="U504" s="5" t="inlineStr">
        <is>
          <t>training</t>
        </is>
      </c>
    </row>
    <row r="505">
      <c r="A505" s="5" t="n">
        <v>501</v>
      </c>
      <c r="B505" s="5" t="n">
        <v>1</v>
      </c>
      <c r="C505" s="6" t="n">
        <v>0.275406400796963</v>
      </c>
      <c r="D505" s="6" t="n">
        <v>-0.04467980358465557</v>
      </c>
      <c r="E505" s="6" t="n">
        <v>-0.7427495967609852</v>
      </c>
      <c r="F505" s="6" t="n">
        <v>0.9185437189662378</v>
      </c>
      <c r="G505" s="5" t="n">
        <v>1</v>
      </c>
      <c r="H505" s="5" t="n">
        <v>0</v>
      </c>
      <c r="I505" s="5" t="n">
        <v>0</v>
      </c>
      <c r="J505" s="5" t="n">
        <v>0</v>
      </c>
      <c r="K505" s="5" t="n">
        <v>0</v>
      </c>
      <c r="L505" s="5" t="n">
        <v>0</v>
      </c>
      <c r="M505" s="5" t="n">
        <v>0</v>
      </c>
      <c r="N505" s="5" t="n">
        <v>0</v>
      </c>
      <c r="O505" s="5" t="n">
        <v>0</v>
      </c>
      <c r="P505" s="5" t="n">
        <v>0</v>
      </c>
      <c r="Q505" s="5" t="n">
        <v>0</v>
      </c>
      <c r="R505" s="5" t="n">
        <v>1</v>
      </c>
      <c r="S505" s="5" t="n">
        <v>0</v>
      </c>
      <c r="T505" s="5" t="n">
        <v>0</v>
      </c>
      <c r="U505" s="5" t="inlineStr">
        <is>
          <t>training</t>
        </is>
      </c>
    </row>
    <row r="506">
      <c r="A506" s="5" t="n">
        <v>502</v>
      </c>
      <c r="B506" s="5" t="n">
        <v>0</v>
      </c>
      <c r="C506" s="6" t="n">
        <v>1.286513816310289</v>
      </c>
      <c r="D506" s="6" t="n">
        <v>0.7845659944278487</v>
      </c>
      <c r="E506" s="6" t="n">
        <v>0.5618457137091294</v>
      </c>
      <c r="F506" s="6" t="n">
        <v>-0.8850484360866833</v>
      </c>
      <c r="G506" s="5" t="n">
        <v>1</v>
      </c>
      <c r="H506" s="5" t="n">
        <v>0</v>
      </c>
      <c r="I506" s="5" t="n">
        <v>0</v>
      </c>
      <c r="J506" s="5" t="n">
        <v>0</v>
      </c>
      <c r="K506" s="5" t="n">
        <v>0</v>
      </c>
      <c r="L506" s="5" t="n">
        <v>0</v>
      </c>
      <c r="M506" s="5" t="n">
        <v>0</v>
      </c>
      <c r="N506" s="5" t="n">
        <v>0</v>
      </c>
      <c r="O506" s="5" t="n">
        <v>0</v>
      </c>
      <c r="P506" s="5" t="n">
        <v>0</v>
      </c>
      <c r="Q506" s="5" t="n">
        <v>1</v>
      </c>
      <c r="R506" s="5" t="n">
        <v>1</v>
      </c>
      <c r="S506" s="5" t="n">
        <v>0</v>
      </c>
      <c r="T506" s="5" t="n">
        <v>0</v>
      </c>
      <c r="U506" s="5" t="inlineStr">
        <is>
          <t>training</t>
        </is>
      </c>
    </row>
    <row r="507">
      <c r="A507" s="5" t="n">
        <v>503</v>
      </c>
      <c r="B507" s="5" t="n">
        <v>0</v>
      </c>
      <c r="C507" s="6" t="n">
        <v>-0.9884778685946948</v>
      </c>
      <c r="D507" s="6" t="n">
        <v>-0.7434156089141791</v>
      </c>
      <c r="E507" s="6" t="n">
        <v>1.170656858595183</v>
      </c>
      <c r="F507" s="6" t="n">
        <v>-0.8850484360866833</v>
      </c>
      <c r="G507" s="5" t="n">
        <v>0</v>
      </c>
      <c r="H507" s="5" t="n">
        <v>0</v>
      </c>
      <c r="I507" s="5" t="n">
        <v>1</v>
      </c>
      <c r="J507" s="5" t="n">
        <v>0</v>
      </c>
      <c r="K507" s="5" t="n">
        <v>0</v>
      </c>
      <c r="L507" s="5" t="n">
        <v>0</v>
      </c>
      <c r="M507" s="5" t="n">
        <v>1</v>
      </c>
      <c r="N507" s="5" t="n">
        <v>0</v>
      </c>
      <c r="O507" s="5" t="n">
        <v>0</v>
      </c>
      <c r="P507" s="5" t="n">
        <v>0</v>
      </c>
      <c r="Q507" s="5" t="n">
        <v>0</v>
      </c>
      <c r="R507" s="5" t="n">
        <v>0</v>
      </c>
      <c r="S507" s="5" t="n">
        <v>1</v>
      </c>
      <c r="T507" s="5" t="n">
        <v>0</v>
      </c>
      <c r="U507" s="5" t="inlineStr">
        <is>
          <t>training</t>
        </is>
      </c>
    </row>
    <row r="508">
      <c r="A508" s="5" t="n">
        <v>504</v>
      </c>
      <c r="B508" s="5" t="n">
        <v>1</v>
      </c>
      <c r="C508" s="6" t="n">
        <v>0.275406400796963</v>
      </c>
      <c r="D508" s="6" t="n">
        <v>-0.7119252621542107</v>
      </c>
      <c r="E508" s="6" t="n">
        <v>0.2139536309170988</v>
      </c>
      <c r="F508" s="6" t="n">
        <v>0.9185437189662378</v>
      </c>
      <c r="G508" s="5" t="n">
        <v>0</v>
      </c>
      <c r="H508" s="5" t="n">
        <v>1</v>
      </c>
      <c r="I508" s="5" t="n">
        <v>0</v>
      </c>
      <c r="J508" s="5" t="n">
        <v>1</v>
      </c>
      <c r="K508" s="5" t="n">
        <v>0</v>
      </c>
      <c r="L508" s="5" t="n">
        <v>0</v>
      </c>
      <c r="M508" s="5" t="n">
        <v>1</v>
      </c>
      <c r="N508" s="5" t="n">
        <v>0</v>
      </c>
      <c r="O508" s="5" t="n">
        <v>0</v>
      </c>
      <c r="P508" s="5" t="n">
        <v>0</v>
      </c>
      <c r="Q508" s="5" t="n">
        <v>0</v>
      </c>
      <c r="R508" s="5" t="n">
        <v>0</v>
      </c>
      <c r="S508" s="5" t="n">
        <v>1</v>
      </c>
      <c r="T508" s="5" t="n">
        <v>0</v>
      </c>
      <c r="U508" s="5" t="inlineStr">
        <is>
          <t>training</t>
        </is>
      </c>
    </row>
    <row r="509">
      <c r="A509" s="5" t="n">
        <v>505</v>
      </c>
      <c r="B509" s="5" t="n">
        <v>1</v>
      </c>
      <c r="C509" s="6" t="n">
        <v>0.275406400796963</v>
      </c>
      <c r="D509" s="6" t="n">
        <v>-0.7150742968302075</v>
      </c>
      <c r="E509" s="6" t="n">
        <v>-1.003668658855008</v>
      </c>
      <c r="F509" s="6" t="n">
        <v>0.9185437189662378</v>
      </c>
      <c r="G509" s="5" t="n">
        <v>1</v>
      </c>
      <c r="H509" s="5" t="n">
        <v>0</v>
      </c>
      <c r="I509" s="5" t="n">
        <v>0</v>
      </c>
      <c r="J509" s="5" t="n">
        <v>0</v>
      </c>
      <c r="K509" s="5" t="n">
        <v>0</v>
      </c>
      <c r="L509" s="5" t="n">
        <v>0</v>
      </c>
      <c r="M509" s="5" t="n">
        <v>0</v>
      </c>
      <c r="N509" s="5" t="n">
        <v>0</v>
      </c>
      <c r="O509" s="5" t="n">
        <v>0</v>
      </c>
      <c r="P509" s="5" t="n">
        <v>1</v>
      </c>
      <c r="Q509" s="5" t="n">
        <v>0</v>
      </c>
      <c r="R509" s="5" t="n">
        <v>1</v>
      </c>
      <c r="S509" s="5" t="n">
        <v>0</v>
      </c>
      <c r="T509" s="5" t="n">
        <v>0</v>
      </c>
      <c r="U509" s="5" t="inlineStr">
        <is>
          <t>testing</t>
        </is>
      </c>
    </row>
    <row r="510">
      <c r="A510" s="5" t="n">
        <v>506</v>
      </c>
      <c r="B510" s="5" t="n">
        <v>1</v>
      </c>
      <c r="C510" s="6" t="n">
        <v>-0.9042189173019176</v>
      </c>
      <c r="D510" s="6" t="n">
        <v>-0.6793852371689099</v>
      </c>
      <c r="E510" s="6" t="n">
        <v>-0.7427495967609852</v>
      </c>
      <c r="F510" s="6" t="n">
        <v>0.9185437189662378</v>
      </c>
      <c r="G510" s="5" t="n">
        <v>0</v>
      </c>
      <c r="H510" s="5" t="n">
        <v>0</v>
      </c>
      <c r="I510" s="5" t="n">
        <v>0</v>
      </c>
      <c r="J510" s="5" t="n">
        <v>0</v>
      </c>
      <c r="K510" s="5" t="n">
        <v>0</v>
      </c>
      <c r="L510" s="5" t="n">
        <v>0</v>
      </c>
      <c r="M510" s="5" t="n">
        <v>0</v>
      </c>
      <c r="N510" s="5" t="n">
        <v>0</v>
      </c>
      <c r="O510" s="5" t="n">
        <v>1</v>
      </c>
      <c r="P510" s="5" t="n">
        <v>0</v>
      </c>
      <c r="Q510" s="5" t="n">
        <v>0</v>
      </c>
      <c r="R510" s="5" t="n">
        <v>1</v>
      </c>
      <c r="S510" s="5" t="n">
        <v>0</v>
      </c>
      <c r="T510" s="5" t="n">
        <v>0</v>
      </c>
      <c r="U510" s="5" t="inlineStr">
        <is>
          <t>training</t>
        </is>
      </c>
    </row>
    <row r="511">
      <c r="A511" s="5" t="n">
        <v>507</v>
      </c>
      <c r="B511" s="5" t="n">
        <v>0</v>
      </c>
      <c r="C511" s="6" t="n">
        <v>-0.4829241608380317</v>
      </c>
      <c r="D511" s="6" t="n">
        <v>-0.3116479655608331</v>
      </c>
      <c r="E511" s="6" t="n">
        <v>0.04000758952108359</v>
      </c>
      <c r="F511" s="6" t="n">
        <v>-0.8850484360866833</v>
      </c>
      <c r="G511" s="5" t="n">
        <v>0</v>
      </c>
      <c r="H511" s="5" t="n">
        <v>0</v>
      </c>
      <c r="I511" s="5" t="n">
        <v>1</v>
      </c>
      <c r="J511" s="5" t="n">
        <v>1</v>
      </c>
      <c r="K511" s="5" t="n">
        <v>0</v>
      </c>
      <c r="L511" s="5" t="n">
        <v>0</v>
      </c>
      <c r="M511" s="5" t="n">
        <v>1</v>
      </c>
      <c r="N511" s="5" t="n">
        <v>0</v>
      </c>
      <c r="O511" s="5" t="n">
        <v>0</v>
      </c>
      <c r="P511" s="5" t="n">
        <v>0</v>
      </c>
      <c r="Q511" s="5" t="n">
        <v>0</v>
      </c>
      <c r="R511" s="5" t="n">
        <v>1</v>
      </c>
      <c r="S511" s="5" t="n">
        <v>0</v>
      </c>
      <c r="T511" s="5" t="n">
        <v>0</v>
      </c>
      <c r="U511" s="5" t="inlineStr">
        <is>
          <t>training</t>
        </is>
      </c>
    </row>
    <row r="512">
      <c r="A512" s="5" t="n">
        <v>508</v>
      </c>
      <c r="B512" s="5" t="n">
        <v>1</v>
      </c>
      <c r="C512" s="6" t="n">
        <v>-0.4829241608380317</v>
      </c>
      <c r="D512" s="6" t="n">
        <v>1.259370445019818</v>
      </c>
      <c r="E512" s="6" t="n">
        <v>-0.1339384518749317</v>
      </c>
      <c r="F512" s="6" t="n">
        <v>-1.786844513613144</v>
      </c>
      <c r="G512" s="5" t="n">
        <v>0</v>
      </c>
      <c r="H512" s="5" t="n">
        <v>1</v>
      </c>
      <c r="I512" s="5" t="n">
        <v>0</v>
      </c>
      <c r="J512" s="5" t="n">
        <v>0</v>
      </c>
      <c r="K512" s="5" t="n">
        <v>0</v>
      </c>
      <c r="L512" s="5" t="n">
        <v>1</v>
      </c>
      <c r="M512" s="5" t="n">
        <v>1</v>
      </c>
      <c r="N512" s="5" t="n">
        <v>0</v>
      </c>
      <c r="O512" s="5" t="n">
        <v>0</v>
      </c>
      <c r="P512" s="5" t="n">
        <v>0</v>
      </c>
      <c r="Q512" s="5" t="n">
        <v>0</v>
      </c>
      <c r="R512" s="5" t="n">
        <v>1</v>
      </c>
      <c r="S512" s="5" t="n">
        <v>0</v>
      </c>
      <c r="T512" s="5" t="n">
        <v>0</v>
      </c>
      <c r="U512" s="5" t="inlineStr">
        <is>
          <t>testing</t>
        </is>
      </c>
    </row>
    <row r="513">
      <c r="A513" s="5" t="n">
        <v>509</v>
      </c>
      <c r="B513" s="5" t="n">
        <v>0</v>
      </c>
      <c r="C513" s="6" t="n">
        <v>0.275406400796963</v>
      </c>
      <c r="D513" s="6" t="n">
        <v>-0.6429963920240573</v>
      </c>
      <c r="E513" s="6" t="n">
        <v>-0.6557765760629775</v>
      </c>
      <c r="F513" s="6" t="n">
        <v>0.9185437189662378</v>
      </c>
      <c r="G513" s="5" t="n">
        <v>0</v>
      </c>
      <c r="H513" s="5" t="n">
        <v>0</v>
      </c>
      <c r="I513" s="5" t="n">
        <v>0</v>
      </c>
      <c r="J513" s="5" t="n">
        <v>0</v>
      </c>
      <c r="K513" s="5" t="n">
        <v>0</v>
      </c>
      <c r="L513" s="5" t="n">
        <v>0</v>
      </c>
      <c r="M513" s="5" t="n">
        <v>0</v>
      </c>
      <c r="N513" s="5" t="n">
        <v>0</v>
      </c>
      <c r="O513" s="5" t="n">
        <v>0</v>
      </c>
      <c r="P513" s="5" t="n">
        <v>0</v>
      </c>
      <c r="Q513" s="5" t="n">
        <v>0</v>
      </c>
      <c r="R513" s="5" t="n">
        <v>0</v>
      </c>
      <c r="S513" s="5" t="n">
        <v>1</v>
      </c>
      <c r="T513" s="5" t="n">
        <v>0</v>
      </c>
      <c r="U513" s="5" t="inlineStr">
        <is>
          <t>training</t>
        </is>
      </c>
    </row>
    <row r="514">
      <c r="A514" s="5" t="n">
        <v>510</v>
      </c>
      <c r="B514" s="5" t="n">
        <v>0</v>
      </c>
      <c r="C514" s="6" t="n">
        <v>1.539290670188621</v>
      </c>
      <c r="D514" s="6" t="n">
        <v>1.867484030228988</v>
      </c>
      <c r="E514" s="6" t="n">
        <v>0.8227647758031523</v>
      </c>
      <c r="F514" s="6" t="n">
        <v>0.9185437189662378</v>
      </c>
      <c r="G514" s="5" t="n">
        <v>0</v>
      </c>
      <c r="H514" s="5" t="n">
        <v>0</v>
      </c>
      <c r="I514" s="5" t="n">
        <v>0</v>
      </c>
      <c r="J514" s="5" t="n">
        <v>0</v>
      </c>
      <c r="K514" s="5" t="n">
        <v>0</v>
      </c>
      <c r="L514" s="5" t="n">
        <v>0</v>
      </c>
      <c r="M514" s="5" t="n">
        <v>1</v>
      </c>
      <c r="N514" s="5" t="n">
        <v>0</v>
      </c>
      <c r="O514" s="5" t="n">
        <v>0</v>
      </c>
      <c r="P514" s="5" t="n">
        <v>0</v>
      </c>
      <c r="Q514" s="5" t="n">
        <v>0</v>
      </c>
      <c r="R514" s="5" t="n">
        <v>1</v>
      </c>
      <c r="S514" s="5" t="n">
        <v>0</v>
      </c>
      <c r="T514" s="5" t="n">
        <v>0</v>
      </c>
      <c r="U514" s="5" t="inlineStr">
        <is>
          <t>training</t>
        </is>
      </c>
    </row>
    <row r="515">
      <c r="A515" s="5" t="n">
        <v>511</v>
      </c>
      <c r="B515" s="5" t="n">
        <v>1</v>
      </c>
      <c r="C515" s="6" t="n">
        <v>-0.7357010147163632</v>
      </c>
      <c r="D515" s="6" t="n">
        <v>-0.8718262451464952</v>
      </c>
      <c r="E515" s="6" t="n">
        <v>-0.8297226174589928</v>
      </c>
      <c r="F515" s="6" t="n">
        <v>0.9185437189662378</v>
      </c>
      <c r="G515" s="5" t="n">
        <v>1</v>
      </c>
      <c r="H515" s="5" t="n">
        <v>0</v>
      </c>
      <c r="I515" s="5" t="n">
        <v>0</v>
      </c>
      <c r="J515" s="5" t="n">
        <v>0</v>
      </c>
      <c r="K515" s="5" t="n">
        <v>0</v>
      </c>
      <c r="L515" s="5" t="n">
        <v>0</v>
      </c>
      <c r="M515" s="5" t="n">
        <v>0</v>
      </c>
      <c r="N515" s="5" t="n">
        <v>0</v>
      </c>
      <c r="O515" s="5" t="n">
        <v>0</v>
      </c>
      <c r="P515" s="5" t="n">
        <v>0</v>
      </c>
      <c r="Q515" s="5" t="n">
        <v>0</v>
      </c>
      <c r="R515" s="5" t="n">
        <v>1</v>
      </c>
      <c r="S515" s="5" t="n">
        <v>0</v>
      </c>
      <c r="T515" s="5" t="n">
        <v>0</v>
      </c>
      <c r="U515" s="5" t="inlineStr">
        <is>
          <t>training</t>
        </is>
      </c>
    </row>
    <row r="516">
      <c r="A516" s="5" t="n">
        <v>512</v>
      </c>
      <c r="B516" s="5" t="n">
        <v>0</v>
      </c>
      <c r="C516" s="6" t="n">
        <v>1.286513816310289</v>
      </c>
      <c r="D516" s="6" t="n">
        <v>0.5022025518134643</v>
      </c>
      <c r="E516" s="6" t="n">
        <v>-0.307884493270947</v>
      </c>
      <c r="F516" s="6" t="n">
        <v>-0.8850484360866833</v>
      </c>
      <c r="G516" s="5" t="n">
        <v>0</v>
      </c>
      <c r="H516" s="5" t="n">
        <v>0</v>
      </c>
      <c r="I516" s="5" t="n">
        <v>0</v>
      </c>
      <c r="J516" s="5" t="n">
        <v>0</v>
      </c>
      <c r="K516" s="5" t="n">
        <v>0</v>
      </c>
      <c r="L516" s="5" t="n">
        <v>0</v>
      </c>
      <c r="M516" s="5" t="n">
        <v>0</v>
      </c>
      <c r="N516" s="5" t="n">
        <v>0</v>
      </c>
      <c r="O516" s="5" t="n">
        <v>0</v>
      </c>
      <c r="P516" s="5" t="n">
        <v>0</v>
      </c>
      <c r="Q516" s="5" t="n">
        <v>1</v>
      </c>
      <c r="R516" s="5" t="n">
        <v>1</v>
      </c>
      <c r="S516" s="5" t="n">
        <v>0</v>
      </c>
      <c r="T516" s="5" t="n">
        <v>0</v>
      </c>
      <c r="U516" s="5" t="inlineStr">
        <is>
          <t>training</t>
        </is>
      </c>
    </row>
    <row r="517">
      <c r="A517" s="5" t="n">
        <v>513</v>
      </c>
      <c r="B517" s="5" t="n">
        <v>0</v>
      </c>
      <c r="C517" s="6" t="n">
        <v>-0.4829241608380317</v>
      </c>
      <c r="D517" s="6" t="n">
        <v>-0.1972330389996142</v>
      </c>
      <c r="E517" s="6" t="n">
        <v>-0.8297226174589928</v>
      </c>
      <c r="F517" s="6" t="n">
        <v>-0.8850484360866833</v>
      </c>
      <c r="G517" s="5" t="n">
        <v>0</v>
      </c>
      <c r="H517" s="5" t="n">
        <v>0</v>
      </c>
      <c r="I517" s="5" t="n">
        <v>1</v>
      </c>
      <c r="J517" s="5" t="n">
        <v>0</v>
      </c>
      <c r="K517" s="5" t="n">
        <v>0</v>
      </c>
      <c r="L517" s="5" t="n">
        <v>0</v>
      </c>
      <c r="M517" s="5" t="n">
        <v>0</v>
      </c>
      <c r="N517" s="5" t="n">
        <v>0</v>
      </c>
      <c r="O517" s="5" t="n">
        <v>0</v>
      </c>
      <c r="P517" s="5" t="n">
        <v>1</v>
      </c>
      <c r="Q517" s="5" t="n">
        <v>0</v>
      </c>
      <c r="R517" s="5" t="n">
        <v>0</v>
      </c>
      <c r="S517" s="5" t="n">
        <v>0</v>
      </c>
      <c r="T517" s="5" t="n">
        <v>0</v>
      </c>
      <c r="U517" s="5" t="inlineStr">
        <is>
          <t>training</t>
        </is>
      </c>
    </row>
    <row r="518">
      <c r="A518" s="5" t="n">
        <v>514</v>
      </c>
      <c r="B518" s="5" t="n">
        <v>0</v>
      </c>
      <c r="C518" s="6" t="n">
        <v>-0.7357010147163632</v>
      </c>
      <c r="D518" s="6" t="n">
        <v>-0.9327075822157677</v>
      </c>
      <c r="E518" s="6" t="n">
        <v>-1.351560741647039</v>
      </c>
      <c r="F518" s="6" t="n">
        <v>0.9185437189662378</v>
      </c>
      <c r="G518" s="5" t="n">
        <v>0</v>
      </c>
      <c r="H518" s="5" t="n">
        <v>1</v>
      </c>
      <c r="I518" s="5" t="n">
        <v>0</v>
      </c>
      <c r="J518" s="5" t="n">
        <v>0</v>
      </c>
      <c r="K518" s="5" t="n">
        <v>1</v>
      </c>
      <c r="L518" s="5" t="n">
        <v>0</v>
      </c>
      <c r="M518" s="5" t="n">
        <v>0</v>
      </c>
      <c r="N518" s="5" t="n">
        <v>0</v>
      </c>
      <c r="O518" s="5" t="n">
        <v>0</v>
      </c>
      <c r="P518" s="5" t="n">
        <v>1</v>
      </c>
      <c r="Q518" s="5" t="n">
        <v>0</v>
      </c>
      <c r="R518" s="5" t="n">
        <v>0</v>
      </c>
      <c r="S518" s="5" t="n">
        <v>1</v>
      </c>
      <c r="T518" s="5" t="n">
        <v>0</v>
      </c>
      <c r="U518" s="5" t="inlineStr">
        <is>
          <t>training</t>
        </is>
      </c>
    </row>
    <row r="519">
      <c r="A519" s="5" t="n">
        <v>515</v>
      </c>
      <c r="B519" s="5" t="n">
        <v>0</v>
      </c>
      <c r="C519" s="6" t="n">
        <v>0.275406400796963</v>
      </c>
      <c r="D519" s="6" t="n">
        <v>-0.348386703447463</v>
      </c>
      <c r="E519" s="6" t="n">
        <v>1.605521962085221</v>
      </c>
      <c r="F519" s="6" t="n">
        <v>0.9185437189662378</v>
      </c>
      <c r="G519" s="5" t="n">
        <v>0</v>
      </c>
      <c r="H519" s="5" t="n">
        <v>0</v>
      </c>
      <c r="I519" s="5" t="n">
        <v>0</v>
      </c>
      <c r="J519" s="5" t="n">
        <v>0</v>
      </c>
      <c r="K519" s="5" t="n">
        <v>0</v>
      </c>
      <c r="L519" s="5" t="n">
        <v>0</v>
      </c>
      <c r="M519" s="5" t="n">
        <v>0</v>
      </c>
      <c r="N519" s="5" t="n">
        <v>0</v>
      </c>
      <c r="O519" s="5" t="n">
        <v>1</v>
      </c>
      <c r="P519" s="5" t="n">
        <v>0</v>
      </c>
      <c r="Q519" s="5" t="n">
        <v>0</v>
      </c>
      <c r="R519" s="5" t="n">
        <v>1</v>
      </c>
      <c r="S519" s="5" t="n">
        <v>0</v>
      </c>
      <c r="T519" s="5" t="n">
        <v>0</v>
      </c>
      <c r="U519" s="5" t="inlineStr">
        <is>
          <t>training</t>
        </is>
      </c>
    </row>
    <row r="520">
      <c r="A520" s="5" t="n">
        <v>516</v>
      </c>
      <c r="B520" s="5" t="n">
        <v>0</v>
      </c>
      <c r="C520" s="6" t="n">
        <v>-1.241254722473026</v>
      </c>
      <c r="D520" s="6" t="n">
        <v>-0.9243101564131094</v>
      </c>
      <c r="E520" s="6" t="n">
        <v>0.1269806102190912</v>
      </c>
      <c r="F520" s="6" t="n">
        <v>0.9185437189662378</v>
      </c>
      <c r="G520" s="5" t="n">
        <v>1</v>
      </c>
      <c r="H520" s="5" t="n">
        <v>0</v>
      </c>
      <c r="I520" s="5" t="n">
        <v>0</v>
      </c>
      <c r="J520" s="5" t="n">
        <v>1</v>
      </c>
      <c r="K520" s="5" t="n">
        <v>0</v>
      </c>
      <c r="L520" s="5" t="n">
        <v>0</v>
      </c>
      <c r="M520" s="5" t="n">
        <v>0</v>
      </c>
      <c r="N520" s="5" t="n">
        <v>0</v>
      </c>
      <c r="O520" s="5" t="n">
        <v>0</v>
      </c>
      <c r="P520" s="5" t="n">
        <v>0</v>
      </c>
      <c r="Q520" s="5" t="n">
        <v>0</v>
      </c>
      <c r="R520" s="5" t="n">
        <v>1</v>
      </c>
      <c r="S520" s="5" t="n">
        <v>0</v>
      </c>
      <c r="T520" s="5" t="n">
        <v>0</v>
      </c>
      <c r="U520" s="5" t="inlineStr">
        <is>
          <t>testing</t>
        </is>
      </c>
    </row>
    <row r="521">
      <c r="A521" s="5" t="n">
        <v>517</v>
      </c>
      <c r="B521" s="5" t="n">
        <v>0</v>
      </c>
      <c r="C521" s="6" t="n">
        <v>-1.241254722473026</v>
      </c>
      <c r="D521" s="6" t="n">
        <v>-0.6611908145964837</v>
      </c>
      <c r="E521" s="6" t="n">
        <v>0.3878996723131141</v>
      </c>
      <c r="F521" s="6" t="n">
        <v>-0.8850484360866833</v>
      </c>
      <c r="G521" s="5" t="n">
        <v>1</v>
      </c>
      <c r="H521" s="5" t="n">
        <v>0</v>
      </c>
      <c r="I521" s="5" t="n">
        <v>0</v>
      </c>
      <c r="J521" s="5" t="n">
        <v>1</v>
      </c>
      <c r="K521" s="5" t="n">
        <v>0</v>
      </c>
      <c r="L521" s="5" t="n">
        <v>0</v>
      </c>
      <c r="M521" s="5" t="n">
        <v>0</v>
      </c>
      <c r="N521" s="5" t="n">
        <v>0</v>
      </c>
      <c r="O521" s="5" t="n">
        <v>0</v>
      </c>
      <c r="P521" s="5" t="n">
        <v>0</v>
      </c>
      <c r="Q521" s="5" t="n">
        <v>0</v>
      </c>
      <c r="R521" s="5" t="n">
        <v>1</v>
      </c>
      <c r="S521" s="5" t="n">
        <v>0</v>
      </c>
      <c r="T521" s="5" t="n">
        <v>0</v>
      </c>
      <c r="U521" s="5" t="inlineStr">
        <is>
          <t>training</t>
        </is>
      </c>
    </row>
    <row r="522">
      <c r="A522" s="5" t="n">
        <v>518</v>
      </c>
      <c r="B522" s="5" t="n">
        <v>1</v>
      </c>
      <c r="C522" s="6" t="n">
        <v>1.286513816310289</v>
      </c>
      <c r="D522" s="6" t="n">
        <v>1.356290734492166</v>
      </c>
      <c r="E522" s="6" t="n">
        <v>-1.090641679553016</v>
      </c>
      <c r="F522" s="6" t="n">
        <v>-0.8850484360866833</v>
      </c>
      <c r="G522" s="5" t="n">
        <v>0</v>
      </c>
      <c r="H522" s="5" t="n">
        <v>0</v>
      </c>
      <c r="I522" s="5" t="n">
        <v>0</v>
      </c>
      <c r="J522" s="5" t="n">
        <v>1</v>
      </c>
      <c r="K522" s="5" t="n">
        <v>0</v>
      </c>
      <c r="L522" s="5" t="n">
        <v>0</v>
      </c>
      <c r="M522" s="5" t="n">
        <v>0</v>
      </c>
      <c r="N522" s="5" t="n">
        <v>0</v>
      </c>
      <c r="O522" s="5" t="n">
        <v>0</v>
      </c>
      <c r="P522" s="5" t="n">
        <v>1</v>
      </c>
      <c r="Q522" s="5" t="n">
        <v>0</v>
      </c>
      <c r="R522" s="5" t="n">
        <v>0</v>
      </c>
      <c r="S522" s="5" t="n">
        <v>0</v>
      </c>
      <c r="T522" s="5" t="n">
        <v>1</v>
      </c>
      <c r="U522" s="5" t="inlineStr">
        <is>
          <t>training</t>
        </is>
      </c>
    </row>
    <row r="523">
      <c r="A523" s="5" t="n">
        <v>519</v>
      </c>
      <c r="B523" s="5" t="n">
        <v>0</v>
      </c>
      <c r="C523" s="6" t="n">
        <v>-1.241254722473026</v>
      </c>
      <c r="D523" s="6" t="n">
        <v>-0.7164738677973173</v>
      </c>
      <c r="E523" s="6" t="n">
        <v>0.648818734407137</v>
      </c>
      <c r="F523" s="6" t="n">
        <v>0.01674764143977723</v>
      </c>
      <c r="G523" s="5" t="n">
        <v>1</v>
      </c>
      <c r="H523" s="5" t="n">
        <v>0</v>
      </c>
      <c r="I523" s="5" t="n">
        <v>0</v>
      </c>
      <c r="J523" s="5" t="n">
        <v>0</v>
      </c>
      <c r="K523" s="5" t="n">
        <v>0</v>
      </c>
      <c r="L523" s="5" t="n">
        <v>0</v>
      </c>
      <c r="M523" s="5" t="n">
        <v>1</v>
      </c>
      <c r="N523" s="5" t="n">
        <v>0</v>
      </c>
      <c r="O523" s="5" t="n">
        <v>0</v>
      </c>
      <c r="P523" s="5" t="n">
        <v>0</v>
      </c>
      <c r="Q523" s="5" t="n">
        <v>0</v>
      </c>
      <c r="R523" s="5" t="n">
        <v>1</v>
      </c>
      <c r="S523" s="5" t="n">
        <v>0</v>
      </c>
      <c r="T523" s="5" t="n">
        <v>0</v>
      </c>
      <c r="U523" s="5" t="inlineStr">
        <is>
          <t>training</t>
        </is>
      </c>
    </row>
    <row r="524">
      <c r="A524" s="5" t="n">
        <v>520</v>
      </c>
      <c r="B524" s="5" t="n">
        <v>0</v>
      </c>
      <c r="C524" s="6" t="n">
        <v>-1.241254722473026</v>
      </c>
      <c r="D524" s="6" t="n">
        <v>-0.8924699169113635</v>
      </c>
      <c r="E524" s="6" t="n">
        <v>0.04000758952108359</v>
      </c>
      <c r="F524" s="6" t="n">
        <v>0.9185437189662378</v>
      </c>
      <c r="G524" s="5" t="n">
        <v>0</v>
      </c>
      <c r="H524" s="5" t="n">
        <v>0</v>
      </c>
      <c r="I524" s="5" t="n">
        <v>0</v>
      </c>
      <c r="J524" s="5" t="n">
        <v>1</v>
      </c>
      <c r="K524" s="5" t="n">
        <v>0</v>
      </c>
      <c r="L524" s="5" t="n">
        <v>0</v>
      </c>
      <c r="M524" s="5" t="n">
        <v>0</v>
      </c>
      <c r="N524" s="5" t="n">
        <v>0</v>
      </c>
      <c r="O524" s="5" t="n">
        <v>1</v>
      </c>
      <c r="P524" s="5" t="n">
        <v>0</v>
      </c>
      <c r="Q524" s="5" t="n">
        <v>1</v>
      </c>
      <c r="R524" s="5" t="n">
        <v>0</v>
      </c>
      <c r="S524" s="5" t="n">
        <v>1</v>
      </c>
      <c r="T524" s="5" t="n">
        <v>0</v>
      </c>
      <c r="U524" s="5" t="inlineStr">
        <is>
          <t>testing</t>
        </is>
      </c>
    </row>
    <row r="525">
      <c r="A525" s="5" t="n">
        <v>521</v>
      </c>
      <c r="B525" s="5" t="n">
        <v>0</v>
      </c>
      <c r="C525" s="6" t="n">
        <v>0.275406400796963</v>
      </c>
      <c r="D525" s="6" t="n">
        <v>0.7894644928127327</v>
      </c>
      <c r="E525" s="6" t="n">
        <v>0.7357917551051447</v>
      </c>
      <c r="F525" s="6" t="n">
        <v>0.01674764143977723</v>
      </c>
      <c r="G525" s="5" t="n">
        <v>0</v>
      </c>
      <c r="H525" s="5" t="n">
        <v>0</v>
      </c>
      <c r="I525" s="5" t="n">
        <v>0</v>
      </c>
      <c r="J525" s="5" t="n">
        <v>1</v>
      </c>
      <c r="K525" s="5" t="n">
        <v>0</v>
      </c>
      <c r="L525" s="5" t="n">
        <v>0</v>
      </c>
      <c r="M525" s="5" t="n">
        <v>0</v>
      </c>
      <c r="N525" s="5" t="n">
        <v>0</v>
      </c>
      <c r="O525" s="5" t="n">
        <v>0</v>
      </c>
      <c r="P525" s="5" t="n">
        <v>0</v>
      </c>
      <c r="Q525" s="5" t="n">
        <v>1</v>
      </c>
      <c r="R525" s="5" t="n">
        <v>0</v>
      </c>
      <c r="S525" s="5" t="n">
        <v>0</v>
      </c>
      <c r="T525" s="5" t="n">
        <v>0</v>
      </c>
      <c r="U525" s="5" t="inlineStr">
        <is>
          <t>training</t>
        </is>
      </c>
    </row>
    <row r="526">
      <c r="A526" s="5" t="n">
        <v>522</v>
      </c>
      <c r="B526" s="5" t="n">
        <v>1</v>
      </c>
      <c r="C526" s="6" t="n">
        <v>-0.2301473069597001</v>
      </c>
      <c r="D526" s="6" t="n">
        <v>-0.0212369898855679</v>
      </c>
      <c r="E526" s="6" t="n">
        <v>-1.003668658855008</v>
      </c>
      <c r="F526" s="6" t="n">
        <v>-0.8850484360866833</v>
      </c>
      <c r="G526" s="5" t="n">
        <v>1</v>
      </c>
      <c r="H526" s="5" t="n">
        <v>0</v>
      </c>
      <c r="I526" s="5" t="n">
        <v>0</v>
      </c>
      <c r="J526" s="5" t="n">
        <v>0</v>
      </c>
      <c r="K526" s="5" t="n">
        <v>0</v>
      </c>
      <c r="L526" s="5" t="n">
        <v>0</v>
      </c>
      <c r="M526" s="5" t="n">
        <v>0</v>
      </c>
      <c r="N526" s="5" t="n">
        <v>0</v>
      </c>
      <c r="O526" s="5" t="n">
        <v>0</v>
      </c>
      <c r="P526" s="5" t="n">
        <v>0</v>
      </c>
      <c r="Q526" s="5" t="n">
        <v>0</v>
      </c>
      <c r="R526" s="5" t="n">
        <v>0</v>
      </c>
      <c r="S526" s="5" t="n">
        <v>1</v>
      </c>
      <c r="T526" s="5" t="n">
        <v>0</v>
      </c>
      <c r="U526" s="5" t="inlineStr">
        <is>
          <t>training</t>
        </is>
      </c>
    </row>
    <row r="527">
      <c r="A527" s="5" t="n">
        <v>523</v>
      </c>
      <c r="B527" s="5" t="n">
        <v>1</v>
      </c>
      <c r="C527" s="6" t="n">
        <v>2.297621231823615</v>
      </c>
      <c r="D527" s="6" t="n">
        <v>1.353491592557946</v>
      </c>
      <c r="E527" s="6" t="n">
        <v>1.518548941387213</v>
      </c>
      <c r="F527" s="6" t="n">
        <v>0.01674764143977723</v>
      </c>
      <c r="G527" s="5" t="n">
        <v>1</v>
      </c>
      <c r="H527" s="5" t="n">
        <v>0</v>
      </c>
      <c r="I527" s="5" t="n">
        <v>0</v>
      </c>
      <c r="J527" s="5" t="n">
        <v>0</v>
      </c>
      <c r="K527" s="5" t="n">
        <v>0</v>
      </c>
      <c r="L527" s="5" t="n">
        <v>1</v>
      </c>
      <c r="M527" s="5" t="n">
        <v>0</v>
      </c>
      <c r="N527" s="5" t="n">
        <v>0</v>
      </c>
      <c r="O527" s="5" t="n">
        <v>0</v>
      </c>
      <c r="P527" s="5" t="n">
        <v>0</v>
      </c>
      <c r="Q527" s="5" t="n">
        <v>1</v>
      </c>
      <c r="R527" s="5" t="n">
        <v>0</v>
      </c>
      <c r="S527" s="5" t="n">
        <v>0</v>
      </c>
      <c r="T527" s="5" t="n">
        <v>1</v>
      </c>
      <c r="U527" s="5" t="inlineStr">
        <is>
          <t>training</t>
        </is>
      </c>
    </row>
    <row r="528">
      <c r="A528" s="5" t="n">
        <v>524</v>
      </c>
      <c r="B528" s="5" t="n">
        <v>0</v>
      </c>
      <c r="C528" s="6" t="n">
        <v>0.275406400796963</v>
      </c>
      <c r="D528" s="6" t="n">
        <v>0.08303104716410563</v>
      </c>
      <c r="E528" s="6" t="n">
        <v>-1.090641679553016</v>
      </c>
      <c r="F528" s="6" t="n">
        <v>0.01674764143977723</v>
      </c>
      <c r="G528" s="5" t="n">
        <v>0</v>
      </c>
      <c r="H528" s="5" t="n">
        <v>0</v>
      </c>
      <c r="I528" s="5" t="n">
        <v>0</v>
      </c>
      <c r="J528" s="5" t="n">
        <v>0</v>
      </c>
      <c r="K528" s="5" t="n">
        <v>0</v>
      </c>
      <c r="L528" s="5" t="n">
        <v>0</v>
      </c>
      <c r="M528" s="5" t="n">
        <v>1</v>
      </c>
      <c r="N528" s="5" t="n">
        <v>0</v>
      </c>
      <c r="O528" s="5" t="n">
        <v>0</v>
      </c>
      <c r="P528" s="5" t="n">
        <v>0</v>
      </c>
      <c r="Q528" s="5" t="n">
        <v>0</v>
      </c>
      <c r="R528" s="5" t="n">
        <v>1</v>
      </c>
      <c r="S528" s="5" t="n">
        <v>0</v>
      </c>
      <c r="T528" s="5" t="n">
        <v>0</v>
      </c>
      <c r="U528" s="5" t="inlineStr">
        <is>
          <t>training</t>
        </is>
      </c>
    </row>
    <row r="529">
      <c r="A529" s="5" t="n">
        <v>525</v>
      </c>
      <c r="B529" s="5" t="n">
        <v>0</v>
      </c>
      <c r="C529" s="6" t="n">
        <v>-0.2301473069597001</v>
      </c>
      <c r="D529" s="6" t="n">
        <v>-0.7479642145572858</v>
      </c>
      <c r="E529" s="6" t="n">
        <v>-0.8297226174589928</v>
      </c>
      <c r="F529" s="6" t="n">
        <v>0.9185437189662378</v>
      </c>
      <c r="G529" s="5" t="n">
        <v>0</v>
      </c>
      <c r="H529" s="5" t="n">
        <v>1</v>
      </c>
      <c r="I529" s="5" t="n">
        <v>0</v>
      </c>
      <c r="J529" s="5" t="n">
        <v>0</v>
      </c>
      <c r="K529" s="5" t="n">
        <v>0</v>
      </c>
      <c r="L529" s="5" t="n">
        <v>0</v>
      </c>
      <c r="M529" s="5" t="n">
        <v>0</v>
      </c>
      <c r="N529" s="5" t="n">
        <v>0</v>
      </c>
      <c r="O529" s="5" t="n">
        <v>0</v>
      </c>
      <c r="P529" s="5" t="n">
        <v>0</v>
      </c>
      <c r="Q529" s="5" t="n">
        <v>0</v>
      </c>
      <c r="R529" s="5" t="n">
        <v>0</v>
      </c>
      <c r="S529" s="5" t="n">
        <v>1</v>
      </c>
      <c r="T529" s="5" t="n">
        <v>0</v>
      </c>
      <c r="U529" s="5" t="inlineStr">
        <is>
          <t>training</t>
        </is>
      </c>
    </row>
    <row r="530">
      <c r="A530" s="5" t="n">
        <v>526</v>
      </c>
      <c r="B530" s="5" t="n">
        <v>0</v>
      </c>
      <c r="C530" s="6" t="n">
        <v>0.4439243033825174</v>
      </c>
      <c r="D530" s="6" t="n">
        <v>1.649850744843428</v>
      </c>
      <c r="E530" s="6" t="n">
        <v>-0.4818305346669622</v>
      </c>
      <c r="F530" s="6" t="n">
        <v>-0.8850484360866833</v>
      </c>
      <c r="G530" s="5" t="n">
        <v>0</v>
      </c>
      <c r="H530" s="5" t="n">
        <v>1</v>
      </c>
      <c r="I530" s="5" t="n">
        <v>0</v>
      </c>
      <c r="J530" s="5" t="n">
        <v>0</v>
      </c>
      <c r="K530" s="5" t="n">
        <v>0</v>
      </c>
      <c r="L530" s="5" t="n">
        <v>0</v>
      </c>
      <c r="M530" s="5" t="n">
        <v>0</v>
      </c>
      <c r="N530" s="5" t="n">
        <v>0</v>
      </c>
      <c r="O530" s="5" t="n">
        <v>0</v>
      </c>
      <c r="P530" s="5" t="n">
        <v>0</v>
      </c>
      <c r="Q530" s="5" t="n">
        <v>0</v>
      </c>
      <c r="R530" s="5" t="n">
        <v>1</v>
      </c>
      <c r="S530" s="5" t="n">
        <v>0</v>
      </c>
      <c r="T530" s="5" t="n">
        <v>0</v>
      </c>
      <c r="U530" s="5" t="inlineStr">
        <is>
          <t>training</t>
        </is>
      </c>
    </row>
    <row r="531">
      <c r="A531" s="5" t="n">
        <v>527</v>
      </c>
      <c r="B531" s="5" t="n">
        <v>0</v>
      </c>
      <c r="C531" s="6" t="n">
        <v>-0.4829241608380317</v>
      </c>
      <c r="D531" s="6" t="n">
        <v>-0.6013591557525434</v>
      </c>
      <c r="E531" s="6" t="n">
        <v>-0.3948575139689546</v>
      </c>
      <c r="F531" s="6" t="n">
        <v>0.9185437189662378</v>
      </c>
      <c r="G531" s="5" t="n">
        <v>0</v>
      </c>
      <c r="H531" s="5" t="n">
        <v>0</v>
      </c>
      <c r="I531" s="5" t="n">
        <v>0</v>
      </c>
      <c r="J531" s="5" t="n">
        <v>1</v>
      </c>
      <c r="K531" s="5" t="n">
        <v>0</v>
      </c>
      <c r="L531" s="5" t="n">
        <v>0</v>
      </c>
      <c r="M531" s="5" t="n">
        <v>1</v>
      </c>
      <c r="N531" s="5" t="n">
        <v>0</v>
      </c>
      <c r="O531" s="5" t="n">
        <v>0</v>
      </c>
      <c r="P531" s="5" t="n">
        <v>0</v>
      </c>
      <c r="Q531" s="5" t="n">
        <v>0</v>
      </c>
      <c r="R531" s="5" t="n">
        <v>0</v>
      </c>
      <c r="S531" s="5" t="n">
        <v>0</v>
      </c>
      <c r="T531" s="5" t="n">
        <v>0</v>
      </c>
      <c r="U531" s="5" t="inlineStr">
        <is>
          <t>training</t>
        </is>
      </c>
    </row>
    <row r="532">
      <c r="A532" s="5" t="n">
        <v>528</v>
      </c>
      <c r="B532" s="5" t="n">
        <v>0</v>
      </c>
      <c r="C532" s="6" t="n">
        <v>-1.409772625058581</v>
      </c>
      <c r="D532" s="6" t="n">
        <v>-0.6115060452640888</v>
      </c>
      <c r="E532" s="6" t="n">
        <v>0.5618457137091294</v>
      </c>
      <c r="F532" s="6" t="n">
        <v>-0.8850484360866833</v>
      </c>
      <c r="G532" s="5" t="n">
        <v>0</v>
      </c>
      <c r="H532" s="5" t="n">
        <v>0</v>
      </c>
      <c r="I532" s="5" t="n">
        <v>0</v>
      </c>
      <c r="J532" s="5" t="n">
        <v>1</v>
      </c>
      <c r="K532" s="5" t="n">
        <v>0</v>
      </c>
      <c r="L532" s="5" t="n">
        <v>0</v>
      </c>
      <c r="M532" s="5" t="n">
        <v>0</v>
      </c>
      <c r="N532" s="5" t="n">
        <v>0</v>
      </c>
      <c r="O532" s="5" t="n">
        <v>0</v>
      </c>
      <c r="P532" s="5" t="n">
        <v>0</v>
      </c>
      <c r="Q532" s="5" t="n">
        <v>0</v>
      </c>
      <c r="R532" s="5" t="n">
        <v>0</v>
      </c>
      <c r="S532" s="5" t="n">
        <v>1</v>
      </c>
      <c r="T532" s="5" t="n">
        <v>0</v>
      </c>
      <c r="U532" s="5" t="inlineStr">
        <is>
          <t>testing</t>
        </is>
      </c>
    </row>
    <row r="533">
      <c r="A533" s="5" t="n">
        <v>529</v>
      </c>
      <c r="B533" s="5" t="n">
        <v>1</v>
      </c>
      <c r="C533" s="6" t="n">
        <v>1.286513816310289</v>
      </c>
      <c r="D533" s="6" t="n">
        <v>-0.3319417445839239</v>
      </c>
      <c r="E533" s="6" t="n">
        <v>-0.3948575139689546</v>
      </c>
      <c r="F533" s="6" t="n">
        <v>0.9185437189662378</v>
      </c>
      <c r="G533" s="5" t="n">
        <v>1</v>
      </c>
      <c r="H533" s="5" t="n">
        <v>0</v>
      </c>
      <c r="I533" s="5" t="n">
        <v>0</v>
      </c>
      <c r="J533" s="5" t="n">
        <v>0</v>
      </c>
      <c r="K533" s="5" t="n">
        <v>0</v>
      </c>
      <c r="L533" s="5" t="n">
        <v>0</v>
      </c>
      <c r="M533" s="5" t="n">
        <v>0</v>
      </c>
      <c r="N533" s="5" t="n">
        <v>0</v>
      </c>
      <c r="O533" s="5" t="n">
        <v>0</v>
      </c>
      <c r="P533" s="5" t="n">
        <v>1</v>
      </c>
      <c r="Q533" s="5" t="n">
        <v>0</v>
      </c>
      <c r="R533" s="5" t="n">
        <v>0</v>
      </c>
      <c r="S533" s="5" t="n">
        <v>1</v>
      </c>
      <c r="T533" s="5" t="n">
        <v>0</v>
      </c>
      <c r="U533" s="5" t="inlineStr">
        <is>
          <t>testing</t>
        </is>
      </c>
    </row>
    <row r="534">
      <c r="A534" s="5" t="n">
        <v>530</v>
      </c>
      <c r="B534" s="5" t="n">
        <v>0</v>
      </c>
      <c r="C534" s="6" t="n">
        <v>-1.241254722473026</v>
      </c>
      <c r="D534" s="6" t="n">
        <v>-0.9057658410989058</v>
      </c>
      <c r="E534" s="6" t="n">
        <v>0.4748726930111218</v>
      </c>
      <c r="F534" s="6" t="n">
        <v>0.01674764143977723</v>
      </c>
      <c r="G534" s="5" t="n">
        <v>1</v>
      </c>
      <c r="H534" s="5" t="n">
        <v>0</v>
      </c>
      <c r="I534" s="5" t="n">
        <v>0</v>
      </c>
      <c r="J534" s="5" t="n">
        <v>0</v>
      </c>
      <c r="K534" s="5" t="n">
        <v>0</v>
      </c>
      <c r="L534" s="5" t="n">
        <v>0</v>
      </c>
      <c r="M534" s="5" t="n">
        <v>0</v>
      </c>
      <c r="N534" s="5" t="n">
        <v>0</v>
      </c>
      <c r="O534" s="5" t="n">
        <v>0</v>
      </c>
      <c r="P534" s="5" t="n">
        <v>0</v>
      </c>
      <c r="Q534" s="5" t="n">
        <v>0</v>
      </c>
      <c r="R534" s="5" t="n">
        <v>1</v>
      </c>
      <c r="S534" s="5" t="n">
        <v>0</v>
      </c>
      <c r="T534" s="5" t="n">
        <v>0</v>
      </c>
      <c r="U534" s="5" t="inlineStr">
        <is>
          <t>testing</t>
        </is>
      </c>
    </row>
    <row r="535">
      <c r="A535" s="5" t="n">
        <v>531</v>
      </c>
      <c r="B535" s="5" t="n">
        <v>0</v>
      </c>
      <c r="C535" s="6" t="n">
        <v>1.286513816310289</v>
      </c>
      <c r="D535" s="6" t="n">
        <v>-0.3420886340954693</v>
      </c>
      <c r="E535" s="6" t="n">
        <v>-0.307884493270947</v>
      </c>
      <c r="F535" s="6" t="n">
        <v>0.01674764143977723</v>
      </c>
      <c r="G535" s="5" t="n">
        <v>0</v>
      </c>
      <c r="H535" s="5" t="n">
        <v>1</v>
      </c>
      <c r="I535" s="5" t="n">
        <v>0</v>
      </c>
      <c r="J535" s="5" t="n">
        <v>0</v>
      </c>
      <c r="K535" s="5" t="n">
        <v>0</v>
      </c>
      <c r="L535" s="5" t="n">
        <v>0</v>
      </c>
      <c r="M535" s="5" t="n">
        <v>0</v>
      </c>
      <c r="N535" s="5" t="n">
        <v>0</v>
      </c>
      <c r="O535" s="5" t="n">
        <v>0</v>
      </c>
      <c r="P535" s="5" t="n">
        <v>0</v>
      </c>
      <c r="Q535" s="5" t="n">
        <v>0</v>
      </c>
      <c r="R535" s="5" t="n">
        <v>0</v>
      </c>
      <c r="S535" s="5" t="n">
        <v>0</v>
      </c>
      <c r="T535" s="5" t="n">
        <v>0</v>
      </c>
      <c r="U535" s="5" t="inlineStr">
        <is>
          <t>testing</t>
        </is>
      </c>
    </row>
    <row r="536">
      <c r="A536" s="5" t="n">
        <v>532</v>
      </c>
      <c r="B536" s="5" t="n">
        <v>1</v>
      </c>
      <c r="C536" s="6" t="n">
        <v>-0.4829241608380317</v>
      </c>
      <c r="D536" s="6" t="n">
        <v>-0.2168270325391501</v>
      </c>
      <c r="E536" s="6" t="n">
        <v>-0.6557765760629775</v>
      </c>
      <c r="F536" s="6" t="n">
        <v>-0.8850484360866833</v>
      </c>
      <c r="G536" s="5" t="n">
        <v>0</v>
      </c>
      <c r="H536" s="5" t="n">
        <v>1</v>
      </c>
      <c r="I536" s="5" t="n">
        <v>0</v>
      </c>
      <c r="J536" s="5" t="n">
        <v>0</v>
      </c>
      <c r="K536" s="5" t="n">
        <v>0</v>
      </c>
      <c r="L536" s="5" t="n">
        <v>0</v>
      </c>
      <c r="M536" s="5" t="n">
        <v>1</v>
      </c>
      <c r="N536" s="5" t="n">
        <v>0</v>
      </c>
      <c r="O536" s="5" t="n">
        <v>0</v>
      </c>
      <c r="P536" s="5" t="n">
        <v>1</v>
      </c>
      <c r="Q536" s="5" t="n">
        <v>0</v>
      </c>
      <c r="R536" s="5" t="n">
        <v>1</v>
      </c>
      <c r="S536" s="5" t="n">
        <v>0</v>
      </c>
      <c r="T536" s="5" t="n">
        <v>0</v>
      </c>
      <c r="U536" s="5" t="inlineStr">
        <is>
          <t>training</t>
        </is>
      </c>
    </row>
    <row r="537">
      <c r="A537" s="5" t="n">
        <v>533</v>
      </c>
      <c r="B537" s="5" t="n">
        <v>0</v>
      </c>
      <c r="C537" s="6" t="n">
        <v>-0.7357010147163632</v>
      </c>
      <c r="D537" s="6" t="n">
        <v>-0.6115060452640888</v>
      </c>
      <c r="E537" s="6" t="n">
        <v>0.4748726930111218</v>
      </c>
      <c r="F537" s="6" t="n">
        <v>0.9185437189662378</v>
      </c>
      <c r="G537" s="5" t="n">
        <v>0</v>
      </c>
      <c r="H537" s="5" t="n">
        <v>0</v>
      </c>
      <c r="I537" s="5" t="n">
        <v>0</v>
      </c>
      <c r="J537" s="5" t="n">
        <v>0</v>
      </c>
      <c r="K537" s="5" t="n">
        <v>1</v>
      </c>
      <c r="L537" s="5" t="n">
        <v>0</v>
      </c>
      <c r="M537" s="5" t="n">
        <v>0</v>
      </c>
      <c r="N537" s="5" t="n">
        <v>0</v>
      </c>
      <c r="O537" s="5" t="n">
        <v>0</v>
      </c>
      <c r="P537" s="5" t="n">
        <v>1</v>
      </c>
      <c r="Q537" s="5" t="n">
        <v>0</v>
      </c>
      <c r="R537" s="5" t="n">
        <v>1</v>
      </c>
      <c r="S537" s="5" t="n">
        <v>0</v>
      </c>
      <c r="T537" s="5" t="n">
        <v>0</v>
      </c>
      <c r="U537" s="5" t="inlineStr">
        <is>
          <t>training</t>
        </is>
      </c>
    </row>
    <row r="538">
      <c r="A538" s="5" t="n">
        <v>534</v>
      </c>
      <c r="B538" s="5" t="n">
        <v>0</v>
      </c>
      <c r="C538" s="6" t="n">
        <v>0.275406400796963</v>
      </c>
      <c r="D538" s="6" t="n">
        <v>-0.678685451685355</v>
      </c>
      <c r="E538" s="6" t="n">
        <v>-0.8297226174589928</v>
      </c>
      <c r="F538" s="6" t="n">
        <v>0.9185437189662378</v>
      </c>
      <c r="G538" s="5" t="n">
        <v>0</v>
      </c>
      <c r="H538" s="5" t="n">
        <v>0</v>
      </c>
      <c r="I538" s="5" t="n">
        <v>0</v>
      </c>
      <c r="J538" s="5" t="n">
        <v>0</v>
      </c>
      <c r="K538" s="5" t="n">
        <v>0</v>
      </c>
      <c r="L538" s="5" t="n">
        <v>0</v>
      </c>
      <c r="M538" s="5" t="n">
        <v>1</v>
      </c>
      <c r="N538" s="5" t="n">
        <v>0</v>
      </c>
      <c r="O538" s="5" t="n">
        <v>0</v>
      </c>
      <c r="P538" s="5" t="n">
        <v>0</v>
      </c>
      <c r="Q538" s="5" t="n">
        <v>0</v>
      </c>
      <c r="R538" s="5" t="n">
        <v>0</v>
      </c>
      <c r="S538" s="5" t="n">
        <v>1</v>
      </c>
      <c r="T538" s="5" t="n">
        <v>0</v>
      </c>
      <c r="U538" s="5" t="inlineStr">
        <is>
          <t>training</t>
        </is>
      </c>
    </row>
    <row r="539">
      <c r="A539" s="5" t="n">
        <v>535</v>
      </c>
      <c r="B539" s="5" t="n">
        <v>0</v>
      </c>
      <c r="C539" s="6" t="n">
        <v>0.275406400796963</v>
      </c>
      <c r="D539" s="6" t="n">
        <v>-0.05097787293664927</v>
      </c>
      <c r="E539" s="6" t="n">
        <v>-0.9166956381570004</v>
      </c>
      <c r="F539" s="6" t="n">
        <v>0.9185437189662378</v>
      </c>
      <c r="G539" s="5" t="n">
        <v>0</v>
      </c>
      <c r="H539" s="5" t="n">
        <v>0</v>
      </c>
      <c r="I539" s="5" t="n">
        <v>0</v>
      </c>
      <c r="J539" s="5" t="n">
        <v>0</v>
      </c>
      <c r="K539" s="5" t="n">
        <v>0</v>
      </c>
      <c r="L539" s="5" t="n">
        <v>0</v>
      </c>
      <c r="M539" s="5" t="n">
        <v>0</v>
      </c>
      <c r="N539" s="5" t="n">
        <v>0</v>
      </c>
      <c r="O539" s="5" t="n">
        <v>1</v>
      </c>
      <c r="P539" s="5" t="n">
        <v>0</v>
      </c>
      <c r="Q539" s="5" t="n">
        <v>0</v>
      </c>
      <c r="R539" s="5" t="n">
        <v>0</v>
      </c>
      <c r="S539" s="5" t="n">
        <v>1</v>
      </c>
      <c r="T539" s="5" t="n">
        <v>0</v>
      </c>
      <c r="U539" s="5" t="inlineStr">
        <is>
          <t>training</t>
        </is>
      </c>
    </row>
    <row r="540">
      <c r="A540" s="5" t="n">
        <v>536</v>
      </c>
      <c r="B540" s="5" t="n">
        <v>1</v>
      </c>
      <c r="C540" s="6" t="n">
        <v>0.02262954691863145</v>
      </c>
      <c r="D540" s="6" t="n">
        <v>-0.3259935679737077</v>
      </c>
      <c r="E540" s="6" t="n">
        <v>-0.2209114725729393</v>
      </c>
      <c r="F540" s="6" t="n">
        <v>-0.8850484360866833</v>
      </c>
      <c r="G540" s="5" t="n">
        <v>0</v>
      </c>
      <c r="H540" s="5" t="n">
        <v>0</v>
      </c>
      <c r="I540" s="5" t="n">
        <v>1</v>
      </c>
      <c r="J540" s="5" t="n">
        <v>1</v>
      </c>
      <c r="K540" s="5" t="n">
        <v>0</v>
      </c>
      <c r="L540" s="5" t="n">
        <v>0</v>
      </c>
      <c r="M540" s="5" t="n">
        <v>0</v>
      </c>
      <c r="N540" s="5" t="n">
        <v>0</v>
      </c>
      <c r="O540" s="5" t="n">
        <v>0</v>
      </c>
      <c r="P540" s="5" t="n">
        <v>1</v>
      </c>
      <c r="Q540" s="5" t="n">
        <v>0</v>
      </c>
      <c r="R540" s="5" t="n">
        <v>0</v>
      </c>
      <c r="S540" s="5" t="n">
        <v>0</v>
      </c>
      <c r="T540" s="5" t="n">
        <v>0</v>
      </c>
      <c r="U540" s="5" t="inlineStr">
        <is>
          <t>testing</t>
        </is>
      </c>
    </row>
    <row r="541">
      <c r="A541" s="5" t="n">
        <v>537</v>
      </c>
      <c r="B541" s="5" t="n">
        <v>0</v>
      </c>
      <c r="C541" s="6" t="n">
        <v>-1.241254722473026</v>
      </c>
      <c r="D541" s="6" t="n">
        <v>-0.6566422089533771</v>
      </c>
      <c r="E541" s="6" t="n">
        <v>3.431955396743382</v>
      </c>
      <c r="F541" s="6" t="n">
        <v>0.9185437189662378</v>
      </c>
      <c r="G541" s="5" t="n">
        <v>1</v>
      </c>
      <c r="H541" s="5" t="n">
        <v>0</v>
      </c>
      <c r="I541" s="5" t="n">
        <v>0</v>
      </c>
      <c r="J541" s="5" t="n">
        <v>0</v>
      </c>
      <c r="K541" s="5" t="n">
        <v>0</v>
      </c>
      <c r="L541" s="5" t="n">
        <v>0</v>
      </c>
      <c r="M541" s="5" t="n">
        <v>0</v>
      </c>
      <c r="N541" s="5" t="n">
        <v>0</v>
      </c>
      <c r="O541" s="5" t="n">
        <v>1</v>
      </c>
      <c r="P541" s="5" t="n">
        <v>0</v>
      </c>
      <c r="Q541" s="5" t="n">
        <v>0</v>
      </c>
      <c r="R541" s="5" t="n">
        <v>1</v>
      </c>
      <c r="S541" s="5" t="n">
        <v>0</v>
      </c>
      <c r="T541" s="5" t="n">
        <v>0</v>
      </c>
      <c r="U541" s="5" t="inlineStr">
        <is>
          <t>training</t>
        </is>
      </c>
    </row>
    <row r="542">
      <c r="A542" s="5" t="n">
        <v>538</v>
      </c>
      <c r="B542" s="5" t="n">
        <v>0</v>
      </c>
      <c r="C542" s="6" t="n">
        <v>-0.2301473069597001</v>
      </c>
      <c r="D542" s="6" t="n">
        <v>0.1264177471445067</v>
      </c>
      <c r="E542" s="6" t="n">
        <v>0.1269806102190912</v>
      </c>
      <c r="F542" s="6" t="n">
        <v>0.01674764143977723</v>
      </c>
      <c r="G542" s="5" t="n">
        <v>0</v>
      </c>
      <c r="H542" s="5" t="n">
        <v>1</v>
      </c>
      <c r="I542" s="5" t="n">
        <v>0</v>
      </c>
      <c r="J542" s="5" t="n">
        <v>1</v>
      </c>
      <c r="K542" s="5" t="n">
        <v>0</v>
      </c>
      <c r="L542" s="5" t="n">
        <v>0</v>
      </c>
      <c r="M542" s="5" t="n">
        <v>0</v>
      </c>
      <c r="N542" s="5" t="n">
        <v>0</v>
      </c>
      <c r="O542" s="5" t="n">
        <v>0</v>
      </c>
      <c r="P542" s="5" t="n">
        <v>0</v>
      </c>
      <c r="Q542" s="5" t="n">
        <v>0</v>
      </c>
      <c r="R542" s="5" t="n">
        <v>0</v>
      </c>
      <c r="S542" s="5" t="n">
        <v>0</v>
      </c>
      <c r="T542" s="5" t="n">
        <v>1</v>
      </c>
      <c r="U542" s="5" t="inlineStr">
        <is>
          <t>training</t>
        </is>
      </c>
    </row>
    <row r="543">
      <c r="A543" s="5" t="n">
        <v>539</v>
      </c>
      <c r="B543" s="5" t="n">
        <v>1</v>
      </c>
      <c r="C543" s="6" t="n">
        <v>2.297621231823615</v>
      </c>
      <c r="D543" s="6" t="n">
        <v>1.57882251826261</v>
      </c>
      <c r="E543" s="6" t="n">
        <v>0.5618457137091294</v>
      </c>
      <c r="F543" s="6" t="n">
        <v>0.9185437189662378</v>
      </c>
      <c r="G543" s="5" t="n">
        <v>1</v>
      </c>
      <c r="H543" s="5" t="n">
        <v>0</v>
      </c>
      <c r="I543" s="5" t="n">
        <v>0</v>
      </c>
      <c r="J543" s="5" t="n">
        <v>0</v>
      </c>
      <c r="K543" s="5" t="n">
        <v>0</v>
      </c>
      <c r="L543" s="5" t="n">
        <v>0</v>
      </c>
      <c r="M543" s="5" t="n">
        <v>0</v>
      </c>
      <c r="N543" s="5" t="n">
        <v>0</v>
      </c>
      <c r="O543" s="5" t="n">
        <v>0</v>
      </c>
      <c r="P543" s="5" t="n">
        <v>0</v>
      </c>
      <c r="Q543" s="5" t="n">
        <v>1</v>
      </c>
      <c r="R543" s="5" t="n">
        <v>1</v>
      </c>
      <c r="S543" s="5" t="n">
        <v>0</v>
      </c>
      <c r="T543" s="5" t="n">
        <v>0</v>
      </c>
      <c r="U543" s="5" t="inlineStr">
        <is>
          <t>training</t>
        </is>
      </c>
    </row>
    <row r="544">
      <c r="A544" s="5" t="n">
        <v>540</v>
      </c>
      <c r="B544" s="5" t="n">
        <v>0</v>
      </c>
      <c r="C544" s="6" t="n">
        <v>-0.2301473069597001</v>
      </c>
      <c r="D544" s="6" t="n">
        <v>-0.07057186647618524</v>
      </c>
      <c r="E544" s="6" t="n">
        <v>0.8227647758031523</v>
      </c>
      <c r="F544" s="6" t="n">
        <v>-1.786844513613144</v>
      </c>
      <c r="G544" s="5" t="n">
        <v>0</v>
      </c>
      <c r="H544" s="5" t="n">
        <v>0</v>
      </c>
      <c r="I544" s="5" t="n">
        <v>1</v>
      </c>
      <c r="J544" s="5" t="n">
        <v>0</v>
      </c>
      <c r="K544" s="5" t="n">
        <v>0</v>
      </c>
      <c r="L544" s="5" t="n">
        <v>0</v>
      </c>
      <c r="M544" s="5" t="n">
        <v>0</v>
      </c>
      <c r="N544" s="5" t="n">
        <v>0</v>
      </c>
      <c r="O544" s="5" t="n">
        <v>0</v>
      </c>
      <c r="P544" s="5" t="n">
        <v>0</v>
      </c>
      <c r="Q544" s="5" t="n">
        <v>0</v>
      </c>
      <c r="R544" s="5" t="n">
        <v>0</v>
      </c>
      <c r="S544" s="5" t="n">
        <v>0</v>
      </c>
      <c r="T544" s="5" t="n">
        <v>1</v>
      </c>
      <c r="U544" s="5" t="inlineStr">
        <is>
          <t>training</t>
        </is>
      </c>
    </row>
    <row r="545">
      <c r="A545" s="5" t="n">
        <v>541</v>
      </c>
      <c r="B545" s="5" t="n">
        <v>1</v>
      </c>
      <c r="C545" s="6" t="n">
        <v>-0.7357010147163632</v>
      </c>
      <c r="D545" s="6" t="n">
        <v>-0.6006593702689885</v>
      </c>
      <c r="E545" s="6" t="n">
        <v>-1.090641679553016</v>
      </c>
      <c r="F545" s="6" t="n">
        <v>-1.786844513613144</v>
      </c>
      <c r="G545" s="5" t="n">
        <v>0</v>
      </c>
      <c r="H545" s="5" t="n">
        <v>1</v>
      </c>
      <c r="I545" s="5" t="n">
        <v>0</v>
      </c>
      <c r="J545" s="5" t="n">
        <v>0</v>
      </c>
      <c r="K545" s="5" t="n">
        <v>0</v>
      </c>
      <c r="L545" s="5" t="n">
        <v>0</v>
      </c>
      <c r="M545" s="5" t="n">
        <v>0</v>
      </c>
      <c r="N545" s="5" t="n">
        <v>0</v>
      </c>
      <c r="O545" s="5" t="n">
        <v>0</v>
      </c>
      <c r="P545" s="5" t="n">
        <v>1</v>
      </c>
      <c r="Q545" s="5" t="n">
        <v>0</v>
      </c>
      <c r="R545" s="5" t="n">
        <v>0</v>
      </c>
      <c r="S545" s="5" t="n">
        <v>1</v>
      </c>
      <c r="T545" s="5" t="n">
        <v>0</v>
      </c>
      <c r="U545" s="5" t="inlineStr">
        <is>
          <t>training</t>
        </is>
      </c>
    </row>
    <row r="546">
      <c r="A546" s="5" t="n">
        <v>542</v>
      </c>
      <c r="B546" s="5" t="n">
        <v>0</v>
      </c>
      <c r="C546" s="6" t="n">
        <v>0.275406400796963</v>
      </c>
      <c r="D546" s="6" t="n">
        <v>-0.4264127848638294</v>
      </c>
      <c r="E546" s="6" t="n">
        <v>2.127360086273267</v>
      </c>
      <c r="F546" s="6" t="n">
        <v>0.9185437189662378</v>
      </c>
      <c r="G546" s="5" t="n">
        <v>0</v>
      </c>
      <c r="H546" s="5" t="n">
        <v>0</v>
      </c>
      <c r="I546" s="5" t="n">
        <v>0</v>
      </c>
      <c r="J546" s="5" t="n">
        <v>0</v>
      </c>
      <c r="K546" s="5" t="n">
        <v>1</v>
      </c>
      <c r="L546" s="5" t="n">
        <v>0</v>
      </c>
      <c r="M546" s="5" t="n">
        <v>0</v>
      </c>
      <c r="N546" s="5" t="n">
        <v>0</v>
      </c>
      <c r="O546" s="5" t="n">
        <v>0</v>
      </c>
      <c r="P546" s="5" t="n">
        <v>0</v>
      </c>
      <c r="Q546" s="5" t="n">
        <v>1</v>
      </c>
      <c r="R546" s="5" t="n">
        <v>1</v>
      </c>
      <c r="S546" s="5" t="n">
        <v>0</v>
      </c>
      <c r="T546" s="5" t="n">
        <v>0</v>
      </c>
      <c r="U546" s="5" t="inlineStr">
        <is>
          <t>training</t>
        </is>
      </c>
    </row>
    <row r="547">
      <c r="A547" s="5" t="n">
        <v>543</v>
      </c>
      <c r="B547" s="5" t="n">
        <v>1</v>
      </c>
      <c r="C547" s="6" t="n">
        <v>0.7809601085536261</v>
      </c>
      <c r="D547" s="6" t="n">
        <v>1.084424074131104</v>
      </c>
      <c r="E547" s="6" t="n">
        <v>-0.3948575139689546</v>
      </c>
      <c r="F547" s="6" t="n">
        <v>0.9185437189662378</v>
      </c>
      <c r="G547" s="5" t="n">
        <v>1</v>
      </c>
      <c r="H547" s="5" t="n">
        <v>0</v>
      </c>
      <c r="I547" s="5" t="n">
        <v>0</v>
      </c>
      <c r="J547" s="5" t="n">
        <v>0</v>
      </c>
      <c r="K547" s="5" t="n">
        <v>0</v>
      </c>
      <c r="L547" s="5" t="n">
        <v>0</v>
      </c>
      <c r="M547" s="5" t="n">
        <v>0</v>
      </c>
      <c r="N547" s="5" t="n">
        <v>0</v>
      </c>
      <c r="O547" s="5" t="n">
        <v>1</v>
      </c>
      <c r="P547" s="5" t="n">
        <v>0</v>
      </c>
      <c r="Q547" s="5" t="n">
        <v>0</v>
      </c>
      <c r="R547" s="5" t="n">
        <v>0</v>
      </c>
      <c r="S547" s="5" t="n">
        <v>0</v>
      </c>
      <c r="T547" s="5" t="n">
        <v>1</v>
      </c>
      <c r="U547" s="5" t="inlineStr">
        <is>
          <t>testing</t>
        </is>
      </c>
    </row>
    <row r="548">
      <c r="A548" s="5" t="n">
        <v>544</v>
      </c>
      <c r="B548" s="5" t="n">
        <v>1</v>
      </c>
      <c r="C548" s="6" t="n">
        <v>-0.2301473069597001</v>
      </c>
      <c r="D548" s="6" t="n">
        <v>-0.1353020237050094</v>
      </c>
      <c r="E548" s="6" t="n">
        <v>-0.1339384518749317</v>
      </c>
      <c r="F548" s="6" t="n">
        <v>-0.8850484360866833</v>
      </c>
      <c r="G548" s="5" t="n">
        <v>0</v>
      </c>
      <c r="H548" s="5" t="n">
        <v>0</v>
      </c>
      <c r="I548" s="5" t="n">
        <v>1</v>
      </c>
      <c r="J548" s="5" t="n">
        <v>0</v>
      </c>
      <c r="K548" s="5" t="n">
        <v>0</v>
      </c>
      <c r="L548" s="5" t="n">
        <v>0</v>
      </c>
      <c r="M548" s="5" t="n">
        <v>0</v>
      </c>
      <c r="N548" s="5" t="n">
        <v>0</v>
      </c>
      <c r="O548" s="5" t="n">
        <v>0</v>
      </c>
      <c r="P548" s="5" t="n">
        <v>0</v>
      </c>
      <c r="Q548" s="5" t="n">
        <v>0</v>
      </c>
      <c r="R548" s="5" t="n">
        <v>0</v>
      </c>
      <c r="S548" s="5" t="n">
        <v>0</v>
      </c>
      <c r="T548" s="5" t="n">
        <v>1</v>
      </c>
      <c r="U548" s="5" t="inlineStr">
        <is>
          <t>training</t>
        </is>
      </c>
    </row>
    <row r="549">
      <c r="A549" s="5" t="n">
        <v>545</v>
      </c>
      <c r="B549" s="5" t="n">
        <v>0</v>
      </c>
      <c r="C549" s="6" t="n">
        <v>-0.7357010147163632</v>
      </c>
      <c r="D549" s="6" t="n">
        <v>-0.6982794452248909</v>
      </c>
      <c r="E549" s="6" t="n">
        <v>2.214333106971274</v>
      </c>
      <c r="F549" s="6" t="n">
        <v>0.9185437189662378</v>
      </c>
      <c r="G549" s="5" t="n">
        <v>0</v>
      </c>
      <c r="H549" s="5" t="n">
        <v>0</v>
      </c>
      <c r="I549" s="5" t="n">
        <v>0</v>
      </c>
      <c r="J549" s="5" t="n">
        <v>1</v>
      </c>
      <c r="K549" s="5" t="n">
        <v>0</v>
      </c>
      <c r="L549" s="5" t="n">
        <v>0</v>
      </c>
      <c r="M549" s="5" t="n">
        <v>0</v>
      </c>
      <c r="N549" s="5" t="n">
        <v>0</v>
      </c>
      <c r="O549" s="5" t="n">
        <v>0</v>
      </c>
      <c r="P549" s="5" t="n">
        <v>0</v>
      </c>
      <c r="Q549" s="5" t="n">
        <v>0</v>
      </c>
      <c r="R549" s="5" t="n">
        <v>1</v>
      </c>
      <c r="S549" s="5" t="n">
        <v>0</v>
      </c>
      <c r="T549" s="5" t="n">
        <v>0</v>
      </c>
      <c r="U549" s="5" t="inlineStr">
        <is>
          <t>testing</t>
        </is>
      </c>
    </row>
    <row r="550">
      <c r="A550" s="5" t="n">
        <v>546</v>
      </c>
      <c r="B550" s="5" t="n">
        <v>1</v>
      </c>
      <c r="C550" s="6" t="n">
        <v>0.275406400796963</v>
      </c>
      <c r="D550" s="6" t="n">
        <v>-0.6709878113662516</v>
      </c>
      <c r="E550" s="6" t="n">
        <v>0.648818734407137</v>
      </c>
      <c r="F550" s="6" t="n">
        <v>0.9185437189662378</v>
      </c>
      <c r="G550" s="5" t="n">
        <v>1</v>
      </c>
      <c r="H550" s="5" t="n">
        <v>0</v>
      </c>
      <c r="I550" s="5" t="n">
        <v>0</v>
      </c>
      <c r="J550" s="5" t="n">
        <v>0</v>
      </c>
      <c r="K550" s="5" t="n">
        <v>1</v>
      </c>
      <c r="L550" s="5" t="n">
        <v>0</v>
      </c>
      <c r="M550" s="5" t="n">
        <v>0</v>
      </c>
      <c r="N550" s="5" t="n">
        <v>0</v>
      </c>
      <c r="O550" s="5" t="n">
        <v>0</v>
      </c>
      <c r="P550" s="5" t="n">
        <v>0</v>
      </c>
      <c r="Q550" s="5" t="n">
        <v>1</v>
      </c>
      <c r="R550" s="5" t="n">
        <v>1</v>
      </c>
      <c r="S550" s="5" t="n">
        <v>0</v>
      </c>
      <c r="T550" s="5" t="n">
        <v>0</v>
      </c>
      <c r="U550" s="5" t="inlineStr">
        <is>
          <t>testing</t>
        </is>
      </c>
    </row>
    <row r="551">
      <c r="A551" s="5" t="n">
        <v>547</v>
      </c>
      <c r="B551" s="5" t="n">
        <v>0</v>
      </c>
      <c r="C551" s="6" t="n">
        <v>0.275406400796963</v>
      </c>
      <c r="D551" s="6" t="n">
        <v>-0.4299117122816037</v>
      </c>
      <c r="E551" s="6" t="n">
        <v>0.1269806102190912</v>
      </c>
      <c r="F551" s="6" t="n">
        <v>0.9185437189662378</v>
      </c>
      <c r="G551" s="5" t="n">
        <v>0</v>
      </c>
      <c r="H551" s="5" t="n">
        <v>0</v>
      </c>
      <c r="I551" s="5" t="n">
        <v>0</v>
      </c>
      <c r="J551" s="5" t="n">
        <v>1</v>
      </c>
      <c r="K551" s="5" t="n">
        <v>0</v>
      </c>
      <c r="L551" s="5" t="n">
        <v>0</v>
      </c>
      <c r="M551" s="5" t="n">
        <v>0</v>
      </c>
      <c r="N551" s="5" t="n">
        <v>0</v>
      </c>
      <c r="O551" s="5" t="n">
        <v>0</v>
      </c>
      <c r="P551" s="5" t="n">
        <v>0</v>
      </c>
      <c r="Q551" s="5" t="n">
        <v>0</v>
      </c>
      <c r="R551" s="5" t="n">
        <v>1</v>
      </c>
      <c r="S551" s="5" t="n">
        <v>0</v>
      </c>
      <c r="T551" s="5" t="n">
        <v>0</v>
      </c>
      <c r="U551" s="5" t="inlineStr">
        <is>
          <t>training</t>
        </is>
      </c>
    </row>
    <row r="552">
      <c r="A552" s="5" t="n">
        <v>548</v>
      </c>
      <c r="B552" s="5" t="n">
        <v>0</v>
      </c>
      <c r="C552" s="6" t="n">
        <v>0.275406400796963</v>
      </c>
      <c r="D552" s="6" t="n">
        <v>-0.5943613009169949</v>
      </c>
      <c r="E552" s="6" t="n">
        <v>-0.307884493270947</v>
      </c>
      <c r="F552" s="6" t="n">
        <v>0.01674764143977723</v>
      </c>
      <c r="G552" s="5" t="n">
        <v>0</v>
      </c>
      <c r="H552" s="5" t="n">
        <v>0</v>
      </c>
      <c r="I552" s="5" t="n">
        <v>0</v>
      </c>
      <c r="J552" s="5" t="n">
        <v>0</v>
      </c>
      <c r="K552" s="5" t="n">
        <v>0</v>
      </c>
      <c r="L552" s="5" t="n">
        <v>0</v>
      </c>
      <c r="M552" s="5" t="n">
        <v>0</v>
      </c>
      <c r="N552" s="5" t="n">
        <v>0</v>
      </c>
      <c r="O552" s="5" t="n">
        <v>0</v>
      </c>
      <c r="P552" s="5" t="n">
        <v>0</v>
      </c>
      <c r="Q552" s="5" t="n">
        <v>0</v>
      </c>
      <c r="R552" s="5" t="n">
        <v>0</v>
      </c>
      <c r="S552" s="5" t="n">
        <v>1</v>
      </c>
      <c r="T552" s="5" t="n">
        <v>0</v>
      </c>
      <c r="U552" s="5" t="inlineStr">
        <is>
          <t>training</t>
        </is>
      </c>
    </row>
    <row r="553">
      <c r="A553" s="5" t="n">
        <v>549</v>
      </c>
      <c r="B553" s="5" t="n">
        <v>1</v>
      </c>
      <c r="C553" s="6" t="n">
        <v>-0.7357010147163632</v>
      </c>
      <c r="D553" s="6" t="n">
        <v>-0.9183619798028931</v>
      </c>
      <c r="E553" s="6" t="n">
        <v>-1.003668658855008</v>
      </c>
      <c r="F553" s="6" t="n">
        <v>0.9185437189662378</v>
      </c>
      <c r="G553" s="5" t="n">
        <v>1</v>
      </c>
      <c r="H553" s="5" t="n">
        <v>0</v>
      </c>
      <c r="I553" s="5" t="n">
        <v>0</v>
      </c>
      <c r="J553" s="5" t="n">
        <v>0</v>
      </c>
      <c r="K553" s="5" t="n">
        <v>0</v>
      </c>
      <c r="L553" s="5" t="n">
        <v>1</v>
      </c>
      <c r="M553" s="5" t="n">
        <v>0</v>
      </c>
      <c r="N553" s="5" t="n">
        <v>0</v>
      </c>
      <c r="O553" s="5" t="n">
        <v>0</v>
      </c>
      <c r="P553" s="5" t="n">
        <v>0</v>
      </c>
      <c r="Q553" s="5" t="n">
        <v>0</v>
      </c>
      <c r="R553" s="5" t="n">
        <v>0</v>
      </c>
      <c r="S553" s="5" t="n">
        <v>1</v>
      </c>
      <c r="T553" s="5" t="n">
        <v>0</v>
      </c>
      <c r="U553" s="5" t="inlineStr">
        <is>
          <t>testing</t>
        </is>
      </c>
    </row>
    <row r="554">
      <c r="A554" s="5" t="n">
        <v>550</v>
      </c>
      <c r="B554" s="5" t="n">
        <v>0</v>
      </c>
      <c r="C554" s="6" t="n">
        <v>2.297621231823615</v>
      </c>
      <c r="D554" s="6" t="n">
        <v>1.961955070508894</v>
      </c>
      <c r="E554" s="6" t="n">
        <v>-0.04696543117692405</v>
      </c>
      <c r="F554" s="6" t="n">
        <v>-0.8850484360866833</v>
      </c>
      <c r="G554" s="5" t="n">
        <v>0</v>
      </c>
      <c r="H554" s="5" t="n">
        <v>0</v>
      </c>
      <c r="I554" s="5" t="n">
        <v>0</v>
      </c>
      <c r="J554" s="5" t="n">
        <v>1</v>
      </c>
      <c r="K554" s="5" t="n">
        <v>0</v>
      </c>
      <c r="L554" s="5" t="n">
        <v>0</v>
      </c>
      <c r="M554" s="5" t="n">
        <v>0</v>
      </c>
      <c r="N554" s="5" t="n">
        <v>0</v>
      </c>
      <c r="O554" s="5" t="n">
        <v>1</v>
      </c>
      <c r="P554" s="5" t="n">
        <v>0</v>
      </c>
      <c r="Q554" s="5" t="n">
        <v>1</v>
      </c>
      <c r="R554" s="5" t="n">
        <v>1</v>
      </c>
      <c r="S554" s="5" t="n">
        <v>0</v>
      </c>
      <c r="T554" s="5" t="n">
        <v>0</v>
      </c>
      <c r="U554" s="5" t="inlineStr">
        <is>
          <t>training</t>
        </is>
      </c>
    </row>
    <row r="555">
      <c r="A555" s="5" t="n">
        <v>551</v>
      </c>
      <c r="B555" s="5" t="n">
        <v>0</v>
      </c>
      <c r="C555" s="6" t="n">
        <v>-0.7357010147163632</v>
      </c>
      <c r="D555" s="6" t="n">
        <v>-0.7889016653452449</v>
      </c>
      <c r="E555" s="6" t="n">
        <v>-1.090641679553016</v>
      </c>
      <c r="F555" s="6" t="n">
        <v>0.9185437189662378</v>
      </c>
      <c r="G555" s="5" t="n">
        <v>0</v>
      </c>
      <c r="H555" s="5" t="n">
        <v>0</v>
      </c>
      <c r="I555" s="5" t="n">
        <v>0</v>
      </c>
      <c r="J555" s="5" t="n">
        <v>1</v>
      </c>
      <c r="K555" s="5" t="n">
        <v>0</v>
      </c>
      <c r="L555" s="5" t="n">
        <v>0</v>
      </c>
      <c r="M555" s="5" t="n">
        <v>0</v>
      </c>
      <c r="N555" s="5" t="n">
        <v>0</v>
      </c>
      <c r="O555" s="5" t="n">
        <v>1</v>
      </c>
      <c r="P555" s="5" t="n">
        <v>0</v>
      </c>
      <c r="Q555" s="5" t="n">
        <v>0</v>
      </c>
      <c r="R555" s="5" t="n">
        <v>0</v>
      </c>
      <c r="S555" s="5" t="n">
        <v>0</v>
      </c>
      <c r="T555" s="5" t="n">
        <v>0</v>
      </c>
      <c r="U555" s="5" t="inlineStr">
        <is>
          <t>training</t>
        </is>
      </c>
    </row>
    <row r="556">
      <c r="A556" s="5" t="n">
        <v>552</v>
      </c>
      <c r="B556" s="5" t="n">
        <v>0</v>
      </c>
      <c r="C556" s="6" t="n">
        <v>-1.241254722473026</v>
      </c>
      <c r="D556" s="6" t="n">
        <v>-0.5250825380450641</v>
      </c>
      <c r="E556" s="6" t="n">
        <v>0.8227647758031523</v>
      </c>
      <c r="F556" s="6" t="n">
        <v>-0.8850484360866833</v>
      </c>
      <c r="G556" s="5" t="n">
        <v>0</v>
      </c>
      <c r="H556" s="5" t="n">
        <v>0</v>
      </c>
      <c r="I556" s="5" t="n">
        <v>0</v>
      </c>
      <c r="J556" s="5" t="n">
        <v>0</v>
      </c>
      <c r="K556" s="5" t="n">
        <v>0</v>
      </c>
      <c r="L556" s="5" t="n">
        <v>1</v>
      </c>
      <c r="M556" s="5" t="n">
        <v>1</v>
      </c>
      <c r="N556" s="5" t="n">
        <v>0</v>
      </c>
      <c r="O556" s="5" t="n">
        <v>0</v>
      </c>
      <c r="P556" s="5" t="n">
        <v>0</v>
      </c>
      <c r="Q556" s="5" t="n">
        <v>0</v>
      </c>
      <c r="R556" s="5" t="n">
        <v>0</v>
      </c>
      <c r="S556" s="5" t="n">
        <v>1</v>
      </c>
      <c r="T556" s="5" t="n">
        <v>0</v>
      </c>
      <c r="U556" s="5" t="inlineStr">
        <is>
          <t>training</t>
        </is>
      </c>
    </row>
    <row r="557">
      <c r="A557" s="5" t="n">
        <v>553</v>
      </c>
      <c r="B557" s="5" t="n">
        <v>1</v>
      </c>
      <c r="C557" s="6" t="n">
        <v>2.297621231823615</v>
      </c>
      <c r="D557" s="6" t="n">
        <v>1.311504463544655</v>
      </c>
      <c r="E557" s="6" t="n">
        <v>-0.1339384518749317</v>
      </c>
      <c r="F557" s="6" t="n">
        <v>-1.786844513613144</v>
      </c>
      <c r="G557" s="5" t="n">
        <v>1</v>
      </c>
      <c r="H557" s="5" t="n">
        <v>0</v>
      </c>
      <c r="I557" s="5" t="n">
        <v>0</v>
      </c>
      <c r="J557" s="5" t="n">
        <v>0</v>
      </c>
      <c r="K557" s="5" t="n">
        <v>0</v>
      </c>
      <c r="L557" s="5" t="n">
        <v>0</v>
      </c>
      <c r="M557" s="5" t="n">
        <v>0</v>
      </c>
      <c r="N557" s="5" t="n">
        <v>0</v>
      </c>
      <c r="O557" s="5" t="n">
        <v>0</v>
      </c>
      <c r="P557" s="5" t="n">
        <v>0</v>
      </c>
      <c r="Q557" s="5" t="n">
        <v>0</v>
      </c>
      <c r="R557" s="5" t="n">
        <v>0</v>
      </c>
      <c r="S557" s="5" t="n">
        <v>1</v>
      </c>
      <c r="T557" s="5" t="n">
        <v>0</v>
      </c>
      <c r="U557" s="5" t="inlineStr">
        <is>
          <t>training</t>
        </is>
      </c>
    </row>
    <row r="558">
      <c r="A558" s="5" t="n">
        <v>554</v>
      </c>
      <c r="B558" s="5" t="n">
        <v>0</v>
      </c>
      <c r="C558" s="6" t="n">
        <v>-0.7357010147163632</v>
      </c>
      <c r="D558" s="6" t="n">
        <v>-0.4393588163095943</v>
      </c>
      <c r="E558" s="6" t="n">
        <v>-0.7427495967609852</v>
      </c>
      <c r="F558" s="6" t="n">
        <v>0.9185437189662378</v>
      </c>
      <c r="G558" s="5" t="n">
        <v>0</v>
      </c>
      <c r="H558" s="5" t="n">
        <v>1</v>
      </c>
      <c r="I558" s="5" t="n">
        <v>0</v>
      </c>
      <c r="J558" s="5" t="n">
        <v>1</v>
      </c>
      <c r="K558" s="5" t="n">
        <v>0</v>
      </c>
      <c r="L558" s="5" t="n">
        <v>0</v>
      </c>
      <c r="M558" s="5" t="n">
        <v>1</v>
      </c>
      <c r="N558" s="5" t="n">
        <v>0</v>
      </c>
      <c r="O558" s="5" t="n">
        <v>0</v>
      </c>
      <c r="P558" s="5" t="n">
        <v>0</v>
      </c>
      <c r="Q558" s="5" t="n">
        <v>0</v>
      </c>
      <c r="R558" s="5" t="n">
        <v>1</v>
      </c>
      <c r="S558" s="5" t="n">
        <v>0</v>
      </c>
      <c r="T558" s="5" t="n">
        <v>0</v>
      </c>
      <c r="U558" s="5" t="inlineStr">
        <is>
          <t>training</t>
        </is>
      </c>
    </row>
    <row r="559">
      <c r="A559" s="5" t="n">
        <v>555</v>
      </c>
      <c r="B559" s="5" t="n">
        <v>0</v>
      </c>
      <c r="C559" s="6" t="n">
        <v>-0.9884778685946948</v>
      </c>
      <c r="D559" s="6" t="n">
        <v>-0.7178734387644269</v>
      </c>
      <c r="E559" s="6" t="n">
        <v>2.73617123115932</v>
      </c>
      <c r="F559" s="6" t="n">
        <v>0.9185437189662378</v>
      </c>
      <c r="G559" s="5" t="n">
        <v>0</v>
      </c>
      <c r="H559" s="5" t="n">
        <v>1</v>
      </c>
      <c r="I559" s="5" t="n">
        <v>0</v>
      </c>
      <c r="J559" s="5" t="n">
        <v>0</v>
      </c>
      <c r="K559" s="5" t="n">
        <v>0</v>
      </c>
      <c r="L559" s="5" t="n">
        <v>0</v>
      </c>
      <c r="M559" s="5" t="n">
        <v>0</v>
      </c>
      <c r="N559" s="5" t="n">
        <v>0</v>
      </c>
      <c r="O559" s="5" t="n">
        <v>0</v>
      </c>
      <c r="P559" s="5" t="n">
        <v>0</v>
      </c>
      <c r="Q559" s="5" t="n">
        <v>0</v>
      </c>
      <c r="R559" s="5" t="n">
        <v>0</v>
      </c>
      <c r="S559" s="5" t="n">
        <v>0</v>
      </c>
      <c r="T559" s="5" t="n">
        <v>0</v>
      </c>
      <c r="U559" s="5" t="inlineStr">
        <is>
          <t>testing</t>
        </is>
      </c>
    </row>
    <row r="560">
      <c r="A560" s="5" t="n">
        <v>556</v>
      </c>
      <c r="B560" s="5" t="n">
        <v>1</v>
      </c>
      <c r="C560" s="6" t="n">
        <v>-0.7357010147163632</v>
      </c>
      <c r="D560" s="6" t="n">
        <v>-0.6716875968498065</v>
      </c>
      <c r="E560" s="6" t="n">
        <v>-1.177614700251023</v>
      </c>
      <c r="F560" s="6" t="n">
        <v>-0.8850484360866833</v>
      </c>
      <c r="G560" s="5" t="n">
        <v>0</v>
      </c>
      <c r="H560" s="5" t="n">
        <v>1</v>
      </c>
      <c r="I560" s="5" t="n">
        <v>0</v>
      </c>
      <c r="J560" s="5" t="n">
        <v>0</v>
      </c>
      <c r="K560" s="5" t="n">
        <v>0</v>
      </c>
      <c r="L560" s="5" t="n">
        <v>0</v>
      </c>
      <c r="M560" s="5" t="n">
        <v>0</v>
      </c>
      <c r="N560" s="5" t="n">
        <v>0</v>
      </c>
      <c r="O560" s="5" t="n">
        <v>0</v>
      </c>
      <c r="P560" s="5" t="n">
        <v>0</v>
      </c>
      <c r="Q560" s="5" t="n">
        <v>0</v>
      </c>
      <c r="R560" s="5" t="n">
        <v>0</v>
      </c>
      <c r="S560" s="5" t="n">
        <v>1</v>
      </c>
      <c r="T560" s="5" t="n">
        <v>0</v>
      </c>
      <c r="U560" s="5" t="inlineStr">
        <is>
          <t>testing</t>
        </is>
      </c>
    </row>
    <row r="561">
      <c r="A561" s="5" t="n">
        <v>557</v>
      </c>
      <c r="B561" s="5" t="n">
        <v>1</v>
      </c>
      <c r="C561" s="6" t="n">
        <v>-0.2301473069597001</v>
      </c>
      <c r="D561" s="6" t="n">
        <v>-0.3403391703865822</v>
      </c>
      <c r="E561" s="6" t="n">
        <v>-0.6557765760629775</v>
      </c>
      <c r="F561" s="6" t="n">
        <v>0.01674764143977723</v>
      </c>
      <c r="G561" s="5" t="n">
        <v>0</v>
      </c>
      <c r="H561" s="5" t="n">
        <v>1</v>
      </c>
      <c r="I561" s="5" t="n">
        <v>0</v>
      </c>
      <c r="J561" s="5" t="n">
        <v>0</v>
      </c>
      <c r="K561" s="5" t="n">
        <v>0</v>
      </c>
      <c r="L561" s="5" t="n">
        <v>1</v>
      </c>
      <c r="M561" s="5" t="n">
        <v>1</v>
      </c>
      <c r="N561" s="5" t="n">
        <v>0</v>
      </c>
      <c r="O561" s="5" t="n">
        <v>0</v>
      </c>
      <c r="P561" s="5" t="n">
        <v>0</v>
      </c>
      <c r="Q561" s="5" t="n">
        <v>0</v>
      </c>
      <c r="R561" s="5" t="n">
        <v>1</v>
      </c>
      <c r="S561" s="5" t="n">
        <v>0</v>
      </c>
      <c r="T561" s="5" t="n">
        <v>0</v>
      </c>
      <c r="U561" s="5" t="inlineStr">
        <is>
          <t>training</t>
        </is>
      </c>
    </row>
    <row r="562">
      <c r="A562" s="5" t="n">
        <v>558</v>
      </c>
      <c r="B562" s="5" t="n">
        <v>1</v>
      </c>
      <c r="C562" s="6" t="n">
        <v>0.02262954691863145</v>
      </c>
      <c r="D562" s="6" t="n">
        <v>0.6131185509569089</v>
      </c>
      <c r="E562" s="6" t="n">
        <v>-0.5688035553649698</v>
      </c>
      <c r="F562" s="6" t="n">
        <v>-1.786844513613144</v>
      </c>
      <c r="G562" s="5" t="n">
        <v>0</v>
      </c>
      <c r="H562" s="5" t="n">
        <v>0</v>
      </c>
      <c r="I562" s="5" t="n">
        <v>0</v>
      </c>
      <c r="J562" s="5" t="n">
        <v>0</v>
      </c>
      <c r="K562" s="5" t="n">
        <v>0</v>
      </c>
      <c r="L562" s="5" t="n">
        <v>1</v>
      </c>
      <c r="M562" s="5" t="n">
        <v>0</v>
      </c>
      <c r="N562" s="5" t="n">
        <v>0</v>
      </c>
      <c r="O562" s="5" t="n">
        <v>1</v>
      </c>
      <c r="P562" s="5" t="n">
        <v>0</v>
      </c>
      <c r="Q562" s="5" t="n">
        <v>0</v>
      </c>
      <c r="R562" s="5" t="n">
        <v>1</v>
      </c>
      <c r="S562" s="5" t="n">
        <v>0</v>
      </c>
      <c r="T562" s="5" t="n">
        <v>0</v>
      </c>
      <c r="U562" s="5" t="inlineStr">
        <is>
          <t>testing</t>
        </is>
      </c>
    </row>
    <row r="563">
      <c r="A563" s="5" t="n">
        <v>559</v>
      </c>
      <c r="B563" s="5" t="n">
        <v>1</v>
      </c>
      <c r="C563" s="6" t="n">
        <v>0.275406400796963</v>
      </c>
      <c r="D563" s="6" t="n">
        <v>0.105424182637861</v>
      </c>
      <c r="E563" s="6" t="n">
        <v>-0.7427495967609852</v>
      </c>
      <c r="F563" s="6" t="n">
        <v>0.01674764143977723</v>
      </c>
      <c r="G563" s="5" t="n">
        <v>1</v>
      </c>
      <c r="H563" s="5" t="n">
        <v>0</v>
      </c>
      <c r="I563" s="5" t="n">
        <v>0</v>
      </c>
      <c r="J563" s="5" t="n">
        <v>0</v>
      </c>
      <c r="K563" s="5" t="n">
        <v>0</v>
      </c>
      <c r="L563" s="5" t="n">
        <v>1</v>
      </c>
      <c r="M563" s="5" t="n">
        <v>0</v>
      </c>
      <c r="N563" s="5" t="n">
        <v>0</v>
      </c>
      <c r="O563" s="5" t="n">
        <v>0</v>
      </c>
      <c r="P563" s="5" t="n">
        <v>0</v>
      </c>
      <c r="Q563" s="5" t="n">
        <v>0</v>
      </c>
      <c r="R563" s="5" t="n">
        <v>0</v>
      </c>
      <c r="S563" s="5" t="n">
        <v>0</v>
      </c>
      <c r="T563" s="5" t="n">
        <v>1</v>
      </c>
      <c r="U563" s="5" t="inlineStr">
        <is>
          <t>training</t>
        </is>
      </c>
    </row>
    <row r="564">
      <c r="A564" s="5" t="n">
        <v>560</v>
      </c>
      <c r="B564" s="5" t="n">
        <v>1</v>
      </c>
      <c r="C564" s="6" t="n">
        <v>-0.2301473069597001</v>
      </c>
      <c r="D564" s="6" t="n">
        <v>-0.462801630008682</v>
      </c>
      <c r="E564" s="6" t="n">
        <v>-0.3948575139689546</v>
      </c>
      <c r="F564" s="6" t="n">
        <v>-0.8850484360866833</v>
      </c>
      <c r="G564" s="5" t="n">
        <v>0</v>
      </c>
      <c r="H564" s="5" t="n">
        <v>1</v>
      </c>
      <c r="I564" s="5" t="n">
        <v>0</v>
      </c>
      <c r="J564" s="5" t="n">
        <v>1</v>
      </c>
      <c r="K564" s="5" t="n">
        <v>0</v>
      </c>
      <c r="L564" s="5" t="n">
        <v>0</v>
      </c>
      <c r="M564" s="5" t="n">
        <v>0</v>
      </c>
      <c r="N564" s="5" t="n">
        <v>0</v>
      </c>
      <c r="O564" s="5" t="n">
        <v>0</v>
      </c>
      <c r="P564" s="5" t="n">
        <v>0</v>
      </c>
      <c r="Q564" s="5" t="n">
        <v>0</v>
      </c>
      <c r="R564" s="5" t="n">
        <v>0</v>
      </c>
      <c r="S564" s="5" t="n">
        <v>0</v>
      </c>
      <c r="T564" s="5" t="n">
        <v>1</v>
      </c>
      <c r="U564" s="5" t="inlineStr">
        <is>
          <t>training</t>
        </is>
      </c>
    </row>
    <row r="565">
      <c r="A565" s="5" t="n">
        <v>561</v>
      </c>
      <c r="B565" s="5" t="n">
        <v>0</v>
      </c>
      <c r="C565" s="6" t="n">
        <v>0.275406400796963</v>
      </c>
      <c r="D565" s="6" t="n">
        <v>-0.1003127495272666</v>
      </c>
      <c r="E565" s="6" t="n">
        <v>1.170656858595183</v>
      </c>
      <c r="F565" s="6" t="n">
        <v>0.9185437189662378</v>
      </c>
      <c r="G565" s="5" t="n">
        <v>1</v>
      </c>
      <c r="H565" s="5" t="n">
        <v>0</v>
      </c>
      <c r="I565" s="5" t="n">
        <v>0</v>
      </c>
      <c r="J565" s="5" t="n">
        <v>0</v>
      </c>
      <c r="K565" s="5" t="n">
        <v>0</v>
      </c>
      <c r="L565" s="5" t="n">
        <v>0</v>
      </c>
      <c r="M565" s="5" t="n">
        <v>0</v>
      </c>
      <c r="N565" s="5" t="n">
        <v>0</v>
      </c>
      <c r="O565" s="5" t="n">
        <v>1</v>
      </c>
      <c r="P565" s="5" t="n">
        <v>0</v>
      </c>
      <c r="Q565" s="5" t="n">
        <v>1</v>
      </c>
      <c r="R565" s="5" t="n">
        <v>1</v>
      </c>
      <c r="S565" s="5" t="n">
        <v>0</v>
      </c>
      <c r="T565" s="5" t="n">
        <v>0</v>
      </c>
      <c r="U565" s="5" t="inlineStr">
        <is>
          <t>training</t>
        </is>
      </c>
    </row>
    <row r="566">
      <c r="A566" s="5" t="n">
        <v>562</v>
      </c>
      <c r="B566" s="5" t="n">
        <v>1</v>
      </c>
      <c r="C566" s="6" t="n">
        <v>0.275406400796963</v>
      </c>
      <c r="D566" s="6" t="n">
        <v>-0.5964606573676594</v>
      </c>
      <c r="E566" s="6" t="n">
        <v>-1.003668658855008</v>
      </c>
      <c r="F566" s="6" t="n">
        <v>0.9185437189662378</v>
      </c>
      <c r="G566" s="5" t="n">
        <v>1</v>
      </c>
      <c r="H566" s="5" t="n">
        <v>0</v>
      </c>
      <c r="I566" s="5" t="n">
        <v>0</v>
      </c>
      <c r="J566" s="5" t="n">
        <v>0</v>
      </c>
      <c r="K566" s="5" t="n">
        <v>0</v>
      </c>
      <c r="L566" s="5" t="n">
        <v>1</v>
      </c>
      <c r="M566" s="5" t="n">
        <v>0</v>
      </c>
      <c r="N566" s="5" t="n">
        <v>0</v>
      </c>
      <c r="O566" s="5" t="n">
        <v>0</v>
      </c>
      <c r="P566" s="5" t="n">
        <v>1</v>
      </c>
      <c r="Q566" s="5" t="n">
        <v>0</v>
      </c>
      <c r="R566" s="5" t="n">
        <v>0</v>
      </c>
      <c r="S566" s="5" t="n">
        <v>1</v>
      </c>
      <c r="T566" s="5" t="n">
        <v>0</v>
      </c>
      <c r="U566" s="5" t="inlineStr">
        <is>
          <t>testing</t>
        </is>
      </c>
    </row>
    <row r="567">
      <c r="A567" s="5" t="n">
        <v>563</v>
      </c>
      <c r="B567" s="5" t="n">
        <v>0</v>
      </c>
      <c r="C567" s="6" t="n">
        <v>-1.241254722473026</v>
      </c>
      <c r="D567" s="6" t="n">
        <v>-0.8984180935215798</v>
      </c>
      <c r="E567" s="6" t="n">
        <v>-0.5688035553649698</v>
      </c>
      <c r="F567" s="6" t="n">
        <v>-0.8850484360866833</v>
      </c>
      <c r="G567" s="5" t="n">
        <v>0</v>
      </c>
      <c r="H567" s="5" t="n">
        <v>0</v>
      </c>
      <c r="I567" s="5" t="n">
        <v>1</v>
      </c>
      <c r="J567" s="5" t="n">
        <v>0</v>
      </c>
      <c r="K567" s="5" t="n">
        <v>1</v>
      </c>
      <c r="L567" s="5" t="n">
        <v>0</v>
      </c>
      <c r="M567" s="5" t="n">
        <v>0</v>
      </c>
      <c r="N567" s="5" t="n">
        <v>0</v>
      </c>
      <c r="O567" s="5" t="n">
        <v>0</v>
      </c>
      <c r="P567" s="5" t="n">
        <v>0</v>
      </c>
      <c r="Q567" s="5" t="n">
        <v>0</v>
      </c>
      <c r="R567" s="5" t="n">
        <v>0</v>
      </c>
      <c r="S567" s="5" t="n">
        <v>1</v>
      </c>
      <c r="T567" s="5" t="n">
        <v>0</v>
      </c>
      <c r="U567" s="5" t="inlineStr">
        <is>
          <t>testing</t>
        </is>
      </c>
    </row>
    <row r="568">
      <c r="A568" s="5" t="n">
        <v>564</v>
      </c>
      <c r="B568" s="5" t="n">
        <v>1</v>
      </c>
      <c r="C568" s="6" t="n">
        <v>1.286513816310289</v>
      </c>
      <c r="D568" s="6" t="n">
        <v>3.197426341724992</v>
      </c>
      <c r="E568" s="6" t="n">
        <v>0.1269806102190912</v>
      </c>
      <c r="F568" s="6" t="n">
        <v>-1.786844513613144</v>
      </c>
      <c r="G568" s="5" t="n">
        <v>0</v>
      </c>
      <c r="H568" s="5" t="n">
        <v>1</v>
      </c>
      <c r="I568" s="5" t="n">
        <v>0</v>
      </c>
      <c r="J568" s="5" t="n">
        <v>0</v>
      </c>
      <c r="K568" s="5" t="n">
        <v>0</v>
      </c>
      <c r="L568" s="5" t="n">
        <v>0</v>
      </c>
      <c r="M568" s="5" t="n">
        <v>0</v>
      </c>
      <c r="N568" s="5" t="n">
        <v>0</v>
      </c>
      <c r="O568" s="5" t="n">
        <v>1</v>
      </c>
      <c r="P568" s="5" t="n">
        <v>0</v>
      </c>
      <c r="Q568" s="5" t="n">
        <v>1</v>
      </c>
      <c r="R568" s="5" t="n">
        <v>1</v>
      </c>
      <c r="S568" s="5" t="n">
        <v>0</v>
      </c>
      <c r="T568" s="5" t="n">
        <v>0</v>
      </c>
      <c r="U568" s="5" t="inlineStr">
        <is>
          <t>testing</t>
        </is>
      </c>
    </row>
    <row r="569">
      <c r="A569" s="5" t="n">
        <v>565</v>
      </c>
      <c r="B569" s="5" t="n">
        <v>0</v>
      </c>
      <c r="C569" s="6" t="n">
        <v>0.275406400796963</v>
      </c>
      <c r="D569" s="6" t="n">
        <v>0.5112997630996774</v>
      </c>
      <c r="E569" s="6" t="n">
        <v>0.1269806102190912</v>
      </c>
      <c r="F569" s="6" t="n">
        <v>0.9185437189662378</v>
      </c>
      <c r="G569" s="5" t="n">
        <v>0</v>
      </c>
      <c r="H569" s="5" t="n">
        <v>1</v>
      </c>
      <c r="I569" s="5" t="n">
        <v>0</v>
      </c>
      <c r="J569" s="5" t="n">
        <v>0</v>
      </c>
      <c r="K569" s="5" t="n">
        <v>1</v>
      </c>
      <c r="L569" s="5" t="n">
        <v>0</v>
      </c>
      <c r="M569" s="5" t="n">
        <v>0</v>
      </c>
      <c r="N569" s="5" t="n">
        <v>0</v>
      </c>
      <c r="O569" s="5" t="n">
        <v>1</v>
      </c>
      <c r="P569" s="5" t="n">
        <v>0</v>
      </c>
      <c r="Q569" s="5" t="n">
        <v>0</v>
      </c>
      <c r="R569" s="5" t="n">
        <v>0</v>
      </c>
      <c r="S569" s="5" t="n">
        <v>0</v>
      </c>
      <c r="T569" s="5" t="n">
        <v>0</v>
      </c>
      <c r="U569" s="5" t="inlineStr">
        <is>
          <t>training</t>
        </is>
      </c>
    </row>
    <row r="570">
      <c r="A570" s="5" t="n">
        <v>566</v>
      </c>
      <c r="B570" s="5" t="n">
        <v>0</v>
      </c>
      <c r="C570" s="6" t="n">
        <v>0.275406400796963</v>
      </c>
      <c r="D570" s="6" t="n">
        <v>-0.5940114081752175</v>
      </c>
      <c r="E570" s="6" t="n">
        <v>-1.090641679553016</v>
      </c>
      <c r="F570" s="6" t="n">
        <v>0.01674764143977723</v>
      </c>
      <c r="G570" s="5" t="n">
        <v>0</v>
      </c>
      <c r="H570" s="5" t="n">
        <v>1</v>
      </c>
      <c r="I570" s="5" t="n">
        <v>0</v>
      </c>
      <c r="J570" s="5" t="n">
        <v>0</v>
      </c>
      <c r="K570" s="5" t="n">
        <v>1</v>
      </c>
      <c r="L570" s="5" t="n">
        <v>0</v>
      </c>
      <c r="M570" s="5" t="n">
        <v>1</v>
      </c>
      <c r="N570" s="5" t="n">
        <v>0</v>
      </c>
      <c r="O570" s="5" t="n">
        <v>0</v>
      </c>
      <c r="P570" s="5" t="n">
        <v>1</v>
      </c>
      <c r="Q570" s="5" t="n">
        <v>0</v>
      </c>
      <c r="R570" s="5" t="n">
        <v>0</v>
      </c>
      <c r="S570" s="5" t="n">
        <v>1</v>
      </c>
      <c r="T570" s="5" t="n">
        <v>0</v>
      </c>
      <c r="U570" s="5" t="inlineStr">
        <is>
          <t>training</t>
        </is>
      </c>
    </row>
    <row r="571">
      <c r="A571" s="5" t="n">
        <v>567</v>
      </c>
      <c r="B571" s="5" t="n">
        <v>1</v>
      </c>
      <c r="C571" s="6" t="n">
        <v>-0.7357010147163632</v>
      </c>
      <c r="D571" s="6" t="n">
        <v>-0.6573419944369319</v>
      </c>
      <c r="E571" s="6" t="n">
        <v>0.04000758952108359</v>
      </c>
      <c r="F571" s="6" t="n">
        <v>-0.8850484360866833</v>
      </c>
      <c r="G571" s="5" t="n">
        <v>1</v>
      </c>
      <c r="H571" s="5" t="n">
        <v>0</v>
      </c>
      <c r="I571" s="5" t="n">
        <v>0</v>
      </c>
      <c r="J571" s="5" t="n">
        <v>0</v>
      </c>
      <c r="K571" s="5" t="n">
        <v>0</v>
      </c>
      <c r="L571" s="5" t="n">
        <v>0</v>
      </c>
      <c r="M571" s="5" t="n">
        <v>0</v>
      </c>
      <c r="N571" s="5" t="n">
        <v>0</v>
      </c>
      <c r="O571" s="5" t="n">
        <v>0</v>
      </c>
      <c r="P571" s="5" t="n">
        <v>0</v>
      </c>
      <c r="Q571" s="5" t="n">
        <v>0</v>
      </c>
      <c r="R571" s="5" t="n">
        <v>1</v>
      </c>
      <c r="S571" s="5" t="n">
        <v>0</v>
      </c>
      <c r="T571" s="5" t="n">
        <v>0</v>
      </c>
      <c r="U571" s="5" t="inlineStr">
        <is>
          <t>testing</t>
        </is>
      </c>
    </row>
    <row r="572">
      <c r="A572" s="5" t="n">
        <v>568</v>
      </c>
      <c r="B572" s="5" t="n">
        <v>0</v>
      </c>
      <c r="C572" s="6" t="n">
        <v>0.275406400796963</v>
      </c>
      <c r="D572" s="6" t="n">
        <v>-0.2353713478533538</v>
      </c>
      <c r="E572" s="6" t="n">
        <v>-0.1339384518749317</v>
      </c>
      <c r="F572" s="6" t="n">
        <v>-0.8850484360866833</v>
      </c>
      <c r="G572" s="5" t="n">
        <v>0</v>
      </c>
      <c r="H572" s="5" t="n">
        <v>0</v>
      </c>
      <c r="I572" s="5" t="n">
        <v>0</v>
      </c>
      <c r="J572" s="5" t="n">
        <v>1</v>
      </c>
      <c r="K572" s="5" t="n">
        <v>0</v>
      </c>
      <c r="L572" s="5" t="n">
        <v>0</v>
      </c>
      <c r="M572" s="5" t="n">
        <v>0</v>
      </c>
      <c r="N572" s="5" t="n">
        <v>1</v>
      </c>
      <c r="O572" s="5" t="n">
        <v>0</v>
      </c>
      <c r="P572" s="5" t="n">
        <v>0</v>
      </c>
      <c r="Q572" s="5" t="n">
        <v>0</v>
      </c>
      <c r="R572" s="5" t="n">
        <v>0</v>
      </c>
      <c r="S572" s="5" t="n">
        <v>1</v>
      </c>
      <c r="T572" s="5" t="n">
        <v>0</v>
      </c>
      <c r="U572" s="5" t="inlineStr">
        <is>
          <t>testing</t>
        </is>
      </c>
    </row>
    <row r="573">
      <c r="A573" s="5" t="n">
        <v>569</v>
      </c>
      <c r="B573" s="5" t="n">
        <v>0</v>
      </c>
      <c r="C573" s="6" t="n">
        <v>2.297621231823615</v>
      </c>
      <c r="D573" s="6" t="n">
        <v>0.2548283833768227</v>
      </c>
      <c r="E573" s="6" t="n">
        <v>0.4748726930111218</v>
      </c>
      <c r="F573" s="6" t="n">
        <v>0.9185437189662378</v>
      </c>
      <c r="G573" s="5" t="n">
        <v>0</v>
      </c>
      <c r="H573" s="5" t="n">
        <v>1</v>
      </c>
      <c r="I573" s="5" t="n">
        <v>0</v>
      </c>
      <c r="J573" s="5" t="n">
        <v>0</v>
      </c>
      <c r="K573" s="5" t="n">
        <v>0</v>
      </c>
      <c r="L573" s="5" t="n">
        <v>0</v>
      </c>
      <c r="M573" s="5" t="n">
        <v>0</v>
      </c>
      <c r="N573" s="5" t="n">
        <v>0</v>
      </c>
      <c r="O573" s="5" t="n">
        <v>1</v>
      </c>
      <c r="P573" s="5" t="n">
        <v>0</v>
      </c>
      <c r="Q573" s="5" t="n">
        <v>0</v>
      </c>
      <c r="R573" s="5" t="n">
        <v>0</v>
      </c>
      <c r="S573" s="5" t="n">
        <v>1</v>
      </c>
      <c r="T573" s="5" t="n">
        <v>0</v>
      </c>
      <c r="U573" s="5" t="inlineStr">
        <is>
          <t>training</t>
        </is>
      </c>
    </row>
    <row r="574">
      <c r="A574" s="5" t="n">
        <v>570</v>
      </c>
      <c r="B574" s="5" t="n">
        <v>1</v>
      </c>
      <c r="C574" s="6" t="n">
        <v>2.297621231823615</v>
      </c>
      <c r="D574" s="6" t="n">
        <v>1.227180312776295</v>
      </c>
      <c r="E574" s="6" t="n">
        <v>-0.3948575139689546</v>
      </c>
      <c r="F574" s="6" t="n">
        <v>0.01674764143977723</v>
      </c>
      <c r="G574" s="5" t="n">
        <v>1</v>
      </c>
      <c r="H574" s="5" t="n">
        <v>0</v>
      </c>
      <c r="I574" s="5" t="n">
        <v>0</v>
      </c>
      <c r="J574" s="5" t="n">
        <v>0</v>
      </c>
      <c r="K574" s="5" t="n">
        <v>0</v>
      </c>
      <c r="L574" s="5" t="n">
        <v>0</v>
      </c>
      <c r="M574" s="5" t="n">
        <v>0</v>
      </c>
      <c r="N574" s="5" t="n">
        <v>0</v>
      </c>
      <c r="O574" s="5" t="n">
        <v>0</v>
      </c>
      <c r="P574" s="5" t="n">
        <v>0</v>
      </c>
      <c r="Q574" s="5" t="n">
        <v>0</v>
      </c>
      <c r="R574" s="5" t="n">
        <v>0</v>
      </c>
      <c r="S574" s="5" t="n">
        <v>1</v>
      </c>
      <c r="T574" s="5" t="n">
        <v>0</v>
      </c>
      <c r="U574" s="5" t="inlineStr">
        <is>
          <t>training</t>
        </is>
      </c>
    </row>
    <row r="575">
      <c r="A575" s="5" t="n">
        <v>571</v>
      </c>
      <c r="B575" s="5" t="n">
        <v>1</v>
      </c>
      <c r="C575" s="6" t="n">
        <v>0.275406400796963</v>
      </c>
      <c r="D575" s="6" t="n">
        <v>-0.00584170924736107</v>
      </c>
      <c r="E575" s="6" t="n">
        <v>-1.090641679553016</v>
      </c>
      <c r="F575" s="6" t="n">
        <v>0.9185437189662378</v>
      </c>
      <c r="G575" s="5" t="n">
        <v>1</v>
      </c>
      <c r="H575" s="5" t="n">
        <v>0</v>
      </c>
      <c r="I575" s="5" t="n">
        <v>0</v>
      </c>
      <c r="J575" s="5" t="n">
        <v>0</v>
      </c>
      <c r="K575" s="5" t="n">
        <v>0</v>
      </c>
      <c r="L575" s="5" t="n">
        <v>0</v>
      </c>
      <c r="M575" s="5" t="n">
        <v>0</v>
      </c>
      <c r="N575" s="5" t="n">
        <v>0</v>
      </c>
      <c r="O575" s="5" t="n">
        <v>0</v>
      </c>
      <c r="P575" s="5" t="n">
        <v>1</v>
      </c>
      <c r="Q575" s="5" t="n">
        <v>0</v>
      </c>
      <c r="R575" s="5" t="n">
        <v>0</v>
      </c>
      <c r="S575" s="5" t="n">
        <v>0</v>
      </c>
      <c r="T575" s="5" t="n">
        <v>1</v>
      </c>
      <c r="U575" s="5" t="inlineStr">
        <is>
          <t>testing</t>
        </is>
      </c>
    </row>
    <row r="576">
      <c r="A576" s="5" t="n">
        <v>572</v>
      </c>
      <c r="B576" s="5" t="n">
        <v>0</v>
      </c>
      <c r="C576" s="6" t="n">
        <v>0.7809601085536261</v>
      </c>
      <c r="D576" s="6" t="n">
        <v>0.9458665483872429</v>
      </c>
      <c r="E576" s="6" t="n">
        <v>0.2139536309170988</v>
      </c>
      <c r="F576" s="6" t="n">
        <v>0.01674764143977723</v>
      </c>
      <c r="G576" s="5" t="n">
        <v>0</v>
      </c>
      <c r="H576" s="5" t="n">
        <v>0</v>
      </c>
      <c r="I576" s="5" t="n">
        <v>0</v>
      </c>
      <c r="J576" s="5" t="n">
        <v>1</v>
      </c>
      <c r="K576" s="5" t="n">
        <v>0</v>
      </c>
      <c r="L576" s="5" t="n">
        <v>0</v>
      </c>
      <c r="M576" s="5" t="n">
        <v>0</v>
      </c>
      <c r="N576" s="5" t="n">
        <v>0</v>
      </c>
      <c r="O576" s="5" t="n">
        <v>0</v>
      </c>
      <c r="P576" s="5" t="n">
        <v>0</v>
      </c>
      <c r="Q576" s="5" t="n">
        <v>0</v>
      </c>
      <c r="R576" s="5" t="n">
        <v>0</v>
      </c>
      <c r="S576" s="5" t="n">
        <v>1</v>
      </c>
      <c r="T576" s="5" t="n">
        <v>0</v>
      </c>
      <c r="U576" s="5" t="inlineStr">
        <is>
          <t>training</t>
        </is>
      </c>
    </row>
    <row r="577">
      <c r="A577" s="5" t="n">
        <v>573</v>
      </c>
      <c r="B577" s="5" t="n">
        <v>0</v>
      </c>
      <c r="C577" s="6" t="n">
        <v>0.275406400796963</v>
      </c>
      <c r="D577" s="6" t="n">
        <v>0.763572429921203</v>
      </c>
      <c r="E577" s="6" t="n">
        <v>-0.8297226174589928</v>
      </c>
      <c r="F577" s="6" t="n">
        <v>-0.8850484360866833</v>
      </c>
      <c r="G577" s="5" t="n">
        <v>0</v>
      </c>
      <c r="H577" s="5" t="n">
        <v>0</v>
      </c>
      <c r="I577" s="5" t="n">
        <v>0</v>
      </c>
      <c r="J577" s="5" t="n">
        <v>0</v>
      </c>
      <c r="K577" s="5" t="n">
        <v>0</v>
      </c>
      <c r="L577" s="5" t="n">
        <v>0</v>
      </c>
      <c r="M577" s="5" t="n">
        <v>0</v>
      </c>
      <c r="N577" s="5" t="n">
        <v>0</v>
      </c>
      <c r="O577" s="5" t="n">
        <v>1</v>
      </c>
      <c r="P577" s="5" t="n">
        <v>1</v>
      </c>
      <c r="Q577" s="5" t="n">
        <v>0</v>
      </c>
      <c r="R577" s="5" t="n">
        <v>1</v>
      </c>
      <c r="S577" s="5" t="n">
        <v>0</v>
      </c>
      <c r="T577" s="5" t="n">
        <v>0</v>
      </c>
      <c r="U577" s="5" t="inlineStr">
        <is>
          <t>testing</t>
        </is>
      </c>
    </row>
    <row r="578">
      <c r="A578" s="5" t="n">
        <v>574</v>
      </c>
      <c r="B578" s="5" t="n">
        <v>0</v>
      </c>
      <c r="C578" s="6" t="n">
        <v>-0.4829241608380317</v>
      </c>
      <c r="D578" s="6" t="n">
        <v>-0.8553812862829562</v>
      </c>
      <c r="E578" s="6" t="n">
        <v>-1.177614700251023</v>
      </c>
      <c r="F578" s="6" t="n">
        <v>0.9185437189662378</v>
      </c>
      <c r="G578" s="5" t="n">
        <v>1</v>
      </c>
      <c r="H578" s="5" t="n">
        <v>0</v>
      </c>
      <c r="I578" s="5" t="n">
        <v>0</v>
      </c>
      <c r="J578" s="5" t="n">
        <v>0</v>
      </c>
      <c r="K578" s="5" t="n">
        <v>0</v>
      </c>
      <c r="L578" s="5" t="n">
        <v>0</v>
      </c>
      <c r="M578" s="5" t="n">
        <v>0</v>
      </c>
      <c r="N578" s="5" t="n">
        <v>0</v>
      </c>
      <c r="O578" s="5" t="n">
        <v>0</v>
      </c>
      <c r="P578" s="5" t="n">
        <v>0</v>
      </c>
      <c r="Q578" s="5" t="n">
        <v>0</v>
      </c>
      <c r="R578" s="5" t="n">
        <v>0</v>
      </c>
      <c r="S578" s="5" t="n">
        <v>0</v>
      </c>
      <c r="T578" s="5" t="n">
        <v>0</v>
      </c>
      <c r="U578" s="5" t="inlineStr">
        <is>
          <t>training</t>
        </is>
      </c>
    </row>
    <row r="579">
      <c r="A579" s="5" t="n">
        <v>575</v>
      </c>
      <c r="B579" s="5" t="n">
        <v>0</v>
      </c>
      <c r="C579" s="6" t="n">
        <v>-0.9884778685946948</v>
      </c>
      <c r="D579" s="6" t="n">
        <v>-0.758810889552386</v>
      </c>
      <c r="E579" s="6" t="n">
        <v>-0.7427495967609852</v>
      </c>
      <c r="F579" s="6" t="n">
        <v>0.9185437189662378</v>
      </c>
      <c r="G579" s="5" t="n">
        <v>0</v>
      </c>
      <c r="H579" s="5" t="n">
        <v>1</v>
      </c>
      <c r="I579" s="5" t="n">
        <v>0</v>
      </c>
      <c r="J579" s="5" t="n">
        <v>0</v>
      </c>
      <c r="K579" s="5" t="n">
        <v>0</v>
      </c>
      <c r="L579" s="5" t="n">
        <v>0</v>
      </c>
      <c r="M579" s="5" t="n">
        <v>0</v>
      </c>
      <c r="N579" s="5" t="n">
        <v>0</v>
      </c>
      <c r="O579" s="5" t="n">
        <v>0</v>
      </c>
      <c r="P579" s="5" t="n">
        <v>0</v>
      </c>
      <c r="Q579" s="5" t="n">
        <v>0</v>
      </c>
      <c r="R579" s="5" t="n">
        <v>0</v>
      </c>
      <c r="S579" s="5" t="n">
        <v>1</v>
      </c>
      <c r="T579" s="5" t="n">
        <v>0</v>
      </c>
      <c r="U579" s="5" t="inlineStr">
        <is>
          <t>training</t>
        </is>
      </c>
    </row>
    <row r="580">
      <c r="A580" s="5" t="n">
        <v>576</v>
      </c>
      <c r="B580" s="5" t="n">
        <v>0</v>
      </c>
      <c r="C580" s="6" t="n">
        <v>-0.4829241608380317</v>
      </c>
      <c r="D580" s="6" t="n">
        <v>-0.1618938720800939</v>
      </c>
      <c r="E580" s="6" t="n">
        <v>-1.003668658855008</v>
      </c>
      <c r="F580" s="6" t="n">
        <v>-0.8850484360866833</v>
      </c>
      <c r="G580" s="5" t="n">
        <v>0</v>
      </c>
      <c r="H580" s="5" t="n">
        <v>0</v>
      </c>
      <c r="I580" s="5" t="n">
        <v>0</v>
      </c>
      <c r="J580" s="5" t="n">
        <v>1</v>
      </c>
      <c r="K580" s="5" t="n">
        <v>0</v>
      </c>
      <c r="L580" s="5" t="n">
        <v>0</v>
      </c>
      <c r="M580" s="5" t="n">
        <v>0</v>
      </c>
      <c r="N580" s="5" t="n">
        <v>0</v>
      </c>
      <c r="O580" s="5" t="n">
        <v>0</v>
      </c>
      <c r="P580" s="5" t="n">
        <v>0</v>
      </c>
      <c r="Q580" s="5" t="n">
        <v>0</v>
      </c>
      <c r="R580" s="5" t="n">
        <v>0</v>
      </c>
      <c r="S580" s="5" t="n">
        <v>0</v>
      </c>
      <c r="T580" s="5" t="n">
        <v>1</v>
      </c>
      <c r="U580" s="5" t="inlineStr">
        <is>
          <t>training</t>
        </is>
      </c>
    </row>
    <row r="581">
      <c r="A581" s="5" t="n">
        <v>577</v>
      </c>
      <c r="B581" s="5" t="n">
        <v>0</v>
      </c>
      <c r="C581" s="6" t="n">
        <v>-0.7357010147163632</v>
      </c>
      <c r="D581" s="6" t="n">
        <v>-0.1122091027476992</v>
      </c>
      <c r="E581" s="6" t="n">
        <v>-0.7427495967609852</v>
      </c>
      <c r="F581" s="6" t="n">
        <v>-0.8850484360866833</v>
      </c>
      <c r="G581" s="5" t="n">
        <v>0</v>
      </c>
      <c r="H581" s="5" t="n">
        <v>1</v>
      </c>
      <c r="I581" s="5" t="n">
        <v>0</v>
      </c>
      <c r="J581" s="5" t="n">
        <v>0</v>
      </c>
      <c r="K581" s="5" t="n">
        <v>0</v>
      </c>
      <c r="L581" s="5" t="n">
        <v>0</v>
      </c>
      <c r="M581" s="5" t="n">
        <v>0</v>
      </c>
      <c r="N581" s="5" t="n">
        <v>0</v>
      </c>
      <c r="O581" s="5" t="n">
        <v>0</v>
      </c>
      <c r="P581" s="5" t="n">
        <v>0</v>
      </c>
      <c r="Q581" s="5" t="n">
        <v>0</v>
      </c>
      <c r="R581" s="5" t="n">
        <v>0</v>
      </c>
      <c r="S581" s="5" t="n">
        <v>1</v>
      </c>
      <c r="T581" s="5" t="n">
        <v>0</v>
      </c>
      <c r="U581" s="5" t="inlineStr">
        <is>
          <t>training</t>
        </is>
      </c>
    </row>
    <row r="582">
      <c r="A582" s="5" t="n">
        <v>578</v>
      </c>
      <c r="B582" s="5" t="n">
        <v>0</v>
      </c>
      <c r="C582" s="6" t="n">
        <v>0.275406400796963</v>
      </c>
      <c r="D582" s="6" t="n">
        <v>-0.4631515227504594</v>
      </c>
      <c r="E582" s="6" t="n">
        <v>-0.2209114725729393</v>
      </c>
      <c r="F582" s="6" t="n">
        <v>0.01674764143977723</v>
      </c>
      <c r="G582" s="5" t="n">
        <v>0</v>
      </c>
      <c r="H582" s="5" t="n">
        <v>0</v>
      </c>
      <c r="I582" s="5" t="n">
        <v>0</v>
      </c>
      <c r="J582" s="5" t="n">
        <v>1</v>
      </c>
      <c r="K582" s="5" t="n">
        <v>0</v>
      </c>
      <c r="L582" s="5" t="n">
        <v>0</v>
      </c>
      <c r="M582" s="5" t="n">
        <v>0</v>
      </c>
      <c r="N582" s="5" t="n">
        <v>0</v>
      </c>
      <c r="O582" s="5" t="n">
        <v>1</v>
      </c>
      <c r="P582" s="5" t="n">
        <v>0</v>
      </c>
      <c r="Q582" s="5" t="n">
        <v>0</v>
      </c>
      <c r="R582" s="5" t="n">
        <v>0</v>
      </c>
      <c r="S582" s="5" t="n">
        <v>0</v>
      </c>
      <c r="T582" s="5" t="n">
        <v>0</v>
      </c>
      <c r="U582" s="5" t="inlineStr">
        <is>
          <t>training</t>
        </is>
      </c>
    </row>
    <row r="583">
      <c r="A583" s="5" t="n">
        <v>579</v>
      </c>
      <c r="B583" s="5" t="n">
        <v>1</v>
      </c>
      <c r="C583" s="6" t="n">
        <v>1.286513816310289</v>
      </c>
      <c r="D583" s="6" t="n">
        <v>-0.1506973043432162</v>
      </c>
      <c r="E583" s="6" t="n">
        <v>-0.7427495967609852</v>
      </c>
      <c r="F583" s="6" t="n">
        <v>0.9185437189662378</v>
      </c>
      <c r="G583" s="5" t="n">
        <v>0</v>
      </c>
      <c r="H583" s="5" t="n">
        <v>1</v>
      </c>
      <c r="I583" s="5" t="n">
        <v>0</v>
      </c>
      <c r="J583" s="5" t="n">
        <v>1</v>
      </c>
      <c r="K583" s="5" t="n">
        <v>0</v>
      </c>
      <c r="L583" s="5" t="n">
        <v>0</v>
      </c>
      <c r="M583" s="5" t="n">
        <v>0</v>
      </c>
      <c r="N583" s="5" t="n">
        <v>0</v>
      </c>
      <c r="O583" s="5" t="n">
        <v>0</v>
      </c>
      <c r="P583" s="5" t="n">
        <v>0</v>
      </c>
      <c r="Q583" s="5" t="n">
        <v>0</v>
      </c>
      <c r="R583" s="5" t="n">
        <v>1</v>
      </c>
      <c r="S583" s="5" t="n">
        <v>0</v>
      </c>
      <c r="T583" s="5" t="n">
        <v>0</v>
      </c>
      <c r="U583" s="5" t="inlineStr">
        <is>
          <t>training</t>
        </is>
      </c>
    </row>
    <row r="584">
      <c r="A584" s="5" t="n">
        <v>580</v>
      </c>
      <c r="B584" s="5" t="n">
        <v>0</v>
      </c>
      <c r="C584" s="6" t="n">
        <v>0.275406400796963</v>
      </c>
      <c r="D584" s="6" t="n">
        <v>-0.8095453371101131</v>
      </c>
      <c r="E584" s="6" t="n">
        <v>-0.7427495967609852</v>
      </c>
      <c r="F584" s="6" t="n">
        <v>0.9185437189662378</v>
      </c>
      <c r="G584" s="5" t="n">
        <v>0</v>
      </c>
      <c r="H584" s="5" t="n">
        <v>0</v>
      </c>
      <c r="I584" s="5" t="n">
        <v>0</v>
      </c>
      <c r="J584" s="5" t="n">
        <v>0</v>
      </c>
      <c r="K584" s="5" t="n">
        <v>0</v>
      </c>
      <c r="L584" s="5" t="n">
        <v>0</v>
      </c>
      <c r="M584" s="5" t="n">
        <v>0</v>
      </c>
      <c r="N584" s="5" t="n">
        <v>0</v>
      </c>
      <c r="O584" s="5" t="n">
        <v>0</v>
      </c>
      <c r="P584" s="5" t="n">
        <v>0</v>
      </c>
      <c r="Q584" s="5" t="n">
        <v>0</v>
      </c>
      <c r="R584" s="5" t="n">
        <v>0</v>
      </c>
      <c r="S584" s="5" t="n">
        <v>0</v>
      </c>
      <c r="T584" s="5" t="n">
        <v>0</v>
      </c>
      <c r="U584" s="5" t="inlineStr">
        <is>
          <t>training</t>
        </is>
      </c>
    </row>
    <row r="585">
      <c r="A585" s="5" t="n">
        <v>581</v>
      </c>
      <c r="B585" s="5" t="n">
        <v>1</v>
      </c>
      <c r="C585" s="6" t="n">
        <v>-0.2301473069597001</v>
      </c>
      <c r="D585" s="6" t="n">
        <v>-0.7679081008385992</v>
      </c>
      <c r="E585" s="6" t="n">
        <v>-0.4818305346669622</v>
      </c>
      <c r="F585" s="6" t="n">
        <v>0.01674764143977723</v>
      </c>
      <c r="G585" s="5" t="n">
        <v>0</v>
      </c>
      <c r="H585" s="5" t="n">
        <v>1</v>
      </c>
      <c r="I585" s="5" t="n">
        <v>0</v>
      </c>
      <c r="J585" s="5" t="n">
        <v>1</v>
      </c>
      <c r="K585" s="5" t="n">
        <v>0</v>
      </c>
      <c r="L585" s="5" t="n">
        <v>0</v>
      </c>
      <c r="M585" s="5" t="n">
        <v>0</v>
      </c>
      <c r="N585" s="5" t="n">
        <v>0</v>
      </c>
      <c r="O585" s="5" t="n">
        <v>0</v>
      </c>
      <c r="P585" s="5" t="n">
        <v>0</v>
      </c>
      <c r="Q585" s="5" t="n">
        <v>0</v>
      </c>
      <c r="R585" s="5" t="n">
        <v>1</v>
      </c>
      <c r="S585" s="5" t="n">
        <v>0</v>
      </c>
      <c r="T585" s="5" t="n">
        <v>0</v>
      </c>
      <c r="U585" s="5" t="inlineStr">
        <is>
          <t>training</t>
        </is>
      </c>
    </row>
    <row r="586">
      <c r="A586" s="5" t="n">
        <v>582</v>
      </c>
      <c r="B586" s="5" t="n">
        <v>0</v>
      </c>
      <c r="C586" s="6" t="n">
        <v>-0.7357010147163632</v>
      </c>
      <c r="D586" s="6" t="n">
        <v>-0.04432991084287814</v>
      </c>
      <c r="E586" s="6" t="n">
        <v>1.170656858595183</v>
      </c>
      <c r="F586" s="6" t="n">
        <v>-1.786844513613144</v>
      </c>
      <c r="G586" s="5" t="n">
        <v>0</v>
      </c>
      <c r="H586" s="5" t="n">
        <v>1</v>
      </c>
      <c r="I586" s="5" t="n">
        <v>0</v>
      </c>
      <c r="J586" s="5" t="n">
        <v>1</v>
      </c>
      <c r="K586" s="5" t="n">
        <v>0</v>
      </c>
      <c r="L586" s="5" t="n">
        <v>0</v>
      </c>
      <c r="M586" s="5" t="n">
        <v>0</v>
      </c>
      <c r="N586" s="5" t="n">
        <v>0</v>
      </c>
      <c r="O586" s="5" t="n">
        <v>0</v>
      </c>
      <c r="P586" s="5" t="n">
        <v>0</v>
      </c>
      <c r="Q586" s="5" t="n">
        <v>0</v>
      </c>
      <c r="R586" s="5" t="n">
        <v>1</v>
      </c>
      <c r="S586" s="5" t="n">
        <v>0</v>
      </c>
      <c r="T586" s="5" t="n">
        <v>0</v>
      </c>
      <c r="U586" s="5" t="inlineStr">
        <is>
          <t>testing</t>
        </is>
      </c>
    </row>
    <row r="587">
      <c r="A587" s="5" t="n">
        <v>583</v>
      </c>
      <c r="B587" s="5" t="n">
        <v>0</v>
      </c>
      <c r="C587" s="6" t="n">
        <v>-0.9884778685946948</v>
      </c>
      <c r="D587" s="6" t="n">
        <v>-0.651743710568493</v>
      </c>
      <c r="E587" s="6" t="n">
        <v>-0.8297226174589928</v>
      </c>
      <c r="F587" s="6" t="n">
        <v>0.9185437189662378</v>
      </c>
      <c r="G587" s="5" t="n">
        <v>0</v>
      </c>
      <c r="H587" s="5" t="n">
        <v>0</v>
      </c>
      <c r="I587" s="5" t="n">
        <v>0</v>
      </c>
      <c r="J587" s="5" t="n">
        <v>0</v>
      </c>
      <c r="K587" s="5" t="n">
        <v>0</v>
      </c>
      <c r="L587" s="5" t="n">
        <v>0</v>
      </c>
      <c r="M587" s="5" t="n">
        <v>0</v>
      </c>
      <c r="N587" s="5" t="n">
        <v>0</v>
      </c>
      <c r="O587" s="5" t="n">
        <v>0</v>
      </c>
      <c r="P587" s="5" t="n">
        <v>1</v>
      </c>
      <c r="Q587" s="5" t="n">
        <v>0</v>
      </c>
      <c r="R587" s="5" t="n">
        <v>0</v>
      </c>
      <c r="S587" s="5" t="n">
        <v>0</v>
      </c>
      <c r="T587" s="5" t="n">
        <v>1</v>
      </c>
      <c r="U587" s="5" t="inlineStr">
        <is>
          <t>training</t>
        </is>
      </c>
    </row>
    <row r="588">
      <c r="A588" s="5" t="n">
        <v>584</v>
      </c>
      <c r="B588" s="5" t="n">
        <v>1</v>
      </c>
      <c r="C588" s="6" t="n">
        <v>1.286513816310289</v>
      </c>
      <c r="D588" s="6" t="n">
        <v>-0.3032505397581748</v>
      </c>
      <c r="E588" s="6" t="n">
        <v>-0.2209114725729393</v>
      </c>
      <c r="F588" s="6" t="n">
        <v>0.9185437189662378</v>
      </c>
      <c r="G588" s="5" t="n">
        <v>0</v>
      </c>
      <c r="H588" s="5" t="n">
        <v>1</v>
      </c>
      <c r="I588" s="5" t="n">
        <v>0</v>
      </c>
      <c r="J588" s="5" t="n">
        <v>0</v>
      </c>
      <c r="K588" s="5" t="n">
        <v>0</v>
      </c>
      <c r="L588" s="5" t="n">
        <v>0</v>
      </c>
      <c r="M588" s="5" t="n">
        <v>0</v>
      </c>
      <c r="N588" s="5" t="n">
        <v>0</v>
      </c>
      <c r="O588" s="5" t="n">
        <v>0</v>
      </c>
      <c r="P588" s="5" t="n">
        <v>1</v>
      </c>
      <c r="Q588" s="5" t="n">
        <v>0</v>
      </c>
      <c r="R588" s="5" t="n">
        <v>0</v>
      </c>
      <c r="S588" s="5" t="n">
        <v>0</v>
      </c>
      <c r="T588" s="5" t="n">
        <v>0</v>
      </c>
      <c r="U588" s="5" t="inlineStr">
        <is>
          <t>testing</t>
        </is>
      </c>
    </row>
    <row r="589">
      <c r="A589" s="5" t="n">
        <v>585</v>
      </c>
      <c r="B589" s="5" t="n">
        <v>0</v>
      </c>
      <c r="C589" s="6" t="n">
        <v>-0.7357010147163632</v>
      </c>
      <c r="D589" s="6" t="n">
        <v>-0.3910736179443092</v>
      </c>
      <c r="E589" s="6" t="n">
        <v>1.431575920689206</v>
      </c>
      <c r="F589" s="6" t="n">
        <v>0.9185437189662378</v>
      </c>
      <c r="G589" s="5" t="n">
        <v>0</v>
      </c>
      <c r="H589" s="5" t="n">
        <v>0</v>
      </c>
      <c r="I589" s="5" t="n">
        <v>0</v>
      </c>
      <c r="J589" s="5" t="n">
        <v>0</v>
      </c>
      <c r="K589" s="5" t="n">
        <v>0</v>
      </c>
      <c r="L589" s="5" t="n">
        <v>0</v>
      </c>
      <c r="M589" s="5" t="n">
        <v>0</v>
      </c>
      <c r="N589" s="5" t="n">
        <v>0</v>
      </c>
      <c r="O589" s="5" t="n">
        <v>1</v>
      </c>
      <c r="P589" s="5" t="n">
        <v>0</v>
      </c>
      <c r="Q589" s="5" t="n">
        <v>1</v>
      </c>
      <c r="R589" s="5" t="n">
        <v>1</v>
      </c>
      <c r="S589" s="5" t="n">
        <v>0</v>
      </c>
      <c r="T589" s="5" t="n">
        <v>0</v>
      </c>
      <c r="U589" s="5" t="inlineStr">
        <is>
          <t>training</t>
        </is>
      </c>
    </row>
    <row r="590">
      <c r="A590" s="5" t="n">
        <v>586</v>
      </c>
      <c r="B590" s="5" t="n">
        <v>1</v>
      </c>
      <c r="C590" s="6" t="n">
        <v>-0.2301473069597001</v>
      </c>
      <c r="D590" s="6" t="n">
        <v>-0.4239635356713874</v>
      </c>
      <c r="E590" s="6" t="n">
        <v>-1.351560741647039</v>
      </c>
      <c r="F590" s="6" t="n">
        <v>-1.786844513613144</v>
      </c>
      <c r="G590" s="5" t="n">
        <v>1</v>
      </c>
      <c r="H590" s="5" t="n">
        <v>0</v>
      </c>
      <c r="I590" s="5" t="n">
        <v>0</v>
      </c>
      <c r="J590" s="5" t="n">
        <v>0</v>
      </c>
      <c r="K590" s="5" t="n">
        <v>0</v>
      </c>
      <c r="L590" s="5" t="n">
        <v>0</v>
      </c>
      <c r="M590" s="5" t="n">
        <v>0</v>
      </c>
      <c r="N590" s="5" t="n">
        <v>0</v>
      </c>
      <c r="O590" s="5" t="n">
        <v>0</v>
      </c>
      <c r="P590" s="5" t="n">
        <v>1</v>
      </c>
      <c r="Q590" s="5" t="n">
        <v>0</v>
      </c>
      <c r="R590" s="5" t="n">
        <v>0</v>
      </c>
      <c r="S590" s="5" t="n">
        <v>0</v>
      </c>
      <c r="T590" s="5" t="n">
        <v>1</v>
      </c>
      <c r="U590" s="5" t="inlineStr">
        <is>
          <t>testing</t>
        </is>
      </c>
    </row>
    <row r="591">
      <c r="A591" s="5" t="n">
        <v>587</v>
      </c>
      <c r="B591" s="5" t="n">
        <v>0</v>
      </c>
      <c r="C591" s="6" t="n">
        <v>-0.9884778685946948</v>
      </c>
      <c r="D591" s="6" t="n">
        <v>-0.1580450519205422</v>
      </c>
      <c r="E591" s="6" t="n">
        <v>0.04000758952108359</v>
      </c>
      <c r="F591" s="6" t="n">
        <v>-0.8850484360866833</v>
      </c>
      <c r="G591" s="5" t="n">
        <v>1</v>
      </c>
      <c r="H591" s="5" t="n">
        <v>0</v>
      </c>
      <c r="I591" s="5" t="n">
        <v>0</v>
      </c>
      <c r="J591" s="5" t="n">
        <v>1</v>
      </c>
      <c r="K591" s="5" t="n">
        <v>0</v>
      </c>
      <c r="L591" s="5" t="n">
        <v>0</v>
      </c>
      <c r="M591" s="5" t="n">
        <v>0</v>
      </c>
      <c r="N591" s="5" t="n">
        <v>0</v>
      </c>
      <c r="O591" s="5" t="n">
        <v>0</v>
      </c>
      <c r="P591" s="5" t="n">
        <v>1</v>
      </c>
      <c r="Q591" s="5" t="n">
        <v>0</v>
      </c>
      <c r="R591" s="5" t="n">
        <v>1</v>
      </c>
      <c r="S591" s="5" t="n">
        <v>0</v>
      </c>
      <c r="T591" s="5" t="n">
        <v>0</v>
      </c>
      <c r="U591" s="5" t="inlineStr">
        <is>
          <t>training</t>
        </is>
      </c>
    </row>
    <row r="592">
      <c r="A592" s="5" t="n">
        <v>588</v>
      </c>
      <c r="B592" s="5" t="n">
        <v>0</v>
      </c>
      <c r="C592" s="6" t="n">
        <v>-0.7357010147163632</v>
      </c>
      <c r="D592" s="6" t="n">
        <v>-0.6863830920044585</v>
      </c>
      <c r="E592" s="6" t="n">
        <v>-1.264587720949031</v>
      </c>
      <c r="F592" s="6" t="n">
        <v>0.9185437189662378</v>
      </c>
      <c r="G592" s="5" t="n">
        <v>1</v>
      </c>
      <c r="H592" s="5" t="n">
        <v>0</v>
      </c>
      <c r="I592" s="5" t="n">
        <v>0</v>
      </c>
      <c r="J592" s="5" t="n">
        <v>0</v>
      </c>
      <c r="K592" s="5" t="n">
        <v>0</v>
      </c>
      <c r="L592" s="5" t="n">
        <v>0</v>
      </c>
      <c r="M592" s="5" t="n">
        <v>0</v>
      </c>
      <c r="N592" s="5" t="n">
        <v>0</v>
      </c>
      <c r="O592" s="5" t="n">
        <v>0</v>
      </c>
      <c r="P592" s="5" t="n">
        <v>0</v>
      </c>
      <c r="Q592" s="5" t="n">
        <v>0</v>
      </c>
      <c r="R592" s="5" t="n">
        <v>0</v>
      </c>
      <c r="S592" s="5" t="n">
        <v>0</v>
      </c>
      <c r="T592" s="5" t="n">
        <v>1</v>
      </c>
      <c r="U592" s="5" t="inlineStr">
        <is>
          <t>training</t>
        </is>
      </c>
    </row>
    <row r="593">
      <c r="A593" s="5" t="n">
        <v>589</v>
      </c>
      <c r="B593" s="5" t="n">
        <v>1</v>
      </c>
      <c r="C593" s="6" t="n">
        <v>-0.2301473069597001</v>
      </c>
      <c r="D593" s="6" t="n">
        <v>-0.7115753694124333</v>
      </c>
      <c r="E593" s="6" t="n">
        <v>0.9967108171991675</v>
      </c>
      <c r="F593" s="6" t="n">
        <v>0.9185437189662378</v>
      </c>
      <c r="G593" s="5" t="n">
        <v>1</v>
      </c>
      <c r="H593" s="5" t="n">
        <v>0</v>
      </c>
      <c r="I593" s="5" t="n">
        <v>0</v>
      </c>
      <c r="J593" s="5" t="n">
        <v>0</v>
      </c>
      <c r="K593" s="5" t="n">
        <v>0</v>
      </c>
      <c r="L593" s="5" t="n">
        <v>0</v>
      </c>
      <c r="M593" s="5" t="n">
        <v>0</v>
      </c>
      <c r="N593" s="5" t="n">
        <v>0</v>
      </c>
      <c r="O593" s="5" t="n">
        <v>0</v>
      </c>
      <c r="P593" s="5" t="n">
        <v>0</v>
      </c>
      <c r="Q593" s="5" t="n">
        <v>0</v>
      </c>
      <c r="R593" s="5" t="n">
        <v>0</v>
      </c>
      <c r="S593" s="5" t="n">
        <v>0</v>
      </c>
      <c r="T593" s="5" t="n">
        <v>0</v>
      </c>
      <c r="U593" s="5" t="inlineStr">
        <is>
          <t>training</t>
        </is>
      </c>
    </row>
    <row r="594">
      <c r="A594" s="5" t="n">
        <v>590</v>
      </c>
      <c r="B594" s="5" t="n">
        <v>1</v>
      </c>
      <c r="C594" s="6" t="n">
        <v>-0.7357010147163632</v>
      </c>
      <c r="D594" s="6" t="n">
        <v>-0.3515357381234599</v>
      </c>
      <c r="E594" s="6" t="n">
        <v>2.127360086273267</v>
      </c>
      <c r="F594" s="6" t="n">
        <v>0.01674764143977723</v>
      </c>
      <c r="G594" s="5" t="n">
        <v>1</v>
      </c>
      <c r="H594" s="5" t="n">
        <v>0</v>
      </c>
      <c r="I594" s="5" t="n">
        <v>0</v>
      </c>
      <c r="J594" s="5" t="n">
        <v>1</v>
      </c>
      <c r="K594" s="5" t="n">
        <v>0</v>
      </c>
      <c r="L594" s="5" t="n">
        <v>0</v>
      </c>
      <c r="M594" s="5" t="n">
        <v>0</v>
      </c>
      <c r="N594" s="5" t="n">
        <v>0</v>
      </c>
      <c r="O594" s="5" t="n">
        <v>0</v>
      </c>
      <c r="P594" s="5" t="n">
        <v>0</v>
      </c>
      <c r="Q594" s="5" t="n">
        <v>0</v>
      </c>
      <c r="R594" s="5" t="n">
        <v>0</v>
      </c>
      <c r="S594" s="5" t="n">
        <v>0</v>
      </c>
      <c r="T594" s="5" t="n">
        <v>1</v>
      </c>
      <c r="U594" s="5" t="inlineStr">
        <is>
          <t>training</t>
        </is>
      </c>
    </row>
    <row r="595">
      <c r="A595" s="5" t="n">
        <v>591</v>
      </c>
      <c r="B595" s="5" t="n">
        <v>0</v>
      </c>
      <c r="C595" s="6" t="n">
        <v>-0.7357010147163632</v>
      </c>
      <c r="D595" s="6" t="n">
        <v>-1.002686130571253</v>
      </c>
      <c r="E595" s="6" t="n">
        <v>1.953414044877252</v>
      </c>
      <c r="F595" s="6" t="n">
        <v>0.9185437189662378</v>
      </c>
      <c r="G595" s="5" t="n">
        <v>1</v>
      </c>
      <c r="H595" s="5" t="n">
        <v>0</v>
      </c>
      <c r="I595" s="5" t="n">
        <v>0</v>
      </c>
      <c r="J595" s="5" t="n">
        <v>1</v>
      </c>
      <c r="K595" s="5" t="n">
        <v>0</v>
      </c>
      <c r="L595" s="5" t="n">
        <v>0</v>
      </c>
      <c r="M595" s="5" t="n">
        <v>0</v>
      </c>
      <c r="N595" s="5" t="n">
        <v>0</v>
      </c>
      <c r="O595" s="5" t="n">
        <v>0</v>
      </c>
      <c r="P595" s="5" t="n">
        <v>0</v>
      </c>
      <c r="Q595" s="5" t="n">
        <v>0</v>
      </c>
      <c r="R595" s="5" t="n">
        <v>0</v>
      </c>
      <c r="S595" s="5" t="n">
        <v>1</v>
      </c>
      <c r="T595" s="5" t="n">
        <v>0</v>
      </c>
      <c r="U595" s="5" t="inlineStr">
        <is>
          <t>testing</t>
        </is>
      </c>
    </row>
    <row r="596">
      <c r="A596" s="5" t="n">
        <v>592</v>
      </c>
      <c r="B596" s="5" t="n">
        <v>0</v>
      </c>
      <c r="C596" s="6" t="n">
        <v>0.275406400796963</v>
      </c>
      <c r="D596" s="6" t="n">
        <v>-0.4498555985629171</v>
      </c>
      <c r="E596" s="6" t="n">
        <v>0.5618457137091294</v>
      </c>
      <c r="F596" s="6" t="n">
        <v>0.9185437189662378</v>
      </c>
      <c r="G596" s="5" t="n">
        <v>0</v>
      </c>
      <c r="H596" s="5" t="n">
        <v>1</v>
      </c>
      <c r="I596" s="5" t="n">
        <v>0</v>
      </c>
      <c r="J596" s="5" t="n">
        <v>0</v>
      </c>
      <c r="K596" s="5" t="n">
        <v>1</v>
      </c>
      <c r="L596" s="5" t="n">
        <v>0</v>
      </c>
      <c r="M596" s="5" t="n">
        <v>0</v>
      </c>
      <c r="N596" s="5" t="n">
        <v>0</v>
      </c>
      <c r="O596" s="5" t="n">
        <v>1</v>
      </c>
      <c r="P596" s="5" t="n">
        <v>1</v>
      </c>
      <c r="Q596" s="5" t="n">
        <v>0</v>
      </c>
      <c r="R596" s="5" t="n">
        <v>1</v>
      </c>
      <c r="S596" s="5" t="n">
        <v>0</v>
      </c>
      <c r="T596" s="5" t="n">
        <v>0</v>
      </c>
      <c r="U596" s="5" t="inlineStr">
        <is>
          <t>testing</t>
        </is>
      </c>
    </row>
    <row r="597">
      <c r="A597" s="5" t="n">
        <v>593</v>
      </c>
      <c r="B597" s="5" t="n">
        <v>0</v>
      </c>
      <c r="C597" s="6" t="n">
        <v>0.02262954691863145</v>
      </c>
      <c r="D597" s="6" t="n">
        <v>-0.5873634460814463</v>
      </c>
      <c r="E597" s="6" t="n">
        <v>0.04000758952108359</v>
      </c>
      <c r="F597" s="6" t="n">
        <v>0.9185437189662378</v>
      </c>
      <c r="G597" s="5" t="n">
        <v>0</v>
      </c>
      <c r="H597" s="5" t="n">
        <v>0</v>
      </c>
      <c r="I597" s="5" t="n">
        <v>0</v>
      </c>
      <c r="J597" s="5" t="n">
        <v>0</v>
      </c>
      <c r="K597" s="5" t="n">
        <v>0</v>
      </c>
      <c r="L597" s="5" t="n">
        <v>0</v>
      </c>
      <c r="M597" s="5" t="n">
        <v>0</v>
      </c>
      <c r="N597" s="5" t="n">
        <v>1</v>
      </c>
      <c r="O597" s="5" t="n">
        <v>0</v>
      </c>
      <c r="P597" s="5" t="n">
        <v>0</v>
      </c>
      <c r="Q597" s="5" t="n">
        <v>0</v>
      </c>
      <c r="R597" s="5" t="n">
        <v>0</v>
      </c>
      <c r="S597" s="5" t="n">
        <v>0</v>
      </c>
      <c r="T597" s="5" t="n">
        <v>0</v>
      </c>
      <c r="U597" s="5" t="inlineStr">
        <is>
          <t>training</t>
        </is>
      </c>
    </row>
    <row r="598">
      <c r="A598" s="5" t="n">
        <v>594</v>
      </c>
      <c r="B598" s="5" t="n">
        <v>1</v>
      </c>
      <c r="C598" s="6" t="n">
        <v>0.275406400796963</v>
      </c>
      <c r="D598" s="6" t="n">
        <v>-0.1863863640045139</v>
      </c>
      <c r="E598" s="6" t="n">
        <v>-1.351560741647039</v>
      </c>
      <c r="F598" s="6" t="n">
        <v>0.01674764143977723</v>
      </c>
      <c r="G598" s="5" t="n">
        <v>0</v>
      </c>
      <c r="H598" s="5" t="n">
        <v>1</v>
      </c>
      <c r="I598" s="5" t="n">
        <v>0</v>
      </c>
      <c r="J598" s="5" t="n">
        <v>0</v>
      </c>
      <c r="K598" s="5" t="n">
        <v>0</v>
      </c>
      <c r="L598" s="5" t="n">
        <v>0</v>
      </c>
      <c r="M598" s="5" t="n">
        <v>0</v>
      </c>
      <c r="N598" s="5" t="n">
        <v>0</v>
      </c>
      <c r="O598" s="5" t="n">
        <v>0</v>
      </c>
      <c r="P598" s="5" t="n">
        <v>1</v>
      </c>
      <c r="Q598" s="5" t="n">
        <v>0</v>
      </c>
      <c r="R598" s="5" t="n">
        <v>1</v>
      </c>
      <c r="S598" s="5" t="n">
        <v>0</v>
      </c>
      <c r="T598" s="5" t="n">
        <v>0</v>
      </c>
      <c r="U598" s="5" t="inlineStr">
        <is>
          <t>training</t>
        </is>
      </c>
    </row>
    <row r="599">
      <c r="A599" s="5" t="n">
        <v>595</v>
      </c>
      <c r="B599" s="5" t="n">
        <v>1</v>
      </c>
      <c r="C599" s="6" t="n">
        <v>0.275406400796963</v>
      </c>
      <c r="D599" s="6" t="n">
        <v>-0.6622404928218159</v>
      </c>
      <c r="E599" s="6" t="n">
        <v>0.3878996723131141</v>
      </c>
      <c r="F599" s="6" t="n">
        <v>0.9185437189662378</v>
      </c>
      <c r="G599" s="5" t="n">
        <v>1</v>
      </c>
      <c r="H599" s="5" t="n">
        <v>0</v>
      </c>
      <c r="I599" s="5" t="n">
        <v>0</v>
      </c>
      <c r="J599" s="5" t="n">
        <v>0</v>
      </c>
      <c r="K599" s="5" t="n">
        <v>0</v>
      </c>
      <c r="L599" s="5" t="n">
        <v>1</v>
      </c>
      <c r="M599" s="5" t="n">
        <v>0</v>
      </c>
      <c r="N599" s="5" t="n">
        <v>0</v>
      </c>
      <c r="O599" s="5" t="n">
        <v>1</v>
      </c>
      <c r="P599" s="5" t="n">
        <v>0</v>
      </c>
      <c r="Q599" s="5" t="n">
        <v>0</v>
      </c>
      <c r="R599" s="5" t="n">
        <v>0</v>
      </c>
      <c r="S599" s="5" t="n">
        <v>0</v>
      </c>
      <c r="T599" s="5" t="n">
        <v>0</v>
      </c>
      <c r="U599" s="5" t="inlineStr">
        <is>
          <t>training</t>
        </is>
      </c>
    </row>
    <row r="600">
      <c r="A600" s="5" t="n">
        <v>596</v>
      </c>
      <c r="B600" s="5" t="n">
        <v>1</v>
      </c>
      <c r="C600" s="6" t="n">
        <v>-1.241254722473026</v>
      </c>
      <c r="D600" s="6" t="n">
        <v>-0.8116446935607776</v>
      </c>
      <c r="E600" s="6" t="n">
        <v>-0.307884493270947</v>
      </c>
      <c r="F600" s="6" t="n">
        <v>-1.786844513613144</v>
      </c>
      <c r="G600" s="5" t="n">
        <v>0</v>
      </c>
      <c r="H600" s="5" t="n">
        <v>1</v>
      </c>
      <c r="I600" s="5" t="n">
        <v>0</v>
      </c>
      <c r="J600" s="5" t="n">
        <v>0</v>
      </c>
      <c r="K600" s="5" t="n">
        <v>0</v>
      </c>
      <c r="L600" s="5" t="n">
        <v>1</v>
      </c>
      <c r="M600" s="5" t="n">
        <v>1</v>
      </c>
      <c r="N600" s="5" t="n">
        <v>0</v>
      </c>
      <c r="O600" s="5" t="n">
        <v>0</v>
      </c>
      <c r="P600" s="5" t="n">
        <v>0</v>
      </c>
      <c r="Q600" s="5" t="n">
        <v>0</v>
      </c>
      <c r="R600" s="5" t="n">
        <v>1</v>
      </c>
      <c r="S600" s="5" t="n">
        <v>0</v>
      </c>
      <c r="T600" s="5" t="n">
        <v>0</v>
      </c>
      <c r="U600" s="5" t="inlineStr">
        <is>
          <t>testing</t>
        </is>
      </c>
    </row>
    <row r="601">
      <c r="A601" s="5" t="n">
        <v>597</v>
      </c>
      <c r="B601" s="5" t="n">
        <v>1</v>
      </c>
      <c r="C601" s="6" t="n">
        <v>0.275406400796963</v>
      </c>
      <c r="D601" s="6" t="n">
        <v>-0.6328495025125119</v>
      </c>
      <c r="E601" s="6" t="n">
        <v>-1.090641679553016</v>
      </c>
      <c r="F601" s="6" t="n">
        <v>0.9185437189662378</v>
      </c>
      <c r="G601" s="5" t="n">
        <v>1</v>
      </c>
      <c r="H601" s="5" t="n">
        <v>0</v>
      </c>
      <c r="I601" s="5" t="n">
        <v>0</v>
      </c>
      <c r="J601" s="5" t="n">
        <v>0</v>
      </c>
      <c r="K601" s="5" t="n">
        <v>0</v>
      </c>
      <c r="L601" s="5" t="n">
        <v>0</v>
      </c>
      <c r="M601" s="5" t="n">
        <v>0</v>
      </c>
      <c r="N601" s="5" t="n">
        <v>0</v>
      </c>
      <c r="O601" s="5" t="n">
        <v>0</v>
      </c>
      <c r="P601" s="5" t="n">
        <v>1</v>
      </c>
      <c r="Q601" s="5" t="n">
        <v>0</v>
      </c>
      <c r="R601" s="5" t="n">
        <v>1</v>
      </c>
      <c r="S601" s="5" t="n">
        <v>0</v>
      </c>
      <c r="T601" s="5" t="n">
        <v>0</v>
      </c>
      <c r="U601" s="5" t="inlineStr">
        <is>
          <t>training</t>
        </is>
      </c>
    </row>
    <row r="602">
      <c r="A602" s="5" t="n">
        <v>598</v>
      </c>
      <c r="B602" s="5" t="n">
        <v>1</v>
      </c>
      <c r="C602" s="6" t="n">
        <v>0.275406400796963</v>
      </c>
      <c r="D602" s="6" t="n">
        <v>0.3465002817225089</v>
      </c>
      <c r="E602" s="6" t="n">
        <v>0.04000758952108359</v>
      </c>
      <c r="F602" s="6" t="n">
        <v>-1.786844513613144</v>
      </c>
      <c r="G602" s="5" t="n">
        <v>0</v>
      </c>
      <c r="H602" s="5" t="n">
        <v>1</v>
      </c>
      <c r="I602" s="5" t="n">
        <v>0</v>
      </c>
      <c r="J602" s="5" t="n">
        <v>0</v>
      </c>
      <c r="K602" s="5" t="n">
        <v>0</v>
      </c>
      <c r="L602" s="5" t="n">
        <v>1</v>
      </c>
      <c r="M602" s="5" t="n">
        <v>0</v>
      </c>
      <c r="N602" s="5" t="n">
        <v>0</v>
      </c>
      <c r="O602" s="5" t="n">
        <v>0</v>
      </c>
      <c r="P602" s="5" t="n">
        <v>0</v>
      </c>
      <c r="Q602" s="5" t="n">
        <v>0</v>
      </c>
      <c r="R602" s="5" t="n">
        <v>0</v>
      </c>
      <c r="S602" s="5" t="n">
        <v>0</v>
      </c>
      <c r="T602" s="5" t="n">
        <v>0</v>
      </c>
      <c r="U602" s="5" t="inlineStr">
        <is>
          <t>training</t>
        </is>
      </c>
    </row>
    <row r="603">
      <c r="A603" s="5" t="n">
        <v>599</v>
      </c>
      <c r="B603" s="5" t="n">
        <v>1</v>
      </c>
      <c r="C603" s="6" t="n">
        <v>-0.2301473069597001</v>
      </c>
      <c r="D603" s="6" t="n">
        <v>-0.1664424777232005</v>
      </c>
      <c r="E603" s="6" t="n">
        <v>-0.3948575139689546</v>
      </c>
      <c r="F603" s="6" t="n">
        <v>-0.8850484360866833</v>
      </c>
      <c r="G603" s="5" t="n">
        <v>0</v>
      </c>
      <c r="H603" s="5" t="n">
        <v>0</v>
      </c>
      <c r="I603" s="5" t="n">
        <v>0</v>
      </c>
      <c r="J603" s="5" t="n">
        <v>1</v>
      </c>
      <c r="K603" s="5" t="n">
        <v>0</v>
      </c>
      <c r="L603" s="5" t="n">
        <v>0</v>
      </c>
      <c r="M603" s="5" t="n">
        <v>0</v>
      </c>
      <c r="N603" s="5" t="n">
        <v>0</v>
      </c>
      <c r="O603" s="5" t="n">
        <v>0</v>
      </c>
      <c r="P603" s="5" t="n">
        <v>0</v>
      </c>
      <c r="Q603" s="5" t="n">
        <v>0</v>
      </c>
      <c r="R603" s="5" t="n">
        <v>1</v>
      </c>
      <c r="S603" s="5" t="n">
        <v>0</v>
      </c>
      <c r="T603" s="5" t="n">
        <v>0</v>
      </c>
      <c r="U603" s="5" t="inlineStr">
        <is>
          <t>training</t>
        </is>
      </c>
    </row>
    <row r="604">
      <c r="A604" s="5" t="n">
        <v>600</v>
      </c>
      <c r="B604" s="5" t="n">
        <v>0</v>
      </c>
      <c r="C604" s="6" t="n">
        <v>0.275406400796963</v>
      </c>
      <c r="D604" s="6" t="n">
        <v>0.2142408253306411</v>
      </c>
      <c r="E604" s="6" t="n">
        <v>-0.307884493270947</v>
      </c>
      <c r="F604" s="6" t="n">
        <v>-1.786844513613144</v>
      </c>
      <c r="G604" s="5" t="n">
        <v>0</v>
      </c>
      <c r="H604" s="5" t="n">
        <v>0</v>
      </c>
      <c r="I604" s="5" t="n">
        <v>0</v>
      </c>
      <c r="J604" s="5" t="n">
        <v>0</v>
      </c>
      <c r="K604" s="5" t="n">
        <v>1</v>
      </c>
      <c r="L604" s="5" t="n">
        <v>0</v>
      </c>
      <c r="M604" s="5" t="n">
        <v>0</v>
      </c>
      <c r="N604" s="5" t="n">
        <v>0</v>
      </c>
      <c r="O604" s="5" t="n">
        <v>0</v>
      </c>
      <c r="P604" s="5" t="n">
        <v>0</v>
      </c>
      <c r="Q604" s="5" t="n">
        <v>1</v>
      </c>
      <c r="R604" s="5" t="n">
        <v>0</v>
      </c>
      <c r="S604" s="5" t="n">
        <v>0</v>
      </c>
      <c r="T604" s="5" t="n">
        <v>0</v>
      </c>
      <c r="U604" s="5" t="inlineStr">
        <is>
          <t>testing</t>
        </is>
      </c>
    </row>
    <row r="605">
      <c r="A605" s="5" t="n">
        <v>601</v>
      </c>
      <c r="B605" s="5" t="n">
        <v>0</v>
      </c>
      <c r="C605" s="6" t="n">
        <v>-1.156995771180249</v>
      </c>
      <c r="D605" s="6" t="n">
        <v>-0.3224946405559334</v>
      </c>
      <c r="E605" s="6" t="n">
        <v>0.8227647758031523</v>
      </c>
      <c r="F605" s="6" t="n">
        <v>-1.786844513613144</v>
      </c>
      <c r="G605" s="5" t="n">
        <v>0</v>
      </c>
      <c r="H605" s="5" t="n">
        <v>1</v>
      </c>
      <c r="I605" s="5" t="n">
        <v>0</v>
      </c>
      <c r="J605" s="5" t="n">
        <v>0</v>
      </c>
      <c r="K605" s="5" t="n">
        <v>0</v>
      </c>
      <c r="L605" s="5" t="n">
        <v>0</v>
      </c>
      <c r="M605" s="5" t="n">
        <v>0</v>
      </c>
      <c r="N605" s="5" t="n">
        <v>0</v>
      </c>
      <c r="O605" s="5" t="n">
        <v>0</v>
      </c>
      <c r="P605" s="5" t="n">
        <v>0</v>
      </c>
      <c r="Q605" s="5" t="n">
        <v>0</v>
      </c>
      <c r="R605" s="5" t="n">
        <v>0</v>
      </c>
      <c r="S605" s="5" t="n">
        <v>1</v>
      </c>
      <c r="T605" s="5" t="n">
        <v>0</v>
      </c>
      <c r="U605" s="5" t="inlineStr">
        <is>
          <t>training</t>
        </is>
      </c>
    </row>
    <row r="606">
      <c r="A606" s="5" t="n">
        <v>602</v>
      </c>
      <c r="B606" s="5" t="n">
        <v>1</v>
      </c>
      <c r="C606" s="6" t="n">
        <v>-0.9884778685946948</v>
      </c>
      <c r="D606" s="6" t="n">
        <v>-0.8161932992038842</v>
      </c>
      <c r="E606" s="6" t="n">
        <v>-0.4818305346669622</v>
      </c>
      <c r="F606" s="6" t="n">
        <v>0.9185437189662378</v>
      </c>
      <c r="G606" s="5" t="n">
        <v>0</v>
      </c>
      <c r="H606" s="5" t="n">
        <v>1</v>
      </c>
      <c r="I606" s="5" t="n">
        <v>0</v>
      </c>
      <c r="J606" s="5" t="n">
        <v>0</v>
      </c>
      <c r="K606" s="5" t="n">
        <v>0</v>
      </c>
      <c r="L606" s="5" t="n">
        <v>0</v>
      </c>
      <c r="M606" s="5" t="n">
        <v>0</v>
      </c>
      <c r="N606" s="5" t="n">
        <v>0</v>
      </c>
      <c r="O606" s="5" t="n">
        <v>0</v>
      </c>
      <c r="P606" s="5" t="n">
        <v>0</v>
      </c>
      <c r="Q606" s="5" t="n">
        <v>0</v>
      </c>
      <c r="R606" s="5" t="n">
        <v>0</v>
      </c>
      <c r="S606" s="5" t="n">
        <v>0</v>
      </c>
      <c r="T606" s="5" t="n">
        <v>1</v>
      </c>
      <c r="U606" s="5" t="inlineStr">
        <is>
          <t>training</t>
        </is>
      </c>
    </row>
    <row r="607">
      <c r="A607" s="5" t="n">
        <v>603</v>
      </c>
      <c r="B607" s="5" t="n">
        <v>1</v>
      </c>
      <c r="C607" s="6" t="n">
        <v>0.275406400796963</v>
      </c>
      <c r="D607" s="6" t="n">
        <v>-0.4946418695104279</v>
      </c>
      <c r="E607" s="6" t="n">
        <v>-0.1339384518749317</v>
      </c>
      <c r="F607" s="6" t="n">
        <v>0.9185437189662378</v>
      </c>
      <c r="G607" s="5" t="n">
        <v>0</v>
      </c>
      <c r="H607" s="5" t="n">
        <v>1</v>
      </c>
      <c r="I607" s="5" t="n">
        <v>0</v>
      </c>
      <c r="J607" s="5" t="n">
        <v>0</v>
      </c>
      <c r="K607" s="5" t="n">
        <v>0</v>
      </c>
      <c r="L607" s="5" t="n">
        <v>1</v>
      </c>
      <c r="M607" s="5" t="n">
        <v>0</v>
      </c>
      <c r="N607" s="5" t="n">
        <v>0</v>
      </c>
      <c r="O607" s="5" t="n">
        <v>0</v>
      </c>
      <c r="P607" s="5" t="n">
        <v>0</v>
      </c>
      <c r="Q607" s="5" t="n">
        <v>1</v>
      </c>
      <c r="R607" s="5" t="n">
        <v>0</v>
      </c>
      <c r="S607" s="5" t="n">
        <v>0</v>
      </c>
      <c r="T607" s="5" t="n">
        <v>0</v>
      </c>
      <c r="U607" s="5" t="inlineStr">
        <is>
          <t>training</t>
        </is>
      </c>
    </row>
    <row r="608">
      <c r="A608" s="5" t="n">
        <v>604</v>
      </c>
      <c r="B608" s="5" t="n">
        <v>1</v>
      </c>
      <c r="C608" s="6" t="n">
        <v>1.286513816310289</v>
      </c>
      <c r="D608" s="6" t="n">
        <v>0.03439595605704315</v>
      </c>
      <c r="E608" s="6" t="n">
        <v>-0.6557765760629775</v>
      </c>
      <c r="F608" s="6" t="n">
        <v>0.9185437189662378</v>
      </c>
      <c r="G608" s="5" t="n">
        <v>0</v>
      </c>
      <c r="H608" s="5" t="n">
        <v>0</v>
      </c>
      <c r="I608" s="5" t="n">
        <v>0</v>
      </c>
      <c r="J608" s="5" t="n">
        <v>0</v>
      </c>
      <c r="K608" s="5" t="n">
        <v>0</v>
      </c>
      <c r="L608" s="5" t="n">
        <v>0</v>
      </c>
      <c r="M608" s="5" t="n">
        <v>0</v>
      </c>
      <c r="N608" s="5" t="n">
        <v>0</v>
      </c>
      <c r="O608" s="5" t="n">
        <v>0</v>
      </c>
      <c r="P608" s="5" t="n">
        <v>0</v>
      </c>
      <c r="Q608" s="5" t="n">
        <v>0</v>
      </c>
      <c r="R608" s="5" t="n">
        <v>0</v>
      </c>
      <c r="S608" s="5" t="n">
        <v>0</v>
      </c>
      <c r="T608" s="5" t="n">
        <v>1</v>
      </c>
      <c r="U608" s="5" t="inlineStr">
        <is>
          <t>training</t>
        </is>
      </c>
    </row>
    <row r="609">
      <c r="A609" s="5" t="n">
        <v>605</v>
      </c>
      <c r="B609" s="5" t="n">
        <v>0</v>
      </c>
      <c r="C609" s="6" t="n">
        <v>-0.9042189173019176</v>
      </c>
      <c r="D609" s="6" t="n">
        <v>-0.6912815903893424</v>
      </c>
      <c r="E609" s="6" t="n">
        <v>-1.090641679553016</v>
      </c>
      <c r="F609" s="6" t="n">
        <v>0.9185437189662378</v>
      </c>
      <c r="G609" s="5" t="n">
        <v>0</v>
      </c>
      <c r="H609" s="5" t="n">
        <v>0</v>
      </c>
      <c r="I609" s="5" t="n">
        <v>1</v>
      </c>
      <c r="J609" s="5" t="n">
        <v>0</v>
      </c>
      <c r="K609" s="5" t="n">
        <v>0</v>
      </c>
      <c r="L609" s="5" t="n">
        <v>0</v>
      </c>
      <c r="M609" s="5" t="n">
        <v>0</v>
      </c>
      <c r="N609" s="5" t="n">
        <v>0</v>
      </c>
      <c r="O609" s="5" t="n">
        <v>0</v>
      </c>
      <c r="P609" s="5" t="n">
        <v>0</v>
      </c>
      <c r="Q609" s="5" t="n">
        <v>0</v>
      </c>
      <c r="R609" s="5" t="n">
        <v>0</v>
      </c>
      <c r="S609" s="5" t="n">
        <v>0</v>
      </c>
      <c r="T609" s="5" t="n">
        <v>1</v>
      </c>
      <c r="U609" s="5" t="inlineStr">
        <is>
          <t>training</t>
        </is>
      </c>
    </row>
    <row r="610">
      <c r="A610" s="5" t="n">
        <v>606</v>
      </c>
      <c r="B610" s="5" t="n">
        <v>0</v>
      </c>
      <c r="C610" s="6" t="n">
        <v>0.275406400796963</v>
      </c>
      <c r="D610" s="6" t="n">
        <v>-0.1478981624089968</v>
      </c>
      <c r="E610" s="6" t="n">
        <v>-1.177614700251023</v>
      </c>
      <c r="F610" s="6" t="n">
        <v>0.9185437189662378</v>
      </c>
      <c r="G610" s="5" t="n">
        <v>1</v>
      </c>
      <c r="H610" s="5" t="n">
        <v>0</v>
      </c>
      <c r="I610" s="5" t="n">
        <v>0</v>
      </c>
      <c r="J610" s="5" t="n">
        <v>0</v>
      </c>
      <c r="K610" s="5" t="n">
        <v>0</v>
      </c>
      <c r="L610" s="5" t="n">
        <v>1</v>
      </c>
      <c r="M610" s="5" t="n">
        <v>1</v>
      </c>
      <c r="N610" s="5" t="n">
        <v>0</v>
      </c>
      <c r="O610" s="5" t="n">
        <v>0</v>
      </c>
      <c r="P610" s="5" t="n">
        <v>0</v>
      </c>
      <c r="Q610" s="5" t="n">
        <v>0</v>
      </c>
      <c r="R610" s="5" t="n">
        <v>0</v>
      </c>
      <c r="S610" s="5" t="n">
        <v>0</v>
      </c>
      <c r="T610" s="5" t="n">
        <v>1</v>
      </c>
      <c r="U610" s="5" t="inlineStr">
        <is>
          <t>training</t>
        </is>
      </c>
    </row>
    <row r="611">
      <c r="A611" s="5" t="n">
        <v>607</v>
      </c>
      <c r="B611" s="5" t="n">
        <v>0</v>
      </c>
      <c r="C611" s="6" t="n">
        <v>0.275406400796963</v>
      </c>
      <c r="D611" s="6" t="n">
        <v>0.4462197131290758</v>
      </c>
      <c r="E611" s="6" t="n">
        <v>3.344982376045374</v>
      </c>
      <c r="F611" s="6" t="n">
        <v>0.01674764143977723</v>
      </c>
      <c r="G611" s="5" t="n">
        <v>0</v>
      </c>
      <c r="H611" s="5" t="n">
        <v>0</v>
      </c>
      <c r="I611" s="5" t="n">
        <v>0</v>
      </c>
      <c r="J611" s="5" t="n">
        <v>1</v>
      </c>
      <c r="K611" s="5" t="n">
        <v>0</v>
      </c>
      <c r="L611" s="5" t="n">
        <v>0</v>
      </c>
      <c r="M611" s="5" t="n">
        <v>0</v>
      </c>
      <c r="N611" s="5" t="n">
        <v>0</v>
      </c>
      <c r="O611" s="5" t="n">
        <v>0</v>
      </c>
      <c r="P611" s="5" t="n">
        <v>0</v>
      </c>
      <c r="Q611" s="5" t="n">
        <v>0</v>
      </c>
      <c r="R611" s="5" t="n">
        <v>0</v>
      </c>
      <c r="S611" s="5" t="n">
        <v>0</v>
      </c>
      <c r="T611" s="5" t="n">
        <v>0</v>
      </c>
      <c r="U611" s="5" t="inlineStr">
        <is>
          <t>training</t>
        </is>
      </c>
    </row>
    <row r="612">
      <c r="A612" s="5" t="n">
        <v>608</v>
      </c>
      <c r="B612" s="5" t="n">
        <v>1</v>
      </c>
      <c r="C612" s="6" t="n">
        <v>1.286513816310289</v>
      </c>
      <c r="D612" s="6" t="n">
        <v>-0.202831322868053</v>
      </c>
      <c r="E612" s="6" t="n">
        <v>1.257629879293191</v>
      </c>
      <c r="F612" s="6" t="n">
        <v>0.9185437189662378</v>
      </c>
      <c r="G612" s="5" t="n">
        <v>0</v>
      </c>
      <c r="H612" s="5" t="n">
        <v>1</v>
      </c>
      <c r="I612" s="5" t="n">
        <v>0</v>
      </c>
      <c r="J612" s="5" t="n">
        <v>0</v>
      </c>
      <c r="K612" s="5" t="n">
        <v>0</v>
      </c>
      <c r="L612" s="5" t="n">
        <v>0</v>
      </c>
      <c r="M612" s="5" t="n">
        <v>1</v>
      </c>
      <c r="N612" s="5" t="n">
        <v>0</v>
      </c>
      <c r="O612" s="5" t="n">
        <v>0</v>
      </c>
      <c r="P612" s="5" t="n">
        <v>0</v>
      </c>
      <c r="Q612" s="5" t="n">
        <v>1</v>
      </c>
      <c r="R612" s="5" t="n">
        <v>0</v>
      </c>
      <c r="S612" s="5" t="n">
        <v>1</v>
      </c>
      <c r="T612" s="5" t="n">
        <v>0</v>
      </c>
      <c r="U612" s="5" t="inlineStr">
        <is>
          <t>testing</t>
        </is>
      </c>
    </row>
    <row r="613">
      <c r="A613" s="5" t="n">
        <v>609</v>
      </c>
      <c r="B613" s="5" t="n">
        <v>0</v>
      </c>
      <c r="C613" s="6" t="n">
        <v>-0.2301473069597001</v>
      </c>
      <c r="D613" s="6" t="n">
        <v>-0.4197648227700583</v>
      </c>
      <c r="E613" s="6" t="n">
        <v>-0.2209114725729393</v>
      </c>
      <c r="F613" s="6" t="n">
        <v>0.9185437189662378</v>
      </c>
      <c r="G613" s="5" t="n">
        <v>0</v>
      </c>
      <c r="H613" s="5" t="n">
        <v>0</v>
      </c>
      <c r="I613" s="5" t="n">
        <v>0</v>
      </c>
      <c r="J613" s="5" t="n">
        <v>0</v>
      </c>
      <c r="K613" s="5" t="n">
        <v>0</v>
      </c>
      <c r="L613" s="5" t="n">
        <v>0</v>
      </c>
      <c r="M613" s="5" t="n">
        <v>0</v>
      </c>
      <c r="N613" s="5" t="n">
        <v>0</v>
      </c>
      <c r="O613" s="5" t="n">
        <v>0</v>
      </c>
      <c r="P613" s="5" t="n">
        <v>0</v>
      </c>
      <c r="Q613" s="5" t="n">
        <v>0</v>
      </c>
      <c r="R613" s="5" t="n">
        <v>0</v>
      </c>
      <c r="S613" s="5" t="n">
        <v>1</v>
      </c>
      <c r="T613" s="5" t="n">
        <v>0</v>
      </c>
      <c r="U613" s="5" t="inlineStr">
        <is>
          <t>training</t>
        </is>
      </c>
    </row>
    <row r="614">
      <c r="A614" s="5" t="n">
        <v>610</v>
      </c>
      <c r="B614" s="5" t="n">
        <v>0</v>
      </c>
      <c r="C614" s="6" t="n">
        <v>-0.4829241608380317</v>
      </c>
      <c r="D614" s="6" t="n">
        <v>-0.6825342718449067</v>
      </c>
      <c r="E614" s="6" t="n">
        <v>0.8227647758031523</v>
      </c>
      <c r="F614" s="6" t="n">
        <v>0.9185437189662378</v>
      </c>
      <c r="G614" s="5" t="n">
        <v>0</v>
      </c>
      <c r="H614" s="5" t="n">
        <v>0</v>
      </c>
      <c r="I614" s="5" t="n">
        <v>0</v>
      </c>
      <c r="J614" s="5" t="n">
        <v>0</v>
      </c>
      <c r="K614" s="5" t="n">
        <v>0</v>
      </c>
      <c r="L614" s="5" t="n">
        <v>0</v>
      </c>
      <c r="M614" s="5" t="n">
        <v>0</v>
      </c>
      <c r="N614" s="5" t="n">
        <v>0</v>
      </c>
      <c r="O614" s="5" t="n">
        <v>1</v>
      </c>
      <c r="P614" s="5" t="n">
        <v>0</v>
      </c>
      <c r="Q614" s="5" t="n">
        <v>1</v>
      </c>
      <c r="R614" s="5" t="n">
        <v>1</v>
      </c>
      <c r="S614" s="5" t="n">
        <v>0</v>
      </c>
      <c r="T614" s="5" t="n">
        <v>0</v>
      </c>
      <c r="U614" s="5" t="inlineStr">
        <is>
          <t>testing</t>
        </is>
      </c>
    </row>
    <row r="615">
      <c r="A615" s="5" t="n">
        <v>611</v>
      </c>
      <c r="B615" s="5" t="n">
        <v>1</v>
      </c>
      <c r="C615" s="6" t="n">
        <v>-0.7357010147163632</v>
      </c>
      <c r="D615" s="6" t="n">
        <v>-0.8781243144984889</v>
      </c>
      <c r="E615" s="6" t="n">
        <v>-1.177614700251023</v>
      </c>
      <c r="F615" s="6" t="n">
        <v>0.9185437189662378</v>
      </c>
      <c r="G615" s="5" t="n">
        <v>1</v>
      </c>
      <c r="H615" s="5" t="n">
        <v>0</v>
      </c>
      <c r="I615" s="5" t="n">
        <v>0</v>
      </c>
      <c r="J615" s="5" t="n">
        <v>0</v>
      </c>
      <c r="K615" s="5" t="n">
        <v>0</v>
      </c>
      <c r="L615" s="5" t="n">
        <v>0</v>
      </c>
      <c r="M615" s="5" t="n">
        <v>1</v>
      </c>
      <c r="N615" s="5" t="n">
        <v>0</v>
      </c>
      <c r="O615" s="5" t="n">
        <v>0</v>
      </c>
      <c r="P615" s="5" t="n">
        <v>0</v>
      </c>
      <c r="Q615" s="5" t="n">
        <v>0</v>
      </c>
      <c r="R615" s="5" t="n">
        <v>0</v>
      </c>
      <c r="S615" s="5" t="n">
        <v>0</v>
      </c>
      <c r="T615" s="5" t="n">
        <v>0</v>
      </c>
      <c r="U615" s="5" t="inlineStr">
        <is>
          <t>testing</t>
        </is>
      </c>
    </row>
    <row r="616">
      <c r="A616" s="5" t="n">
        <v>612</v>
      </c>
      <c r="B616" s="5" t="n">
        <v>1</v>
      </c>
      <c r="C616" s="6" t="n">
        <v>-0.9042189173019176</v>
      </c>
      <c r="D616" s="6" t="n">
        <v>-0.7035278363515524</v>
      </c>
      <c r="E616" s="6" t="n">
        <v>1.083683837897175</v>
      </c>
      <c r="F616" s="6" t="n">
        <v>-1.786844513613144</v>
      </c>
      <c r="G616" s="5" t="n">
        <v>0</v>
      </c>
      <c r="H616" s="5" t="n">
        <v>0</v>
      </c>
      <c r="I616" s="5" t="n">
        <v>1</v>
      </c>
      <c r="J616" s="5" t="n">
        <v>0</v>
      </c>
      <c r="K616" s="5" t="n">
        <v>0</v>
      </c>
      <c r="L616" s="5" t="n">
        <v>0</v>
      </c>
      <c r="M616" s="5" t="n">
        <v>1</v>
      </c>
      <c r="N616" s="5" t="n">
        <v>0</v>
      </c>
      <c r="O616" s="5" t="n">
        <v>0</v>
      </c>
      <c r="P616" s="5" t="n">
        <v>0</v>
      </c>
      <c r="Q616" s="5" t="n">
        <v>1</v>
      </c>
      <c r="R616" s="5" t="n">
        <v>1</v>
      </c>
      <c r="S616" s="5" t="n">
        <v>0</v>
      </c>
      <c r="T616" s="5" t="n">
        <v>0</v>
      </c>
      <c r="U616" s="5" t="inlineStr">
        <is>
          <t>testing</t>
        </is>
      </c>
    </row>
    <row r="617">
      <c r="A617" s="5" t="n">
        <v>613</v>
      </c>
      <c r="B617" s="5" t="n">
        <v>0</v>
      </c>
      <c r="C617" s="6" t="n">
        <v>0.02262954691863145</v>
      </c>
      <c r="D617" s="6" t="n">
        <v>0.03719509799126257</v>
      </c>
      <c r="E617" s="6" t="n">
        <v>-0.5688035553649698</v>
      </c>
      <c r="F617" s="6" t="n">
        <v>0.9185437189662378</v>
      </c>
      <c r="G617" s="5" t="n">
        <v>1</v>
      </c>
      <c r="H617" s="5" t="n">
        <v>0</v>
      </c>
      <c r="I617" s="5" t="n">
        <v>0</v>
      </c>
      <c r="J617" s="5" t="n">
        <v>0</v>
      </c>
      <c r="K617" s="5" t="n">
        <v>0</v>
      </c>
      <c r="L617" s="5" t="n">
        <v>0</v>
      </c>
      <c r="M617" s="5" t="n">
        <v>0</v>
      </c>
      <c r="N617" s="5" t="n">
        <v>1</v>
      </c>
      <c r="O617" s="5" t="n">
        <v>0</v>
      </c>
      <c r="P617" s="5" t="n">
        <v>0</v>
      </c>
      <c r="Q617" s="5" t="n">
        <v>0</v>
      </c>
      <c r="R617" s="5" t="n">
        <v>0</v>
      </c>
      <c r="S617" s="5" t="n">
        <v>1</v>
      </c>
      <c r="T617" s="5" t="n">
        <v>0</v>
      </c>
      <c r="U617" s="5" t="inlineStr">
        <is>
          <t>training</t>
        </is>
      </c>
    </row>
    <row r="618">
      <c r="A618" s="5" t="n">
        <v>614</v>
      </c>
      <c r="B618" s="5" t="n">
        <v>0</v>
      </c>
      <c r="C618" s="6" t="n">
        <v>0.275406400796963</v>
      </c>
      <c r="D618" s="6" t="n">
        <v>0.1334156019800553</v>
      </c>
      <c r="E618" s="6" t="n">
        <v>-1.177614700251023</v>
      </c>
      <c r="F618" s="6" t="n">
        <v>-1.786844513613144</v>
      </c>
      <c r="G618" s="5" t="n">
        <v>1</v>
      </c>
      <c r="H618" s="5" t="n">
        <v>0</v>
      </c>
      <c r="I618" s="5" t="n">
        <v>0</v>
      </c>
      <c r="J618" s="5" t="n">
        <v>0</v>
      </c>
      <c r="K618" s="5" t="n">
        <v>0</v>
      </c>
      <c r="L618" s="5" t="n">
        <v>1</v>
      </c>
      <c r="M618" s="5" t="n">
        <v>0</v>
      </c>
      <c r="N618" s="5" t="n">
        <v>0</v>
      </c>
      <c r="O618" s="5" t="n">
        <v>0</v>
      </c>
      <c r="P618" s="5" t="n">
        <v>1</v>
      </c>
      <c r="Q618" s="5" t="n">
        <v>0</v>
      </c>
      <c r="R618" s="5" t="n">
        <v>1</v>
      </c>
      <c r="S618" s="5" t="n">
        <v>0</v>
      </c>
      <c r="T618" s="5" t="n">
        <v>0</v>
      </c>
      <c r="U618" s="5" t="inlineStr">
        <is>
          <t>testing</t>
        </is>
      </c>
    </row>
    <row r="619">
      <c r="A619" s="5" t="n">
        <v>615</v>
      </c>
      <c r="B619" s="5" t="n">
        <v>1</v>
      </c>
      <c r="C619" s="6" t="n">
        <v>-0.2301473069597001</v>
      </c>
      <c r="D619" s="6" t="n">
        <v>-0.5047887590219733</v>
      </c>
      <c r="E619" s="6" t="n">
        <v>-1.177614700251023</v>
      </c>
      <c r="F619" s="6" t="n">
        <v>0.9185437189662378</v>
      </c>
      <c r="G619" s="5" t="n">
        <v>0</v>
      </c>
      <c r="H619" s="5" t="n">
        <v>0</v>
      </c>
      <c r="I619" s="5" t="n">
        <v>0</v>
      </c>
      <c r="J619" s="5" t="n">
        <v>0</v>
      </c>
      <c r="K619" s="5" t="n">
        <v>1</v>
      </c>
      <c r="L619" s="5" t="n">
        <v>0</v>
      </c>
      <c r="M619" s="5" t="n">
        <v>0</v>
      </c>
      <c r="N619" s="5" t="n">
        <v>0</v>
      </c>
      <c r="O619" s="5" t="n">
        <v>0</v>
      </c>
      <c r="P619" s="5" t="n">
        <v>0</v>
      </c>
      <c r="Q619" s="5" t="n">
        <v>0</v>
      </c>
      <c r="R619" s="5" t="n">
        <v>0</v>
      </c>
      <c r="S619" s="5" t="n">
        <v>0</v>
      </c>
      <c r="T619" s="5" t="n">
        <v>1</v>
      </c>
      <c r="U619" s="5" t="inlineStr">
        <is>
          <t>testing</t>
        </is>
      </c>
    </row>
    <row r="620">
      <c r="A620" s="5" t="n">
        <v>616</v>
      </c>
      <c r="B620" s="5" t="n">
        <v>0</v>
      </c>
      <c r="C620" s="6" t="n">
        <v>2.297621231823615</v>
      </c>
      <c r="D620" s="6" t="n">
        <v>3.132696184496168</v>
      </c>
      <c r="E620" s="6" t="n">
        <v>1.083683837897175</v>
      </c>
      <c r="F620" s="6" t="n">
        <v>-0.8850484360866833</v>
      </c>
      <c r="G620" s="5" t="n">
        <v>0</v>
      </c>
      <c r="H620" s="5" t="n">
        <v>1</v>
      </c>
      <c r="I620" s="5" t="n">
        <v>0</v>
      </c>
      <c r="J620" s="5" t="n">
        <v>0</v>
      </c>
      <c r="K620" s="5" t="n">
        <v>0</v>
      </c>
      <c r="L620" s="5" t="n">
        <v>1</v>
      </c>
      <c r="M620" s="5" t="n">
        <v>0</v>
      </c>
      <c r="N620" s="5" t="n">
        <v>0</v>
      </c>
      <c r="O620" s="5" t="n">
        <v>1</v>
      </c>
      <c r="P620" s="5" t="n">
        <v>0</v>
      </c>
      <c r="Q620" s="5" t="n">
        <v>0</v>
      </c>
      <c r="R620" s="5" t="n">
        <v>0</v>
      </c>
      <c r="S620" s="5" t="n">
        <v>0</v>
      </c>
      <c r="T620" s="5" t="n">
        <v>0</v>
      </c>
      <c r="U620" s="5" t="inlineStr">
        <is>
          <t>training</t>
        </is>
      </c>
    </row>
    <row r="621">
      <c r="A621" s="5" t="n">
        <v>617</v>
      </c>
      <c r="B621" s="5" t="n">
        <v>0</v>
      </c>
      <c r="C621" s="6" t="n">
        <v>3.308728647336942</v>
      </c>
      <c r="D621" s="6" t="n">
        <v>2.066573000300345</v>
      </c>
      <c r="E621" s="6" t="n">
        <v>-0.7427495967609852</v>
      </c>
      <c r="F621" s="6" t="n">
        <v>-0.8850484360866833</v>
      </c>
      <c r="G621" s="5" t="n">
        <v>0</v>
      </c>
      <c r="H621" s="5" t="n">
        <v>1</v>
      </c>
      <c r="I621" s="5" t="n">
        <v>0</v>
      </c>
      <c r="J621" s="5" t="n">
        <v>0</v>
      </c>
      <c r="K621" s="5" t="n">
        <v>1</v>
      </c>
      <c r="L621" s="5" t="n">
        <v>0</v>
      </c>
      <c r="M621" s="5" t="n">
        <v>0</v>
      </c>
      <c r="N621" s="5" t="n">
        <v>0</v>
      </c>
      <c r="O621" s="5" t="n">
        <v>1</v>
      </c>
      <c r="P621" s="5" t="n">
        <v>0</v>
      </c>
      <c r="Q621" s="5" t="n">
        <v>1</v>
      </c>
      <c r="R621" s="5" t="n">
        <v>0</v>
      </c>
      <c r="S621" s="5" t="n">
        <v>1</v>
      </c>
      <c r="T621" s="5" t="n">
        <v>0</v>
      </c>
      <c r="U621" s="5" t="inlineStr">
        <is>
          <t>training</t>
        </is>
      </c>
    </row>
    <row r="622">
      <c r="A622" s="5" t="n">
        <v>618</v>
      </c>
      <c r="B622" s="5" t="n">
        <v>0</v>
      </c>
      <c r="C622" s="6" t="n">
        <v>-1.241254722473026</v>
      </c>
      <c r="D622" s="6" t="n">
        <v>0.1488108826182621</v>
      </c>
      <c r="E622" s="6" t="n">
        <v>0.1269806102190912</v>
      </c>
      <c r="F622" s="6" t="n">
        <v>-1.786844513613144</v>
      </c>
      <c r="G622" s="5" t="n">
        <v>1</v>
      </c>
      <c r="H622" s="5" t="n">
        <v>0</v>
      </c>
      <c r="I622" s="5" t="n">
        <v>0</v>
      </c>
      <c r="J622" s="5" t="n">
        <v>1</v>
      </c>
      <c r="K622" s="5" t="n">
        <v>0</v>
      </c>
      <c r="L622" s="5" t="n">
        <v>0</v>
      </c>
      <c r="M622" s="5" t="n">
        <v>0</v>
      </c>
      <c r="N622" s="5" t="n">
        <v>0</v>
      </c>
      <c r="O622" s="5" t="n">
        <v>0</v>
      </c>
      <c r="P622" s="5" t="n">
        <v>1</v>
      </c>
      <c r="Q622" s="5" t="n">
        <v>0</v>
      </c>
      <c r="R622" s="5" t="n">
        <v>1</v>
      </c>
      <c r="S622" s="5" t="n">
        <v>0</v>
      </c>
      <c r="T622" s="5" t="n">
        <v>0</v>
      </c>
      <c r="U622" s="5" t="inlineStr">
        <is>
          <t>testing</t>
        </is>
      </c>
    </row>
    <row r="623">
      <c r="A623" s="5" t="n">
        <v>619</v>
      </c>
      <c r="B623" s="5" t="n">
        <v>1</v>
      </c>
      <c r="C623" s="6" t="n">
        <v>0.7809601085536261</v>
      </c>
      <c r="D623" s="6" t="n">
        <v>0.06658608830056652</v>
      </c>
      <c r="E623" s="6" t="n">
        <v>-1.264587720949031</v>
      </c>
      <c r="F623" s="6" t="n">
        <v>-0.8850484360866833</v>
      </c>
      <c r="G623" s="5" t="n">
        <v>0</v>
      </c>
      <c r="H623" s="5" t="n">
        <v>1</v>
      </c>
      <c r="I623" s="5" t="n">
        <v>0</v>
      </c>
      <c r="J623" s="5" t="n">
        <v>0</v>
      </c>
      <c r="K623" s="5" t="n">
        <v>0</v>
      </c>
      <c r="L623" s="5" t="n">
        <v>0</v>
      </c>
      <c r="M623" s="5" t="n">
        <v>1</v>
      </c>
      <c r="N623" s="5" t="n">
        <v>0</v>
      </c>
      <c r="O623" s="5" t="n">
        <v>0</v>
      </c>
      <c r="P623" s="5" t="n">
        <v>1</v>
      </c>
      <c r="Q623" s="5" t="n">
        <v>0</v>
      </c>
      <c r="R623" s="5" t="n">
        <v>0</v>
      </c>
      <c r="S623" s="5" t="n">
        <v>0</v>
      </c>
      <c r="T623" s="5" t="n">
        <v>1</v>
      </c>
      <c r="U623" s="5" t="inlineStr">
        <is>
          <t>testing</t>
        </is>
      </c>
    </row>
    <row r="624">
      <c r="A624" s="5" t="n">
        <v>620</v>
      </c>
      <c r="B624" s="5" t="n">
        <v>0</v>
      </c>
      <c r="C624" s="6" t="n">
        <v>-0.7357010147163632</v>
      </c>
      <c r="D624" s="6" t="n">
        <v>-0.9134634814180091</v>
      </c>
      <c r="E624" s="6" t="n">
        <v>1.170656858595183</v>
      </c>
      <c r="F624" s="6" t="n">
        <v>0.9185437189662378</v>
      </c>
      <c r="G624" s="5" t="n">
        <v>0</v>
      </c>
      <c r="H624" s="5" t="n">
        <v>0</v>
      </c>
      <c r="I624" s="5" t="n">
        <v>0</v>
      </c>
      <c r="J624" s="5" t="n">
        <v>0</v>
      </c>
      <c r="K624" s="5" t="n">
        <v>0</v>
      </c>
      <c r="L624" s="5" t="n">
        <v>0</v>
      </c>
      <c r="M624" s="5" t="n">
        <v>0</v>
      </c>
      <c r="N624" s="5" t="n">
        <v>0</v>
      </c>
      <c r="O624" s="5" t="n">
        <v>0</v>
      </c>
      <c r="P624" s="5" t="n">
        <v>0</v>
      </c>
      <c r="Q624" s="5" t="n">
        <v>0</v>
      </c>
      <c r="R624" s="5" t="n">
        <v>1</v>
      </c>
      <c r="S624" s="5" t="n">
        <v>0</v>
      </c>
      <c r="T624" s="5" t="n">
        <v>0</v>
      </c>
      <c r="U624" s="5" t="inlineStr">
        <is>
          <t>training</t>
        </is>
      </c>
    </row>
    <row r="625">
      <c r="A625" s="5" t="n">
        <v>621</v>
      </c>
      <c r="B625" s="5" t="n">
        <v>0</v>
      </c>
      <c r="C625" s="6" t="n">
        <v>0.02262954691863145</v>
      </c>
      <c r="D625" s="6" t="n">
        <v>0.1404134568156038</v>
      </c>
      <c r="E625" s="6" t="n">
        <v>-0.7427495967609852</v>
      </c>
      <c r="F625" s="6" t="n">
        <v>-0.8850484360866833</v>
      </c>
      <c r="G625" s="5" t="n">
        <v>0</v>
      </c>
      <c r="H625" s="5" t="n">
        <v>1</v>
      </c>
      <c r="I625" s="5" t="n">
        <v>0</v>
      </c>
      <c r="J625" s="5" t="n">
        <v>1</v>
      </c>
      <c r="K625" s="5" t="n">
        <v>0</v>
      </c>
      <c r="L625" s="5" t="n">
        <v>0</v>
      </c>
      <c r="M625" s="5" t="n">
        <v>0</v>
      </c>
      <c r="N625" s="5" t="n">
        <v>0</v>
      </c>
      <c r="O625" s="5" t="n">
        <v>0</v>
      </c>
      <c r="P625" s="5" t="n">
        <v>0</v>
      </c>
      <c r="Q625" s="5" t="n">
        <v>0</v>
      </c>
      <c r="R625" s="5" t="n">
        <v>0</v>
      </c>
      <c r="S625" s="5" t="n">
        <v>0</v>
      </c>
      <c r="T625" s="5" t="n">
        <v>0</v>
      </c>
      <c r="U625" s="5" t="inlineStr">
        <is>
          <t>training</t>
        </is>
      </c>
    </row>
    <row r="626">
      <c r="A626" s="5" t="n">
        <v>622</v>
      </c>
      <c r="B626" s="5" t="n">
        <v>1</v>
      </c>
      <c r="C626" s="6" t="n">
        <v>-0.2301473069597001</v>
      </c>
      <c r="D626" s="6" t="n">
        <v>-0.6020589412360983</v>
      </c>
      <c r="E626" s="6" t="n">
        <v>-0.307884493270947</v>
      </c>
      <c r="F626" s="6" t="n">
        <v>0.01674764143977723</v>
      </c>
      <c r="G626" s="5" t="n">
        <v>0</v>
      </c>
      <c r="H626" s="5" t="n">
        <v>0</v>
      </c>
      <c r="I626" s="5" t="n">
        <v>0</v>
      </c>
      <c r="J626" s="5" t="n">
        <v>1</v>
      </c>
      <c r="K626" s="5" t="n">
        <v>0</v>
      </c>
      <c r="L626" s="5" t="n">
        <v>0</v>
      </c>
      <c r="M626" s="5" t="n">
        <v>0</v>
      </c>
      <c r="N626" s="5" t="n">
        <v>0</v>
      </c>
      <c r="O626" s="5" t="n">
        <v>0</v>
      </c>
      <c r="P626" s="5" t="n">
        <v>0</v>
      </c>
      <c r="Q626" s="5" t="n">
        <v>0</v>
      </c>
      <c r="R626" s="5" t="n">
        <v>1</v>
      </c>
      <c r="S626" s="5" t="n">
        <v>0</v>
      </c>
      <c r="T626" s="5" t="n">
        <v>0</v>
      </c>
      <c r="U626" s="5" t="inlineStr">
        <is>
          <t>training</t>
        </is>
      </c>
    </row>
    <row r="627">
      <c r="A627" s="5" t="n">
        <v>623</v>
      </c>
      <c r="B627" s="5" t="n">
        <v>1</v>
      </c>
      <c r="C627" s="6" t="n">
        <v>2.297621231823615</v>
      </c>
      <c r="D627" s="6" t="n">
        <v>0.2320853551612899</v>
      </c>
      <c r="E627" s="6" t="n">
        <v>0.2139536309170988</v>
      </c>
      <c r="F627" s="6" t="n">
        <v>0.9185437189662378</v>
      </c>
      <c r="G627" s="5" t="n">
        <v>0</v>
      </c>
      <c r="H627" s="5" t="n">
        <v>0</v>
      </c>
      <c r="I627" s="5" t="n">
        <v>0</v>
      </c>
      <c r="J627" s="5" t="n">
        <v>0</v>
      </c>
      <c r="K627" s="5" t="n">
        <v>0</v>
      </c>
      <c r="L627" s="5" t="n">
        <v>0</v>
      </c>
      <c r="M627" s="5" t="n">
        <v>0</v>
      </c>
      <c r="N627" s="5" t="n">
        <v>0</v>
      </c>
      <c r="O627" s="5" t="n">
        <v>1</v>
      </c>
      <c r="P627" s="5" t="n">
        <v>0</v>
      </c>
      <c r="Q627" s="5" t="n">
        <v>0</v>
      </c>
      <c r="R627" s="5" t="n">
        <v>0</v>
      </c>
      <c r="S627" s="5" t="n">
        <v>0</v>
      </c>
      <c r="T627" s="5" t="n">
        <v>0</v>
      </c>
      <c r="U627" s="5" t="inlineStr">
        <is>
          <t>training</t>
        </is>
      </c>
    </row>
    <row r="628">
      <c r="A628" s="5" t="n">
        <v>624</v>
      </c>
      <c r="B628" s="5" t="n">
        <v>0</v>
      </c>
      <c r="C628" s="6" t="n">
        <v>-0.7357010147163632</v>
      </c>
      <c r="D628" s="6" t="n">
        <v>-0.4872941219331019</v>
      </c>
      <c r="E628" s="6" t="n">
        <v>-1.177614700251023</v>
      </c>
      <c r="F628" s="6" t="n">
        <v>0.9185437189662378</v>
      </c>
      <c r="G628" s="5" t="n">
        <v>1</v>
      </c>
      <c r="H628" s="5" t="n">
        <v>0</v>
      </c>
      <c r="I628" s="5" t="n">
        <v>0</v>
      </c>
      <c r="J628" s="5" t="n">
        <v>0</v>
      </c>
      <c r="K628" s="5" t="n">
        <v>0</v>
      </c>
      <c r="L628" s="5" t="n">
        <v>0</v>
      </c>
      <c r="M628" s="5" t="n">
        <v>0</v>
      </c>
      <c r="N628" s="5" t="n">
        <v>0</v>
      </c>
      <c r="O628" s="5" t="n">
        <v>0</v>
      </c>
      <c r="P628" s="5" t="n">
        <v>1</v>
      </c>
      <c r="Q628" s="5" t="n">
        <v>0</v>
      </c>
      <c r="R628" s="5" t="n">
        <v>0</v>
      </c>
      <c r="S628" s="5" t="n">
        <v>0</v>
      </c>
      <c r="T628" s="5" t="n">
        <v>1</v>
      </c>
      <c r="U628" s="5" t="inlineStr">
        <is>
          <t>testing</t>
        </is>
      </c>
    </row>
    <row r="629">
      <c r="A629" s="5" t="n">
        <v>625</v>
      </c>
      <c r="B629" s="5" t="n">
        <v>1</v>
      </c>
      <c r="C629" s="6" t="n">
        <v>-0.2301473069597001</v>
      </c>
      <c r="D629" s="6" t="n">
        <v>-0.2276737075342504</v>
      </c>
      <c r="E629" s="6" t="n">
        <v>2.562225189763305</v>
      </c>
      <c r="F629" s="6" t="n">
        <v>0.9185437189662378</v>
      </c>
      <c r="G629" s="5" t="n">
        <v>1</v>
      </c>
      <c r="H629" s="5" t="n">
        <v>0</v>
      </c>
      <c r="I629" s="5" t="n">
        <v>0</v>
      </c>
      <c r="J629" s="5" t="n">
        <v>0</v>
      </c>
      <c r="K629" s="5" t="n">
        <v>0</v>
      </c>
      <c r="L629" s="5" t="n">
        <v>0</v>
      </c>
      <c r="M629" s="5" t="n">
        <v>0</v>
      </c>
      <c r="N629" s="5" t="n">
        <v>0</v>
      </c>
      <c r="O629" s="5" t="n">
        <v>0</v>
      </c>
      <c r="P629" s="5" t="n">
        <v>0</v>
      </c>
      <c r="Q629" s="5" t="n">
        <v>1</v>
      </c>
      <c r="R629" s="5" t="n">
        <v>0</v>
      </c>
      <c r="S629" s="5" t="n">
        <v>1</v>
      </c>
      <c r="T629" s="5" t="n">
        <v>0</v>
      </c>
      <c r="U629" s="5" t="inlineStr">
        <is>
          <t>training</t>
        </is>
      </c>
    </row>
    <row r="630">
      <c r="A630" s="5" t="n">
        <v>626</v>
      </c>
      <c r="B630" s="5" t="n">
        <v>0</v>
      </c>
      <c r="C630" s="6" t="n">
        <v>-0.4829241608380317</v>
      </c>
      <c r="D630" s="6" t="n">
        <v>-0.4449571001780331</v>
      </c>
      <c r="E630" s="6" t="n">
        <v>-0.04696543117692405</v>
      </c>
      <c r="F630" s="6" t="n">
        <v>0.9185437189662378</v>
      </c>
      <c r="G630" s="5" t="n">
        <v>0</v>
      </c>
      <c r="H630" s="5" t="n">
        <v>0</v>
      </c>
      <c r="I630" s="5" t="n">
        <v>0</v>
      </c>
      <c r="J630" s="5" t="n">
        <v>0</v>
      </c>
      <c r="K630" s="5" t="n">
        <v>0</v>
      </c>
      <c r="L630" s="5" t="n">
        <v>0</v>
      </c>
      <c r="M630" s="5" t="n">
        <v>0</v>
      </c>
      <c r="N630" s="5" t="n">
        <v>0</v>
      </c>
      <c r="O630" s="5" t="n">
        <v>1</v>
      </c>
      <c r="P630" s="5" t="n">
        <v>0</v>
      </c>
      <c r="Q630" s="5" t="n">
        <v>0</v>
      </c>
      <c r="R630" s="5" t="n">
        <v>0</v>
      </c>
      <c r="S630" s="5" t="n">
        <v>1</v>
      </c>
      <c r="T630" s="5" t="n">
        <v>0</v>
      </c>
      <c r="U630" s="5" t="inlineStr">
        <is>
          <t>training</t>
        </is>
      </c>
    </row>
    <row r="631">
      <c r="A631" s="5" t="n">
        <v>627</v>
      </c>
      <c r="B631" s="5" t="n">
        <v>0</v>
      </c>
      <c r="C631" s="6" t="n">
        <v>-1.241254722473026</v>
      </c>
      <c r="D631" s="6" t="n">
        <v>-0.3970217945545255</v>
      </c>
      <c r="E631" s="6" t="n">
        <v>0.4748726930111218</v>
      </c>
      <c r="F631" s="6" t="n">
        <v>-0.8850484360866833</v>
      </c>
      <c r="G631" s="5" t="n">
        <v>0</v>
      </c>
      <c r="H631" s="5" t="n">
        <v>0</v>
      </c>
      <c r="I631" s="5" t="n">
        <v>1</v>
      </c>
      <c r="J631" s="5" t="n">
        <v>0</v>
      </c>
      <c r="K631" s="5" t="n">
        <v>0</v>
      </c>
      <c r="L631" s="5" t="n">
        <v>0</v>
      </c>
      <c r="M631" s="5" t="n">
        <v>0</v>
      </c>
      <c r="N631" s="5" t="n">
        <v>0</v>
      </c>
      <c r="O631" s="5" t="n">
        <v>0</v>
      </c>
      <c r="P631" s="5" t="n">
        <v>0</v>
      </c>
      <c r="Q631" s="5" t="n">
        <v>0</v>
      </c>
      <c r="R631" s="5" t="n">
        <v>0</v>
      </c>
      <c r="S631" s="5" t="n">
        <v>0</v>
      </c>
      <c r="T631" s="5" t="n">
        <v>1</v>
      </c>
      <c r="U631" s="5" t="inlineStr">
        <is>
          <t>training</t>
        </is>
      </c>
    </row>
    <row r="632">
      <c r="A632" s="5" t="n">
        <v>628</v>
      </c>
      <c r="B632" s="5" t="n">
        <v>1</v>
      </c>
      <c r="C632" s="6" t="n">
        <v>-0.9884778685946948</v>
      </c>
      <c r="D632" s="6" t="n">
        <v>-0.6345989662213991</v>
      </c>
      <c r="E632" s="6" t="n">
        <v>-0.5688035553649698</v>
      </c>
      <c r="F632" s="6" t="n">
        <v>-0.8850484360866833</v>
      </c>
      <c r="G632" s="5" t="n">
        <v>0</v>
      </c>
      <c r="H632" s="5" t="n">
        <v>1</v>
      </c>
      <c r="I632" s="5" t="n">
        <v>0</v>
      </c>
      <c r="J632" s="5" t="n">
        <v>0</v>
      </c>
      <c r="K632" s="5" t="n">
        <v>0</v>
      </c>
      <c r="L632" s="5" t="n">
        <v>1</v>
      </c>
      <c r="M632" s="5" t="n">
        <v>1</v>
      </c>
      <c r="N632" s="5" t="n">
        <v>0</v>
      </c>
      <c r="O632" s="5" t="n">
        <v>0</v>
      </c>
      <c r="P632" s="5" t="n">
        <v>0</v>
      </c>
      <c r="Q632" s="5" t="n">
        <v>0</v>
      </c>
      <c r="R632" s="5" t="n">
        <v>1</v>
      </c>
      <c r="S632" s="5" t="n">
        <v>0</v>
      </c>
      <c r="T632" s="5" t="n">
        <v>0</v>
      </c>
      <c r="U632" s="5" t="inlineStr">
        <is>
          <t>training</t>
        </is>
      </c>
    </row>
    <row r="633">
      <c r="A633" s="5" t="n">
        <v>629</v>
      </c>
      <c r="B633" s="5" t="n">
        <v>0</v>
      </c>
      <c r="C633" s="6" t="n">
        <v>1.792067524066952</v>
      </c>
      <c r="D633" s="6" t="n">
        <v>0.2768716261088007</v>
      </c>
      <c r="E633" s="6" t="n">
        <v>0.04000758952108359</v>
      </c>
      <c r="F633" s="6" t="n">
        <v>0.9185437189662378</v>
      </c>
      <c r="G633" s="5" t="n">
        <v>0</v>
      </c>
      <c r="H633" s="5" t="n">
        <v>0</v>
      </c>
      <c r="I633" s="5" t="n">
        <v>0</v>
      </c>
      <c r="J633" s="5" t="n">
        <v>1</v>
      </c>
      <c r="K633" s="5" t="n">
        <v>0</v>
      </c>
      <c r="L633" s="5" t="n">
        <v>0</v>
      </c>
      <c r="M633" s="5" t="n">
        <v>1</v>
      </c>
      <c r="N633" s="5" t="n">
        <v>0</v>
      </c>
      <c r="O633" s="5" t="n">
        <v>0</v>
      </c>
      <c r="P633" s="5" t="n">
        <v>0</v>
      </c>
      <c r="Q633" s="5" t="n">
        <v>0</v>
      </c>
      <c r="R633" s="5" t="n">
        <v>0</v>
      </c>
      <c r="S633" s="5" t="n">
        <v>0</v>
      </c>
      <c r="T633" s="5" t="n">
        <v>1</v>
      </c>
      <c r="U633" s="5" t="inlineStr">
        <is>
          <t>training</t>
        </is>
      </c>
    </row>
    <row r="634">
      <c r="A634" s="5" t="n">
        <v>630</v>
      </c>
      <c r="B634" s="5" t="n">
        <v>0</v>
      </c>
      <c r="C634" s="6" t="n">
        <v>-0.9884778685946948</v>
      </c>
      <c r="D634" s="6" t="n">
        <v>0.2033941503355408</v>
      </c>
      <c r="E634" s="6" t="n">
        <v>2.475252169065298</v>
      </c>
      <c r="F634" s="6" t="n">
        <v>-1.786844513613144</v>
      </c>
      <c r="G634" s="5" t="n">
        <v>0</v>
      </c>
      <c r="H634" s="5" t="n">
        <v>0</v>
      </c>
      <c r="I634" s="5" t="n">
        <v>0</v>
      </c>
      <c r="J634" s="5" t="n">
        <v>0</v>
      </c>
      <c r="K634" s="5" t="n">
        <v>0</v>
      </c>
      <c r="L634" s="5" t="n">
        <v>0</v>
      </c>
      <c r="M634" s="5" t="n">
        <v>0</v>
      </c>
      <c r="N634" s="5" t="n">
        <v>0</v>
      </c>
      <c r="O634" s="5" t="n">
        <v>1</v>
      </c>
      <c r="P634" s="5" t="n">
        <v>0</v>
      </c>
      <c r="Q634" s="5" t="n">
        <v>0</v>
      </c>
      <c r="R634" s="5" t="n">
        <v>0</v>
      </c>
      <c r="S634" s="5" t="n">
        <v>0</v>
      </c>
      <c r="T634" s="5" t="n">
        <v>0</v>
      </c>
      <c r="U634" s="5" t="inlineStr">
        <is>
          <t>testing</t>
        </is>
      </c>
    </row>
    <row r="635">
      <c r="A635" s="5" t="n">
        <v>631</v>
      </c>
      <c r="B635" s="5" t="n">
        <v>0</v>
      </c>
      <c r="C635" s="6" t="n">
        <v>0.275406400796963</v>
      </c>
      <c r="D635" s="6" t="n">
        <v>0.1432125987498232</v>
      </c>
      <c r="E635" s="6" t="n">
        <v>-0.6557765760629775</v>
      </c>
      <c r="F635" s="6" t="n">
        <v>-0.8850484360866833</v>
      </c>
      <c r="G635" s="5" t="n">
        <v>1</v>
      </c>
      <c r="H635" s="5" t="n">
        <v>0</v>
      </c>
      <c r="I635" s="5" t="n">
        <v>0</v>
      </c>
      <c r="J635" s="5" t="n">
        <v>0</v>
      </c>
      <c r="K635" s="5" t="n">
        <v>0</v>
      </c>
      <c r="L635" s="5" t="n">
        <v>0</v>
      </c>
      <c r="M635" s="5" t="n">
        <v>0</v>
      </c>
      <c r="N635" s="5" t="n">
        <v>0</v>
      </c>
      <c r="O635" s="5" t="n">
        <v>0</v>
      </c>
      <c r="P635" s="5" t="n">
        <v>0</v>
      </c>
      <c r="Q635" s="5" t="n">
        <v>0</v>
      </c>
      <c r="R635" s="5" t="n">
        <v>0</v>
      </c>
      <c r="S635" s="5" t="n">
        <v>1</v>
      </c>
      <c r="T635" s="5" t="n">
        <v>0</v>
      </c>
      <c r="U635" s="5" t="inlineStr">
        <is>
          <t>testing</t>
        </is>
      </c>
    </row>
    <row r="636">
      <c r="A636" s="5" t="n">
        <v>632</v>
      </c>
      <c r="B636" s="5" t="n">
        <v>1</v>
      </c>
      <c r="C636" s="6" t="n">
        <v>-0.2301473069597001</v>
      </c>
      <c r="D636" s="6" t="n">
        <v>-0.5940114081752175</v>
      </c>
      <c r="E636" s="6" t="n">
        <v>0.7357917551051447</v>
      </c>
      <c r="F636" s="6" t="n">
        <v>0.9185437189662378</v>
      </c>
      <c r="G636" s="5" t="n">
        <v>1</v>
      </c>
      <c r="H636" s="5" t="n">
        <v>0</v>
      </c>
      <c r="I636" s="5" t="n">
        <v>0</v>
      </c>
      <c r="J636" s="5" t="n">
        <v>0</v>
      </c>
      <c r="K636" s="5" t="n">
        <v>0</v>
      </c>
      <c r="L636" s="5" t="n">
        <v>1</v>
      </c>
      <c r="M636" s="5" t="n">
        <v>0</v>
      </c>
      <c r="N636" s="5" t="n">
        <v>0</v>
      </c>
      <c r="O636" s="5" t="n">
        <v>0</v>
      </c>
      <c r="P636" s="5" t="n">
        <v>0</v>
      </c>
      <c r="Q636" s="5" t="n">
        <v>0</v>
      </c>
      <c r="R636" s="5" t="n">
        <v>0</v>
      </c>
      <c r="S636" s="5" t="n">
        <v>0</v>
      </c>
      <c r="T636" s="5" t="n">
        <v>1</v>
      </c>
      <c r="U636" s="5" t="inlineStr">
        <is>
          <t>training</t>
        </is>
      </c>
    </row>
    <row r="637">
      <c r="A637" s="5" t="n">
        <v>633</v>
      </c>
      <c r="B637" s="5" t="n">
        <v>0</v>
      </c>
      <c r="C637" s="6" t="n">
        <v>-0.4829241608380317</v>
      </c>
      <c r="D637" s="6" t="n">
        <v>-0.6321497170289571</v>
      </c>
      <c r="E637" s="6" t="n">
        <v>-1.090641679553016</v>
      </c>
      <c r="F637" s="6" t="n">
        <v>0.9185437189662378</v>
      </c>
      <c r="G637" s="5" t="n">
        <v>0</v>
      </c>
      <c r="H637" s="5" t="n">
        <v>1</v>
      </c>
      <c r="I637" s="5" t="n">
        <v>0</v>
      </c>
      <c r="J637" s="5" t="n">
        <v>0</v>
      </c>
      <c r="K637" s="5" t="n">
        <v>0</v>
      </c>
      <c r="L637" s="5" t="n">
        <v>0</v>
      </c>
      <c r="M637" s="5" t="n">
        <v>0</v>
      </c>
      <c r="N637" s="5" t="n">
        <v>0</v>
      </c>
      <c r="O637" s="5" t="n">
        <v>1</v>
      </c>
      <c r="P637" s="5" t="n">
        <v>0</v>
      </c>
      <c r="Q637" s="5" t="n">
        <v>0</v>
      </c>
      <c r="R637" s="5" t="n">
        <v>0</v>
      </c>
      <c r="S637" s="5" t="n">
        <v>1</v>
      </c>
      <c r="T637" s="5" t="n">
        <v>0</v>
      </c>
      <c r="U637" s="5" t="inlineStr">
        <is>
          <t>training</t>
        </is>
      </c>
    </row>
    <row r="638">
      <c r="A638" s="5" t="n">
        <v>634</v>
      </c>
      <c r="B638" s="5" t="n">
        <v>1</v>
      </c>
      <c r="C638" s="6" t="n">
        <v>-0.9884778685946948</v>
      </c>
      <c r="D638" s="6" t="n">
        <v>-0.4446072074362557</v>
      </c>
      <c r="E638" s="6" t="n">
        <v>-1.438533762345046</v>
      </c>
      <c r="F638" s="6" t="n">
        <v>-0.8850484360866833</v>
      </c>
      <c r="G638" s="5" t="n">
        <v>0</v>
      </c>
      <c r="H638" s="5" t="n">
        <v>0</v>
      </c>
      <c r="I638" s="5" t="n">
        <v>0</v>
      </c>
      <c r="J638" s="5" t="n">
        <v>0</v>
      </c>
      <c r="K638" s="5" t="n">
        <v>0</v>
      </c>
      <c r="L638" s="5" t="n">
        <v>0</v>
      </c>
      <c r="M638" s="5" t="n">
        <v>0</v>
      </c>
      <c r="N638" s="5" t="n">
        <v>0</v>
      </c>
      <c r="O638" s="5" t="n">
        <v>0</v>
      </c>
      <c r="P638" s="5" t="n">
        <v>1</v>
      </c>
      <c r="Q638" s="5" t="n">
        <v>0</v>
      </c>
      <c r="R638" s="5" t="n">
        <v>0</v>
      </c>
      <c r="S638" s="5" t="n">
        <v>0</v>
      </c>
      <c r="T638" s="5" t="n">
        <v>1</v>
      </c>
      <c r="U638" s="5" t="inlineStr">
        <is>
          <t>training</t>
        </is>
      </c>
    </row>
    <row r="639">
      <c r="A639" s="5" t="n">
        <v>635</v>
      </c>
      <c r="B639" s="5" t="n">
        <v>1</v>
      </c>
      <c r="C639" s="6" t="n">
        <v>0.275406400796963</v>
      </c>
      <c r="D639" s="6" t="n">
        <v>-0.6632901710471482</v>
      </c>
      <c r="E639" s="6" t="n">
        <v>-0.9166956381570004</v>
      </c>
      <c r="F639" s="6" t="n">
        <v>0.01674764143977723</v>
      </c>
      <c r="G639" s="5" t="n">
        <v>0</v>
      </c>
      <c r="H639" s="5" t="n">
        <v>1</v>
      </c>
      <c r="I639" s="5" t="n">
        <v>0</v>
      </c>
      <c r="J639" s="5" t="n">
        <v>0</v>
      </c>
      <c r="K639" s="5" t="n">
        <v>0</v>
      </c>
      <c r="L639" s="5" t="n">
        <v>0</v>
      </c>
      <c r="M639" s="5" t="n">
        <v>0</v>
      </c>
      <c r="N639" s="5" t="n">
        <v>0</v>
      </c>
      <c r="O639" s="5" t="n">
        <v>0</v>
      </c>
      <c r="P639" s="5" t="n">
        <v>0</v>
      </c>
      <c r="Q639" s="5" t="n">
        <v>0</v>
      </c>
      <c r="R639" s="5" t="n">
        <v>1</v>
      </c>
      <c r="S639" s="5" t="n">
        <v>0</v>
      </c>
      <c r="T639" s="5" t="n">
        <v>0</v>
      </c>
      <c r="U639" s="5" t="inlineStr">
        <is>
          <t>training</t>
        </is>
      </c>
    </row>
    <row r="640">
      <c r="A640" s="5" t="n">
        <v>636</v>
      </c>
      <c r="B640" s="5" t="n">
        <v>0</v>
      </c>
      <c r="C640" s="6" t="n">
        <v>-0.7357010147163632</v>
      </c>
      <c r="D640" s="6" t="n">
        <v>-0.6499942468596059</v>
      </c>
      <c r="E640" s="6" t="n">
        <v>0.9967108171991675</v>
      </c>
      <c r="F640" s="6" t="n">
        <v>0.9185437189662378</v>
      </c>
      <c r="G640" s="5" t="n">
        <v>0</v>
      </c>
      <c r="H640" s="5" t="n">
        <v>0</v>
      </c>
      <c r="I640" s="5" t="n">
        <v>0</v>
      </c>
      <c r="J640" s="5" t="n">
        <v>0</v>
      </c>
      <c r="K640" s="5" t="n">
        <v>0</v>
      </c>
      <c r="L640" s="5" t="n">
        <v>0</v>
      </c>
      <c r="M640" s="5" t="n">
        <v>0</v>
      </c>
      <c r="N640" s="5" t="n">
        <v>0</v>
      </c>
      <c r="O640" s="5" t="n">
        <v>0</v>
      </c>
      <c r="P640" s="5" t="n">
        <v>0</v>
      </c>
      <c r="Q640" s="5" t="n">
        <v>0</v>
      </c>
      <c r="R640" s="5" t="n">
        <v>0</v>
      </c>
      <c r="S640" s="5" t="n">
        <v>0</v>
      </c>
      <c r="T640" s="5" t="n">
        <v>0</v>
      </c>
      <c r="U640" s="5" t="inlineStr">
        <is>
          <t>training</t>
        </is>
      </c>
    </row>
    <row r="641">
      <c r="A641" s="5" t="n">
        <v>637</v>
      </c>
      <c r="B641" s="5" t="n">
        <v>0</v>
      </c>
      <c r="C641" s="6" t="n">
        <v>0.275406400796963</v>
      </c>
      <c r="D641" s="6" t="n">
        <v>-0.6559424234698222</v>
      </c>
      <c r="E641" s="6" t="n">
        <v>-0.6557765760629775</v>
      </c>
      <c r="F641" s="6" t="n">
        <v>0.9185437189662378</v>
      </c>
      <c r="G641" s="5" t="n">
        <v>0</v>
      </c>
      <c r="H641" s="5" t="n">
        <v>0</v>
      </c>
      <c r="I641" s="5" t="n">
        <v>0</v>
      </c>
      <c r="J641" s="5" t="n">
        <v>0</v>
      </c>
      <c r="K641" s="5" t="n">
        <v>0</v>
      </c>
      <c r="L641" s="5" t="n">
        <v>0</v>
      </c>
      <c r="M641" s="5" t="n">
        <v>1</v>
      </c>
      <c r="N641" s="5" t="n">
        <v>0</v>
      </c>
      <c r="O641" s="5" t="n">
        <v>0</v>
      </c>
      <c r="P641" s="5" t="n">
        <v>0</v>
      </c>
      <c r="Q641" s="5" t="n">
        <v>0</v>
      </c>
      <c r="R641" s="5" t="n">
        <v>0</v>
      </c>
      <c r="S641" s="5" t="n">
        <v>1</v>
      </c>
      <c r="T641" s="5" t="n">
        <v>0</v>
      </c>
      <c r="U641" s="5" t="inlineStr">
        <is>
          <t>training</t>
        </is>
      </c>
    </row>
    <row r="642">
      <c r="A642" s="5" t="n">
        <v>638</v>
      </c>
      <c r="B642" s="5" t="n">
        <v>0</v>
      </c>
      <c r="C642" s="6" t="n">
        <v>3.308728647336942</v>
      </c>
      <c r="D642" s="6" t="n">
        <v>4.339476250886516</v>
      </c>
      <c r="E642" s="6" t="n">
        <v>-1.264587720949031</v>
      </c>
      <c r="F642" s="6" t="n">
        <v>-0.8850484360866833</v>
      </c>
      <c r="G642" s="5" t="n">
        <v>0</v>
      </c>
      <c r="H642" s="5" t="n">
        <v>0</v>
      </c>
      <c r="I642" s="5" t="n">
        <v>0</v>
      </c>
      <c r="J642" s="5" t="n">
        <v>0</v>
      </c>
      <c r="K642" s="5" t="n">
        <v>1</v>
      </c>
      <c r="L642" s="5" t="n">
        <v>0</v>
      </c>
      <c r="M642" s="5" t="n">
        <v>0</v>
      </c>
      <c r="N642" s="5" t="n">
        <v>0</v>
      </c>
      <c r="O642" s="5" t="n">
        <v>0</v>
      </c>
      <c r="P642" s="5" t="n">
        <v>0</v>
      </c>
      <c r="Q642" s="5" t="n">
        <v>0</v>
      </c>
      <c r="R642" s="5" t="n">
        <v>0</v>
      </c>
      <c r="S642" s="5" t="n">
        <v>1</v>
      </c>
      <c r="T642" s="5" t="n">
        <v>0</v>
      </c>
      <c r="U642" s="5" t="inlineStr">
        <is>
          <t>training</t>
        </is>
      </c>
    </row>
    <row r="643">
      <c r="A643" s="5" t="n">
        <v>639</v>
      </c>
      <c r="B643" s="5" t="n">
        <v>0</v>
      </c>
      <c r="C643" s="6" t="n">
        <v>-0.7357010147163632</v>
      </c>
      <c r="D643" s="6" t="n">
        <v>-0.6150049726818632</v>
      </c>
      <c r="E643" s="6" t="n">
        <v>-0.1339384518749317</v>
      </c>
      <c r="F643" s="6" t="n">
        <v>0.9185437189662378</v>
      </c>
      <c r="G643" s="5" t="n">
        <v>0</v>
      </c>
      <c r="H643" s="5" t="n">
        <v>0</v>
      </c>
      <c r="I643" s="5" t="n">
        <v>0</v>
      </c>
      <c r="J643" s="5" t="n">
        <v>0</v>
      </c>
      <c r="K643" s="5" t="n">
        <v>0</v>
      </c>
      <c r="L643" s="5" t="n">
        <v>0</v>
      </c>
      <c r="M643" s="5" t="n">
        <v>0</v>
      </c>
      <c r="N643" s="5" t="n">
        <v>0</v>
      </c>
      <c r="O643" s="5" t="n">
        <v>0</v>
      </c>
      <c r="P643" s="5" t="n">
        <v>0</v>
      </c>
      <c r="Q643" s="5" t="n">
        <v>0</v>
      </c>
      <c r="R643" s="5" t="n">
        <v>0</v>
      </c>
      <c r="S643" s="5" t="n">
        <v>1</v>
      </c>
      <c r="T643" s="5" t="n">
        <v>0</v>
      </c>
      <c r="U643" s="5" t="inlineStr">
        <is>
          <t>training</t>
        </is>
      </c>
    </row>
    <row r="644">
      <c r="A644" s="5" t="n">
        <v>640</v>
      </c>
      <c r="B644" s="5" t="n">
        <v>1</v>
      </c>
      <c r="C644" s="6" t="n">
        <v>1.792067524066952</v>
      </c>
      <c r="D644" s="6" t="n">
        <v>0.3916364454117971</v>
      </c>
      <c r="E644" s="6" t="n">
        <v>-0.8297226174589928</v>
      </c>
      <c r="F644" s="6" t="n">
        <v>0.01674764143977723</v>
      </c>
      <c r="G644" s="5" t="n">
        <v>1</v>
      </c>
      <c r="H644" s="5" t="n">
        <v>0</v>
      </c>
      <c r="I644" s="5" t="n">
        <v>0</v>
      </c>
      <c r="J644" s="5" t="n">
        <v>0</v>
      </c>
      <c r="K644" s="5" t="n">
        <v>1</v>
      </c>
      <c r="L644" s="5" t="n">
        <v>0</v>
      </c>
      <c r="M644" s="5" t="n">
        <v>0</v>
      </c>
      <c r="N644" s="5" t="n">
        <v>0</v>
      </c>
      <c r="O644" s="5" t="n">
        <v>0</v>
      </c>
      <c r="P644" s="5" t="n">
        <v>0</v>
      </c>
      <c r="Q644" s="5" t="n">
        <v>0</v>
      </c>
      <c r="R644" s="5" t="n">
        <v>0</v>
      </c>
      <c r="S644" s="5" t="n">
        <v>1</v>
      </c>
      <c r="T644" s="5" t="n">
        <v>0</v>
      </c>
      <c r="U644" s="5" t="inlineStr">
        <is>
          <t>testing</t>
        </is>
      </c>
    </row>
    <row r="645">
      <c r="A645" s="5" t="n">
        <v>641</v>
      </c>
      <c r="B645" s="5" t="n">
        <v>1</v>
      </c>
      <c r="C645" s="6" t="n">
        <v>-0.2301473069597001</v>
      </c>
      <c r="D645" s="6" t="n">
        <v>-0.8749752798224921</v>
      </c>
      <c r="E645" s="6" t="n">
        <v>-0.7427495967609852</v>
      </c>
      <c r="F645" s="6" t="n">
        <v>0.9185437189662378</v>
      </c>
      <c r="G645" s="5" t="n">
        <v>1</v>
      </c>
      <c r="H645" s="5" t="n">
        <v>0</v>
      </c>
      <c r="I645" s="5" t="n">
        <v>0</v>
      </c>
      <c r="J645" s="5" t="n">
        <v>0</v>
      </c>
      <c r="K645" s="5" t="n">
        <v>0</v>
      </c>
      <c r="L645" s="5" t="n">
        <v>0</v>
      </c>
      <c r="M645" s="5" t="n">
        <v>0</v>
      </c>
      <c r="N645" s="5" t="n">
        <v>0</v>
      </c>
      <c r="O645" s="5" t="n">
        <v>0</v>
      </c>
      <c r="P645" s="5" t="n">
        <v>0</v>
      </c>
      <c r="Q645" s="5" t="n">
        <v>0</v>
      </c>
      <c r="R645" s="5" t="n">
        <v>0</v>
      </c>
      <c r="S645" s="5" t="n">
        <v>0</v>
      </c>
      <c r="T645" s="5" t="n">
        <v>0</v>
      </c>
      <c r="U645" s="5" t="inlineStr">
        <is>
          <t>testing</t>
        </is>
      </c>
    </row>
    <row r="646">
      <c r="A646" s="5" t="n">
        <v>642</v>
      </c>
      <c r="B646" s="5" t="n">
        <v>0</v>
      </c>
      <c r="C646" s="6" t="n">
        <v>-0.4829241608380317</v>
      </c>
      <c r="D646" s="6" t="n">
        <v>-0.6797351299106873</v>
      </c>
      <c r="E646" s="6" t="n">
        <v>0.2139536309170988</v>
      </c>
      <c r="F646" s="6" t="n">
        <v>0.9185437189662378</v>
      </c>
      <c r="G646" s="5" t="n">
        <v>0</v>
      </c>
      <c r="H646" s="5" t="n">
        <v>1</v>
      </c>
      <c r="I646" s="5" t="n">
        <v>0</v>
      </c>
      <c r="J646" s="5" t="n">
        <v>0</v>
      </c>
      <c r="K646" s="5" t="n">
        <v>0</v>
      </c>
      <c r="L646" s="5" t="n">
        <v>0</v>
      </c>
      <c r="M646" s="5" t="n">
        <v>0</v>
      </c>
      <c r="N646" s="5" t="n">
        <v>0</v>
      </c>
      <c r="O646" s="5" t="n">
        <v>0</v>
      </c>
      <c r="P646" s="5" t="n">
        <v>0</v>
      </c>
      <c r="Q646" s="5" t="n">
        <v>0</v>
      </c>
      <c r="R646" s="5" t="n">
        <v>0</v>
      </c>
      <c r="S646" s="5" t="n">
        <v>0</v>
      </c>
      <c r="T646" s="5" t="n">
        <v>0</v>
      </c>
      <c r="U646" s="5" t="inlineStr">
        <is>
          <t>training</t>
        </is>
      </c>
    </row>
    <row r="647">
      <c r="A647" s="5" t="n">
        <v>643</v>
      </c>
      <c r="B647" s="5" t="n">
        <v>1</v>
      </c>
      <c r="C647" s="6" t="n">
        <v>-0.4829241608380317</v>
      </c>
      <c r="D647" s="6" t="n">
        <v>0.4801593090814864</v>
      </c>
      <c r="E647" s="6" t="n">
        <v>0.3878996723131141</v>
      </c>
      <c r="F647" s="6" t="n">
        <v>0.01674764143977723</v>
      </c>
      <c r="G647" s="5" t="n">
        <v>0</v>
      </c>
      <c r="H647" s="5" t="n">
        <v>0</v>
      </c>
      <c r="I647" s="5" t="n">
        <v>0</v>
      </c>
      <c r="J647" s="5" t="n">
        <v>0</v>
      </c>
      <c r="K647" s="5" t="n">
        <v>0</v>
      </c>
      <c r="L647" s="5" t="n">
        <v>0</v>
      </c>
      <c r="M647" s="5" t="n">
        <v>1</v>
      </c>
      <c r="N647" s="5" t="n">
        <v>0</v>
      </c>
      <c r="O647" s="5" t="n">
        <v>0</v>
      </c>
      <c r="P647" s="5" t="n">
        <v>0</v>
      </c>
      <c r="Q647" s="5" t="n">
        <v>0</v>
      </c>
      <c r="R647" s="5" t="n">
        <v>0</v>
      </c>
      <c r="S647" s="5" t="n">
        <v>0</v>
      </c>
      <c r="T647" s="5" t="n">
        <v>0</v>
      </c>
      <c r="U647" s="5" t="inlineStr">
        <is>
          <t>training</t>
        </is>
      </c>
    </row>
    <row r="648">
      <c r="A648" s="5" t="n">
        <v>644</v>
      </c>
      <c r="B648" s="5" t="n">
        <v>0</v>
      </c>
      <c r="C648" s="6" t="n">
        <v>0.275406400796963</v>
      </c>
      <c r="D648" s="6" t="n">
        <v>-0.4897433711255439</v>
      </c>
      <c r="E648" s="6" t="n">
        <v>-0.2209114725729393</v>
      </c>
      <c r="F648" s="6" t="n">
        <v>0.9185437189662378</v>
      </c>
      <c r="G648" s="5" t="n">
        <v>0</v>
      </c>
      <c r="H648" s="5" t="n">
        <v>0</v>
      </c>
      <c r="I648" s="5" t="n">
        <v>0</v>
      </c>
      <c r="J648" s="5" t="n">
        <v>1</v>
      </c>
      <c r="K648" s="5" t="n">
        <v>0</v>
      </c>
      <c r="L648" s="5" t="n">
        <v>0</v>
      </c>
      <c r="M648" s="5" t="n">
        <v>0</v>
      </c>
      <c r="N648" s="5" t="n">
        <v>0</v>
      </c>
      <c r="O648" s="5" t="n">
        <v>0</v>
      </c>
      <c r="P648" s="5" t="n">
        <v>0</v>
      </c>
      <c r="Q648" s="5" t="n">
        <v>0</v>
      </c>
      <c r="R648" s="5" t="n">
        <v>0</v>
      </c>
      <c r="S648" s="5" t="n">
        <v>1</v>
      </c>
      <c r="T648" s="5" t="n">
        <v>0</v>
      </c>
      <c r="U648" s="5" t="inlineStr">
        <is>
          <t>training</t>
        </is>
      </c>
    </row>
    <row r="649">
      <c r="A649" s="5" t="n">
        <v>645</v>
      </c>
      <c r="B649" s="5" t="n">
        <v>0</v>
      </c>
      <c r="C649" s="6" t="n">
        <v>-0.2301473069597001</v>
      </c>
      <c r="D649" s="6" t="n">
        <v>-0.4795964816139985</v>
      </c>
      <c r="E649" s="6" t="n">
        <v>-0.307884493270947</v>
      </c>
      <c r="F649" s="6" t="n">
        <v>0.9185437189662378</v>
      </c>
      <c r="G649" s="5" t="n">
        <v>1</v>
      </c>
      <c r="H649" s="5" t="n">
        <v>0</v>
      </c>
      <c r="I649" s="5" t="n">
        <v>0</v>
      </c>
      <c r="J649" s="5" t="n">
        <v>1</v>
      </c>
      <c r="K649" s="5" t="n">
        <v>0</v>
      </c>
      <c r="L649" s="5" t="n">
        <v>0</v>
      </c>
      <c r="M649" s="5" t="n">
        <v>0</v>
      </c>
      <c r="N649" s="5" t="n">
        <v>0</v>
      </c>
      <c r="O649" s="5" t="n">
        <v>0</v>
      </c>
      <c r="P649" s="5" t="n">
        <v>0</v>
      </c>
      <c r="Q649" s="5" t="n">
        <v>0</v>
      </c>
      <c r="R649" s="5" t="n">
        <v>0</v>
      </c>
      <c r="S649" s="5" t="n">
        <v>1</v>
      </c>
      <c r="T649" s="5" t="n">
        <v>0</v>
      </c>
      <c r="U649" s="5" t="inlineStr">
        <is>
          <t>testing</t>
        </is>
      </c>
    </row>
    <row r="650">
      <c r="A650" s="5" t="n">
        <v>646</v>
      </c>
      <c r="B650" s="5" t="n">
        <v>1</v>
      </c>
      <c r="C650" s="6" t="n">
        <v>1.286513816310289</v>
      </c>
      <c r="D650" s="6" t="n">
        <v>1.654749243228312</v>
      </c>
      <c r="E650" s="6" t="n">
        <v>-0.7427495967609852</v>
      </c>
      <c r="F650" s="6" t="n">
        <v>0.9185437189662378</v>
      </c>
      <c r="G650" s="5" t="n">
        <v>0</v>
      </c>
      <c r="H650" s="5" t="n">
        <v>0</v>
      </c>
      <c r="I650" s="5" t="n">
        <v>0</v>
      </c>
      <c r="J650" s="5" t="n">
        <v>0</v>
      </c>
      <c r="K650" s="5" t="n">
        <v>1</v>
      </c>
      <c r="L650" s="5" t="n">
        <v>0</v>
      </c>
      <c r="M650" s="5" t="n">
        <v>0</v>
      </c>
      <c r="N650" s="5" t="n">
        <v>0</v>
      </c>
      <c r="O650" s="5" t="n">
        <v>1</v>
      </c>
      <c r="P650" s="5" t="n">
        <v>1</v>
      </c>
      <c r="Q650" s="5" t="n">
        <v>0</v>
      </c>
      <c r="R650" s="5" t="n">
        <v>0</v>
      </c>
      <c r="S650" s="5" t="n">
        <v>0</v>
      </c>
      <c r="T650" s="5" t="n">
        <v>0</v>
      </c>
      <c r="U650" s="5" t="inlineStr">
        <is>
          <t>training</t>
        </is>
      </c>
    </row>
    <row r="651">
      <c r="A651" s="5" t="n">
        <v>647</v>
      </c>
      <c r="B651" s="5" t="n">
        <v>0</v>
      </c>
      <c r="C651" s="6" t="n">
        <v>0.7809601085536261</v>
      </c>
      <c r="D651" s="6" t="n">
        <v>0.4661635994103892</v>
      </c>
      <c r="E651" s="6" t="n">
        <v>-0.307884493270947</v>
      </c>
      <c r="F651" s="6" t="n">
        <v>-0.8850484360866833</v>
      </c>
      <c r="G651" s="5" t="n">
        <v>1</v>
      </c>
      <c r="H651" s="5" t="n">
        <v>0</v>
      </c>
      <c r="I651" s="5" t="n">
        <v>0</v>
      </c>
      <c r="J651" s="5" t="n">
        <v>0</v>
      </c>
      <c r="K651" s="5" t="n">
        <v>0</v>
      </c>
      <c r="L651" s="5" t="n">
        <v>1</v>
      </c>
      <c r="M651" s="5" t="n">
        <v>0</v>
      </c>
      <c r="N651" s="5" t="n">
        <v>0</v>
      </c>
      <c r="O651" s="5" t="n">
        <v>0</v>
      </c>
      <c r="P651" s="5" t="n">
        <v>0</v>
      </c>
      <c r="Q651" s="5" t="n">
        <v>0</v>
      </c>
      <c r="R651" s="5" t="n">
        <v>0</v>
      </c>
      <c r="S651" s="5" t="n">
        <v>0</v>
      </c>
      <c r="T651" s="5" t="n">
        <v>1</v>
      </c>
      <c r="U651" s="5" t="inlineStr">
        <is>
          <t>training</t>
        </is>
      </c>
    </row>
    <row r="652">
      <c r="A652" s="5" t="n">
        <v>648</v>
      </c>
      <c r="B652" s="5" t="n">
        <v>1</v>
      </c>
      <c r="C652" s="6" t="n">
        <v>-0.7357010147163632</v>
      </c>
      <c r="D652" s="6" t="n">
        <v>-0.6524434960520479</v>
      </c>
      <c r="E652" s="6" t="n">
        <v>-0.8297226174589928</v>
      </c>
      <c r="F652" s="6" t="n">
        <v>-0.8850484360866833</v>
      </c>
      <c r="G652" s="5" t="n">
        <v>0</v>
      </c>
      <c r="H652" s="5" t="n">
        <v>0</v>
      </c>
      <c r="I652" s="5" t="n">
        <v>0</v>
      </c>
      <c r="J652" s="5" t="n">
        <v>0</v>
      </c>
      <c r="K652" s="5" t="n">
        <v>0</v>
      </c>
      <c r="L652" s="5" t="n">
        <v>0</v>
      </c>
      <c r="M652" s="5" t="n">
        <v>1</v>
      </c>
      <c r="N652" s="5" t="n">
        <v>0</v>
      </c>
      <c r="O652" s="5" t="n">
        <v>0</v>
      </c>
      <c r="P652" s="5" t="n">
        <v>0</v>
      </c>
      <c r="Q652" s="5" t="n">
        <v>0</v>
      </c>
      <c r="R652" s="5" t="n">
        <v>1</v>
      </c>
      <c r="S652" s="5" t="n">
        <v>0</v>
      </c>
      <c r="T652" s="5" t="n">
        <v>0</v>
      </c>
      <c r="U652" s="5" t="inlineStr">
        <is>
          <t>training</t>
        </is>
      </c>
    </row>
    <row r="653">
      <c r="A653" s="5" t="n">
        <v>649</v>
      </c>
      <c r="B653" s="5" t="n">
        <v>1</v>
      </c>
      <c r="C653" s="6" t="n">
        <v>0.275406400796963</v>
      </c>
      <c r="D653" s="6" t="n">
        <v>-0.8060464096923388</v>
      </c>
      <c r="E653" s="6" t="n">
        <v>0.2139536309170988</v>
      </c>
      <c r="F653" s="6" t="n">
        <v>0.9185437189662378</v>
      </c>
      <c r="G653" s="5" t="n">
        <v>0</v>
      </c>
      <c r="H653" s="5" t="n">
        <v>0</v>
      </c>
      <c r="I653" s="5" t="n">
        <v>1</v>
      </c>
      <c r="J653" s="5" t="n">
        <v>0</v>
      </c>
      <c r="K653" s="5" t="n">
        <v>0</v>
      </c>
      <c r="L653" s="5" t="n">
        <v>0</v>
      </c>
      <c r="M653" s="5" t="n">
        <v>0</v>
      </c>
      <c r="N653" s="5" t="n">
        <v>0</v>
      </c>
      <c r="O653" s="5" t="n">
        <v>0</v>
      </c>
      <c r="P653" s="5" t="n">
        <v>0</v>
      </c>
      <c r="Q653" s="5" t="n">
        <v>1</v>
      </c>
      <c r="R653" s="5" t="n">
        <v>1</v>
      </c>
      <c r="S653" s="5" t="n">
        <v>0</v>
      </c>
      <c r="T653" s="5" t="n">
        <v>0</v>
      </c>
      <c r="U653" s="5" t="inlineStr">
        <is>
          <t>training</t>
        </is>
      </c>
    </row>
    <row r="654">
      <c r="A654" s="5" t="n">
        <v>650</v>
      </c>
      <c r="B654" s="5" t="n">
        <v>1</v>
      </c>
      <c r="C654" s="6" t="n">
        <v>-0.7357010147163632</v>
      </c>
      <c r="D654" s="6" t="n">
        <v>-0.8980682007798023</v>
      </c>
      <c r="E654" s="6" t="n">
        <v>0.3878996723131141</v>
      </c>
      <c r="F654" s="6" t="n">
        <v>0.9185437189662378</v>
      </c>
      <c r="G654" s="5" t="n">
        <v>1</v>
      </c>
      <c r="H654" s="5" t="n">
        <v>0</v>
      </c>
      <c r="I654" s="5" t="n">
        <v>0</v>
      </c>
      <c r="J654" s="5" t="n">
        <v>0</v>
      </c>
      <c r="K654" s="5" t="n">
        <v>0</v>
      </c>
      <c r="L654" s="5" t="n">
        <v>0</v>
      </c>
      <c r="M654" s="5" t="n">
        <v>0</v>
      </c>
      <c r="N654" s="5" t="n">
        <v>0</v>
      </c>
      <c r="O654" s="5" t="n">
        <v>0</v>
      </c>
      <c r="P654" s="5" t="n">
        <v>1</v>
      </c>
      <c r="Q654" s="5" t="n">
        <v>0</v>
      </c>
      <c r="R654" s="5" t="n">
        <v>0</v>
      </c>
      <c r="S654" s="5" t="n">
        <v>0</v>
      </c>
      <c r="T654" s="5" t="n">
        <v>0</v>
      </c>
      <c r="U654" s="5" t="inlineStr">
        <is>
          <t>training</t>
        </is>
      </c>
    </row>
    <row r="655">
      <c r="A655" s="5" t="n">
        <v>651</v>
      </c>
      <c r="B655" s="5" t="n">
        <v>0</v>
      </c>
      <c r="C655" s="6" t="n">
        <v>2.297621231823615</v>
      </c>
      <c r="D655" s="6" t="n">
        <v>1.478403301372488</v>
      </c>
      <c r="E655" s="6" t="n">
        <v>1.257629879293191</v>
      </c>
      <c r="F655" s="6" t="n">
        <v>0.9185437189662378</v>
      </c>
      <c r="G655" s="5" t="n">
        <v>1</v>
      </c>
      <c r="H655" s="5" t="n">
        <v>0</v>
      </c>
      <c r="I655" s="5" t="n">
        <v>0</v>
      </c>
      <c r="J655" s="5" t="n">
        <v>0</v>
      </c>
      <c r="K655" s="5" t="n">
        <v>0</v>
      </c>
      <c r="L655" s="5" t="n">
        <v>0</v>
      </c>
      <c r="M655" s="5" t="n">
        <v>0</v>
      </c>
      <c r="N655" s="5" t="n">
        <v>0</v>
      </c>
      <c r="O655" s="5" t="n">
        <v>0</v>
      </c>
      <c r="P655" s="5" t="n">
        <v>0</v>
      </c>
      <c r="Q655" s="5" t="n">
        <v>1</v>
      </c>
      <c r="R655" s="5" t="n">
        <v>0</v>
      </c>
      <c r="S655" s="5" t="n">
        <v>0</v>
      </c>
      <c r="T655" s="5" t="n">
        <v>0</v>
      </c>
      <c r="U655" s="5" t="inlineStr">
        <is>
          <t>training</t>
        </is>
      </c>
    </row>
    <row r="656">
      <c r="A656" s="5" t="n">
        <v>652</v>
      </c>
      <c r="B656" s="5" t="n">
        <v>1</v>
      </c>
      <c r="C656" s="6" t="n">
        <v>-0.7357010147163632</v>
      </c>
      <c r="D656" s="6" t="n">
        <v>-0.4649009864593465</v>
      </c>
      <c r="E656" s="6" t="n">
        <v>0.1269806102190912</v>
      </c>
      <c r="F656" s="6" t="n">
        <v>0.9185437189662378</v>
      </c>
      <c r="G656" s="5" t="n">
        <v>0</v>
      </c>
      <c r="H656" s="5" t="n">
        <v>1</v>
      </c>
      <c r="I656" s="5" t="n">
        <v>0</v>
      </c>
      <c r="J656" s="5" t="n">
        <v>0</v>
      </c>
      <c r="K656" s="5" t="n">
        <v>0</v>
      </c>
      <c r="L656" s="5" t="n">
        <v>0</v>
      </c>
      <c r="M656" s="5" t="n">
        <v>0</v>
      </c>
      <c r="N656" s="5" t="n">
        <v>0</v>
      </c>
      <c r="O656" s="5" t="n">
        <v>0</v>
      </c>
      <c r="P656" s="5" t="n">
        <v>0</v>
      </c>
      <c r="Q656" s="5" t="n">
        <v>0</v>
      </c>
      <c r="R656" s="5" t="n">
        <v>0</v>
      </c>
      <c r="S656" s="5" t="n">
        <v>0</v>
      </c>
      <c r="T656" s="5" t="n">
        <v>1</v>
      </c>
      <c r="U656" s="5" t="inlineStr">
        <is>
          <t>testing</t>
        </is>
      </c>
    </row>
    <row r="657">
      <c r="A657" s="5" t="n">
        <v>653</v>
      </c>
      <c r="B657" s="5" t="n">
        <v>1</v>
      </c>
      <c r="C657" s="6" t="n">
        <v>0.275406400796963</v>
      </c>
      <c r="D657" s="6" t="n">
        <v>-0.3315918518421465</v>
      </c>
      <c r="E657" s="6" t="n">
        <v>0.8227647758031523</v>
      </c>
      <c r="F657" s="6" t="n">
        <v>0.9185437189662378</v>
      </c>
      <c r="G657" s="5" t="n">
        <v>1</v>
      </c>
      <c r="H657" s="5" t="n">
        <v>0</v>
      </c>
      <c r="I657" s="5" t="n">
        <v>0</v>
      </c>
      <c r="J657" s="5" t="n">
        <v>0</v>
      </c>
      <c r="K657" s="5" t="n">
        <v>0</v>
      </c>
      <c r="L657" s="5" t="n">
        <v>0</v>
      </c>
      <c r="M657" s="5" t="n">
        <v>0</v>
      </c>
      <c r="N657" s="5" t="n">
        <v>0</v>
      </c>
      <c r="O657" s="5" t="n">
        <v>0</v>
      </c>
      <c r="P657" s="5" t="n">
        <v>0</v>
      </c>
      <c r="Q657" s="5" t="n">
        <v>0</v>
      </c>
      <c r="R657" s="5" t="n">
        <v>1</v>
      </c>
      <c r="S657" s="5" t="n">
        <v>0</v>
      </c>
      <c r="T657" s="5" t="n">
        <v>0</v>
      </c>
      <c r="U657" s="5" t="inlineStr">
        <is>
          <t>testing</t>
        </is>
      </c>
    </row>
    <row r="658">
      <c r="A658" s="5" t="n">
        <v>654</v>
      </c>
      <c r="B658" s="5" t="n">
        <v>1</v>
      </c>
      <c r="C658" s="6" t="n">
        <v>1.286513816310289</v>
      </c>
      <c r="D658" s="6" t="n">
        <v>1.691837873856719</v>
      </c>
      <c r="E658" s="6" t="n">
        <v>0.5618457137091294</v>
      </c>
      <c r="F658" s="6" t="n">
        <v>-0.8850484360866833</v>
      </c>
      <c r="G658" s="5" t="n">
        <v>0</v>
      </c>
      <c r="H658" s="5" t="n">
        <v>1</v>
      </c>
      <c r="I658" s="5" t="n">
        <v>0</v>
      </c>
      <c r="J658" s="5" t="n">
        <v>0</v>
      </c>
      <c r="K658" s="5" t="n">
        <v>1</v>
      </c>
      <c r="L658" s="5" t="n">
        <v>0</v>
      </c>
      <c r="M658" s="5" t="n">
        <v>1</v>
      </c>
      <c r="N658" s="5" t="n">
        <v>0</v>
      </c>
      <c r="O658" s="5" t="n">
        <v>0</v>
      </c>
      <c r="P658" s="5" t="n">
        <v>0</v>
      </c>
      <c r="Q658" s="5" t="n">
        <v>0</v>
      </c>
      <c r="R658" s="5" t="n">
        <v>1</v>
      </c>
      <c r="S658" s="5" t="n">
        <v>0</v>
      </c>
      <c r="T658" s="5" t="n">
        <v>0</v>
      </c>
      <c r="U658" s="5" t="inlineStr">
        <is>
          <t>training</t>
        </is>
      </c>
    </row>
    <row r="659">
      <c r="A659" s="5" t="n">
        <v>655</v>
      </c>
      <c r="B659" s="5" t="n">
        <v>0</v>
      </c>
      <c r="C659" s="6" t="n">
        <v>0.275406400796963</v>
      </c>
      <c r="D659" s="6" t="n">
        <v>-0.3165464639457171</v>
      </c>
      <c r="E659" s="6" t="n">
        <v>-0.04696543117692405</v>
      </c>
      <c r="F659" s="6" t="n">
        <v>0.9185437189662378</v>
      </c>
      <c r="G659" s="5" t="n">
        <v>0</v>
      </c>
      <c r="H659" s="5" t="n">
        <v>0</v>
      </c>
      <c r="I659" s="5" t="n">
        <v>0</v>
      </c>
      <c r="J659" s="5" t="n">
        <v>1</v>
      </c>
      <c r="K659" s="5" t="n">
        <v>0</v>
      </c>
      <c r="L659" s="5" t="n">
        <v>0</v>
      </c>
      <c r="M659" s="5" t="n">
        <v>0</v>
      </c>
      <c r="N659" s="5" t="n">
        <v>0</v>
      </c>
      <c r="O659" s="5" t="n">
        <v>0</v>
      </c>
      <c r="P659" s="5" t="n">
        <v>0</v>
      </c>
      <c r="Q659" s="5" t="n">
        <v>0</v>
      </c>
      <c r="R659" s="5" t="n">
        <v>1</v>
      </c>
      <c r="S659" s="5" t="n">
        <v>0</v>
      </c>
      <c r="T659" s="5" t="n">
        <v>0</v>
      </c>
      <c r="U659" s="5" t="inlineStr">
        <is>
          <t>testing</t>
        </is>
      </c>
    </row>
    <row r="660">
      <c r="A660" s="5" t="n">
        <v>656</v>
      </c>
      <c r="B660" s="5" t="n">
        <v>0</v>
      </c>
      <c r="C660" s="6" t="n">
        <v>-0.5671831121308089</v>
      </c>
      <c r="D660" s="6" t="n">
        <v>0.2527290269261582</v>
      </c>
      <c r="E660" s="6" t="n">
        <v>-1.177614700251023</v>
      </c>
      <c r="F660" s="6" t="n">
        <v>-1.786844513613144</v>
      </c>
      <c r="G660" s="5" t="n">
        <v>1</v>
      </c>
      <c r="H660" s="5" t="n">
        <v>0</v>
      </c>
      <c r="I660" s="5" t="n">
        <v>0</v>
      </c>
      <c r="J660" s="5" t="n">
        <v>0</v>
      </c>
      <c r="K660" s="5" t="n">
        <v>0</v>
      </c>
      <c r="L660" s="5" t="n">
        <v>0</v>
      </c>
      <c r="M660" s="5" t="n">
        <v>0</v>
      </c>
      <c r="N660" s="5" t="n">
        <v>0</v>
      </c>
      <c r="O660" s="5" t="n">
        <v>0</v>
      </c>
      <c r="P660" s="5" t="n">
        <v>0</v>
      </c>
      <c r="Q660" s="5" t="n">
        <v>1</v>
      </c>
      <c r="R660" s="5" t="n">
        <v>1</v>
      </c>
      <c r="S660" s="5" t="n">
        <v>0</v>
      </c>
      <c r="T660" s="5" t="n">
        <v>0</v>
      </c>
      <c r="U660" s="5" t="inlineStr">
        <is>
          <t>training</t>
        </is>
      </c>
    </row>
    <row r="661">
      <c r="A661" s="5" t="n">
        <v>657</v>
      </c>
      <c r="B661" s="5" t="n">
        <v>1</v>
      </c>
      <c r="C661" s="6" t="n">
        <v>-0.7357010147163632</v>
      </c>
      <c r="D661" s="6" t="n">
        <v>-0.826690081457207</v>
      </c>
      <c r="E661" s="6" t="n">
        <v>0.4748726930111218</v>
      </c>
      <c r="F661" s="6" t="n">
        <v>0.9185437189662378</v>
      </c>
      <c r="G661" s="5" t="n">
        <v>0</v>
      </c>
      <c r="H661" s="5" t="n">
        <v>1</v>
      </c>
      <c r="I661" s="5" t="n">
        <v>0</v>
      </c>
      <c r="J661" s="5" t="n">
        <v>0</v>
      </c>
      <c r="K661" s="5" t="n">
        <v>0</v>
      </c>
      <c r="L661" s="5" t="n">
        <v>0</v>
      </c>
      <c r="M661" s="5" t="n">
        <v>0</v>
      </c>
      <c r="N661" s="5" t="n">
        <v>0</v>
      </c>
      <c r="O661" s="5" t="n">
        <v>0</v>
      </c>
      <c r="P661" s="5" t="n">
        <v>0</v>
      </c>
      <c r="Q661" s="5" t="n">
        <v>0</v>
      </c>
      <c r="R661" s="5" t="n">
        <v>1</v>
      </c>
      <c r="S661" s="5" t="n">
        <v>0</v>
      </c>
      <c r="T661" s="5" t="n">
        <v>0</v>
      </c>
      <c r="U661" s="5" t="inlineStr">
        <is>
          <t>testing</t>
        </is>
      </c>
    </row>
    <row r="662">
      <c r="A662" s="5" t="n">
        <v>658</v>
      </c>
      <c r="B662" s="5" t="n">
        <v>0</v>
      </c>
      <c r="C662" s="6" t="n">
        <v>2.297621231823615</v>
      </c>
      <c r="D662" s="6" t="n">
        <v>2.439208770293305</v>
      </c>
      <c r="E662" s="6" t="n">
        <v>0.1269806102190912</v>
      </c>
      <c r="F662" s="6" t="n">
        <v>0.9185437189662378</v>
      </c>
      <c r="G662" s="5" t="n">
        <v>0</v>
      </c>
      <c r="H662" s="5" t="n">
        <v>0</v>
      </c>
      <c r="I662" s="5" t="n">
        <v>0</v>
      </c>
      <c r="J662" s="5" t="n">
        <v>0</v>
      </c>
      <c r="K662" s="5" t="n">
        <v>0</v>
      </c>
      <c r="L662" s="5" t="n">
        <v>0</v>
      </c>
      <c r="M662" s="5" t="n">
        <v>0</v>
      </c>
      <c r="N662" s="5" t="n">
        <v>0</v>
      </c>
      <c r="O662" s="5" t="n">
        <v>1</v>
      </c>
      <c r="P662" s="5" t="n">
        <v>0</v>
      </c>
      <c r="Q662" s="5" t="n">
        <v>0</v>
      </c>
      <c r="R662" s="5" t="n">
        <v>0</v>
      </c>
      <c r="S662" s="5" t="n">
        <v>1</v>
      </c>
      <c r="T662" s="5" t="n">
        <v>0</v>
      </c>
      <c r="U662" s="5" t="inlineStr">
        <is>
          <t>training</t>
        </is>
      </c>
    </row>
    <row r="663">
      <c r="A663" s="5" t="n">
        <v>659</v>
      </c>
      <c r="B663" s="5" t="n">
        <v>0</v>
      </c>
      <c r="C663" s="6" t="n">
        <v>0.7809601085536261</v>
      </c>
      <c r="D663" s="6" t="n">
        <v>0.3395024268869603</v>
      </c>
      <c r="E663" s="6" t="n">
        <v>-0.6557765760629775</v>
      </c>
      <c r="F663" s="6" t="n">
        <v>-0.8850484360866833</v>
      </c>
      <c r="G663" s="5" t="n">
        <v>0</v>
      </c>
      <c r="H663" s="5" t="n">
        <v>1</v>
      </c>
      <c r="I663" s="5" t="n">
        <v>0</v>
      </c>
      <c r="J663" s="5" t="n">
        <v>0</v>
      </c>
      <c r="K663" s="5" t="n">
        <v>0</v>
      </c>
      <c r="L663" s="5" t="n">
        <v>1</v>
      </c>
      <c r="M663" s="5" t="n">
        <v>0</v>
      </c>
      <c r="N663" s="5" t="n">
        <v>0</v>
      </c>
      <c r="O663" s="5" t="n">
        <v>0</v>
      </c>
      <c r="P663" s="5" t="n">
        <v>0</v>
      </c>
      <c r="Q663" s="5" t="n">
        <v>0</v>
      </c>
      <c r="R663" s="5" t="n">
        <v>0</v>
      </c>
      <c r="S663" s="5" t="n">
        <v>0</v>
      </c>
      <c r="T663" s="5" t="n">
        <v>0</v>
      </c>
      <c r="U663" s="5" t="inlineStr">
        <is>
          <t>training</t>
        </is>
      </c>
    </row>
    <row r="664">
      <c r="A664" s="5" t="n">
        <v>660</v>
      </c>
      <c r="B664" s="5" t="n">
        <v>0</v>
      </c>
      <c r="C664" s="6" t="n">
        <v>-0.2301473069597001</v>
      </c>
      <c r="D664" s="6" t="n">
        <v>1.088272894290656</v>
      </c>
      <c r="E664" s="6" t="n">
        <v>0.4748726930111218</v>
      </c>
      <c r="F664" s="6" t="n">
        <v>-0.8850484360866833</v>
      </c>
      <c r="G664" s="5" t="n">
        <v>0</v>
      </c>
      <c r="H664" s="5" t="n">
        <v>1</v>
      </c>
      <c r="I664" s="5" t="n">
        <v>0</v>
      </c>
      <c r="J664" s="5" t="n">
        <v>1</v>
      </c>
      <c r="K664" s="5" t="n">
        <v>0</v>
      </c>
      <c r="L664" s="5" t="n">
        <v>0</v>
      </c>
      <c r="M664" s="5" t="n">
        <v>0</v>
      </c>
      <c r="N664" s="5" t="n">
        <v>0</v>
      </c>
      <c r="O664" s="5" t="n">
        <v>0</v>
      </c>
      <c r="P664" s="5" t="n">
        <v>0</v>
      </c>
      <c r="Q664" s="5" t="n">
        <v>0</v>
      </c>
      <c r="R664" s="5" t="n">
        <v>0</v>
      </c>
      <c r="S664" s="5" t="n">
        <v>0</v>
      </c>
      <c r="T664" s="5" t="n">
        <v>1</v>
      </c>
      <c r="U664" s="5" t="inlineStr">
        <is>
          <t>training</t>
        </is>
      </c>
    </row>
    <row r="665">
      <c r="A665" s="5" t="n">
        <v>661</v>
      </c>
      <c r="B665" s="5" t="n">
        <v>0</v>
      </c>
      <c r="C665" s="6" t="n">
        <v>-0.7357010147163632</v>
      </c>
      <c r="D665" s="6" t="n">
        <v>-0.683583950070239</v>
      </c>
      <c r="E665" s="6" t="n">
        <v>-1.090641679553016</v>
      </c>
      <c r="F665" s="6" t="n">
        <v>0.01674764143977723</v>
      </c>
      <c r="G665" s="5" t="n">
        <v>0</v>
      </c>
      <c r="H665" s="5" t="n">
        <v>0</v>
      </c>
      <c r="I665" s="5" t="n">
        <v>1</v>
      </c>
      <c r="J665" s="5" t="n">
        <v>0</v>
      </c>
      <c r="K665" s="5" t="n">
        <v>0</v>
      </c>
      <c r="L665" s="5" t="n">
        <v>0</v>
      </c>
      <c r="M665" s="5" t="n">
        <v>0</v>
      </c>
      <c r="N665" s="5" t="n">
        <v>0</v>
      </c>
      <c r="O665" s="5" t="n">
        <v>0</v>
      </c>
      <c r="P665" s="5" t="n">
        <v>1</v>
      </c>
      <c r="Q665" s="5" t="n">
        <v>0</v>
      </c>
      <c r="R665" s="5" t="n">
        <v>0</v>
      </c>
      <c r="S665" s="5" t="n">
        <v>1</v>
      </c>
      <c r="T665" s="5" t="n">
        <v>0</v>
      </c>
      <c r="U665" s="5" t="inlineStr">
        <is>
          <t>testing</t>
        </is>
      </c>
    </row>
    <row r="666">
      <c r="A666" s="5" t="n">
        <v>662</v>
      </c>
      <c r="B666" s="5" t="n">
        <v>1</v>
      </c>
      <c r="C666" s="6" t="n">
        <v>-0.7357010147163632</v>
      </c>
      <c r="D666" s="6" t="n">
        <v>-0.8224913685558779</v>
      </c>
      <c r="E666" s="6" t="n">
        <v>-1.090641679553016</v>
      </c>
      <c r="F666" s="6" t="n">
        <v>0.9185437189662378</v>
      </c>
      <c r="G666" s="5" t="n">
        <v>1</v>
      </c>
      <c r="H666" s="5" t="n">
        <v>0</v>
      </c>
      <c r="I666" s="5" t="n">
        <v>0</v>
      </c>
      <c r="J666" s="5" t="n">
        <v>0</v>
      </c>
      <c r="K666" s="5" t="n">
        <v>0</v>
      </c>
      <c r="L666" s="5" t="n">
        <v>0</v>
      </c>
      <c r="M666" s="5" t="n">
        <v>0</v>
      </c>
      <c r="N666" s="5" t="n">
        <v>0</v>
      </c>
      <c r="O666" s="5" t="n">
        <v>1</v>
      </c>
      <c r="P666" s="5" t="n">
        <v>0</v>
      </c>
      <c r="Q666" s="5" t="n">
        <v>0</v>
      </c>
      <c r="R666" s="5" t="n">
        <v>1</v>
      </c>
      <c r="S666" s="5" t="n">
        <v>0</v>
      </c>
      <c r="T666" s="5" t="n">
        <v>0</v>
      </c>
      <c r="U666" s="5" t="inlineStr">
        <is>
          <t>training</t>
        </is>
      </c>
    </row>
    <row r="667">
      <c r="A667" s="5" t="n">
        <v>663</v>
      </c>
      <c r="B667" s="5" t="n">
        <v>0</v>
      </c>
      <c r="C667" s="6" t="n">
        <v>0.02262954691863145</v>
      </c>
      <c r="D667" s="6" t="n">
        <v>-0.353285201832347</v>
      </c>
      <c r="E667" s="6" t="n">
        <v>1.257629879293191</v>
      </c>
      <c r="F667" s="6" t="n">
        <v>0.9185437189662378</v>
      </c>
      <c r="G667" s="5" t="n">
        <v>0</v>
      </c>
      <c r="H667" s="5" t="n">
        <v>0</v>
      </c>
      <c r="I667" s="5" t="n">
        <v>0</v>
      </c>
      <c r="J667" s="5" t="n">
        <v>0</v>
      </c>
      <c r="K667" s="5" t="n">
        <v>0</v>
      </c>
      <c r="L667" s="5" t="n">
        <v>0</v>
      </c>
      <c r="M667" s="5" t="n">
        <v>0</v>
      </c>
      <c r="N667" s="5" t="n">
        <v>0</v>
      </c>
      <c r="O667" s="5" t="n">
        <v>0</v>
      </c>
      <c r="P667" s="5" t="n">
        <v>0</v>
      </c>
      <c r="Q667" s="5" t="n">
        <v>0</v>
      </c>
      <c r="R667" s="5" t="n">
        <v>0</v>
      </c>
      <c r="S667" s="5" t="n">
        <v>0</v>
      </c>
      <c r="T667" s="5" t="n">
        <v>1</v>
      </c>
      <c r="U667" s="5" t="inlineStr">
        <is>
          <t>testing</t>
        </is>
      </c>
    </row>
    <row r="668">
      <c r="A668" s="5" t="n">
        <v>664</v>
      </c>
      <c r="B668" s="5" t="n">
        <v>0</v>
      </c>
      <c r="C668" s="6" t="n">
        <v>-1.241254722473026</v>
      </c>
      <c r="D668" s="6" t="n">
        <v>-0.7700074572892637</v>
      </c>
      <c r="E668" s="6" t="n">
        <v>-0.04696543117692405</v>
      </c>
      <c r="F668" s="6" t="n">
        <v>0.9185437189662378</v>
      </c>
      <c r="G668" s="5" t="n">
        <v>0</v>
      </c>
      <c r="H668" s="5" t="n">
        <v>1</v>
      </c>
      <c r="I668" s="5" t="n">
        <v>0</v>
      </c>
      <c r="J668" s="5" t="n">
        <v>0</v>
      </c>
      <c r="K668" s="5" t="n">
        <v>1</v>
      </c>
      <c r="L668" s="5" t="n">
        <v>0</v>
      </c>
      <c r="M668" s="5" t="n">
        <v>0</v>
      </c>
      <c r="N668" s="5" t="n">
        <v>0</v>
      </c>
      <c r="O668" s="5" t="n">
        <v>0</v>
      </c>
      <c r="P668" s="5" t="n">
        <v>0</v>
      </c>
      <c r="Q668" s="5" t="n">
        <v>0</v>
      </c>
      <c r="R668" s="5" t="n">
        <v>0</v>
      </c>
      <c r="S668" s="5" t="n">
        <v>0</v>
      </c>
      <c r="T668" s="5" t="n">
        <v>1</v>
      </c>
      <c r="U668" s="5" t="inlineStr">
        <is>
          <t>training</t>
        </is>
      </c>
    </row>
    <row r="669">
      <c r="A669" s="5" t="n">
        <v>665</v>
      </c>
      <c r="B669" s="5" t="n">
        <v>0</v>
      </c>
      <c r="C669" s="6" t="n">
        <v>-1.241254722473026</v>
      </c>
      <c r="D669" s="6" t="n">
        <v>-0.771057135514596</v>
      </c>
      <c r="E669" s="6" t="n">
        <v>1.257629879293191</v>
      </c>
      <c r="F669" s="6" t="n">
        <v>-0.8850484360866833</v>
      </c>
      <c r="G669" s="5" t="n">
        <v>0</v>
      </c>
      <c r="H669" s="5" t="n">
        <v>0</v>
      </c>
      <c r="I669" s="5" t="n">
        <v>1</v>
      </c>
      <c r="J669" s="5" t="n">
        <v>1</v>
      </c>
      <c r="K669" s="5" t="n">
        <v>0</v>
      </c>
      <c r="L669" s="5" t="n">
        <v>0</v>
      </c>
      <c r="M669" s="5" t="n">
        <v>0</v>
      </c>
      <c r="N669" s="5" t="n">
        <v>0</v>
      </c>
      <c r="O669" s="5" t="n">
        <v>0</v>
      </c>
      <c r="P669" s="5" t="n">
        <v>0</v>
      </c>
      <c r="Q669" s="5" t="n">
        <v>0</v>
      </c>
      <c r="R669" s="5" t="n">
        <v>0</v>
      </c>
      <c r="S669" s="5" t="n">
        <v>0</v>
      </c>
      <c r="T669" s="5" t="n">
        <v>0</v>
      </c>
      <c r="U669" s="5" t="inlineStr">
        <is>
          <t>testing</t>
        </is>
      </c>
    </row>
    <row r="670">
      <c r="A670" s="5" t="n">
        <v>666</v>
      </c>
      <c r="B670" s="5" t="n">
        <v>0</v>
      </c>
      <c r="C670" s="6" t="n">
        <v>0.275406400796963</v>
      </c>
      <c r="D670" s="6" t="n">
        <v>1.071827935427117</v>
      </c>
      <c r="E670" s="6" t="n">
        <v>-0.7427495967609852</v>
      </c>
      <c r="F670" s="6" t="n">
        <v>0.9185437189662378</v>
      </c>
      <c r="G670" s="5" t="n">
        <v>0</v>
      </c>
      <c r="H670" s="5" t="n">
        <v>0</v>
      </c>
      <c r="I670" s="5" t="n">
        <v>0</v>
      </c>
      <c r="J670" s="5" t="n">
        <v>1</v>
      </c>
      <c r="K670" s="5" t="n">
        <v>0</v>
      </c>
      <c r="L670" s="5" t="n">
        <v>0</v>
      </c>
      <c r="M670" s="5" t="n">
        <v>0</v>
      </c>
      <c r="N670" s="5" t="n">
        <v>0</v>
      </c>
      <c r="O670" s="5" t="n">
        <v>0</v>
      </c>
      <c r="P670" s="5" t="n">
        <v>0</v>
      </c>
      <c r="Q670" s="5" t="n">
        <v>0</v>
      </c>
      <c r="R670" s="5" t="n">
        <v>0</v>
      </c>
      <c r="S670" s="5" t="n">
        <v>0</v>
      </c>
      <c r="T670" s="5" t="n">
        <v>0</v>
      </c>
      <c r="U670" s="5" t="inlineStr">
        <is>
          <t>training</t>
        </is>
      </c>
    </row>
    <row r="671">
      <c r="A671" s="5" t="n">
        <v>667</v>
      </c>
      <c r="B671" s="5" t="n">
        <v>0</v>
      </c>
      <c r="C671" s="6" t="n">
        <v>0.7809601085536261</v>
      </c>
      <c r="D671" s="6" t="n">
        <v>0.08583018909832506</v>
      </c>
      <c r="E671" s="6" t="n">
        <v>-0.1339384518749317</v>
      </c>
      <c r="F671" s="6" t="n">
        <v>0.9185437189662378</v>
      </c>
      <c r="G671" s="5" t="n">
        <v>0</v>
      </c>
      <c r="H671" s="5" t="n">
        <v>1</v>
      </c>
      <c r="I671" s="5" t="n">
        <v>0</v>
      </c>
      <c r="J671" s="5" t="n">
        <v>0</v>
      </c>
      <c r="K671" s="5" t="n">
        <v>0</v>
      </c>
      <c r="L671" s="5" t="n">
        <v>1</v>
      </c>
      <c r="M671" s="5" t="n">
        <v>0</v>
      </c>
      <c r="N671" s="5" t="n">
        <v>1</v>
      </c>
      <c r="O671" s="5" t="n">
        <v>0</v>
      </c>
      <c r="P671" s="5" t="n">
        <v>0</v>
      </c>
      <c r="Q671" s="5" t="n">
        <v>0</v>
      </c>
      <c r="R671" s="5" t="n">
        <v>0</v>
      </c>
      <c r="S671" s="5" t="n">
        <v>0</v>
      </c>
      <c r="T671" s="5" t="n">
        <v>1</v>
      </c>
      <c r="U671" s="5" t="inlineStr">
        <is>
          <t>testing</t>
        </is>
      </c>
    </row>
    <row r="672">
      <c r="A672" s="5" t="n">
        <v>668</v>
      </c>
      <c r="B672" s="5" t="n">
        <v>0</v>
      </c>
      <c r="C672" s="6" t="n">
        <v>2.297621231823615</v>
      </c>
      <c r="D672" s="6" t="n">
        <v>0.1253680689191744</v>
      </c>
      <c r="E672" s="6" t="n">
        <v>-0.7427495967609852</v>
      </c>
      <c r="F672" s="6" t="n">
        <v>-1.786844513613144</v>
      </c>
      <c r="G672" s="5" t="n">
        <v>0</v>
      </c>
      <c r="H672" s="5" t="n">
        <v>0</v>
      </c>
      <c r="I672" s="5" t="n">
        <v>0</v>
      </c>
      <c r="J672" s="5" t="n">
        <v>0</v>
      </c>
      <c r="K672" s="5" t="n">
        <v>0</v>
      </c>
      <c r="L672" s="5" t="n">
        <v>1</v>
      </c>
      <c r="M672" s="5" t="n">
        <v>0</v>
      </c>
      <c r="N672" s="5" t="n">
        <v>0</v>
      </c>
      <c r="O672" s="5" t="n">
        <v>0</v>
      </c>
      <c r="P672" s="5" t="n">
        <v>0</v>
      </c>
      <c r="Q672" s="5" t="n">
        <v>0</v>
      </c>
      <c r="R672" s="5" t="n">
        <v>0</v>
      </c>
      <c r="S672" s="5" t="n">
        <v>0</v>
      </c>
      <c r="T672" s="5" t="n">
        <v>0</v>
      </c>
      <c r="U672" s="5" t="inlineStr">
        <is>
          <t>training</t>
        </is>
      </c>
    </row>
    <row r="673">
      <c r="A673" s="5" t="n">
        <v>669</v>
      </c>
      <c r="B673" s="5" t="n">
        <v>1</v>
      </c>
      <c r="C673" s="6" t="n">
        <v>-0.7357010147163632</v>
      </c>
      <c r="D673" s="6" t="n">
        <v>0.5571357122725205</v>
      </c>
      <c r="E673" s="6" t="n">
        <v>0.648818734407137</v>
      </c>
      <c r="F673" s="6" t="n">
        <v>0.01674764143977723</v>
      </c>
      <c r="G673" s="5" t="n">
        <v>1</v>
      </c>
      <c r="H673" s="5" t="n">
        <v>0</v>
      </c>
      <c r="I673" s="5" t="n">
        <v>0</v>
      </c>
      <c r="J673" s="5" t="n">
        <v>1</v>
      </c>
      <c r="K673" s="5" t="n">
        <v>0</v>
      </c>
      <c r="L673" s="5" t="n">
        <v>0</v>
      </c>
      <c r="M673" s="5" t="n">
        <v>0</v>
      </c>
      <c r="N673" s="5" t="n">
        <v>0</v>
      </c>
      <c r="O673" s="5" t="n">
        <v>0</v>
      </c>
      <c r="P673" s="5" t="n">
        <v>1</v>
      </c>
      <c r="Q673" s="5" t="n">
        <v>0</v>
      </c>
      <c r="R673" s="5" t="n">
        <v>1</v>
      </c>
      <c r="S673" s="5" t="n">
        <v>0</v>
      </c>
      <c r="T673" s="5" t="n">
        <v>0</v>
      </c>
      <c r="U673" s="5" t="inlineStr">
        <is>
          <t>testing</t>
        </is>
      </c>
    </row>
    <row r="674">
      <c r="A674" s="5" t="n">
        <v>670</v>
      </c>
      <c r="B674" s="5" t="n">
        <v>0</v>
      </c>
      <c r="C674" s="6" t="n">
        <v>0.7809601085536261</v>
      </c>
      <c r="D674" s="6" t="n">
        <v>-0.08176843421306293</v>
      </c>
      <c r="E674" s="6" t="n">
        <v>0.9967108171991675</v>
      </c>
      <c r="F674" s="6" t="n">
        <v>0.9185437189662378</v>
      </c>
      <c r="G674" s="5" t="n">
        <v>0</v>
      </c>
      <c r="H674" s="5" t="n">
        <v>0</v>
      </c>
      <c r="I674" s="5" t="n">
        <v>1</v>
      </c>
      <c r="J674" s="5" t="n">
        <v>1</v>
      </c>
      <c r="K674" s="5" t="n">
        <v>0</v>
      </c>
      <c r="L674" s="5" t="n">
        <v>0</v>
      </c>
      <c r="M674" s="5" t="n">
        <v>0</v>
      </c>
      <c r="N674" s="5" t="n">
        <v>0</v>
      </c>
      <c r="O674" s="5" t="n">
        <v>0</v>
      </c>
      <c r="P674" s="5" t="n">
        <v>0</v>
      </c>
      <c r="Q674" s="5" t="n">
        <v>0</v>
      </c>
      <c r="R674" s="5" t="n">
        <v>0</v>
      </c>
      <c r="S674" s="5" t="n">
        <v>1</v>
      </c>
      <c r="T674" s="5" t="n">
        <v>0</v>
      </c>
      <c r="U674" s="5" t="inlineStr">
        <is>
          <t>testing</t>
        </is>
      </c>
    </row>
    <row r="675">
      <c r="A675" s="5" t="n">
        <v>671</v>
      </c>
      <c r="B675" s="5" t="n">
        <v>0</v>
      </c>
      <c r="C675" s="6" t="n">
        <v>0.275406400796963</v>
      </c>
      <c r="D675" s="6" t="n">
        <v>0.3108112220612112</v>
      </c>
      <c r="E675" s="6" t="n">
        <v>-0.7427495967609852</v>
      </c>
      <c r="F675" s="6" t="n">
        <v>0.01674764143977723</v>
      </c>
      <c r="G675" s="5" t="n">
        <v>0</v>
      </c>
      <c r="H675" s="5" t="n">
        <v>0</v>
      </c>
      <c r="I675" s="5" t="n">
        <v>0</v>
      </c>
      <c r="J675" s="5" t="n">
        <v>1</v>
      </c>
      <c r="K675" s="5" t="n">
        <v>0</v>
      </c>
      <c r="L675" s="5" t="n">
        <v>0</v>
      </c>
      <c r="M675" s="5" t="n">
        <v>1</v>
      </c>
      <c r="N675" s="5" t="n">
        <v>0</v>
      </c>
      <c r="O675" s="5" t="n">
        <v>0</v>
      </c>
      <c r="P675" s="5" t="n">
        <v>0</v>
      </c>
      <c r="Q675" s="5" t="n">
        <v>0</v>
      </c>
      <c r="R675" s="5" t="n">
        <v>0</v>
      </c>
      <c r="S675" s="5" t="n">
        <v>0</v>
      </c>
      <c r="T675" s="5" t="n">
        <v>0</v>
      </c>
      <c r="U675" s="5" t="inlineStr">
        <is>
          <t>training</t>
        </is>
      </c>
    </row>
    <row r="676">
      <c r="A676" s="5" t="n">
        <v>672</v>
      </c>
      <c r="B676" s="5" t="n">
        <v>0</v>
      </c>
      <c r="C676" s="6" t="n">
        <v>1.286513816310289</v>
      </c>
      <c r="D676" s="6" t="n">
        <v>0.8716892871304283</v>
      </c>
      <c r="E676" s="6" t="n">
        <v>-0.3948575139689546</v>
      </c>
      <c r="F676" s="6" t="n">
        <v>-0.8850484360866833</v>
      </c>
      <c r="G676" s="5" t="n">
        <v>0</v>
      </c>
      <c r="H676" s="5" t="n">
        <v>0</v>
      </c>
      <c r="I676" s="5" t="n">
        <v>0</v>
      </c>
      <c r="J676" s="5" t="n">
        <v>0</v>
      </c>
      <c r="K676" s="5" t="n">
        <v>0</v>
      </c>
      <c r="L676" s="5" t="n">
        <v>0</v>
      </c>
      <c r="M676" s="5" t="n">
        <v>1</v>
      </c>
      <c r="N676" s="5" t="n">
        <v>0</v>
      </c>
      <c r="O676" s="5" t="n">
        <v>0</v>
      </c>
      <c r="P676" s="5" t="n">
        <v>0</v>
      </c>
      <c r="Q676" s="5" t="n">
        <v>0</v>
      </c>
      <c r="R676" s="5" t="n">
        <v>0</v>
      </c>
      <c r="S676" s="5" t="n">
        <v>0</v>
      </c>
      <c r="T676" s="5" t="n">
        <v>0</v>
      </c>
      <c r="U676" s="5" t="inlineStr">
        <is>
          <t>training</t>
        </is>
      </c>
    </row>
    <row r="677">
      <c r="A677" s="5" t="n">
        <v>673</v>
      </c>
      <c r="B677" s="5" t="n">
        <v>0</v>
      </c>
      <c r="C677" s="6" t="n">
        <v>3.308728647336942</v>
      </c>
      <c r="D677" s="6" t="n">
        <v>2.489593325109255</v>
      </c>
      <c r="E677" s="6" t="n">
        <v>0.5618457137091294</v>
      </c>
      <c r="F677" s="6" t="n">
        <v>-0.8850484360866833</v>
      </c>
      <c r="G677" s="5" t="n">
        <v>0</v>
      </c>
      <c r="H677" s="5" t="n">
        <v>0</v>
      </c>
      <c r="I677" s="5" t="n">
        <v>0</v>
      </c>
      <c r="J677" s="5" t="n">
        <v>0</v>
      </c>
      <c r="K677" s="5" t="n">
        <v>0</v>
      </c>
      <c r="L677" s="5" t="n">
        <v>0</v>
      </c>
      <c r="M677" s="5" t="n">
        <v>0</v>
      </c>
      <c r="N677" s="5" t="n">
        <v>0</v>
      </c>
      <c r="O677" s="5" t="n">
        <v>0</v>
      </c>
      <c r="P677" s="5" t="n">
        <v>0</v>
      </c>
      <c r="Q677" s="5" t="n">
        <v>0</v>
      </c>
      <c r="R677" s="5" t="n">
        <v>1</v>
      </c>
      <c r="S677" s="5" t="n">
        <v>0</v>
      </c>
      <c r="T677" s="5" t="n">
        <v>0</v>
      </c>
      <c r="U677" s="5" t="inlineStr">
        <is>
          <t>training</t>
        </is>
      </c>
    </row>
    <row r="678">
      <c r="A678" s="5" t="n">
        <v>674</v>
      </c>
      <c r="B678" s="5" t="n">
        <v>0</v>
      </c>
      <c r="C678" s="6" t="n">
        <v>-1.241254722473026</v>
      </c>
      <c r="D678" s="6" t="n">
        <v>-0.4096179332585129</v>
      </c>
      <c r="E678" s="6" t="n">
        <v>-1.003668658855008</v>
      </c>
      <c r="F678" s="6" t="n">
        <v>-1.786844513613144</v>
      </c>
      <c r="G678" s="5" t="n">
        <v>0</v>
      </c>
      <c r="H678" s="5" t="n">
        <v>0</v>
      </c>
      <c r="I678" s="5" t="n">
        <v>0</v>
      </c>
      <c r="J678" s="5" t="n">
        <v>1</v>
      </c>
      <c r="K678" s="5" t="n">
        <v>0</v>
      </c>
      <c r="L678" s="5" t="n">
        <v>0</v>
      </c>
      <c r="M678" s="5" t="n">
        <v>1</v>
      </c>
      <c r="N678" s="5" t="n">
        <v>0</v>
      </c>
      <c r="O678" s="5" t="n">
        <v>0</v>
      </c>
      <c r="P678" s="5" t="n">
        <v>0</v>
      </c>
      <c r="Q678" s="5" t="n">
        <v>0</v>
      </c>
      <c r="R678" s="5" t="n">
        <v>1</v>
      </c>
      <c r="S678" s="5" t="n">
        <v>0</v>
      </c>
      <c r="T678" s="5" t="n">
        <v>0</v>
      </c>
      <c r="U678" s="5" t="inlineStr">
        <is>
          <t>training</t>
        </is>
      </c>
    </row>
    <row r="679">
      <c r="A679" s="5" t="n">
        <v>675</v>
      </c>
      <c r="B679" s="5" t="n">
        <v>1</v>
      </c>
      <c r="C679" s="6" t="n">
        <v>0.02262954691863145</v>
      </c>
      <c r="D679" s="6" t="n">
        <v>-0.2346715623697989</v>
      </c>
      <c r="E679" s="6" t="n">
        <v>0.4748726930111218</v>
      </c>
      <c r="F679" s="6" t="n">
        <v>0.9185437189662378</v>
      </c>
      <c r="G679" s="5" t="n">
        <v>0</v>
      </c>
      <c r="H679" s="5" t="n">
        <v>0</v>
      </c>
      <c r="I679" s="5" t="n">
        <v>0</v>
      </c>
      <c r="J679" s="5" t="n">
        <v>0</v>
      </c>
      <c r="K679" s="5" t="n">
        <v>1</v>
      </c>
      <c r="L679" s="5" t="n">
        <v>0</v>
      </c>
      <c r="M679" s="5" t="n">
        <v>1</v>
      </c>
      <c r="N679" s="5" t="n">
        <v>0</v>
      </c>
      <c r="O679" s="5" t="n">
        <v>0</v>
      </c>
      <c r="P679" s="5" t="n">
        <v>0</v>
      </c>
      <c r="Q679" s="5" t="n">
        <v>0</v>
      </c>
      <c r="R679" s="5" t="n">
        <v>0</v>
      </c>
      <c r="S679" s="5" t="n">
        <v>0</v>
      </c>
      <c r="T679" s="5" t="n">
        <v>0</v>
      </c>
      <c r="U679" s="5" t="inlineStr">
        <is>
          <t>training</t>
        </is>
      </c>
    </row>
    <row r="680">
      <c r="A680" s="5" t="n">
        <v>676</v>
      </c>
      <c r="B680" s="5" t="n">
        <v>0</v>
      </c>
      <c r="C680" s="6" t="n">
        <v>0.7809601085536261</v>
      </c>
      <c r="D680" s="6" t="n">
        <v>0.4476192840961856</v>
      </c>
      <c r="E680" s="6" t="n">
        <v>-0.8297226174589928</v>
      </c>
      <c r="F680" s="6" t="n">
        <v>0.9185437189662378</v>
      </c>
      <c r="G680" s="5" t="n">
        <v>0</v>
      </c>
      <c r="H680" s="5" t="n">
        <v>0</v>
      </c>
      <c r="I680" s="5" t="n">
        <v>0</v>
      </c>
      <c r="J680" s="5" t="n">
        <v>1</v>
      </c>
      <c r="K680" s="5" t="n">
        <v>0</v>
      </c>
      <c r="L680" s="5" t="n">
        <v>0</v>
      </c>
      <c r="M680" s="5" t="n">
        <v>0</v>
      </c>
      <c r="N680" s="5" t="n">
        <v>0</v>
      </c>
      <c r="O680" s="5" t="n">
        <v>0</v>
      </c>
      <c r="P680" s="5" t="n">
        <v>1</v>
      </c>
      <c r="Q680" s="5" t="n">
        <v>0</v>
      </c>
      <c r="R680" s="5" t="n">
        <v>0</v>
      </c>
      <c r="S680" s="5" t="n">
        <v>1</v>
      </c>
      <c r="T680" s="5" t="n">
        <v>0</v>
      </c>
      <c r="U680" s="5" t="inlineStr">
        <is>
          <t>training</t>
        </is>
      </c>
    </row>
    <row r="681">
      <c r="A681" s="5" t="n">
        <v>677</v>
      </c>
      <c r="B681" s="5" t="n">
        <v>0</v>
      </c>
      <c r="C681" s="6" t="n">
        <v>0.275406400796963</v>
      </c>
      <c r="D681" s="6" t="n">
        <v>0.6645527839981908</v>
      </c>
      <c r="E681" s="6" t="n">
        <v>-0.2209114725729393</v>
      </c>
      <c r="F681" s="6" t="n">
        <v>0.9185437189662378</v>
      </c>
      <c r="G681" s="5" t="n">
        <v>0</v>
      </c>
      <c r="H681" s="5" t="n">
        <v>0</v>
      </c>
      <c r="I681" s="5" t="n">
        <v>0</v>
      </c>
      <c r="J681" s="5" t="n">
        <v>1</v>
      </c>
      <c r="K681" s="5" t="n">
        <v>0</v>
      </c>
      <c r="L681" s="5" t="n">
        <v>0</v>
      </c>
      <c r="M681" s="5" t="n">
        <v>0</v>
      </c>
      <c r="N681" s="5" t="n">
        <v>0</v>
      </c>
      <c r="O681" s="5" t="n">
        <v>0</v>
      </c>
      <c r="P681" s="5" t="n">
        <v>0</v>
      </c>
      <c r="Q681" s="5" t="n">
        <v>0</v>
      </c>
      <c r="R681" s="5" t="n">
        <v>0</v>
      </c>
      <c r="S681" s="5" t="n">
        <v>0</v>
      </c>
      <c r="T681" s="5" t="n">
        <v>1</v>
      </c>
      <c r="U681" s="5" t="inlineStr">
        <is>
          <t>training</t>
        </is>
      </c>
    </row>
    <row r="682">
      <c r="A682" s="5" t="n">
        <v>678</v>
      </c>
      <c r="B682" s="5" t="n">
        <v>1</v>
      </c>
      <c r="C682" s="6" t="n">
        <v>4.319836062850268</v>
      </c>
      <c r="D682" s="6" t="n">
        <v>0.8202550540891463</v>
      </c>
      <c r="E682" s="6" t="n">
        <v>-1.003668658855008</v>
      </c>
      <c r="F682" s="6" t="n">
        <v>-0.8850484360866833</v>
      </c>
      <c r="G682" s="5" t="n">
        <v>0</v>
      </c>
      <c r="H682" s="5" t="n">
        <v>1</v>
      </c>
      <c r="I682" s="5" t="n">
        <v>0</v>
      </c>
      <c r="J682" s="5" t="n">
        <v>0</v>
      </c>
      <c r="K682" s="5" t="n">
        <v>0</v>
      </c>
      <c r="L682" s="5" t="n">
        <v>0</v>
      </c>
      <c r="M682" s="5" t="n">
        <v>1</v>
      </c>
      <c r="N682" s="5" t="n">
        <v>0</v>
      </c>
      <c r="O682" s="5" t="n">
        <v>0</v>
      </c>
      <c r="P682" s="5" t="n">
        <v>0</v>
      </c>
      <c r="Q682" s="5" t="n">
        <v>0</v>
      </c>
      <c r="R682" s="5" t="n">
        <v>0</v>
      </c>
      <c r="S682" s="5" t="n">
        <v>1</v>
      </c>
      <c r="T682" s="5" t="n">
        <v>0</v>
      </c>
      <c r="U682" s="5" t="inlineStr">
        <is>
          <t>testing</t>
        </is>
      </c>
    </row>
    <row r="683">
      <c r="A683" s="5" t="n">
        <v>679</v>
      </c>
      <c r="B683" s="5" t="n">
        <v>0</v>
      </c>
      <c r="C683" s="6" t="n">
        <v>0.275406400796963</v>
      </c>
      <c r="D683" s="6" t="n">
        <v>-0.3032505397581748</v>
      </c>
      <c r="E683" s="6" t="n">
        <v>2.475252169065298</v>
      </c>
      <c r="F683" s="6" t="n">
        <v>0.9185437189662378</v>
      </c>
      <c r="G683" s="5" t="n">
        <v>1</v>
      </c>
      <c r="H683" s="5" t="n">
        <v>0</v>
      </c>
      <c r="I683" s="5" t="n">
        <v>0</v>
      </c>
      <c r="J683" s="5" t="n">
        <v>0</v>
      </c>
      <c r="K683" s="5" t="n">
        <v>0</v>
      </c>
      <c r="L683" s="5" t="n">
        <v>0</v>
      </c>
      <c r="M683" s="5" t="n">
        <v>0</v>
      </c>
      <c r="N683" s="5" t="n">
        <v>0</v>
      </c>
      <c r="O683" s="5" t="n">
        <v>0</v>
      </c>
      <c r="P683" s="5" t="n">
        <v>1</v>
      </c>
      <c r="Q683" s="5" t="n">
        <v>0</v>
      </c>
      <c r="R683" s="5" t="n">
        <v>0</v>
      </c>
      <c r="S683" s="5" t="n">
        <v>1</v>
      </c>
      <c r="T683" s="5" t="n">
        <v>0</v>
      </c>
      <c r="U683" s="5" t="inlineStr">
        <is>
          <t>testing</t>
        </is>
      </c>
    </row>
    <row r="684">
      <c r="A684" s="5" t="n">
        <v>680</v>
      </c>
      <c r="B684" s="5" t="n">
        <v>0</v>
      </c>
      <c r="C684" s="6" t="n">
        <v>-0.2301473069597001</v>
      </c>
      <c r="D684" s="6" t="n">
        <v>-0.6290006823529602</v>
      </c>
      <c r="E684" s="6" t="n">
        <v>-0.8297226174589928</v>
      </c>
      <c r="F684" s="6" t="n">
        <v>0.01674764143977723</v>
      </c>
      <c r="G684" s="5" t="n">
        <v>0</v>
      </c>
      <c r="H684" s="5" t="n">
        <v>0</v>
      </c>
      <c r="I684" s="5" t="n">
        <v>0</v>
      </c>
      <c r="J684" s="5" t="n">
        <v>0</v>
      </c>
      <c r="K684" s="5" t="n">
        <v>0</v>
      </c>
      <c r="L684" s="5" t="n">
        <v>0</v>
      </c>
      <c r="M684" s="5" t="n">
        <v>0</v>
      </c>
      <c r="N684" s="5" t="n">
        <v>0</v>
      </c>
      <c r="O684" s="5" t="n">
        <v>0</v>
      </c>
      <c r="P684" s="5" t="n">
        <v>0</v>
      </c>
      <c r="Q684" s="5" t="n">
        <v>0</v>
      </c>
      <c r="R684" s="5" t="n">
        <v>0</v>
      </c>
      <c r="S684" s="5" t="n">
        <v>1</v>
      </c>
      <c r="T684" s="5" t="n">
        <v>0</v>
      </c>
      <c r="U684" s="5" t="inlineStr">
        <is>
          <t>training</t>
        </is>
      </c>
    </row>
    <row r="685">
      <c r="A685" s="5" t="n">
        <v>681</v>
      </c>
      <c r="B685" s="5" t="n">
        <v>0</v>
      </c>
      <c r="C685" s="6" t="n">
        <v>-1.241254722473026</v>
      </c>
      <c r="D685" s="6" t="n">
        <v>-0.5992597993018789</v>
      </c>
      <c r="E685" s="6" t="n">
        <v>1.779468003481236</v>
      </c>
      <c r="F685" s="6" t="n">
        <v>-1.786844513613144</v>
      </c>
      <c r="G685" s="5" t="n">
        <v>0</v>
      </c>
      <c r="H685" s="5" t="n">
        <v>0</v>
      </c>
      <c r="I685" s="5" t="n">
        <v>0</v>
      </c>
      <c r="J685" s="5" t="n">
        <v>0</v>
      </c>
      <c r="K685" s="5" t="n">
        <v>0</v>
      </c>
      <c r="L685" s="5" t="n">
        <v>0</v>
      </c>
      <c r="M685" s="5" t="n">
        <v>0</v>
      </c>
      <c r="N685" s="5" t="n">
        <v>0</v>
      </c>
      <c r="O685" s="5" t="n">
        <v>0</v>
      </c>
      <c r="P685" s="5" t="n">
        <v>0</v>
      </c>
      <c r="Q685" s="5" t="n">
        <v>0</v>
      </c>
      <c r="R685" s="5" t="n">
        <v>0</v>
      </c>
      <c r="S685" s="5" t="n">
        <v>0</v>
      </c>
      <c r="T685" s="5" t="n">
        <v>0</v>
      </c>
      <c r="U685" s="5" t="inlineStr">
        <is>
          <t>training</t>
        </is>
      </c>
    </row>
    <row r="686">
      <c r="A686" s="5" t="n">
        <v>682</v>
      </c>
      <c r="B686" s="5" t="n">
        <v>0</v>
      </c>
      <c r="C686" s="6" t="n">
        <v>-0.7357010147163632</v>
      </c>
      <c r="D686" s="6" t="n">
        <v>-0.3399892776448047</v>
      </c>
      <c r="E686" s="6" t="n">
        <v>0.1269806102190912</v>
      </c>
      <c r="F686" s="6" t="n">
        <v>0.9185437189662378</v>
      </c>
      <c r="G686" s="5" t="n">
        <v>0</v>
      </c>
      <c r="H686" s="5" t="n">
        <v>0</v>
      </c>
      <c r="I686" s="5" t="n">
        <v>0</v>
      </c>
      <c r="J686" s="5" t="n">
        <v>0</v>
      </c>
      <c r="K686" s="5" t="n">
        <v>0</v>
      </c>
      <c r="L686" s="5" t="n">
        <v>0</v>
      </c>
      <c r="M686" s="5" t="n">
        <v>0</v>
      </c>
      <c r="N686" s="5" t="n">
        <v>0</v>
      </c>
      <c r="O686" s="5" t="n">
        <v>1</v>
      </c>
      <c r="P686" s="5" t="n">
        <v>0</v>
      </c>
      <c r="Q686" s="5" t="n">
        <v>1</v>
      </c>
      <c r="R686" s="5" t="n">
        <v>0</v>
      </c>
      <c r="S686" s="5" t="n">
        <v>1</v>
      </c>
      <c r="T686" s="5" t="n">
        <v>0</v>
      </c>
      <c r="U686" s="5" t="inlineStr">
        <is>
          <t>training</t>
        </is>
      </c>
    </row>
    <row r="687">
      <c r="A687" s="5" t="n">
        <v>683</v>
      </c>
      <c r="B687" s="5" t="n">
        <v>0</v>
      </c>
      <c r="C687" s="6" t="n">
        <v>-0.4829241608380317</v>
      </c>
      <c r="D687" s="6" t="n">
        <v>-0.6202533638085246</v>
      </c>
      <c r="E687" s="6" t="n">
        <v>-0.2209114725729393</v>
      </c>
      <c r="F687" s="6" t="n">
        <v>0.9185437189662378</v>
      </c>
      <c r="G687" s="5" t="n">
        <v>0</v>
      </c>
      <c r="H687" s="5" t="n">
        <v>0</v>
      </c>
      <c r="I687" s="5" t="n">
        <v>0</v>
      </c>
      <c r="J687" s="5" t="n">
        <v>0</v>
      </c>
      <c r="K687" s="5" t="n">
        <v>1</v>
      </c>
      <c r="L687" s="5" t="n">
        <v>0</v>
      </c>
      <c r="M687" s="5" t="n">
        <v>0</v>
      </c>
      <c r="N687" s="5" t="n">
        <v>0</v>
      </c>
      <c r="O687" s="5" t="n">
        <v>0</v>
      </c>
      <c r="P687" s="5" t="n">
        <v>0</v>
      </c>
      <c r="Q687" s="5" t="n">
        <v>0</v>
      </c>
      <c r="R687" s="5" t="n">
        <v>0</v>
      </c>
      <c r="S687" s="5" t="n">
        <v>1</v>
      </c>
      <c r="T687" s="5" t="n">
        <v>0</v>
      </c>
      <c r="U687" s="5" t="inlineStr">
        <is>
          <t>testing</t>
        </is>
      </c>
    </row>
    <row r="688">
      <c r="A688" s="5" t="n">
        <v>684</v>
      </c>
      <c r="B688" s="5" t="n">
        <v>0</v>
      </c>
      <c r="C688" s="6" t="n">
        <v>0.275406400796963</v>
      </c>
      <c r="D688" s="6" t="n">
        <v>0.6481078251346518</v>
      </c>
      <c r="E688" s="6" t="n">
        <v>0.9967108171991675</v>
      </c>
      <c r="F688" s="6" t="n">
        <v>0.01674764143977723</v>
      </c>
      <c r="G688" s="5" t="n">
        <v>0</v>
      </c>
      <c r="H688" s="5" t="n">
        <v>0</v>
      </c>
      <c r="I688" s="5" t="n">
        <v>0</v>
      </c>
      <c r="J688" s="5" t="n">
        <v>1</v>
      </c>
      <c r="K688" s="5" t="n">
        <v>0</v>
      </c>
      <c r="L688" s="5" t="n">
        <v>0</v>
      </c>
      <c r="M688" s="5" t="n">
        <v>0</v>
      </c>
      <c r="N688" s="5" t="n">
        <v>0</v>
      </c>
      <c r="O688" s="5" t="n">
        <v>0</v>
      </c>
      <c r="P688" s="5" t="n">
        <v>0</v>
      </c>
      <c r="Q688" s="5" t="n">
        <v>1</v>
      </c>
      <c r="R688" s="5" t="n">
        <v>0</v>
      </c>
      <c r="S688" s="5" t="n">
        <v>1</v>
      </c>
      <c r="T688" s="5" t="n">
        <v>0</v>
      </c>
      <c r="U688" s="5" t="inlineStr">
        <is>
          <t>training</t>
        </is>
      </c>
    </row>
    <row r="689">
      <c r="A689" s="5" t="n">
        <v>685</v>
      </c>
      <c r="B689" s="5" t="n">
        <v>0</v>
      </c>
      <c r="C689" s="6" t="n">
        <v>1.286513816310289</v>
      </c>
      <c r="D689" s="6" t="n">
        <v>2.311497919544544</v>
      </c>
      <c r="E689" s="6" t="n">
        <v>-0.3948575139689546</v>
      </c>
      <c r="F689" s="6" t="n">
        <v>-1.786844513613144</v>
      </c>
      <c r="G689" s="5" t="n">
        <v>0</v>
      </c>
      <c r="H689" s="5" t="n">
        <v>1</v>
      </c>
      <c r="I689" s="5" t="n">
        <v>0</v>
      </c>
      <c r="J689" s="5" t="n">
        <v>0</v>
      </c>
      <c r="K689" s="5" t="n">
        <v>1</v>
      </c>
      <c r="L689" s="5" t="n">
        <v>0</v>
      </c>
      <c r="M689" s="5" t="n">
        <v>1</v>
      </c>
      <c r="N689" s="5" t="n">
        <v>0</v>
      </c>
      <c r="O689" s="5" t="n">
        <v>0</v>
      </c>
      <c r="P689" s="5" t="n">
        <v>0</v>
      </c>
      <c r="Q689" s="5" t="n">
        <v>0</v>
      </c>
      <c r="R689" s="5" t="n">
        <v>0</v>
      </c>
      <c r="S689" s="5" t="n">
        <v>0</v>
      </c>
      <c r="T689" s="5" t="n">
        <v>0</v>
      </c>
      <c r="U689" s="5" t="inlineStr">
        <is>
          <t>training</t>
        </is>
      </c>
    </row>
    <row r="690">
      <c r="A690" s="5" t="n">
        <v>686</v>
      </c>
      <c r="B690" s="5" t="n">
        <v>0</v>
      </c>
      <c r="C690" s="6" t="n">
        <v>3.308728647336942</v>
      </c>
      <c r="D690" s="6" t="n">
        <v>1.146355089425709</v>
      </c>
      <c r="E690" s="6" t="n">
        <v>-0.1339384518749317</v>
      </c>
      <c r="F690" s="6" t="n">
        <v>0.9185437189662378</v>
      </c>
      <c r="G690" s="5" t="n">
        <v>0</v>
      </c>
      <c r="H690" s="5" t="n">
        <v>0</v>
      </c>
      <c r="I690" s="5" t="n">
        <v>0</v>
      </c>
      <c r="J690" s="5" t="n">
        <v>0</v>
      </c>
      <c r="K690" s="5" t="n">
        <v>0</v>
      </c>
      <c r="L690" s="5" t="n">
        <v>0</v>
      </c>
      <c r="M690" s="5" t="n">
        <v>0</v>
      </c>
      <c r="N690" s="5" t="n">
        <v>0</v>
      </c>
      <c r="O690" s="5" t="n">
        <v>1</v>
      </c>
      <c r="P690" s="5" t="n">
        <v>0</v>
      </c>
      <c r="Q690" s="5" t="n">
        <v>1</v>
      </c>
      <c r="R690" s="5" t="n">
        <v>1</v>
      </c>
      <c r="S690" s="5" t="n">
        <v>0</v>
      </c>
      <c r="T690" s="5" t="n">
        <v>0</v>
      </c>
      <c r="U690" s="5" t="inlineStr">
        <is>
          <t>testing</t>
        </is>
      </c>
    </row>
    <row r="691">
      <c r="A691" s="5" t="n">
        <v>687</v>
      </c>
      <c r="B691" s="5" t="n">
        <v>0</v>
      </c>
      <c r="C691" s="6" t="n">
        <v>-0.9042189173019176</v>
      </c>
      <c r="D691" s="6" t="n">
        <v>-0.6660893129813676</v>
      </c>
      <c r="E691" s="6" t="n">
        <v>-0.7427495967609852</v>
      </c>
      <c r="F691" s="6" t="n">
        <v>0.9185437189662378</v>
      </c>
      <c r="G691" s="5" t="n">
        <v>0</v>
      </c>
      <c r="H691" s="5" t="n">
        <v>0</v>
      </c>
      <c r="I691" s="5" t="n">
        <v>1</v>
      </c>
      <c r="J691" s="5" t="n">
        <v>1</v>
      </c>
      <c r="K691" s="5" t="n">
        <v>0</v>
      </c>
      <c r="L691" s="5" t="n">
        <v>0</v>
      </c>
      <c r="M691" s="5" t="n">
        <v>0</v>
      </c>
      <c r="N691" s="5" t="n">
        <v>0</v>
      </c>
      <c r="O691" s="5" t="n">
        <v>1</v>
      </c>
      <c r="P691" s="5" t="n">
        <v>0</v>
      </c>
      <c r="Q691" s="5" t="n">
        <v>0</v>
      </c>
      <c r="R691" s="5" t="n">
        <v>0</v>
      </c>
      <c r="S691" s="5" t="n">
        <v>1</v>
      </c>
      <c r="T691" s="5" t="n">
        <v>0</v>
      </c>
      <c r="U691" s="5" t="inlineStr">
        <is>
          <t>training</t>
        </is>
      </c>
    </row>
    <row r="692">
      <c r="A692" s="5" t="n">
        <v>688</v>
      </c>
      <c r="B692" s="5" t="n">
        <v>0</v>
      </c>
      <c r="C692" s="6" t="n">
        <v>1.286513816310289</v>
      </c>
      <c r="D692" s="6" t="n">
        <v>-0.1360018091885643</v>
      </c>
      <c r="E692" s="6" t="n">
        <v>-0.4818305346669622</v>
      </c>
      <c r="F692" s="6" t="n">
        <v>0.9185437189662378</v>
      </c>
      <c r="G692" s="5" t="n">
        <v>0</v>
      </c>
      <c r="H692" s="5" t="n">
        <v>1</v>
      </c>
      <c r="I692" s="5" t="n">
        <v>0</v>
      </c>
      <c r="J692" s="5" t="n">
        <v>0</v>
      </c>
      <c r="K692" s="5" t="n">
        <v>1</v>
      </c>
      <c r="L692" s="5" t="n">
        <v>0</v>
      </c>
      <c r="M692" s="5" t="n">
        <v>1</v>
      </c>
      <c r="N692" s="5" t="n">
        <v>0</v>
      </c>
      <c r="O692" s="5" t="n">
        <v>0</v>
      </c>
      <c r="P692" s="5" t="n">
        <v>0</v>
      </c>
      <c r="Q692" s="5" t="n">
        <v>1</v>
      </c>
      <c r="R692" s="5" t="n">
        <v>1</v>
      </c>
      <c r="S692" s="5" t="n">
        <v>0</v>
      </c>
      <c r="T692" s="5" t="n">
        <v>0</v>
      </c>
      <c r="U692" s="5" t="inlineStr">
        <is>
          <t>testing</t>
        </is>
      </c>
    </row>
    <row r="693">
      <c r="A693" s="5" t="n">
        <v>689</v>
      </c>
      <c r="B693" s="5" t="n">
        <v>0</v>
      </c>
      <c r="C693" s="6" t="n">
        <v>-0.9884778685946948</v>
      </c>
      <c r="D693" s="6" t="n">
        <v>-0.1741401180423039</v>
      </c>
      <c r="E693" s="6" t="n">
        <v>-0.04696543117692405</v>
      </c>
      <c r="F693" s="6" t="n">
        <v>0.01674764143977723</v>
      </c>
      <c r="G693" s="5" t="n">
        <v>0</v>
      </c>
      <c r="H693" s="5" t="n">
        <v>0</v>
      </c>
      <c r="I693" s="5" t="n">
        <v>0</v>
      </c>
      <c r="J693" s="5" t="n">
        <v>0</v>
      </c>
      <c r="K693" s="5" t="n">
        <v>0</v>
      </c>
      <c r="L693" s="5" t="n">
        <v>0</v>
      </c>
      <c r="M693" s="5" t="n">
        <v>1</v>
      </c>
      <c r="N693" s="5" t="n">
        <v>0</v>
      </c>
      <c r="O693" s="5" t="n">
        <v>0</v>
      </c>
      <c r="P693" s="5" t="n">
        <v>0</v>
      </c>
      <c r="Q693" s="5" t="n">
        <v>0</v>
      </c>
      <c r="R693" s="5" t="n">
        <v>0</v>
      </c>
      <c r="S693" s="5" t="n">
        <v>1</v>
      </c>
      <c r="T693" s="5" t="n">
        <v>0</v>
      </c>
      <c r="U693" s="5" t="inlineStr">
        <is>
          <t>training</t>
        </is>
      </c>
    </row>
    <row r="694">
      <c r="A694" s="5" t="n">
        <v>690</v>
      </c>
      <c r="B694" s="5" t="n">
        <v>0</v>
      </c>
      <c r="C694" s="6" t="n">
        <v>-0.7357010147163632</v>
      </c>
      <c r="D694" s="6" t="n">
        <v>0.1400635640738264</v>
      </c>
      <c r="E694" s="6" t="n">
        <v>-0.3948575139689546</v>
      </c>
      <c r="F694" s="6" t="n">
        <v>-1.786844513613144</v>
      </c>
      <c r="G694" s="5" t="n">
        <v>1</v>
      </c>
      <c r="H694" s="5" t="n">
        <v>0</v>
      </c>
      <c r="I694" s="5" t="n">
        <v>0</v>
      </c>
      <c r="J694" s="5" t="n">
        <v>0</v>
      </c>
      <c r="K694" s="5" t="n">
        <v>0</v>
      </c>
      <c r="L694" s="5" t="n">
        <v>0</v>
      </c>
      <c r="M694" s="5" t="n">
        <v>0</v>
      </c>
      <c r="N694" s="5" t="n">
        <v>1</v>
      </c>
      <c r="O694" s="5" t="n">
        <v>0</v>
      </c>
      <c r="P694" s="5" t="n">
        <v>0</v>
      </c>
      <c r="Q694" s="5" t="n">
        <v>0</v>
      </c>
      <c r="R694" s="5" t="n">
        <v>1</v>
      </c>
      <c r="S694" s="5" t="n">
        <v>0</v>
      </c>
      <c r="T694" s="5" t="n">
        <v>0</v>
      </c>
      <c r="U694" s="5" t="inlineStr">
        <is>
          <t>training</t>
        </is>
      </c>
    </row>
    <row r="695">
      <c r="A695" s="5" t="n">
        <v>691</v>
      </c>
      <c r="B695" s="5" t="n">
        <v>0</v>
      </c>
      <c r="C695" s="6" t="n">
        <v>-0.4829241608380317</v>
      </c>
      <c r="D695" s="6" t="n">
        <v>-0.7962494129225708</v>
      </c>
      <c r="E695" s="6" t="n">
        <v>-0.9166956381570004</v>
      </c>
      <c r="F695" s="6" t="n">
        <v>-0.8850484360866833</v>
      </c>
      <c r="G695" s="5" t="n">
        <v>1</v>
      </c>
      <c r="H695" s="5" t="n">
        <v>0</v>
      </c>
      <c r="I695" s="5" t="n">
        <v>0</v>
      </c>
      <c r="J695" s="5" t="n">
        <v>1</v>
      </c>
      <c r="K695" s="5" t="n">
        <v>0</v>
      </c>
      <c r="L695" s="5" t="n">
        <v>0</v>
      </c>
      <c r="M695" s="5" t="n">
        <v>0</v>
      </c>
      <c r="N695" s="5" t="n">
        <v>0</v>
      </c>
      <c r="O695" s="5" t="n">
        <v>0</v>
      </c>
      <c r="P695" s="5" t="n">
        <v>0</v>
      </c>
      <c r="Q695" s="5" t="n">
        <v>0</v>
      </c>
      <c r="R695" s="5" t="n">
        <v>0</v>
      </c>
      <c r="S695" s="5" t="n">
        <v>0</v>
      </c>
      <c r="T695" s="5" t="n">
        <v>1</v>
      </c>
      <c r="U695" s="5" t="inlineStr">
        <is>
          <t>testing</t>
        </is>
      </c>
    </row>
    <row r="696">
      <c r="A696" s="5" t="n">
        <v>692</v>
      </c>
      <c r="B696" s="5" t="n">
        <v>0</v>
      </c>
      <c r="C696" s="6" t="n">
        <v>-0.4829241608380317</v>
      </c>
      <c r="D696" s="6" t="n">
        <v>-0.2168270325391501</v>
      </c>
      <c r="E696" s="6" t="n">
        <v>-0.9166956381570004</v>
      </c>
      <c r="F696" s="6" t="n">
        <v>0.01674764143977723</v>
      </c>
      <c r="G696" s="5" t="n">
        <v>0</v>
      </c>
      <c r="H696" s="5" t="n">
        <v>1</v>
      </c>
      <c r="I696" s="5" t="n">
        <v>0</v>
      </c>
      <c r="J696" s="5" t="n">
        <v>0</v>
      </c>
      <c r="K696" s="5" t="n">
        <v>0</v>
      </c>
      <c r="L696" s="5" t="n">
        <v>0</v>
      </c>
      <c r="M696" s="5" t="n">
        <v>1</v>
      </c>
      <c r="N696" s="5" t="n">
        <v>0</v>
      </c>
      <c r="O696" s="5" t="n">
        <v>0</v>
      </c>
      <c r="P696" s="5" t="n">
        <v>0</v>
      </c>
      <c r="Q696" s="5" t="n">
        <v>0</v>
      </c>
      <c r="R696" s="5" t="n">
        <v>0</v>
      </c>
      <c r="S696" s="5" t="n">
        <v>0</v>
      </c>
      <c r="T696" s="5" t="n">
        <v>0</v>
      </c>
      <c r="U696" s="5" t="inlineStr">
        <is>
          <t>training</t>
        </is>
      </c>
    </row>
    <row r="697">
      <c r="A697" s="5" t="n">
        <v>693</v>
      </c>
      <c r="B697" s="5" t="n">
        <v>0</v>
      </c>
      <c r="C697" s="6" t="n">
        <v>0.275406400796963</v>
      </c>
      <c r="D697" s="6" t="n">
        <v>-0.1241054559681317</v>
      </c>
      <c r="E697" s="6" t="n">
        <v>-0.5688035553649698</v>
      </c>
      <c r="F697" s="6" t="n">
        <v>-0.8850484360866833</v>
      </c>
      <c r="G697" s="5" t="n">
        <v>0</v>
      </c>
      <c r="H697" s="5" t="n">
        <v>1</v>
      </c>
      <c r="I697" s="5" t="n">
        <v>0</v>
      </c>
      <c r="J697" s="5" t="n">
        <v>0</v>
      </c>
      <c r="K697" s="5" t="n">
        <v>0</v>
      </c>
      <c r="L697" s="5" t="n">
        <v>0</v>
      </c>
      <c r="M697" s="5" t="n">
        <v>1</v>
      </c>
      <c r="N697" s="5" t="n">
        <v>0</v>
      </c>
      <c r="O697" s="5" t="n">
        <v>0</v>
      </c>
      <c r="P697" s="5" t="n">
        <v>0</v>
      </c>
      <c r="Q697" s="5" t="n">
        <v>0</v>
      </c>
      <c r="R697" s="5" t="n">
        <v>0</v>
      </c>
      <c r="S697" s="5" t="n">
        <v>1</v>
      </c>
      <c r="T697" s="5" t="n">
        <v>0</v>
      </c>
      <c r="U697" s="5" t="inlineStr">
        <is>
          <t>training</t>
        </is>
      </c>
    </row>
    <row r="698">
      <c r="A698" s="5" t="n">
        <v>694</v>
      </c>
      <c r="B698" s="5" t="n">
        <v>0</v>
      </c>
      <c r="C698" s="6" t="n">
        <v>-1.241254722473026</v>
      </c>
      <c r="D698" s="6" t="n">
        <v>0.5126993340667871</v>
      </c>
      <c r="E698" s="6" t="n">
        <v>0.7357917551051447</v>
      </c>
      <c r="F698" s="6" t="n">
        <v>-1.786844513613144</v>
      </c>
      <c r="G698" s="5" t="n">
        <v>1</v>
      </c>
      <c r="H698" s="5" t="n">
        <v>0</v>
      </c>
      <c r="I698" s="5" t="n">
        <v>0</v>
      </c>
      <c r="J698" s="5" t="n">
        <v>1</v>
      </c>
      <c r="K698" s="5" t="n">
        <v>0</v>
      </c>
      <c r="L698" s="5" t="n">
        <v>0</v>
      </c>
      <c r="M698" s="5" t="n">
        <v>0</v>
      </c>
      <c r="N698" s="5" t="n">
        <v>0</v>
      </c>
      <c r="O698" s="5" t="n">
        <v>1</v>
      </c>
      <c r="P698" s="5" t="n">
        <v>0</v>
      </c>
      <c r="Q698" s="5" t="n">
        <v>0</v>
      </c>
      <c r="R698" s="5" t="n">
        <v>1</v>
      </c>
      <c r="S698" s="5" t="n">
        <v>0</v>
      </c>
      <c r="T698" s="5" t="n">
        <v>0</v>
      </c>
      <c r="U698" s="5" t="inlineStr">
        <is>
          <t>training</t>
        </is>
      </c>
    </row>
    <row r="699">
      <c r="A699" s="5" t="n">
        <v>695</v>
      </c>
      <c r="B699" s="5" t="n">
        <v>0</v>
      </c>
      <c r="C699" s="6" t="n">
        <v>0.275406400796963</v>
      </c>
      <c r="D699" s="6" t="n">
        <v>-0.3382398139359176</v>
      </c>
      <c r="E699" s="6" t="n">
        <v>-0.6557765760629775</v>
      </c>
      <c r="F699" s="6" t="n">
        <v>0.9185437189662378</v>
      </c>
      <c r="G699" s="5" t="n">
        <v>0</v>
      </c>
      <c r="H699" s="5" t="n">
        <v>0</v>
      </c>
      <c r="I699" s="5" t="n">
        <v>0</v>
      </c>
      <c r="J699" s="5" t="n">
        <v>0</v>
      </c>
      <c r="K699" s="5" t="n">
        <v>0</v>
      </c>
      <c r="L699" s="5" t="n">
        <v>0</v>
      </c>
      <c r="M699" s="5" t="n">
        <v>0</v>
      </c>
      <c r="N699" s="5" t="n">
        <v>0</v>
      </c>
      <c r="O699" s="5" t="n">
        <v>0</v>
      </c>
      <c r="P699" s="5" t="n">
        <v>0</v>
      </c>
      <c r="Q699" s="5" t="n">
        <v>0</v>
      </c>
      <c r="R699" s="5" t="n">
        <v>0</v>
      </c>
      <c r="S699" s="5" t="n">
        <v>1</v>
      </c>
      <c r="T699" s="5" t="n">
        <v>0</v>
      </c>
      <c r="U699" s="5" t="inlineStr">
        <is>
          <t>training</t>
        </is>
      </c>
    </row>
    <row r="700">
      <c r="A700" s="5" t="n">
        <v>696</v>
      </c>
      <c r="B700" s="5" t="n">
        <v>0</v>
      </c>
      <c r="C700" s="6" t="n">
        <v>-1.241254722473026</v>
      </c>
      <c r="D700" s="6" t="n">
        <v>-0.7049274073186621</v>
      </c>
      <c r="E700" s="6" t="n">
        <v>1.257629879293191</v>
      </c>
      <c r="F700" s="6" t="n">
        <v>-0.8850484360866833</v>
      </c>
      <c r="G700" s="5" t="n">
        <v>0</v>
      </c>
      <c r="H700" s="5" t="n">
        <v>0</v>
      </c>
      <c r="I700" s="5" t="n">
        <v>0</v>
      </c>
      <c r="J700" s="5" t="n">
        <v>0</v>
      </c>
      <c r="K700" s="5" t="n">
        <v>0</v>
      </c>
      <c r="L700" s="5" t="n">
        <v>0</v>
      </c>
      <c r="M700" s="5" t="n">
        <v>1</v>
      </c>
      <c r="N700" s="5" t="n">
        <v>0</v>
      </c>
      <c r="O700" s="5" t="n">
        <v>0</v>
      </c>
      <c r="P700" s="5" t="n">
        <v>1</v>
      </c>
      <c r="Q700" s="5" t="n">
        <v>0</v>
      </c>
      <c r="R700" s="5" t="n">
        <v>1</v>
      </c>
      <c r="S700" s="5" t="n">
        <v>0</v>
      </c>
      <c r="T700" s="5" t="n">
        <v>0</v>
      </c>
      <c r="U700" s="5" t="inlineStr">
        <is>
          <t>training</t>
        </is>
      </c>
    </row>
    <row r="701">
      <c r="A701" s="5" t="n">
        <v>697</v>
      </c>
      <c r="B701" s="5" t="n">
        <v>0</v>
      </c>
      <c r="C701" s="6" t="n">
        <v>-0.7357010147163632</v>
      </c>
      <c r="D701" s="6" t="n">
        <v>-0.75146314197506</v>
      </c>
      <c r="E701" s="6" t="n">
        <v>-0.5688035553649698</v>
      </c>
      <c r="F701" s="6" t="n">
        <v>0.9185437189662378</v>
      </c>
      <c r="G701" s="5" t="n">
        <v>0</v>
      </c>
      <c r="H701" s="5" t="n">
        <v>1</v>
      </c>
      <c r="I701" s="5" t="n">
        <v>0</v>
      </c>
      <c r="J701" s="5" t="n">
        <v>0</v>
      </c>
      <c r="K701" s="5" t="n">
        <v>0</v>
      </c>
      <c r="L701" s="5" t="n">
        <v>0</v>
      </c>
      <c r="M701" s="5" t="n">
        <v>0</v>
      </c>
      <c r="N701" s="5" t="n">
        <v>0</v>
      </c>
      <c r="O701" s="5" t="n">
        <v>0</v>
      </c>
      <c r="P701" s="5" t="n">
        <v>0</v>
      </c>
      <c r="Q701" s="5" t="n">
        <v>0</v>
      </c>
      <c r="R701" s="5" t="n">
        <v>0</v>
      </c>
      <c r="S701" s="5" t="n">
        <v>1</v>
      </c>
      <c r="T701" s="5" t="n">
        <v>0</v>
      </c>
      <c r="U701" s="5" t="inlineStr">
        <is>
          <t>training</t>
        </is>
      </c>
    </row>
    <row r="702">
      <c r="A702" s="5" t="n">
        <v>698</v>
      </c>
      <c r="B702" s="5" t="n">
        <v>0</v>
      </c>
      <c r="C702" s="6" t="n">
        <v>-0.7357010147163632</v>
      </c>
      <c r="D702" s="6" t="n">
        <v>-0.8133941572696648</v>
      </c>
      <c r="E702" s="6" t="n">
        <v>0.2139536309170988</v>
      </c>
      <c r="F702" s="6" t="n">
        <v>-1.786844513613144</v>
      </c>
      <c r="G702" s="5" t="n">
        <v>0</v>
      </c>
      <c r="H702" s="5" t="n">
        <v>0</v>
      </c>
      <c r="I702" s="5" t="n">
        <v>0</v>
      </c>
      <c r="J702" s="5" t="n">
        <v>1</v>
      </c>
      <c r="K702" s="5" t="n">
        <v>0</v>
      </c>
      <c r="L702" s="5" t="n">
        <v>0</v>
      </c>
      <c r="M702" s="5" t="n">
        <v>0</v>
      </c>
      <c r="N702" s="5" t="n">
        <v>0</v>
      </c>
      <c r="O702" s="5" t="n">
        <v>0</v>
      </c>
      <c r="P702" s="5" t="n">
        <v>0</v>
      </c>
      <c r="Q702" s="5" t="n">
        <v>0</v>
      </c>
      <c r="R702" s="5" t="n">
        <v>1</v>
      </c>
      <c r="S702" s="5" t="n">
        <v>0</v>
      </c>
      <c r="T702" s="5" t="n">
        <v>0</v>
      </c>
      <c r="U702" s="5" t="inlineStr">
        <is>
          <t>training</t>
        </is>
      </c>
    </row>
    <row r="703">
      <c r="A703" s="5" t="n">
        <v>699</v>
      </c>
      <c r="B703" s="5" t="n">
        <v>0</v>
      </c>
      <c r="C703" s="6" t="n">
        <v>-0.2301473069597001</v>
      </c>
      <c r="D703" s="6" t="n">
        <v>-0.5075879009561928</v>
      </c>
      <c r="E703" s="6" t="n">
        <v>-1.003668658855008</v>
      </c>
      <c r="F703" s="6" t="n">
        <v>0.9185437189662378</v>
      </c>
      <c r="G703" s="5" t="n">
        <v>0</v>
      </c>
      <c r="H703" s="5" t="n">
        <v>0</v>
      </c>
      <c r="I703" s="5" t="n">
        <v>0</v>
      </c>
      <c r="J703" s="5" t="n">
        <v>1</v>
      </c>
      <c r="K703" s="5" t="n">
        <v>0</v>
      </c>
      <c r="L703" s="5" t="n">
        <v>0</v>
      </c>
      <c r="M703" s="5" t="n">
        <v>0</v>
      </c>
      <c r="N703" s="5" t="n">
        <v>0</v>
      </c>
      <c r="O703" s="5" t="n">
        <v>0</v>
      </c>
      <c r="P703" s="5" t="n">
        <v>0</v>
      </c>
      <c r="Q703" s="5" t="n">
        <v>0</v>
      </c>
      <c r="R703" s="5" t="n">
        <v>0</v>
      </c>
      <c r="S703" s="5" t="n">
        <v>1</v>
      </c>
      <c r="T703" s="5" t="n">
        <v>0</v>
      </c>
      <c r="U703" s="5" t="inlineStr">
        <is>
          <t>training</t>
        </is>
      </c>
    </row>
    <row r="704">
      <c r="A704" s="5" t="n">
        <v>700</v>
      </c>
      <c r="B704" s="5" t="n">
        <v>0</v>
      </c>
      <c r="C704" s="6" t="n">
        <v>-0.4829241608380317</v>
      </c>
      <c r="D704" s="6" t="n">
        <v>-0.4708491630695628</v>
      </c>
      <c r="E704" s="6" t="n">
        <v>0.3878996723131141</v>
      </c>
      <c r="F704" s="6" t="n">
        <v>0.9185437189662378</v>
      </c>
      <c r="G704" s="5" t="n">
        <v>0</v>
      </c>
      <c r="H704" s="5" t="n">
        <v>0</v>
      </c>
      <c r="I704" s="5" t="n">
        <v>1</v>
      </c>
      <c r="J704" s="5" t="n">
        <v>0</v>
      </c>
      <c r="K704" s="5" t="n">
        <v>0</v>
      </c>
      <c r="L704" s="5" t="n">
        <v>0</v>
      </c>
      <c r="M704" s="5" t="n">
        <v>0</v>
      </c>
      <c r="N704" s="5" t="n">
        <v>0</v>
      </c>
      <c r="O704" s="5" t="n">
        <v>0</v>
      </c>
      <c r="P704" s="5" t="n">
        <v>1</v>
      </c>
      <c r="Q704" s="5" t="n">
        <v>0</v>
      </c>
      <c r="R704" s="5" t="n">
        <v>0</v>
      </c>
      <c r="S704" s="5" t="n">
        <v>0</v>
      </c>
      <c r="T704" s="5" t="n">
        <v>0</v>
      </c>
      <c r="U704" s="5" t="inlineStr">
        <is>
          <t>testing</t>
        </is>
      </c>
    </row>
    <row r="705">
      <c r="A705" s="5" t="n">
        <v>701</v>
      </c>
      <c r="B705" s="5" t="n">
        <v>1</v>
      </c>
      <c r="C705" s="6" t="n">
        <v>-0.7357010147163632</v>
      </c>
      <c r="D705" s="6" t="n">
        <v>-0.7444652871395114</v>
      </c>
      <c r="E705" s="6" t="n">
        <v>-0.5688035553649698</v>
      </c>
      <c r="F705" s="6" t="n">
        <v>0.9185437189662378</v>
      </c>
      <c r="G705" s="5" t="n">
        <v>0</v>
      </c>
      <c r="H705" s="5" t="n">
        <v>0</v>
      </c>
      <c r="I705" s="5" t="n">
        <v>0</v>
      </c>
      <c r="J705" s="5" t="n">
        <v>0</v>
      </c>
      <c r="K705" s="5" t="n">
        <v>0</v>
      </c>
      <c r="L705" s="5" t="n">
        <v>0</v>
      </c>
      <c r="M705" s="5" t="n">
        <v>1</v>
      </c>
      <c r="N705" s="5" t="n">
        <v>0</v>
      </c>
      <c r="O705" s="5" t="n">
        <v>0</v>
      </c>
      <c r="P705" s="5" t="n">
        <v>1</v>
      </c>
      <c r="Q705" s="5" t="n">
        <v>0</v>
      </c>
      <c r="R705" s="5" t="n">
        <v>0</v>
      </c>
      <c r="S705" s="5" t="n">
        <v>0</v>
      </c>
      <c r="T705" s="5" t="n">
        <v>1</v>
      </c>
      <c r="U705" s="5" t="inlineStr">
        <is>
          <t>training</t>
        </is>
      </c>
    </row>
    <row r="706">
      <c r="A706" s="5" t="n">
        <v>702</v>
      </c>
      <c r="B706" s="5" t="n">
        <v>1</v>
      </c>
      <c r="C706" s="6" t="n">
        <v>2.297621231823615</v>
      </c>
      <c r="D706" s="6" t="n">
        <v>1.077776112037333</v>
      </c>
      <c r="E706" s="6" t="n">
        <v>0.9097377965011599</v>
      </c>
      <c r="F706" s="6" t="n">
        <v>0.9185437189662378</v>
      </c>
      <c r="G706" s="5" t="n">
        <v>1</v>
      </c>
      <c r="H706" s="5" t="n">
        <v>0</v>
      </c>
      <c r="I706" s="5" t="n">
        <v>0</v>
      </c>
      <c r="J706" s="5" t="n">
        <v>1</v>
      </c>
      <c r="K706" s="5" t="n">
        <v>0</v>
      </c>
      <c r="L706" s="5" t="n">
        <v>0</v>
      </c>
      <c r="M706" s="5" t="n">
        <v>0</v>
      </c>
      <c r="N706" s="5" t="n">
        <v>0</v>
      </c>
      <c r="O706" s="5" t="n">
        <v>0</v>
      </c>
      <c r="P706" s="5" t="n">
        <v>0</v>
      </c>
      <c r="Q706" s="5" t="n">
        <v>1</v>
      </c>
      <c r="R706" s="5" t="n">
        <v>1</v>
      </c>
      <c r="S706" s="5" t="n">
        <v>0</v>
      </c>
      <c r="T706" s="5" t="n">
        <v>0</v>
      </c>
      <c r="U706" s="5" t="inlineStr">
        <is>
          <t>training</t>
        </is>
      </c>
    </row>
    <row r="707">
      <c r="A707" s="5" t="n">
        <v>703</v>
      </c>
      <c r="B707" s="5" t="n">
        <v>0</v>
      </c>
      <c r="C707" s="6" t="n">
        <v>0.275406400796963</v>
      </c>
      <c r="D707" s="6" t="n">
        <v>-0.6555925307280448</v>
      </c>
      <c r="E707" s="6" t="n">
        <v>0.9967108171991675</v>
      </c>
      <c r="F707" s="6" t="n">
        <v>0.9185437189662378</v>
      </c>
      <c r="G707" s="5" t="n">
        <v>0</v>
      </c>
      <c r="H707" s="5" t="n">
        <v>0</v>
      </c>
      <c r="I707" s="5" t="n">
        <v>1</v>
      </c>
      <c r="J707" s="5" t="n">
        <v>0</v>
      </c>
      <c r="K707" s="5" t="n">
        <v>0</v>
      </c>
      <c r="L707" s="5" t="n">
        <v>0</v>
      </c>
      <c r="M707" s="5" t="n">
        <v>1</v>
      </c>
      <c r="N707" s="5" t="n">
        <v>0</v>
      </c>
      <c r="O707" s="5" t="n">
        <v>0</v>
      </c>
      <c r="P707" s="5" t="n">
        <v>0</v>
      </c>
      <c r="Q707" s="5" t="n">
        <v>1</v>
      </c>
      <c r="R707" s="5" t="n">
        <v>0</v>
      </c>
      <c r="S707" s="5" t="n">
        <v>1</v>
      </c>
      <c r="T707" s="5" t="n">
        <v>0</v>
      </c>
      <c r="U707" s="5" t="inlineStr">
        <is>
          <t>training</t>
        </is>
      </c>
    </row>
    <row r="708">
      <c r="A708" s="5" t="n">
        <v>704</v>
      </c>
      <c r="B708" s="5" t="n">
        <v>0</v>
      </c>
      <c r="C708" s="6" t="n">
        <v>0.7809601085536261</v>
      </c>
      <c r="D708" s="6" t="n">
        <v>-0.2616133034866609</v>
      </c>
      <c r="E708" s="6" t="n">
        <v>0.4748726930111218</v>
      </c>
      <c r="F708" s="6" t="n">
        <v>0.9185437189662378</v>
      </c>
      <c r="G708" s="5" t="n">
        <v>0</v>
      </c>
      <c r="H708" s="5" t="n">
        <v>1</v>
      </c>
      <c r="I708" s="5" t="n">
        <v>0</v>
      </c>
      <c r="J708" s="5" t="n">
        <v>0</v>
      </c>
      <c r="K708" s="5" t="n">
        <v>1</v>
      </c>
      <c r="L708" s="5" t="n">
        <v>0</v>
      </c>
      <c r="M708" s="5" t="n">
        <v>1</v>
      </c>
      <c r="N708" s="5" t="n">
        <v>0</v>
      </c>
      <c r="O708" s="5" t="n">
        <v>0</v>
      </c>
      <c r="P708" s="5" t="n">
        <v>0</v>
      </c>
      <c r="Q708" s="5" t="n">
        <v>0</v>
      </c>
      <c r="R708" s="5" t="n">
        <v>0</v>
      </c>
      <c r="S708" s="5" t="n">
        <v>0</v>
      </c>
      <c r="T708" s="5" t="n">
        <v>0</v>
      </c>
      <c r="U708" s="5" t="inlineStr">
        <is>
          <t>training</t>
        </is>
      </c>
    </row>
    <row r="709">
      <c r="A709" s="5" t="n">
        <v>705</v>
      </c>
      <c r="B709" s="5" t="n">
        <v>0</v>
      </c>
      <c r="C709" s="6" t="n">
        <v>0.5281832546752946</v>
      </c>
      <c r="D709" s="6" t="n">
        <v>-0.2528659849422252</v>
      </c>
      <c r="E709" s="6" t="n">
        <v>-0.307884493270947</v>
      </c>
      <c r="F709" s="6" t="n">
        <v>0.9185437189662378</v>
      </c>
      <c r="G709" s="5" t="n">
        <v>0</v>
      </c>
      <c r="H709" s="5" t="n">
        <v>1</v>
      </c>
      <c r="I709" s="5" t="n">
        <v>0</v>
      </c>
      <c r="J709" s="5" t="n">
        <v>0</v>
      </c>
      <c r="K709" s="5" t="n">
        <v>0</v>
      </c>
      <c r="L709" s="5" t="n">
        <v>0</v>
      </c>
      <c r="M709" s="5" t="n">
        <v>0</v>
      </c>
      <c r="N709" s="5" t="n">
        <v>0</v>
      </c>
      <c r="O709" s="5" t="n">
        <v>0</v>
      </c>
      <c r="P709" s="5" t="n">
        <v>0</v>
      </c>
      <c r="Q709" s="5" t="n">
        <v>0</v>
      </c>
      <c r="R709" s="5" t="n">
        <v>0</v>
      </c>
      <c r="S709" s="5" t="n">
        <v>0</v>
      </c>
      <c r="T709" s="5" t="n">
        <v>0</v>
      </c>
      <c r="U709" s="5" t="inlineStr">
        <is>
          <t>training</t>
        </is>
      </c>
    </row>
    <row r="710">
      <c r="A710" s="5" t="n">
        <v>706</v>
      </c>
      <c r="B710" s="5" t="n">
        <v>0</v>
      </c>
      <c r="C710" s="6" t="n">
        <v>-0.4829241608380317</v>
      </c>
      <c r="D710" s="6" t="n">
        <v>0.7254341210674633</v>
      </c>
      <c r="E710" s="6" t="n">
        <v>-0.04696543117692405</v>
      </c>
      <c r="F710" s="6" t="n">
        <v>-1.786844513613144</v>
      </c>
      <c r="G710" s="5" t="n">
        <v>0</v>
      </c>
      <c r="H710" s="5" t="n">
        <v>0</v>
      </c>
      <c r="I710" s="5" t="n">
        <v>0</v>
      </c>
      <c r="J710" s="5" t="n">
        <v>0</v>
      </c>
      <c r="K710" s="5" t="n">
        <v>0</v>
      </c>
      <c r="L710" s="5" t="n">
        <v>0</v>
      </c>
      <c r="M710" s="5" t="n">
        <v>1</v>
      </c>
      <c r="N710" s="5" t="n">
        <v>0</v>
      </c>
      <c r="O710" s="5" t="n">
        <v>0</v>
      </c>
      <c r="P710" s="5" t="n">
        <v>0</v>
      </c>
      <c r="Q710" s="5" t="n">
        <v>1</v>
      </c>
      <c r="R710" s="5" t="n">
        <v>1</v>
      </c>
      <c r="S710" s="5" t="n">
        <v>0</v>
      </c>
      <c r="T710" s="5" t="n">
        <v>0</v>
      </c>
      <c r="U710" s="5" t="inlineStr">
        <is>
          <t>training</t>
        </is>
      </c>
    </row>
    <row r="711">
      <c r="A711" s="5" t="n">
        <v>707</v>
      </c>
      <c r="B711" s="5" t="n">
        <v>1</v>
      </c>
      <c r="C711" s="6" t="n">
        <v>2.297621231823615</v>
      </c>
      <c r="D711" s="6" t="n">
        <v>1.157901549904364</v>
      </c>
      <c r="E711" s="6" t="n">
        <v>-1.003668658855008</v>
      </c>
      <c r="F711" s="6" t="n">
        <v>0.01674764143977723</v>
      </c>
      <c r="G711" s="5" t="n">
        <v>0</v>
      </c>
      <c r="H711" s="5" t="n">
        <v>1</v>
      </c>
      <c r="I711" s="5" t="n">
        <v>0</v>
      </c>
      <c r="J711" s="5" t="n">
        <v>0</v>
      </c>
      <c r="K711" s="5" t="n">
        <v>0</v>
      </c>
      <c r="L711" s="5" t="n">
        <v>0</v>
      </c>
      <c r="M711" s="5" t="n">
        <v>1</v>
      </c>
      <c r="N711" s="5" t="n">
        <v>0</v>
      </c>
      <c r="O711" s="5" t="n">
        <v>0</v>
      </c>
      <c r="P711" s="5" t="n">
        <v>0</v>
      </c>
      <c r="Q711" s="5" t="n">
        <v>0</v>
      </c>
      <c r="R711" s="5" t="n">
        <v>1</v>
      </c>
      <c r="S711" s="5" t="n">
        <v>0</v>
      </c>
      <c r="T711" s="5" t="n">
        <v>0</v>
      </c>
      <c r="U711" s="5" t="inlineStr">
        <is>
          <t>testing</t>
        </is>
      </c>
    </row>
    <row r="712">
      <c r="A712" s="5" t="n">
        <v>708</v>
      </c>
      <c r="B712" s="5" t="n">
        <v>1</v>
      </c>
      <c r="C712" s="6" t="n">
        <v>-0.7357010147163632</v>
      </c>
      <c r="D712" s="6" t="n">
        <v>-0.09856328581837948</v>
      </c>
      <c r="E712" s="6" t="n">
        <v>-0.9166956381570004</v>
      </c>
      <c r="F712" s="6" t="n">
        <v>0.9185437189662378</v>
      </c>
      <c r="G712" s="5" t="n">
        <v>0</v>
      </c>
      <c r="H712" s="5" t="n">
        <v>1</v>
      </c>
      <c r="I712" s="5" t="n">
        <v>0</v>
      </c>
      <c r="J712" s="5" t="n">
        <v>0</v>
      </c>
      <c r="K712" s="5" t="n">
        <v>0</v>
      </c>
      <c r="L712" s="5" t="n">
        <v>1</v>
      </c>
      <c r="M712" s="5" t="n">
        <v>0</v>
      </c>
      <c r="N712" s="5" t="n">
        <v>0</v>
      </c>
      <c r="O712" s="5" t="n">
        <v>0</v>
      </c>
      <c r="P712" s="5" t="n">
        <v>1</v>
      </c>
      <c r="Q712" s="5" t="n">
        <v>0</v>
      </c>
      <c r="R712" s="5" t="n">
        <v>0</v>
      </c>
      <c r="S712" s="5" t="n">
        <v>0</v>
      </c>
      <c r="T712" s="5" t="n">
        <v>1</v>
      </c>
      <c r="U712" s="5" t="inlineStr">
        <is>
          <t>training</t>
        </is>
      </c>
    </row>
    <row r="713">
      <c r="A713" s="5" t="n">
        <v>709</v>
      </c>
      <c r="B713" s="5" t="n">
        <v>0</v>
      </c>
      <c r="C713" s="6" t="n">
        <v>-0.9884778685946948</v>
      </c>
      <c r="D713" s="6" t="n">
        <v>-0.7154241895719849</v>
      </c>
      <c r="E713" s="6" t="n">
        <v>-0.9166956381570004</v>
      </c>
      <c r="F713" s="6" t="n">
        <v>0.9185437189662378</v>
      </c>
      <c r="G713" s="5" t="n">
        <v>0</v>
      </c>
      <c r="H713" s="5" t="n">
        <v>1</v>
      </c>
      <c r="I713" s="5" t="n">
        <v>0</v>
      </c>
      <c r="J713" s="5" t="n">
        <v>0</v>
      </c>
      <c r="K713" s="5" t="n">
        <v>0</v>
      </c>
      <c r="L713" s="5" t="n">
        <v>0</v>
      </c>
      <c r="M713" s="5" t="n">
        <v>0</v>
      </c>
      <c r="N713" s="5" t="n">
        <v>0</v>
      </c>
      <c r="O713" s="5" t="n">
        <v>0</v>
      </c>
      <c r="P713" s="5" t="n">
        <v>0</v>
      </c>
      <c r="Q713" s="5" t="n">
        <v>0</v>
      </c>
      <c r="R713" s="5" t="n">
        <v>0</v>
      </c>
      <c r="S713" s="5" t="n">
        <v>1</v>
      </c>
      <c r="T713" s="5" t="n">
        <v>0</v>
      </c>
      <c r="U713" s="5" t="inlineStr">
        <is>
          <t>training</t>
        </is>
      </c>
    </row>
    <row r="714">
      <c r="A714" s="5" t="n">
        <v>710</v>
      </c>
      <c r="B714" s="5" t="n">
        <v>0</v>
      </c>
      <c r="C714" s="6" t="n">
        <v>-0.9884778685946948</v>
      </c>
      <c r="D714" s="6" t="n">
        <v>-0.3963220090709706</v>
      </c>
      <c r="E714" s="6" t="n">
        <v>0.1269806102190912</v>
      </c>
      <c r="F714" s="6" t="n">
        <v>-0.8850484360866833</v>
      </c>
      <c r="G714" s="5" t="n">
        <v>0</v>
      </c>
      <c r="H714" s="5" t="n">
        <v>1</v>
      </c>
      <c r="I714" s="5" t="n">
        <v>0</v>
      </c>
      <c r="J714" s="5" t="n">
        <v>0</v>
      </c>
      <c r="K714" s="5" t="n">
        <v>0</v>
      </c>
      <c r="L714" s="5" t="n">
        <v>0</v>
      </c>
      <c r="M714" s="5" t="n">
        <v>0</v>
      </c>
      <c r="N714" s="5" t="n">
        <v>0</v>
      </c>
      <c r="O714" s="5" t="n">
        <v>0</v>
      </c>
      <c r="P714" s="5" t="n">
        <v>0</v>
      </c>
      <c r="Q714" s="5" t="n">
        <v>0</v>
      </c>
      <c r="R714" s="5" t="n">
        <v>0</v>
      </c>
      <c r="S714" s="5" t="n">
        <v>1</v>
      </c>
      <c r="T714" s="5" t="n">
        <v>0</v>
      </c>
      <c r="U714" s="5" t="inlineStr">
        <is>
          <t>testing</t>
        </is>
      </c>
    </row>
    <row r="715">
      <c r="A715" s="5" t="n">
        <v>711</v>
      </c>
      <c r="B715" s="5" t="n">
        <v>0</v>
      </c>
      <c r="C715" s="6" t="n">
        <v>-0.2301473069597001</v>
      </c>
      <c r="D715" s="6" t="n">
        <v>-0.9173123015775608</v>
      </c>
      <c r="E715" s="6" t="n">
        <v>-0.307884493270947</v>
      </c>
      <c r="F715" s="6" t="n">
        <v>0.9185437189662378</v>
      </c>
      <c r="G715" s="5" t="n">
        <v>0</v>
      </c>
      <c r="H715" s="5" t="n">
        <v>0</v>
      </c>
      <c r="I715" s="5" t="n">
        <v>0</v>
      </c>
      <c r="J715" s="5" t="n">
        <v>1</v>
      </c>
      <c r="K715" s="5" t="n">
        <v>0</v>
      </c>
      <c r="L715" s="5" t="n">
        <v>0</v>
      </c>
      <c r="M715" s="5" t="n">
        <v>1</v>
      </c>
      <c r="N715" s="5" t="n">
        <v>0</v>
      </c>
      <c r="O715" s="5" t="n">
        <v>0</v>
      </c>
      <c r="P715" s="5" t="n">
        <v>0</v>
      </c>
      <c r="Q715" s="5" t="n">
        <v>0</v>
      </c>
      <c r="R715" s="5" t="n">
        <v>0</v>
      </c>
      <c r="S715" s="5" t="n">
        <v>1</v>
      </c>
      <c r="T715" s="5" t="n">
        <v>0</v>
      </c>
      <c r="U715" s="5" t="inlineStr">
        <is>
          <t>training</t>
        </is>
      </c>
    </row>
    <row r="716">
      <c r="A716" s="5" t="n">
        <v>712</v>
      </c>
      <c r="B716" s="5" t="n">
        <v>1</v>
      </c>
      <c r="C716" s="6" t="n">
        <v>-1.241254722473026</v>
      </c>
      <c r="D716" s="6" t="n">
        <v>-0.7182233315062043</v>
      </c>
      <c r="E716" s="6" t="n">
        <v>-0.04696543117692405</v>
      </c>
      <c r="F716" s="6" t="n">
        <v>0.9185437189662378</v>
      </c>
      <c r="G716" s="5" t="n">
        <v>1</v>
      </c>
      <c r="H716" s="5" t="n">
        <v>0</v>
      </c>
      <c r="I716" s="5" t="n">
        <v>0</v>
      </c>
      <c r="J716" s="5" t="n">
        <v>0</v>
      </c>
      <c r="K716" s="5" t="n">
        <v>0</v>
      </c>
      <c r="L716" s="5" t="n">
        <v>1</v>
      </c>
      <c r="M716" s="5" t="n">
        <v>0</v>
      </c>
      <c r="N716" s="5" t="n">
        <v>0</v>
      </c>
      <c r="O716" s="5" t="n">
        <v>0</v>
      </c>
      <c r="P716" s="5" t="n">
        <v>0</v>
      </c>
      <c r="Q716" s="5" t="n">
        <v>1</v>
      </c>
      <c r="R716" s="5" t="n">
        <v>0</v>
      </c>
      <c r="S716" s="5" t="n">
        <v>0</v>
      </c>
      <c r="T716" s="5" t="n">
        <v>0</v>
      </c>
      <c r="U716" s="5" t="inlineStr">
        <is>
          <t>training</t>
        </is>
      </c>
    </row>
    <row r="717">
      <c r="A717" s="5" t="n">
        <v>713</v>
      </c>
      <c r="B717" s="5" t="n">
        <v>0</v>
      </c>
      <c r="C717" s="6" t="n">
        <v>0.02262954691863145</v>
      </c>
      <c r="D717" s="6" t="n">
        <v>-0.2710604075146514</v>
      </c>
      <c r="E717" s="6" t="n">
        <v>0.9097377965011599</v>
      </c>
      <c r="F717" s="6" t="n">
        <v>0.9185437189662378</v>
      </c>
      <c r="G717" s="5" t="n">
        <v>0</v>
      </c>
      <c r="H717" s="5" t="n">
        <v>0</v>
      </c>
      <c r="I717" s="5" t="n">
        <v>0</v>
      </c>
      <c r="J717" s="5" t="n">
        <v>0</v>
      </c>
      <c r="K717" s="5" t="n">
        <v>0</v>
      </c>
      <c r="L717" s="5" t="n">
        <v>0</v>
      </c>
      <c r="M717" s="5" t="n">
        <v>0</v>
      </c>
      <c r="N717" s="5" t="n">
        <v>0</v>
      </c>
      <c r="O717" s="5" t="n">
        <v>1</v>
      </c>
      <c r="P717" s="5" t="n">
        <v>0</v>
      </c>
      <c r="Q717" s="5" t="n">
        <v>0</v>
      </c>
      <c r="R717" s="5" t="n">
        <v>1</v>
      </c>
      <c r="S717" s="5" t="n">
        <v>0</v>
      </c>
      <c r="T717" s="5" t="n">
        <v>0</v>
      </c>
      <c r="U717" s="5" t="inlineStr">
        <is>
          <t>training</t>
        </is>
      </c>
    </row>
    <row r="718">
      <c r="A718" s="5" t="n">
        <v>714</v>
      </c>
      <c r="B718" s="5" t="n">
        <v>0</v>
      </c>
      <c r="C718" s="6" t="n">
        <v>-0.9884778685946948</v>
      </c>
      <c r="D718" s="6" t="n">
        <v>-0.73921689601285</v>
      </c>
      <c r="E718" s="6" t="n">
        <v>-0.9166956381570004</v>
      </c>
      <c r="F718" s="6" t="n">
        <v>0.9185437189662378</v>
      </c>
      <c r="G718" s="5" t="n">
        <v>1</v>
      </c>
      <c r="H718" s="5" t="n">
        <v>0</v>
      </c>
      <c r="I718" s="5" t="n">
        <v>0</v>
      </c>
      <c r="J718" s="5" t="n">
        <v>1</v>
      </c>
      <c r="K718" s="5" t="n">
        <v>0</v>
      </c>
      <c r="L718" s="5" t="n">
        <v>0</v>
      </c>
      <c r="M718" s="5" t="n">
        <v>0</v>
      </c>
      <c r="N718" s="5" t="n">
        <v>0</v>
      </c>
      <c r="O718" s="5" t="n">
        <v>0</v>
      </c>
      <c r="P718" s="5" t="n">
        <v>0</v>
      </c>
      <c r="Q718" s="5" t="n">
        <v>0</v>
      </c>
      <c r="R718" s="5" t="n">
        <v>0</v>
      </c>
      <c r="S718" s="5" t="n">
        <v>1</v>
      </c>
      <c r="T718" s="5" t="n">
        <v>0</v>
      </c>
      <c r="U718" s="5" t="inlineStr">
        <is>
          <t>training</t>
        </is>
      </c>
    </row>
    <row r="719">
      <c r="A719" s="5" t="n">
        <v>715</v>
      </c>
      <c r="B719" s="5" t="n">
        <v>1</v>
      </c>
      <c r="C719" s="6" t="n">
        <v>3.308728647336942</v>
      </c>
      <c r="D719" s="6" t="n">
        <v>3.770550652756419</v>
      </c>
      <c r="E719" s="6" t="n">
        <v>-0.7427495967609852</v>
      </c>
      <c r="F719" s="6" t="n">
        <v>0.9185437189662378</v>
      </c>
      <c r="G719" s="5" t="n">
        <v>0</v>
      </c>
      <c r="H719" s="5" t="n">
        <v>1</v>
      </c>
      <c r="I719" s="5" t="n">
        <v>0</v>
      </c>
      <c r="J719" s="5" t="n">
        <v>0</v>
      </c>
      <c r="K719" s="5" t="n">
        <v>0</v>
      </c>
      <c r="L719" s="5" t="n">
        <v>0</v>
      </c>
      <c r="M719" s="5" t="n">
        <v>0</v>
      </c>
      <c r="N719" s="5" t="n">
        <v>0</v>
      </c>
      <c r="O719" s="5" t="n">
        <v>0</v>
      </c>
      <c r="P719" s="5" t="n">
        <v>0</v>
      </c>
      <c r="Q719" s="5" t="n">
        <v>0</v>
      </c>
      <c r="R719" s="5" t="n">
        <v>1</v>
      </c>
      <c r="S719" s="5" t="n">
        <v>0</v>
      </c>
      <c r="T719" s="5" t="n">
        <v>0</v>
      </c>
      <c r="U719" s="5" t="inlineStr">
        <is>
          <t>testing</t>
        </is>
      </c>
    </row>
    <row r="720">
      <c r="A720" s="5" t="n">
        <v>716</v>
      </c>
      <c r="B720" s="5" t="n">
        <v>0</v>
      </c>
      <c r="C720" s="6" t="n">
        <v>0.7809601085536261</v>
      </c>
      <c r="D720" s="6" t="n">
        <v>1.52039043038578</v>
      </c>
      <c r="E720" s="6" t="n">
        <v>2.38827914836729</v>
      </c>
      <c r="F720" s="6" t="n">
        <v>-1.786844513613144</v>
      </c>
      <c r="G720" s="5" t="n">
        <v>0</v>
      </c>
      <c r="H720" s="5" t="n">
        <v>0</v>
      </c>
      <c r="I720" s="5" t="n">
        <v>0</v>
      </c>
      <c r="J720" s="5" t="n">
        <v>1</v>
      </c>
      <c r="K720" s="5" t="n">
        <v>0</v>
      </c>
      <c r="L720" s="5" t="n">
        <v>0</v>
      </c>
      <c r="M720" s="5" t="n">
        <v>0</v>
      </c>
      <c r="N720" s="5" t="n">
        <v>0</v>
      </c>
      <c r="O720" s="5" t="n">
        <v>1</v>
      </c>
      <c r="P720" s="5" t="n">
        <v>0</v>
      </c>
      <c r="Q720" s="5" t="n">
        <v>0</v>
      </c>
      <c r="R720" s="5" t="n">
        <v>1</v>
      </c>
      <c r="S720" s="5" t="n">
        <v>0</v>
      </c>
      <c r="T720" s="5" t="n">
        <v>0</v>
      </c>
      <c r="U720" s="5" t="inlineStr">
        <is>
          <t>training</t>
        </is>
      </c>
    </row>
    <row r="721">
      <c r="A721" s="5" t="n">
        <v>717</v>
      </c>
      <c r="B721" s="5" t="n">
        <v>0</v>
      </c>
      <c r="C721" s="6" t="n">
        <v>0.7809601085536261</v>
      </c>
      <c r="D721" s="6" t="n">
        <v>-0.06077486970641726</v>
      </c>
      <c r="E721" s="6" t="n">
        <v>0.3878996723131141</v>
      </c>
      <c r="F721" s="6" t="n">
        <v>0.01674764143977723</v>
      </c>
      <c r="G721" s="5" t="n">
        <v>0</v>
      </c>
      <c r="H721" s="5" t="n">
        <v>0</v>
      </c>
      <c r="I721" s="5" t="n">
        <v>0</v>
      </c>
      <c r="J721" s="5" t="n">
        <v>1</v>
      </c>
      <c r="K721" s="5" t="n">
        <v>0</v>
      </c>
      <c r="L721" s="5" t="n">
        <v>0</v>
      </c>
      <c r="M721" s="5" t="n">
        <v>0</v>
      </c>
      <c r="N721" s="5" t="n">
        <v>0</v>
      </c>
      <c r="O721" s="5" t="n">
        <v>1</v>
      </c>
      <c r="P721" s="5" t="n">
        <v>0</v>
      </c>
      <c r="Q721" s="5" t="n">
        <v>0</v>
      </c>
      <c r="R721" s="5" t="n">
        <v>0</v>
      </c>
      <c r="S721" s="5" t="n">
        <v>1</v>
      </c>
      <c r="T721" s="5" t="n">
        <v>0</v>
      </c>
      <c r="U721" s="5" t="inlineStr">
        <is>
          <t>testing</t>
        </is>
      </c>
    </row>
    <row r="722">
      <c r="A722" s="5" t="n">
        <v>718</v>
      </c>
      <c r="B722" s="5" t="n">
        <v>0</v>
      </c>
      <c r="C722" s="6" t="n">
        <v>-0.2301473069597001</v>
      </c>
      <c r="D722" s="6" t="n">
        <v>-0.6108062597805339</v>
      </c>
      <c r="E722" s="6" t="n">
        <v>-0.307884493270947</v>
      </c>
      <c r="F722" s="6" t="n">
        <v>0.9185437189662378</v>
      </c>
      <c r="G722" s="5" t="n">
        <v>0</v>
      </c>
      <c r="H722" s="5" t="n">
        <v>0</v>
      </c>
      <c r="I722" s="5" t="n">
        <v>0</v>
      </c>
      <c r="J722" s="5" t="n">
        <v>0</v>
      </c>
      <c r="K722" s="5" t="n">
        <v>0</v>
      </c>
      <c r="L722" s="5" t="n">
        <v>0</v>
      </c>
      <c r="M722" s="5" t="n">
        <v>0</v>
      </c>
      <c r="N722" s="5" t="n">
        <v>0</v>
      </c>
      <c r="O722" s="5" t="n">
        <v>0</v>
      </c>
      <c r="P722" s="5" t="n">
        <v>0</v>
      </c>
      <c r="Q722" s="5" t="n">
        <v>1</v>
      </c>
      <c r="R722" s="5" t="n">
        <v>0</v>
      </c>
      <c r="S722" s="5" t="n">
        <v>1</v>
      </c>
      <c r="T722" s="5" t="n">
        <v>0</v>
      </c>
      <c r="U722" s="5" t="inlineStr">
        <is>
          <t>training</t>
        </is>
      </c>
    </row>
    <row r="723">
      <c r="A723" s="5" t="n">
        <v>719</v>
      </c>
      <c r="B723" s="5" t="n">
        <v>0</v>
      </c>
      <c r="C723" s="6" t="n">
        <v>0.275406400796963</v>
      </c>
      <c r="D723" s="6" t="n">
        <v>-0.03593248504021988</v>
      </c>
      <c r="E723" s="6" t="n">
        <v>-0.3948575139689546</v>
      </c>
      <c r="F723" s="6" t="n">
        <v>0.01674764143977723</v>
      </c>
      <c r="G723" s="5" t="n">
        <v>0</v>
      </c>
      <c r="H723" s="5" t="n">
        <v>0</v>
      </c>
      <c r="I723" s="5" t="n">
        <v>1</v>
      </c>
      <c r="J723" s="5" t="n">
        <v>1</v>
      </c>
      <c r="K723" s="5" t="n">
        <v>0</v>
      </c>
      <c r="L723" s="5" t="n">
        <v>0</v>
      </c>
      <c r="M723" s="5" t="n">
        <v>0</v>
      </c>
      <c r="N723" s="5" t="n">
        <v>0</v>
      </c>
      <c r="O723" s="5" t="n">
        <v>1</v>
      </c>
      <c r="P723" s="5" t="n">
        <v>0</v>
      </c>
      <c r="Q723" s="5" t="n">
        <v>0</v>
      </c>
      <c r="R723" s="5" t="n">
        <v>0</v>
      </c>
      <c r="S723" s="5" t="n">
        <v>1</v>
      </c>
      <c r="T723" s="5" t="n">
        <v>0</v>
      </c>
      <c r="U723" s="5" t="inlineStr">
        <is>
          <t>training</t>
        </is>
      </c>
    </row>
    <row r="724">
      <c r="A724" s="5" t="n">
        <v>720</v>
      </c>
      <c r="B724" s="5" t="n">
        <v>0</v>
      </c>
      <c r="C724" s="6" t="n">
        <v>-0.06162940437414574</v>
      </c>
      <c r="D724" s="6" t="n">
        <v>1.013745740292064</v>
      </c>
      <c r="E724" s="6" t="n">
        <v>-0.3948575139689546</v>
      </c>
      <c r="F724" s="6" t="n">
        <v>0.01674764143977723</v>
      </c>
      <c r="G724" s="5" t="n">
        <v>0</v>
      </c>
      <c r="H724" s="5" t="n">
        <v>1</v>
      </c>
      <c r="I724" s="5" t="n">
        <v>0</v>
      </c>
      <c r="J724" s="5" t="n">
        <v>0</v>
      </c>
      <c r="K724" s="5" t="n">
        <v>0</v>
      </c>
      <c r="L724" s="5" t="n">
        <v>1</v>
      </c>
      <c r="M724" s="5" t="n">
        <v>1</v>
      </c>
      <c r="N724" s="5" t="n">
        <v>0</v>
      </c>
      <c r="O724" s="5" t="n">
        <v>0</v>
      </c>
      <c r="P724" s="5" t="n">
        <v>0</v>
      </c>
      <c r="Q724" s="5" t="n">
        <v>0</v>
      </c>
      <c r="R724" s="5" t="n">
        <v>1</v>
      </c>
      <c r="S724" s="5" t="n">
        <v>0</v>
      </c>
      <c r="T724" s="5" t="n">
        <v>0</v>
      </c>
      <c r="U724" s="5" t="inlineStr">
        <is>
          <t>training</t>
        </is>
      </c>
    </row>
    <row r="725">
      <c r="A725" s="5" t="n">
        <v>721</v>
      </c>
      <c r="B725" s="5" t="n">
        <v>1</v>
      </c>
      <c r="C725" s="6" t="n">
        <v>-0.9884778685946948</v>
      </c>
      <c r="D725" s="6" t="n">
        <v>-0.6695882403991419</v>
      </c>
      <c r="E725" s="6" t="n">
        <v>-0.1339384518749317</v>
      </c>
      <c r="F725" s="6" t="n">
        <v>0.9185437189662378</v>
      </c>
      <c r="G725" s="5" t="n">
        <v>0</v>
      </c>
      <c r="H725" s="5" t="n">
        <v>0</v>
      </c>
      <c r="I725" s="5" t="n">
        <v>1</v>
      </c>
      <c r="J725" s="5" t="n">
        <v>0</v>
      </c>
      <c r="K725" s="5" t="n">
        <v>0</v>
      </c>
      <c r="L725" s="5" t="n">
        <v>1</v>
      </c>
      <c r="M725" s="5" t="n">
        <v>0</v>
      </c>
      <c r="N725" s="5" t="n">
        <v>0</v>
      </c>
      <c r="O725" s="5" t="n">
        <v>0</v>
      </c>
      <c r="P725" s="5" t="n">
        <v>0</v>
      </c>
      <c r="Q725" s="5" t="n">
        <v>0</v>
      </c>
      <c r="R725" s="5" t="n">
        <v>0</v>
      </c>
      <c r="S725" s="5" t="n">
        <v>1</v>
      </c>
      <c r="T725" s="5" t="n">
        <v>0</v>
      </c>
      <c r="U725" s="5" t="inlineStr">
        <is>
          <t>training</t>
        </is>
      </c>
    </row>
    <row r="726">
      <c r="A726" s="5" t="n">
        <v>722</v>
      </c>
      <c r="B726" s="5" t="n">
        <v>1</v>
      </c>
      <c r="C726" s="6" t="n">
        <v>-1.241254722473026</v>
      </c>
      <c r="D726" s="6" t="n">
        <v>-0.9858912789659368</v>
      </c>
      <c r="E726" s="6" t="n">
        <v>-1.003668658855008</v>
      </c>
      <c r="F726" s="6" t="n">
        <v>0.9185437189662378</v>
      </c>
      <c r="G726" s="5" t="n">
        <v>0</v>
      </c>
      <c r="H726" s="5" t="n">
        <v>1</v>
      </c>
      <c r="I726" s="5" t="n">
        <v>0</v>
      </c>
      <c r="J726" s="5" t="n">
        <v>0</v>
      </c>
      <c r="K726" s="5" t="n">
        <v>0</v>
      </c>
      <c r="L726" s="5" t="n">
        <v>1</v>
      </c>
      <c r="M726" s="5" t="n">
        <v>0</v>
      </c>
      <c r="N726" s="5" t="n">
        <v>1</v>
      </c>
      <c r="O726" s="5" t="n">
        <v>0</v>
      </c>
      <c r="P726" s="5" t="n">
        <v>1</v>
      </c>
      <c r="Q726" s="5" t="n">
        <v>0</v>
      </c>
      <c r="R726" s="5" t="n">
        <v>0</v>
      </c>
      <c r="S726" s="5" t="n">
        <v>0</v>
      </c>
      <c r="T726" s="5" t="n">
        <v>0</v>
      </c>
      <c r="U726" s="5" t="inlineStr">
        <is>
          <t>testing</t>
        </is>
      </c>
    </row>
    <row r="727">
      <c r="A727" s="5" t="n">
        <v>723</v>
      </c>
      <c r="B727" s="5" t="n">
        <v>1</v>
      </c>
      <c r="C727" s="6" t="n">
        <v>-0.7357010147163632</v>
      </c>
      <c r="D727" s="6" t="n">
        <v>-0.7077265492528815</v>
      </c>
      <c r="E727" s="6" t="n">
        <v>-1.003668658855008</v>
      </c>
      <c r="F727" s="6" t="n">
        <v>0.9185437189662378</v>
      </c>
      <c r="G727" s="5" t="n">
        <v>1</v>
      </c>
      <c r="H727" s="5" t="n">
        <v>0</v>
      </c>
      <c r="I727" s="5" t="n">
        <v>0</v>
      </c>
      <c r="J727" s="5" t="n">
        <v>0</v>
      </c>
      <c r="K727" s="5" t="n">
        <v>0</v>
      </c>
      <c r="L727" s="5" t="n">
        <v>0</v>
      </c>
      <c r="M727" s="5" t="n">
        <v>0</v>
      </c>
      <c r="N727" s="5" t="n">
        <v>0</v>
      </c>
      <c r="O727" s="5" t="n">
        <v>0</v>
      </c>
      <c r="P727" s="5" t="n">
        <v>0</v>
      </c>
      <c r="Q727" s="5" t="n">
        <v>0</v>
      </c>
      <c r="R727" s="5" t="n">
        <v>1</v>
      </c>
      <c r="S727" s="5" t="n">
        <v>0</v>
      </c>
      <c r="T727" s="5" t="n">
        <v>0</v>
      </c>
      <c r="U727" s="5" t="inlineStr">
        <is>
          <t>training</t>
        </is>
      </c>
    </row>
    <row r="728">
      <c r="A728" s="5" t="n">
        <v>724</v>
      </c>
      <c r="B728" s="5" t="n">
        <v>0</v>
      </c>
      <c r="C728" s="6" t="n">
        <v>-0.9884778685946948</v>
      </c>
      <c r="D728" s="6" t="n">
        <v>-0.8609795701513949</v>
      </c>
      <c r="E728" s="6" t="n">
        <v>2.649198210461313</v>
      </c>
      <c r="F728" s="6" t="n">
        <v>0.9185437189662378</v>
      </c>
      <c r="G728" s="5" t="n">
        <v>0</v>
      </c>
      <c r="H728" s="5" t="n">
        <v>1</v>
      </c>
      <c r="I728" s="5" t="n">
        <v>0</v>
      </c>
      <c r="J728" s="5" t="n">
        <v>0</v>
      </c>
      <c r="K728" s="5" t="n">
        <v>0</v>
      </c>
      <c r="L728" s="5" t="n">
        <v>0</v>
      </c>
      <c r="M728" s="5" t="n">
        <v>1</v>
      </c>
      <c r="N728" s="5" t="n">
        <v>0</v>
      </c>
      <c r="O728" s="5" t="n">
        <v>0</v>
      </c>
      <c r="P728" s="5" t="n">
        <v>0</v>
      </c>
      <c r="Q728" s="5" t="n">
        <v>0</v>
      </c>
      <c r="R728" s="5" t="n">
        <v>0</v>
      </c>
      <c r="S728" s="5" t="n">
        <v>1</v>
      </c>
      <c r="T728" s="5" t="n">
        <v>0</v>
      </c>
      <c r="U728" s="5" t="inlineStr">
        <is>
          <t>training</t>
        </is>
      </c>
    </row>
    <row r="729">
      <c r="A729" s="5" t="n">
        <v>725</v>
      </c>
      <c r="B729" s="5" t="n">
        <v>1</v>
      </c>
      <c r="C729" s="6" t="n">
        <v>0.5281832546752946</v>
      </c>
      <c r="D729" s="6" t="n">
        <v>-0.2381704897875732</v>
      </c>
      <c r="E729" s="6" t="n">
        <v>-1.264587720949031</v>
      </c>
      <c r="F729" s="6" t="n">
        <v>0.01674764143977723</v>
      </c>
      <c r="G729" s="5" t="n">
        <v>0</v>
      </c>
      <c r="H729" s="5" t="n">
        <v>0</v>
      </c>
      <c r="I729" s="5" t="n">
        <v>0</v>
      </c>
      <c r="J729" s="5" t="n">
        <v>0</v>
      </c>
      <c r="K729" s="5" t="n">
        <v>0</v>
      </c>
      <c r="L729" s="5" t="n">
        <v>0</v>
      </c>
      <c r="M729" s="5" t="n">
        <v>0</v>
      </c>
      <c r="N729" s="5" t="n">
        <v>0</v>
      </c>
      <c r="O729" s="5" t="n">
        <v>0</v>
      </c>
      <c r="P729" s="5" t="n">
        <v>1</v>
      </c>
      <c r="Q729" s="5" t="n">
        <v>0</v>
      </c>
      <c r="R729" s="5" t="n">
        <v>1</v>
      </c>
      <c r="S729" s="5" t="n">
        <v>0</v>
      </c>
      <c r="T729" s="5" t="n">
        <v>0</v>
      </c>
      <c r="U729" s="5" t="inlineStr">
        <is>
          <t>training</t>
        </is>
      </c>
    </row>
    <row r="730">
      <c r="A730" s="5" t="n">
        <v>726</v>
      </c>
      <c r="B730" s="5" t="n">
        <v>0</v>
      </c>
      <c r="C730" s="6" t="n">
        <v>-1.241254722473026</v>
      </c>
      <c r="D730" s="6" t="n">
        <v>-1.049921650711206</v>
      </c>
      <c r="E730" s="6" t="n">
        <v>0.4748726930111218</v>
      </c>
      <c r="F730" s="6" t="n">
        <v>-0.8850484360866833</v>
      </c>
      <c r="G730" s="5" t="n">
        <v>0</v>
      </c>
      <c r="H730" s="5" t="n">
        <v>0</v>
      </c>
      <c r="I730" s="5" t="n">
        <v>0</v>
      </c>
      <c r="J730" s="5" t="n">
        <v>1</v>
      </c>
      <c r="K730" s="5" t="n">
        <v>0</v>
      </c>
      <c r="L730" s="5" t="n">
        <v>0</v>
      </c>
      <c r="M730" s="5" t="n">
        <v>0</v>
      </c>
      <c r="N730" s="5" t="n">
        <v>1</v>
      </c>
      <c r="O730" s="5" t="n">
        <v>0</v>
      </c>
      <c r="P730" s="5" t="n">
        <v>0</v>
      </c>
      <c r="Q730" s="5" t="n">
        <v>0</v>
      </c>
      <c r="R730" s="5" t="n">
        <v>1</v>
      </c>
      <c r="S730" s="5" t="n">
        <v>0</v>
      </c>
      <c r="T730" s="5" t="n">
        <v>0</v>
      </c>
      <c r="U730" s="5" t="inlineStr">
        <is>
          <t>training</t>
        </is>
      </c>
    </row>
    <row r="731">
      <c r="A731" s="5" t="n">
        <v>727</v>
      </c>
      <c r="B731" s="5" t="n">
        <v>0</v>
      </c>
      <c r="C731" s="6" t="n">
        <v>-0.4829241608380317</v>
      </c>
      <c r="D731" s="6" t="n">
        <v>-0.6769359879764679</v>
      </c>
      <c r="E731" s="6" t="n">
        <v>0.9967108171991675</v>
      </c>
      <c r="F731" s="6" t="n">
        <v>-0.8850484360866833</v>
      </c>
      <c r="G731" s="5" t="n">
        <v>0</v>
      </c>
      <c r="H731" s="5" t="n">
        <v>0</v>
      </c>
      <c r="I731" s="5" t="n">
        <v>0</v>
      </c>
      <c r="J731" s="5" t="n">
        <v>1</v>
      </c>
      <c r="K731" s="5" t="n">
        <v>0</v>
      </c>
      <c r="L731" s="5" t="n">
        <v>0</v>
      </c>
      <c r="M731" s="5" t="n">
        <v>1</v>
      </c>
      <c r="N731" s="5" t="n">
        <v>0</v>
      </c>
      <c r="O731" s="5" t="n">
        <v>0</v>
      </c>
      <c r="P731" s="5" t="n">
        <v>0</v>
      </c>
      <c r="Q731" s="5" t="n">
        <v>0</v>
      </c>
      <c r="R731" s="5" t="n">
        <v>0</v>
      </c>
      <c r="S731" s="5" t="n">
        <v>1</v>
      </c>
      <c r="T731" s="5" t="n">
        <v>0</v>
      </c>
      <c r="U731" s="5" t="inlineStr">
        <is>
          <t>training</t>
        </is>
      </c>
    </row>
    <row r="732">
      <c r="A732" s="5" t="n">
        <v>728</v>
      </c>
      <c r="B732" s="5" t="n">
        <v>1</v>
      </c>
      <c r="C732" s="6" t="n">
        <v>-0.2301473069597001</v>
      </c>
      <c r="D732" s="6" t="n">
        <v>-0.4788966961304437</v>
      </c>
      <c r="E732" s="6" t="n">
        <v>-0.9166956381570004</v>
      </c>
      <c r="F732" s="6" t="n">
        <v>0.9185437189662378</v>
      </c>
      <c r="G732" s="5" t="n">
        <v>1</v>
      </c>
      <c r="H732" s="5" t="n">
        <v>0</v>
      </c>
      <c r="I732" s="5" t="n">
        <v>0</v>
      </c>
      <c r="J732" s="5" t="n">
        <v>0</v>
      </c>
      <c r="K732" s="5" t="n">
        <v>0</v>
      </c>
      <c r="L732" s="5" t="n">
        <v>0</v>
      </c>
      <c r="M732" s="5" t="n">
        <v>0</v>
      </c>
      <c r="N732" s="5" t="n">
        <v>0</v>
      </c>
      <c r="O732" s="5" t="n">
        <v>0</v>
      </c>
      <c r="P732" s="5" t="n">
        <v>1</v>
      </c>
      <c r="Q732" s="5" t="n">
        <v>0</v>
      </c>
      <c r="R732" s="5" t="n">
        <v>0</v>
      </c>
      <c r="S732" s="5" t="n">
        <v>1</v>
      </c>
      <c r="T732" s="5" t="n">
        <v>0</v>
      </c>
      <c r="U732" s="5" t="inlineStr">
        <is>
          <t>training</t>
        </is>
      </c>
    </row>
    <row r="733">
      <c r="A733" s="5" t="n">
        <v>729</v>
      </c>
      <c r="B733" s="5" t="n">
        <v>1</v>
      </c>
      <c r="C733" s="6" t="n">
        <v>2.297621231823615</v>
      </c>
      <c r="D733" s="6" t="n">
        <v>1.107516995088415</v>
      </c>
      <c r="E733" s="6" t="n">
        <v>2.040387065575259</v>
      </c>
      <c r="F733" s="6" t="n">
        <v>0.9185437189662378</v>
      </c>
      <c r="G733" s="5" t="n">
        <v>0</v>
      </c>
      <c r="H733" s="5" t="n">
        <v>1</v>
      </c>
      <c r="I733" s="5" t="n">
        <v>0</v>
      </c>
      <c r="J733" s="5" t="n">
        <v>0</v>
      </c>
      <c r="K733" s="5" t="n">
        <v>0</v>
      </c>
      <c r="L733" s="5" t="n">
        <v>1</v>
      </c>
      <c r="M733" s="5" t="n">
        <v>0</v>
      </c>
      <c r="N733" s="5" t="n">
        <v>0</v>
      </c>
      <c r="O733" s="5" t="n">
        <v>0</v>
      </c>
      <c r="P733" s="5" t="n">
        <v>1</v>
      </c>
      <c r="Q733" s="5" t="n">
        <v>0</v>
      </c>
      <c r="R733" s="5" t="n">
        <v>0</v>
      </c>
      <c r="S733" s="5" t="n">
        <v>0</v>
      </c>
      <c r="T733" s="5" t="n">
        <v>0</v>
      </c>
      <c r="U733" s="5" t="inlineStr">
        <is>
          <t>testing</t>
        </is>
      </c>
    </row>
    <row r="734">
      <c r="A734" s="5" t="n">
        <v>730</v>
      </c>
      <c r="B734" s="5" t="n">
        <v>0</v>
      </c>
      <c r="C734" s="6" t="n">
        <v>0.275406400796963</v>
      </c>
      <c r="D734" s="6" t="n">
        <v>-0.6912815903893424</v>
      </c>
      <c r="E734" s="6" t="n">
        <v>0.04000758952108359</v>
      </c>
      <c r="F734" s="6" t="n">
        <v>-0.8850484360866833</v>
      </c>
      <c r="G734" s="5" t="n">
        <v>0</v>
      </c>
      <c r="H734" s="5" t="n">
        <v>0</v>
      </c>
      <c r="I734" s="5" t="n">
        <v>1</v>
      </c>
      <c r="J734" s="5" t="n">
        <v>1</v>
      </c>
      <c r="K734" s="5" t="n">
        <v>0</v>
      </c>
      <c r="L734" s="5" t="n">
        <v>0</v>
      </c>
      <c r="M734" s="5" t="n">
        <v>0</v>
      </c>
      <c r="N734" s="5" t="n">
        <v>1</v>
      </c>
      <c r="O734" s="5" t="n">
        <v>0</v>
      </c>
      <c r="P734" s="5" t="n">
        <v>0</v>
      </c>
      <c r="Q734" s="5" t="n">
        <v>0</v>
      </c>
      <c r="R734" s="5" t="n">
        <v>0</v>
      </c>
      <c r="S734" s="5" t="n">
        <v>0</v>
      </c>
      <c r="T734" s="5" t="n">
        <v>0</v>
      </c>
      <c r="U734" s="5" t="inlineStr">
        <is>
          <t>training</t>
        </is>
      </c>
    </row>
    <row r="735">
      <c r="A735" s="5" t="n">
        <v>731</v>
      </c>
      <c r="B735" s="5" t="n">
        <v>0</v>
      </c>
      <c r="C735" s="6" t="n">
        <v>0.275406400796963</v>
      </c>
      <c r="D735" s="6" t="n">
        <v>1.102968389445308</v>
      </c>
      <c r="E735" s="6" t="n">
        <v>-0.2209114725729393</v>
      </c>
      <c r="F735" s="6" t="n">
        <v>-1.786844513613144</v>
      </c>
      <c r="G735" s="5" t="n">
        <v>0</v>
      </c>
      <c r="H735" s="5" t="n">
        <v>1</v>
      </c>
      <c r="I735" s="5" t="n">
        <v>0</v>
      </c>
      <c r="J735" s="5" t="n">
        <v>0</v>
      </c>
      <c r="K735" s="5" t="n">
        <v>1</v>
      </c>
      <c r="L735" s="5" t="n">
        <v>0</v>
      </c>
      <c r="M735" s="5" t="n">
        <v>0</v>
      </c>
      <c r="N735" s="5" t="n">
        <v>0</v>
      </c>
      <c r="O735" s="5" t="n">
        <v>0</v>
      </c>
      <c r="P735" s="5" t="n">
        <v>0</v>
      </c>
      <c r="Q735" s="5" t="n">
        <v>0</v>
      </c>
      <c r="R735" s="5" t="n">
        <v>0</v>
      </c>
      <c r="S735" s="5" t="n">
        <v>1</v>
      </c>
      <c r="T735" s="5" t="n">
        <v>0</v>
      </c>
      <c r="U735" s="5" t="inlineStr">
        <is>
          <t>training</t>
        </is>
      </c>
    </row>
    <row r="736">
      <c r="A736" s="5" t="n">
        <v>732</v>
      </c>
      <c r="B736" s="5" t="n">
        <v>1</v>
      </c>
      <c r="C736" s="6" t="n">
        <v>0.275406400796963</v>
      </c>
      <c r="D736" s="6" t="n">
        <v>-0.4421579582438137</v>
      </c>
      <c r="E736" s="6" t="n">
        <v>-1.264587720949031</v>
      </c>
      <c r="F736" s="6" t="n">
        <v>-0.8850484360866833</v>
      </c>
      <c r="G736" s="5" t="n">
        <v>1</v>
      </c>
      <c r="H736" s="5" t="n">
        <v>0</v>
      </c>
      <c r="I736" s="5" t="n">
        <v>0</v>
      </c>
      <c r="J736" s="5" t="n">
        <v>0</v>
      </c>
      <c r="K736" s="5" t="n">
        <v>0</v>
      </c>
      <c r="L736" s="5" t="n">
        <v>0</v>
      </c>
      <c r="M736" s="5" t="n">
        <v>0</v>
      </c>
      <c r="N736" s="5" t="n">
        <v>0</v>
      </c>
      <c r="O736" s="5" t="n">
        <v>0</v>
      </c>
      <c r="P736" s="5" t="n">
        <v>1</v>
      </c>
      <c r="Q736" s="5" t="n">
        <v>0</v>
      </c>
      <c r="R736" s="5" t="n">
        <v>0</v>
      </c>
      <c r="S736" s="5" t="n">
        <v>1</v>
      </c>
      <c r="T736" s="5" t="n">
        <v>0</v>
      </c>
      <c r="U736" s="5" t="inlineStr">
        <is>
          <t>testing</t>
        </is>
      </c>
    </row>
    <row r="737">
      <c r="A737" s="5" t="n">
        <v>733</v>
      </c>
      <c r="B737" s="5" t="n">
        <v>0</v>
      </c>
      <c r="C737" s="6" t="n">
        <v>-1.072736819887472</v>
      </c>
      <c r="D737" s="6" t="n">
        <v>-0.8714763524047178</v>
      </c>
      <c r="E737" s="6" t="n">
        <v>0.7357917551051447</v>
      </c>
      <c r="F737" s="6" t="n">
        <v>0.9185437189662378</v>
      </c>
      <c r="G737" s="5" t="n">
        <v>0</v>
      </c>
      <c r="H737" s="5" t="n">
        <v>1</v>
      </c>
      <c r="I737" s="5" t="n">
        <v>0</v>
      </c>
      <c r="J737" s="5" t="n">
        <v>0</v>
      </c>
      <c r="K737" s="5" t="n">
        <v>0</v>
      </c>
      <c r="L737" s="5" t="n">
        <v>0</v>
      </c>
      <c r="M737" s="5" t="n">
        <v>0</v>
      </c>
      <c r="N737" s="5" t="n">
        <v>0</v>
      </c>
      <c r="O737" s="5" t="n">
        <v>0</v>
      </c>
      <c r="P737" s="5" t="n">
        <v>0</v>
      </c>
      <c r="Q737" s="5" t="n">
        <v>0</v>
      </c>
      <c r="R737" s="5" t="n">
        <v>0</v>
      </c>
      <c r="S737" s="5" t="n">
        <v>1</v>
      </c>
      <c r="T737" s="5" t="n">
        <v>0</v>
      </c>
      <c r="U737" s="5" t="inlineStr">
        <is>
          <t>training</t>
        </is>
      </c>
    </row>
    <row r="738">
      <c r="A738" s="5" t="n">
        <v>734</v>
      </c>
      <c r="B738" s="5" t="n">
        <v>0</v>
      </c>
      <c r="C738" s="6" t="n">
        <v>0.275406400796963</v>
      </c>
      <c r="D738" s="6" t="n">
        <v>-0.2266240293089181</v>
      </c>
      <c r="E738" s="6" t="n">
        <v>-0.6557765760629775</v>
      </c>
      <c r="F738" s="6" t="n">
        <v>-0.8850484360866833</v>
      </c>
      <c r="G738" s="5" t="n">
        <v>0</v>
      </c>
      <c r="H738" s="5" t="n">
        <v>0</v>
      </c>
      <c r="I738" s="5" t="n">
        <v>0</v>
      </c>
      <c r="J738" s="5" t="n">
        <v>0</v>
      </c>
      <c r="K738" s="5" t="n">
        <v>0</v>
      </c>
      <c r="L738" s="5" t="n">
        <v>0</v>
      </c>
      <c r="M738" s="5" t="n">
        <v>0</v>
      </c>
      <c r="N738" s="5" t="n">
        <v>1</v>
      </c>
      <c r="O738" s="5" t="n">
        <v>0</v>
      </c>
      <c r="P738" s="5" t="n">
        <v>1</v>
      </c>
      <c r="Q738" s="5" t="n">
        <v>0</v>
      </c>
      <c r="R738" s="5" t="n">
        <v>1</v>
      </c>
      <c r="S738" s="5" t="n">
        <v>0</v>
      </c>
      <c r="T738" s="5" t="n">
        <v>0</v>
      </c>
      <c r="U738" s="5" t="inlineStr">
        <is>
          <t>testing</t>
        </is>
      </c>
    </row>
    <row r="739">
      <c r="A739" s="5" t="n">
        <v>735</v>
      </c>
      <c r="B739" s="5" t="n">
        <v>0</v>
      </c>
      <c r="C739" s="6" t="n">
        <v>-1.409772625058581</v>
      </c>
      <c r="D739" s="6" t="n">
        <v>0.04524263105214341</v>
      </c>
      <c r="E739" s="6" t="n">
        <v>0.1269806102190912</v>
      </c>
      <c r="F739" s="6" t="n">
        <v>-1.786844513613144</v>
      </c>
      <c r="G739" s="5" t="n">
        <v>0</v>
      </c>
      <c r="H739" s="5" t="n">
        <v>0</v>
      </c>
      <c r="I739" s="5" t="n">
        <v>0</v>
      </c>
      <c r="J739" s="5" t="n">
        <v>1</v>
      </c>
      <c r="K739" s="5" t="n">
        <v>0</v>
      </c>
      <c r="L739" s="5" t="n">
        <v>0</v>
      </c>
      <c r="M739" s="5" t="n">
        <v>0</v>
      </c>
      <c r="N739" s="5" t="n">
        <v>0</v>
      </c>
      <c r="O739" s="5" t="n">
        <v>0</v>
      </c>
      <c r="P739" s="5" t="n">
        <v>0</v>
      </c>
      <c r="Q739" s="5" t="n">
        <v>0</v>
      </c>
      <c r="R739" s="5" t="n">
        <v>1</v>
      </c>
      <c r="S739" s="5" t="n">
        <v>0</v>
      </c>
      <c r="T739" s="5" t="n">
        <v>0</v>
      </c>
      <c r="U739" s="5" t="inlineStr">
        <is>
          <t>testing</t>
        </is>
      </c>
    </row>
    <row r="740">
      <c r="A740" s="5" t="n">
        <v>736</v>
      </c>
      <c r="B740" s="5" t="n">
        <v>0</v>
      </c>
      <c r="C740" s="6" t="n">
        <v>1.286513816310289</v>
      </c>
      <c r="D740" s="6" t="n">
        <v>0.2586772035363745</v>
      </c>
      <c r="E740" s="6" t="n">
        <v>-0.5688035553649698</v>
      </c>
      <c r="F740" s="6" t="n">
        <v>0.01674764143977723</v>
      </c>
      <c r="G740" s="5" t="n">
        <v>0</v>
      </c>
      <c r="H740" s="5" t="n">
        <v>1</v>
      </c>
      <c r="I740" s="5" t="n">
        <v>0</v>
      </c>
      <c r="J740" s="5" t="n">
        <v>0</v>
      </c>
      <c r="K740" s="5" t="n">
        <v>0</v>
      </c>
      <c r="L740" s="5" t="n">
        <v>1</v>
      </c>
      <c r="M740" s="5" t="n">
        <v>0</v>
      </c>
      <c r="N740" s="5" t="n">
        <v>0</v>
      </c>
      <c r="O740" s="5" t="n">
        <v>1</v>
      </c>
      <c r="P740" s="5" t="n">
        <v>0</v>
      </c>
      <c r="Q740" s="5" t="n">
        <v>0</v>
      </c>
      <c r="R740" s="5" t="n">
        <v>0</v>
      </c>
      <c r="S740" s="5" t="n">
        <v>0</v>
      </c>
      <c r="T740" s="5" t="n">
        <v>0</v>
      </c>
      <c r="U740" s="5" t="inlineStr">
        <is>
          <t>training</t>
        </is>
      </c>
    </row>
    <row r="741">
      <c r="A741" s="5" t="n">
        <v>737</v>
      </c>
      <c r="B741" s="5" t="n">
        <v>1</v>
      </c>
      <c r="C741" s="6" t="n">
        <v>0.275406400796963</v>
      </c>
      <c r="D741" s="6" t="n">
        <v>2.907365258791504</v>
      </c>
      <c r="E741" s="6" t="n">
        <v>-1.090641679553016</v>
      </c>
      <c r="F741" s="6" t="n">
        <v>-1.786844513613144</v>
      </c>
      <c r="G741" s="5" t="n">
        <v>0</v>
      </c>
      <c r="H741" s="5" t="n">
        <v>1</v>
      </c>
      <c r="I741" s="5" t="n">
        <v>0</v>
      </c>
      <c r="J741" s="5" t="n">
        <v>0</v>
      </c>
      <c r="K741" s="5" t="n">
        <v>0</v>
      </c>
      <c r="L741" s="5" t="n">
        <v>0</v>
      </c>
      <c r="M741" s="5" t="n">
        <v>0</v>
      </c>
      <c r="N741" s="5" t="n">
        <v>0</v>
      </c>
      <c r="O741" s="5" t="n">
        <v>0</v>
      </c>
      <c r="P741" s="5" t="n">
        <v>1</v>
      </c>
      <c r="Q741" s="5" t="n">
        <v>0</v>
      </c>
      <c r="R741" s="5" t="n">
        <v>1</v>
      </c>
      <c r="S741" s="5" t="n">
        <v>0</v>
      </c>
      <c r="T741" s="5" t="n">
        <v>0</v>
      </c>
      <c r="U741" s="5" t="inlineStr">
        <is>
          <t>testing</t>
        </is>
      </c>
    </row>
    <row r="742">
      <c r="A742" s="5" t="n">
        <v>738</v>
      </c>
      <c r="B742" s="5" t="n">
        <v>0</v>
      </c>
      <c r="C742" s="6" t="n">
        <v>-0.2301473069597001</v>
      </c>
      <c r="D742" s="6" t="n">
        <v>0.3951353728295713</v>
      </c>
      <c r="E742" s="6" t="n">
        <v>-0.04696543117692405</v>
      </c>
      <c r="F742" s="6" t="n">
        <v>0.01674764143977723</v>
      </c>
      <c r="G742" s="5" t="n">
        <v>1</v>
      </c>
      <c r="H742" s="5" t="n">
        <v>0</v>
      </c>
      <c r="I742" s="5" t="n">
        <v>0</v>
      </c>
      <c r="J742" s="5" t="n">
        <v>0</v>
      </c>
      <c r="K742" s="5" t="n">
        <v>0</v>
      </c>
      <c r="L742" s="5" t="n">
        <v>0</v>
      </c>
      <c r="M742" s="5" t="n">
        <v>1</v>
      </c>
      <c r="N742" s="5" t="n">
        <v>0</v>
      </c>
      <c r="O742" s="5" t="n">
        <v>0</v>
      </c>
      <c r="P742" s="5" t="n">
        <v>0</v>
      </c>
      <c r="Q742" s="5" t="n">
        <v>0</v>
      </c>
      <c r="R742" s="5" t="n">
        <v>1</v>
      </c>
      <c r="S742" s="5" t="n">
        <v>0</v>
      </c>
      <c r="T742" s="5" t="n">
        <v>0</v>
      </c>
      <c r="U742" s="5" t="inlineStr">
        <is>
          <t>testing</t>
        </is>
      </c>
    </row>
    <row r="743">
      <c r="A743" s="5" t="n">
        <v>739</v>
      </c>
      <c r="B743" s="5" t="n">
        <v>0</v>
      </c>
      <c r="C743" s="6" t="n">
        <v>-1.241254722473026</v>
      </c>
      <c r="D743" s="6" t="n">
        <v>1.228229991001627</v>
      </c>
      <c r="E743" s="6" t="n">
        <v>0.8227647758031523</v>
      </c>
      <c r="F743" s="6" t="n">
        <v>-1.786844513613144</v>
      </c>
      <c r="G743" s="5" t="n">
        <v>0</v>
      </c>
      <c r="H743" s="5" t="n">
        <v>0</v>
      </c>
      <c r="I743" s="5" t="n">
        <v>0</v>
      </c>
      <c r="J743" s="5" t="n">
        <v>1</v>
      </c>
      <c r="K743" s="5" t="n">
        <v>0</v>
      </c>
      <c r="L743" s="5" t="n">
        <v>0</v>
      </c>
      <c r="M743" s="5" t="n">
        <v>0</v>
      </c>
      <c r="N743" s="5" t="n">
        <v>0</v>
      </c>
      <c r="O743" s="5" t="n">
        <v>0</v>
      </c>
      <c r="P743" s="5" t="n">
        <v>0</v>
      </c>
      <c r="Q743" s="5" t="n">
        <v>0</v>
      </c>
      <c r="R743" s="5" t="n">
        <v>1</v>
      </c>
      <c r="S743" s="5" t="n">
        <v>0</v>
      </c>
      <c r="T743" s="5" t="n">
        <v>0</v>
      </c>
      <c r="U743" s="5" t="inlineStr">
        <is>
          <t>training</t>
        </is>
      </c>
    </row>
    <row r="744">
      <c r="A744" s="5" t="n">
        <v>740</v>
      </c>
      <c r="B744" s="5" t="n">
        <v>1</v>
      </c>
      <c r="C744" s="6" t="n">
        <v>0.7809601085536261</v>
      </c>
      <c r="D744" s="6" t="n">
        <v>0.3601460986518286</v>
      </c>
      <c r="E744" s="6" t="n">
        <v>-0.8297226174589928</v>
      </c>
      <c r="F744" s="6" t="n">
        <v>0.9185437189662378</v>
      </c>
      <c r="G744" s="5" t="n">
        <v>0</v>
      </c>
      <c r="H744" s="5" t="n">
        <v>1</v>
      </c>
      <c r="I744" s="5" t="n">
        <v>0</v>
      </c>
      <c r="J744" s="5" t="n">
        <v>0</v>
      </c>
      <c r="K744" s="5" t="n">
        <v>0</v>
      </c>
      <c r="L744" s="5" t="n">
        <v>1</v>
      </c>
      <c r="M744" s="5" t="n">
        <v>1</v>
      </c>
      <c r="N744" s="5" t="n">
        <v>0</v>
      </c>
      <c r="O744" s="5" t="n">
        <v>0</v>
      </c>
      <c r="P744" s="5" t="n">
        <v>1</v>
      </c>
      <c r="Q744" s="5" t="n">
        <v>0</v>
      </c>
      <c r="R744" s="5" t="n">
        <v>0</v>
      </c>
      <c r="S744" s="5" t="n">
        <v>0</v>
      </c>
      <c r="T744" s="5" t="n">
        <v>0</v>
      </c>
      <c r="U744" s="5" t="inlineStr">
        <is>
          <t>training</t>
        </is>
      </c>
    </row>
    <row r="745">
      <c r="A745" s="5" t="n">
        <v>741</v>
      </c>
      <c r="B745" s="5" t="n">
        <v>0</v>
      </c>
      <c r="C745" s="6" t="n">
        <v>0.275406400796963</v>
      </c>
      <c r="D745" s="6" t="n">
        <v>-0.3238942115230431</v>
      </c>
      <c r="E745" s="6" t="n">
        <v>-0.307884493270947</v>
      </c>
      <c r="F745" s="6" t="n">
        <v>-0.8850484360866833</v>
      </c>
      <c r="G745" s="5" t="n">
        <v>1</v>
      </c>
      <c r="H745" s="5" t="n">
        <v>0</v>
      </c>
      <c r="I745" s="5" t="n">
        <v>0</v>
      </c>
      <c r="J745" s="5" t="n">
        <v>0</v>
      </c>
      <c r="K745" s="5" t="n">
        <v>0</v>
      </c>
      <c r="L745" s="5" t="n">
        <v>1</v>
      </c>
      <c r="M745" s="5" t="n">
        <v>1</v>
      </c>
      <c r="N745" s="5" t="n">
        <v>0</v>
      </c>
      <c r="O745" s="5" t="n">
        <v>0</v>
      </c>
      <c r="P745" s="5" t="n">
        <v>0</v>
      </c>
      <c r="Q745" s="5" t="n">
        <v>0</v>
      </c>
      <c r="R745" s="5" t="n">
        <v>1</v>
      </c>
      <c r="S745" s="5" t="n">
        <v>0</v>
      </c>
      <c r="T745" s="5" t="n">
        <v>0</v>
      </c>
      <c r="U745" s="5" t="inlineStr">
        <is>
          <t>training</t>
        </is>
      </c>
    </row>
    <row r="746">
      <c r="A746" s="5" t="n">
        <v>742</v>
      </c>
      <c r="B746" s="5" t="n">
        <v>0</v>
      </c>
      <c r="C746" s="6" t="n">
        <v>-0.9042189173019176</v>
      </c>
      <c r="D746" s="6" t="n">
        <v>-0.7707072427728185</v>
      </c>
      <c r="E746" s="6" t="n">
        <v>-1.090641679553016</v>
      </c>
      <c r="F746" s="6" t="n">
        <v>0.9185437189662378</v>
      </c>
      <c r="G746" s="5" t="n">
        <v>0</v>
      </c>
      <c r="H746" s="5" t="n">
        <v>1</v>
      </c>
      <c r="I746" s="5" t="n">
        <v>0</v>
      </c>
      <c r="J746" s="5" t="n">
        <v>0</v>
      </c>
      <c r="K746" s="5" t="n">
        <v>0</v>
      </c>
      <c r="L746" s="5" t="n">
        <v>1</v>
      </c>
      <c r="M746" s="5" t="n">
        <v>0</v>
      </c>
      <c r="N746" s="5" t="n">
        <v>0</v>
      </c>
      <c r="O746" s="5" t="n">
        <v>0</v>
      </c>
      <c r="P746" s="5" t="n">
        <v>0</v>
      </c>
      <c r="Q746" s="5" t="n">
        <v>0</v>
      </c>
      <c r="R746" s="5" t="n">
        <v>0</v>
      </c>
      <c r="S746" s="5" t="n">
        <v>1</v>
      </c>
      <c r="T746" s="5" t="n">
        <v>0</v>
      </c>
      <c r="U746" s="5" t="inlineStr">
        <is>
          <t>testing</t>
        </is>
      </c>
    </row>
    <row r="747">
      <c r="A747" s="5" t="n">
        <v>743</v>
      </c>
      <c r="B747" s="5" t="n">
        <v>0</v>
      </c>
      <c r="C747" s="6" t="n">
        <v>0.02262954691863145</v>
      </c>
      <c r="D747" s="6" t="n">
        <v>-0.03173377213889074</v>
      </c>
      <c r="E747" s="6" t="n">
        <v>0.4748726930111218</v>
      </c>
      <c r="F747" s="6" t="n">
        <v>0.9185437189662378</v>
      </c>
      <c r="G747" s="5" t="n">
        <v>0</v>
      </c>
      <c r="H747" s="5" t="n">
        <v>0</v>
      </c>
      <c r="I747" s="5" t="n">
        <v>0</v>
      </c>
      <c r="J747" s="5" t="n">
        <v>0</v>
      </c>
      <c r="K747" s="5" t="n">
        <v>0</v>
      </c>
      <c r="L747" s="5" t="n">
        <v>0</v>
      </c>
      <c r="M747" s="5" t="n">
        <v>0</v>
      </c>
      <c r="N747" s="5" t="n">
        <v>0</v>
      </c>
      <c r="O747" s="5" t="n">
        <v>1</v>
      </c>
      <c r="P747" s="5" t="n">
        <v>0</v>
      </c>
      <c r="Q747" s="5" t="n">
        <v>0</v>
      </c>
      <c r="R747" s="5" t="n">
        <v>0</v>
      </c>
      <c r="S747" s="5" t="n">
        <v>1</v>
      </c>
      <c r="T747" s="5" t="n">
        <v>0</v>
      </c>
      <c r="U747" s="5" t="inlineStr">
        <is>
          <t>testing</t>
        </is>
      </c>
    </row>
    <row r="748">
      <c r="A748" s="5" t="n">
        <v>744</v>
      </c>
      <c r="B748" s="5" t="n">
        <v>0</v>
      </c>
      <c r="C748" s="6" t="n">
        <v>0.275406400796963</v>
      </c>
      <c r="D748" s="6" t="n">
        <v>-0.2686111583222094</v>
      </c>
      <c r="E748" s="6" t="n">
        <v>-1.177614700251023</v>
      </c>
      <c r="F748" s="6" t="n">
        <v>0.9185437189662378</v>
      </c>
      <c r="G748" s="5" t="n">
        <v>1</v>
      </c>
      <c r="H748" s="5" t="n">
        <v>0</v>
      </c>
      <c r="I748" s="5" t="n">
        <v>0</v>
      </c>
      <c r="J748" s="5" t="n">
        <v>0</v>
      </c>
      <c r="K748" s="5" t="n">
        <v>0</v>
      </c>
      <c r="L748" s="5" t="n">
        <v>1</v>
      </c>
      <c r="M748" s="5" t="n">
        <v>1</v>
      </c>
      <c r="N748" s="5" t="n">
        <v>0</v>
      </c>
      <c r="O748" s="5" t="n">
        <v>0</v>
      </c>
      <c r="P748" s="5" t="n">
        <v>0</v>
      </c>
      <c r="Q748" s="5" t="n">
        <v>0</v>
      </c>
      <c r="R748" s="5" t="n">
        <v>0</v>
      </c>
      <c r="S748" s="5" t="n">
        <v>0</v>
      </c>
      <c r="T748" s="5" t="n">
        <v>1</v>
      </c>
      <c r="U748" s="5" t="inlineStr">
        <is>
          <t>training</t>
        </is>
      </c>
    </row>
    <row r="749">
      <c r="A749" s="5" t="n">
        <v>745</v>
      </c>
      <c r="B749" s="5" t="n">
        <v>0</v>
      </c>
      <c r="C749" s="6" t="n">
        <v>1.539290670188621</v>
      </c>
      <c r="D749" s="6" t="n">
        <v>3.823734349506588</v>
      </c>
      <c r="E749" s="6" t="n">
        <v>-0.4818305346669622</v>
      </c>
      <c r="F749" s="6" t="n">
        <v>0.9185437189662378</v>
      </c>
      <c r="G749" s="5" t="n">
        <v>1</v>
      </c>
      <c r="H749" s="5" t="n">
        <v>0</v>
      </c>
      <c r="I749" s="5" t="n">
        <v>0</v>
      </c>
      <c r="J749" s="5" t="n">
        <v>1</v>
      </c>
      <c r="K749" s="5" t="n">
        <v>0</v>
      </c>
      <c r="L749" s="5" t="n">
        <v>0</v>
      </c>
      <c r="M749" s="5" t="n">
        <v>0</v>
      </c>
      <c r="N749" s="5" t="n">
        <v>0</v>
      </c>
      <c r="O749" s="5" t="n">
        <v>1</v>
      </c>
      <c r="P749" s="5" t="n">
        <v>0</v>
      </c>
      <c r="Q749" s="5" t="n">
        <v>0</v>
      </c>
      <c r="R749" s="5" t="n">
        <v>0</v>
      </c>
      <c r="S749" s="5" t="n">
        <v>0</v>
      </c>
      <c r="T749" s="5" t="n">
        <v>1</v>
      </c>
      <c r="U749" s="5" t="inlineStr">
        <is>
          <t>training</t>
        </is>
      </c>
    </row>
    <row r="750">
      <c r="A750" s="5" t="n">
        <v>746</v>
      </c>
      <c r="B750" s="5" t="n">
        <v>0</v>
      </c>
      <c r="C750" s="6" t="n">
        <v>-0.651442063423586</v>
      </c>
      <c r="D750" s="6" t="n">
        <v>-0.5086375791815251</v>
      </c>
      <c r="E750" s="6" t="n">
        <v>-0.6557765760629775</v>
      </c>
      <c r="F750" s="6" t="n">
        <v>0.01674764143977723</v>
      </c>
      <c r="G750" s="5" t="n">
        <v>1</v>
      </c>
      <c r="H750" s="5" t="n">
        <v>0</v>
      </c>
      <c r="I750" s="5" t="n">
        <v>0</v>
      </c>
      <c r="J750" s="5" t="n">
        <v>1</v>
      </c>
      <c r="K750" s="5" t="n">
        <v>0</v>
      </c>
      <c r="L750" s="5" t="n">
        <v>0</v>
      </c>
      <c r="M750" s="5" t="n">
        <v>0</v>
      </c>
      <c r="N750" s="5" t="n">
        <v>0</v>
      </c>
      <c r="O750" s="5" t="n">
        <v>0</v>
      </c>
      <c r="P750" s="5" t="n">
        <v>0</v>
      </c>
      <c r="Q750" s="5" t="n">
        <v>0</v>
      </c>
      <c r="R750" s="5" t="n">
        <v>0</v>
      </c>
      <c r="S750" s="5" t="n">
        <v>0</v>
      </c>
      <c r="T750" s="5" t="n">
        <v>0</v>
      </c>
      <c r="U750" s="5" t="inlineStr">
        <is>
          <t>training</t>
        </is>
      </c>
    </row>
    <row r="751">
      <c r="A751" s="5" t="n">
        <v>747</v>
      </c>
      <c r="B751" s="5" t="n">
        <v>0</v>
      </c>
      <c r="C751" s="6" t="n">
        <v>-0.4829241608380317</v>
      </c>
      <c r="D751" s="6" t="n">
        <v>-0.2588141615524415</v>
      </c>
      <c r="E751" s="6" t="n">
        <v>-1.090641679553016</v>
      </c>
      <c r="F751" s="6" t="n">
        <v>-1.786844513613144</v>
      </c>
      <c r="G751" s="5" t="n">
        <v>1</v>
      </c>
      <c r="H751" s="5" t="n">
        <v>0</v>
      </c>
      <c r="I751" s="5" t="n">
        <v>0</v>
      </c>
      <c r="J751" s="5" t="n">
        <v>0</v>
      </c>
      <c r="K751" s="5" t="n">
        <v>0</v>
      </c>
      <c r="L751" s="5" t="n">
        <v>0</v>
      </c>
      <c r="M751" s="5" t="n">
        <v>0</v>
      </c>
      <c r="N751" s="5" t="n">
        <v>0</v>
      </c>
      <c r="O751" s="5" t="n">
        <v>0</v>
      </c>
      <c r="P751" s="5" t="n">
        <v>1</v>
      </c>
      <c r="Q751" s="5" t="n">
        <v>0</v>
      </c>
      <c r="R751" s="5" t="n">
        <v>1</v>
      </c>
      <c r="S751" s="5" t="n">
        <v>0</v>
      </c>
      <c r="T751" s="5" t="n">
        <v>0</v>
      </c>
      <c r="U751" s="5" t="inlineStr">
        <is>
          <t>training</t>
        </is>
      </c>
    </row>
    <row r="752">
      <c r="A752" s="5" t="n">
        <v>748</v>
      </c>
      <c r="B752" s="5" t="n">
        <v>1</v>
      </c>
      <c r="C752" s="6" t="n">
        <v>-0.7357010147163632</v>
      </c>
      <c r="D752" s="6" t="n">
        <v>-0.6916314831311199</v>
      </c>
      <c r="E752" s="6" t="n">
        <v>0.1269806102190912</v>
      </c>
      <c r="F752" s="6" t="n">
        <v>0.01674764143977723</v>
      </c>
      <c r="G752" s="5" t="n">
        <v>1</v>
      </c>
      <c r="H752" s="5" t="n">
        <v>0</v>
      </c>
      <c r="I752" s="5" t="n">
        <v>0</v>
      </c>
      <c r="J752" s="5" t="n">
        <v>0</v>
      </c>
      <c r="K752" s="5" t="n">
        <v>0</v>
      </c>
      <c r="L752" s="5" t="n">
        <v>0</v>
      </c>
      <c r="M752" s="5" t="n">
        <v>0</v>
      </c>
      <c r="N752" s="5" t="n">
        <v>0</v>
      </c>
      <c r="O752" s="5" t="n">
        <v>0</v>
      </c>
      <c r="P752" s="5" t="n">
        <v>0</v>
      </c>
      <c r="Q752" s="5" t="n">
        <v>0</v>
      </c>
      <c r="R752" s="5" t="n">
        <v>1</v>
      </c>
      <c r="S752" s="5" t="n">
        <v>0</v>
      </c>
      <c r="T752" s="5" t="n">
        <v>0</v>
      </c>
      <c r="U752" s="5" t="inlineStr">
        <is>
          <t>training</t>
        </is>
      </c>
    </row>
    <row r="753">
      <c r="A753" s="5" t="n">
        <v>749</v>
      </c>
      <c r="B753" s="5" t="n">
        <v>0</v>
      </c>
      <c r="C753" s="6" t="n">
        <v>0.02262954691863145</v>
      </c>
      <c r="D753" s="6" t="n">
        <v>0.6988422726923789</v>
      </c>
      <c r="E753" s="6" t="n">
        <v>-0.8297226174589928</v>
      </c>
      <c r="F753" s="6" t="n">
        <v>-1.786844513613144</v>
      </c>
      <c r="G753" s="5" t="n">
        <v>0</v>
      </c>
      <c r="H753" s="5" t="n">
        <v>0</v>
      </c>
      <c r="I753" s="5" t="n">
        <v>0</v>
      </c>
      <c r="J753" s="5" t="n">
        <v>0</v>
      </c>
      <c r="K753" s="5" t="n">
        <v>0</v>
      </c>
      <c r="L753" s="5" t="n">
        <v>0</v>
      </c>
      <c r="M753" s="5" t="n">
        <v>0</v>
      </c>
      <c r="N753" s="5" t="n">
        <v>0</v>
      </c>
      <c r="O753" s="5" t="n">
        <v>1</v>
      </c>
      <c r="P753" s="5" t="n">
        <v>0</v>
      </c>
      <c r="Q753" s="5" t="n">
        <v>0</v>
      </c>
      <c r="R753" s="5" t="n">
        <v>1</v>
      </c>
      <c r="S753" s="5" t="n">
        <v>0</v>
      </c>
      <c r="T753" s="5" t="n">
        <v>0</v>
      </c>
      <c r="U753" s="5" t="inlineStr">
        <is>
          <t>testing</t>
        </is>
      </c>
    </row>
    <row r="754">
      <c r="A754" s="5" t="n">
        <v>750</v>
      </c>
      <c r="B754" s="5" t="n">
        <v>0</v>
      </c>
      <c r="C754" s="6" t="n">
        <v>-0.4829241608380317</v>
      </c>
      <c r="D754" s="6" t="n">
        <v>-0.0775697213117338</v>
      </c>
      <c r="E754" s="6" t="n">
        <v>-0.2209114725729393</v>
      </c>
      <c r="F754" s="6" t="n">
        <v>-0.8850484360866833</v>
      </c>
      <c r="G754" s="5" t="n">
        <v>0</v>
      </c>
      <c r="H754" s="5" t="n">
        <v>0</v>
      </c>
      <c r="I754" s="5" t="n">
        <v>0</v>
      </c>
      <c r="J754" s="5" t="n">
        <v>0</v>
      </c>
      <c r="K754" s="5" t="n">
        <v>0</v>
      </c>
      <c r="L754" s="5" t="n">
        <v>0</v>
      </c>
      <c r="M754" s="5" t="n">
        <v>0</v>
      </c>
      <c r="N754" s="5" t="n">
        <v>0</v>
      </c>
      <c r="O754" s="5" t="n">
        <v>0</v>
      </c>
      <c r="P754" s="5" t="n">
        <v>0</v>
      </c>
      <c r="Q754" s="5" t="n">
        <v>0</v>
      </c>
      <c r="R754" s="5" t="n">
        <v>1</v>
      </c>
      <c r="S754" s="5" t="n">
        <v>0</v>
      </c>
      <c r="T754" s="5" t="n">
        <v>0</v>
      </c>
      <c r="U754" s="5" t="inlineStr">
        <is>
          <t>training</t>
        </is>
      </c>
    </row>
    <row r="755">
      <c r="A755" s="5" t="n">
        <v>751</v>
      </c>
      <c r="B755" s="5" t="n">
        <v>0</v>
      </c>
      <c r="C755" s="6" t="n">
        <v>-1.241254722473026</v>
      </c>
      <c r="D755" s="6" t="n">
        <v>-0.9876407426748239</v>
      </c>
      <c r="E755" s="6" t="n">
        <v>1.170656858595183</v>
      </c>
      <c r="F755" s="6" t="n">
        <v>-0.8850484360866833</v>
      </c>
      <c r="G755" s="5" t="n">
        <v>1</v>
      </c>
      <c r="H755" s="5" t="n">
        <v>0</v>
      </c>
      <c r="I755" s="5" t="n">
        <v>0</v>
      </c>
      <c r="J755" s="5" t="n">
        <v>0</v>
      </c>
      <c r="K755" s="5" t="n">
        <v>0</v>
      </c>
      <c r="L755" s="5" t="n">
        <v>0</v>
      </c>
      <c r="M755" s="5" t="n">
        <v>0</v>
      </c>
      <c r="N755" s="5" t="n">
        <v>0</v>
      </c>
      <c r="O755" s="5" t="n">
        <v>0</v>
      </c>
      <c r="P755" s="5" t="n">
        <v>0</v>
      </c>
      <c r="Q755" s="5" t="n">
        <v>0</v>
      </c>
      <c r="R755" s="5" t="n">
        <v>0</v>
      </c>
      <c r="S755" s="5" t="n">
        <v>0</v>
      </c>
      <c r="T755" s="5" t="n">
        <v>1</v>
      </c>
      <c r="U755" s="5" t="inlineStr">
        <is>
          <t>testing</t>
        </is>
      </c>
    </row>
    <row r="756">
      <c r="A756" s="5" t="n">
        <v>752</v>
      </c>
      <c r="B756" s="5" t="n">
        <v>1</v>
      </c>
      <c r="C756" s="6" t="n">
        <v>-0.2301473069597001</v>
      </c>
      <c r="D756" s="6" t="n">
        <v>-0.7958995201807934</v>
      </c>
      <c r="E756" s="6" t="n">
        <v>-1.090641679553016</v>
      </c>
      <c r="F756" s="6" t="n">
        <v>-1.786844513613144</v>
      </c>
      <c r="G756" s="5" t="n">
        <v>1</v>
      </c>
      <c r="H756" s="5" t="n">
        <v>0</v>
      </c>
      <c r="I756" s="5" t="n">
        <v>0</v>
      </c>
      <c r="J756" s="5" t="n">
        <v>0</v>
      </c>
      <c r="K756" s="5" t="n">
        <v>0</v>
      </c>
      <c r="L756" s="5" t="n">
        <v>0</v>
      </c>
      <c r="M756" s="5" t="n">
        <v>0</v>
      </c>
      <c r="N756" s="5" t="n">
        <v>0</v>
      </c>
      <c r="O756" s="5" t="n">
        <v>0</v>
      </c>
      <c r="P756" s="5" t="n">
        <v>0</v>
      </c>
      <c r="Q756" s="5" t="n">
        <v>0</v>
      </c>
      <c r="R756" s="5" t="n">
        <v>1</v>
      </c>
      <c r="S756" s="5" t="n">
        <v>0</v>
      </c>
      <c r="T756" s="5" t="n">
        <v>0</v>
      </c>
      <c r="U756" s="5" t="inlineStr">
        <is>
          <t>testing</t>
        </is>
      </c>
    </row>
    <row r="757">
      <c r="A757" s="5" t="n">
        <v>753</v>
      </c>
      <c r="B757" s="5" t="n">
        <v>0</v>
      </c>
      <c r="C757" s="6" t="n">
        <v>-0.7357010147163632</v>
      </c>
      <c r="D757" s="6" t="n">
        <v>-0.8431350403207462</v>
      </c>
      <c r="E757" s="6" t="n">
        <v>-1.090641679553016</v>
      </c>
      <c r="F757" s="6" t="n">
        <v>-0.8850484360866833</v>
      </c>
      <c r="G757" s="5" t="n">
        <v>0</v>
      </c>
      <c r="H757" s="5" t="n">
        <v>1</v>
      </c>
      <c r="I757" s="5" t="n">
        <v>0</v>
      </c>
      <c r="J757" s="5" t="n">
        <v>0</v>
      </c>
      <c r="K757" s="5" t="n">
        <v>0</v>
      </c>
      <c r="L757" s="5" t="n">
        <v>0</v>
      </c>
      <c r="M757" s="5" t="n">
        <v>1</v>
      </c>
      <c r="N757" s="5" t="n">
        <v>0</v>
      </c>
      <c r="O757" s="5" t="n">
        <v>0</v>
      </c>
      <c r="P757" s="5" t="n">
        <v>1</v>
      </c>
      <c r="Q757" s="5" t="n">
        <v>0</v>
      </c>
      <c r="R757" s="5" t="n">
        <v>0</v>
      </c>
      <c r="S757" s="5" t="n">
        <v>0</v>
      </c>
      <c r="T757" s="5" t="n">
        <v>0</v>
      </c>
      <c r="U757" s="5" t="inlineStr">
        <is>
          <t>training</t>
        </is>
      </c>
    </row>
    <row r="758">
      <c r="A758" s="5" t="n">
        <v>754</v>
      </c>
      <c r="B758" s="5" t="n">
        <v>0</v>
      </c>
      <c r="C758" s="6" t="n">
        <v>0.7809601085536261</v>
      </c>
      <c r="D758" s="6" t="n">
        <v>0.8818361766419737</v>
      </c>
      <c r="E758" s="6" t="n">
        <v>-0.9166956381570004</v>
      </c>
      <c r="F758" s="6" t="n">
        <v>0.9185437189662378</v>
      </c>
      <c r="G758" s="5" t="n">
        <v>0</v>
      </c>
      <c r="H758" s="5" t="n">
        <v>0</v>
      </c>
      <c r="I758" s="5" t="n">
        <v>0</v>
      </c>
      <c r="J758" s="5" t="n">
        <v>1</v>
      </c>
      <c r="K758" s="5" t="n">
        <v>0</v>
      </c>
      <c r="L758" s="5" t="n">
        <v>0</v>
      </c>
      <c r="M758" s="5" t="n">
        <v>0</v>
      </c>
      <c r="N758" s="5" t="n">
        <v>0</v>
      </c>
      <c r="O758" s="5" t="n">
        <v>0</v>
      </c>
      <c r="P758" s="5" t="n">
        <v>0</v>
      </c>
      <c r="Q758" s="5" t="n">
        <v>0</v>
      </c>
      <c r="R758" s="5" t="n">
        <v>0</v>
      </c>
      <c r="S758" s="5" t="n">
        <v>1</v>
      </c>
      <c r="T758" s="5" t="n">
        <v>0</v>
      </c>
      <c r="U758" s="5" t="inlineStr">
        <is>
          <t>testing</t>
        </is>
      </c>
    </row>
    <row r="759">
      <c r="A759" s="5" t="n">
        <v>755</v>
      </c>
      <c r="B759" s="5" t="n">
        <v>1</v>
      </c>
      <c r="C759" s="6" t="n">
        <v>-0.7357010147163632</v>
      </c>
      <c r="D759" s="6" t="n">
        <v>-0.5933116226916626</v>
      </c>
      <c r="E759" s="6" t="n">
        <v>1.692494982783229</v>
      </c>
      <c r="F759" s="6" t="n">
        <v>0.9185437189662378</v>
      </c>
      <c r="G759" s="5" t="n">
        <v>0</v>
      </c>
      <c r="H759" s="5" t="n">
        <v>0</v>
      </c>
      <c r="I759" s="5" t="n">
        <v>0</v>
      </c>
      <c r="J759" s="5" t="n">
        <v>0</v>
      </c>
      <c r="K759" s="5" t="n">
        <v>1</v>
      </c>
      <c r="L759" s="5" t="n">
        <v>0</v>
      </c>
      <c r="M759" s="5" t="n">
        <v>0</v>
      </c>
      <c r="N759" s="5" t="n">
        <v>1</v>
      </c>
      <c r="O759" s="5" t="n">
        <v>0</v>
      </c>
      <c r="P759" s="5" t="n">
        <v>0</v>
      </c>
      <c r="Q759" s="5" t="n">
        <v>1</v>
      </c>
      <c r="R759" s="5" t="n">
        <v>0</v>
      </c>
      <c r="S759" s="5" t="n">
        <v>0</v>
      </c>
      <c r="T759" s="5" t="n">
        <v>0</v>
      </c>
      <c r="U759" s="5" t="inlineStr">
        <is>
          <t>training</t>
        </is>
      </c>
    </row>
    <row r="760">
      <c r="A760" s="5" t="n">
        <v>756</v>
      </c>
      <c r="B760" s="5" t="n">
        <v>1</v>
      </c>
      <c r="C760" s="6" t="n">
        <v>0.275406400796963</v>
      </c>
      <c r="D760" s="6" t="n">
        <v>-0.6877826629715681</v>
      </c>
      <c r="E760" s="6" t="n">
        <v>-0.307884493270947</v>
      </c>
      <c r="F760" s="6" t="n">
        <v>0.9185437189662378</v>
      </c>
      <c r="G760" s="5" t="n">
        <v>1</v>
      </c>
      <c r="H760" s="5" t="n">
        <v>0</v>
      </c>
      <c r="I760" s="5" t="n">
        <v>0</v>
      </c>
      <c r="J760" s="5" t="n">
        <v>0</v>
      </c>
      <c r="K760" s="5" t="n">
        <v>0</v>
      </c>
      <c r="L760" s="5" t="n">
        <v>0</v>
      </c>
      <c r="M760" s="5" t="n">
        <v>0</v>
      </c>
      <c r="N760" s="5" t="n">
        <v>0</v>
      </c>
      <c r="O760" s="5" t="n">
        <v>1</v>
      </c>
      <c r="P760" s="5" t="n">
        <v>1</v>
      </c>
      <c r="Q760" s="5" t="n">
        <v>0</v>
      </c>
      <c r="R760" s="5" t="n">
        <v>1</v>
      </c>
      <c r="S760" s="5" t="n">
        <v>0</v>
      </c>
      <c r="T760" s="5" t="n">
        <v>0</v>
      </c>
      <c r="U760" s="5" t="inlineStr">
        <is>
          <t>training</t>
        </is>
      </c>
    </row>
    <row r="761">
      <c r="A761" s="5" t="n">
        <v>757</v>
      </c>
      <c r="B761" s="5" t="n">
        <v>0</v>
      </c>
      <c r="C761" s="6" t="n">
        <v>-1.241254722473026</v>
      </c>
      <c r="D761" s="6" t="n">
        <v>-0.6828841645866841</v>
      </c>
      <c r="E761" s="6" t="n">
        <v>3.344982376045374</v>
      </c>
      <c r="F761" s="6" t="n">
        <v>-1.786844513613144</v>
      </c>
      <c r="G761" s="5" t="n">
        <v>0</v>
      </c>
      <c r="H761" s="5" t="n">
        <v>0</v>
      </c>
      <c r="I761" s="5" t="n">
        <v>1</v>
      </c>
      <c r="J761" s="5" t="n">
        <v>1</v>
      </c>
      <c r="K761" s="5" t="n">
        <v>0</v>
      </c>
      <c r="L761" s="5" t="n">
        <v>0</v>
      </c>
      <c r="M761" s="5" t="n">
        <v>0</v>
      </c>
      <c r="N761" s="5" t="n">
        <v>0</v>
      </c>
      <c r="O761" s="5" t="n">
        <v>0</v>
      </c>
      <c r="P761" s="5" t="n">
        <v>0</v>
      </c>
      <c r="Q761" s="5" t="n">
        <v>0</v>
      </c>
      <c r="R761" s="5" t="n">
        <v>1</v>
      </c>
      <c r="S761" s="5" t="n">
        <v>0</v>
      </c>
      <c r="T761" s="5" t="n">
        <v>0</v>
      </c>
      <c r="U761" s="5" t="inlineStr">
        <is>
          <t>training</t>
        </is>
      </c>
    </row>
    <row r="762">
      <c r="A762" s="5" t="n">
        <v>758</v>
      </c>
      <c r="B762" s="5" t="n">
        <v>1</v>
      </c>
      <c r="C762" s="6" t="n">
        <v>-0.4829241608380317</v>
      </c>
      <c r="D762" s="6" t="n">
        <v>-0.6926811613564521</v>
      </c>
      <c r="E762" s="6" t="n">
        <v>0.3009266516151065</v>
      </c>
      <c r="F762" s="6" t="n">
        <v>0.01674764143977723</v>
      </c>
      <c r="G762" s="5" t="n">
        <v>0</v>
      </c>
      <c r="H762" s="5" t="n">
        <v>0</v>
      </c>
      <c r="I762" s="5" t="n">
        <v>1</v>
      </c>
      <c r="J762" s="5" t="n">
        <v>1</v>
      </c>
      <c r="K762" s="5" t="n">
        <v>0</v>
      </c>
      <c r="L762" s="5" t="n">
        <v>0</v>
      </c>
      <c r="M762" s="5" t="n">
        <v>0</v>
      </c>
      <c r="N762" s="5" t="n">
        <v>0</v>
      </c>
      <c r="O762" s="5" t="n">
        <v>1</v>
      </c>
      <c r="P762" s="5" t="n">
        <v>0</v>
      </c>
      <c r="Q762" s="5" t="n">
        <v>1</v>
      </c>
      <c r="R762" s="5" t="n">
        <v>0</v>
      </c>
      <c r="S762" s="5" t="n">
        <v>1</v>
      </c>
      <c r="T762" s="5" t="n">
        <v>0</v>
      </c>
      <c r="U762" s="5" t="inlineStr">
        <is>
          <t>training</t>
        </is>
      </c>
    </row>
    <row r="763">
      <c r="A763" s="5" t="n">
        <v>759</v>
      </c>
      <c r="B763" s="5" t="n">
        <v>0</v>
      </c>
      <c r="C763" s="6" t="n">
        <v>0.275406400796963</v>
      </c>
      <c r="D763" s="6" t="n">
        <v>-0.6499942468596059</v>
      </c>
      <c r="E763" s="6" t="n">
        <v>-0.3948575139689546</v>
      </c>
      <c r="F763" s="6" t="n">
        <v>-0.8850484360866833</v>
      </c>
      <c r="G763" s="5" t="n">
        <v>0</v>
      </c>
      <c r="H763" s="5" t="n">
        <v>0</v>
      </c>
      <c r="I763" s="5" t="n">
        <v>0</v>
      </c>
      <c r="J763" s="5" t="n">
        <v>0</v>
      </c>
      <c r="K763" s="5" t="n">
        <v>0</v>
      </c>
      <c r="L763" s="5" t="n">
        <v>0</v>
      </c>
      <c r="M763" s="5" t="n">
        <v>0</v>
      </c>
      <c r="N763" s="5" t="n">
        <v>0</v>
      </c>
      <c r="O763" s="5" t="n">
        <v>0</v>
      </c>
      <c r="P763" s="5" t="n">
        <v>0</v>
      </c>
      <c r="Q763" s="5" t="n">
        <v>0</v>
      </c>
      <c r="R763" s="5" t="n">
        <v>1</v>
      </c>
      <c r="S763" s="5" t="n">
        <v>0</v>
      </c>
      <c r="T763" s="5" t="n">
        <v>0</v>
      </c>
      <c r="U763" s="5" t="inlineStr">
        <is>
          <t>training</t>
        </is>
      </c>
    </row>
    <row r="764">
      <c r="A764" s="5" t="n">
        <v>760</v>
      </c>
      <c r="B764" s="5" t="n">
        <v>1</v>
      </c>
      <c r="C764" s="6" t="n">
        <v>-0.7357010147163632</v>
      </c>
      <c r="D764" s="6" t="n">
        <v>-0.8956189515873604</v>
      </c>
      <c r="E764" s="6" t="n">
        <v>-0.04696543117692405</v>
      </c>
      <c r="F764" s="6" t="n">
        <v>0.9185437189662378</v>
      </c>
      <c r="G764" s="5" t="n">
        <v>1</v>
      </c>
      <c r="H764" s="5" t="n">
        <v>0</v>
      </c>
      <c r="I764" s="5" t="n">
        <v>0</v>
      </c>
      <c r="J764" s="5" t="n">
        <v>1</v>
      </c>
      <c r="K764" s="5" t="n">
        <v>0</v>
      </c>
      <c r="L764" s="5" t="n">
        <v>0</v>
      </c>
      <c r="M764" s="5" t="n">
        <v>0</v>
      </c>
      <c r="N764" s="5" t="n">
        <v>0</v>
      </c>
      <c r="O764" s="5" t="n">
        <v>0</v>
      </c>
      <c r="P764" s="5" t="n">
        <v>0</v>
      </c>
      <c r="Q764" s="5" t="n">
        <v>0</v>
      </c>
      <c r="R764" s="5" t="n">
        <v>1</v>
      </c>
      <c r="S764" s="5" t="n">
        <v>0</v>
      </c>
      <c r="T764" s="5" t="n">
        <v>0</v>
      </c>
      <c r="U764" s="5" t="inlineStr">
        <is>
          <t>testing</t>
        </is>
      </c>
    </row>
    <row r="765">
      <c r="A765" s="5" t="n">
        <v>761</v>
      </c>
      <c r="B765" s="5" t="n">
        <v>0</v>
      </c>
      <c r="C765" s="6" t="n">
        <v>-0.4829241608380317</v>
      </c>
      <c r="D765" s="6" t="n">
        <v>0.6278140461115609</v>
      </c>
      <c r="E765" s="6" t="n">
        <v>2.040387065575259</v>
      </c>
      <c r="F765" s="6" t="n">
        <v>-1.786844513613144</v>
      </c>
      <c r="G765" s="5" t="n">
        <v>0</v>
      </c>
      <c r="H765" s="5" t="n">
        <v>0</v>
      </c>
      <c r="I765" s="5" t="n">
        <v>0</v>
      </c>
      <c r="J765" s="5" t="n">
        <v>1</v>
      </c>
      <c r="K765" s="5" t="n">
        <v>0</v>
      </c>
      <c r="L765" s="5" t="n">
        <v>0</v>
      </c>
      <c r="M765" s="5" t="n">
        <v>0</v>
      </c>
      <c r="N765" s="5" t="n">
        <v>0</v>
      </c>
      <c r="O765" s="5" t="n">
        <v>1</v>
      </c>
      <c r="P765" s="5" t="n">
        <v>0</v>
      </c>
      <c r="Q765" s="5" t="n">
        <v>0</v>
      </c>
      <c r="R765" s="5" t="n">
        <v>1</v>
      </c>
      <c r="S765" s="5" t="n">
        <v>0</v>
      </c>
      <c r="T765" s="5" t="n">
        <v>0</v>
      </c>
      <c r="U765" s="5" t="inlineStr">
        <is>
          <t>testing</t>
        </is>
      </c>
    </row>
    <row r="766">
      <c r="A766" s="5" t="n">
        <v>762</v>
      </c>
      <c r="B766" s="5" t="n">
        <v>1</v>
      </c>
      <c r="C766" s="6" t="n">
        <v>-0.2301473069597001</v>
      </c>
      <c r="D766" s="6" t="n">
        <v>-0.3942226526203061</v>
      </c>
      <c r="E766" s="6" t="n">
        <v>-1.003668658855008</v>
      </c>
      <c r="F766" s="6" t="n">
        <v>0.9185437189662378</v>
      </c>
      <c r="G766" s="5" t="n">
        <v>1</v>
      </c>
      <c r="H766" s="5" t="n">
        <v>0</v>
      </c>
      <c r="I766" s="5" t="n">
        <v>0</v>
      </c>
      <c r="J766" s="5" t="n">
        <v>1</v>
      </c>
      <c r="K766" s="5" t="n">
        <v>0</v>
      </c>
      <c r="L766" s="5" t="n">
        <v>0</v>
      </c>
      <c r="M766" s="5" t="n">
        <v>0</v>
      </c>
      <c r="N766" s="5" t="n">
        <v>0</v>
      </c>
      <c r="O766" s="5" t="n">
        <v>0</v>
      </c>
      <c r="P766" s="5" t="n">
        <v>1</v>
      </c>
      <c r="Q766" s="5" t="n">
        <v>0</v>
      </c>
      <c r="R766" s="5" t="n">
        <v>0</v>
      </c>
      <c r="S766" s="5" t="n">
        <v>0</v>
      </c>
      <c r="T766" s="5" t="n">
        <v>1</v>
      </c>
      <c r="U766" s="5" t="inlineStr">
        <is>
          <t>testing</t>
        </is>
      </c>
    </row>
    <row r="767">
      <c r="A767" s="5" t="n">
        <v>763</v>
      </c>
      <c r="B767" s="5" t="n">
        <v>0</v>
      </c>
      <c r="C767" s="6" t="n">
        <v>-0.7357010147163632</v>
      </c>
      <c r="D767" s="6" t="n">
        <v>-0.3627323058603376</v>
      </c>
      <c r="E767" s="6" t="n">
        <v>-1.003668658855008</v>
      </c>
      <c r="F767" s="6" t="n">
        <v>0.9185437189662378</v>
      </c>
      <c r="G767" s="5" t="n">
        <v>1</v>
      </c>
      <c r="H767" s="5" t="n">
        <v>0</v>
      </c>
      <c r="I767" s="5" t="n">
        <v>0</v>
      </c>
      <c r="J767" s="5" t="n">
        <v>0</v>
      </c>
      <c r="K767" s="5" t="n">
        <v>0</v>
      </c>
      <c r="L767" s="5" t="n">
        <v>0</v>
      </c>
      <c r="M767" s="5" t="n">
        <v>0</v>
      </c>
      <c r="N767" s="5" t="n">
        <v>0</v>
      </c>
      <c r="O767" s="5" t="n">
        <v>0</v>
      </c>
      <c r="P767" s="5" t="n">
        <v>0</v>
      </c>
      <c r="Q767" s="5" t="n">
        <v>0</v>
      </c>
      <c r="R767" s="5" t="n">
        <v>0</v>
      </c>
      <c r="S767" s="5" t="n">
        <v>1</v>
      </c>
      <c r="T767" s="5" t="n">
        <v>0</v>
      </c>
      <c r="U767" s="5" t="inlineStr">
        <is>
          <t>training</t>
        </is>
      </c>
    </row>
    <row r="768">
      <c r="A768" s="5" t="n">
        <v>764</v>
      </c>
      <c r="B768" s="5" t="n">
        <v>1</v>
      </c>
      <c r="C768" s="6" t="n">
        <v>0.02262954691863145</v>
      </c>
      <c r="D768" s="6" t="n">
        <v>3.299245129582224</v>
      </c>
      <c r="E768" s="6" t="n">
        <v>-0.4818305346669622</v>
      </c>
      <c r="F768" s="6" t="n">
        <v>0.9185437189662378</v>
      </c>
      <c r="G768" s="5" t="n">
        <v>0</v>
      </c>
      <c r="H768" s="5" t="n">
        <v>0</v>
      </c>
      <c r="I768" s="5" t="n">
        <v>0</v>
      </c>
      <c r="J768" s="5" t="n">
        <v>1</v>
      </c>
      <c r="K768" s="5" t="n">
        <v>0</v>
      </c>
      <c r="L768" s="5" t="n">
        <v>0</v>
      </c>
      <c r="M768" s="5" t="n">
        <v>0</v>
      </c>
      <c r="N768" s="5" t="n">
        <v>0</v>
      </c>
      <c r="O768" s="5" t="n">
        <v>1</v>
      </c>
      <c r="P768" s="5" t="n">
        <v>0</v>
      </c>
      <c r="Q768" s="5" t="n">
        <v>1</v>
      </c>
      <c r="R768" s="5" t="n">
        <v>1</v>
      </c>
      <c r="S768" s="5" t="n">
        <v>0</v>
      </c>
      <c r="T768" s="5" t="n">
        <v>0</v>
      </c>
      <c r="U768" s="5" t="inlineStr">
        <is>
          <t>training</t>
        </is>
      </c>
    </row>
    <row r="769">
      <c r="A769" s="5" t="n">
        <v>765</v>
      </c>
      <c r="B769" s="5" t="n">
        <v>0</v>
      </c>
      <c r="C769" s="6" t="n">
        <v>0.275406400796963</v>
      </c>
      <c r="D769" s="6" t="n">
        <v>-0.275609013157758</v>
      </c>
      <c r="E769" s="6" t="n">
        <v>-0.7427495967609852</v>
      </c>
      <c r="F769" s="6" t="n">
        <v>0.9185437189662378</v>
      </c>
      <c r="G769" s="5" t="n">
        <v>0</v>
      </c>
      <c r="H769" s="5" t="n">
        <v>0</v>
      </c>
      <c r="I769" s="5" t="n">
        <v>0</v>
      </c>
      <c r="J769" s="5" t="n">
        <v>1</v>
      </c>
      <c r="K769" s="5" t="n">
        <v>0</v>
      </c>
      <c r="L769" s="5" t="n">
        <v>0</v>
      </c>
      <c r="M769" s="5" t="n">
        <v>1</v>
      </c>
      <c r="N769" s="5" t="n">
        <v>0</v>
      </c>
      <c r="O769" s="5" t="n">
        <v>0</v>
      </c>
      <c r="P769" s="5" t="n">
        <v>0</v>
      </c>
      <c r="Q769" s="5" t="n">
        <v>0</v>
      </c>
      <c r="R769" s="5" t="n">
        <v>1</v>
      </c>
      <c r="S769" s="5" t="n">
        <v>0</v>
      </c>
      <c r="T769" s="5" t="n">
        <v>0</v>
      </c>
      <c r="U769" s="5" t="inlineStr">
        <is>
          <t>training</t>
        </is>
      </c>
    </row>
    <row r="770">
      <c r="A770" s="5" t="n">
        <v>766</v>
      </c>
      <c r="B770" s="5" t="n">
        <v>0</v>
      </c>
      <c r="C770" s="6" t="n">
        <v>-0.7357010147163632</v>
      </c>
      <c r="D770" s="6" t="n">
        <v>-0.7332687194026337</v>
      </c>
      <c r="E770" s="6" t="n">
        <v>0.3878996723131141</v>
      </c>
      <c r="F770" s="6" t="n">
        <v>0.01674764143977723</v>
      </c>
      <c r="G770" s="5" t="n">
        <v>0</v>
      </c>
      <c r="H770" s="5" t="n">
        <v>1</v>
      </c>
      <c r="I770" s="5" t="n">
        <v>0</v>
      </c>
      <c r="J770" s="5" t="n">
        <v>0</v>
      </c>
      <c r="K770" s="5" t="n">
        <v>0</v>
      </c>
      <c r="L770" s="5" t="n">
        <v>0</v>
      </c>
      <c r="M770" s="5" t="n">
        <v>0</v>
      </c>
      <c r="N770" s="5" t="n">
        <v>0</v>
      </c>
      <c r="O770" s="5" t="n">
        <v>0</v>
      </c>
      <c r="P770" s="5" t="n">
        <v>0</v>
      </c>
      <c r="Q770" s="5" t="n">
        <v>0</v>
      </c>
      <c r="R770" s="5" t="n">
        <v>0</v>
      </c>
      <c r="S770" s="5" t="n">
        <v>1</v>
      </c>
      <c r="T770" s="5" t="n">
        <v>0</v>
      </c>
      <c r="U770" s="5" t="inlineStr">
        <is>
          <t>training</t>
        </is>
      </c>
    </row>
    <row r="771">
      <c r="A771" s="5" t="n">
        <v>767</v>
      </c>
      <c r="B771" s="5" t="n">
        <v>1</v>
      </c>
      <c r="C771" s="6" t="n">
        <v>0.7809601085536261</v>
      </c>
      <c r="D771" s="6" t="n">
        <v>-0.04992819471131699</v>
      </c>
      <c r="E771" s="6" t="n">
        <v>-0.3948575139689546</v>
      </c>
      <c r="F771" s="6" t="n">
        <v>-0.8850484360866833</v>
      </c>
      <c r="G771" s="5" t="n">
        <v>1</v>
      </c>
      <c r="H771" s="5" t="n">
        <v>0</v>
      </c>
      <c r="I771" s="5" t="n">
        <v>0</v>
      </c>
      <c r="J771" s="5" t="n">
        <v>0</v>
      </c>
      <c r="K771" s="5" t="n">
        <v>0</v>
      </c>
      <c r="L771" s="5" t="n">
        <v>0</v>
      </c>
      <c r="M771" s="5" t="n">
        <v>0</v>
      </c>
      <c r="N771" s="5" t="n">
        <v>0</v>
      </c>
      <c r="O771" s="5" t="n">
        <v>0</v>
      </c>
      <c r="P771" s="5" t="n">
        <v>0</v>
      </c>
      <c r="Q771" s="5" t="n">
        <v>0</v>
      </c>
      <c r="R771" s="5" t="n">
        <v>0</v>
      </c>
      <c r="S771" s="5" t="n">
        <v>0</v>
      </c>
      <c r="T771" s="5" t="n">
        <v>1</v>
      </c>
      <c r="U771" s="5" t="inlineStr">
        <is>
          <t>training</t>
        </is>
      </c>
    </row>
    <row r="772">
      <c r="A772" s="5" t="n">
        <v>768</v>
      </c>
      <c r="B772" s="5" t="n">
        <v>0</v>
      </c>
      <c r="C772" s="6" t="n">
        <v>-0.9042189173019176</v>
      </c>
      <c r="D772" s="6" t="n">
        <v>-0.1223559922592446</v>
      </c>
      <c r="E772" s="6" t="n">
        <v>-0.3948575139689546</v>
      </c>
      <c r="F772" s="6" t="n">
        <v>-1.786844513613144</v>
      </c>
      <c r="G772" s="5" t="n">
        <v>0</v>
      </c>
      <c r="H772" s="5" t="n">
        <v>0</v>
      </c>
      <c r="I772" s="5" t="n">
        <v>0</v>
      </c>
      <c r="J772" s="5" t="n">
        <v>0</v>
      </c>
      <c r="K772" s="5" t="n">
        <v>0</v>
      </c>
      <c r="L772" s="5" t="n">
        <v>0</v>
      </c>
      <c r="M772" s="5" t="n">
        <v>0</v>
      </c>
      <c r="N772" s="5" t="n">
        <v>0</v>
      </c>
      <c r="O772" s="5" t="n">
        <v>1</v>
      </c>
      <c r="P772" s="5" t="n">
        <v>1</v>
      </c>
      <c r="Q772" s="5" t="n">
        <v>0</v>
      </c>
      <c r="R772" s="5" t="n">
        <v>1</v>
      </c>
      <c r="S772" s="5" t="n">
        <v>0</v>
      </c>
      <c r="T772" s="5" t="n">
        <v>0</v>
      </c>
      <c r="U772" s="5" t="inlineStr">
        <is>
          <t>training</t>
        </is>
      </c>
    </row>
    <row r="773">
      <c r="A773" s="5" t="n">
        <v>769</v>
      </c>
      <c r="B773" s="5" t="n">
        <v>0</v>
      </c>
      <c r="C773" s="6" t="n">
        <v>-0.7357010147163632</v>
      </c>
      <c r="D773" s="6" t="n">
        <v>0.1281672108533938</v>
      </c>
      <c r="E773" s="6" t="n">
        <v>-0.6557765760629775</v>
      </c>
      <c r="F773" s="6" t="n">
        <v>-1.786844513613144</v>
      </c>
      <c r="G773" s="5" t="n">
        <v>0</v>
      </c>
      <c r="H773" s="5" t="n">
        <v>1</v>
      </c>
      <c r="I773" s="5" t="n">
        <v>0</v>
      </c>
      <c r="J773" s="5" t="n">
        <v>1</v>
      </c>
      <c r="K773" s="5" t="n">
        <v>0</v>
      </c>
      <c r="L773" s="5" t="n">
        <v>0</v>
      </c>
      <c r="M773" s="5" t="n">
        <v>0</v>
      </c>
      <c r="N773" s="5" t="n">
        <v>0</v>
      </c>
      <c r="O773" s="5" t="n">
        <v>0</v>
      </c>
      <c r="P773" s="5" t="n">
        <v>1</v>
      </c>
      <c r="Q773" s="5" t="n">
        <v>0</v>
      </c>
      <c r="R773" s="5" t="n">
        <v>0</v>
      </c>
      <c r="S773" s="5" t="n">
        <v>0</v>
      </c>
      <c r="T773" s="5" t="n">
        <v>1</v>
      </c>
      <c r="U773" s="5" t="inlineStr">
        <is>
          <t>testing</t>
        </is>
      </c>
    </row>
    <row r="774">
      <c r="A774" s="5" t="n">
        <v>770</v>
      </c>
      <c r="B774" s="5" t="n">
        <v>0</v>
      </c>
      <c r="C774" s="6" t="n">
        <v>-0.7357010147163632</v>
      </c>
      <c r="D774" s="6" t="n">
        <v>-0.5583223485139198</v>
      </c>
      <c r="E774" s="6" t="n">
        <v>2.38827914836729</v>
      </c>
      <c r="F774" s="6" t="n">
        <v>-0.8850484360866833</v>
      </c>
      <c r="G774" s="5" t="n">
        <v>0</v>
      </c>
      <c r="H774" s="5" t="n">
        <v>0</v>
      </c>
      <c r="I774" s="5" t="n">
        <v>0</v>
      </c>
      <c r="J774" s="5" t="n">
        <v>1</v>
      </c>
      <c r="K774" s="5" t="n">
        <v>0</v>
      </c>
      <c r="L774" s="5" t="n">
        <v>0</v>
      </c>
      <c r="M774" s="5" t="n">
        <v>0</v>
      </c>
      <c r="N774" s="5" t="n">
        <v>0</v>
      </c>
      <c r="O774" s="5" t="n">
        <v>0</v>
      </c>
      <c r="P774" s="5" t="n">
        <v>0</v>
      </c>
      <c r="Q774" s="5" t="n">
        <v>0</v>
      </c>
      <c r="R774" s="5" t="n">
        <v>0</v>
      </c>
      <c r="S774" s="5" t="n">
        <v>1</v>
      </c>
      <c r="T774" s="5" t="n">
        <v>0</v>
      </c>
      <c r="U774" s="5" t="inlineStr">
        <is>
          <t>training</t>
        </is>
      </c>
    </row>
    <row r="775">
      <c r="A775" s="5" t="n">
        <v>771</v>
      </c>
      <c r="B775" s="5" t="n">
        <v>0</v>
      </c>
      <c r="C775" s="6" t="n">
        <v>0.275406400796963</v>
      </c>
      <c r="D775" s="6" t="n">
        <v>-0.1534964462774357</v>
      </c>
      <c r="E775" s="6" t="n">
        <v>-0.8297226174589928</v>
      </c>
      <c r="F775" s="6" t="n">
        <v>-0.8850484360866833</v>
      </c>
      <c r="G775" s="5" t="n">
        <v>1</v>
      </c>
      <c r="H775" s="5" t="n">
        <v>0</v>
      </c>
      <c r="I775" s="5" t="n">
        <v>0</v>
      </c>
      <c r="J775" s="5" t="n">
        <v>0</v>
      </c>
      <c r="K775" s="5" t="n">
        <v>0</v>
      </c>
      <c r="L775" s="5" t="n">
        <v>0</v>
      </c>
      <c r="M775" s="5" t="n">
        <v>0</v>
      </c>
      <c r="N775" s="5" t="n">
        <v>0</v>
      </c>
      <c r="O775" s="5" t="n">
        <v>1</v>
      </c>
      <c r="P775" s="5" t="n">
        <v>1</v>
      </c>
      <c r="Q775" s="5" t="n">
        <v>0</v>
      </c>
      <c r="R775" s="5" t="n">
        <v>1</v>
      </c>
      <c r="S775" s="5" t="n">
        <v>0</v>
      </c>
      <c r="T775" s="5" t="n">
        <v>0</v>
      </c>
      <c r="U775" s="5" t="inlineStr">
        <is>
          <t>training</t>
        </is>
      </c>
    </row>
    <row r="776">
      <c r="A776" s="5" t="n">
        <v>772</v>
      </c>
      <c r="B776" s="5" t="n">
        <v>1</v>
      </c>
      <c r="C776" s="6" t="n">
        <v>1.286513816310289</v>
      </c>
      <c r="D776" s="6" t="n">
        <v>1.684490126279393</v>
      </c>
      <c r="E776" s="6" t="n">
        <v>-0.9166956381570004</v>
      </c>
      <c r="F776" s="6" t="n">
        <v>0.01674764143977723</v>
      </c>
      <c r="G776" s="5" t="n">
        <v>1</v>
      </c>
      <c r="H776" s="5" t="n">
        <v>0</v>
      </c>
      <c r="I776" s="5" t="n">
        <v>0</v>
      </c>
      <c r="J776" s="5" t="n">
        <v>1</v>
      </c>
      <c r="K776" s="5" t="n">
        <v>0</v>
      </c>
      <c r="L776" s="5" t="n">
        <v>0</v>
      </c>
      <c r="M776" s="5" t="n">
        <v>0</v>
      </c>
      <c r="N776" s="5" t="n">
        <v>0</v>
      </c>
      <c r="O776" s="5" t="n">
        <v>0</v>
      </c>
      <c r="P776" s="5" t="n">
        <v>0</v>
      </c>
      <c r="Q776" s="5" t="n">
        <v>0</v>
      </c>
      <c r="R776" s="5" t="n">
        <v>0</v>
      </c>
      <c r="S776" s="5" t="n">
        <v>0</v>
      </c>
      <c r="T776" s="5" t="n">
        <v>0</v>
      </c>
      <c r="U776" s="5" t="inlineStr">
        <is>
          <t>testing</t>
        </is>
      </c>
    </row>
    <row r="777">
      <c r="A777" s="5" t="n">
        <v>773</v>
      </c>
      <c r="B777" s="5" t="n">
        <v>0</v>
      </c>
      <c r="C777" s="6" t="n">
        <v>0.02262954691863145</v>
      </c>
      <c r="D777" s="6" t="n">
        <v>0.008503893165513476</v>
      </c>
      <c r="E777" s="6" t="n">
        <v>0.04000758952108359</v>
      </c>
      <c r="F777" s="6" t="n">
        <v>-1.786844513613144</v>
      </c>
      <c r="G777" s="5" t="n">
        <v>0</v>
      </c>
      <c r="H777" s="5" t="n">
        <v>0</v>
      </c>
      <c r="I777" s="5" t="n">
        <v>0</v>
      </c>
      <c r="J777" s="5" t="n">
        <v>1</v>
      </c>
      <c r="K777" s="5" t="n">
        <v>0</v>
      </c>
      <c r="L777" s="5" t="n">
        <v>0</v>
      </c>
      <c r="M777" s="5" t="n">
        <v>0</v>
      </c>
      <c r="N777" s="5" t="n">
        <v>0</v>
      </c>
      <c r="O777" s="5" t="n">
        <v>0</v>
      </c>
      <c r="P777" s="5" t="n">
        <v>0</v>
      </c>
      <c r="Q777" s="5" t="n">
        <v>0</v>
      </c>
      <c r="R777" s="5" t="n">
        <v>1</v>
      </c>
      <c r="S777" s="5" t="n">
        <v>0</v>
      </c>
      <c r="T777" s="5" t="n">
        <v>0</v>
      </c>
      <c r="U777" s="5" t="inlineStr">
        <is>
          <t>testing</t>
        </is>
      </c>
    </row>
    <row r="778">
      <c r="A778" s="5" t="n">
        <v>774</v>
      </c>
      <c r="B778" s="5" t="n">
        <v>0</v>
      </c>
      <c r="C778" s="6" t="n">
        <v>0.275406400796963</v>
      </c>
      <c r="D778" s="6" t="n">
        <v>-0.3595832711843407</v>
      </c>
      <c r="E778" s="6" t="n">
        <v>1.431575920689206</v>
      </c>
      <c r="F778" s="6" t="n">
        <v>0.9185437189662378</v>
      </c>
      <c r="G778" s="5" t="n">
        <v>0</v>
      </c>
      <c r="H778" s="5" t="n">
        <v>0</v>
      </c>
      <c r="I778" s="5" t="n">
        <v>0</v>
      </c>
      <c r="J778" s="5" t="n">
        <v>1</v>
      </c>
      <c r="K778" s="5" t="n">
        <v>0</v>
      </c>
      <c r="L778" s="5" t="n">
        <v>0</v>
      </c>
      <c r="M778" s="5" t="n">
        <v>1</v>
      </c>
      <c r="N778" s="5" t="n">
        <v>0</v>
      </c>
      <c r="O778" s="5" t="n">
        <v>0</v>
      </c>
      <c r="P778" s="5" t="n">
        <v>0</v>
      </c>
      <c r="Q778" s="5" t="n">
        <v>0</v>
      </c>
      <c r="R778" s="5" t="n">
        <v>0</v>
      </c>
      <c r="S778" s="5" t="n">
        <v>1</v>
      </c>
      <c r="T778" s="5" t="n">
        <v>0</v>
      </c>
      <c r="U778" s="5" t="inlineStr">
        <is>
          <t>training</t>
        </is>
      </c>
    </row>
    <row r="779">
      <c r="A779" s="5" t="n">
        <v>775</v>
      </c>
      <c r="B779" s="5" t="n">
        <v>0</v>
      </c>
      <c r="C779" s="6" t="n">
        <v>-0.7357010147163632</v>
      </c>
      <c r="D779" s="6" t="n">
        <v>-0.6195535783249697</v>
      </c>
      <c r="E779" s="6" t="n">
        <v>2.649198210461313</v>
      </c>
      <c r="F779" s="6" t="n">
        <v>-0.8850484360866833</v>
      </c>
      <c r="G779" s="5" t="n">
        <v>0</v>
      </c>
      <c r="H779" s="5" t="n">
        <v>0</v>
      </c>
      <c r="I779" s="5" t="n">
        <v>1</v>
      </c>
      <c r="J779" s="5" t="n">
        <v>1</v>
      </c>
      <c r="K779" s="5" t="n">
        <v>0</v>
      </c>
      <c r="L779" s="5" t="n">
        <v>0</v>
      </c>
      <c r="M779" s="5" t="n">
        <v>1</v>
      </c>
      <c r="N779" s="5" t="n">
        <v>0</v>
      </c>
      <c r="O779" s="5" t="n">
        <v>0</v>
      </c>
      <c r="P779" s="5" t="n">
        <v>0</v>
      </c>
      <c r="Q779" s="5" t="n">
        <v>1</v>
      </c>
      <c r="R779" s="5" t="n">
        <v>1</v>
      </c>
      <c r="S779" s="5" t="n">
        <v>0</v>
      </c>
      <c r="T779" s="5" t="n">
        <v>0</v>
      </c>
      <c r="U779" s="5" t="inlineStr">
        <is>
          <t>training</t>
        </is>
      </c>
    </row>
    <row r="780">
      <c r="A780" s="5" t="n">
        <v>776</v>
      </c>
      <c r="B780" s="5" t="n">
        <v>1</v>
      </c>
      <c r="C780" s="6" t="n">
        <v>0.275406400796963</v>
      </c>
      <c r="D780" s="6" t="n">
        <v>-0.6576918871787093</v>
      </c>
      <c r="E780" s="6" t="n">
        <v>-0.9166956381570004</v>
      </c>
      <c r="F780" s="6" t="n">
        <v>0.9185437189662378</v>
      </c>
      <c r="G780" s="5" t="n">
        <v>1</v>
      </c>
      <c r="H780" s="5" t="n">
        <v>0</v>
      </c>
      <c r="I780" s="5" t="n">
        <v>0</v>
      </c>
      <c r="J780" s="5" t="n">
        <v>0</v>
      </c>
      <c r="K780" s="5" t="n">
        <v>0</v>
      </c>
      <c r="L780" s="5" t="n">
        <v>0</v>
      </c>
      <c r="M780" s="5" t="n">
        <v>0</v>
      </c>
      <c r="N780" s="5" t="n">
        <v>0</v>
      </c>
      <c r="O780" s="5" t="n">
        <v>1</v>
      </c>
      <c r="P780" s="5" t="n">
        <v>1</v>
      </c>
      <c r="Q780" s="5" t="n">
        <v>0</v>
      </c>
      <c r="R780" s="5" t="n">
        <v>1</v>
      </c>
      <c r="S780" s="5" t="n">
        <v>0</v>
      </c>
      <c r="T780" s="5" t="n">
        <v>0</v>
      </c>
      <c r="U780" s="5" t="inlineStr">
        <is>
          <t>training</t>
        </is>
      </c>
    </row>
    <row r="781">
      <c r="A781" s="5" t="n">
        <v>777</v>
      </c>
      <c r="B781" s="5" t="n">
        <v>0</v>
      </c>
      <c r="C781" s="6" t="n">
        <v>1.286513816310289</v>
      </c>
      <c r="D781" s="6" t="n">
        <v>0.09947600602764474</v>
      </c>
      <c r="E781" s="6" t="n">
        <v>0.1269806102190912</v>
      </c>
      <c r="F781" s="6" t="n">
        <v>0.9185437189662378</v>
      </c>
      <c r="G781" s="5" t="n">
        <v>0</v>
      </c>
      <c r="H781" s="5" t="n">
        <v>0</v>
      </c>
      <c r="I781" s="5" t="n">
        <v>0</v>
      </c>
      <c r="J781" s="5" t="n">
        <v>1</v>
      </c>
      <c r="K781" s="5" t="n">
        <v>0</v>
      </c>
      <c r="L781" s="5" t="n">
        <v>0</v>
      </c>
      <c r="M781" s="5" t="n">
        <v>0</v>
      </c>
      <c r="N781" s="5" t="n">
        <v>0</v>
      </c>
      <c r="O781" s="5" t="n">
        <v>0</v>
      </c>
      <c r="P781" s="5" t="n">
        <v>0</v>
      </c>
      <c r="Q781" s="5" t="n">
        <v>0</v>
      </c>
      <c r="R781" s="5" t="n">
        <v>1</v>
      </c>
      <c r="S781" s="5" t="n">
        <v>0</v>
      </c>
      <c r="T781" s="5" t="n">
        <v>0</v>
      </c>
      <c r="U781" s="5" t="inlineStr">
        <is>
          <t>testing</t>
        </is>
      </c>
    </row>
    <row r="782">
      <c r="A782" s="5" t="n">
        <v>778</v>
      </c>
      <c r="B782" s="5" t="n">
        <v>0</v>
      </c>
      <c r="C782" s="6" t="n">
        <v>-0.2301473069597001</v>
      </c>
      <c r="D782" s="6" t="n">
        <v>0.09037879474143161</v>
      </c>
      <c r="E782" s="6" t="n">
        <v>-0.9166956381570004</v>
      </c>
      <c r="F782" s="6" t="n">
        <v>0.9185437189662378</v>
      </c>
      <c r="G782" s="5" t="n">
        <v>1</v>
      </c>
      <c r="H782" s="5" t="n">
        <v>0</v>
      </c>
      <c r="I782" s="5" t="n">
        <v>0</v>
      </c>
      <c r="J782" s="5" t="n">
        <v>0</v>
      </c>
      <c r="K782" s="5" t="n">
        <v>0</v>
      </c>
      <c r="L782" s="5" t="n">
        <v>0</v>
      </c>
      <c r="M782" s="5" t="n">
        <v>0</v>
      </c>
      <c r="N782" s="5" t="n">
        <v>0</v>
      </c>
      <c r="O782" s="5" t="n">
        <v>0</v>
      </c>
      <c r="P782" s="5" t="n">
        <v>0</v>
      </c>
      <c r="Q782" s="5" t="n">
        <v>0</v>
      </c>
      <c r="R782" s="5" t="n">
        <v>0</v>
      </c>
      <c r="S782" s="5" t="n">
        <v>1</v>
      </c>
      <c r="T782" s="5" t="n">
        <v>0</v>
      </c>
      <c r="U782" s="5" t="inlineStr">
        <is>
          <t>training</t>
        </is>
      </c>
    </row>
    <row r="783">
      <c r="A783" s="5" t="n">
        <v>779</v>
      </c>
      <c r="B783" s="5" t="n">
        <v>0</v>
      </c>
      <c r="C783" s="6" t="n">
        <v>1.286513816310289</v>
      </c>
      <c r="D783" s="6" t="n">
        <v>0.860842612135328</v>
      </c>
      <c r="E783" s="6" t="n">
        <v>0.2139536309170988</v>
      </c>
      <c r="F783" s="6" t="n">
        <v>0.9185437189662378</v>
      </c>
      <c r="G783" s="5" t="n">
        <v>0</v>
      </c>
      <c r="H783" s="5" t="n">
        <v>0</v>
      </c>
      <c r="I783" s="5" t="n">
        <v>0</v>
      </c>
      <c r="J783" s="5" t="n">
        <v>1</v>
      </c>
      <c r="K783" s="5" t="n">
        <v>0</v>
      </c>
      <c r="L783" s="5" t="n">
        <v>0</v>
      </c>
      <c r="M783" s="5" t="n">
        <v>0</v>
      </c>
      <c r="N783" s="5" t="n">
        <v>1</v>
      </c>
      <c r="O783" s="5" t="n">
        <v>0</v>
      </c>
      <c r="P783" s="5" t="n">
        <v>0</v>
      </c>
      <c r="Q783" s="5" t="n">
        <v>0</v>
      </c>
      <c r="R783" s="5" t="n">
        <v>1</v>
      </c>
      <c r="S783" s="5" t="n">
        <v>0</v>
      </c>
      <c r="T783" s="5" t="n">
        <v>0</v>
      </c>
      <c r="U783" s="5" t="inlineStr">
        <is>
          <t>training</t>
        </is>
      </c>
    </row>
    <row r="784">
      <c r="A784" s="5" t="n">
        <v>780</v>
      </c>
      <c r="B784" s="5" t="n">
        <v>0</v>
      </c>
      <c r="C784" s="6" t="n">
        <v>-0.2301473069597001</v>
      </c>
      <c r="D784" s="6" t="n">
        <v>0.217389860006638</v>
      </c>
      <c r="E784" s="6" t="n">
        <v>2.73617123115932</v>
      </c>
      <c r="F784" s="6" t="n">
        <v>-0.8850484360866833</v>
      </c>
      <c r="G784" s="5" t="n">
        <v>0</v>
      </c>
      <c r="H784" s="5" t="n">
        <v>1</v>
      </c>
      <c r="I784" s="5" t="n">
        <v>0</v>
      </c>
      <c r="J784" s="5" t="n">
        <v>0</v>
      </c>
      <c r="K784" s="5" t="n">
        <v>0</v>
      </c>
      <c r="L784" s="5" t="n">
        <v>0</v>
      </c>
      <c r="M784" s="5" t="n">
        <v>0</v>
      </c>
      <c r="N784" s="5" t="n">
        <v>0</v>
      </c>
      <c r="O784" s="5" t="n">
        <v>0</v>
      </c>
      <c r="P784" s="5" t="n">
        <v>0</v>
      </c>
      <c r="Q784" s="5" t="n">
        <v>0</v>
      </c>
      <c r="R784" s="5" t="n">
        <v>0</v>
      </c>
      <c r="S784" s="5" t="n">
        <v>0</v>
      </c>
      <c r="T784" s="5" t="n">
        <v>0</v>
      </c>
      <c r="U784" s="5" t="inlineStr">
        <is>
          <t>testing</t>
        </is>
      </c>
    </row>
    <row r="785">
      <c r="A785" s="5" t="n">
        <v>781</v>
      </c>
      <c r="B785" s="5" t="n">
        <v>1</v>
      </c>
      <c r="C785" s="6" t="n">
        <v>1.539290670188621</v>
      </c>
      <c r="D785" s="6" t="n">
        <v>0.588626059032489</v>
      </c>
      <c r="E785" s="6" t="n">
        <v>-0.9166956381570004</v>
      </c>
      <c r="F785" s="6" t="n">
        <v>-0.8850484360866833</v>
      </c>
      <c r="G785" s="5" t="n">
        <v>0</v>
      </c>
      <c r="H785" s="5" t="n">
        <v>1</v>
      </c>
      <c r="I785" s="5" t="n">
        <v>0</v>
      </c>
      <c r="J785" s="5" t="n">
        <v>1</v>
      </c>
      <c r="K785" s="5" t="n">
        <v>0</v>
      </c>
      <c r="L785" s="5" t="n">
        <v>0</v>
      </c>
      <c r="M785" s="5" t="n">
        <v>0</v>
      </c>
      <c r="N785" s="5" t="n">
        <v>0</v>
      </c>
      <c r="O785" s="5" t="n">
        <v>0</v>
      </c>
      <c r="P785" s="5" t="n">
        <v>0</v>
      </c>
      <c r="Q785" s="5" t="n">
        <v>0</v>
      </c>
      <c r="R785" s="5" t="n">
        <v>0</v>
      </c>
      <c r="S785" s="5" t="n">
        <v>1</v>
      </c>
      <c r="T785" s="5" t="n">
        <v>0</v>
      </c>
      <c r="U785" s="5" t="inlineStr">
        <is>
          <t>training</t>
        </is>
      </c>
    </row>
    <row r="786">
      <c r="A786" s="5" t="n">
        <v>782</v>
      </c>
      <c r="B786" s="5" t="n">
        <v>0</v>
      </c>
      <c r="C786" s="6" t="n">
        <v>0.275406400796963</v>
      </c>
      <c r="D786" s="6" t="n">
        <v>-0.4586029171073528</v>
      </c>
      <c r="E786" s="6" t="n">
        <v>2.127360086273267</v>
      </c>
      <c r="F786" s="6" t="n">
        <v>0.9185437189662378</v>
      </c>
      <c r="G786" s="5" t="n">
        <v>0</v>
      </c>
      <c r="H786" s="5" t="n">
        <v>0</v>
      </c>
      <c r="I786" s="5" t="n">
        <v>0</v>
      </c>
      <c r="J786" s="5" t="n">
        <v>1</v>
      </c>
      <c r="K786" s="5" t="n">
        <v>0</v>
      </c>
      <c r="L786" s="5" t="n">
        <v>0</v>
      </c>
      <c r="M786" s="5" t="n">
        <v>0</v>
      </c>
      <c r="N786" s="5" t="n">
        <v>1</v>
      </c>
      <c r="O786" s="5" t="n">
        <v>0</v>
      </c>
      <c r="P786" s="5" t="n">
        <v>0</v>
      </c>
      <c r="Q786" s="5" t="n">
        <v>0</v>
      </c>
      <c r="R786" s="5" t="n">
        <v>1</v>
      </c>
      <c r="S786" s="5" t="n">
        <v>0</v>
      </c>
      <c r="T786" s="5" t="n">
        <v>0</v>
      </c>
      <c r="U786" s="5" t="inlineStr">
        <is>
          <t>testing</t>
        </is>
      </c>
    </row>
    <row r="787">
      <c r="A787" s="5" t="n">
        <v>783</v>
      </c>
      <c r="B787" s="5" t="n">
        <v>0</v>
      </c>
      <c r="C787" s="6" t="n">
        <v>-0.7357010147163632</v>
      </c>
      <c r="D787" s="6" t="n">
        <v>-0.6440460702493896</v>
      </c>
      <c r="E787" s="6" t="n">
        <v>-0.3948575139689546</v>
      </c>
      <c r="F787" s="6" t="n">
        <v>-0.8850484360866833</v>
      </c>
      <c r="G787" s="5" t="n">
        <v>0</v>
      </c>
      <c r="H787" s="5" t="n">
        <v>1</v>
      </c>
      <c r="I787" s="5" t="n">
        <v>0</v>
      </c>
      <c r="J787" s="5" t="n">
        <v>0</v>
      </c>
      <c r="K787" s="5" t="n">
        <v>0</v>
      </c>
      <c r="L787" s="5" t="n">
        <v>1</v>
      </c>
      <c r="M787" s="5" t="n">
        <v>0</v>
      </c>
      <c r="N787" s="5" t="n">
        <v>0</v>
      </c>
      <c r="O787" s="5" t="n">
        <v>0</v>
      </c>
      <c r="P787" s="5" t="n">
        <v>0</v>
      </c>
      <c r="Q787" s="5" t="n">
        <v>0</v>
      </c>
      <c r="R787" s="5" t="n">
        <v>0</v>
      </c>
      <c r="S787" s="5" t="n">
        <v>0</v>
      </c>
      <c r="T787" s="5" t="n">
        <v>0</v>
      </c>
      <c r="U787" s="5" t="inlineStr">
        <is>
          <t>training</t>
        </is>
      </c>
    </row>
    <row r="788">
      <c r="A788" s="5" t="n">
        <v>784</v>
      </c>
      <c r="B788" s="5" t="n">
        <v>1</v>
      </c>
      <c r="C788" s="6" t="n">
        <v>-0.7357010147163632</v>
      </c>
      <c r="D788" s="6" t="n">
        <v>-0.8448845040296333</v>
      </c>
      <c r="E788" s="6" t="n">
        <v>-1.090641679553016</v>
      </c>
      <c r="F788" s="6" t="n">
        <v>0.9185437189662378</v>
      </c>
      <c r="G788" s="5" t="n">
        <v>0</v>
      </c>
      <c r="H788" s="5" t="n">
        <v>1</v>
      </c>
      <c r="I788" s="5" t="n">
        <v>0</v>
      </c>
      <c r="J788" s="5" t="n">
        <v>0</v>
      </c>
      <c r="K788" s="5" t="n">
        <v>0</v>
      </c>
      <c r="L788" s="5" t="n">
        <v>0</v>
      </c>
      <c r="M788" s="5" t="n">
        <v>1</v>
      </c>
      <c r="N788" s="5" t="n">
        <v>0</v>
      </c>
      <c r="O788" s="5" t="n">
        <v>0</v>
      </c>
      <c r="P788" s="5" t="n">
        <v>0</v>
      </c>
      <c r="Q788" s="5" t="n">
        <v>0</v>
      </c>
      <c r="R788" s="5" t="n">
        <v>1</v>
      </c>
      <c r="S788" s="5" t="n">
        <v>0</v>
      </c>
      <c r="T788" s="5" t="n">
        <v>0</v>
      </c>
      <c r="U788" s="5" t="inlineStr">
        <is>
          <t>training</t>
        </is>
      </c>
    </row>
    <row r="789">
      <c r="A789" s="5" t="n">
        <v>785</v>
      </c>
      <c r="B789" s="5" t="n">
        <v>0</v>
      </c>
      <c r="C789" s="6" t="n">
        <v>-0.06162940437414574</v>
      </c>
      <c r="D789" s="6" t="n">
        <v>1.125711417660841</v>
      </c>
      <c r="E789" s="6" t="n">
        <v>2.127360086273267</v>
      </c>
      <c r="F789" s="6" t="n">
        <v>-1.786844513613144</v>
      </c>
      <c r="G789" s="5" t="n">
        <v>0</v>
      </c>
      <c r="H789" s="5" t="n">
        <v>1</v>
      </c>
      <c r="I789" s="5" t="n">
        <v>0</v>
      </c>
      <c r="J789" s="5" t="n">
        <v>0</v>
      </c>
      <c r="K789" s="5" t="n">
        <v>0</v>
      </c>
      <c r="L789" s="5" t="n">
        <v>0</v>
      </c>
      <c r="M789" s="5" t="n">
        <v>0</v>
      </c>
      <c r="N789" s="5" t="n">
        <v>0</v>
      </c>
      <c r="O789" s="5" t="n">
        <v>1</v>
      </c>
      <c r="P789" s="5" t="n">
        <v>0</v>
      </c>
      <c r="Q789" s="5" t="n">
        <v>0</v>
      </c>
      <c r="R789" s="5" t="n">
        <v>1</v>
      </c>
      <c r="S789" s="5" t="n">
        <v>0</v>
      </c>
      <c r="T789" s="5" t="n">
        <v>0</v>
      </c>
      <c r="U789" s="5" t="inlineStr">
        <is>
          <t>testing</t>
        </is>
      </c>
    </row>
    <row r="790">
      <c r="A790" s="5" t="n">
        <v>786</v>
      </c>
      <c r="B790" s="5" t="n">
        <v>0</v>
      </c>
      <c r="C790" s="6" t="n">
        <v>-0.2301473069597001</v>
      </c>
      <c r="D790" s="6" t="n">
        <v>-0.4582530243655754</v>
      </c>
      <c r="E790" s="6" t="n">
        <v>-0.04696543117692405</v>
      </c>
      <c r="F790" s="6" t="n">
        <v>0.9185437189662378</v>
      </c>
      <c r="G790" s="5" t="n">
        <v>0</v>
      </c>
      <c r="H790" s="5" t="n">
        <v>1</v>
      </c>
      <c r="I790" s="5" t="n">
        <v>0</v>
      </c>
      <c r="J790" s="5" t="n">
        <v>0</v>
      </c>
      <c r="K790" s="5" t="n">
        <v>0</v>
      </c>
      <c r="L790" s="5" t="n">
        <v>0</v>
      </c>
      <c r="M790" s="5" t="n">
        <v>0</v>
      </c>
      <c r="N790" s="5" t="n">
        <v>1</v>
      </c>
      <c r="O790" s="5" t="n">
        <v>0</v>
      </c>
      <c r="P790" s="5" t="n">
        <v>0</v>
      </c>
      <c r="Q790" s="5" t="n">
        <v>0</v>
      </c>
      <c r="R790" s="5" t="n">
        <v>0</v>
      </c>
      <c r="S790" s="5" t="n">
        <v>0</v>
      </c>
      <c r="T790" s="5" t="n">
        <v>0</v>
      </c>
      <c r="U790" s="5" t="inlineStr">
        <is>
          <t>training</t>
        </is>
      </c>
    </row>
    <row r="791">
      <c r="A791" s="5" t="n">
        <v>787</v>
      </c>
      <c r="B791" s="5" t="n">
        <v>0</v>
      </c>
      <c r="C791" s="6" t="n">
        <v>0.1068884982114086</v>
      </c>
      <c r="D791" s="6" t="n">
        <v>-0.2014317519009433</v>
      </c>
      <c r="E791" s="6" t="n">
        <v>0.3878996723131141</v>
      </c>
      <c r="F791" s="6" t="n">
        <v>0.01674764143977723</v>
      </c>
      <c r="G791" s="5" t="n">
        <v>0</v>
      </c>
      <c r="H791" s="5" t="n">
        <v>0</v>
      </c>
      <c r="I791" s="5" t="n">
        <v>0</v>
      </c>
      <c r="J791" s="5" t="n">
        <v>0</v>
      </c>
      <c r="K791" s="5" t="n">
        <v>0</v>
      </c>
      <c r="L791" s="5" t="n">
        <v>0</v>
      </c>
      <c r="M791" s="5" t="n">
        <v>1</v>
      </c>
      <c r="N791" s="5" t="n">
        <v>0</v>
      </c>
      <c r="O791" s="5" t="n">
        <v>0</v>
      </c>
      <c r="P791" s="5" t="n">
        <v>0</v>
      </c>
      <c r="Q791" s="5" t="n">
        <v>0</v>
      </c>
      <c r="R791" s="5" t="n">
        <v>0</v>
      </c>
      <c r="S791" s="5" t="n">
        <v>1</v>
      </c>
      <c r="T791" s="5" t="n">
        <v>0</v>
      </c>
      <c r="U791" s="5" t="inlineStr">
        <is>
          <t>training</t>
        </is>
      </c>
    </row>
    <row r="792">
      <c r="A792" s="5" t="n">
        <v>788</v>
      </c>
      <c r="B792" s="5" t="n">
        <v>0</v>
      </c>
      <c r="C792" s="6" t="n">
        <v>2.297621231823615</v>
      </c>
      <c r="D792" s="6" t="n">
        <v>-0.1748399035258588</v>
      </c>
      <c r="E792" s="6" t="n">
        <v>0.2139536309170988</v>
      </c>
      <c r="F792" s="6" t="n">
        <v>0.9185437189662378</v>
      </c>
      <c r="G792" s="5" t="n">
        <v>0</v>
      </c>
      <c r="H792" s="5" t="n">
        <v>0</v>
      </c>
      <c r="I792" s="5" t="n">
        <v>0</v>
      </c>
      <c r="J792" s="5" t="n">
        <v>1</v>
      </c>
      <c r="K792" s="5" t="n">
        <v>0</v>
      </c>
      <c r="L792" s="5" t="n">
        <v>0</v>
      </c>
      <c r="M792" s="5" t="n">
        <v>0</v>
      </c>
      <c r="N792" s="5" t="n">
        <v>0</v>
      </c>
      <c r="O792" s="5" t="n">
        <v>1</v>
      </c>
      <c r="P792" s="5" t="n">
        <v>0</v>
      </c>
      <c r="Q792" s="5" t="n">
        <v>0</v>
      </c>
      <c r="R792" s="5" t="n">
        <v>1</v>
      </c>
      <c r="S792" s="5" t="n">
        <v>0</v>
      </c>
      <c r="T792" s="5" t="n">
        <v>0</v>
      </c>
      <c r="U792" s="5" t="inlineStr">
        <is>
          <t>training</t>
        </is>
      </c>
    </row>
    <row r="793">
      <c r="A793" s="5" t="n">
        <v>789</v>
      </c>
      <c r="B793" s="5" t="n">
        <v>1</v>
      </c>
      <c r="C793" s="6" t="n">
        <v>2.297621231823615</v>
      </c>
      <c r="D793" s="6" t="n">
        <v>1.040337588667148</v>
      </c>
      <c r="E793" s="6" t="n">
        <v>1.257629879293191</v>
      </c>
      <c r="F793" s="6" t="n">
        <v>0.9185437189662378</v>
      </c>
      <c r="G793" s="5" t="n">
        <v>0</v>
      </c>
      <c r="H793" s="5" t="n">
        <v>1</v>
      </c>
      <c r="I793" s="5" t="n">
        <v>0</v>
      </c>
      <c r="J793" s="5" t="n">
        <v>0</v>
      </c>
      <c r="K793" s="5" t="n">
        <v>1</v>
      </c>
      <c r="L793" s="5" t="n">
        <v>0</v>
      </c>
      <c r="M793" s="5" t="n">
        <v>0</v>
      </c>
      <c r="N793" s="5" t="n">
        <v>0</v>
      </c>
      <c r="O793" s="5" t="n">
        <v>0</v>
      </c>
      <c r="P793" s="5" t="n">
        <v>0</v>
      </c>
      <c r="Q793" s="5" t="n">
        <v>1</v>
      </c>
      <c r="R793" s="5" t="n">
        <v>0</v>
      </c>
      <c r="S793" s="5" t="n">
        <v>0</v>
      </c>
      <c r="T793" s="5" t="n">
        <v>0</v>
      </c>
      <c r="U793" s="5" t="inlineStr">
        <is>
          <t>training</t>
        </is>
      </c>
    </row>
    <row r="794">
      <c r="A794" s="5" t="n">
        <v>790</v>
      </c>
      <c r="B794" s="5" t="n">
        <v>1</v>
      </c>
      <c r="C794" s="6" t="n">
        <v>1.623549621481398</v>
      </c>
      <c r="D794" s="6" t="n">
        <v>0.9612618290254498</v>
      </c>
      <c r="E794" s="6" t="n">
        <v>-0.7427495967609852</v>
      </c>
      <c r="F794" s="6" t="n">
        <v>0.9185437189662378</v>
      </c>
      <c r="G794" s="5" t="n">
        <v>1</v>
      </c>
      <c r="H794" s="5" t="n">
        <v>0</v>
      </c>
      <c r="I794" s="5" t="n">
        <v>0</v>
      </c>
      <c r="J794" s="5" t="n">
        <v>1</v>
      </c>
      <c r="K794" s="5" t="n">
        <v>0</v>
      </c>
      <c r="L794" s="5" t="n">
        <v>0</v>
      </c>
      <c r="M794" s="5" t="n">
        <v>0</v>
      </c>
      <c r="N794" s="5" t="n">
        <v>0</v>
      </c>
      <c r="O794" s="5" t="n">
        <v>0</v>
      </c>
      <c r="P794" s="5" t="n">
        <v>0</v>
      </c>
      <c r="Q794" s="5" t="n">
        <v>0</v>
      </c>
      <c r="R794" s="5" t="n">
        <v>0</v>
      </c>
      <c r="S794" s="5" t="n">
        <v>0</v>
      </c>
      <c r="T794" s="5" t="n">
        <v>0</v>
      </c>
      <c r="U794" s="5" t="inlineStr">
        <is>
          <t>testing</t>
        </is>
      </c>
    </row>
    <row r="795">
      <c r="A795" s="5" t="n">
        <v>791</v>
      </c>
      <c r="B795" s="5" t="n">
        <v>1</v>
      </c>
      <c r="C795" s="6" t="n">
        <v>0.02262954691863145</v>
      </c>
      <c r="D795" s="6" t="n">
        <v>-0.7217222589239787</v>
      </c>
      <c r="E795" s="6" t="n">
        <v>0.3009266516151065</v>
      </c>
      <c r="F795" s="6" t="n">
        <v>-0.8850484360866833</v>
      </c>
      <c r="G795" s="5" t="n">
        <v>0</v>
      </c>
      <c r="H795" s="5" t="n">
        <v>1</v>
      </c>
      <c r="I795" s="5" t="n">
        <v>0</v>
      </c>
      <c r="J795" s="5" t="n">
        <v>0</v>
      </c>
      <c r="K795" s="5" t="n">
        <v>0</v>
      </c>
      <c r="L795" s="5" t="n">
        <v>0</v>
      </c>
      <c r="M795" s="5" t="n">
        <v>0</v>
      </c>
      <c r="N795" s="5" t="n">
        <v>0</v>
      </c>
      <c r="O795" s="5" t="n">
        <v>0</v>
      </c>
      <c r="P795" s="5" t="n">
        <v>0</v>
      </c>
      <c r="Q795" s="5" t="n">
        <v>0</v>
      </c>
      <c r="R795" s="5" t="n">
        <v>0</v>
      </c>
      <c r="S795" s="5" t="n">
        <v>0</v>
      </c>
      <c r="T795" s="5" t="n">
        <v>0</v>
      </c>
      <c r="U795" s="5" t="inlineStr">
        <is>
          <t>training</t>
        </is>
      </c>
    </row>
    <row r="796">
      <c r="A796" s="5" t="n">
        <v>792</v>
      </c>
      <c r="B796" s="5" t="n">
        <v>0</v>
      </c>
      <c r="C796" s="6" t="n">
        <v>0.275406400796963</v>
      </c>
      <c r="D796" s="6" t="n">
        <v>1.07147804268534</v>
      </c>
      <c r="E796" s="6" t="n">
        <v>0.4748726930111218</v>
      </c>
      <c r="F796" s="6" t="n">
        <v>0.01674764143977723</v>
      </c>
      <c r="G796" s="5" t="n">
        <v>0</v>
      </c>
      <c r="H796" s="5" t="n">
        <v>0</v>
      </c>
      <c r="I796" s="5" t="n">
        <v>0</v>
      </c>
      <c r="J796" s="5" t="n">
        <v>0</v>
      </c>
      <c r="K796" s="5" t="n">
        <v>0</v>
      </c>
      <c r="L796" s="5" t="n">
        <v>0</v>
      </c>
      <c r="M796" s="5" t="n">
        <v>0</v>
      </c>
      <c r="N796" s="5" t="n">
        <v>0</v>
      </c>
      <c r="O796" s="5" t="n">
        <v>1</v>
      </c>
      <c r="P796" s="5" t="n">
        <v>0</v>
      </c>
      <c r="Q796" s="5" t="n">
        <v>0</v>
      </c>
      <c r="R796" s="5" t="n">
        <v>1</v>
      </c>
      <c r="S796" s="5" t="n">
        <v>0</v>
      </c>
      <c r="T796" s="5" t="n">
        <v>0</v>
      </c>
      <c r="U796" s="5" t="inlineStr">
        <is>
          <t>testing</t>
        </is>
      </c>
    </row>
    <row r="797">
      <c r="A797" s="5" t="n">
        <v>793</v>
      </c>
      <c r="B797" s="5" t="n">
        <v>0</v>
      </c>
      <c r="C797" s="6" t="n">
        <v>-1.241254722473026</v>
      </c>
      <c r="D797" s="6" t="n">
        <v>-0.7101757984453235</v>
      </c>
      <c r="E797" s="6" t="n">
        <v>-0.7427495967609852</v>
      </c>
      <c r="F797" s="6" t="n">
        <v>-1.786844513613144</v>
      </c>
      <c r="G797" s="5" t="n">
        <v>0</v>
      </c>
      <c r="H797" s="5" t="n">
        <v>0</v>
      </c>
      <c r="I797" s="5" t="n">
        <v>0</v>
      </c>
      <c r="J797" s="5" t="n">
        <v>1</v>
      </c>
      <c r="K797" s="5" t="n">
        <v>0</v>
      </c>
      <c r="L797" s="5" t="n">
        <v>0</v>
      </c>
      <c r="M797" s="5" t="n">
        <v>0</v>
      </c>
      <c r="N797" s="5" t="n">
        <v>0</v>
      </c>
      <c r="O797" s="5" t="n">
        <v>1</v>
      </c>
      <c r="P797" s="5" t="n">
        <v>0</v>
      </c>
      <c r="Q797" s="5" t="n">
        <v>0</v>
      </c>
      <c r="R797" s="5" t="n">
        <v>0</v>
      </c>
      <c r="S797" s="5" t="n">
        <v>0</v>
      </c>
      <c r="T797" s="5" t="n">
        <v>1</v>
      </c>
      <c r="U797" s="5" t="inlineStr">
        <is>
          <t>training</t>
        </is>
      </c>
    </row>
    <row r="798">
      <c r="A798" s="5" t="n">
        <v>794</v>
      </c>
      <c r="B798" s="5" t="n">
        <v>0</v>
      </c>
      <c r="C798" s="6" t="n">
        <v>0.275406400796963</v>
      </c>
      <c r="D798" s="6" t="n">
        <v>-0.1255050269352414</v>
      </c>
      <c r="E798" s="6" t="n">
        <v>1.344602899991198</v>
      </c>
      <c r="F798" s="6" t="n">
        <v>0.01674764143977723</v>
      </c>
      <c r="G798" s="5" t="n">
        <v>0</v>
      </c>
      <c r="H798" s="5" t="n">
        <v>0</v>
      </c>
      <c r="I798" s="5" t="n">
        <v>1</v>
      </c>
      <c r="J798" s="5" t="n">
        <v>0</v>
      </c>
      <c r="K798" s="5" t="n">
        <v>0</v>
      </c>
      <c r="L798" s="5" t="n">
        <v>0</v>
      </c>
      <c r="M798" s="5" t="n">
        <v>0</v>
      </c>
      <c r="N798" s="5" t="n">
        <v>0</v>
      </c>
      <c r="O798" s="5" t="n">
        <v>0</v>
      </c>
      <c r="P798" s="5" t="n">
        <v>0</v>
      </c>
      <c r="Q798" s="5" t="n">
        <v>1</v>
      </c>
      <c r="R798" s="5" t="n">
        <v>0</v>
      </c>
      <c r="S798" s="5" t="n">
        <v>0</v>
      </c>
      <c r="T798" s="5" t="n">
        <v>1</v>
      </c>
      <c r="U798" s="5" t="inlineStr">
        <is>
          <t>training</t>
        </is>
      </c>
    </row>
    <row r="799">
      <c r="A799" s="5" t="n">
        <v>795</v>
      </c>
      <c r="B799" s="5" t="n">
        <v>0</v>
      </c>
      <c r="C799" s="6" t="n">
        <v>0.275406400796963</v>
      </c>
      <c r="D799" s="6" t="n">
        <v>-0.06602326083307868</v>
      </c>
      <c r="E799" s="6" t="n">
        <v>-0.307884493270947</v>
      </c>
      <c r="F799" s="6" t="n">
        <v>0.9185437189662378</v>
      </c>
      <c r="G799" s="5" t="n">
        <v>0</v>
      </c>
      <c r="H799" s="5" t="n">
        <v>0</v>
      </c>
      <c r="I799" s="5" t="n">
        <v>0</v>
      </c>
      <c r="J799" s="5" t="n">
        <v>0</v>
      </c>
      <c r="K799" s="5" t="n">
        <v>0</v>
      </c>
      <c r="L799" s="5" t="n">
        <v>0</v>
      </c>
      <c r="M799" s="5" t="n">
        <v>1</v>
      </c>
      <c r="N799" s="5" t="n">
        <v>0</v>
      </c>
      <c r="O799" s="5" t="n">
        <v>0</v>
      </c>
      <c r="P799" s="5" t="n">
        <v>1</v>
      </c>
      <c r="Q799" s="5" t="n">
        <v>0</v>
      </c>
      <c r="R799" s="5" t="n">
        <v>0</v>
      </c>
      <c r="S799" s="5" t="n">
        <v>0</v>
      </c>
      <c r="T799" s="5" t="n">
        <v>1</v>
      </c>
      <c r="U799" s="5" t="inlineStr">
        <is>
          <t>training</t>
        </is>
      </c>
    </row>
    <row r="800">
      <c r="A800" s="5" t="n">
        <v>796</v>
      </c>
      <c r="B800" s="5" t="n">
        <v>0</v>
      </c>
      <c r="C800" s="6" t="n">
        <v>-0.9884778685946948</v>
      </c>
      <c r="D800" s="6" t="n">
        <v>-0.3322916373257013</v>
      </c>
      <c r="E800" s="6" t="n">
        <v>-1.177614700251023</v>
      </c>
      <c r="F800" s="6" t="n">
        <v>-0.8850484360866833</v>
      </c>
      <c r="G800" s="5" t="n">
        <v>0</v>
      </c>
      <c r="H800" s="5" t="n">
        <v>0</v>
      </c>
      <c r="I800" s="5" t="n">
        <v>0</v>
      </c>
      <c r="J800" s="5" t="n">
        <v>0</v>
      </c>
      <c r="K800" s="5" t="n">
        <v>0</v>
      </c>
      <c r="L800" s="5" t="n">
        <v>0</v>
      </c>
      <c r="M800" s="5" t="n">
        <v>1</v>
      </c>
      <c r="N800" s="5" t="n">
        <v>0</v>
      </c>
      <c r="O800" s="5" t="n">
        <v>0</v>
      </c>
      <c r="P800" s="5" t="n">
        <v>1</v>
      </c>
      <c r="Q800" s="5" t="n">
        <v>0</v>
      </c>
      <c r="R800" s="5" t="n">
        <v>0</v>
      </c>
      <c r="S800" s="5" t="n">
        <v>0</v>
      </c>
      <c r="T800" s="5" t="n">
        <v>1</v>
      </c>
      <c r="U800" s="5" t="inlineStr">
        <is>
          <t>training</t>
        </is>
      </c>
    </row>
    <row r="801">
      <c r="A801" s="5" t="n">
        <v>797</v>
      </c>
      <c r="B801" s="5" t="n">
        <v>1</v>
      </c>
      <c r="C801" s="6" t="n">
        <v>-0.2301473069597001</v>
      </c>
      <c r="D801" s="6" t="n">
        <v>1.490649547334698</v>
      </c>
      <c r="E801" s="6" t="n">
        <v>1.344602899991198</v>
      </c>
      <c r="F801" s="6" t="n">
        <v>-1.786844513613144</v>
      </c>
      <c r="G801" s="5" t="n">
        <v>1</v>
      </c>
      <c r="H801" s="5" t="n">
        <v>0</v>
      </c>
      <c r="I801" s="5" t="n">
        <v>0</v>
      </c>
      <c r="J801" s="5" t="n">
        <v>0</v>
      </c>
      <c r="K801" s="5" t="n">
        <v>0</v>
      </c>
      <c r="L801" s="5" t="n">
        <v>0</v>
      </c>
      <c r="M801" s="5" t="n">
        <v>0</v>
      </c>
      <c r="N801" s="5" t="n">
        <v>0</v>
      </c>
      <c r="O801" s="5" t="n">
        <v>1</v>
      </c>
      <c r="P801" s="5" t="n">
        <v>0</v>
      </c>
      <c r="Q801" s="5" t="n">
        <v>1</v>
      </c>
      <c r="R801" s="5" t="n">
        <v>1</v>
      </c>
      <c r="S801" s="5" t="n">
        <v>0</v>
      </c>
      <c r="T801" s="5" t="n">
        <v>0</v>
      </c>
      <c r="U801" s="5" t="inlineStr">
        <is>
          <t>training</t>
        </is>
      </c>
    </row>
    <row r="802">
      <c r="A802" s="5" t="n">
        <v>798</v>
      </c>
      <c r="B802" s="5" t="n">
        <v>0</v>
      </c>
      <c r="C802" s="6" t="n">
        <v>-0.7357010147163632</v>
      </c>
      <c r="D802" s="6" t="n">
        <v>-0.6972297669995587</v>
      </c>
      <c r="E802" s="6" t="n">
        <v>-1.177614700251023</v>
      </c>
      <c r="F802" s="6" t="n">
        <v>-0.8850484360866833</v>
      </c>
      <c r="G802" s="5" t="n">
        <v>0</v>
      </c>
      <c r="H802" s="5" t="n">
        <v>0</v>
      </c>
      <c r="I802" s="5" t="n">
        <v>0</v>
      </c>
      <c r="J802" s="5" t="n">
        <v>1</v>
      </c>
      <c r="K802" s="5" t="n">
        <v>0</v>
      </c>
      <c r="L802" s="5" t="n">
        <v>0</v>
      </c>
      <c r="M802" s="5" t="n">
        <v>0</v>
      </c>
      <c r="N802" s="5" t="n">
        <v>0</v>
      </c>
      <c r="O802" s="5" t="n">
        <v>0</v>
      </c>
      <c r="P802" s="5" t="n">
        <v>1</v>
      </c>
      <c r="Q802" s="5" t="n">
        <v>0</v>
      </c>
      <c r="R802" s="5" t="n">
        <v>0</v>
      </c>
      <c r="S802" s="5" t="n">
        <v>0</v>
      </c>
      <c r="T802" s="5" t="n">
        <v>1</v>
      </c>
      <c r="U802" s="5" t="inlineStr">
        <is>
          <t>testing</t>
        </is>
      </c>
    </row>
    <row r="803">
      <c r="A803" s="5" t="n">
        <v>799</v>
      </c>
      <c r="B803" s="5" t="n">
        <v>0</v>
      </c>
      <c r="C803" s="6" t="n">
        <v>0.275406400796963</v>
      </c>
      <c r="D803" s="6" t="n">
        <v>-0.8865217403011472</v>
      </c>
      <c r="E803" s="6" t="n">
        <v>1.605521962085221</v>
      </c>
      <c r="F803" s="6" t="n">
        <v>0.9185437189662378</v>
      </c>
      <c r="G803" s="5" t="n">
        <v>0</v>
      </c>
      <c r="H803" s="5" t="n">
        <v>0</v>
      </c>
      <c r="I803" s="5" t="n">
        <v>0</v>
      </c>
      <c r="J803" s="5" t="n">
        <v>0</v>
      </c>
      <c r="K803" s="5" t="n">
        <v>1</v>
      </c>
      <c r="L803" s="5" t="n">
        <v>0</v>
      </c>
      <c r="M803" s="5" t="n">
        <v>0</v>
      </c>
      <c r="N803" s="5" t="n">
        <v>0</v>
      </c>
      <c r="O803" s="5" t="n">
        <v>1</v>
      </c>
      <c r="P803" s="5" t="n">
        <v>0</v>
      </c>
      <c r="Q803" s="5" t="n">
        <v>0</v>
      </c>
      <c r="R803" s="5" t="n">
        <v>1</v>
      </c>
      <c r="S803" s="5" t="n">
        <v>0</v>
      </c>
      <c r="T803" s="5" t="n">
        <v>0</v>
      </c>
      <c r="U803" s="5" t="inlineStr">
        <is>
          <t>training</t>
        </is>
      </c>
    </row>
    <row r="804">
      <c r="A804" s="5" t="n">
        <v>800</v>
      </c>
      <c r="B804" s="5" t="n">
        <v>0</v>
      </c>
      <c r="C804" s="6" t="n">
        <v>-0.9884778685946948</v>
      </c>
      <c r="D804" s="6" t="n">
        <v>-0.5954109791423272</v>
      </c>
      <c r="E804" s="6" t="n">
        <v>-0.04696543117692405</v>
      </c>
      <c r="F804" s="6" t="n">
        <v>0.9185437189662378</v>
      </c>
      <c r="G804" s="5" t="n">
        <v>0</v>
      </c>
      <c r="H804" s="5" t="n">
        <v>1</v>
      </c>
      <c r="I804" s="5" t="n">
        <v>0</v>
      </c>
      <c r="J804" s="5" t="n">
        <v>0</v>
      </c>
      <c r="K804" s="5" t="n">
        <v>0</v>
      </c>
      <c r="L804" s="5" t="n">
        <v>0</v>
      </c>
      <c r="M804" s="5" t="n">
        <v>0</v>
      </c>
      <c r="N804" s="5" t="n">
        <v>0</v>
      </c>
      <c r="O804" s="5" t="n">
        <v>1</v>
      </c>
      <c r="P804" s="5" t="n">
        <v>0</v>
      </c>
      <c r="Q804" s="5" t="n">
        <v>0</v>
      </c>
      <c r="R804" s="5" t="n">
        <v>1</v>
      </c>
      <c r="S804" s="5" t="n">
        <v>0</v>
      </c>
      <c r="T804" s="5" t="n">
        <v>0</v>
      </c>
      <c r="U804" s="5" t="inlineStr">
        <is>
          <t>training</t>
        </is>
      </c>
    </row>
    <row r="805">
      <c r="A805" s="5" t="n">
        <v>801</v>
      </c>
      <c r="B805" s="5" t="n">
        <v>0</v>
      </c>
      <c r="C805" s="6" t="n">
        <v>0.275406400796963</v>
      </c>
      <c r="D805" s="6" t="n">
        <v>-0.5786161275370106</v>
      </c>
      <c r="E805" s="6" t="n">
        <v>1.605521962085221</v>
      </c>
      <c r="F805" s="6" t="n">
        <v>0.9185437189662378</v>
      </c>
      <c r="G805" s="5" t="n">
        <v>0</v>
      </c>
      <c r="H805" s="5" t="n">
        <v>0</v>
      </c>
      <c r="I805" s="5" t="n">
        <v>0</v>
      </c>
      <c r="J805" s="5" t="n">
        <v>1</v>
      </c>
      <c r="K805" s="5" t="n">
        <v>0</v>
      </c>
      <c r="L805" s="5" t="n">
        <v>0</v>
      </c>
      <c r="M805" s="5" t="n">
        <v>0</v>
      </c>
      <c r="N805" s="5" t="n">
        <v>0</v>
      </c>
      <c r="O805" s="5" t="n">
        <v>0</v>
      </c>
      <c r="P805" s="5" t="n">
        <v>0</v>
      </c>
      <c r="Q805" s="5" t="n">
        <v>1</v>
      </c>
      <c r="R805" s="5" t="n">
        <v>0</v>
      </c>
      <c r="S805" s="5" t="n">
        <v>0</v>
      </c>
      <c r="T805" s="5" t="n">
        <v>0</v>
      </c>
      <c r="U805" s="5" t="inlineStr">
        <is>
          <t>training</t>
        </is>
      </c>
    </row>
    <row r="806">
      <c r="A806" s="5" t="n">
        <v>802</v>
      </c>
      <c r="B806" s="5" t="n">
        <v>0</v>
      </c>
      <c r="C806" s="6" t="n">
        <v>-0.2301473069597001</v>
      </c>
      <c r="D806" s="6" t="n">
        <v>-0.5093373646650798</v>
      </c>
      <c r="E806" s="6" t="n">
        <v>1.083683837897175</v>
      </c>
      <c r="F806" s="6" t="n">
        <v>0.01674764143977723</v>
      </c>
      <c r="G806" s="5" t="n">
        <v>0</v>
      </c>
      <c r="H806" s="5" t="n">
        <v>1</v>
      </c>
      <c r="I806" s="5" t="n">
        <v>0</v>
      </c>
      <c r="J806" s="5" t="n">
        <v>1</v>
      </c>
      <c r="K806" s="5" t="n">
        <v>0</v>
      </c>
      <c r="L806" s="5" t="n">
        <v>0</v>
      </c>
      <c r="M806" s="5" t="n">
        <v>0</v>
      </c>
      <c r="N806" s="5" t="n">
        <v>0</v>
      </c>
      <c r="O806" s="5" t="n">
        <v>0</v>
      </c>
      <c r="P806" s="5" t="n">
        <v>1</v>
      </c>
      <c r="Q806" s="5" t="n">
        <v>0</v>
      </c>
      <c r="R806" s="5" t="n">
        <v>0</v>
      </c>
      <c r="S806" s="5" t="n">
        <v>1</v>
      </c>
      <c r="T806" s="5" t="n">
        <v>0</v>
      </c>
      <c r="U806" s="5" t="inlineStr">
        <is>
          <t>testing</t>
        </is>
      </c>
    </row>
    <row r="807">
      <c r="A807" s="5" t="n">
        <v>803</v>
      </c>
      <c r="B807" s="5" t="n">
        <v>0</v>
      </c>
      <c r="C807" s="6" t="n">
        <v>-0.06162940437414574</v>
      </c>
      <c r="D807" s="6" t="n">
        <v>0.3573469567176091</v>
      </c>
      <c r="E807" s="6" t="n">
        <v>-1.003668658855008</v>
      </c>
      <c r="F807" s="6" t="n">
        <v>-1.786844513613144</v>
      </c>
      <c r="G807" s="5" t="n">
        <v>1</v>
      </c>
      <c r="H807" s="5" t="n">
        <v>0</v>
      </c>
      <c r="I807" s="5" t="n">
        <v>0</v>
      </c>
      <c r="J807" s="5" t="n">
        <v>1</v>
      </c>
      <c r="K807" s="5" t="n">
        <v>0</v>
      </c>
      <c r="L807" s="5" t="n">
        <v>0</v>
      </c>
      <c r="M807" s="5" t="n">
        <v>0</v>
      </c>
      <c r="N807" s="5" t="n">
        <v>0</v>
      </c>
      <c r="O807" s="5" t="n">
        <v>0</v>
      </c>
      <c r="P807" s="5" t="n">
        <v>0</v>
      </c>
      <c r="Q807" s="5" t="n">
        <v>0</v>
      </c>
      <c r="R807" s="5" t="n">
        <v>0</v>
      </c>
      <c r="S807" s="5" t="n">
        <v>0</v>
      </c>
      <c r="T807" s="5" t="n">
        <v>1</v>
      </c>
      <c r="U807" s="5" t="inlineStr">
        <is>
          <t>training</t>
        </is>
      </c>
    </row>
    <row r="808">
      <c r="A808" s="5" t="n">
        <v>804</v>
      </c>
      <c r="B808" s="5" t="n">
        <v>0</v>
      </c>
      <c r="C808" s="6" t="n">
        <v>-0.7357010147163632</v>
      </c>
      <c r="D808" s="6" t="n">
        <v>-0.7958995201807934</v>
      </c>
      <c r="E808" s="6" t="n">
        <v>-0.04696543117692405</v>
      </c>
      <c r="F808" s="6" t="n">
        <v>0.9185437189662378</v>
      </c>
      <c r="G808" s="5" t="n">
        <v>0</v>
      </c>
      <c r="H808" s="5" t="n">
        <v>0</v>
      </c>
      <c r="I808" s="5" t="n">
        <v>0</v>
      </c>
      <c r="J808" s="5" t="n">
        <v>1</v>
      </c>
      <c r="K808" s="5" t="n">
        <v>0</v>
      </c>
      <c r="L808" s="5" t="n">
        <v>0</v>
      </c>
      <c r="M808" s="5" t="n">
        <v>0</v>
      </c>
      <c r="N808" s="5" t="n">
        <v>0</v>
      </c>
      <c r="O808" s="5" t="n">
        <v>1</v>
      </c>
      <c r="P808" s="5" t="n">
        <v>0</v>
      </c>
      <c r="Q808" s="5" t="n">
        <v>0</v>
      </c>
      <c r="R808" s="5" t="n">
        <v>0</v>
      </c>
      <c r="S808" s="5" t="n">
        <v>1</v>
      </c>
      <c r="T808" s="5" t="n">
        <v>0</v>
      </c>
      <c r="U808" s="5" t="inlineStr">
        <is>
          <t>training</t>
        </is>
      </c>
    </row>
    <row r="809">
      <c r="A809" s="5" t="n">
        <v>805</v>
      </c>
      <c r="B809" s="5" t="n">
        <v>0</v>
      </c>
      <c r="C809" s="6" t="n">
        <v>-0.7357010147163632</v>
      </c>
      <c r="D809" s="6" t="n">
        <v>1.477003730405379</v>
      </c>
      <c r="E809" s="6" t="n">
        <v>-1.003668658855008</v>
      </c>
      <c r="F809" s="6" t="n">
        <v>-1.786844513613144</v>
      </c>
      <c r="G809" s="5" t="n">
        <v>0</v>
      </c>
      <c r="H809" s="5" t="n">
        <v>1</v>
      </c>
      <c r="I809" s="5" t="n">
        <v>0</v>
      </c>
      <c r="J809" s="5" t="n">
        <v>0</v>
      </c>
      <c r="K809" s="5" t="n">
        <v>0</v>
      </c>
      <c r="L809" s="5" t="n">
        <v>0</v>
      </c>
      <c r="M809" s="5" t="n">
        <v>0</v>
      </c>
      <c r="N809" s="5" t="n">
        <v>0</v>
      </c>
      <c r="O809" s="5" t="n">
        <v>1</v>
      </c>
      <c r="P809" s="5" t="n">
        <v>1</v>
      </c>
      <c r="Q809" s="5" t="n">
        <v>0</v>
      </c>
      <c r="R809" s="5" t="n">
        <v>1</v>
      </c>
      <c r="S809" s="5" t="n">
        <v>0</v>
      </c>
      <c r="T809" s="5" t="n">
        <v>0</v>
      </c>
      <c r="U809" s="5" t="inlineStr">
        <is>
          <t>training</t>
        </is>
      </c>
    </row>
    <row r="810">
      <c r="A810" s="5" t="n">
        <v>806</v>
      </c>
      <c r="B810" s="5" t="n">
        <v>1</v>
      </c>
      <c r="C810" s="6" t="n">
        <v>1.286513816310289</v>
      </c>
      <c r="D810" s="6" t="n">
        <v>2.106460772862972</v>
      </c>
      <c r="E810" s="6" t="n">
        <v>-1.003668658855008</v>
      </c>
      <c r="F810" s="6" t="n">
        <v>-0.8850484360866833</v>
      </c>
      <c r="G810" s="5" t="n">
        <v>1</v>
      </c>
      <c r="H810" s="5" t="n">
        <v>0</v>
      </c>
      <c r="I810" s="5" t="n">
        <v>0</v>
      </c>
      <c r="J810" s="5" t="n">
        <v>0</v>
      </c>
      <c r="K810" s="5" t="n">
        <v>0</v>
      </c>
      <c r="L810" s="5" t="n">
        <v>0</v>
      </c>
      <c r="M810" s="5" t="n">
        <v>0</v>
      </c>
      <c r="N810" s="5" t="n">
        <v>0</v>
      </c>
      <c r="O810" s="5" t="n">
        <v>0</v>
      </c>
      <c r="P810" s="5" t="n">
        <v>0</v>
      </c>
      <c r="Q810" s="5" t="n">
        <v>0</v>
      </c>
      <c r="R810" s="5" t="n">
        <v>1</v>
      </c>
      <c r="S810" s="5" t="n">
        <v>0</v>
      </c>
      <c r="T810" s="5" t="n">
        <v>0</v>
      </c>
      <c r="U810" s="5" t="inlineStr">
        <is>
          <t>training</t>
        </is>
      </c>
    </row>
    <row r="811">
      <c r="A811" s="5" t="n">
        <v>807</v>
      </c>
      <c r="B811" s="5" t="n">
        <v>0</v>
      </c>
      <c r="C811" s="6" t="n">
        <v>-1.241254722473026</v>
      </c>
      <c r="D811" s="6" t="n">
        <v>-0.9309581185068806</v>
      </c>
      <c r="E811" s="6" t="n">
        <v>-0.8297226174589928</v>
      </c>
      <c r="F811" s="6" t="n">
        <v>0.01674764143977723</v>
      </c>
      <c r="G811" s="5" t="n">
        <v>0</v>
      </c>
      <c r="H811" s="5" t="n">
        <v>1</v>
      </c>
      <c r="I811" s="5" t="n">
        <v>0</v>
      </c>
      <c r="J811" s="5" t="n">
        <v>0</v>
      </c>
      <c r="K811" s="5" t="n">
        <v>0</v>
      </c>
      <c r="L811" s="5" t="n">
        <v>0</v>
      </c>
      <c r="M811" s="5" t="n">
        <v>0</v>
      </c>
      <c r="N811" s="5" t="n">
        <v>0</v>
      </c>
      <c r="O811" s="5" t="n">
        <v>0</v>
      </c>
      <c r="P811" s="5" t="n">
        <v>0</v>
      </c>
      <c r="Q811" s="5" t="n">
        <v>0</v>
      </c>
      <c r="R811" s="5" t="n">
        <v>0</v>
      </c>
      <c r="S811" s="5" t="n">
        <v>1</v>
      </c>
      <c r="T811" s="5" t="n">
        <v>0</v>
      </c>
      <c r="U811" s="5" t="inlineStr">
        <is>
          <t>training</t>
        </is>
      </c>
    </row>
    <row r="812">
      <c r="A812" s="5" t="n">
        <v>808</v>
      </c>
      <c r="B812" s="5" t="n">
        <v>0</v>
      </c>
      <c r="C812" s="6" t="n">
        <v>-0.7357010147163632</v>
      </c>
      <c r="D812" s="6" t="n">
        <v>-0.8119945863025551</v>
      </c>
      <c r="E812" s="6" t="n">
        <v>2.562225189763305</v>
      </c>
      <c r="F812" s="6" t="n">
        <v>0.9185437189662378</v>
      </c>
      <c r="G812" s="5" t="n">
        <v>0</v>
      </c>
      <c r="H812" s="5" t="n">
        <v>0</v>
      </c>
      <c r="I812" s="5" t="n">
        <v>0</v>
      </c>
      <c r="J812" s="5" t="n">
        <v>1</v>
      </c>
      <c r="K812" s="5" t="n">
        <v>0</v>
      </c>
      <c r="L812" s="5" t="n">
        <v>0</v>
      </c>
      <c r="M812" s="5" t="n">
        <v>0</v>
      </c>
      <c r="N812" s="5" t="n">
        <v>0</v>
      </c>
      <c r="O812" s="5" t="n">
        <v>1</v>
      </c>
      <c r="P812" s="5" t="n">
        <v>0</v>
      </c>
      <c r="Q812" s="5" t="n">
        <v>0</v>
      </c>
      <c r="R812" s="5" t="n">
        <v>0</v>
      </c>
      <c r="S812" s="5" t="n">
        <v>1</v>
      </c>
      <c r="T812" s="5" t="n">
        <v>0</v>
      </c>
      <c r="U812" s="5" t="inlineStr">
        <is>
          <t>testing</t>
        </is>
      </c>
    </row>
    <row r="813">
      <c r="A813" s="5" t="n">
        <v>809</v>
      </c>
      <c r="B813" s="5" t="n">
        <v>0</v>
      </c>
      <c r="C813" s="6" t="n">
        <v>1.792067524066952</v>
      </c>
      <c r="D813" s="6" t="n">
        <v>2.110659485764301</v>
      </c>
      <c r="E813" s="6" t="n">
        <v>1.692494982783229</v>
      </c>
      <c r="F813" s="6" t="n">
        <v>-1.786844513613144</v>
      </c>
      <c r="G813" s="5" t="n">
        <v>0</v>
      </c>
      <c r="H813" s="5" t="n">
        <v>1</v>
      </c>
      <c r="I813" s="5" t="n">
        <v>0</v>
      </c>
      <c r="J813" s="5" t="n">
        <v>0</v>
      </c>
      <c r="K813" s="5" t="n">
        <v>0</v>
      </c>
      <c r="L813" s="5" t="n">
        <v>1</v>
      </c>
      <c r="M813" s="5" t="n">
        <v>0</v>
      </c>
      <c r="N813" s="5" t="n">
        <v>0</v>
      </c>
      <c r="O813" s="5" t="n">
        <v>0</v>
      </c>
      <c r="P813" s="5" t="n">
        <v>0</v>
      </c>
      <c r="Q813" s="5" t="n">
        <v>1</v>
      </c>
      <c r="R813" s="5" t="n">
        <v>1</v>
      </c>
      <c r="S813" s="5" t="n">
        <v>0</v>
      </c>
      <c r="T813" s="5" t="n">
        <v>0</v>
      </c>
      <c r="U813" s="5" t="inlineStr">
        <is>
          <t>testing</t>
        </is>
      </c>
    </row>
    <row r="814">
      <c r="A814" s="5" t="n">
        <v>810</v>
      </c>
      <c r="B814" s="5" t="n">
        <v>1</v>
      </c>
      <c r="C814" s="6" t="n">
        <v>-0.4829241608380317</v>
      </c>
      <c r="D814" s="6" t="n">
        <v>-0.5152855412752961</v>
      </c>
      <c r="E814" s="6" t="n">
        <v>-0.8297226174589928</v>
      </c>
      <c r="F814" s="6" t="n">
        <v>-0.8850484360866833</v>
      </c>
      <c r="G814" s="5" t="n">
        <v>0</v>
      </c>
      <c r="H814" s="5" t="n">
        <v>1</v>
      </c>
      <c r="I814" s="5" t="n">
        <v>0</v>
      </c>
      <c r="J814" s="5" t="n">
        <v>0</v>
      </c>
      <c r="K814" s="5" t="n">
        <v>0</v>
      </c>
      <c r="L814" s="5" t="n">
        <v>1</v>
      </c>
      <c r="M814" s="5" t="n">
        <v>0</v>
      </c>
      <c r="N814" s="5" t="n">
        <v>0</v>
      </c>
      <c r="O814" s="5" t="n">
        <v>0</v>
      </c>
      <c r="P814" s="5" t="n">
        <v>1</v>
      </c>
      <c r="Q814" s="5" t="n">
        <v>0</v>
      </c>
      <c r="R814" s="5" t="n">
        <v>1</v>
      </c>
      <c r="S814" s="5" t="n">
        <v>0</v>
      </c>
      <c r="T814" s="5" t="n">
        <v>0</v>
      </c>
      <c r="U814" s="5" t="inlineStr">
        <is>
          <t>training</t>
        </is>
      </c>
    </row>
    <row r="815">
      <c r="A815" s="5" t="n">
        <v>811</v>
      </c>
      <c r="B815" s="5" t="n">
        <v>0</v>
      </c>
      <c r="C815" s="6" t="n">
        <v>-1.072736819887472</v>
      </c>
      <c r="D815" s="6" t="n">
        <v>-0.8200421193634359</v>
      </c>
      <c r="E815" s="6" t="n">
        <v>-0.8297226174589928</v>
      </c>
      <c r="F815" s="6" t="n">
        <v>0.01674764143977723</v>
      </c>
      <c r="G815" s="5" t="n">
        <v>0</v>
      </c>
      <c r="H815" s="5" t="n">
        <v>1</v>
      </c>
      <c r="I815" s="5" t="n">
        <v>0</v>
      </c>
      <c r="J815" s="5" t="n">
        <v>0</v>
      </c>
      <c r="K815" s="5" t="n">
        <v>0</v>
      </c>
      <c r="L815" s="5" t="n">
        <v>0</v>
      </c>
      <c r="M815" s="5" t="n">
        <v>0</v>
      </c>
      <c r="N815" s="5" t="n">
        <v>0</v>
      </c>
      <c r="O815" s="5" t="n">
        <v>0</v>
      </c>
      <c r="P815" s="5" t="n">
        <v>0</v>
      </c>
      <c r="Q815" s="5" t="n">
        <v>0</v>
      </c>
      <c r="R815" s="5" t="n">
        <v>0</v>
      </c>
      <c r="S815" s="5" t="n">
        <v>0</v>
      </c>
      <c r="T815" s="5" t="n">
        <v>0</v>
      </c>
      <c r="U815" s="5" t="inlineStr">
        <is>
          <t>testing</t>
        </is>
      </c>
    </row>
    <row r="816">
      <c r="A816" s="5" t="n">
        <v>812</v>
      </c>
      <c r="B816" s="5" t="n">
        <v>0</v>
      </c>
      <c r="C816" s="6" t="n">
        <v>-1.241254722473026</v>
      </c>
      <c r="D816" s="6" t="n">
        <v>-0.9680467491352879</v>
      </c>
      <c r="E816" s="6" t="n">
        <v>-0.6557765760629775</v>
      </c>
      <c r="F816" s="6" t="n">
        <v>0.01674764143977723</v>
      </c>
      <c r="G816" s="5" t="n">
        <v>0</v>
      </c>
      <c r="H816" s="5" t="n">
        <v>1</v>
      </c>
      <c r="I816" s="5" t="n">
        <v>0</v>
      </c>
      <c r="J816" s="5" t="n">
        <v>0</v>
      </c>
      <c r="K816" s="5" t="n">
        <v>0</v>
      </c>
      <c r="L816" s="5" t="n">
        <v>0</v>
      </c>
      <c r="M816" s="5" t="n">
        <v>0</v>
      </c>
      <c r="N816" s="5" t="n">
        <v>0</v>
      </c>
      <c r="O816" s="5" t="n">
        <v>0</v>
      </c>
      <c r="P816" s="5" t="n">
        <v>0</v>
      </c>
      <c r="Q816" s="5" t="n">
        <v>0</v>
      </c>
      <c r="R816" s="5" t="n">
        <v>0</v>
      </c>
      <c r="S816" s="5" t="n">
        <v>1</v>
      </c>
      <c r="T816" s="5" t="n">
        <v>0</v>
      </c>
      <c r="U816" s="5" t="inlineStr">
        <is>
          <t>training</t>
        </is>
      </c>
    </row>
    <row r="817">
      <c r="A817" s="5" t="n">
        <v>813</v>
      </c>
      <c r="B817" s="5" t="n">
        <v>1</v>
      </c>
      <c r="C817" s="6" t="n">
        <v>1.286513816310289</v>
      </c>
      <c r="D817" s="6" t="n">
        <v>2.231722374419291</v>
      </c>
      <c r="E817" s="6" t="n">
        <v>-1.003668658855008</v>
      </c>
      <c r="F817" s="6" t="n">
        <v>0.9185437189662378</v>
      </c>
      <c r="G817" s="5" t="n">
        <v>1</v>
      </c>
      <c r="H817" s="5" t="n">
        <v>0</v>
      </c>
      <c r="I817" s="5" t="n">
        <v>0</v>
      </c>
      <c r="J817" s="5" t="n">
        <v>1</v>
      </c>
      <c r="K817" s="5" t="n">
        <v>0</v>
      </c>
      <c r="L817" s="5" t="n">
        <v>0</v>
      </c>
      <c r="M817" s="5" t="n">
        <v>0</v>
      </c>
      <c r="N817" s="5" t="n">
        <v>0</v>
      </c>
      <c r="O817" s="5" t="n">
        <v>0</v>
      </c>
      <c r="P817" s="5" t="n">
        <v>0</v>
      </c>
      <c r="Q817" s="5" t="n">
        <v>0</v>
      </c>
      <c r="R817" s="5" t="n">
        <v>1</v>
      </c>
      <c r="S817" s="5" t="n">
        <v>0</v>
      </c>
      <c r="T817" s="5" t="n">
        <v>0</v>
      </c>
      <c r="U817" s="5" t="inlineStr">
        <is>
          <t>training</t>
        </is>
      </c>
    </row>
    <row r="818">
      <c r="A818" s="5" t="n">
        <v>814</v>
      </c>
      <c r="B818" s="5" t="n">
        <v>1</v>
      </c>
      <c r="C818" s="6" t="n">
        <v>2.297621231823615</v>
      </c>
      <c r="D818" s="6" t="n">
        <v>-0.06987208099263038</v>
      </c>
      <c r="E818" s="6" t="n">
        <v>1.605521962085221</v>
      </c>
      <c r="F818" s="6" t="n">
        <v>0.01674764143977723</v>
      </c>
      <c r="G818" s="5" t="n">
        <v>1</v>
      </c>
      <c r="H818" s="5" t="n">
        <v>0</v>
      </c>
      <c r="I818" s="5" t="n">
        <v>0</v>
      </c>
      <c r="J818" s="5" t="n">
        <v>0</v>
      </c>
      <c r="K818" s="5" t="n">
        <v>0</v>
      </c>
      <c r="L818" s="5" t="n">
        <v>0</v>
      </c>
      <c r="M818" s="5" t="n">
        <v>0</v>
      </c>
      <c r="N818" s="5" t="n">
        <v>0</v>
      </c>
      <c r="O818" s="5" t="n">
        <v>0</v>
      </c>
      <c r="P818" s="5" t="n">
        <v>0</v>
      </c>
      <c r="Q818" s="5" t="n">
        <v>0</v>
      </c>
      <c r="R818" s="5" t="n">
        <v>0</v>
      </c>
      <c r="S818" s="5" t="n">
        <v>0</v>
      </c>
      <c r="T818" s="5" t="n">
        <v>0</v>
      </c>
      <c r="U818" s="5" t="inlineStr">
        <is>
          <t>training</t>
        </is>
      </c>
    </row>
    <row r="819">
      <c r="A819" s="5" t="n">
        <v>815</v>
      </c>
      <c r="B819" s="5" t="n">
        <v>1</v>
      </c>
      <c r="C819" s="6" t="n">
        <v>2.297621231823615</v>
      </c>
      <c r="D819" s="6" t="n">
        <v>0.2380335317715062</v>
      </c>
      <c r="E819" s="6" t="n">
        <v>0.9097377965011599</v>
      </c>
      <c r="F819" s="6" t="n">
        <v>0.9185437189662378</v>
      </c>
      <c r="G819" s="5" t="n">
        <v>1</v>
      </c>
      <c r="H819" s="5" t="n">
        <v>0</v>
      </c>
      <c r="I819" s="5" t="n">
        <v>0</v>
      </c>
      <c r="J819" s="5" t="n">
        <v>0</v>
      </c>
      <c r="K819" s="5" t="n">
        <v>0</v>
      </c>
      <c r="L819" s="5" t="n">
        <v>0</v>
      </c>
      <c r="M819" s="5" t="n">
        <v>0</v>
      </c>
      <c r="N819" s="5" t="n">
        <v>0</v>
      </c>
      <c r="O819" s="5" t="n">
        <v>0</v>
      </c>
      <c r="P819" s="5" t="n">
        <v>0</v>
      </c>
      <c r="Q819" s="5" t="n">
        <v>1</v>
      </c>
      <c r="R819" s="5" t="n">
        <v>1</v>
      </c>
      <c r="S819" s="5" t="n">
        <v>0</v>
      </c>
      <c r="T819" s="5" t="n">
        <v>0</v>
      </c>
      <c r="U819" s="5" t="inlineStr">
        <is>
          <t>testing</t>
        </is>
      </c>
    </row>
    <row r="820">
      <c r="A820" s="5" t="n">
        <v>816</v>
      </c>
      <c r="B820" s="5" t="n">
        <v>0</v>
      </c>
      <c r="C820" s="6" t="n">
        <v>1.286513816310289</v>
      </c>
      <c r="D820" s="6" t="n">
        <v>1.463008020734282</v>
      </c>
      <c r="E820" s="6" t="n">
        <v>1.605521962085221</v>
      </c>
      <c r="F820" s="6" t="n">
        <v>-0.8850484360866833</v>
      </c>
      <c r="G820" s="5" t="n">
        <v>0</v>
      </c>
      <c r="H820" s="5" t="n">
        <v>1</v>
      </c>
      <c r="I820" s="5" t="n">
        <v>0</v>
      </c>
      <c r="J820" s="5" t="n">
        <v>0</v>
      </c>
      <c r="K820" s="5" t="n">
        <v>1</v>
      </c>
      <c r="L820" s="5" t="n">
        <v>0</v>
      </c>
      <c r="M820" s="5" t="n">
        <v>0</v>
      </c>
      <c r="N820" s="5" t="n">
        <v>0</v>
      </c>
      <c r="O820" s="5" t="n">
        <v>0</v>
      </c>
      <c r="P820" s="5" t="n">
        <v>1</v>
      </c>
      <c r="Q820" s="5" t="n">
        <v>0</v>
      </c>
      <c r="R820" s="5" t="n">
        <v>1</v>
      </c>
      <c r="S820" s="5" t="n">
        <v>0</v>
      </c>
      <c r="T820" s="5" t="n">
        <v>0</v>
      </c>
      <c r="U820" s="5" t="inlineStr">
        <is>
          <t>training</t>
        </is>
      </c>
    </row>
    <row r="821">
      <c r="A821" s="5" t="n">
        <v>817</v>
      </c>
      <c r="B821" s="5" t="n">
        <v>0</v>
      </c>
      <c r="C821" s="6" t="n">
        <v>-1.241254722473026</v>
      </c>
      <c r="D821" s="6" t="n">
        <v>-0.6692383476573645</v>
      </c>
      <c r="E821" s="6" t="n">
        <v>2.301306127669282</v>
      </c>
      <c r="F821" s="6" t="n">
        <v>-1.786844513613144</v>
      </c>
      <c r="G821" s="5" t="n">
        <v>0</v>
      </c>
      <c r="H821" s="5" t="n">
        <v>0</v>
      </c>
      <c r="I821" s="5" t="n">
        <v>0</v>
      </c>
      <c r="J821" s="5" t="n">
        <v>0</v>
      </c>
      <c r="K821" s="5" t="n">
        <v>0</v>
      </c>
      <c r="L821" s="5" t="n">
        <v>0</v>
      </c>
      <c r="M821" s="5" t="n">
        <v>1</v>
      </c>
      <c r="N821" s="5" t="n">
        <v>0</v>
      </c>
      <c r="O821" s="5" t="n">
        <v>0</v>
      </c>
      <c r="P821" s="5" t="n">
        <v>0</v>
      </c>
      <c r="Q821" s="5" t="n">
        <v>0</v>
      </c>
      <c r="R821" s="5" t="n">
        <v>0</v>
      </c>
      <c r="S821" s="5" t="n">
        <v>0</v>
      </c>
      <c r="T821" s="5" t="n">
        <v>0</v>
      </c>
      <c r="U821" s="5" t="inlineStr">
        <is>
          <t>training</t>
        </is>
      </c>
    </row>
    <row r="822">
      <c r="A822" s="5" t="n">
        <v>818</v>
      </c>
      <c r="B822" s="5" t="n">
        <v>0</v>
      </c>
      <c r="C822" s="6" t="n">
        <v>-1.241254722473026</v>
      </c>
      <c r="D822" s="6" t="n">
        <v>-0.59366151543344</v>
      </c>
      <c r="E822" s="6" t="n">
        <v>-1.003668658855008</v>
      </c>
      <c r="F822" s="6" t="n">
        <v>-1.786844513613144</v>
      </c>
      <c r="G822" s="5" t="n">
        <v>0</v>
      </c>
      <c r="H822" s="5" t="n">
        <v>0</v>
      </c>
      <c r="I822" s="5" t="n">
        <v>0</v>
      </c>
      <c r="J822" s="5" t="n">
        <v>1</v>
      </c>
      <c r="K822" s="5" t="n">
        <v>0</v>
      </c>
      <c r="L822" s="5" t="n">
        <v>0</v>
      </c>
      <c r="M822" s="5" t="n">
        <v>0</v>
      </c>
      <c r="N822" s="5" t="n">
        <v>0</v>
      </c>
      <c r="O822" s="5" t="n">
        <v>0</v>
      </c>
      <c r="P822" s="5" t="n">
        <v>1</v>
      </c>
      <c r="Q822" s="5" t="n">
        <v>0</v>
      </c>
      <c r="R822" s="5" t="n">
        <v>0</v>
      </c>
      <c r="S822" s="5" t="n">
        <v>1</v>
      </c>
      <c r="T822" s="5" t="n">
        <v>0</v>
      </c>
      <c r="U822" s="5" t="inlineStr">
        <is>
          <t>training</t>
        </is>
      </c>
    </row>
    <row r="823">
      <c r="A823" s="5" t="n">
        <v>819</v>
      </c>
      <c r="B823" s="5" t="n">
        <v>0</v>
      </c>
      <c r="C823" s="6" t="n">
        <v>1.286513816310289</v>
      </c>
      <c r="D823" s="6" t="n">
        <v>4.410854370209112</v>
      </c>
      <c r="E823" s="6" t="n">
        <v>0.648818734407137</v>
      </c>
      <c r="F823" s="6" t="n">
        <v>-0.8850484360866833</v>
      </c>
      <c r="G823" s="5" t="n">
        <v>1</v>
      </c>
      <c r="H823" s="5" t="n">
        <v>0</v>
      </c>
      <c r="I823" s="5" t="n">
        <v>0</v>
      </c>
      <c r="J823" s="5" t="n">
        <v>0</v>
      </c>
      <c r="K823" s="5" t="n">
        <v>0</v>
      </c>
      <c r="L823" s="5" t="n">
        <v>0</v>
      </c>
      <c r="M823" s="5" t="n">
        <v>0</v>
      </c>
      <c r="N823" s="5" t="n">
        <v>0</v>
      </c>
      <c r="O823" s="5" t="n">
        <v>0</v>
      </c>
      <c r="P823" s="5" t="n">
        <v>0</v>
      </c>
      <c r="Q823" s="5" t="n">
        <v>0</v>
      </c>
      <c r="R823" s="5" t="n">
        <v>0</v>
      </c>
      <c r="S823" s="5" t="n">
        <v>0</v>
      </c>
      <c r="T823" s="5" t="n">
        <v>0</v>
      </c>
      <c r="U823" s="5" t="inlineStr">
        <is>
          <t>training</t>
        </is>
      </c>
    </row>
    <row r="824">
      <c r="A824" s="5" t="n">
        <v>820</v>
      </c>
      <c r="B824" s="5" t="n">
        <v>1</v>
      </c>
      <c r="C824" s="6" t="n">
        <v>-0.2301473069597001</v>
      </c>
      <c r="D824" s="6" t="n">
        <v>-0.6667890984649225</v>
      </c>
      <c r="E824" s="6" t="n">
        <v>-0.8297226174589928</v>
      </c>
      <c r="F824" s="6" t="n">
        <v>0.9185437189662378</v>
      </c>
      <c r="G824" s="5" t="n">
        <v>1</v>
      </c>
      <c r="H824" s="5" t="n">
        <v>0</v>
      </c>
      <c r="I824" s="5" t="n">
        <v>0</v>
      </c>
      <c r="J824" s="5" t="n">
        <v>0</v>
      </c>
      <c r="K824" s="5" t="n">
        <v>0</v>
      </c>
      <c r="L824" s="5" t="n">
        <v>0</v>
      </c>
      <c r="M824" s="5" t="n">
        <v>0</v>
      </c>
      <c r="N824" s="5" t="n">
        <v>0</v>
      </c>
      <c r="O824" s="5" t="n">
        <v>0</v>
      </c>
      <c r="P824" s="5" t="n">
        <v>0</v>
      </c>
      <c r="Q824" s="5" t="n">
        <v>0</v>
      </c>
      <c r="R824" s="5" t="n">
        <v>0</v>
      </c>
      <c r="S824" s="5" t="n">
        <v>1</v>
      </c>
      <c r="T824" s="5" t="n">
        <v>0</v>
      </c>
      <c r="U824" s="5" t="inlineStr">
        <is>
          <t>testing</t>
        </is>
      </c>
    </row>
    <row r="825">
      <c r="A825" s="5" t="n">
        <v>821</v>
      </c>
      <c r="B825" s="5" t="n">
        <v>0</v>
      </c>
      <c r="C825" s="6" t="n">
        <v>-0.7357010147163632</v>
      </c>
      <c r="D825" s="6" t="n">
        <v>-0.7521629274586149</v>
      </c>
      <c r="E825" s="6" t="n">
        <v>-0.7427495967609852</v>
      </c>
      <c r="F825" s="6" t="n">
        <v>0.01674764143977723</v>
      </c>
      <c r="G825" s="5" t="n">
        <v>0</v>
      </c>
      <c r="H825" s="5" t="n">
        <v>0</v>
      </c>
      <c r="I825" s="5" t="n">
        <v>0</v>
      </c>
      <c r="J825" s="5" t="n">
        <v>0</v>
      </c>
      <c r="K825" s="5" t="n">
        <v>0</v>
      </c>
      <c r="L825" s="5" t="n">
        <v>0</v>
      </c>
      <c r="M825" s="5" t="n">
        <v>0</v>
      </c>
      <c r="N825" s="5" t="n">
        <v>0</v>
      </c>
      <c r="O825" s="5" t="n">
        <v>0</v>
      </c>
      <c r="P825" s="5" t="n">
        <v>0</v>
      </c>
      <c r="Q825" s="5" t="n">
        <v>0</v>
      </c>
      <c r="R825" s="5" t="n">
        <v>1</v>
      </c>
      <c r="S825" s="5" t="n">
        <v>0</v>
      </c>
      <c r="T825" s="5" t="n">
        <v>0</v>
      </c>
      <c r="U825" s="5" t="inlineStr">
        <is>
          <t>training</t>
        </is>
      </c>
    </row>
    <row r="826">
      <c r="A826" s="5" t="n">
        <v>822</v>
      </c>
      <c r="B826" s="5" t="n">
        <v>0</v>
      </c>
      <c r="C826" s="6" t="n">
        <v>-0.7357010147163632</v>
      </c>
      <c r="D826" s="6" t="n">
        <v>-0.08211832695484036</v>
      </c>
      <c r="E826" s="6" t="n">
        <v>-1.003668658855008</v>
      </c>
      <c r="F826" s="6" t="n">
        <v>0.01674764143977723</v>
      </c>
      <c r="G826" s="5" t="n">
        <v>0</v>
      </c>
      <c r="H826" s="5" t="n">
        <v>0</v>
      </c>
      <c r="I826" s="5" t="n">
        <v>1</v>
      </c>
      <c r="J826" s="5" t="n">
        <v>0</v>
      </c>
      <c r="K826" s="5" t="n">
        <v>0</v>
      </c>
      <c r="L826" s="5" t="n">
        <v>0</v>
      </c>
      <c r="M826" s="5" t="n">
        <v>0</v>
      </c>
      <c r="N826" s="5" t="n">
        <v>0</v>
      </c>
      <c r="O826" s="5" t="n">
        <v>0</v>
      </c>
      <c r="P826" s="5" t="n">
        <v>0</v>
      </c>
      <c r="Q826" s="5" t="n">
        <v>0</v>
      </c>
      <c r="R826" s="5" t="n">
        <v>0</v>
      </c>
      <c r="S826" s="5" t="n">
        <v>1</v>
      </c>
      <c r="T826" s="5" t="n">
        <v>0</v>
      </c>
      <c r="U826" s="5" t="inlineStr">
        <is>
          <t>training</t>
        </is>
      </c>
    </row>
    <row r="827">
      <c r="A827" s="5" t="n">
        <v>823</v>
      </c>
      <c r="B827" s="5" t="n">
        <v>1</v>
      </c>
      <c r="C827" s="6" t="n">
        <v>1.286513816310289</v>
      </c>
      <c r="D827" s="6" t="n">
        <v>-0.1884857204551784</v>
      </c>
      <c r="E827" s="6" t="n">
        <v>0.4748726930111218</v>
      </c>
      <c r="F827" s="6" t="n">
        <v>-0.8850484360866833</v>
      </c>
      <c r="G827" s="5" t="n">
        <v>1</v>
      </c>
      <c r="H827" s="5" t="n">
        <v>0</v>
      </c>
      <c r="I827" s="5" t="n">
        <v>0</v>
      </c>
      <c r="J827" s="5" t="n">
        <v>0</v>
      </c>
      <c r="K827" s="5" t="n">
        <v>0</v>
      </c>
      <c r="L827" s="5" t="n">
        <v>0</v>
      </c>
      <c r="M827" s="5" t="n">
        <v>0</v>
      </c>
      <c r="N827" s="5" t="n">
        <v>0</v>
      </c>
      <c r="O827" s="5" t="n">
        <v>0</v>
      </c>
      <c r="P827" s="5" t="n">
        <v>0</v>
      </c>
      <c r="Q827" s="5" t="n">
        <v>0</v>
      </c>
      <c r="R827" s="5" t="n">
        <v>0</v>
      </c>
      <c r="S827" s="5" t="n">
        <v>0</v>
      </c>
      <c r="T827" s="5" t="n">
        <v>1</v>
      </c>
      <c r="U827" s="5" t="inlineStr">
        <is>
          <t>testing</t>
        </is>
      </c>
    </row>
    <row r="828">
      <c r="A828" s="5" t="n">
        <v>824</v>
      </c>
      <c r="B828" s="5" t="n">
        <v>0</v>
      </c>
      <c r="C828" s="6" t="n">
        <v>-1.072736819887472</v>
      </c>
      <c r="D828" s="6" t="n">
        <v>-0.8816232419162632</v>
      </c>
      <c r="E828" s="6" t="n">
        <v>0.9967108171991675</v>
      </c>
      <c r="F828" s="6" t="n">
        <v>0.9185437189662378</v>
      </c>
      <c r="G828" s="5" t="n">
        <v>1</v>
      </c>
      <c r="H828" s="5" t="n">
        <v>0</v>
      </c>
      <c r="I828" s="5" t="n">
        <v>0</v>
      </c>
      <c r="J828" s="5" t="n">
        <v>1</v>
      </c>
      <c r="K828" s="5" t="n">
        <v>0</v>
      </c>
      <c r="L828" s="5" t="n">
        <v>0</v>
      </c>
      <c r="M828" s="5" t="n">
        <v>0</v>
      </c>
      <c r="N828" s="5" t="n">
        <v>0</v>
      </c>
      <c r="O828" s="5" t="n">
        <v>0</v>
      </c>
      <c r="P828" s="5" t="n">
        <v>0</v>
      </c>
      <c r="Q828" s="5" t="n">
        <v>0</v>
      </c>
      <c r="R828" s="5" t="n">
        <v>1</v>
      </c>
      <c r="S828" s="5" t="n">
        <v>0</v>
      </c>
      <c r="T828" s="5" t="n">
        <v>0</v>
      </c>
      <c r="U828" s="5" t="inlineStr">
        <is>
          <t>training</t>
        </is>
      </c>
    </row>
    <row r="829">
      <c r="A829" s="5" t="n">
        <v>825</v>
      </c>
      <c r="B829" s="5" t="n">
        <v>0</v>
      </c>
      <c r="C829" s="6" t="n">
        <v>-0.2301473069597001</v>
      </c>
      <c r="D829" s="6" t="n">
        <v>0.1851997277631146</v>
      </c>
      <c r="E829" s="6" t="n">
        <v>-0.04696543117692405</v>
      </c>
      <c r="F829" s="6" t="n">
        <v>0.01674764143977723</v>
      </c>
      <c r="G829" s="5" t="n">
        <v>0</v>
      </c>
      <c r="H829" s="5" t="n">
        <v>0</v>
      </c>
      <c r="I829" s="5" t="n">
        <v>0</v>
      </c>
      <c r="J829" s="5" t="n">
        <v>1</v>
      </c>
      <c r="K829" s="5" t="n">
        <v>0</v>
      </c>
      <c r="L829" s="5" t="n">
        <v>0</v>
      </c>
      <c r="M829" s="5" t="n">
        <v>0</v>
      </c>
      <c r="N829" s="5" t="n">
        <v>0</v>
      </c>
      <c r="O829" s="5" t="n">
        <v>0</v>
      </c>
      <c r="P829" s="5" t="n">
        <v>0</v>
      </c>
      <c r="Q829" s="5" t="n">
        <v>0</v>
      </c>
      <c r="R829" s="5" t="n">
        <v>0</v>
      </c>
      <c r="S829" s="5" t="n">
        <v>0</v>
      </c>
      <c r="T829" s="5" t="n">
        <v>1</v>
      </c>
      <c r="U829" s="5" t="inlineStr">
        <is>
          <t>testing</t>
        </is>
      </c>
    </row>
    <row r="830">
      <c r="A830" s="5" t="n">
        <v>826</v>
      </c>
      <c r="B830" s="5" t="n">
        <v>0</v>
      </c>
      <c r="C830" s="6" t="n">
        <v>0.02262954691863145</v>
      </c>
      <c r="D830" s="6" t="n">
        <v>-0.5768666638281235</v>
      </c>
      <c r="E830" s="6" t="n">
        <v>-0.4818305346669622</v>
      </c>
      <c r="F830" s="6" t="n">
        <v>0.9185437189662378</v>
      </c>
      <c r="G830" s="5" t="n">
        <v>1</v>
      </c>
      <c r="H830" s="5" t="n">
        <v>0</v>
      </c>
      <c r="I830" s="5" t="n">
        <v>0</v>
      </c>
      <c r="J830" s="5" t="n">
        <v>1</v>
      </c>
      <c r="K830" s="5" t="n">
        <v>0</v>
      </c>
      <c r="L830" s="5" t="n">
        <v>0</v>
      </c>
      <c r="M830" s="5" t="n">
        <v>0</v>
      </c>
      <c r="N830" s="5" t="n">
        <v>0</v>
      </c>
      <c r="O830" s="5" t="n">
        <v>0</v>
      </c>
      <c r="P830" s="5" t="n">
        <v>0</v>
      </c>
      <c r="Q830" s="5" t="n">
        <v>0</v>
      </c>
      <c r="R830" s="5" t="n">
        <v>1</v>
      </c>
      <c r="S830" s="5" t="n">
        <v>0</v>
      </c>
      <c r="T830" s="5" t="n">
        <v>0</v>
      </c>
      <c r="U830" s="5" t="inlineStr">
        <is>
          <t>training</t>
        </is>
      </c>
    </row>
    <row r="831">
      <c r="A831" s="5" t="n">
        <v>827</v>
      </c>
      <c r="B831" s="5" t="n">
        <v>1</v>
      </c>
      <c r="C831" s="6" t="n">
        <v>-0.2301473069597001</v>
      </c>
      <c r="D831" s="6" t="n">
        <v>0.2502797777337162</v>
      </c>
      <c r="E831" s="6" t="n">
        <v>-0.2209114725729393</v>
      </c>
      <c r="F831" s="6" t="n">
        <v>-1.786844513613144</v>
      </c>
      <c r="G831" s="5" t="n">
        <v>1</v>
      </c>
      <c r="H831" s="5" t="n">
        <v>0</v>
      </c>
      <c r="I831" s="5" t="n">
        <v>0</v>
      </c>
      <c r="J831" s="5" t="n">
        <v>1</v>
      </c>
      <c r="K831" s="5" t="n">
        <v>0</v>
      </c>
      <c r="L831" s="5" t="n">
        <v>0</v>
      </c>
      <c r="M831" s="5" t="n">
        <v>0</v>
      </c>
      <c r="N831" s="5" t="n">
        <v>0</v>
      </c>
      <c r="O831" s="5" t="n">
        <v>0</v>
      </c>
      <c r="P831" s="5" t="n">
        <v>1</v>
      </c>
      <c r="Q831" s="5" t="n">
        <v>0</v>
      </c>
      <c r="R831" s="5" t="n">
        <v>1</v>
      </c>
      <c r="S831" s="5" t="n">
        <v>0</v>
      </c>
      <c r="T831" s="5" t="n">
        <v>0</v>
      </c>
      <c r="U831" s="5" t="inlineStr">
        <is>
          <t>testing</t>
        </is>
      </c>
    </row>
    <row r="832">
      <c r="A832" s="5" t="n">
        <v>828</v>
      </c>
      <c r="B832" s="5" t="n">
        <v>1</v>
      </c>
      <c r="C832" s="6" t="n">
        <v>-0.2301473069597001</v>
      </c>
      <c r="D832" s="6" t="n">
        <v>0.3199084333474244</v>
      </c>
      <c r="E832" s="6" t="n">
        <v>0.04000758952108359</v>
      </c>
      <c r="F832" s="6" t="n">
        <v>-0.8850484360866833</v>
      </c>
      <c r="G832" s="5" t="n">
        <v>0</v>
      </c>
      <c r="H832" s="5" t="n">
        <v>0</v>
      </c>
      <c r="I832" s="5" t="n">
        <v>0</v>
      </c>
      <c r="J832" s="5" t="n">
        <v>0</v>
      </c>
      <c r="K832" s="5" t="n">
        <v>0</v>
      </c>
      <c r="L832" s="5" t="n">
        <v>1</v>
      </c>
      <c r="M832" s="5" t="n">
        <v>0</v>
      </c>
      <c r="N832" s="5" t="n">
        <v>0</v>
      </c>
      <c r="O832" s="5" t="n">
        <v>0</v>
      </c>
      <c r="P832" s="5" t="n">
        <v>0</v>
      </c>
      <c r="Q832" s="5" t="n">
        <v>0</v>
      </c>
      <c r="R832" s="5" t="n">
        <v>0</v>
      </c>
      <c r="S832" s="5" t="n">
        <v>0</v>
      </c>
      <c r="T832" s="5" t="n">
        <v>0</v>
      </c>
      <c r="U832" s="5" t="inlineStr">
        <is>
          <t>training</t>
        </is>
      </c>
    </row>
    <row r="833">
      <c r="A833" s="5" t="n">
        <v>829</v>
      </c>
      <c r="B833" s="5" t="n">
        <v>1</v>
      </c>
      <c r="C833" s="6" t="n">
        <v>1.286513816310289</v>
      </c>
      <c r="D833" s="6" t="n">
        <v>1.778961166559299</v>
      </c>
      <c r="E833" s="6" t="n">
        <v>0.9967108171991675</v>
      </c>
      <c r="F833" s="6" t="n">
        <v>0.01674764143977723</v>
      </c>
      <c r="G833" s="5" t="n">
        <v>1</v>
      </c>
      <c r="H833" s="5" t="n">
        <v>0</v>
      </c>
      <c r="I833" s="5" t="n">
        <v>0</v>
      </c>
      <c r="J833" s="5" t="n">
        <v>0</v>
      </c>
      <c r="K833" s="5" t="n">
        <v>0</v>
      </c>
      <c r="L833" s="5" t="n">
        <v>0</v>
      </c>
      <c r="M833" s="5" t="n">
        <v>0</v>
      </c>
      <c r="N833" s="5" t="n">
        <v>0</v>
      </c>
      <c r="O833" s="5" t="n">
        <v>1</v>
      </c>
      <c r="P833" s="5" t="n">
        <v>0</v>
      </c>
      <c r="Q833" s="5" t="n">
        <v>1</v>
      </c>
      <c r="R833" s="5" t="n">
        <v>1</v>
      </c>
      <c r="S833" s="5" t="n">
        <v>0</v>
      </c>
      <c r="T833" s="5" t="n">
        <v>0</v>
      </c>
      <c r="U833" s="5" t="inlineStr">
        <is>
          <t>testing</t>
        </is>
      </c>
    </row>
    <row r="834">
      <c r="A834" s="5" t="n">
        <v>830</v>
      </c>
      <c r="B834" s="5" t="n">
        <v>0</v>
      </c>
      <c r="C834" s="6" t="n">
        <v>2.297621231823615</v>
      </c>
      <c r="D834" s="6" t="n">
        <v>1.200238571659433</v>
      </c>
      <c r="E834" s="6" t="n">
        <v>0.2139536309170988</v>
      </c>
      <c r="F834" s="6" t="n">
        <v>0.9185437189662378</v>
      </c>
      <c r="G834" s="5" t="n">
        <v>0</v>
      </c>
      <c r="H834" s="5" t="n">
        <v>1</v>
      </c>
      <c r="I834" s="5" t="n">
        <v>0</v>
      </c>
      <c r="J834" s="5" t="n">
        <v>0</v>
      </c>
      <c r="K834" s="5" t="n">
        <v>1</v>
      </c>
      <c r="L834" s="5" t="n">
        <v>0</v>
      </c>
      <c r="M834" s="5" t="n">
        <v>0</v>
      </c>
      <c r="N834" s="5" t="n">
        <v>0</v>
      </c>
      <c r="O834" s="5" t="n">
        <v>1</v>
      </c>
      <c r="P834" s="5" t="n">
        <v>0</v>
      </c>
      <c r="Q834" s="5" t="n">
        <v>1</v>
      </c>
      <c r="R834" s="5" t="n">
        <v>0</v>
      </c>
      <c r="S834" s="5" t="n">
        <v>0</v>
      </c>
      <c r="T834" s="5" t="n">
        <v>0</v>
      </c>
      <c r="U834" s="5" t="inlineStr">
        <is>
          <t>training</t>
        </is>
      </c>
    </row>
    <row r="835">
      <c r="A835" s="5" t="n">
        <v>831</v>
      </c>
      <c r="B835" s="5" t="n">
        <v>0</v>
      </c>
      <c r="C835" s="6" t="n">
        <v>0.275406400796963</v>
      </c>
      <c r="D835" s="6" t="n">
        <v>-0.3063995744341717</v>
      </c>
      <c r="E835" s="6" t="n">
        <v>0.7357917551051447</v>
      </c>
      <c r="F835" s="6" t="n">
        <v>0.9185437189662378</v>
      </c>
      <c r="G835" s="5" t="n">
        <v>0</v>
      </c>
      <c r="H835" s="5" t="n">
        <v>0</v>
      </c>
      <c r="I835" s="5" t="n">
        <v>0</v>
      </c>
      <c r="J835" s="5" t="n">
        <v>0</v>
      </c>
      <c r="K835" s="5" t="n">
        <v>1</v>
      </c>
      <c r="L835" s="5" t="n">
        <v>0</v>
      </c>
      <c r="M835" s="5" t="n">
        <v>1</v>
      </c>
      <c r="N835" s="5" t="n">
        <v>0</v>
      </c>
      <c r="O835" s="5" t="n">
        <v>0</v>
      </c>
      <c r="P835" s="5" t="n">
        <v>0</v>
      </c>
      <c r="Q835" s="5" t="n">
        <v>0</v>
      </c>
      <c r="R835" s="5" t="n">
        <v>0</v>
      </c>
      <c r="S835" s="5" t="n">
        <v>0</v>
      </c>
      <c r="T835" s="5" t="n">
        <v>0</v>
      </c>
      <c r="U835" s="5" t="inlineStr">
        <is>
          <t>testing</t>
        </is>
      </c>
    </row>
    <row r="836">
      <c r="A836" s="5" t="n">
        <v>832</v>
      </c>
      <c r="B836" s="5" t="n">
        <v>1</v>
      </c>
      <c r="C836" s="6" t="n">
        <v>-0.2301473069597001</v>
      </c>
      <c r="D836" s="6" t="n">
        <v>-0.7119252621542107</v>
      </c>
      <c r="E836" s="6" t="n">
        <v>-1.090641679553016</v>
      </c>
      <c r="F836" s="6" t="n">
        <v>0.9185437189662378</v>
      </c>
      <c r="G836" s="5" t="n">
        <v>1</v>
      </c>
      <c r="H836" s="5" t="n">
        <v>0</v>
      </c>
      <c r="I836" s="5" t="n">
        <v>0</v>
      </c>
      <c r="J836" s="5" t="n">
        <v>0</v>
      </c>
      <c r="K836" s="5" t="n">
        <v>0</v>
      </c>
      <c r="L836" s="5" t="n">
        <v>0</v>
      </c>
      <c r="M836" s="5" t="n">
        <v>0</v>
      </c>
      <c r="N836" s="5" t="n">
        <v>0</v>
      </c>
      <c r="O836" s="5" t="n">
        <v>0</v>
      </c>
      <c r="P836" s="5" t="n">
        <v>1</v>
      </c>
      <c r="Q836" s="5" t="n">
        <v>0</v>
      </c>
      <c r="R836" s="5" t="n">
        <v>1</v>
      </c>
      <c r="S836" s="5" t="n">
        <v>0</v>
      </c>
      <c r="T836" s="5" t="n">
        <v>0</v>
      </c>
      <c r="U836" s="5" t="inlineStr">
        <is>
          <t>training</t>
        </is>
      </c>
    </row>
    <row r="837">
      <c r="A837" s="5" t="n">
        <v>833</v>
      </c>
      <c r="B837" s="5" t="n">
        <v>1</v>
      </c>
      <c r="C837" s="6" t="n">
        <v>2.044844377945284</v>
      </c>
      <c r="D837" s="6" t="n">
        <v>2.996937800686526</v>
      </c>
      <c r="E837" s="6" t="n">
        <v>-0.5688035553649698</v>
      </c>
      <c r="F837" s="6" t="n">
        <v>-0.8850484360866833</v>
      </c>
      <c r="G837" s="5" t="n">
        <v>1</v>
      </c>
      <c r="H837" s="5" t="n">
        <v>0</v>
      </c>
      <c r="I837" s="5" t="n">
        <v>0</v>
      </c>
      <c r="J837" s="5" t="n">
        <v>0</v>
      </c>
      <c r="K837" s="5" t="n">
        <v>0</v>
      </c>
      <c r="L837" s="5" t="n">
        <v>1</v>
      </c>
      <c r="M837" s="5" t="n">
        <v>0</v>
      </c>
      <c r="N837" s="5" t="n">
        <v>0</v>
      </c>
      <c r="O837" s="5" t="n">
        <v>0</v>
      </c>
      <c r="P837" s="5" t="n">
        <v>1</v>
      </c>
      <c r="Q837" s="5" t="n">
        <v>0</v>
      </c>
      <c r="R837" s="5" t="n">
        <v>0</v>
      </c>
      <c r="S837" s="5" t="n">
        <v>0</v>
      </c>
      <c r="T837" s="5" t="n">
        <v>0</v>
      </c>
      <c r="U837" s="5" t="inlineStr">
        <is>
          <t>training</t>
        </is>
      </c>
    </row>
    <row r="838">
      <c r="A838" s="5" t="n">
        <v>834</v>
      </c>
      <c r="B838" s="5" t="n">
        <v>0</v>
      </c>
      <c r="C838" s="6" t="n">
        <v>0.275406400796963</v>
      </c>
      <c r="D838" s="6" t="n">
        <v>0.6414598630408807</v>
      </c>
      <c r="E838" s="6" t="n">
        <v>0.5618457137091294</v>
      </c>
      <c r="F838" s="6" t="n">
        <v>-0.8850484360866833</v>
      </c>
      <c r="G838" s="5" t="n">
        <v>0</v>
      </c>
      <c r="H838" s="5" t="n">
        <v>1</v>
      </c>
      <c r="I838" s="5" t="n">
        <v>0</v>
      </c>
      <c r="J838" s="5" t="n">
        <v>0</v>
      </c>
      <c r="K838" s="5" t="n">
        <v>0</v>
      </c>
      <c r="L838" s="5" t="n">
        <v>0</v>
      </c>
      <c r="M838" s="5" t="n">
        <v>0</v>
      </c>
      <c r="N838" s="5" t="n">
        <v>0</v>
      </c>
      <c r="O838" s="5" t="n">
        <v>1</v>
      </c>
      <c r="P838" s="5" t="n">
        <v>0</v>
      </c>
      <c r="Q838" s="5" t="n">
        <v>0</v>
      </c>
      <c r="R838" s="5" t="n">
        <v>0</v>
      </c>
      <c r="S838" s="5" t="n">
        <v>1</v>
      </c>
      <c r="T838" s="5" t="n">
        <v>0</v>
      </c>
      <c r="U838" s="5" t="inlineStr">
        <is>
          <t>testing</t>
        </is>
      </c>
    </row>
    <row r="839">
      <c r="A839" s="5" t="n">
        <v>835</v>
      </c>
      <c r="B839" s="5" t="n">
        <v>1</v>
      </c>
      <c r="C839" s="6" t="n">
        <v>-0.4829241608380317</v>
      </c>
      <c r="D839" s="6" t="n">
        <v>-0.3231944260394882</v>
      </c>
      <c r="E839" s="6" t="n">
        <v>-0.9166956381570004</v>
      </c>
      <c r="F839" s="6" t="n">
        <v>-0.8850484360866833</v>
      </c>
      <c r="G839" s="5" t="n">
        <v>0</v>
      </c>
      <c r="H839" s="5" t="n">
        <v>0</v>
      </c>
      <c r="I839" s="5" t="n">
        <v>1</v>
      </c>
      <c r="J839" s="5" t="n">
        <v>0</v>
      </c>
      <c r="K839" s="5" t="n">
        <v>0</v>
      </c>
      <c r="L839" s="5" t="n">
        <v>0</v>
      </c>
      <c r="M839" s="5" t="n">
        <v>0</v>
      </c>
      <c r="N839" s="5" t="n">
        <v>0</v>
      </c>
      <c r="O839" s="5" t="n">
        <v>0</v>
      </c>
      <c r="P839" s="5" t="n">
        <v>0</v>
      </c>
      <c r="Q839" s="5" t="n">
        <v>0</v>
      </c>
      <c r="R839" s="5" t="n">
        <v>0</v>
      </c>
      <c r="S839" s="5" t="n">
        <v>1</v>
      </c>
      <c r="T839" s="5" t="n">
        <v>0</v>
      </c>
      <c r="U839" s="5" t="inlineStr">
        <is>
          <t>training</t>
        </is>
      </c>
    </row>
    <row r="840">
      <c r="A840" s="5" t="n">
        <v>836</v>
      </c>
      <c r="B840" s="5" t="n">
        <v>1</v>
      </c>
      <c r="C840" s="6" t="n">
        <v>-0.7357010147163632</v>
      </c>
      <c r="D840" s="6" t="n">
        <v>-0.758810889552386</v>
      </c>
      <c r="E840" s="6" t="n">
        <v>1.083683837897175</v>
      </c>
      <c r="F840" s="6" t="n">
        <v>0.9185437189662378</v>
      </c>
      <c r="G840" s="5" t="n">
        <v>1</v>
      </c>
      <c r="H840" s="5" t="n">
        <v>0</v>
      </c>
      <c r="I840" s="5" t="n">
        <v>0</v>
      </c>
      <c r="J840" s="5" t="n">
        <v>0</v>
      </c>
      <c r="K840" s="5" t="n">
        <v>0</v>
      </c>
      <c r="L840" s="5" t="n">
        <v>1</v>
      </c>
      <c r="M840" s="5" t="n">
        <v>0</v>
      </c>
      <c r="N840" s="5" t="n">
        <v>0</v>
      </c>
      <c r="O840" s="5" t="n">
        <v>0</v>
      </c>
      <c r="P840" s="5" t="n">
        <v>0</v>
      </c>
      <c r="Q840" s="5" t="n">
        <v>0</v>
      </c>
      <c r="R840" s="5" t="n">
        <v>1</v>
      </c>
      <c r="S840" s="5" t="n">
        <v>0</v>
      </c>
      <c r="T840" s="5" t="n">
        <v>0</v>
      </c>
      <c r="U840" s="5" t="inlineStr">
        <is>
          <t>training</t>
        </is>
      </c>
    </row>
    <row r="841">
      <c r="A841" s="5" t="n">
        <v>837</v>
      </c>
      <c r="B841" s="5" t="n">
        <v>0</v>
      </c>
      <c r="C841" s="6" t="n">
        <v>-0.7357010147163632</v>
      </c>
      <c r="D841" s="6" t="n">
        <v>-0.8273898669407619</v>
      </c>
      <c r="E841" s="6" t="n">
        <v>-1.264587720949031</v>
      </c>
      <c r="F841" s="6" t="n">
        <v>0.9185437189662378</v>
      </c>
      <c r="G841" s="5" t="n">
        <v>0</v>
      </c>
      <c r="H841" s="5" t="n">
        <v>0</v>
      </c>
      <c r="I841" s="5" t="n">
        <v>0</v>
      </c>
      <c r="J841" s="5" t="n">
        <v>0</v>
      </c>
      <c r="K841" s="5" t="n">
        <v>0</v>
      </c>
      <c r="L841" s="5" t="n">
        <v>0</v>
      </c>
      <c r="M841" s="5" t="n">
        <v>0</v>
      </c>
      <c r="N841" s="5" t="n">
        <v>0</v>
      </c>
      <c r="O841" s="5" t="n">
        <v>1</v>
      </c>
      <c r="P841" s="5" t="n">
        <v>0</v>
      </c>
      <c r="Q841" s="5" t="n">
        <v>0</v>
      </c>
      <c r="R841" s="5" t="n">
        <v>0</v>
      </c>
      <c r="S841" s="5" t="n">
        <v>1</v>
      </c>
      <c r="T841" s="5" t="n">
        <v>0</v>
      </c>
      <c r="U841" s="5" t="inlineStr">
        <is>
          <t>training</t>
        </is>
      </c>
    </row>
    <row r="842">
      <c r="A842" s="5" t="n">
        <v>838</v>
      </c>
      <c r="B842" s="5" t="n">
        <v>0</v>
      </c>
      <c r="C842" s="6" t="n">
        <v>-1.409772625058581</v>
      </c>
      <c r="D842" s="6" t="n">
        <v>-0.9271092983473288</v>
      </c>
      <c r="E842" s="6" t="n">
        <v>-1.090641679553016</v>
      </c>
      <c r="F842" s="6" t="n">
        <v>-1.786844513613144</v>
      </c>
      <c r="G842" s="5" t="n">
        <v>0</v>
      </c>
      <c r="H842" s="5" t="n">
        <v>0</v>
      </c>
      <c r="I842" s="5" t="n">
        <v>0</v>
      </c>
      <c r="J842" s="5" t="n">
        <v>0</v>
      </c>
      <c r="K842" s="5" t="n">
        <v>0</v>
      </c>
      <c r="L842" s="5" t="n">
        <v>0</v>
      </c>
      <c r="M842" s="5" t="n">
        <v>0</v>
      </c>
      <c r="N842" s="5" t="n">
        <v>0</v>
      </c>
      <c r="O842" s="5" t="n">
        <v>0</v>
      </c>
      <c r="P842" s="5" t="n">
        <v>1</v>
      </c>
      <c r="Q842" s="5" t="n">
        <v>0</v>
      </c>
      <c r="R842" s="5" t="n">
        <v>0</v>
      </c>
      <c r="S842" s="5" t="n">
        <v>0</v>
      </c>
      <c r="T842" s="5" t="n">
        <v>1</v>
      </c>
      <c r="U842" s="5" t="inlineStr">
        <is>
          <t>training</t>
        </is>
      </c>
    </row>
    <row r="843">
      <c r="A843" s="5" t="n">
        <v>839</v>
      </c>
      <c r="B843" s="5" t="n">
        <v>0</v>
      </c>
      <c r="C843" s="6" t="n">
        <v>0.275406400796963</v>
      </c>
      <c r="D843" s="6" t="n">
        <v>-0.1027619987197086</v>
      </c>
      <c r="E843" s="6" t="n">
        <v>2.38827914836729</v>
      </c>
      <c r="F843" s="6" t="n">
        <v>0.9185437189662378</v>
      </c>
      <c r="G843" s="5" t="n">
        <v>1</v>
      </c>
      <c r="H843" s="5" t="n">
        <v>0</v>
      </c>
      <c r="I843" s="5" t="n">
        <v>0</v>
      </c>
      <c r="J843" s="5" t="n">
        <v>1</v>
      </c>
      <c r="K843" s="5" t="n">
        <v>0</v>
      </c>
      <c r="L843" s="5" t="n">
        <v>0</v>
      </c>
      <c r="M843" s="5" t="n">
        <v>0</v>
      </c>
      <c r="N843" s="5" t="n">
        <v>0</v>
      </c>
      <c r="O843" s="5" t="n">
        <v>0</v>
      </c>
      <c r="P843" s="5" t="n">
        <v>0</v>
      </c>
      <c r="Q843" s="5" t="n">
        <v>0</v>
      </c>
      <c r="R843" s="5" t="n">
        <v>1</v>
      </c>
      <c r="S843" s="5" t="n">
        <v>0</v>
      </c>
      <c r="T843" s="5" t="n">
        <v>0</v>
      </c>
      <c r="U843" s="5" t="inlineStr">
        <is>
          <t>training</t>
        </is>
      </c>
    </row>
    <row r="844">
      <c r="A844" s="5" t="n">
        <v>840</v>
      </c>
      <c r="B844" s="5" t="n">
        <v>0</v>
      </c>
      <c r="C844" s="6" t="n">
        <v>0.275406400796963</v>
      </c>
      <c r="D844" s="6" t="n">
        <v>-0.2238248873746987</v>
      </c>
      <c r="E844" s="6" t="n">
        <v>0.9097377965011599</v>
      </c>
      <c r="F844" s="6" t="n">
        <v>0.9185437189662378</v>
      </c>
      <c r="G844" s="5" t="n">
        <v>0</v>
      </c>
      <c r="H844" s="5" t="n">
        <v>0</v>
      </c>
      <c r="I844" s="5" t="n">
        <v>0</v>
      </c>
      <c r="J844" s="5" t="n">
        <v>1</v>
      </c>
      <c r="K844" s="5" t="n">
        <v>0</v>
      </c>
      <c r="L844" s="5" t="n">
        <v>0</v>
      </c>
      <c r="M844" s="5" t="n">
        <v>0</v>
      </c>
      <c r="N844" s="5" t="n">
        <v>0</v>
      </c>
      <c r="O844" s="5" t="n">
        <v>0</v>
      </c>
      <c r="P844" s="5" t="n">
        <v>0</v>
      </c>
      <c r="Q844" s="5" t="n">
        <v>0</v>
      </c>
      <c r="R844" s="5" t="n">
        <v>0</v>
      </c>
      <c r="S844" s="5" t="n">
        <v>1</v>
      </c>
      <c r="T844" s="5" t="n">
        <v>0</v>
      </c>
      <c r="U844" s="5" t="inlineStr">
        <is>
          <t>training</t>
        </is>
      </c>
    </row>
    <row r="845">
      <c r="A845" s="5" t="n">
        <v>841</v>
      </c>
      <c r="B845" s="5" t="n">
        <v>1</v>
      </c>
      <c r="C845" s="6" t="n">
        <v>1.286513816310289</v>
      </c>
      <c r="D845" s="6" t="n">
        <v>0.6746996735097363</v>
      </c>
      <c r="E845" s="6" t="n">
        <v>-0.5688035553649698</v>
      </c>
      <c r="F845" s="6" t="n">
        <v>0.9185437189662378</v>
      </c>
      <c r="G845" s="5" t="n">
        <v>1</v>
      </c>
      <c r="H845" s="5" t="n">
        <v>0</v>
      </c>
      <c r="I845" s="5" t="n">
        <v>0</v>
      </c>
      <c r="J845" s="5" t="n">
        <v>0</v>
      </c>
      <c r="K845" s="5" t="n">
        <v>0</v>
      </c>
      <c r="L845" s="5" t="n">
        <v>0</v>
      </c>
      <c r="M845" s="5" t="n">
        <v>0</v>
      </c>
      <c r="N845" s="5" t="n">
        <v>0</v>
      </c>
      <c r="O845" s="5" t="n">
        <v>0</v>
      </c>
      <c r="P845" s="5" t="n">
        <v>0</v>
      </c>
      <c r="Q845" s="5" t="n">
        <v>0</v>
      </c>
      <c r="R845" s="5" t="n">
        <v>0</v>
      </c>
      <c r="S845" s="5" t="n">
        <v>0</v>
      </c>
      <c r="T845" s="5" t="n">
        <v>1</v>
      </c>
      <c r="U845" s="5" t="inlineStr">
        <is>
          <t>training</t>
        </is>
      </c>
    </row>
    <row r="846">
      <c r="A846" s="5" t="n">
        <v>842</v>
      </c>
      <c r="B846" s="5" t="n">
        <v>0</v>
      </c>
      <c r="C846" s="6" t="n">
        <v>0.02262954691863145</v>
      </c>
      <c r="D846" s="6" t="n">
        <v>-0.0901658600157212</v>
      </c>
      <c r="E846" s="6" t="n">
        <v>-0.6557765760629775</v>
      </c>
      <c r="F846" s="6" t="n">
        <v>0.01674764143977723</v>
      </c>
      <c r="G846" s="5" t="n">
        <v>0</v>
      </c>
      <c r="H846" s="5" t="n">
        <v>0</v>
      </c>
      <c r="I846" s="5" t="n">
        <v>0</v>
      </c>
      <c r="J846" s="5" t="n">
        <v>0</v>
      </c>
      <c r="K846" s="5" t="n">
        <v>1</v>
      </c>
      <c r="L846" s="5" t="n">
        <v>0</v>
      </c>
      <c r="M846" s="5" t="n">
        <v>0</v>
      </c>
      <c r="N846" s="5" t="n">
        <v>0</v>
      </c>
      <c r="O846" s="5" t="n">
        <v>0</v>
      </c>
      <c r="P846" s="5" t="n">
        <v>0</v>
      </c>
      <c r="Q846" s="5" t="n">
        <v>0</v>
      </c>
      <c r="R846" s="5" t="n">
        <v>1</v>
      </c>
      <c r="S846" s="5" t="n">
        <v>0</v>
      </c>
      <c r="T846" s="5" t="n">
        <v>0</v>
      </c>
      <c r="U846" s="5" t="inlineStr">
        <is>
          <t>training</t>
        </is>
      </c>
    </row>
    <row r="847">
      <c r="A847" s="5" t="n">
        <v>843</v>
      </c>
      <c r="B847" s="5" t="n">
        <v>1</v>
      </c>
      <c r="C847" s="6" t="n">
        <v>-0.2301473069597001</v>
      </c>
      <c r="D847" s="6" t="n">
        <v>-0.4575532388820205</v>
      </c>
      <c r="E847" s="6" t="n">
        <v>-1.090641679553016</v>
      </c>
      <c r="F847" s="6" t="n">
        <v>0.9185437189662378</v>
      </c>
      <c r="G847" s="5" t="n">
        <v>0</v>
      </c>
      <c r="H847" s="5" t="n">
        <v>0</v>
      </c>
      <c r="I847" s="5" t="n">
        <v>0</v>
      </c>
      <c r="J847" s="5" t="n">
        <v>0</v>
      </c>
      <c r="K847" s="5" t="n">
        <v>0</v>
      </c>
      <c r="L847" s="5" t="n">
        <v>0</v>
      </c>
      <c r="M847" s="5" t="n">
        <v>0</v>
      </c>
      <c r="N847" s="5" t="n">
        <v>0</v>
      </c>
      <c r="O847" s="5" t="n">
        <v>0</v>
      </c>
      <c r="P847" s="5" t="n">
        <v>0</v>
      </c>
      <c r="Q847" s="5" t="n">
        <v>0</v>
      </c>
      <c r="R847" s="5" t="n">
        <v>0</v>
      </c>
      <c r="S847" s="5" t="n">
        <v>0</v>
      </c>
      <c r="T847" s="5" t="n">
        <v>0</v>
      </c>
      <c r="U847" s="5" t="inlineStr">
        <is>
          <t>training</t>
        </is>
      </c>
    </row>
    <row r="848">
      <c r="A848" s="5" t="n">
        <v>844</v>
      </c>
      <c r="B848" s="5" t="n">
        <v>0</v>
      </c>
      <c r="C848" s="6" t="n">
        <v>0.275406400796963</v>
      </c>
      <c r="D848" s="6" t="n">
        <v>-0.5919120517245529</v>
      </c>
      <c r="E848" s="6" t="n">
        <v>1.257629879293191</v>
      </c>
      <c r="F848" s="6" t="n">
        <v>0.9185437189662378</v>
      </c>
      <c r="G848" s="5" t="n">
        <v>0</v>
      </c>
      <c r="H848" s="5" t="n">
        <v>0</v>
      </c>
      <c r="I848" s="5" t="n">
        <v>0</v>
      </c>
      <c r="J848" s="5" t="n">
        <v>0</v>
      </c>
      <c r="K848" s="5" t="n">
        <v>0</v>
      </c>
      <c r="L848" s="5" t="n">
        <v>1</v>
      </c>
      <c r="M848" s="5" t="n">
        <v>0</v>
      </c>
      <c r="N848" s="5" t="n">
        <v>0</v>
      </c>
      <c r="O848" s="5" t="n">
        <v>0</v>
      </c>
      <c r="P848" s="5" t="n">
        <v>0</v>
      </c>
      <c r="Q848" s="5" t="n">
        <v>0</v>
      </c>
      <c r="R848" s="5" t="n">
        <v>0</v>
      </c>
      <c r="S848" s="5" t="n">
        <v>0</v>
      </c>
      <c r="T848" s="5" t="n">
        <v>0</v>
      </c>
      <c r="U848" s="5" t="inlineStr">
        <is>
          <t>testing</t>
        </is>
      </c>
    </row>
    <row r="849">
      <c r="A849" s="5" t="n">
        <v>845</v>
      </c>
      <c r="B849" s="5" t="n">
        <v>0</v>
      </c>
      <c r="C849" s="6" t="n">
        <v>-0.2301473069597001</v>
      </c>
      <c r="D849" s="6" t="n">
        <v>0.05993812620679538</v>
      </c>
      <c r="E849" s="6" t="n">
        <v>0.9967108171991675</v>
      </c>
      <c r="F849" s="6" t="n">
        <v>0.9185437189662378</v>
      </c>
      <c r="G849" s="5" t="n">
        <v>0</v>
      </c>
      <c r="H849" s="5" t="n">
        <v>0</v>
      </c>
      <c r="I849" s="5" t="n">
        <v>0</v>
      </c>
      <c r="J849" s="5" t="n">
        <v>0</v>
      </c>
      <c r="K849" s="5" t="n">
        <v>0</v>
      </c>
      <c r="L849" s="5" t="n">
        <v>0</v>
      </c>
      <c r="M849" s="5" t="n">
        <v>0</v>
      </c>
      <c r="N849" s="5" t="n">
        <v>0</v>
      </c>
      <c r="O849" s="5" t="n">
        <v>0</v>
      </c>
      <c r="P849" s="5" t="n">
        <v>0</v>
      </c>
      <c r="Q849" s="5" t="n">
        <v>0</v>
      </c>
      <c r="R849" s="5" t="n">
        <v>0</v>
      </c>
      <c r="S849" s="5" t="n">
        <v>0</v>
      </c>
      <c r="T849" s="5" t="n">
        <v>1</v>
      </c>
      <c r="U849" s="5" t="inlineStr">
        <is>
          <t>training</t>
        </is>
      </c>
    </row>
    <row r="850">
      <c r="A850" s="5" t="n">
        <v>846</v>
      </c>
      <c r="B850" s="5" t="n">
        <v>0</v>
      </c>
      <c r="C850" s="6" t="n">
        <v>0.02262954691863145</v>
      </c>
      <c r="D850" s="6" t="n">
        <v>0.2537787051514905</v>
      </c>
      <c r="E850" s="6" t="n">
        <v>-0.04696543117692405</v>
      </c>
      <c r="F850" s="6" t="n">
        <v>-0.8850484360866833</v>
      </c>
      <c r="G850" s="5" t="n">
        <v>0</v>
      </c>
      <c r="H850" s="5" t="n">
        <v>1</v>
      </c>
      <c r="I850" s="5" t="n">
        <v>0</v>
      </c>
      <c r="J850" s="5" t="n">
        <v>0</v>
      </c>
      <c r="K850" s="5" t="n">
        <v>0</v>
      </c>
      <c r="L850" s="5" t="n">
        <v>0</v>
      </c>
      <c r="M850" s="5" t="n">
        <v>0</v>
      </c>
      <c r="N850" s="5" t="n">
        <v>0</v>
      </c>
      <c r="O850" s="5" t="n">
        <v>1</v>
      </c>
      <c r="P850" s="5" t="n">
        <v>0</v>
      </c>
      <c r="Q850" s="5" t="n">
        <v>0</v>
      </c>
      <c r="R850" s="5" t="n">
        <v>0</v>
      </c>
      <c r="S850" s="5" t="n">
        <v>0</v>
      </c>
      <c r="T850" s="5" t="n">
        <v>1</v>
      </c>
      <c r="U850" s="5" t="inlineStr">
        <is>
          <t>training</t>
        </is>
      </c>
    </row>
    <row r="851">
      <c r="A851" s="5" t="n">
        <v>847</v>
      </c>
      <c r="B851" s="5" t="n">
        <v>1</v>
      </c>
      <c r="C851" s="6" t="n">
        <v>-0.2301473069597001</v>
      </c>
      <c r="D851" s="6" t="n">
        <v>1.228229991001627</v>
      </c>
      <c r="E851" s="6" t="n">
        <v>2.823144251857328</v>
      </c>
      <c r="F851" s="6" t="n">
        <v>-0.8850484360866833</v>
      </c>
      <c r="G851" s="5" t="n">
        <v>0</v>
      </c>
      <c r="H851" s="5" t="n">
        <v>0</v>
      </c>
      <c r="I851" s="5" t="n">
        <v>0</v>
      </c>
      <c r="J851" s="5" t="n">
        <v>0</v>
      </c>
      <c r="K851" s="5" t="n">
        <v>0</v>
      </c>
      <c r="L851" s="5" t="n">
        <v>0</v>
      </c>
      <c r="M851" s="5" t="n">
        <v>0</v>
      </c>
      <c r="N851" s="5" t="n">
        <v>0</v>
      </c>
      <c r="O851" s="5" t="n">
        <v>1</v>
      </c>
      <c r="P851" s="5" t="n">
        <v>1</v>
      </c>
      <c r="Q851" s="5" t="n">
        <v>0</v>
      </c>
      <c r="R851" s="5" t="n">
        <v>1</v>
      </c>
      <c r="S851" s="5" t="n">
        <v>0</v>
      </c>
      <c r="T851" s="5" t="n">
        <v>0</v>
      </c>
      <c r="U851" s="5" t="inlineStr">
        <is>
          <t>training</t>
        </is>
      </c>
    </row>
    <row r="852">
      <c r="A852" s="5" t="n">
        <v>848</v>
      </c>
      <c r="B852" s="5" t="n">
        <v>0</v>
      </c>
      <c r="C852" s="6" t="n">
        <v>0.275406400796963</v>
      </c>
      <c r="D852" s="6" t="n">
        <v>-0.7003788016755556</v>
      </c>
      <c r="E852" s="6" t="n">
        <v>-0.6557765760629775</v>
      </c>
      <c r="F852" s="6" t="n">
        <v>0.9185437189662378</v>
      </c>
      <c r="G852" s="5" t="n">
        <v>0</v>
      </c>
      <c r="H852" s="5" t="n">
        <v>0</v>
      </c>
      <c r="I852" s="5" t="n">
        <v>0</v>
      </c>
      <c r="J852" s="5" t="n">
        <v>0</v>
      </c>
      <c r="K852" s="5" t="n">
        <v>0</v>
      </c>
      <c r="L852" s="5" t="n">
        <v>0</v>
      </c>
      <c r="M852" s="5" t="n">
        <v>0</v>
      </c>
      <c r="N852" s="5" t="n">
        <v>0</v>
      </c>
      <c r="O852" s="5" t="n">
        <v>0</v>
      </c>
      <c r="P852" s="5" t="n">
        <v>0</v>
      </c>
      <c r="Q852" s="5" t="n">
        <v>0</v>
      </c>
      <c r="R852" s="5" t="n">
        <v>1</v>
      </c>
      <c r="S852" s="5" t="n">
        <v>0</v>
      </c>
      <c r="T852" s="5" t="n">
        <v>0</v>
      </c>
      <c r="U852" s="5" t="inlineStr">
        <is>
          <t>training</t>
        </is>
      </c>
    </row>
    <row r="853">
      <c r="A853" s="5" t="n">
        <v>849</v>
      </c>
      <c r="B853" s="5" t="n">
        <v>0</v>
      </c>
      <c r="C853" s="6" t="n">
        <v>-0.9884778685946948</v>
      </c>
      <c r="D853" s="6" t="n">
        <v>-0.6601411363711513</v>
      </c>
      <c r="E853" s="6" t="n">
        <v>2.040387065575259</v>
      </c>
      <c r="F853" s="6" t="n">
        <v>0.01674764143977723</v>
      </c>
      <c r="G853" s="5" t="n">
        <v>1</v>
      </c>
      <c r="H853" s="5" t="n">
        <v>0</v>
      </c>
      <c r="I853" s="5" t="n">
        <v>0</v>
      </c>
      <c r="J853" s="5" t="n">
        <v>0</v>
      </c>
      <c r="K853" s="5" t="n">
        <v>0</v>
      </c>
      <c r="L853" s="5" t="n">
        <v>0</v>
      </c>
      <c r="M853" s="5" t="n">
        <v>0</v>
      </c>
      <c r="N853" s="5" t="n">
        <v>0</v>
      </c>
      <c r="O853" s="5" t="n">
        <v>0</v>
      </c>
      <c r="P853" s="5" t="n">
        <v>0</v>
      </c>
      <c r="Q853" s="5" t="n">
        <v>0</v>
      </c>
      <c r="R853" s="5" t="n">
        <v>0</v>
      </c>
      <c r="S853" s="5" t="n">
        <v>1</v>
      </c>
      <c r="T853" s="5" t="n">
        <v>0</v>
      </c>
      <c r="U853" s="5" t="inlineStr">
        <is>
          <t>training</t>
        </is>
      </c>
    </row>
    <row r="854">
      <c r="A854" s="5" t="n">
        <v>850</v>
      </c>
      <c r="B854" s="5" t="n">
        <v>1</v>
      </c>
      <c r="C854" s="6" t="n">
        <v>-0.7357010147163632</v>
      </c>
      <c r="D854" s="6" t="n">
        <v>-0.8893208822353666</v>
      </c>
      <c r="E854" s="6" t="n">
        <v>1.866441024179244</v>
      </c>
      <c r="F854" s="6" t="n">
        <v>0.9185437189662378</v>
      </c>
      <c r="G854" s="5" t="n">
        <v>1</v>
      </c>
      <c r="H854" s="5" t="n">
        <v>0</v>
      </c>
      <c r="I854" s="5" t="n">
        <v>0</v>
      </c>
      <c r="J854" s="5" t="n">
        <v>0</v>
      </c>
      <c r="K854" s="5" t="n">
        <v>0</v>
      </c>
      <c r="L854" s="5" t="n">
        <v>0</v>
      </c>
      <c r="M854" s="5" t="n">
        <v>0</v>
      </c>
      <c r="N854" s="5" t="n">
        <v>0</v>
      </c>
      <c r="O854" s="5" t="n">
        <v>0</v>
      </c>
      <c r="P854" s="5" t="n">
        <v>0</v>
      </c>
      <c r="Q854" s="5" t="n">
        <v>0</v>
      </c>
      <c r="R854" s="5" t="n">
        <v>0</v>
      </c>
      <c r="S854" s="5" t="n">
        <v>1</v>
      </c>
      <c r="T854" s="5" t="n">
        <v>0</v>
      </c>
      <c r="U854" s="5" t="inlineStr">
        <is>
          <t>training</t>
        </is>
      </c>
    </row>
    <row r="855">
      <c r="A855" s="5" t="n">
        <v>851</v>
      </c>
      <c r="B855" s="5" t="n">
        <v>1</v>
      </c>
      <c r="C855" s="6" t="n">
        <v>-0.06162940437414574</v>
      </c>
      <c r="D855" s="6" t="n">
        <v>-0.3553845582830116</v>
      </c>
      <c r="E855" s="6" t="n">
        <v>-0.2209114725729393</v>
      </c>
      <c r="F855" s="6" t="n">
        <v>0.9185437189662378</v>
      </c>
      <c r="G855" s="5" t="n">
        <v>1</v>
      </c>
      <c r="H855" s="5" t="n">
        <v>0</v>
      </c>
      <c r="I855" s="5" t="n">
        <v>0</v>
      </c>
      <c r="J855" s="5" t="n">
        <v>1</v>
      </c>
      <c r="K855" s="5" t="n">
        <v>0</v>
      </c>
      <c r="L855" s="5" t="n">
        <v>0</v>
      </c>
      <c r="M855" s="5" t="n">
        <v>0</v>
      </c>
      <c r="N855" s="5" t="n">
        <v>0</v>
      </c>
      <c r="O855" s="5" t="n">
        <v>0</v>
      </c>
      <c r="P855" s="5" t="n">
        <v>1</v>
      </c>
      <c r="Q855" s="5" t="n">
        <v>0</v>
      </c>
      <c r="R855" s="5" t="n">
        <v>1</v>
      </c>
      <c r="S855" s="5" t="n">
        <v>0</v>
      </c>
      <c r="T855" s="5" t="n">
        <v>0</v>
      </c>
      <c r="U855" s="5" t="inlineStr">
        <is>
          <t>training</t>
        </is>
      </c>
    </row>
    <row r="856">
      <c r="A856" s="5" t="n">
        <v>852</v>
      </c>
      <c r="B856" s="5" t="n">
        <v>0</v>
      </c>
      <c r="C856" s="6" t="n">
        <v>0.275406400796963</v>
      </c>
      <c r="D856" s="6" t="n">
        <v>0.2768716261088007</v>
      </c>
      <c r="E856" s="6" t="n">
        <v>0.648818734407137</v>
      </c>
      <c r="F856" s="6" t="n">
        <v>0.01674764143977723</v>
      </c>
      <c r="G856" s="5" t="n">
        <v>0</v>
      </c>
      <c r="H856" s="5" t="n">
        <v>0</v>
      </c>
      <c r="I856" s="5" t="n">
        <v>0</v>
      </c>
      <c r="J856" s="5" t="n">
        <v>1</v>
      </c>
      <c r="K856" s="5" t="n">
        <v>0</v>
      </c>
      <c r="L856" s="5" t="n">
        <v>0</v>
      </c>
      <c r="M856" s="5" t="n">
        <v>0</v>
      </c>
      <c r="N856" s="5" t="n">
        <v>0</v>
      </c>
      <c r="O856" s="5" t="n">
        <v>1</v>
      </c>
      <c r="P856" s="5" t="n">
        <v>0</v>
      </c>
      <c r="Q856" s="5" t="n">
        <v>0</v>
      </c>
      <c r="R856" s="5" t="n">
        <v>1</v>
      </c>
      <c r="S856" s="5" t="n">
        <v>0</v>
      </c>
      <c r="T856" s="5" t="n">
        <v>0</v>
      </c>
      <c r="U856" s="5" t="inlineStr">
        <is>
          <t>training</t>
        </is>
      </c>
    </row>
    <row r="857">
      <c r="A857" s="5" t="n">
        <v>853</v>
      </c>
      <c r="B857" s="5" t="n">
        <v>0</v>
      </c>
      <c r="C857" s="6" t="n">
        <v>-0.4829241608380317</v>
      </c>
      <c r="D857" s="6" t="n">
        <v>-0.6227026130009665</v>
      </c>
      <c r="E857" s="6" t="n">
        <v>-0.04696543117692405</v>
      </c>
      <c r="F857" s="6" t="n">
        <v>0.9185437189662378</v>
      </c>
      <c r="G857" s="5" t="n">
        <v>0</v>
      </c>
      <c r="H857" s="5" t="n">
        <v>0</v>
      </c>
      <c r="I857" s="5" t="n">
        <v>0</v>
      </c>
      <c r="J857" s="5" t="n">
        <v>1</v>
      </c>
      <c r="K857" s="5" t="n">
        <v>0</v>
      </c>
      <c r="L857" s="5" t="n">
        <v>0</v>
      </c>
      <c r="M857" s="5" t="n">
        <v>0</v>
      </c>
      <c r="N857" s="5" t="n">
        <v>0</v>
      </c>
      <c r="O857" s="5" t="n">
        <v>0</v>
      </c>
      <c r="P857" s="5" t="n">
        <v>0</v>
      </c>
      <c r="Q857" s="5" t="n">
        <v>1</v>
      </c>
      <c r="R857" s="5" t="n">
        <v>0</v>
      </c>
      <c r="S857" s="5" t="n">
        <v>1</v>
      </c>
      <c r="T857" s="5" t="n">
        <v>0</v>
      </c>
      <c r="U857" s="5" t="inlineStr">
        <is>
          <t>testing</t>
        </is>
      </c>
    </row>
    <row r="858">
      <c r="A858" s="5" t="n">
        <v>854</v>
      </c>
      <c r="B858" s="5" t="n">
        <v>1</v>
      </c>
      <c r="C858" s="6" t="n">
        <v>-0.2301473069597001</v>
      </c>
      <c r="D858" s="6" t="n">
        <v>-0.6328495025125119</v>
      </c>
      <c r="E858" s="6" t="n">
        <v>-0.307884493270947</v>
      </c>
      <c r="F858" s="6" t="n">
        <v>0.9185437189662378</v>
      </c>
      <c r="G858" s="5" t="n">
        <v>1</v>
      </c>
      <c r="H858" s="5" t="n">
        <v>0</v>
      </c>
      <c r="I858" s="5" t="n">
        <v>0</v>
      </c>
      <c r="J858" s="5" t="n">
        <v>0</v>
      </c>
      <c r="K858" s="5" t="n">
        <v>0</v>
      </c>
      <c r="L858" s="5" t="n">
        <v>1</v>
      </c>
      <c r="M858" s="5" t="n">
        <v>0</v>
      </c>
      <c r="N858" s="5" t="n">
        <v>0</v>
      </c>
      <c r="O858" s="5" t="n">
        <v>0</v>
      </c>
      <c r="P858" s="5" t="n">
        <v>0</v>
      </c>
      <c r="Q858" s="5" t="n">
        <v>1</v>
      </c>
      <c r="R858" s="5" t="n">
        <v>1</v>
      </c>
      <c r="S858" s="5" t="n">
        <v>0</v>
      </c>
      <c r="T858" s="5" t="n">
        <v>0</v>
      </c>
      <c r="U858" s="5" t="inlineStr">
        <is>
          <t>training</t>
        </is>
      </c>
    </row>
    <row r="859">
      <c r="A859" s="5" t="n">
        <v>855</v>
      </c>
      <c r="B859" s="5" t="n">
        <v>0</v>
      </c>
      <c r="C859" s="6" t="n">
        <v>1.286513816310289</v>
      </c>
      <c r="D859" s="6" t="n">
        <v>2.667688730673966</v>
      </c>
      <c r="E859" s="6" t="n">
        <v>0.8227647758031523</v>
      </c>
      <c r="F859" s="6" t="n">
        <v>-0.8850484360866833</v>
      </c>
      <c r="G859" s="5" t="n">
        <v>0</v>
      </c>
      <c r="H859" s="5" t="n">
        <v>0</v>
      </c>
      <c r="I859" s="5" t="n">
        <v>0</v>
      </c>
      <c r="J859" s="5" t="n">
        <v>0</v>
      </c>
      <c r="K859" s="5" t="n">
        <v>1</v>
      </c>
      <c r="L859" s="5" t="n">
        <v>0</v>
      </c>
      <c r="M859" s="5" t="n">
        <v>0</v>
      </c>
      <c r="N859" s="5" t="n">
        <v>0</v>
      </c>
      <c r="O859" s="5" t="n">
        <v>0</v>
      </c>
      <c r="P859" s="5" t="n">
        <v>0</v>
      </c>
      <c r="Q859" s="5" t="n">
        <v>0</v>
      </c>
      <c r="R859" s="5" t="n">
        <v>1</v>
      </c>
      <c r="S859" s="5" t="n">
        <v>0</v>
      </c>
      <c r="T859" s="5" t="n">
        <v>0</v>
      </c>
      <c r="U859" s="5" t="inlineStr">
        <is>
          <t>training</t>
        </is>
      </c>
    </row>
    <row r="860">
      <c r="A860" s="5" t="n">
        <v>856</v>
      </c>
      <c r="B860" s="5" t="n">
        <v>0</v>
      </c>
      <c r="C860" s="6" t="n">
        <v>0.275406400796963</v>
      </c>
      <c r="D860" s="6" t="n">
        <v>-0.6216529347756342</v>
      </c>
      <c r="E860" s="6" t="n">
        <v>-0.2209114725729393</v>
      </c>
      <c r="F860" s="6" t="n">
        <v>0.9185437189662378</v>
      </c>
      <c r="G860" s="5" t="n">
        <v>0</v>
      </c>
      <c r="H860" s="5" t="n">
        <v>0</v>
      </c>
      <c r="I860" s="5" t="n">
        <v>0</v>
      </c>
      <c r="J860" s="5" t="n">
        <v>0</v>
      </c>
      <c r="K860" s="5" t="n">
        <v>0</v>
      </c>
      <c r="L860" s="5" t="n">
        <v>0</v>
      </c>
      <c r="M860" s="5" t="n">
        <v>1</v>
      </c>
      <c r="N860" s="5" t="n">
        <v>0</v>
      </c>
      <c r="O860" s="5" t="n">
        <v>0</v>
      </c>
      <c r="P860" s="5" t="n">
        <v>0</v>
      </c>
      <c r="Q860" s="5" t="n">
        <v>0</v>
      </c>
      <c r="R860" s="5" t="n">
        <v>1</v>
      </c>
      <c r="S860" s="5" t="n">
        <v>0</v>
      </c>
      <c r="T860" s="5" t="n">
        <v>0</v>
      </c>
      <c r="U860" s="5" t="inlineStr">
        <is>
          <t>testing</t>
        </is>
      </c>
    </row>
    <row r="861">
      <c r="A861" s="5" t="n">
        <v>857</v>
      </c>
      <c r="B861" s="5" t="n">
        <v>0</v>
      </c>
      <c r="C861" s="6" t="n">
        <v>-0.9042189173019176</v>
      </c>
      <c r="D861" s="6" t="n">
        <v>-0.8245907250065425</v>
      </c>
      <c r="E861" s="6" t="n">
        <v>0.3878996723131141</v>
      </c>
      <c r="F861" s="6" t="n">
        <v>0.9185437189662378</v>
      </c>
      <c r="G861" s="5" t="n">
        <v>0</v>
      </c>
      <c r="H861" s="5" t="n">
        <v>0</v>
      </c>
      <c r="I861" s="5" t="n">
        <v>0</v>
      </c>
      <c r="J861" s="5" t="n">
        <v>0</v>
      </c>
      <c r="K861" s="5" t="n">
        <v>0</v>
      </c>
      <c r="L861" s="5" t="n">
        <v>0</v>
      </c>
      <c r="M861" s="5" t="n">
        <v>0</v>
      </c>
      <c r="N861" s="5" t="n">
        <v>0</v>
      </c>
      <c r="O861" s="5" t="n">
        <v>1</v>
      </c>
      <c r="P861" s="5" t="n">
        <v>0</v>
      </c>
      <c r="Q861" s="5" t="n">
        <v>0</v>
      </c>
      <c r="R861" s="5" t="n">
        <v>0</v>
      </c>
      <c r="S861" s="5" t="n">
        <v>0</v>
      </c>
      <c r="T861" s="5" t="n">
        <v>0</v>
      </c>
      <c r="U861" s="5" t="inlineStr">
        <is>
          <t>training</t>
        </is>
      </c>
    </row>
    <row r="862">
      <c r="A862" s="5" t="n">
        <v>858</v>
      </c>
      <c r="B862" s="5" t="n">
        <v>0</v>
      </c>
      <c r="C862" s="6" t="n">
        <v>-0.4829241608380317</v>
      </c>
      <c r="D862" s="6" t="n">
        <v>0.03229659960637857</v>
      </c>
      <c r="E862" s="6" t="n">
        <v>-0.6557765760629775</v>
      </c>
      <c r="F862" s="6" t="n">
        <v>0.9185437189662378</v>
      </c>
      <c r="G862" s="5" t="n">
        <v>0</v>
      </c>
      <c r="H862" s="5" t="n">
        <v>0</v>
      </c>
      <c r="I862" s="5" t="n">
        <v>0</v>
      </c>
      <c r="J862" s="5" t="n">
        <v>1</v>
      </c>
      <c r="K862" s="5" t="n">
        <v>0</v>
      </c>
      <c r="L862" s="5" t="n">
        <v>0</v>
      </c>
      <c r="M862" s="5" t="n">
        <v>0</v>
      </c>
      <c r="N862" s="5" t="n">
        <v>0</v>
      </c>
      <c r="O862" s="5" t="n">
        <v>0</v>
      </c>
      <c r="P862" s="5" t="n">
        <v>0</v>
      </c>
      <c r="Q862" s="5" t="n">
        <v>1</v>
      </c>
      <c r="R862" s="5" t="n">
        <v>0</v>
      </c>
      <c r="S862" s="5" t="n">
        <v>0</v>
      </c>
      <c r="T862" s="5" t="n">
        <v>1</v>
      </c>
      <c r="U862" s="5" t="inlineStr">
        <is>
          <t>training</t>
        </is>
      </c>
    </row>
    <row r="863">
      <c r="A863" s="5" t="n">
        <v>859</v>
      </c>
      <c r="B863" s="5" t="n">
        <v>1</v>
      </c>
      <c r="C863" s="6" t="n">
        <v>-0.4829241608380317</v>
      </c>
      <c r="D863" s="6" t="n">
        <v>0.2478305285412742</v>
      </c>
      <c r="E863" s="6" t="n">
        <v>-0.5688035553649698</v>
      </c>
      <c r="F863" s="6" t="n">
        <v>0.01674764143977723</v>
      </c>
      <c r="G863" s="5" t="n">
        <v>1</v>
      </c>
      <c r="H863" s="5" t="n">
        <v>0</v>
      </c>
      <c r="I863" s="5" t="n">
        <v>0</v>
      </c>
      <c r="J863" s="5" t="n">
        <v>0</v>
      </c>
      <c r="K863" s="5" t="n">
        <v>0</v>
      </c>
      <c r="L863" s="5" t="n">
        <v>0</v>
      </c>
      <c r="M863" s="5" t="n">
        <v>0</v>
      </c>
      <c r="N863" s="5" t="n">
        <v>0</v>
      </c>
      <c r="O863" s="5" t="n">
        <v>0</v>
      </c>
      <c r="P863" s="5" t="n">
        <v>0</v>
      </c>
      <c r="Q863" s="5" t="n">
        <v>0</v>
      </c>
      <c r="R863" s="5" t="n">
        <v>1</v>
      </c>
      <c r="S863" s="5" t="n">
        <v>0</v>
      </c>
      <c r="T863" s="5" t="n">
        <v>0</v>
      </c>
      <c r="U863" s="5" t="inlineStr">
        <is>
          <t>training</t>
        </is>
      </c>
    </row>
    <row r="864">
      <c r="A864" s="5" t="n">
        <v>860</v>
      </c>
      <c r="B864" s="5" t="n">
        <v>0</v>
      </c>
      <c r="C864" s="6" t="n">
        <v>-0.9884778685946948</v>
      </c>
      <c r="D864" s="6" t="n">
        <v>0.1141715011822967</v>
      </c>
      <c r="E864" s="6" t="n">
        <v>-0.8297226174589928</v>
      </c>
      <c r="F864" s="6" t="n">
        <v>-1.786844513613144</v>
      </c>
      <c r="G864" s="5" t="n">
        <v>0</v>
      </c>
      <c r="H864" s="5" t="n">
        <v>0</v>
      </c>
      <c r="I864" s="5" t="n">
        <v>0</v>
      </c>
      <c r="J864" s="5" t="n">
        <v>0</v>
      </c>
      <c r="K864" s="5" t="n">
        <v>0</v>
      </c>
      <c r="L864" s="5" t="n">
        <v>0</v>
      </c>
      <c r="M864" s="5" t="n">
        <v>1</v>
      </c>
      <c r="N864" s="5" t="n">
        <v>0</v>
      </c>
      <c r="O864" s="5" t="n">
        <v>0</v>
      </c>
      <c r="P864" s="5" t="n">
        <v>1</v>
      </c>
      <c r="Q864" s="5" t="n">
        <v>0</v>
      </c>
      <c r="R864" s="5" t="n">
        <v>1</v>
      </c>
      <c r="S864" s="5" t="n">
        <v>0</v>
      </c>
      <c r="T864" s="5" t="n">
        <v>0</v>
      </c>
      <c r="U864" s="5" t="inlineStr">
        <is>
          <t>testing</t>
        </is>
      </c>
    </row>
    <row r="865">
      <c r="A865" s="5" t="n">
        <v>861</v>
      </c>
      <c r="B865" s="5" t="n">
        <v>0</v>
      </c>
      <c r="C865" s="6" t="n">
        <v>0.275406400796963</v>
      </c>
      <c r="D865" s="6" t="n">
        <v>0.8933826371206287</v>
      </c>
      <c r="E865" s="6" t="n">
        <v>-0.7427495967609852</v>
      </c>
      <c r="F865" s="6" t="n">
        <v>0.9185437189662378</v>
      </c>
      <c r="G865" s="5" t="n">
        <v>0</v>
      </c>
      <c r="H865" s="5" t="n">
        <v>0</v>
      </c>
      <c r="I865" s="5" t="n">
        <v>0</v>
      </c>
      <c r="J865" s="5" t="n">
        <v>1</v>
      </c>
      <c r="K865" s="5" t="n">
        <v>0</v>
      </c>
      <c r="L865" s="5" t="n">
        <v>0</v>
      </c>
      <c r="M865" s="5" t="n">
        <v>0</v>
      </c>
      <c r="N865" s="5" t="n">
        <v>1</v>
      </c>
      <c r="O865" s="5" t="n">
        <v>0</v>
      </c>
      <c r="P865" s="5" t="n">
        <v>0</v>
      </c>
      <c r="Q865" s="5" t="n">
        <v>0</v>
      </c>
      <c r="R865" s="5" t="n">
        <v>1</v>
      </c>
      <c r="S865" s="5" t="n">
        <v>0</v>
      </c>
      <c r="T865" s="5" t="n">
        <v>0</v>
      </c>
      <c r="U865" s="5" t="inlineStr">
        <is>
          <t>training</t>
        </is>
      </c>
    </row>
    <row r="866">
      <c r="A866" s="5" t="n">
        <v>862</v>
      </c>
      <c r="B866" s="5" t="n">
        <v>1</v>
      </c>
      <c r="C866" s="6" t="n">
        <v>-0.2301473069597001</v>
      </c>
      <c r="D866" s="6" t="n">
        <v>-0.3784774792403218</v>
      </c>
      <c r="E866" s="6" t="n">
        <v>-0.6557765760629775</v>
      </c>
      <c r="F866" s="6" t="n">
        <v>0.9185437189662378</v>
      </c>
      <c r="G866" s="5" t="n">
        <v>0</v>
      </c>
      <c r="H866" s="5" t="n">
        <v>0</v>
      </c>
      <c r="I866" s="5" t="n">
        <v>0</v>
      </c>
      <c r="J866" s="5" t="n">
        <v>0</v>
      </c>
      <c r="K866" s="5" t="n">
        <v>1</v>
      </c>
      <c r="L866" s="5" t="n">
        <v>0</v>
      </c>
      <c r="M866" s="5" t="n">
        <v>0</v>
      </c>
      <c r="N866" s="5" t="n">
        <v>0</v>
      </c>
      <c r="O866" s="5" t="n">
        <v>0</v>
      </c>
      <c r="P866" s="5" t="n">
        <v>0</v>
      </c>
      <c r="Q866" s="5" t="n">
        <v>0</v>
      </c>
      <c r="R866" s="5" t="n">
        <v>0</v>
      </c>
      <c r="S866" s="5" t="n">
        <v>0</v>
      </c>
      <c r="T866" s="5" t="n">
        <v>0</v>
      </c>
      <c r="U866" s="5" t="inlineStr">
        <is>
          <t>training</t>
        </is>
      </c>
    </row>
    <row r="867">
      <c r="A867" s="5" t="n">
        <v>863</v>
      </c>
      <c r="B867" s="5" t="n">
        <v>1</v>
      </c>
      <c r="C867" s="6" t="n">
        <v>0.275406400796963</v>
      </c>
      <c r="D867" s="6" t="n">
        <v>-0.2840064389604163</v>
      </c>
      <c r="E867" s="6" t="n">
        <v>-0.04696543117692405</v>
      </c>
      <c r="F867" s="6" t="n">
        <v>0.9185437189662378</v>
      </c>
      <c r="G867" s="5" t="n">
        <v>1</v>
      </c>
      <c r="H867" s="5" t="n">
        <v>0</v>
      </c>
      <c r="I867" s="5" t="n">
        <v>0</v>
      </c>
      <c r="J867" s="5" t="n">
        <v>0</v>
      </c>
      <c r="K867" s="5" t="n">
        <v>0</v>
      </c>
      <c r="L867" s="5" t="n">
        <v>0</v>
      </c>
      <c r="M867" s="5" t="n">
        <v>0</v>
      </c>
      <c r="N867" s="5" t="n">
        <v>0</v>
      </c>
      <c r="O867" s="5" t="n">
        <v>0</v>
      </c>
      <c r="P867" s="5" t="n">
        <v>0</v>
      </c>
      <c r="Q867" s="5" t="n">
        <v>0</v>
      </c>
      <c r="R867" s="5" t="n">
        <v>0</v>
      </c>
      <c r="S867" s="5" t="n">
        <v>1</v>
      </c>
      <c r="T867" s="5" t="n">
        <v>0</v>
      </c>
      <c r="U867" s="5" t="inlineStr">
        <is>
          <t>training</t>
        </is>
      </c>
    </row>
    <row r="868">
      <c r="A868" s="5" t="n">
        <v>864</v>
      </c>
      <c r="B868" s="5" t="n">
        <v>0</v>
      </c>
      <c r="C868" s="6" t="n">
        <v>0.5281832546752946</v>
      </c>
      <c r="D868" s="6" t="n">
        <v>0.4462197131290758</v>
      </c>
      <c r="E868" s="6" t="n">
        <v>-0.307884493270947</v>
      </c>
      <c r="F868" s="6" t="n">
        <v>0.9185437189662378</v>
      </c>
      <c r="G868" s="5" t="n">
        <v>0</v>
      </c>
      <c r="H868" s="5" t="n">
        <v>0</v>
      </c>
      <c r="I868" s="5" t="n">
        <v>0</v>
      </c>
      <c r="J868" s="5" t="n">
        <v>1</v>
      </c>
      <c r="K868" s="5" t="n">
        <v>0</v>
      </c>
      <c r="L868" s="5" t="n">
        <v>0</v>
      </c>
      <c r="M868" s="5" t="n">
        <v>0</v>
      </c>
      <c r="N868" s="5" t="n">
        <v>1</v>
      </c>
      <c r="O868" s="5" t="n">
        <v>0</v>
      </c>
      <c r="P868" s="5" t="n">
        <v>0</v>
      </c>
      <c r="Q868" s="5" t="n">
        <v>0</v>
      </c>
      <c r="R868" s="5" t="n">
        <v>0</v>
      </c>
      <c r="S868" s="5" t="n">
        <v>0</v>
      </c>
      <c r="T868" s="5" t="n">
        <v>1</v>
      </c>
      <c r="U868" s="5" t="inlineStr">
        <is>
          <t>testing</t>
        </is>
      </c>
    </row>
    <row r="869">
      <c r="A869" s="5" t="n">
        <v>865</v>
      </c>
      <c r="B869" s="5" t="n">
        <v>1</v>
      </c>
      <c r="C869" s="6" t="n">
        <v>-0.9042189173019176</v>
      </c>
      <c r="D869" s="6" t="n">
        <v>-0.3641318768274473</v>
      </c>
      <c r="E869" s="6" t="n">
        <v>-0.9166956381570004</v>
      </c>
      <c r="F869" s="6" t="n">
        <v>-0.8850484360866833</v>
      </c>
      <c r="G869" s="5" t="n">
        <v>0</v>
      </c>
      <c r="H869" s="5" t="n">
        <v>0</v>
      </c>
      <c r="I869" s="5" t="n">
        <v>0</v>
      </c>
      <c r="J869" s="5" t="n">
        <v>0</v>
      </c>
      <c r="K869" s="5" t="n">
        <v>0</v>
      </c>
      <c r="L869" s="5" t="n">
        <v>0</v>
      </c>
      <c r="M869" s="5" t="n">
        <v>0</v>
      </c>
      <c r="N869" s="5" t="n">
        <v>0</v>
      </c>
      <c r="O869" s="5" t="n">
        <v>0</v>
      </c>
      <c r="P869" s="5" t="n">
        <v>1</v>
      </c>
      <c r="Q869" s="5" t="n">
        <v>0</v>
      </c>
      <c r="R869" s="5" t="n">
        <v>0</v>
      </c>
      <c r="S869" s="5" t="n">
        <v>0</v>
      </c>
      <c r="T869" s="5" t="n">
        <v>1</v>
      </c>
      <c r="U869" s="5" t="inlineStr">
        <is>
          <t>training</t>
        </is>
      </c>
    </row>
    <row r="870">
      <c r="A870" s="5" t="n">
        <v>866</v>
      </c>
      <c r="B870" s="5" t="n">
        <v>0</v>
      </c>
      <c r="C870" s="6" t="n">
        <v>-0.4829241608380317</v>
      </c>
      <c r="D870" s="6" t="n">
        <v>-0.3602830566678956</v>
      </c>
      <c r="E870" s="6" t="n">
        <v>-1.351560741647039</v>
      </c>
      <c r="F870" s="6" t="n">
        <v>-0.8850484360866833</v>
      </c>
      <c r="G870" s="5" t="n">
        <v>0</v>
      </c>
      <c r="H870" s="5" t="n">
        <v>0</v>
      </c>
      <c r="I870" s="5" t="n">
        <v>0</v>
      </c>
      <c r="J870" s="5" t="n">
        <v>0</v>
      </c>
      <c r="K870" s="5" t="n">
        <v>0</v>
      </c>
      <c r="L870" s="5" t="n">
        <v>0</v>
      </c>
      <c r="M870" s="5" t="n">
        <v>1</v>
      </c>
      <c r="N870" s="5" t="n">
        <v>0</v>
      </c>
      <c r="O870" s="5" t="n">
        <v>0</v>
      </c>
      <c r="P870" s="5" t="n">
        <v>1</v>
      </c>
      <c r="Q870" s="5" t="n">
        <v>0</v>
      </c>
      <c r="R870" s="5" t="n">
        <v>0</v>
      </c>
      <c r="S870" s="5" t="n">
        <v>0</v>
      </c>
      <c r="T870" s="5" t="n">
        <v>1</v>
      </c>
      <c r="U870" s="5" t="inlineStr">
        <is>
          <t>training</t>
        </is>
      </c>
    </row>
    <row r="871">
      <c r="A871" s="5" t="n">
        <v>867</v>
      </c>
      <c r="B871" s="5" t="n">
        <v>0</v>
      </c>
      <c r="C871" s="6" t="n">
        <v>-0.2301473069597001</v>
      </c>
      <c r="D871" s="6" t="n">
        <v>-0.3015010760492877</v>
      </c>
      <c r="E871" s="6" t="n">
        <v>-0.7427495967609852</v>
      </c>
      <c r="F871" s="6" t="n">
        <v>0.9185437189662378</v>
      </c>
      <c r="G871" s="5" t="n">
        <v>1</v>
      </c>
      <c r="H871" s="5" t="n">
        <v>0</v>
      </c>
      <c r="I871" s="5" t="n">
        <v>0</v>
      </c>
      <c r="J871" s="5" t="n">
        <v>0</v>
      </c>
      <c r="K871" s="5" t="n">
        <v>0</v>
      </c>
      <c r="L871" s="5" t="n">
        <v>0</v>
      </c>
      <c r="M871" s="5" t="n">
        <v>0</v>
      </c>
      <c r="N871" s="5" t="n">
        <v>0</v>
      </c>
      <c r="O871" s="5" t="n">
        <v>0</v>
      </c>
      <c r="P871" s="5" t="n">
        <v>0</v>
      </c>
      <c r="Q871" s="5" t="n">
        <v>0</v>
      </c>
      <c r="R871" s="5" t="n">
        <v>0</v>
      </c>
      <c r="S871" s="5" t="n">
        <v>1</v>
      </c>
      <c r="T871" s="5" t="n">
        <v>0</v>
      </c>
      <c r="U871" s="5" t="inlineStr">
        <is>
          <t>training</t>
        </is>
      </c>
    </row>
    <row r="872">
      <c r="A872" s="5" t="n">
        <v>868</v>
      </c>
      <c r="B872" s="5" t="n">
        <v>0</v>
      </c>
      <c r="C872" s="6" t="n">
        <v>-0.7357010147163632</v>
      </c>
      <c r="D872" s="6" t="n">
        <v>0.02809788670504944</v>
      </c>
      <c r="E872" s="6" t="n">
        <v>0.5618457137091294</v>
      </c>
      <c r="F872" s="6" t="n">
        <v>-0.8850484360866833</v>
      </c>
      <c r="G872" s="5" t="n">
        <v>0</v>
      </c>
      <c r="H872" s="5" t="n">
        <v>0</v>
      </c>
      <c r="I872" s="5" t="n">
        <v>0</v>
      </c>
      <c r="J872" s="5" t="n">
        <v>1</v>
      </c>
      <c r="K872" s="5" t="n">
        <v>0</v>
      </c>
      <c r="L872" s="5" t="n">
        <v>0</v>
      </c>
      <c r="M872" s="5" t="n">
        <v>0</v>
      </c>
      <c r="N872" s="5" t="n">
        <v>0</v>
      </c>
      <c r="O872" s="5" t="n">
        <v>0</v>
      </c>
      <c r="P872" s="5" t="n">
        <v>0</v>
      </c>
      <c r="Q872" s="5" t="n">
        <v>0</v>
      </c>
      <c r="R872" s="5" t="n">
        <v>0</v>
      </c>
      <c r="S872" s="5" t="n">
        <v>0</v>
      </c>
      <c r="T872" s="5" t="n">
        <v>1</v>
      </c>
      <c r="U872" s="5" t="inlineStr">
        <is>
          <t>training</t>
        </is>
      </c>
    </row>
    <row r="873">
      <c r="A873" s="5" t="n">
        <v>869</v>
      </c>
      <c r="B873" s="5" t="n">
        <v>0</v>
      </c>
      <c r="C873" s="6" t="n">
        <v>1.286513816310289</v>
      </c>
      <c r="D873" s="6" t="n">
        <v>1.454960487673401</v>
      </c>
      <c r="E873" s="6" t="n">
        <v>0.1269806102190912</v>
      </c>
      <c r="F873" s="6" t="n">
        <v>0.01674764143977723</v>
      </c>
      <c r="G873" s="5" t="n">
        <v>0</v>
      </c>
      <c r="H873" s="5" t="n">
        <v>0</v>
      </c>
      <c r="I873" s="5" t="n">
        <v>0</v>
      </c>
      <c r="J873" s="5" t="n">
        <v>0</v>
      </c>
      <c r="K873" s="5" t="n">
        <v>0</v>
      </c>
      <c r="L873" s="5" t="n">
        <v>0</v>
      </c>
      <c r="M873" s="5" t="n">
        <v>0</v>
      </c>
      <c r="N873" s="5" t="n">
        <v>0</v>
      </c>
      <c r="O873" s="5" t="n">
        <v>1</v>
      </c>
      <c r="P873" s="5" t="n">
        <v>0</v>
      </c>
      <c r="Q873" s="5" t="n">
        <v>0</v>
      </c>
      <c r="R873" s="5" t="n">
        <v>0</v>
      </c>
      <c r="S873" s="5" t="n">
        <v>0</v>
      </c>
      <c r="T873" s="5" t="n">
        <v>0</v>
      </c>
      <c r="U873" s="5" t="inlineStr">
        <is>
          <t>testing</t>
        </is>
      </c>
    </row>
    <row r="874">
      <c r="A874" s="5" t="n">
        <v>870</v>
      </c>
      <c r="B874" s="5" t="n">
        <v>0</v>
      </c>
      <c r="C874" s="6" t="n">
        <v>-0.7357010147163632</v>
      </c>
      <c r="D874" s="6" t="n">
        <v>-0.90926476851668</v>
      </c>
      <c r="E874" s="6" t="n">
        <v>-1.003668658855008</v>
      </c>
      <c r="F874" s="6" t="n">
        <v>0.9185437189662378</v>
      </c>
      <c r="G874" s="5" t="n">
        <v>1</v>
      </c>
      <c r="H874" s="5" t="n">
        <v>0</v>
      </c>
      <c r="I874" s="5" t="n">
        <v>0</v>
      </c>
      <c r="J874" s="5" t="n">
        <v>0</v>
      </c>
      <c r="K874" s="5" t="n">
        <v>0</v>
      </c>
      <c r="L874" s="5" t="n">
        <v>0</v>
      </c>
      <c r="M874" s="5" t="n">
        <v>0</v>
      </c>
      <c r="N874" s="5" t="n">
        <v>0</v>
      </c>
      <c r="O874" s="5" t="n">
        <v>0</v>
      </c>
      <c r="P874" s="5" t="n">
        <v>1</v>
      </c>
      <c r="Q874" s="5" t="n">
        <v>0</v>
      </c>
      <c r="R874" s="5" t="n">
        <v>0</v>
      </c>
      <c r="S874" s="5" t="n">
        <v>0</v>
      </c>
      <c r="T874" s="5" t="n">
        <v>1</v>
      </c>
      <c r="U874" s="5" t="inlineStr">
        <is>
          <t>training</t>
        </is>
      </c>
    </row>
    <row r="875">
      <c r="A875" s="5" t="n">
        <v>871</v>
      </c>
      <c r="B875" s="5" t="n">
        <v>0</v>
      </c>
      <c r="C875" s="6" t="n">
        <v>1.286513816310289</v>
      </c>
      <c r="D875" s="6" t="n">
        <v>1.549081635211529</v>
      </c>
      <c r="E875" s="6" t="n">
        <v>0.3878996723131141</v>
      </c>
      <c r="F875" s="6" t="n">
        <v>-0.8850484360866833</v>
      </c>
      <c r="G875" s="5" t="n">
        <v>0</v>
      </c>
      <c r="H875" s="5" t="n">
        <v>0</v>
      </c>
      <c r="I875" s="5" t="n">
        <v>0</v>
      </c>
      <c r="J875" s="5" t="n">
        <v>0</v>
      </c>
      <c r="K875" s="5" t="n">
        <v>1</v>
      </c>
      <c r="L875" s="5" t="n">
        <v>0</v>
      </c>
      <c r="M875" s="5" t="n">
        <v>1</v>
      </c>
      <c r="N875" s="5" t="n">
        <v>0</v>
      </c>
      <c r="O875" s="5" t="n">
        <v>0</v>
      </c>
      <c r="P875" s="5" t="n">
        <v>0</v>
      </c>
      <c r="Q875" s="5" t="n">
        <v>0</v>
      </c>
      <c r="R875" s="5" t="n">
        <v>0</v>
      </c>
      <c r="S875" s="5" t="n">
        <v>0</v>
      </c>
      <c r="T875" s="5" t="n">
        <v>1</v>
      </c>
      <c r="U875" s="5" t="inlineStr">
        <is>
          <t>training</t>
        </is>
      </c>
    </row>
    <row r="876">
      <c r="A876" s="5" t="n">
        <v>872</v>
      </c>
      <c r="B876" s="5" t="n">
        <v>0</v>
      </c>
      <c r="C876" s="6" t="n">
        <v>-1.241254722473026</v>
      </c>
      <c r="D876" s="6" t="n">
        <v>-0.6674888839484773</v>
      </c>
      <c r="E876" s="6" t="n">
        <v>0.9097377965011599</v>
      </c>
      <c r="F876" s="6" t="n">
        <v>-1.786844513613144</v>
      </c>
      <c r="G876" s="5" t="n">
        <v>0</v>
      </c>
      <c r="H876" s="5" t="n">
        <v>0</v>
      </c>
      <c r="I876" s="5" t="n">
        <v>1</v>
      </c>
      <c r="J876" s="5" t="n">
        <v>1</v>
      </c>
      <c r="K876" s="5" t="n">
        <v>0</v>
      </c>
      <c r="L876" s="5" t="n">
        <v>0</v>
      </c>
      <c r="M876" s="5" t="n">
        <v>0</v>
      </c>
      <c r="N876" s="5" t="n">
        <v>0</v>
      </c>
      <c r="O876" s="5" t="n">
        <v>0</v>
      </c>
      <c r="P876" s="5" t="n">
        <v>0</v>
      </c>
      <c r="Q876" s="5" t="n">
        <v>0</v>
      </c>
      <c r="R876" s="5" t="n">
        <v>1</v>
      </c>
      <c r="S876" s="5" t="n">
        <v>0</v>
      </c>
      <c r="T876" s="5" t="n">
        <v>0</v>
      </c>
      <c r="U876" s="5" t="inlineStr">
        <is>
          <t>training</t>
        </is>
      </c>
    </row>
    <row r="877">
      <c r="A877" s="5" t="n">
        <v>873</v>
      </c>
      <c r="B877" s="5" t="n">
        <v>0</v>
      </c>
      <c r="C877" s="6" t="n">
        <v>0.275406400796963</v>
      </c>
      <c r="D877" s="6" t="n">
        <v>-0.6538430670191576</v>
      </c>
      <c r="E877" s="6" t="n">
        <v>-0.8297226174589928</v>
      </c>
      <c r="F877" s="6" t="n">
        <v>0.9185437189662378</v>
      </c>
      <c r="G877" s="5" t="n">
        <v>1</v>
      </c>
      <c r="H877" s="5" t="n">
        <v>0</v>
      </c>
      <c r="I877" s="5" t="n">
        <v>0</v>
      </c>
      <c r="J877" s="5" t="n">
        <v>1</v>
      </c>
      <c r="K877" s="5" t="n">
        <v>0</v>
      </c>
      <c r="L877" s="5" t="n">
        <v>0</v>
      </c>
      <c r="M877" s="5" t="n">
        <v>1</v>
      </c>
      <c r="N877" s="5" t="n">
        <v>0</v>
      </c>
      <c r="O877" s="5" t="n">
        <v>0</v>
      </c>
      <c r="P877" s="5" t="n">
        <v>0</v>
      </c>
      <c r="Q877" s="5" t="n">
        <v>0</v>
      </c>
      <c r="R877" s="5" t="n">
        <v>0</v>
      </c>
      <c r="S877" s="5" t="n">
        <v>0</v>
      </c>
      <c r="T877" s="5" t="n">
        <v>0</v>
      </c>
      <c r="U877" s="5" t="inlineStr">
        <is>
          <t>training</t>
        </is>
      </c>
    </row>
    <row r="878">
      <c r="A878" s="5" t="n">
        <v>874</v>
      </c>
      <c r="B878" s="5" t="n">
        <v>0</v>
      </c>
      <c r="C878" s="6" t="n">
        <v>-0.4829241608380317</v>
      </c>
      <c r="D878" s="6" t="n">
        <v>-0.831588579842091</v>
      </c>
      <c r="E878" s="6" t="n">
        <v>-1.003668658855008</v>
      </c>
      <c r="F878" s="6" t="n">
        <v>0.9185437189662378</v>
      </c>
      <c r="G878" s="5" t="n">
        <v>0</v>
      </c>
      <c r="H878" s="5" t="n">
        <v>0</v>
      </c>
      <c r="I878" s="5" t="n">
        <v>0</v>
      </c>
      <c r="J878" s="5" t="n">
        <v>0</v>
      </c>
      <c r="K878" s="5" t="n">
        <v>0</v>
      </c>
      <c r="L878" s="5" t="n">
        <v>0</v>
      </c>
      <c r="M878" s="5" t="n">
        <v>0</v>
      </c>
      <c r="N878" s="5" t="n">
        <v>0</v>
      </c>
      <c r="O878" s="5" t="n">
        <v>1</v>
      </c>
      <c r="P878" s="5" t="n">
        <v>0</v>
      </c>
      <c r="Q878" s="5" t="n">
        <v>0</v>
      </c>
      <c r="R878" s="5" t="n">
        <v>0</v>
      </c>
      <c r="S878" s="5" t="n">
        <v>0</v>
      </c>
      <c r="T878" s="5" t="n">
        <v>0</v>
      </c>
      <c r="U878" s="5" t="inlineStr">
        <is>
          <t>training</t>
        </is>
      </c>
    </row>
    <row r="879">
      <c r="A879" s="5" t="n">
        <v>875</v>
      </c>
      <c r="B879" s="5" t="n">
        <v>0</v>
      </c>
      <c r="C879" s="6" t="n">
        <v>-0.7357010147163632</v>
      </c>
      <c r="D879" s="6" t="n">
        <v>0.1187201068254033</v>
      </c>
      <c r="E879" s="6" t="n">
        <v>-0.5688035553649698</v>
      </c>
      <c r="F879" s="6" t="n">
        <v>-0.8850484360866833</v>
      </c>
      <c r="G879" s="5" t="n">
        <v>1</v>
      </c>
      <c r="H879" s="5" t="n">
        <v>0</v>
      </c>
      <c r="I879" s="5" t="n">
        <v>0</v>
      </c>
      <c r="J879" s="5" t="n">
        <v>0</v>
      </c>
      <c r="K879" s="5" t="n">
        <v>0</v>
      </c>
      <c r="L879" s="5" t="n">
        <v>0</v>
      </c>
      <c r="M879" s="5" t="n">
        <v>0</v>
      </c>
      <c r="N879" s="5" t="n">
        <v>0</v>
      </c>
      <c r="O879" s="5" t="n">
        <v>0</v>
      </c>
      <c r="P879" s="5" t="n">
        <v>0</v>
      </c>
      <c r="Q879" s="5" t="n">
        <v>0</v>
      </c>
      <c r="R879" s="5" t="n">
        <v>0</v>
      </c>
      <c r="S879" s="5" t="n">
        <v>0</v>
      </c>
      <c r="T879" s="5" t="n">
        <v>1</v>
      </c>
      <c r="U879" s="5" t="inlineStr">
        <is>
          <t>testing</t>
        </is>
      </c>
    </row>
    <row r="880">
      <c r="A880" s="5" t="n">
        <v>876</v>
      </c>
      <c r="B880" s="5" t="n">
        <v>0</v>
      </c>
      <c r="C880" s="6" t="n">
        <v>-0.8199599660091405</v>
      </c>
      <c r="D880" s="6" t="n">
        <v>-0.6748366315258033</v>
      </c>
      <c r="E880" s="6" t="n">
        <v>0.3878996723131141</v>
      </c>
      <c r="F880" s="6" t="n">
        <v>0.9185437189662378</v>
      </c>
      <c r="G880" s="5" t="n">
        <v>0</v>
      </c>
      <c r="H880" s="5" t="n">
        <v>1</v>
      </c>
      <c r="I880" s="5" t="n">
        <v>0</v>
      </c>
      <c r="J880" s="5" t="n">
        <v>1</v>
      </c>
      <c r="K880" s="5" t="n">
        <v>0</v>
      </c>
      <c r="L880" s="5" t="n">
        <v>0</v>
      </c>
      <c r="M880" s="5" t="n">
        <v>0</v>
      </c>
      <c r="N880" s="5" t="n">
        <v>1</v>
      </c>
      <c r="O880" s="5" t="n">
        <v>0</v>
      </c>
      <c r="P880" s="5" t="n">
        <v>0</v>
      </c>
      <c r="Q880" s="5" t="n">
        <v>0</v>
      </c>
      <c r="R880" s="5" t="n">
        <v>1</v>
      </c>
      <c r="S880" s="5" t="n">
        <v>0</v>
      </c>
      <c r="T880" s="5" t="n">
        <v>0</v>
      </c>
      <c r="U880" s="5" t="inlineStr">
        <is>
          <t>training</t>
        </is>
      </c>
    </row>
    <row r="881">
      <c r="A881" s="5" t="n">
        <v>877</v>
      </c>
      <c r="B881" s="5" t="n">
        <v>0</v>
      </c>
      <c r="C881" s="6" t="n">
        <v>-0.2301473069597001</v>
      </c>
      <c r="D881" s="6" t="n">
        <v>-0.4586029171073528</v>
      </c>
      <c r="E881" s="6" t="n">
        <v>0.04000758952108359</v>
      </c>
      <c r="F881" s="6" t="n">
        <v>0.01674764143977723</v>
      </c>
      <c r="G881" s="5" t="n">
        <v>1</v>
      </c>
      <c r="H881" s="5" t="n">
        <v>0</v>
      </c>
      <c r="I881" s="5" t="n">
        <v>0</v>
      </c>
      <c r="J881" s="5" t="n">
        <v>0</v>
      </c>
      <c r="K881" s="5" t="n">
        <v>0</v>
      </c>
      <c r="L881" s="5" t="n">
        <v>1</v>
      </c>
      <c r="M881" s="5" t="n">
        <v>0</v>
      </c>
      <c r="N881" s="5" t="n">
        <v>0</v>
      </c>
      <c r="O881" s="5" t="n">
        <v>0</v>
      </c>
      <c r="P881" s="5" t="n">
        <v>0</v>
      </c>
      <c r="Q881" s="5" t="n">
        <v>1</v>
      </c>
      <c r="R881" s="5" t="n">
        <v>0</v>
      </c>
      <c r="S881" s="5" t="n">
        <v>1</v>
      </c>
      <c r="T881" s="5" t="n">
        <v>0</v>
      </c>
      <c r="U881" s="5" t="inlineStr">
        <is>
          <t>training</t>
        </is>
      </c>
    </row>
    <row r="882">
      <c r="A882" s="5" t="n">
        <v>878</v>
      </c>
      <c r="B882" s="5" t="n">
        <v>0</v>
      </c>
      <c r="C882" s="6" t="n">
        <v>1.286513816310289</v>
      </c>
      <c r="D882" s="6" t="n">
        <v>0.1204695705342904</v>
      </c>
      <c r="E882" s="6" t="n">
        <v>-0.6557765760629775</v>
      </c>
      <c r="F882" s="6" t="n">
        <v>0.9185437189662378</v>
      </c>
      <c r="G882" s="5" t="n">
        <v>0</v>
      </c>
      <c r="H882" s="5" t="n">
        <v>0</v>
      </c>
      <c r="I882" s="5" t="n">
        <v>0</v>
      </c>
      <c r="J882" s="5" t="n">
        <v>0</v>
      </c>
      <c r="K882" s="5" t="n">
        <v>0</v>
      </c>
      <c r="L882" s="5" t="n">
        <v>0</v>
      </c>
      <c r="M882" s="5" t="n">
        <v>0</v>
      </c>
      <c r="N882" s="5" t="n">
        <v>0</v>
      </c>
      <c r="O882" s="5" t="n">
        <v>0</v>
      </c>
      <c r="P882" s="5" t="n">
        <v>0</v>
      </c>
      <c r="Q882" s="5" t="n">
        <v>0</v>
      </c>
      <c r="R882" s="5" t="n">
        <v>0</v>
      </c>
      <c r="S882" s="5" t="n">
        <v>1</v>
      </c>
      <c r="T882" s="5" t="n">
        <v>0</v>
      </c>
      <c r="U882" s="5" t="inlineStr">
        <is>
          <t>training</t>
        </is>
      </c>
    </row>
    <row r="883">
      <c r="A883" s="5" t="n">
        <v>879</v>
      </c>
      <c r="B883" s="5" t="n">
        <v>1</v>
      </c>
      <c r="C883" s="6" t="n">
        <v>-0.9884778685946948</v>
      </c>
      <c r="D883" s="6" t="n">
        <v>-0.6398473573480605</v>
      </c>
      <c r="E883" s="6" t="n">
        <v>-0.7427495967609852</v>
      </c>
      <c r="F883" s="6" t="n">
        <v>0.01674764143977723</v>
      </c>
      <c r="G883" s="5" t="n">
        <v>1</v>
      </c>
      <c r="H883" s="5" t="n">
        <v>0</v>
      </c>
      <c r="I883" s="5" t="n">
        <v>0</v>
      </c>
      <c r="J883" s="5" t="n">
        <v>0</v>
      </c>
      <c r="K883" s="5" t="n">
        <v>0</v>
      </c>
      <c r="L883" s="5" t="n">
        <v>0</v>
      </c>
      <c r="M883" s="5" t="n">
        <v>0</v>
      </c>
      <c r="N883" s="5" t="n">
        <v>0</v>
      </c>
      <c r="O883" s="5" t="n">
        <v>0</v>
      </c>
      <c r="P883" s="5" t="n">
        <v>0</v>
      </c>
      <c r="Q883" s="5" t="n">
        <v>1</v>
      </c>
      <c r="R883" s="5" t="n">
        <v>1</v>
      </c>
      <c r="S883" s="5" t="n">
        <v>0</v>
      </c>
      <c r="T883" s="5" t="n">
        <v>0</v>
      </c>
      <c r="U883" s="5" t="inlineStr">
        <is>
          <t>training</t>
        </is>
      </c>
    </row>
    <row r="884">
      <c r="A884" s="5" t="n">
        <v>880</v>
      </c>
      <c r="B884" s="5" t="n">
        <v>0</v>
      </c>
      <c r="C884" s="6" t="n">
        <v>0.7809601085536261</v>
      </c>
      <c r="D884" s="6" t="n">
        <v>1.221582028907856</v>
      </c>
      <c r="E884" s="6" t="n">
        <v>0.04000758952108359</v>
      </c>
      <c r="F884" s="6" t="n">
        <v>-0.8850484360866833</v>
      </c>
      <c r="G884" s="5" t="n">
        <v>0</v>
      </c>
      <c r="H884" s="5" t="n">
        <v>0</v>
      </c>
      <c r="I884" s="5" t="n">
        <v>0</v>
      </c>
      <c r="J884" s="5" t="n">
        <v>1</v>
      </c>
      <c r="K884" s="5" t="n">
        <v>0</v>
      </c>
      <c r="L884" s="5" t="n">
        <v>0</v>
      </c>
      <c r="M884" s="5" t="n">
        <v>0</v>
      </c>
      <c r="N884" s="5" t="n">
        <v>0</v>
      </c>
      <c r="O884" s="5" t="n">
        <v>1</v>
      </c>
      <c r="P884" s="5" t="n">
        <v>0</v>
      </c>
      <c r="Q884" s="5" t="n">
        <v>0</v>
      </c>
      <c r="R884" s="5" t="n">
        <v>0</v>
      </c>
      <c r="S884" s="5" t="n">
        <v>1</v>
      </c>
      <c r="T884" s="5" t="n">
        <v>0</v>
      </c>
      <c r="U884" s="5" t="inlineStr">
        <is>
          <t>training</t>
        </is>
      </c>
    </row>
    <row r="885">
      <c r="A885" s="5" t="n">
        <v>881</v>
      </c>
      <c r="B885" s="5" t="n">
        <v>0</v>
      </c>
      <c r="C885" s="6" t="n">
        <v>0.275406400796963</v>
      </c>
      <c r="D885" s="6" t="n">
        <v>1.596667048093259</v>
      </c>
      <c r="E885" s="6" t="n">
        <v>0.2139536309170988</v>
      </c>
      <c r="F885" s="6" t="n">
        <v>0.01674764143977723</v>
      </c>
      <c r="G885" s="5" t="n">
        <v>0</v>
      </c>
      <c r="H885" s="5" t="n">
        <v>0</v>
      </c>
      <c r="I885" s="5" t="n">
        <v>0</v>
      </c>
      <c r="J885" s="5" t="n">
        <v>0</v>
      </c>
      <c r="K885" s="5" t="n">
        <v>0</v>
      </c>
      <c r="L885" s="5" t="n">
        <v>0</v>
      </c>
      <c r="M885" s="5" t="n">
        <v>0</v>
      </c>
      <c r="N885" s="5" t="n">
        <v>0</v>
      </c>
      <c r="O885" s="5" t="n">
        <v>0</v>
      </c>
      <c r="P885" s="5" t="n">
        <v>0</v>
      </c>
      <c r="Q885" s="5" t="n">
        <v>0</v>
      </c>
      <c r="R885" s="5" t="n">
        <v>1</v>
      </c>
      <c r="S885" s="5" t="n">
        <v>0</v>
      </c>
      <c r="T885" s="5" t="n">
        <v>0</v>
      </c>
      <c r="U885" s="5" t="inlineStr">
        <is>
          <t>training</t>
        </is>
      </c>
    </row>
    <row r="886">
      <c r="A886" s="5" t="n">
        <v>882</v>
      </c>
      <c r="B886" s="5" t="n">
        <v>0</v>
      </c>
      <c r="C886" s="6" t="n">
        <v>0.275406400796963</v>
      </c>
      <c r="D886" s="6" t="n">
        <v>2.108560129313636</v>
      </c>
      <c r="E886" s="6" t="n">
        <v>1.083683837897175</v>
      </c>
      <c r="F886" s="6" t="n">
        <v>-0.8850484360866833</v>
      </c>
      <c r="G886" s="5" t="n">
        <v>0</v>
      </c>
      <c r="H886" s="5" t="n">
        <v>0</v>
      </c>
      <c r="I886" s="5" t="n">
        <v>0</v>
      </c>
      <c r="J886" s="5" t="n">
        <v>0</v>
      </c>
      <c r="K886" s="5" t="n">
        <v>0</v>
      </c>
      <c r="L886" s="5" t="n">
        <v>0</v>
      </c>
      <c r="M886" s="5" t="n">
        <v>0</v>
      </c>
      <c r="N886" s="5" t="n">
        <v>0</v>
      </c>
      <c r="O886" s="5" t="n">
        <v>1</v>
      </c>
      <c r="P886" s="5" t="n">
        <v>0</v>
      </c>
      <c r="Q886" s="5" t="n">
        <v>1</v>
      </c>
      <c r="R886" s="5" t="n">
        <v>1</v>
      </c>
      <c r="S886" s="5" t="n">
        <v>0</v>
      </c>
      <c r="T886" s="5" t="n">
        <v>0</v>
      </c>
      <c r="U886" s="5" t="inlineStr">
        <is>
          <t>training</t>
        </is>
      </c>
    </row>
    <row r="887">
      <c r="A887" s="5" t="n">
        <v>883</v>
      </c>
      <c r="B887" s="5" t="n">
        <v>0</v>
      </c>
      <c r="C887" s="6" t="n">
        <v>0.7809601085536261</v>
      </c>
      <c r="D887" s="6" t="n">
        <v>-0.3742787663389927</v>
      </c>
      <c r="E887" s="6" t="n">
        <v>0.04000758952108359</v>
      </c>
      <c r="F887" s="6" t="n">
        <v>0.9185437189662378</v>
      </c>
      <c r="G887" s="5" t="n">
        <v>0</v>
      </c>
      <c r="H887" s="5" t="n">
        <v>1</v>
      </c>
      <c r="I887" s="5" t="n">
        <v>0</v>
      </c>
      <c r="J887" s="5" t="n">
        <v>1</v>
      </c>
      <c r="K887" s="5" t="n">
        <v>0</v>
      </c>
      <c r="L887" s="5" t="n">
        <v>0</v>
      </c>
      <c r="M887" s="5" t="n">
        <v>0</v>
      </c>
      <c r="N887" s="5" t="n">
        <v>0</v>
      </c>
      <c r="O887" s="5" t="n">
        <v>1</v>
      </c>
      <c r="P887" s="5" t="n">
        <v>0</v>
      </c>
      <c r="Q887" s="5" t="n">
        <v>0</v>
      </c>
      <c r="R887" s="5" t="n">
        <v>1</v>
      </c>
      <c r="S887" s="5" t="n">
        <v>0</v>
      </c>
      <c r="T887" s="5" t="n">
        <v>0</v>
      </c>
      <c r="U887" s="5" t="inlineStr">
        <is>
          <t>testing</t>
        </is>
      </c>
    </row>
    <row r="888">
      <c r="A888" s="5" t="n">
        <v>884</v>
      </c>
      <c r="B888" s="5" t="n">
        <v>0</v>
      </c>
      <c r="C888" s="6" t="n">
        <v>-0.2301473069597001</v>
      </c>
      <c r="D888" s="6" t="n">
        <v>-0.7532126056839472</v>
      </c>
      <c r="E888" s="6" t="n">
        <v>2.562225189763305</v>
      </c>
      <c r="F888" s="6" t="n">
        <v>0.9185437189662378</v>
      </c>
      <c r="G888" s="5" t="n">
        <v>0</v>
      </c>
      <c r="H888" s="5" t="n">
        <v>0</v>
      </c>
      <c r="I888" s="5" t="n">
        <v>0</v>
      </c>
      <c r="J888" s="5" t="n">
        <v>1</v>
      </c>
      <c r="K888" s="5" t="n">
        <v>0</v>
      </c>
      <c r="L888" s="5" t="n">
        <v>0</v>
      </c>
      <c r="M888" s="5" t="n">
        <v>0</v>
      </c>
      <c r="N888" s="5" t="n">
        <v>0</v>
      </c>
      <c r="O888" s="5" t="n">
        <v>0</v>
      </c>
      <c r="P888" s="5" t="n">
        <v>0</v>
      </c>
      <c r="Q888" s="5" t="n">
        <v>0</v>
      </c>
      <c r="R888" s="5" t="n">
        <v>0</v>
      </c>
      <c r="S888" s="5" t="n">
        <v>1</v>
      </c>
      <c r="T888" s="5" t="n">
        <v>0</v>
      </c>
      <c r="U888" s="5" t="inlineStr">
        <is>
          <t>testing</t>
        </is>
      </c>
    </row>
    <row r="889">
      <c r="A889" s="5" t="n">
        <v>885</v>
      </c>
      <c r="B889" s="5" t="n">
        <v>1</v>
      </c>
      <c r="C889" s="6" t="n">
        <v>0.275406400796963</v>
      </c>
      <c r="D889" s="6" t="n">
        <v>0.2821200172354622</v>
      </c>
      <c r="E889" s="6" t="n">
        <v>0.648818734407137</v>
      </c>
      <c r="F889" s="6" t="n">
        <v>0.01674764143977723</v>
      </c>
      <c r="G889" s="5" t="n">
        <v>0</v>
      </c>
      <c r="H889" s="5" t="n">
        <v>1</v>
      </c>
      <c r="I889" s="5" t="n">
        <v>0</v>
      </c>
      <c r="J889" s="5" t="n">
        <v>0</v>
      </c>
      <c r="K889" s="5" t="n">
        <v>0</v>
      </c>
      <c r="L889" s="5" t="n">
        <v>0</v>
      </c>
      <c r="M889" s="5" t="n">
        <v>0</v>
      </c>
      <c r="N889" s="5" t="n">
        <v>0</v>
      </c>
      <c r="O889" s="5" t="n">
        <v>0</v>
      </c>
      <c r="P889" s="5" t="n">
        <v>0</v>
      </c>
      <c r="Q889" s="5" t="n">
        <v>0</v>
      </c>
      <c r="R889" s="5" t="n">
        <v>0</v>
      </c>
      <c r="S889" s="5" t="n">
        <v>0</v>
      </c>
      <c r="T889" s="5" t="n">
        <v>1</v>
      </c>
      <c r="U889" s="5" t="inlineStr">
        <is>
          <t>training</t>
        </is>
      </c>
    </row>
    <row r="890">
      <c r="A890" s="5" t="n">
        <v>886</v>
      </c>
      <c r="B890" s="5" t="n">
        <v>1</v>
      </c>
      <c r="C890" s="6" t="n">
        <v>-0.7357010147163632</v>
      </c>
      <c r="D890" s="6" t="n">
        <v>-0.8592301064425079</v>
      </c>
      <c r="E890" s="6" t="n">
        <v>1.518548941387213</v>
      </c>
      <c r="F890" s="6" t="n">
        <v>0.9185437189662378</v>
      </c>
      <c r="G890" s="5" t="n">
        <v>1</v>
      </c>
      <c r="H890" s="5" t="n">
        <v>0</v>
      </c>
      <c r="I890" s="5" t="n">
        <v>0</v>
      </c>
      <c r="J890" s="5" t="n">
        <v>0</v>
      </c>
      <c r="K890" s="5" t="n">
        <v>0</v>
      </c>
      <c r="L890" s="5" t="n">
        <v>0</v>
      </c>
      <c r="M890" s="5" t="n">
        <v>0</v>
      </c>
      <c r="N890" s="5" t="n">
        <v>0</v>
      </c>
      <c r="O890" s="5" t="n">
        <v>0</v>
      </c>
      <c r="P890" s="5" t="n">
        <v>0</v>
      </c>
      <c r="Q890" s="5" t="n">
        <v>0</v>
      </c>
      <c r="R890" s="5" t="n">
        <v>0</v>
      </c>
      <c r="S890" s="5" t="n">
        <v>0</v>
      </c>
      <c r="T890" s="5" t="n">
        <v>0</v>
      </c>
      <c r="U890" s="5" t="inlineStr">
        <is>
          <t>testing</t>
        </is>
      </c>
    </row>
    <row r="891">
      <c r="A891" s="5" t="n">
        <v>887</v>
      </c>
      <c r="B891" s="5" t="n">
        <v>0</v>
      </c>
      <c r="C891" s="6" t="n">
        <v>0.275406400796963</v>
      </c>
      <c r="D891" s="6" t="n">
        <v>-0.1489478406343291</v>
      </c>
      <c r="E891" s="6" t="n">
        <v>-0.1339384518749317</v>
      </c>
      <c r="F891" s="6" t="n">
        <v>0.9185437189662378</v>
      </c>
      <c r="G891" s="5" t="n">
        <v>0</v>
      </c>
      <c r="H891" s="5" t="n">
        <v>1</v>
      </c>
      <c r="I891" s="5" t="n">
        <v>0</v>
      </c>
      <c r="J891" s="5" t="n">
        <v>1</v>
      </c>
      <c r="K891" s="5" t="n">
        <v>0</v>
      </c>
      <c r="L891" s="5" t="n">
        <v>0</v>
      </c>
      <c r="M891" s="5" t="n">
        <v>0</v>
      </c>
      <c r="N891" s="5" t="n">
        <v>0</v>
      </c>
      <c r="O891" s="5" t="n">
        <v>1</v>
      </c>
      <c r="P891" s="5" t="n">
        <v>0</v>
      </c>
      <c r="Q891" s="5" t="n">
        <v>0</v>
      </c>
      <c r="R891" s="5" t="n">
        <v>0</v>
      </c>
      <c r="S891" s="5" t="n">
        <v>0</v>
      </c>
      <c r="T891" s="5" t="n">
        <v>0</v>
      </c>
      <c r="U891" s="5" t="inlineStr">
        <is>
          <t>training</t>
        </is>
      </c>
    </row>
    <row r="892">
      <c r="A892" s="5" t="n">
        <v>888</v>
      </c>
      <c r="B892" s="5" t="n">
        <v>1</v>
      </c>
      <c r="C892" s="6" t="n">
        <v>2.297621231823615</v>
      </c>
      <c r="D892" s="6" t="n">
        <v>4.346124212980288</v>
      </c>
      <c r="E892" s="6" t="n">
        <v>-1.090641679553016</v>
      </c>
      <c r="F892" s="6" t="n">
        <v>-0.8850484360866833</v>
      </c>
      <c r="G892" s="5" t="n">
        <v>0</v>
      </c>
      <c r="H892" s="5" t="n">
        <v>1</v>
      </c>
      <c r="I892" s="5" t="n">
        <v>0</v>
      </c>
      <c r="J892" s="5" t="n">
        <v>0</v>
      </c>
      <c r="K892" s="5" t="n">
        <v>0</v>
      </c>
      <c r="L892" s="5" t="n">
        <v>0</v>
      </c>
      <c r="M892" s="5" t="n">
        <v>0</v>
      </c>
      <c r="N892" s="5" t="n">
        <v>0</v>
      </c>
      <c r="O892" s="5" t="n">
        <v>0</v>
      </c>
      <c r="P892" s="5" t="n">
        <v>0</v>
      </c>
      <c r="Q892" s="5" t="n">
        <v>0</v>
      </c>
      <c r="R892" s="5" t="n">
        <v>0</v>
      </c>
      <c r="S892" s="5" t="n">
        <v>0</v>
      </c>
      <c r="T892" s="5" t="n">
        <v>0</v>
      </c>
      <c r="U892" s="5" t="inlineStr">
        <is>
          <t>training</t>
        </is>
      </c>
    </row>
    <row r="893">
      <c r="A893" s="5" t="n">
        <v>889</v>
      </c>
      <c r="B893" s="5" t="n">
        <v>0</v>
      </c>
      <c r="C893" s="6" t="n">
        <v>1.286513816310289</v>
      </c>
      <c r="D893" s="6" t="n">
        <v>1.176795757960345</v>
      </c>
      <c r="E893" s="6" t="n">
        <v>-0.1339384518749317</v>
      </c>
      <c r="F893" s="6" t="n">
        <v>0.9185437189662378</v>
      </c>
      <c r="G893" s="5" t="n">
        <v>0</v>
      </c>
      <c r="H893" s="5" t="n">
        <v>0</v>
      </c>
      <c r="I893" s="5" t="n">
        <v>0</v>
      </c>
      <c r="J893" s="5" t="n">
        <v>1</v>
      </c>
      <c r="K893" s="5" t="n">
        <v>0</v>
      </c>
      <c r="L893" s="5" t="n">
        <v>0</v>
      </c>
      <c r="M893" s="5" t="n">
        <v>0</v>
      </c>
      <c r="N893" s="5" t="n">
        <v>0</v>
      </c>
      <c r="O893" s="5" t="n">
        <v>0</v>
      </c>
      <c r="P893" s="5" t="n">
        <v>0</v>
      </c>
      <c r="Q893" s="5" t="n">
        <v>0</v>
      </c>
      <c r="R893" s="5" t="n">
        <v>1</v>
      </c>
      <c r="S893" s="5" t="n">
        <v>0</v>
      </c>
      <c r="T893" s="5" t="n">
        <v>0</v>
      </c>
      <c r="U893" s="5" t="inlineStr">
        <is>
          <t>training</t>
        </is>
      </c>
    </row>
    <row r="894">
      <c r="A894" s="5" t="n">
        <v>890</v>
      </c>
      <c r="B894" s="5" t="n">
        <v>0</v>
      </c>
      <c r="C894" s="6" t="n">
        <v>0.6124422059680718</v>
      </c>
      <c r="D894" s="6" t="n">
        <v>1.600165975511033</v>
      </c>
      <c r="E894" s="6" t="n">
        <v>0.3878996723131141</v>
      </c>
      <c r="F894" s="6" t="n">
        <v>0.01674764143977723</v>
      </c>
      <c r="G894" s="5" t="n">
        <v>0</v>
      </c>
      <c r="H894" s="5" t="n">
        <v>0</v>
      </c>
      <c r="I894" s="5" t="n">
        <v>0</v>
      </c>
      <c r="J894" s="5" t="n">
        <v>0</v>
      </c>
      <c r="K894" s="5" t="n">
        <v>0</v>
      </c>
      <c r="L894" s="5" t="n">
        <v>1</v>
      </c>
      <c r="M894" s="5" t="n">
        <v>0</v>
      </c>
      <c r="N894" s="5" t="n">
        <v>0</v>
      </c>
      <c r="O894" s="5" t="n">
        <v>1</v>
      </c>
      <c r="P894" s="5" t="n">
        <v>1</v>
      </c>
      <c r="Q894" s="5" t="n">
        <v>0</v>
      </c>
      <c r="R894" s="5" t="n">
        <v>1</v>
      </c>
      <c r="S894" s="5" t="n">
        <v>0</v>
      </c>
      <c r="T894" s="5" t="n">
        <v>0</v>
      </c>
      <c r="U894" s="5" t="inlineStr">
        <is>
          <t>training</t>
        </is>
      </c>
    </row>
    <row r="895">
      <c r="A895" s="5" t="n">
        <v>891</v>
      </c>
      <c r="B895" s="5" t="n">
        <v>0</v>
      </c>
      <c r="C895" s="6" t="n">
        <v>0.5281832546752946</v>
      </c>
      <c r="D895" s="6" t="n">
        <v>-0.282956760735084</v>
      </c>
      <c r="E895" s="6" t="n">
        <v>0.648818734407137</v>
      </c>
      <c r="F895" s="6" t="n">
        <v>0.9185437189662378</v>
      </c>
      <c r="G895" s="5" t="n">
        <v>1</v>
      </c>
      <c r="H895" s="5" t="n">
        <v>0</v>
      </c>
      <c r="I895" s="5" t="n">
        <v>0</v>
      </c>
      <c r="J895" s="5" t="n">
        <v>1</v>
      </c>
      <c r="K895" s="5" t="n">
        <v>0</v>
      </c>
      <c r="L895" s="5" t="n">
        <v>0</v>
      </c>
      <c r="M895" s="5" t="n">
        <v>0</v>
      </c>
      <c r="N895" s="5" t="n">
        <v>0</v>
      </c>
      <c r="O895" s="5" t="n">
        <v>0</v>
      </c>
      <c r="P895" s="5" t="n">
        <v>0</v>
      </c>
      <c r="Q895" s="5" t="n">
        <v>0</v>
      </c>
      <c r="R895" s="5" t="n">
        <v>0</v>
      </c>
      <c r="S895" s="5" t="n">
        <v>0</v>
      </c>
      <c r="T895" s="5" t="n">
        <v>0</v>
      </c>
      <c r="U895" s="5" t="inlineStr">
        <is>
          <t>training</t>
        </is>
      </c>
    </row>
    <row r="896">
      <c r="A896" s="5" t="n">
        <v>892</v>
      </c>
      <c r="B896" s="5" t="n">
        <v>0</v>
      </c>
      <c r="C896" s="6" t="n">
        <v>-0.4829241608380317</v>
      </c>
      <c r="D896" s="6" t="n">
        <v>-0.4974410114446473</v>
      </c>
      <c r="E896" s="6" t="n">
        <v>0.9097377965011599</v>
      </c>
      <c r="F896" s="6" t="n">
        <v>0.9185437189662378</v>
      </c>
      <c r="G896" s="5" t="n">
        <v>0</v>
      </c>
      <c r="H896" s="5" t="n">
        <v>0</v>
      </c>
      <c r="I896" s="5" t="n">
        <v>0</v>
      </c>
      <c r="J896" s="5" t="n">
        <v>1</v>
      </c>
      <c r="K896" s="5" t="n">
        <v>0</v>
      </c>
      <c r="L896" s="5" t="n">
        <v>0</v>
      </c>
      <c r="M896" s="5" t="n">
        <v>0</v>
      </c>
      <c r="N896" s="5" t="n">
        <v>0</v>
      </c>
      <c r="O896" s="5" t="n">
        <v>0</v>
      </c>
      <c r="P896" s="5" t="n">
        <v>0</v>
      </c>
      <c r="Q896" s="5" t="n">
        <v>0</v>
      </c>
      <c r="R896" s="5" t="n">
        <v>0</v>
      </c>
      <c r="S896" s="5" t="n">
        <v>1</v>
      </c>
      <c r="T896" s="5" t="n">
        <v>0</v>
      </c>
      <c r="U896" s="5" t="inlineStr">
        <is>
          <t>training</t>
        </is>
      </c>
    </row>
    <row r="897">
      <c r="A897" s="5" t="n">
        <v>893</v>
      </c>
      <c r="B897" s="5" t="n">
        <v>0</v>
      </c>
      <c r="C897" s="6" t="n">
        <v>-0.7357010147163632</v>
      </c>
      <c r="D897" s="6" t="n">
        <v>-0.377777693756767</v>
      </c>
      <c r="E897" s="6" t="n">
        <v>0.2139536309170988</v>
      </c>
      <c r="F897" s="6" t="n">
        <v>0.9185437189662378</v>
      </c>
      <c r="G897" s="5" t="n">
        <v>1</v>
      </c>
      <c r="H897" s="5" t="n">
        <v>0</v>
      </c>
      <c r="I897" s="5" t="n">
        <v>0</v>
      </c>
      <c r="J897" s="5" t="n">
        <v>1</v>
      </c>
      <c r="K897" s="5" t="n">
        <v>0</v>
      </c>
      <c r="L897" s="5" t="n">
        <v>0</v>
      </c>
      <c r="M897" s="5" t="n">
        <v>0</v>
      </c>
      <c r="N897" s="5" t="n">
        <v>0</v>
      </c>
      <c r="O897" s="5" t="n">
        <v>0</v>
      </c>
      <c r="P897" s="5" t="n">
        <v>0</v>
      </c>
      <c r="Q897" s="5" t="n">
        <v>0</v>
      </c>
      <c r="R897" s="5" t="n">
        <v>1</v>
      </c>
      <c r="S897" s="5" t="n">
        <v>0</v>
      </c>
      <c r="T897" s="5" t="n">
        <v>0</v>
      </c>
      <c r="U897" s="5" t="inlineStr">
        <is>
          <t>training</t>
        </is>
      </c>
    </row>
    <row r="898">
      <c r="A898" s="5" t="n">
        <v>894</v>
      </c>
      <c r="B898" s="5" t="n">
        <v>0</v>
      </c>
      <c r="C898" s="6" t="n">
        <v>1.286513816310289</v>
      </c>
      <c r="D898" s="6" t="n">
        <v>0.8919830661535191</v>
      </c>
      <c r="E898" s="6" t="n">
        <v>-0.1339384518749317</v>
      </c>
      <c r="F898" s="6" t="n">
        <v>0.01674764143977723</v>
      </c>
      <c r="G898" s="5" t="n">
        <v>0</v>
      </c>
      <c r="H898" s="5" t="n">
        <v>1</v>
      </c>
      <c r="I898" s="5" t="n">
        <v>0</v>
      </c>
      <c r="J898" s="5" t="n">
        <v>1</v>
      </c>
      <c r="K898" s="5" t="n">
        <v>0</v>
      </c>
      <c r="L898" s="5" t="n">
        <v>0</v>
      </c>
      <c r="M898" s="5" t="n">
        <v>0</v>
      </c>
      <c r="N898" s="5" t="n">
        <v>0</v>
      </c>
      <c r="O898" s="5" t="n">
        <v>0</v>
      </c>
      <c r="P898" s="5" t="n">
        <v>0</v>
      </c>
      <c r="Q898" s="5" t="n">
        <v>0</v>
      </c>
      <c r="R898" s="5" t="n">
        <v>1</v>
      </c>
      <c r="S898" s="5" t="n">
        <v>0</v>
      </c>
      <c r="T898" s="5" t="n">
        <v>0</v>
      </c>
      <c r="U898" s="5" t="inlineStr">
        <is>
          <t>testing</t>
        </is>
      </c>
    </row>
    <row r="899">
      <c r="A899" s="5" t="n">
        <v>895</v>
      </c>
      <c r="B899" s="5" t="n">
        <v>0</v>
      </c>
      <c r="C899" s="6" t="n">
        <v>-0.2301473069597001</v>
      </c>
      <c r="D899" s="6" t="n">
        <v>-0.7283702210177497</v>
      </c>
      <c r="E899" s="6" t="n">
        <v>-0.5688035553649698</v>
      </c>
      <c r="F899" s="6" t="n">
        <v>0.9185437189662378</v>
      </c>
      <c r="G899" s="5" t="n">
        <v>0</v>
      </c>
      <c r="H899" s="5" t="n">
        <v>0</v>
      </c>
      <c r="I899" s="5" t="n">
        <v>0</v>
      </c>
      <c r="J899" s="5" t="n">
        <v>1</v>
      </c>
      <c r="K899" s="5" t="n">
        <v>0</v>
      </c>
      <c r="L899" s="5" t="n">
        <v>0</v>
      </c>
      <c r="M899" s="5" t="n">
        <v>0</v>
      </c>
      <c r="N899" s="5" t="n">
        <v>0</v>
      </c>
      <c r="O899" s="5" t="n">
        <v>1</v>
      </c>
      <c r="P899" s="5" t="n">
        <v>0</v>
      </c>
      <c r="Q899" s="5" t="n">
        <v>0</v>
      </c>
      <c r="R899" s="5" t="n">
        <v>0</v>
      </c>
      <c r="S899" s="5" t="n">
        <v>1</v>
      </c>
      <c r="T899" s="5" t="n">
        <v>0</v>
      </c>
      <c r="U899" s="5" t="inlineStr">
        <is>
          <t>training</t>
        </is>
      </c>
    </row>
    <row r="900">
      <c r="A900" s="5" t="n">
        <v>896</v>
      </c>
      <c r="B900" s="5" t="n">
        <v>0</v>
      </c>
      <c r="C900" s="6" t="n">
        <v>1.286513816310289</v>
      </c>
      <c r="D900" s="6" t="n">
        <v>1.993095524527085</v>
      </c>
      <c r="E900" s="6" t="n">
        <v>-0.3948575139689546</v>
      </c>
      <c r="F900" s="6" t="n">
        <v>0.01674764143977723</v>
      </c>
      <c r="G900" s="5" t="n">
        <v>0</v>
      </c>
      <c r="H900" s="5" t="n">
        <v>0</v>
      </c>
      <c r="I900" s="5" t="n">
        <v>0</v>
      </c>
      <c r="J900" s="5" t="n">
        <v>0</v>
      </c>
      <c r="K900" s="5" t="n">
        <v>1</v>
      </c>
      <c r="L900" s="5" t="n">
        <v>0</v>
      </c>
      <c r="M900" s="5" t="n">
        <v>0</v>
      </c>
      <c r="N900" s="5" t="n">
        <v>0</v>
      </c>
      <c r="O900" s="5" t="n">
        <v>1</v>
      </c>
      <c r="P900" s="5" t="n">
        <v>0</v>
      </c>
      <c r="Q900" s="5" t="n">
        <v>0</v>
      </c>
      <c r="R900" s="5" t="n">
        <v>1</v>
      </c>
      <c r="S900" s="5" t="n">
        <v>0</v>
      </c>
      <c r="T900" s="5" t="n">
        <v>0</v>
      </c>
      <c r="U900" s="5" t="inlineStr">
        <is>
          <t>testing</t>
        </is>
      </c>
    </row>
    <row r="901">
      <c r="A901" s="5" t="n">
        <v>897</v>
      </c>
      <c r="B901" s="5" t="n">
        <v>0</v>
      </c>
      <c r="C901" s="6" t="n">
        <v>0.02262954691863145</v>
      </c>
      <c r="D901" s="6" t="n">
        <v>-0.2255743510835858</v>
      </c>
      <c r="E901" s="6" t="n">
        <v>-0.6557765760629775</v>
      </c>
      <c r="F901" s="6" t="n">
        <v>0.9185437189662378</v>
      </c>
      <c r="G901" s="5" t="n">
        <v>1</v>
      </c>
      <c r="H901" s="5" t="n">
        <v>0</v>
      </c>
      <c r="I901" s="5" t="n">
        <v>0</v>
      </c>
      <c r="J901" s="5" t="n">
        <v>0</v>
      </c>
      <c r="K901" s="5" t="n">
        <v>0</v>
      </c>
      <c r="L901" s="5" t="n">
        <v>0</v>
      </c>
      <c r="M901" s="5" t="n">
        <v>0</v>
      </c>
      <c r="N901" s="5" t="n">
        <v>0</v>
      </c>
      <c r="O901" s="5" t="n">
        <v>0</v>
      </c>
      <c r="P901" s="5" t="n">
        <v>1</v>
      </c>
      <c r="Q901" s="5" t="n">
        <v>0</v>
      </c>
      <c r="R901" s="5" t="n">
        <v>0</v>
      </c>
      <c r="S901" s="5" t="n">
        <v>1</v>
      </c>
      <c r="T901" s="5" t="n">
        <v>0</v>
      </c>
      <c r="U901" s="5" t="inlineStr">
        <is>
          <t>testing</t>
        </is>
      </c>
    </row>
    <row r="902">
      <c r="A902" s="5" t="n">
        <v>898</v>
      </c>
      <c r="B902" s="5" t="n">
        <v>0</v>
      </c>
      <c r="C902" s="6" t="n">
        <v>-0.7357010147163632</v>
      </c>
      <c r="D902" s="6" t="n">
        <v>-0.5803655912458977</v>
      </c>
      <c r="E902" s="6" t="n">
        <v>-0.04696543117692405</v>
      </c>
      <c r="F902" s="6" t="n">
        <v>0.01674764143977723</v>
      </c>
      <c r="G902" s="5" t="n">
        <v>0</v>
      </c>
      <c r="H902" s="5" t="n">
        <v>0</v>
      </c>
      <c r="I902" s="5" t="n">
        <v>0</v>
      </c>
      <c r="J902" s="5" t="n">
        <v>1</v>
      </c>
      <c r="K902" s="5" t="n">
        <v>0</v>
      </c>
      <c r="L902" s="5" t="n">
        <v>0</v>
      </c>
      <c r="M902" s="5" t="n">
        <v>0</v>
      </c>
      <c r="N902" s="5" t="n">
        <v>1</v>
      </c>
      <c r="O902" s="5" t="n">
        <v>0</v>
      </c>
      <c r="P902" s="5" t="n">
        <v>0</v>
      </c>
      <c r="Q902" s="5" t="n">
        <v>0</v>
      </c>
      <c r="R902" s="5" t="n">
        <v>0</v>
      </c>
      <c r="S902" s="5" t="n">
        <v>0</v>
      </c>
      <c r="T902" s="5" t="n">
        <v>1</v>
      </c>
      <c r="U902" s="5" t="inlineStr">
        <is>
          <t>training</t>
        </is>
      </c>
    </row>
    <row r="903">
      <c r="A903" s="5" t="n">
        <v>899</v>
      </c>
      <c r="B903" s="5" t="n">
        <v>0</v>
      </c>
      <c r="C903" s="6" t="n">
        <v>-0.4829241608380317</v>
      </c>
      <c r="D903" s="6" t="n">
        <v>-0.3725293026301055</v>
      </c>
      <c r="E903" s="6" t="n">
        <v>-0.2209114725729393</v>
      </c>
      <c r="F903" s="6" t="n">
        <v>-1.786844513613144</v>
      </c>
      <c r="G903" s="5" t="n">
        <v>0</v>
      </c>
      <c r="H903" s="5" t="n">
        <v>0</v>
      </c>
      <c r="I903" s="5" t="n">
        <v>0</v>
      </c>
      <c r="J903" s="5" t="n">
        <v>0</v>
      </c>
      <c r="K903" s="5" t="n">
        <v>0</v>
      </c>
      <c r="L903" s="5" t="n">
        <v>0</v>
      </c>
      <c r="M903" s="5" t="n">
        <v>0</v>
      </c>
      <c r="N903" s="5" t="n">
        <v>0</v>
      </c>
      <c r="O903" s="5" t="n">
        <v>1</v>
      </c>
      <c r="P903" s="5" t="n">
        <v>1</v>
      </c>
      <c r="Q903" s="5" t="n">
        <v>0</v>
      </c>
      <c r="R903" s="5" t="n">
        <v>0</v>
      </c>
      <c r="S903" s="5" t="n">
        <v>0</v>
      </c>
      <c r="T903" s="5" t="n">
        <v>1</v>
      </c>
      <c r="U903" s="5" t="inlineStr">
        <is>
          <t>testing</t>
        </is>
      </c>
    </row>
    <row r="904">
      <c r="A904" s="5" t="n">
        <v>900</v>
      </c>
      <c r="B904" s="5" t="n">
        <v>1</v>
      </c>
      <c r="C904" s="6" t="n">
        <v>-0.2301473069597001</v>
      </c>
      <c r="D904" s="6" t="n">
        <v>0.3157097204460952</v>
      </c>
      <c r="E904" s="6" t="n">
        <v>0.5618457137091294</v>
      </c>
      <c r="F904" s="6" t="n">
        <v>-0.8850484360866833</v>
      </c>
      <c r="G904" s="5" t="n">
        <v>1</v>
      </c>
      <c r="H904" s="5" t="n">
        <v>0</v>
      </c>
      <c r="I904" s="5" t="n">
        <v>0</v>
      </c>
      <c r="J904" s="5" t="n">
        <v>0</v>
      </c>
      <c r="K904" s="5" t="n">
        <v>0</v>
      </c>
      <c r="L904" s="5" t="n">
        <v>0</v>
      </c>
      <c r="M904" s="5" t="n">
        <v>0</v>
      </c>
      <c r="N904" s="5" t="n">
        <v>0</v>
      </c>
      <c r="O904" s="5" t="n">
        <v>0</v>
      </c>
      <c r="P904" s="5" t="n">
        <v>0</v>
      </c>
      <c r="Q904" s="5" t="n">
        <v>0</v>
      </c>
      <c r="R904" s="5" t="n">
        <v>0</v>
      </c>
      <c r="S904" s="5" t="n">
        <v>0</v>
      </c>
      <c r="T904" s="5" t="n">
        <v>1</v>
      </c>
      <c r="U904" s="5" t="inlineStr">
        <is>
          <t>training</t>
        </is>
      </c>
    </row>
    <row r="905">
      <c r="A905" s="5" t="n">
        <v>901</v>
      </c>
      <c r="B905" s="5" t="n">
        <v>1</v>
      </c>
      <c r="C905" s="6" t="n">
        <v>-0.3986652095452545</v>
      </c>
      <c r="D905" s="6" t="n">
        <v>-0.2189263889898147</v>
      </c>
      <c r="E905" s="6" t="n">
        <v>0.648818734407137</v>
      </c>
      <c r="F905" s="6" t="n">
        <v>-0.8850484360866833</v>
      </c>
      <c r="G905" s="5" t="n">
        <v>1</v>
      </c>
      <c r="H905" s="5" t="n">
        <v>0</v>
      </c>
      <c r="I905" s="5" t="n">
        <v>0</v>
      </c>
      <c r="J905" s="5" t="n">
        <v>1</v>
      </c>
      <c r="K905" s="5" t="n">
        <v>0</v>
      </c>
      <c r="L905" s="5" t="n">
        <v>0</v>
      </c>
      <c r="M905" s="5" t="n">
        <v>0</v>
      </c>
      <c r="N905" s="5" t="n">
        <v>0</v>
      </c>
      <c r="O905" s="5" t="n">
        <v>0</v>
      </c>
      <c r="P905" s="5" t="n">
        <v>1</v>
      </c>
      <c r="Q905" s="5" t="n">
        <v>0</v>
      </c>
      <c r="R905" s="5" t="n">
        <v>1</v>
      </c>
      <c r="S905" s="5" t="n">
        <v>0</v>
      </c>
      <c r="T905" s="5" t="n">
        <v>0</v>
      </c>
      <c r="U905" s="5" t="inlineStr">
        <is>
          <t>training</t>
        </is>
      </c>
    </row>
    <row r="906">
      <c r="A906" s="5" t="n">
        <v>902</v>
      </c>
      <c r="B906" s="5" t="n">
        <v>0</v>
      </c>
      <c r="C906" s="6" t="n">
        <v>-0.06162940437414574</v>
      </c>
      <c r="D906" s="6" t="n">
        <v>0.08198136893877335</v>
      </c>
      <c r="E906" s="6" t="n">
        <v>0.7357917551051447</v>
      </c>
      <c r="F906" s="6" t="n">
        <v>-0.8850484360866833</v>
      </c>
      <c r="G906" s="5" t="n">
        <v>0</v>
      </c>
      <c r="H906" s="5" t="n">
        <v>0</v>
      </c>
      <c r="I906" s="5" t="n">
        <v>0</v>
      </c>
      <c r="J906" s="5" t="n">
        <v>1</v>
      </c>
      <c r="K906" s="5" t="n">
        <v>0</v>
      </c>
      <c r="L906" s="5" t="n">
        <v>0</v>
      </c>
      <c r="M906" s="5" t="n">
        <v>0</v>
      </c>
      <c r="N906" s="5" t="n">
        <v>0</v>
      </c>
      <c r="O906" s="5" t="n">
        <v>1</v>
      </c>
      <c r="P906" s="5" t="n">
        <v>0</v>
      </c>
      <c r="Q906" s="5" t="n">
        <v>0</v>
      </c>
      <c r="R906" s="5" t="n">
        <v>1</v>
      </c>
      <c r="S906" s="5" t="n">
        <v>0</v>
      </c>
      <c r="T906" s="5" t="n">
        <v>0</v>
      </c>
      <c r="U906" s="5" t="inlineStr">
        <is>
          <t>testing</t>
        </is>
      </c>
    </row>
    <row r="907">
      <c r="A907" s="5" t="n">
        <v>903</v>
      </c>
      <c r="B907" s="5" t="n">
        <v>0</v>
      </c>
      <c r="C907" s="6" t="n">
        <v>1.286513816310289</v>
      </c>
      <c r="D907" s="6" t="n">
        <v>2.52843141944655</v>
      </c>
      <c r="E907" s="6" t="n">
        <v>0.5618457137091294</v>
      </c>
      <c r="F907" s="6" t="n">
        <v>-0.8850484360866833</v>
      </c>
      <c r="G907" s="5" t="n">
        <v>0</v>
      </c>
      <c r="H907" s="5" t="n">
        <v>0</v>
      </c>
      <c r="I907" s="5" t="n">
        <v>0</v>
      </c>
      <c r="J907" s="5" t="n">
        <v>1</v>
      </c>
      <c r="K907" s="5" t="n">
        <v>0</v>
      </c>
      <c r="L907" s="5" t="n">
        <v>0</v>
      </c>
      <c r="M907" s="5" t="n">
        <v>0</v>
      </c>
      <c r="N907" s="5" t="n">
        <v>0</v>
      </c>
      <c r="O907" s="5" t="n">
        <v>1</v>
      </c>
      <c r="P907" s="5" t="n">
        <v>0</v>
      </c>
      <c r="Q907" s="5" t="n">
        <v>1</v>
      </c>
      <c r="R907" s="5" t="n">
        <v>1</v>
      </c>
      <c r="S907" s="5" t="n">
        <v>0</v>
      </c>
      <c r="T907" s="5" t="n">
        <v>0</v>
      </c>
      <c r="U907" s="5" t="inlineStr">
        <is>
          <t>training</t>
        </is>
      </c>
    </row>
    <row r="908">
      <c r="A908" s="5" t="n">
        <v>904</v>
      </c>
      <c r="B908" s="5" t="n">
        <v>0</v>
      </c>
      <c r="C908" s="6" t="n">
        <v>-0.4829241608380317</v>
      </c>
      <c r="D908" s="6" t="n">
        <v>-0.6524434960520479</v>
      </c>
      <c r="E908" s="6" t="n">
        <v>0.3878996723131141</v>
      </c>
      <c r="F908" s="6" t="n">
        <v>0.9185437189662378</v>
      </c>
      <c r="G908" s="5" t="n">
        <v>0</v>
      </c>
      <c r="H908" s="5" t="n">
        <v>0</v>
      </c>
      <c r="I908" s="5" t="n">
        <v>0</v>
      </c>
      <c r="J908" s="5" t="n">
        <v>0</v>
      </c>
      <c r="K908" s="5" t="n">
        <v>0</v>
      </c>
      <c r="L908" s="5" t="n">
        <v>0</v>
      </c>
      <c r="M908" s="5" t="n">
        <v>0</v>
      </c>
      <c r="N908" s="5" t="n">
        <v>0</v>
      </c>
      <c r="O908" s="5" t="n">
        <v>1</v>
      </c>
      <c r="P908" s="5" t="n">
        <v>1</v>
      </c>
      <c r="Q908" s="5" t="n">
        <v>0</v>
      </c>
      <c r="R908" s="5" t="n">
        <v>0</v>
      </c>
      <c r="S908" s="5" t="n">
        <v>1</v>
      </c>
      <c r="T908" s="5" t="n">
        <v>0</v>
      </c>
      <c r="U908" s="5" t="inlineStr">
        <is>
          <t>testing</t>
        </is>
      </c>
    </row>
    <row r="909">
      <c r="A909" s="5" t="n">
        <v>905</v>
      </c>
      <c r="B909" s="5" t="n">
        <v>0</v>
      </c>
      <c r="C909" s="6" t="n">
        <v>0.275406400796963</v>
      </c>
      <c r="D909" s="6" t="n">
        <v>-0.6902319121640101</v>
      </c>
      <c r="E909" s="6" t="n">
        <v>0.04000758952108359</v>
      </c>
      <c r="F909" s="6" t="n">
        <v>0.9185437189662378</v>
      </c>
      <c r="G909" s="5" t="n">
        <v>0</v>
      </c>
      <c r="H909" s="5" t="n">
        <v>0</v>
      </c>
      <c r="I909" s="5" t="n">
        <v>0</v>
      </c>
      <c r="J909" s="5" t="n">
        <v>0</v>
      </c>
      <c r="K909" s="5" t="n">
        <v>0</v>
      </c>
      <c r="L909" s="5" t="n">
        <v>0</v>
      </c>
      <c r="M909" s="5" t="n">
        <v>0</v>
      </c>
      <c r="N909" s="5" t="n">
        <v>0</v>
      </c>
      <c r="O909" s="5" t="n">
        <v>0</v>
      </c>
      <c r="P909" s="5" t="n">
        <v>0</v>
      </c>
      <c r="Q909" s="5" t="n">
        <v>0</v>
      </c>
      <c r="R909" s="5" t="n">
        <v>0</v>
      </c>
      <c r="S909" s="5" t="n">
        <v>1</v>
      </c>
      <c r="T909" s="5" t="n">
        <v>0</v>
      </c>
      <c r="U909" s="5" t="inlineStr">
        <is>
          <t>training</t>
        </is>
      </c>
    </row>
    <row r="910">
      <c r="A910" s="5" t="n">
        <v>906</v>
      </c>
      <c r="B910" s="5" t="n">
        <v>0</v>
      </c>
      <c r="C910" s="6" t="n">
        <v>-0.7357010147163632</v>
      </c>
      <c r="D910" s="6" t="n">
        <v>-0.7500635710079503</v>
      </c>
      <c r="E910" s="6" t="n">
        <v>-1.351560741647039</v>
      </c>
      <c r="F910" s="6" t="n">
        <v>-0.8850484360866833</v>
      </c>
      <c r="G910" s="5" t="n">
        <v>1</v>
      </c>
      <c r="H910" s="5" t="n">
        <v>0</v>
      </c>
      <c r="I910" s="5" t="n">
        <v>0</v>
      </c>
      <c r="J910" s="5" t="n">
        <v>0</v>
      </c>
      <c r="K910" s="5" t="n">
        <v>0</v>
      </c>
      <c r="L910" s="5" t="n">
        <v>0</v>
      </c>
      <c r="M910" s="5" t="n">
        <v>0</v>
      </c>
      <c r="N910" s="5" t="n">
        <v>0</v>
      </c>
      <c r="O910" s="5" t="n">
        <v>0</v>
      </c>
      <c r="P910" s="5" t="n">
        <v>1</v>
      </c>
      <c r="Q910" s="5" t="n">
        <v>0</v>
      </c>
      <c r="R910" s="5" t="n">
        <v>0</v>
      </c>
      <c r="S910" s="5" t="n">
        <v>1</v>
      </c>
      <c r="T910" s="5" t="n">
        <v>0</v>
      </c>
      <c r="U910" s="5" t="inlineStr">
        <is>
          <t>testing</t>
        </is>
      </c>
    </row>
    <row r="911">
      <c r="A911" s="5" t="n">
        <v>907</v>
      </c>
      <c r="B911" s="5" t="n">
        <v>0</v>
      </c>
      <c r="C911" s="6" t="n">
        <v>0.02262954691863145</v>
      </c>
      <c r="D911" s="6" t="n">
        <v>0.1792515511528983</v>
      </c>
      <c r="E911" s="6" t="n">
        <v>-1.003668658855008</v>
      </c>
      <c r="F911" s="6" t="n">
        <v>-0.8850484360866833</v>
      </c>
      <c r="G911" s="5" t="n">
        <v>1</v>
      </c>
      <c r="H911" s="5" t="n">
        <v>0</v>
      </c>
      <c r="I911" s="5" t="n">
        <v>0</v>
      </c>
      <c r="J911" s="5" t="n">
        <v>0</v>
      </c>
      <c r="K911" s="5" t="n">
        <v>0</v>
      </c>
      <c r="L911" s="5" t="n">
        <v>0</v>
      </c>
      <c r="M911" s="5" t="n">
        <v>0</v>
      </c>
      <c r="N911" s="5" t="n">
        <v>0</v>
      </c>
      <c r="O911" s="5" t="n">
        <v>1</v>
      </c>
      <c r="P911" s="5" t="n">
        <v>0</v>
      </c>
      <c r="Q911" s="5" t="n">
        <v>0</v>
      </c>
      <c r="R911" s="5" t="n">
        <v>1</v>
      </c>
      <c r="S911" s="5" t="n">
        <v>0</v>
      </c>
      <c r="T911" s="5" t="n">
        <v>0</v>
      </c>
      <c r="U911" s="5" t="inlineStr">
        <is>
          <t>training</t>
        </is>
      </c>
    </row>
    <row r="912">
      <c r="A912" s="5" t="n">
        <v>908</v>
      </c>
      <c r="B912" s="5" t="n">
        <v>0</v>
      </c>
      <c r="C912" s="6" t="n">
        <v>1.286513816310289</v>
      </c>
      <c r="D912" s="6" t="n">
        <v>0.1610571285804721</v>
      </c>
      <c r="E912" s="6" t="n">
        <v>-0.7427495967609852</v>
      </c>
      <c r="F912" s="6" t="n">
        <v>-0.8850484360866833</v>
      </c>
      <c r="G912" s="5" t="n">
        <v>0</v>
      </c>
      <c r="H912" s="5" t="n">
        <v>1</v>
      </c>
      <c r="I912" s="5" t="n">
        <v>0</v>
      </c>
      <c r="J912" s="5" t="n">
        <v>0</v>
      </c>
      <c r="K912" s="5" t="n">
        <v>0</v>
      </c>
      <c r="L912" s="5" t="n">
        <v>0</v>
      </c>
      <c r="M912" s="5" t="n">
        <v>0</v>
      </c>
      <c r="N912" s="5" t="n">
        <v>0</v>
      </c>
      <c r="O912" s="5" t="n">
        <v>1</v>
      </c>
      <c r="P912" s="5" t="n">
        <v>0</v>
      </c>
      <c r="Q912" s="5" t="n">
        <v>0</v>
      </c>
      <c r="R912" s="5" t="n">
        <v>0</v>
      </c>
      <c r="S912" s="5" t="n">
        <v>0</v>
      </c>
      <c r="T912" s="5" t="n">
        <v>0</v>
      </c>
      <c r="U912" s="5" t="inlineStr">
        <is>
          <t>testing</t>
        </is>
      </c>
    </row>
    <row r="913">
      <c r="A913" s="5" t="n">
        <v>909</v>
      </c>
      <c r="B913" s="5" t="n">
        <v>0</v>
      </c>
      <c r="C913" s="6" t="n">
        <v>-0.4829241608380317</v>
      </c>
      <c r="D913" s="6" t="n">
        <v>0.120119677792513</v>
      </c>
      <c r="E913" s="6" t="n">
        <v>0.9097377965011599</v>
      </c>
      <c r="F913" s="6" t="n">
        <v>-1.786844513613144</v>
      </c>
      <c r="G913" s="5" t="n">
        <v>0</v>
      </c>
      <c r="H913" s="5" t="n">
        <v>0</v>
      </c>
      <c r="I913" s="5" t="n">
        <v>0</v>
      </c>
      <c r="J913" s="5" t="n">
        <v>0</v>
      </c>
      <c r="K913" s="5" t="n">
        <v>1</v>
      </c>
      <c r="L913" s="5" t="n">
        <v>0</v>
      </c>
      <c r="M913" s="5" t="n">
        <v>0</v>
      </c>
      <c r="N913" s="5" t="n">
        <v>0</v>
      </c>
      <c r="O913" s="5" t="n">
        <v>0</v>
      </c>
      <c r="P913" s="5" t="n">
        <v>0</v>
      </c>
      <c r="Q913" s="5" t="n">
        <v>0</v>
      </c>
      <c r="R913" s="5" t="n">
        <v>1</v>
      </c>
      <c r="S913" s="5" t="n">
        <v>0</v>
      </c>
      <c r="T913" s="5" t="n">
        <v>0</v>
      </c>
      <c r="U913" s="5" t="inlineStr">
        <is>
          <t>training</t>
        </is>
      </c>
    </row>
    <row r="914">
      <c r="A914" s="5" t="n">
        <v>910</v>
      </c>
      <c r="B914" s="5" t="n">
        <v>0</v>
      </c>
      <c r="C914" s="6" t="n">
        <v>-0.9884778685946948</v>
      </c>
      <c r="D914" s="6" t="n">
        <v>-0.01948752617668076</v>
      </c>
      <c r="E914" s="6" t="n">
        <v>-0.2209114725729393</v>
      </c>
      <c r="F914" s="6" t="n">
        <v>-1.786844513613144</v>
      </c>
      <c r="G914" s="5" t="n">
        <v>0</v>
      </c>
      <c r="H914" s="5" t="n">
        <v>1</v>
      </c>
      <c r="I914" s="5" t="n">
        <v>0</v>
      </c>
      <c r="J914" s="5" t="n">
        <v>0</v>
      </c>
      <c r="K914" s="5" t="n">
        <v>0</v>
      </c>
      <c r="L914" s="5" t="n">
        <v>0</v>
      </c>
      <c r="M914" s="5" t="n">
        <v>0</v>
      </c>
      <c r="N914" s="5" t="n">
        <v>0</v>
      </c>
      <c r="O914" s="5" t="n">
        <v>1</v>
      </c>
      <c r="P914" s="5" t="n">
        <v>0</v>
      </c>
      <c r="Q914" s="5" t="n">
        <v>0</v>
      </c>
      <c r="R914" s="5" t="n">
        <v>1</v>
      </c>
      <c r="S914" s="5" t="n">
        <v>0</v>
      </c>
      <c r="T914" s="5" t="n">
        <v>0</v>
      </c>
      <c r="U914" s="5" t="inlineStr">
        <is>
          <t>testing</t>
        </is>
      </c>
    </row>
    <row r="915">
      <c r="A915" s="5" t="n">
        <v>911</v>
      </c>
      <c r="B915" s="5" t="n">
        <v>0</v>
      </c>
      <c r="C915" s="6" t="n">
        <v>1.286513816310289</v>
      </c>
      <c r="D915" s="6" t="n">
        <v>0.421027435721101</v>
      </c>
      <c r="E915" s="6" t="n">
        <v>-0.1339384518749317</v>
      </c>
      <c r="F915" s="6" t="n">
        <v>0.9185437189662378</v>
      </c>
      <c r="G915" s="5" t="n">
        <v>0</v>
      </c>
      <c r="H915" s="5" t="n">
        <v>0</v>
      </c>
      <c r="I915" s="5" t="n">
        <v>0</v>
      </c>
      <c r="J915" s="5" t="n">
        <v>0</v>
      </c>
      <c r="K915" s="5" t="n">
        <v>1</v>
      </c>
      <c r="L915" s="5" t="n">
        <v>0</v>
      </c>
      <c r="M915" s="5" t="n">
        <v>0</v>
      </c>
      <c r="N915" s="5" t="n">
        <v>0</v>
      </c>
      <c r="O915" s="5" t="n">
        <v>0</v>
      </c>
      <c r="P915" s="5" t="n">
        <v>0</v>
      </c>
      <c r="Q915" s="5" t="n">
        <v>0</v>
      </c>
      <c r="R915" s="5" t="n">
        <v>0</v>
      </c>
      <c r="S915" s="5" t="n">
        <v>1</v>
      </c>
      <c r="T915" s="5" t="n">
        <v>0</v>
      </c>
      <c r="U915" s="5" t="inlineStr">
        <is>
          <t>training</t>
        </is>
      </c>
    </row>
    <row r="916">
      <c r="A916" s="5" t="n">
        <v>912</v>
      </c>
      <c r="B916" s="5" t="n">
        <v>1</v>
      </c>
      <c r="C916" s="6" t="n">
        <v>0.275406400796963</v>
      </c>
      <c r="D916" s="6" t="n">
        <v>0.5196971889023357</v>
      </c>
      <c r="E916" s="6" t="n">
        <v>-0.9166956381570004</v>
      </c>
      <c r="F916" s="6" t="n">
        <v>-0.8850484360866833</v>
      </c>
      <c r="G916" s="5" t="n">
        <v>0</v>
      </c>
      <c r="H916" s="5" t="n">
        <v>1</v>
      </c>
      <c r="I916" s="5" t="n">
        <v>0</v>
      </c>
      <c r="J916" s="5" t="n">
        <v>1</v>
      </c>
      <c r="K916" s="5" t="n">
        <v>0</v>
      </c>
      <c r="L916" s="5" t="n">
        <v>0</v>
      </c>
      <c r="M916" s="5" t="n">
        <v>0</v>
      </c>
      <c r="N916" s="5" t="n">
        <v>0</v>
      </c>
      <c r="O916" s="5" t="n">
        <v>0</v>
      </c>
      <c r="P916" s="5" t="n">
        <v>0</v>
      </c>
      <c r="Q916" s="5" t="n">
        <v>0</v>
      </c>
      <c r="R916" s="5" t="n">
        <v>0</v>
      </c>
      <c r="S916" s="5" t="n">
        <v>0</v>
      </c>
      <c r="T916" s="5" t="n">
        <v>1</v>
      </c>
      <c r="U916" s="5" t="inlineStr">
        <is>
          <t>testing</t>
        </is>
      </c>
    </row>
    <row r="917">
      <c r="A917" s="5" t="n">
        <v>913</v>
      </c>
      <c r="B917" s="5" t="n">
        <v>0</v>
      </c>
      <c r="C917" s="6" t="n">
        <v>0.7809601085536261</v>
      </c>
      <c r="D917" s="6" t="n">
        <v>-0.09086564549927606</v>
      </c>
      <c r="E917" s="6" t="n">
        <v>-0.9166956381570004</v>
      </c>
      <c r="F917" s="6" t="n">
        <v>-0.8850484360866833</v>
      </c>
      <c r="G917" s="5" t="n">
        <v>0</v>
      </c>
      <c r="H917" s="5" t="n">
        <v>1</v>
      </c>
      <c r="I917" s="5" t="n">
        <v>0</v>
      </c>
      <c r="J917" s="5" t="n">
        <v>0</v>
      </c>
      <c r="K917" s="5" t="n">
        <v>0</v>
      </c>
      <c r="L917" s="5" t="n">
        <v>0</v>
      </c>
      <c r="M917" s="5" t="n">
        <v>0</v>
      </c>
      <c r="N917" s="5" t="n">
        <v>0</v>
      </c>
      <c r="O917" s="5" t="n">
        <v>1</v>
      </c>
      <c r="P917" s="5" t="n">
        <v>0</v>
      </c>
      <c r="Q917" s="5" t="n">
        <v>0</v>
      </c>
      <c r="R917" s="5" t="n">
        <v>0</v>
      </c>
      <c r="S917" s="5" t="n">
        <v>1</v>
      </c>
      <c r="T917" s="5" t="n">
        <v>0</v>
      </c>
      <c r="U917" s="5" t="inlineStr">
        <is>
          <t>training</t>
        </is>
      </c>
    </row>
    <row r="918">
      <c r="A918" s="5" t="n">
        <v>914</v>
      </c>
      <c r="B918" s="5" t="n">
        <v>0</v>
      </c>
      <c r="C918" s="6" t="n">
        <v>-0.8199599660091405</v>
      </c>
      <c r="D918" s="6" t="n">
        <v>-0.3879245832683124</v>
      </c>
      <c r="E918" s="6" t="n">
        <v>-0.6557765760629775</v>
      </c>
      <c r="F918" s="6" t="n">
        <v>-1.786844513613144</v>
      </c>
      <c r="G918" s="5" t="n">
        <v>0</v>
      </c>
      <c r="H918" s="5" t="n">
        <v>0</v>
      </c>
      <c r="I918" s="5" t="n">
        <v>0</v>
      </c>
      <c r="J918" s="5" t="n">
        <v>0</v>
      </c>
      <c r="K918" s="5" t="n">
        <v>0</v>
      </c>
      <c r="L918" s="5" t="n">
        <v>0</v>
      </c>
      <c r="M918" s="5" t="n">
        <v>0</v>
      </c>
      <c r="N918" s="5" t="n">
        <v>1</v>
      </c>
      <c r="O918" s="5" t="n">
        <v>0</v>
      </c>
      <c r="P918" s="5" t="n">
        <v>0</v>
      </c>
      <c r="Q918" s="5" t="n">
        <v>0</v>
      </c>
      <c r="R918" s="5" t="n">
        <v>0</v>
      </c>
      <c r="S918" s="5" t="n">
        <v>0</v>
      </c>
      <c r="T918" s="5" t="n">
        <v>0</v>
      </c>
      <c r="U918" s="5" t="inlineStr">
        <is>
          <t>training</t>
        </is>
      </c>
    </row>
    <row r="919">
      <c r="A919" s="5" t="n">
        <v>915</v>
      </c>
      <c r="B919" s="5" t="n">
        <v>1</v>
      </c>
      <c r="C919" s="6" t="n">
        <v>0.275406400796963</v>
      </c>
      <c r="D919" s="6" t="n">
        <v>-0.03138387939711331</v>
      </c>
      <c r="E919" s="6" t="n">
        <v>-0.3948575139689546</v>
      </c>
      <c r="F919" s="6" t="n">
        <v>0.9185437189662378</v>
      </c>
      <c r="G919" s="5" t="n">
        <v>1</v>
      </c>
      <c r="H919" s="5" t="n">
        <v>0</v>
      </c>
      <c r="I919" s="5" t="n">
        <v>0</v>
      </c>
      <c r="J919" s="5" t="n">
        <v>0</v>
      </c>
      <c r="K919" s="5" t="n">
        <v>0</v>
      </c>
      <c r="L919" s="5" t="n">
        <v>1</v>
      </c>
      <c r="M919" s="5" t="n">
        <v>0</v>
      </c>
      <c r="N919" s="5" t="n">
        <v>0</v>
      </c>
      <c r="O919" s="5" t="n">
        <v>0</v>
      </c>
      <c r="P919" s="5" t="n">
        <v>1</v>
      </c>
      <c r="Q919" s="5" t="n">
        <v>0</v>
      </c>
      <c r="R919" s="5" t="n">
        <v>0</v>
      </c>
      <c r="S919" s="5" t="n">
        <v>0</v>
      </c>
      <c r="T919" s="5" t="n">
        <v>0</v>
      </c>
      <c r="U919" s="5" t="inlineStr">
        <is>
          <t>training</t>
        </is>
      </c>
    </row>
    <row r="920">
      <c r="A920" s="5" t="n">
        <v>916</v>
      </c>
      <c r="B920" s="5" t="n">
        <v>1</v>
      </c>
      <c r="C920" s="6" t="n">
        <v>2.297621231823615</v>
      </c>
      <c r="D920" s="6" t="n">
        <v>5.30902903835177</v>
      </c>
      <c r="E920" s="6" t="n">
        <v>-0.307884493270947</v>
      </c>
      <c r="F920" s="6" t="n">
        <v>-1.786844513613144</v>
      </c>
      <c r="G920" s="5" t="n">
        <v>0</v>
      </c>
      <c r="H920" s="5" t="n">
        <v>1</v>
      </c>
      <c r="I920" s="5" t="n">
        <v>0</v>
      </c>
      <c r="J920" s="5" t="n">
        <v>0</v>
      </c>
      <c r="K920" s="5" t="n">
        <v>0</v>
      </c>
      <c r="L920" s="5" t="n">
        <v>1</v>
      </c>
      <c r="M920" s="5" t="n">
        <v>0</v>
      </c>
      <c r="N920" s="5" t="n">
        <v>0</v>
      </c>
      <c r="O920" s="5" t="n">
        <v>0</v>
      </c>
      <c r="P920" s="5" t="n">
        <v>0</v>
      </c>
      <c r="Q920" s="5" t="n">
        <v>0</v>
      </c>
      <c r="R920" s="5" t="n">
        <v>0</v>
      </c>
      <c r="S920" s="5" t="n">
        <v>0</v>
      </c>
      <c r="T920" s="5" t="n">
        <v>0</v>
      </c>
      <c r="U920" s="5" t="inlineStr">
        <is>
          <t>testing</t>
        </is>
      </c>
    </row>
    <row r="921">
      <c r="A921" s="5" t="n">
        <v>917</v>
      </c>
      <c r="B921" s="5" t="n">
        <v>0</v>
      </c>
      <c r="C921" s="6" t="n">
        <v>-0.9042189173019176</v>
      </c>
      <c r="D921" s="6" t="n">
        <v>-0.1409003075734483</v>
      </c>
      <c r="E921" s="6" t="n">
        <v>-0.307884493270947</v>
      </c>
      <c r="F921" s="6" t="n">
        <v>-1.786844513613144</v>
      </c>
      <c r="G921" s="5" t="n">
        <v>0</v>
      </c>
      <c r="H921" s="5" t="n">
        <v>0</v>
      </c>
      <c r="I921" s="5" t="n">
        <v>0</v>
      </c>
      <c r="J921" s="5" t="n">
        <v>0</v>
      </c>
      <c r="K921" s="5" t="n">
        <v>0</v>
      </c>
      <c r="L921" s="5" t="n">
        <v>0</v>
      </c>
      <c r="M921" s="5" t="n">
        <v>1</v>
      </c>
      <c r="N921" s="5" t="n">
        <v>0</v>
      </c>
      <c r="O921" s="5" t="n">
        <v>0</v>
      </c>
      <c r="P921" s="5" t="n">
        <v>0</v>
      </c>
      <c r="Q921" s="5" t="n">
        <v>0</v>
      </c>
      <c r="R921" s="5" t="n">
        <v>1</v>
      </c>
      <c r="S921" s="5" t="n">
        <v>0</v>
      </c>
      <c r="T921" s="5" t="n">
        <v>0</v>
      </c>
      <c r="U921" s="5" t="inlineStr">
        <is>
          <t>testing</t>
        </is>
      </c>
    </row>
    <row r="922">
      <c r="A922" s="5" t="n">
        <v>918</v>
      </c>
      <c r="B922" s="5" t="n">
        <v>1</v>
      </c>
      <c r="C922" s="6" t="n">
        <v>-1.241254722473026</v>
      </c>
      <c r="D922" s="6" t="n">
        <v>4.074607445361003</v>
      </c>
      <c r="E922" s="6" t="n">
        <v>2.823144251857328</v>
      </c>
      <c r="F922" s="6" t="n">
        <v>-1.786844513613144</v>
      </c>
      <c r="G922" s="5" t="n">
        <v>1</v>
      </c>
      <c r="H922" s="5" t="n">
        <v>0</v>
      </c>
      <c r="I922" s="5" t="n">
        <v>0</v>
      </c>
      <c r="J922" s="5" t="n">
        <v>0</v>
      </c>
      <c r="K922" s="5" t="n">
        <v>0</v>
      </c>
      <c r="L922" s="5" t="n">
        <v>0</v>
      </c>
      <c r="M922" s="5" t="n">
        <v>0</v>
      </c>
      <c r="N922" s="5" t="n">
        <v>0</v>
      </c>
      <c r="O922" s="5" t="n">
        <v>0</v>
      </c>
      <c r="P922" s="5" t="n">
        <v>0</v>
      </c>
      <c r="Q922" s="5" t="n">
        <v>0</v>
      </c>
      <c r="R922" s="5" t="n">
        <v>1</v>
      </c>
      <c r="S922" s="5" t="n">
        <v>0</v>
      </c>
      <c r="T922" s="5" t="n">
        <v>0</v>
      </c>
      <c r="U922" s="5" t="inlineStr">
        <is>
          <t>training</t>
        </is>
      </c>
    </row>
    <row r="923">
      <c r="A923" s="5" t="n">
        <v>919</v>
      </c>
      <c r="B923" s="5" t="n">
        <v>1</v>
      </c>
      <c r="C923" s="6" t="n">
        <v>0.275406400796963</v>
      </c>
      <c r="D923" s="6" t="n">
        <v>-0.3119978583026105</v>
      </c>
      <c r="E923" s="6" t="n">
        <v>-0.2209114725729393</v>
      </c>
      <c r="F923" s="6" t="n">
        <v>-1.786844513613144</v>
      </c>
      <c r="G923" s="5" t="n">
        <v>1</v>
      </c>
      <c r="H923" s="5" t="n">
        <v>0</v>
      </c>
      <c r="I923" s="5" t="n">
        <v>0</v>
      </c>
      <c r="J923" s="5" t="n">
        <v>0</v>
      </c>
      <c r="K923" s="5" t="n">
        <v>0</v>
      </c>
      <c r="L923" s="5" t="n">
        <v>0</v>
      </c>
      <c r="M923" s="5" t="n">
        <v>1</v>
      </c>
      <c r="N923" s="5" t="n">
        <v>0</v>
      </c>
      <c r="O923" s="5" t="n">
        <v>0</v>
      </c>
      <c r="P923" s="5" t="n">
        <v>0</v>
      </c>
      <c r="Q923" s="5" t="n">
        <v>0</v>
      </c>
      <c r="R923" s="5" t="n">
        <v>0</v>
      </c>
      <c r="S923" s="5" t="n">
        <v>0</v>
      </c>
      <c r="T923" s="5" t="n">
        <v>1</v>
      </c>
      <c r="U923" s="5" t="inlineStr">
        <is>
          <t>training</t>
        </is>
      </c>
    </row>
    <row r="924">
      <c r="A924" s="5" t="n">
        <v>920</v>
      </c>
      <c r="B924" s="5" t="n">
        <v>1</v>
      </c>
      <c r="C924" s="6" t="n">
        <v>0.275406400796963</v>
      </c>
      <c r="D924" s="6" t="n">
        <v>0.03299638508993343</v>
      </c>
      <c r="E924" s="6" t="n">
        <v>0.3009266516151065</v>
      </c>
      <c r="F924" s="6" t="n">
        <v>0.9185437189662378</v>
      </c>
      <c r="G924" s="5" t="n">
        <v>1</v>
      </c>
      <c r="H924" s="5" t="n">
        <v>0</v>
      </c>
      <c r="I924" s="5" t="n">
        <v>0</v>
      </c>
      <c r="J924" s="5" t="n">
        <v>0</v>
      </c>
      <c r="K924" s="5" t="n">
        <v>0</v>
      </c>
      <c r="L924" s="5" t="n">
        <v>0</v>
      </c>
      <c r="M924" s="5" t="n">
        <v>0</v>
      </c>
      <c r="N924" s="5" t="n">
        <v>0</v>
      </c>
      <c r="O924" s="5" t="n">
        <v>0</v>
      </c>
      <c r="P924" s="5" t="n">
        <v>1</v>
      </c>
      <c r="Q924" s="5" t="n">
        <v>0</v>
      </c>
      <c r="R924" s="5" t="n">
        <v>0</v>
      </c>
      <c r="S924" s="5" t="n">
        <v>0</v>
      </c>
      <c r="T924" s="5" t="n">
        <v>1</v>
      </c>
      <c r="U924" s="5" t="inlineStr">
        <is>
          <t>training</t>
        </is>
      </c>
    </row>
    <row r="925">
      <c r="A925" s="5" t="n">
        <v>921</v>
      </c>
      <c r="B925" s="5" t="n">
        <v>0</v>
      </c>
      <c r="C925" s="6" t="n">
        <v>-0.2301473069597001</v>
      </c>
      <c r="D925" s="6" t="n">
        <v>-0.5016397243459765</v>
      </c>
      <c r="E925" s="6" t="n">
        <v>-0.6557765760629775</v>
      </c>
      <c r="F925" s="6" t="n">
        <v>0.9185437189662378</v>
      </c>
      <c r="G925" s="5" t="n">
        <v>0</v>
      </c>
      <c r="H925" s="5" t="n">
        <v>0</v>
      </c>
      <c r="I925" s="5" t="n">
        <v>0</v>
      </c>
      <c r="J925" s="5" t="n">
        <v>1</v>
      </c>
      <c r="K925" s="5" t="n">
        <v>0</v>
      </c>
      <c r="L925" s="5" t="n">
        <v>0</v>
      </c>
      <c r="M925" s="5" t="n">
        <v>0</v>
      </c>
      <c r="N925" s="5" t="n">
        <v>0</v>
      </c>
      <c r="O925" s="5" t="n">
        <v>0</v>
      </c>
      <c r="P925" s="5" t="n">
        <v>0</v>
      </c>
      <c r="Q925" s="5" t="n">
        <v>0</v>
      </c>
      <c r="R925" s="5" t="n">
        <v>0</v>
      </c>
      <c r="S925" s="5" t="n">
        <v>0</v>
      </c>
      <c r="T925" s="5" t="n">
        <v>1</v>
      </c>
      <c r="U925" s="5" t="inlineStr">
        <is>
          <t>testing</t>
        </is>
      </c>
    </row>
    <row r="926">
      <c r="A926" s="5" t="n">
        <v>922</v>
      </c>
      <c r="B926" s="5" t="n">
        <v>0</v>
      </c>
      <c r="C926" s="6" t="n">
        <v>2.297621231823615</v>
      </c>
      <c r="D926" s="6" t="n">
        <v>3.323387728764866</v>
      </c>
      <c r="E926" s="6" t="n">
        <v>0.1269806102190912</v>
      </c>
      <c r="F926" s="6" t="n">
        <v>0.9185437189662378</v>
      </c>
      <c r="G926" s="5" t="n">
        <v>0</v>
      </c>
      <c r="H926" s="5" t="n">
        <v>0</v>
      </c>
      <c r="I926" s="5" t="n">
        <v>0</v>
      </c>
      <c r="J926" s="5" t="n">
        <v>0</v>
      </c>
      <c r="K926" s="5" t="n">
        <v>1</v>
      </c>
      <c r="L926" s="5" t="n">
        <v>0</v>
      </c>
      <c r="M926" s="5" t="n">
        <v>1</v>
      </c>
      <c r="N926" s="5" t="n">
        <v>0</v>
      </c>
      <c r="O926" s="5" t="n">
        <v>0</v>
      </c>
      <c r="P926" s="5" t="n">
        <v>0</v>
      </c>
      <c r="Q926" s="5" t="n">
        <v>0</v>
      </c>
      <c r="R926" s="5" t="n">
        <v>0</v>
      </c>
      <c r="S926" s="5" t="n">
        <v>1</v>
      </c>
      <c r="T926" s="5" t="n">
        <v>0</v>
      </c>
      <c r="U926" s="5" t="inlineStr">
        <is>
          <t>training</t>
        </is>
      </c>
    </row>
    <row r="927">
      <c r="A927" s="5" t="n">
        <v>923</v>
      </c>
      <c r="B927" s="5" t="n">
        <v>1</v>
      </c>
      <c r="C927" s="6" t="n">
        <v>-0.9884778685946948</v>
      </c>
      <c r="D927" s="6" t="n">
        <v>-0.6594413508875965</v>
      </c>
      <c r="E927" s="6" t="n">
        <v>-1.177614700251023</v>
      </c>
      <c r="F927" s="6" t="n">
        <v>0.01674764143977723</v>
      </c>
      <c r="G927" s="5" t="n">
        <v>1</v>
      </c>
      <c r="H927" s="5" t="n">
        <v>0</v>
      </c>
      <c r="I927" s="5" t="n">
        <v>0</v>
      </c>
      <c r="J927" s="5" t="n">
        <v>0</v>
      </c>
      <c r="K927" s="5" t="n">
        <v>0</v>
      </c>
      <c r="L927" s="5" t="n">
        <v>0</v>
      </c>
      <c r="M927" s="5" t="n">
        <v>0</v>
      </c>
      <c r="N927" s="5" t="n">
        <v>0</v>
      </c>
      <c r="O927" s="5" t="n">
        <v>0</v>
      </c>
      <c r="P927" s="5" t="n">
        <v>1</v>
      </c>
      <c r="Q927" s="5" t="n">
        <v>0</v>
      </c>
      <c r="R927" s="5" t="n">
        <v>0</v>
      </c>
      <c r="S927" s="5" t="n">
        <v>1</v>
      </c>
      <c r="T927" s="5" t="n">
        <v>0</v>
      </c>
      <c r="U927" s="5" t="inlineStr">
        <is>
          <t>training</t>
        </is>
      </c>
    </row>
    <row r="928">
      <c r="A928" s="5" t="n">
        <v>924</v>
      </c>
      <c r="B928" s="5" t="n">
        <v>0</v>
      </c>
      <c r="C928" s="6" t="n">
        <v>-0.7357010147163632</v>
      </c>
      <c r="D928" s="6" t="n">
        <v>-0.4369095671171523</v>
      </c>
      <c r="E928" s="6" t="n">
        <v>-0.4818305346669622</v>
      </c>
      <c r="F928" s="6" t="n">
        <v>0.01674764143977723</v>
      </c>
      <c r="G928" s="5" t="n">
        <v>0</v>
      </c>
      <c r="H928" s="5" t="n">
        <v>1</v>
      </c>
      <c r="I928" s="5" t="n">
        <v>0</v>
      </c>
      <c r="J928" s="5" t="n">
        <v>0</v>
      </c>
      <c r="K928" s="5" t="n">
        <v>0</v>
      </c>
      <c r="L928" s="5" t="n">
        <v>0</v>
      </c>
      <c r="M928" s="5" t="n">
        <v>0</v>
      </c>
      <c r="N928" s="5" t="n">
        <v>0</v>
      </c>
      <c r="O928" s="5" t="n">
        <v>0</v>
      </c>
      <c r="P928" s="5" t="n">
        <v>1</v>
      </c>
      <c r="Q928" s="5" t="n">
        <v>0</v>
      </c>
      <c r="R928" s="5" t="n">
        <v>1</v>
      </c>
      <c r="S928" s="5" t="n">
        <v>0</v>
      </c>
      <c r="T928" s="5" t="n">
        <v>0</v>
      </c>
      <c r="U928" s="5" t="inlineStr">
        <is>
          <t>training</t>
        </is>
      </c>
    </row>
    <row r="929">
      <c r="A929" s="5" t="n">
        <v>925</v>
      </c>
      <c r="B929" s="5" t="n">
        <v>1</v>
      </c>
      <c r="C929" s="6" t="n">
        <v>0.275406400796963</v>
      </c>
      <c r="D929" s="6" t="n">
        <v>1.267068085338922</v>
      </c>
      <c r="E929" s="6" t="n">
        <v>1.692494982783229</v>
      </c>
      <c r="F929" s="6" t="n">
        <v>-0.8850484360866833</v>
      </c>
      <c r="G929" s="5" t="n">
        <v>1</v>
      </c>
      <c r="H929" s="5" t="n">
        <v>0</v>
      </c>
      <c r="I929" s="5" t="n">
        <v>0</v>
      </c>
      <c r="J929" s="5" t="n">
        <v>0</v>
      </c>
      <c r="K929" s="5" t="n">
        <v>0</v>
      </c>
      <c r="L929" s="5" t="n">
        <v>1</v>
      </c>
      <c r="M929" s="5" t="n">
        <v>0</v>
      </c>
      <c r="N929" s="5" t="n">
        <v>0</v>
      </c>
      <c r="O929" s="5" t="n">
        <v>0</v>
      </c>
      <c r="P929" s="5" t="n">
        <v>0</v>
      </c>
      <c r="Q929" s="5" t="n">
        <v>0</v>
      </c>
      <c r="R929" s="5" t="n">
        <v>0</v>
      </c>
      <c r="S929" s="5" t="n">
        <v>0</v>
      </c>
      <c r="T929" s="5" t="n">
        <v>1</v>
      </c>
      <c r="U929" s="5" t="inlineStr">
        <is>
          <t>training</t>
        </is>
      </c>
    </row>
    <row r="930">
      <c r="A930" s="5" t="n">
        <v>926</v>
      </c>
      <c r="B930" s="5" t="n">
        <v>1</v>
      </c>
      <c r="C930" s="6" t="n">
        <v>-0.7357010147163632</v>
      </c>
      <c r="D930" s="6" t="n">
        <v>-0.8935195951366958</v>
      </c>
      <c r="E930" s="6" t="n">
        <v>0.9097377965011599</v>
      </c>
      <c r="F930" s="6" t="n">
        <v>0.9185437189662378</v>
      </c>
      <c r="G930" s="5" t="n">
        <v>1</v>
      </c>
      <c r="H930" s="5" t="n">
        <v>0</v>
      </c>
      <c r="I930" s="5" t="n">
        <v>0</v>
      </c>
      <c r="J930" s="5" t="n">
        <v>0</v>
      </c>
      <c r="K930" s="5" t="n">
        <v>0</v>
      </c>
      <c r="L930" s="5" t="n">
        <v>1</v>
      </c>
      <c r="M930" s="5" t="n">
        <v>0</v>
      </c>
      <c r="N930" s="5" t="n">
        <v>0</v>
      </c>
      <c r="O930" s="5" t="n">
        <v>0</v>
      </c>
      <c r="P930" s="5" t="n">
        <v>0</v>
      </c>
      <c r="Q930" s="5" t="n">
        <v>0</v>
      </c>
      <c r="R930" s="5" t="n">
        <v>1</v>
      </c>
      <c r="S930" s="5" t="n">
        <v>0</v>
      </c>
      <c r="T930" s="5" t="n">
        <v>0</v>
      </c>
      <c r="U930" s="5" t="inlineStr">
        <is>
          <t>training</t>
        </is>
      </c>
    </row>
    <row r="931">
      <c r="A931" s="5" t="n">
        <v>927</v>
      </c>
      <c r="B931" s="5" t="n">
        <v>0</v>
      </c>
      <c r="C931" s="6" t="n">
        <v>-0.2301473069597001</v>
      </c>
      <c r="D931" s="6" t="n">
        <v>-0.7703573500310411</v>
      </c>
      <c r="E931" s="6" t="n">
        <v>-1.264587720949031</v>
      </c>
      <c r="F931" s="6" t="n">
        <v>0.9185437189662378</v>
      </c>
      <c r="G931" s="5" t="n">
        <v>1</v>
      </c>
      <c r="H931" s="5" t="n">
        <v>0</v>
      </c>
      <c r="I931" s="5" t="n">
        <v>0</v>
      </c>
      <c r="J931" s="5" t="n">
        <v>1</v>
      </c>
      <c r="K931" s="5" t="n">
        <v>0</v>
      </c>
      <c r="L931" s="5" t="n">
        <v>0</v>
      </c>
      <c r="M931" s="5" t="n">
        <v>0</v>
      </c>
      <c r="N931" s="5" t="n">
        <v>0</v>
      </c>
      <c r="O931" s="5" t="n">
        <v>0</v>
      </c>
      <c r="P931" s="5" t="n">
        <v>1</v>
      </c>
      <c r="Q931" s="5" t="n">
        <v>0</v>
      </c>
      <c r="R931" s="5" t="n">
        <v>0</v>
      </c>
      <c r="S931" s="5" t="n">
        <v>0</v>
      </c>
      <c r="T931" s="5" t="n">
        <v>1</v>
      </c>
      <c r="U931" s="5" t="inlineStr">
        <is>
          <t>training</t>
        </is>
      </c>
    </row>
    <row r="932">
      <c r="A932" s="5" t="n">
        <v>928</v>
      </c>
      <c r="B932" s="5" t="n">
        <v>1</v>
      </c>
      <c r="C932" s="6" t="n">
        <v>2.297621231823615</v>
      </c>
      <c r="D932" s="6" t="n">
        <v>2.465450725926613</v>
      </c>
      <c r="E932" s="6" t="n">
        <v>0.3009266516151065</v>
      </c>
      <c r="F932" s="6" t="n">
        <v>0.9185437189662378</v>
      </c>
      <c r="G932" s="5" t="n">
        <v>1</v>
      </c>
      <c r="H932" s="5" t="n">
        <v>0</v>
      </c>
      <c r="I932" s="5" t="n">
        <v>0</v>
      </c>
      <c r="J932" s="5" t="n">
        <v>0</v>
      </c>
      <c r="K932" s="5" t="n">
        <v>0</v>
      </c>
      <c r="L932" s="5" t="n">
        <v>0</v>
      </c>
      <c r="M932" s="5" t="n">
        <v>0</v>
      </c>
      <c r="N932" s="5" t="n">
        <v>0</v>
      </c>
      <c r="O932" s="5" t="n">
        <v>0</v>
      </c>
      <c r="P932" s="5" t="n">
        <v>0</v>
      </c>
      <c r="Q932" s="5" t="n">
        <v>1</v>
      </c>
      <c r="R932" s="5" t="n">
        <v>1</v>
      </c>
      <c r="S932" s="5" t="n">
        <v>0</v>
      </c>
      <c r="T932" s="5" t="n">
        <v>0</v>
      </c>
      <c r="U932" s="5" t="inlineStr">
        <is>
          <t>testing</t>
        </is>
      </c>
    </row>
    <row r="933">
      <c r="A933" s="5" t="n">
        <v>929</v>
      </c>
      <c r="B933" s="5" t="n">
        <v>0</v>
      </c>
      <c r="C933" s="6" t="n">
        <v>0.7809601085536261</v>
      </c>
      <c r="D933" s="6" t="n">
        <v>-0.4841450872571051</v>
      </c>
      <c r="E933" s="6" t="n">
        <v>1.953414044877252</v>
      </c>
      <c r="F933" s="6" t="n">
        <v>0.9185437189662378</v>
      </c>
      <c r="G933" s="5" t="n">
        <v>0</v>
      </c>
      <c r="H933" s="5" t="n">
        <v>0</v>
      </c>
      <c r="I933" s="5" t="n">
        <v>0</v>
      </c>
      <c r="J933" s="5" t="n">
        <v>0</v>
      </c>
      <c r="K933" s="5" t="n">
        <v>0</v>
      </c>
      <c r="L933" s="5" t="n">
        <v>0</v>
      </c>
      <c r="M933" s="5" t="n">
        <v>0</v>
      </c>
      <c r="N933" s="5" t="n">
        <v>0</v>
      </c>
      <c r="O933" s="5" t="n">
        <v>1</v>
      </c>
      <c r="P933" s="5" t="n">
        <v>0</v>
      </c>
      <c r="Q933" s="5" t="n">
        <v>0</v>
      </c>
      <c r="R933" s="5" t="n">
        <v>0</v>
      </c>
      <c r="S933" s="5" t="n">
        <v>1</v>
      </c>
      <c r="T933" s="5" t="n">
        <v>0</v>
      </c>
      <c r="U933" s="5" t="inlineStr">
        <is>
          <t>training</t>
        </is>
      </c>
    </row>
    <row r="934">
      <c r="A934" s="5" t="n">
        <v>930</v>
      </c>
      <c r="B934" s="5" t="n">
        <v>0</v>
      </c>
      <c r="C934" s="6" t="n">
        <v>-0.7357010147163632</v>
      </c>
      <c r="D934" s="6" t="n">
        <v>-0.6671389912066998</v>
      </c>
      <c r="E934" s="6" t="n">
        <v>0.648818734407137</v>
      </c>
      <c r="F934" s="6" t="n">
        <v>0.9185437189662378</v>
      </c>
      <c r="G934" s="5" t="n">
        <v>1</v>
      </c>
      <c r="H934" s="5" t="n">
        <v>0</v>
      </c>
      <c r="I934" s="5" t="n">
        <v>0</v>
      </c>
      <c r="J934" s="5" t="n">
        <v>0</v>
      </c>
      <c r="K934" s="5" t="n">
        <v>1</v>
      </c>
      <c r="L934" s="5" t="n">
        <v>0</v>
      </c>
      <c r="M934" s="5" t="n">
        <v>0</v>
      </c>
      <c r="N934" s="5" t="n">
        <v>0</v>
      </c>
      <c r="O934" s="5" t="n">
        <v>0</v>
      </c>
      <c r="P934" s="5" t="n">
        <v>0</v>
      </c>
      <c r="Q934" s="5" t="n">
        <v>0</v>
      </c>
      <c r="R934" s="5" t="n">
        <v>1</v>
      </c>
      <c r="S934" s="5" t="n">
        <v>0</v>
      </c>
      <c r="T934" s="5" t="n">
        <v>0</v>
      </c>
      <c r="U934" s="5" t="inlineStr">
        <is>
          <t>training</t>
        </is>
      </c>
    </row>
    <row r="935">
      <c r="A935" s="5" t="n">
        <v>931</v>
      </c>
      <c r="B935" s="5" t="n">
        <v>0</v>
      </c>
      <c r="C935" s="6" t="n">
        <v>0.275406400796963</v>
      </c>
      <c r="D935" s="6" t="n">
        <v>-0.5261322162703964</v>
      </c>
      <c r="E935" s="6" t="n">
        <v>-1.003668658855008</v>
      </c>
      <c r="F935" s="6" t="n">
        <v>0.9185437189662378</v>
      </c>
      <c r="G935" s="5" t="n">
        <v>1</v>
      </c>
      <c r="H935" s="5" t="n">
        <v>0</v>
      </c>
      <c r="I935" s="5" t="n">
        <v>0</v>
      </c>
      <c r="J935" s="5" t="n">
        <v>0</v>
      </c>
      <c r="K935" s="5" t="n">
        <v>0</v>
      </c>
      <c r="L935" s="5" t="n">
        <v>0</v>
      </c>
      <c r="M935" s="5" t="n">
        <v>0</v>
      </c>
      <c r="N935" s="5" t="n">
        <v>0</v>
      </c>
      <c r="O935" s="5" t="n">
        <v>0</v>
      </c>
      <c r="P935" s="5" t="n">
        <v>0</v>
      </c>
      <c r="Q935" s="5" t="n">
        <v>0</v>
      </c>
      <c r="R935" s="5" t="n">
        <v>0</v>
      </c>
      <c r="S935" s="5" t="n">
        <v>0</v>
      </c>
      <c r="T935" s="5" t="n">
        <v>1</v>
      </c>
      <c r="U935" s="5" t="inlineStr">
        <is>
          <t>training</t>
        </is>
      </c>
    </row>
    <row r="936">
      <c r="A936" s="5" t="n">
        <v>932</v>
      </c>
      <c r="B936" s="5" t="n">
        <v>1</v>
      </c>
      <c r="C936" s="6" t="n">
        <v>-0.9884778685946948</v>
      </c>
      <c r="D936" s="6" t="n">
        <v>-0.5530739573872584</v>
      </c>
      <c r="E936" s="6" t="n">
        <v>-1.177614700251023</v>
      </c>
      <c r="F936" s="6" t="n">
        <v>0.9185437189662378</v>
      </c>
      <c r="G936" s="5" t="n">
        <v>0</v>
      </c>
      <c r="H936" s="5" t="n">
        <v>1</v>
      </c>
      <c r="I936" s="5" t="n">
        <v>0</v>
      </c>
      <c r="J936" s="5" t="n">
        <v>0</v>
      </c>
      <c r="K936" s="5" t="n">
        <v>0</v>
      </c>
      <c r="L936" s="5" t="n">
        <v>0</v>
      </c>
      <c r="M936" s="5" t="n">
        <v>0</v>
      </c>
      <c r="N936" s="5" t="n">
        <v>0</v>
      </c>
      <c r="O936" s="5" t="n">
        <v>0</v>
      </c>
      <c r="P936" s="5" t="n">
        <v>0</v>
      </c>
      <c r="Q936" s="5" t="n">
        <v>0</v>
      </c>
      <c r="R936" s="5" t="n">
        <v>0</v>
      </c>
      <c r="S936" s="5" t="n">
        <v>1</v>
      </c>
      <c r="T936" s="5" t="n">
        <v>0</v>
      </c>
      <c r="U936" s="5" t="inlineStr">
        <is>
          <t>training</t>
        </is>
      </c>
    </row>
    <row r="937">
      <c r="A937" s="5" t="n">
        <v>933</v>
      </c>
      <c r="B937" s="5" t="n">
        <v>0</v>
      </c>
      <c r="C937" s="6" t="n">
        <v>-0.9884778685946948</v>
      </c>
      <c r="D937" s="6" t="n">
        <v>-0.7091261202199912</v>
      </c>
      <c r="E937" s="6" t="n">
        <v>-0.4818305346669622</v>
      </c>
      <c r="F937" s="6" t="n">
        <v>0.01674764143977723</v>
      </c>
      <c r="G937" s="5" t="n">
        <v>0</v>
      </c>
      <c r="H937" s="5" t="n">
        <v>0</v>
      </c>
      <c r="I937" s="5" t="n">
        <v>0</v>
      </c>
      <c r="J937" s="5" t="n">
        <v>1</v>
      </c>
      <c r="K937" s="5" t="n">
        <v>0</v>
      </c>
      <c r="L937" s="5" t="n">
        <v>0</v>
      </c>
      <c r="M937" s="5" t="n">
        <v>0</v>
      </c>
      <c r="N937" s="5" t="n">
        <v>0</v>
      </c>
      <c r="O937" s="5" t="n">
        <v>0</v>
      </c>
      <c r="P937" s="5" t="n">
        <v>0</v>
      </c>
      <c r="Q937" s="5" t="n">
        <v>0</v>
      </c>
      <c r="R937" s="5" t="n">
        <v>1</v>
      </c>
      <c r="S937" s="5" t="n">
        <v>0</v>
      </c>
      <c r="T937" s="5" t="n">
        <v>0</v>
      </c>
      <c r="U937" s="5" t="inlineStr">
        <is>
          <t>training</t>
        </is>
      </c>
    </row>
    <row r="938">
      <c r="A938" s="5" t="n">
        <v>934</v>
      </c>
      <c r="B938" s="5" t="n">
        <v>0</v>
      </c>
      <c r="C938" s="6" t="n">
        <v>-0.7357010147163632</v>
      </c>
      <c r="D938" s="6" t="n">
        <v>-0.9547508249477457</v>
      </c>
      <c r="E938" s="6" t="n">
        <v>0.5618457137091294</v>
      </c>
      <c r="F938" s="6" t="n">
        <v>0.9185437189662378</v>
      </c>
      <c r="G938" s="5" t="n">
        <v>0</v>
      </c>
      <c r="H938" s="5" t="n">
        <v>0</v>
      </c>
      <c r="I938" s="5" t="n">
        <v>0</v>
      </c>
      <c r="J938" s="5" t="n">
        <v>1</v>
      </c>
      <c r="K938" s="5" t="n">
        <v>0</v>
      </c>
      <c r="L938" s="5" t="n">
        <v>0</v>
      </c>
      <c r="M938" s="5" t="n">
        <v>1</v>
      </c>
      <c r="N938" s="5" t="n">
        <v>0</v>
      </c>
      <c r="O938" s="5" t="n">
        <v>0</v>
      </c>
      <c r="P938" s="5" t="n">
        <v>0</v>
      </c>
      <c r="Q938" s="5" t="n">
        <v>0</v>
      </c>
      <c r="R938" s="5" t="n">
        <v>0</v>
      </c>
      <c r="S938" s="5" t="n">
        <v>1</v>
      </c>
      <c r="T938" s="5" t="n">
        <v>0</v>
      </c>
      <c r="U938" s="5" t="inlineStr">
        <is>
          <t>training</t>
        </is>
      </c>
    </row>
    <row r="939">
      <c r="A939" s="5" t="n">
        <v>935</v>
      </c>
      <c r="B939" s="5" t="n">
        <v>0</v>
      </c>
      <c r="C939" s="6" t="n">
        <v>-0.7357010147163632</v>
      </c>
      <c r="D939" s="6" t="n">
        <v>-0.613255508972976</v>
      </c>
      <c r="E939" s="6" t="n">
        <v>-1.090641679553016</v>
      </c>
      <c r="F939" s="6" t="n">
        <v>0.9185437189662378</v>
      </c>
      <c r="G939" s="5" t="n">
        <v>1</v>
      </c>
      <c r="H939" s="5" t="n">
        <v>0</v>
      </c>
      <c r="I939" s="5" t="n">
        <v>0</v>
      </c>
      <c r="J939" s="5" t="n">
        <v>0</v>
      </c>
      <c r="K939" s="5" t="n">
        <v>0</v>
      </c>
      <c r="L939" s="5" t="n">
        <v>0</v>
      </c>
      <c r="M939" s="5" t="n">
        <v>0</v>
      </c>
      <c r="N939" s="5" t="n">
        <v>0</v>
      </c>
      <c r="O939" s="5" t="n">
        <v>0</v>
      </c>
      <c r="P939" s="5" t="n">
        <v>0</v>
      </c>
      <c r="Q939" s="5" t="n">
        <v>0</v>
      </c>
      <c r="R939" s="5" t="n">
        <v>0</v>
      </c>
      <c r="S939" s="5" t="n">
        <v>1</v>
      </c>
      <c r="T939" s="5" t="n">
        <v>0</v>
      </c>
      <c r="U939" s="5" t="inlineStr">
        <is>
          <t>training</t>
        </is>
      </c>
    </row>
    <row r="940">
      <c r="A940" s="5" t="n">
        <v>936</v>
      </c>
      <c r="B940" s="5" t="n">
        <v>1</v>
      </c>
      <c r="C940" s="6" t="n">
        <v>0.7809601085536261</v>
      </c>
      <c r="D940" s="6" t="n">
        <v>-0.4659506646846788</v>
      </c>
      <c r="E940" s="6" t="n">
        <v>-0.4818305346669622</v>
      </c>
      <c r="F940" s="6" t="n">
        <v>0.9185437189662378</v>
      </c>
      <c r="G940" s="5" t="n">
        <v>0</v>
      </c>
      <c r="H940" s="5" t="n">
        <v>1</v>
      </c>
      <c r="I940" s="5" t="n">
        <v>0</v>
      </c>
      <c r="J940" s="5" t="n">
        <v>0</v>
      </c>
      <c r="K940" s="5" t="n">
        <v>1</v>
      </c>
      <c r="L940" s="5" t="n">
        <v>0</v>
      </c>
      <c r="M940" s="5" t="n">
        <v>1</v>
      </c>
      <c r="N940" s="5" t="n">
        <v>0</v>
      </c>
      <c r="O940" s="5" t="n">
        <v>0</v>
      </c>
      <c r="P940" s="5" t="n">
        <v>0</v>
      </c>
      <c r="Q940" s="5" t="n">
        <v>0</v>
      </c>
      <c r="R940" s="5" t="n">
        <v>0</v>
      </c>
      <c r="S940" s="5" t="n">
        <v>1</v>
      </c>
      <c r="T940" s="5" t="n">
        <v>0</v>
      </c>
      <c r="U940" s="5" t="inlineStr">
        <is>
          <t>training</t>
        </is>
      </c>
    </row>
    <row r="941">
      <c r="A941" s="5" t="n">
        <v>937</v>
      </c>
      <c r="B941" s="5" t="n">
        <v>1</v>
      </c>
      <c r="C941" s="6" t="n">
        <v>-0.9884778685946948</v>
      </c>
      <c r="D941" s="6" t="n">
        <v>-0.8767247435313792</v>
      </c>
      <c r="E941" s="6" t="n">
        <v>-0.6557765760629775</v>
      </c>
      <c r="F941" s="6" t="n">
        <v>0.01674764143977723</v>
      </c>
      <c r="G941" s="5" t="n">
        <v>0</v>
      </c>
      <c r="H941" s="5" t="n">
        <v>0</v>
      </c>
      <c r="I941" s="5" t="n">
        <v>1</v>
      </c>
      <c r="J941" s="5" t="n">
        <v>0</v>
      </c>
      <c r="K941" s="5" t="n">
        <v>0</v>
      </c>
      <c r="L941" s="5" t="n">
        <v>0</v>
      </c>
      <c r="M941" s="5" t="n">
        <v>0</v>
      </c>
      <c r="N941" s="5" t="n">
        <v>0</v>
      </c>
      <c r="O941" s="5" t="n">
        <v>0</v>
      </c>
      <c r="P941" s="5" t="n">
        <v>0</v>
      </c>
      <c r="Q941" s="5" t="n">
        <v>0</v>
      </c>
      <c r="R941" s="5" t="n">
        <v>0</v>
      </c>
      <c r="S941" s="5" t="n">
        <v>1</v>
      </c>
      <c r="T941" s="5" t="n">
        <v>0</v>
      </c>
      <c r="U941" s="5" t="inlineStr">
        <is>
          <t>training</t>
        </is>
      </c>
    </row>
    <row r="942">
      <c r="A942" s="5" t="n">
        <v>938</v>
      </c>
      <c r="B942" s="5" t="n">
        <v>0</v>
      </c>
      <c r="C942" s="6" t="n">
        <v>-1.241254722473026</v>
      </c>
      <c r="D942" s="6" t="n">
        <v>-0.4155661098687292</v>
      </c>
      <c r="E942" s="6" t="n">
        <v>-0.4818305346669622</v>
      </c>
      <c r="F942" s="6" t="n">
        <v>0.9185437189662378</v>
      </c>
      <c r="G942" s="5" t="n">
        <v>0</v>
      </c>
      <c r="H942" s="5" t="n">
        <v>1</v>
      </c>
      <c r="I942" s="5" t="n">
        <v>0</v>
      </c>
      <c r="J942" s="5" t="n">
        <v>0</v>
      </c>
      <c r="K942" s="5" t="n">
        <v>0</v>
      </c>
      <c r="L942" s="5" t="n">
        <v>0</v>
      </c>
      <c r="M942" s="5" t="n">
        <v>0</v>
      </c>
      <c r="N942" s="5" t="n">
        <v>0</v>
      </c>
      <c r="O942" s="5" t="n">
        <v>0</v>
      </c>
      <c r="P942" s="5" t="n">
        <v>1</v>
      </c>
      <c r="Q942" s="5" t="n">
        <v>0</v>
      </c>
      <c r="R942" s="5" t="n">
        <v>0</v>
      </c>
      <c r="S942" s="5" t="n">
        <v>1</v>
      </c>
      <c r="T942" s="5" t="n">
        <v>0</v>
      </c>
      <c r="U942" s="5" t="inlineStr">
        <is>
          <t>training</t>
        </is>
      </c>
    </row>
    <row r="943">
      <c r="A943" s="5" t="n">
        <v>939</v>
      </c>
      <c r="B943" s="5" t="n">
        <v>1</v>
      </c>
      <c r="C943" s="6" t="n">
        <v>3.308728647336942</v>
      </c>
      <c r="D943" s="6" t="n">
        <v>1.062730724140904</v>
      </c>
      <c r="E943" s="6" t="n">
        <v>0.5618457137091294</v>
      </c>
      <c r="F943" s="6" t="n">
        <v>0.9185437189662378</v>
      </c>
      <c r="G943" s="5" t="n">
        <v>0</v>
      </c>
      <c r="H943" s="5" t="n">
        <v>1</v>
      </c>
      <c r="I943" s="5" t="n">
        <v>0</v>
      </c>
      <c r="J943" s="5" t="n">
        <v>0</v>
      </c>
      <c r="K943" s="5" t="n">
        <v>0</v>
      </c>
      <c r="L943" s="5" t="n">
        <v>0</v>
      </c>
      <c r="M943" s="5" t="n">
        <v>0</v>
      </c>
      <c r="N943" s="5" t="n">
        <v>0</v>
      </c>
      <c r="O943" s="5" t="n">
        <v>0</v>
      </c>
      <c r="P943" s="5" t="n">
        <v>0</v>
      </c>
      <c r="Q943" s="5" t="n">
        <v>1</v>
      </c>
      <c r="R943" s="5" t="n">
        <v>0</v>
      </c>
      <c r="S943" s="5" t="n">
        <v>0</v>
      </c>
      <c r="T943" s="5" t="n">
        <v>0</v>
      </c>
      <c r="U943" s="5" t="inlineStr">
        <is>
          <t>testing</t>
        </is>
      </c>
    </row>
    <row r="944">
      <c r="A944" s="5" t="n">
        <v>940</v>
      </c>
      <c r="B944" s="5" t="n">
        <v>0</v>
      </c>
      <c r="C944" s="6" t="n">
        <v>0.275406400796963</v>
      </c>
      <c r="D944" s="6" t="n">
        <v>1.256571303085599</v>
      </c>
      <c r="E944" s="6" t="n">
        <v>0.9097377965011599</v>
      </c>
      <c r="F944" s="6" t="n">
        <v>-0.8850484360866833</v>
      </c>
      <c r="G944" s="5" t="n">
        <v>0</v>
      </c>
      <c r="H944" s="5" t="n">
        <v>0</v>
      </c>
      <c r="I944" s="5" t="n">
        <v>0</v>
      </c>
      <c r="J944" s="5" t="n">
        <v>1</v>
      </c>
      <c r="K944" s="5" t="n">
        <v>0</v>
      </c>
      <c r="L944" s="5" t="n">
        <v>0</v>
      </c>
      <c r="M944" s="5" t="n">
        <v>0</v>
      </c>
      <c r="N944" s="5" t="n">
        <v>0</v>
      </c>
      <c r="O944" s="5" t="n">
        <v>1</v>
      </c>
      <c r="P944" s="5" t="n">
        <v>0</v>
      </c>
      <c r="Q944" s="5" t="n">
        <v>0</v>
      </c>
      <c r="R944" s="5" t="n">
        <v>1</v>
      </c>
      <c r="S944" s="5" t="n">
        <v>0</v>
      </c>
      <c r="T944" s="5" t="n">
        <v>0</v>
      </c>
      <c r="U944" s="5" t="inlineStr">
        <is>
          <t>training</t>
        </is>
      </c>
    </row>
    <row r="945">
      <c r="A945" s="5" t="n">
        <v>941</v>
      </c>
      <c r="B945" s="5" t="n">
        <v>0</v>
      </c>
      <c r="C945" s="6" t="n">
        <v>-0.7357010147163632</v>
      </c>
      <c r="D945" s="6" t="n">
        <v>0.09667686409342532</v>
      </c>
      <c r="E945" s="6" t="n">
        <v>0.8227647758031523</v>
      </c>
      <c r="F945" s="6" t="n">
        <v>-0.8850484360866833</v>
      </c>
      <c r="G945" s="5" t="n">
        <v>0</v>
      </c>
      <c r="H945" s="5" t="n">
        <v>0</v>
      </c>
      <c r="I945" s="5" t="n">
        <v>0</v>
      </c>
      <c r="J945" s="5" t="n">
        <v>0</v>
      </c>
      <c r="K945" s="5" t="n">
        <v>0</v>
      </c>
      <c r="L945" s="5" t="n">
        <v>0</v>
      </c>
      <c r="M945" s="5" t="n">
        <v>0</v>
      </c>
      <c r="N945" s="5" t="n">
        <v>0</v>
      </c>
      <c r="O945" s="5" t="n">
        <v>1</v>
      </c>
      <c r="P945" s="5" t="n">
        <v>0</v>
      </c>
      <c r="Q945" s="5" t="n">
        <v>0</v>
      </c>
      <c r="R945" s="5" t="n">
        <v>1</v>
      </c>
      <c r="S945" s="5" t="n">
        <v>0</v>
      </c>
      <c r="T945" s="5" t="n">
        <v>0</v>
      </c>
      <c r="U945" s="5" t="inlineStr">
        <is>
          <t>testing</t>
        </is>
      </c>
    </row>
    <row r="946">
      <c r="A946" s="5" t="n">
        <v>942</v>
      </c>
      <c r="B946" s="5" t="n">
        <v>0</v>
      </c>
      <c r="C946" s="6" t="n">
        <v>-0.9042189173019176</v>
      </c>
      <c r="D946" s="6" t="n">
        <v>-0.5964606573676594</v>
      </c>
      <c r="E946" s="6" t="n">
        <v>-0.3948575139689546</v>
      </c>
      <c r="F946" s="6" t="n">
        <v>0.01674764143977723</v>
      </c>
      <c r="G946" s="5" t="n">
        <v>0</v>
      </c>
      <c r="H946" s="5" t="n">
        <v>0</v>
      </c>
      <c r="I946" s="5" t="n">
        <v>0</v>
      </c>
      <c r="J946" s="5" t="n">
        <v>0</v>
      </c>
      <c r="K946" s="5" t="n">
        <v>0</v>
      </c>
      <c r="L946" s="5" t="n">
        <v>0</v>
      </c>
      <c r="M946" s="5" t="n">
        <v>0</v>
      </c>
      <c r="N946" s="5" t="n">
        <v>0</v>
      </c>
      <c r="O946" s="5" t="n">
        <v>0</v>
      </c>
      <c r="P946" s="5" t="n">
        <v>0</v>
      </c>
      <c r="Q946" s="5" t="n">
        <v>0</v>
      </c>
      <c r="R946" s="5" t="n">
        <v>1</v>
      </c>
      <c r="S946" s="5" t="n">
        <v>0</v>
      </c>
      <c r="T946" s="5" t="n">
        <v>0</v>
      </c>
      <c r="U946" s="5" t="inlineStr">
        <is>
          <t>testing</t>
        </is>
      </c>
    </row>
    <row r="947">
      <c r="A947" s="5" t="n">
        <v>943</v>
      </c>
      <c r="B947" s="5" t="n">
        <v>0</v>
      </c>
      <c r="C947" s="6" t="n">
        <v>0.275406400796963</v>
      </c>
      <c r="D947" s="6" t="n">
        <v>-0.8123444790443325</v>
      </c>
      <c r="E947" s="6" t="n">
        <v>-0.3948575139689546</v>
      </c>
      <c r="F947" s="6" t="n">
        <v>0.9185437189662378</v>
      </c>
      <c r="G947" s="5" t="n">
        <v>0</v>
      </c>
      <c r="H947" s="5" t="n">
        <v>0</v>
      </c>
      <c r="I947" s="5" t="n">
        <v>0</v>
      </c>
      <c r="J947" s="5" t="n">
        <v>0</v>
      </c>
      <c r="K947" s="5" t="n">
        <v>0</v>
      </c>
      <c r="L947" s="5" t="n">
        <v>0</v>
      </c>
      <c r="M947" s="5" t="n">
        <v>0</v>
      </c>
      <c r="N947" s="5" t="n">
        <v>0</v>
      </c>
      <c r="O947" s="5" t="n">
        <v>1</v>
      </c>
      <c r="P947" s="5" t="n">
        <v>0</v>
      </c>
      <c r="Q947" s="5" t="n">
        <v>0</v>
      </c>
      <c r="R947" s="5" t="n">
        <v>0</v>
      </c>
      <c r="S947" s="5" t="n">
        <v>0</v>
      </c>
      <c r="T947" s="5" t="n">
        <v>1</v>
      </c>
      <c r="U947" s="5" t="inlineStr">
        <is>
          <t>training</t>
        </is>
      </c>
    </row>
    <row r="948">
      <c r="A948" s="5" t="n">
        <v>944</v>
      </c>
      <c r="B948" s="5" t="n">
        <v>0</v>
      </c>
      <c r="C948" s="6" t="n">
        <v>-1.409772625058581</v>
      </c>
      <c r="D948" s="6" t="n">
        <v>-0.6283008968694054</v>
      </c>
      <c r="E948" s="6" t="n">
        <v>0.5618457137091294</v>
      </c>
      <c r="F948" s="6" t="n">
        <v>-0.8850484360866833</v>
      </c>
      <c r="G948" s="5" t="n">
        <v>0</v>
      </c>
      <c r="H948" s="5" t="n">
        <v>0</v>
      </c>
      <c r="I948" s="5" t="n">
        <v>0</v>
      </c>
      <c r="J948" s="5" t="n">
        <v>1</v>
      </c>
      <c r="K948" s="5" t="n">
        <v>0</v>
      </c>
      <c r="L948" s="5" t="n">
        <v>0</v>
      </c>
      <c r="M948" s="5" t="n">
        <v>0</v>
      </c>
      <c r="N948" s="5" t="n">
        <v>0</v>
      </c>
      <c r="O948" s="5" t="n">
        <v>0</v>
      </c>
      <c r="P948" s="5" t="n">
        <v>0</v>
      </c>
      <c r="Q948" s="5" t="n">
        <v>0</v>
      </c>
      <c r="R948" s="5" t="n">
        <v>1</v>
      </c>
      <c r="S948" s="5" t="n">
        <v>0</v>
      </c>
      <c r="T948" s="5" t="n">
        <v>0</v>
      </c>
      <c r="U948" s="5" t="inlineStr">
        <is>
          <t>training</t>
        </is>
      </c>
    </row>
    <row r="949">
      <c r="A949" s="5" t="n">
        <v>945</v>
      </c>
      <c r="B949" s="5" t="n">
        <v>0</v>
      </c>
      <c r="C949" s="6" t="n">
        <v>-0.4829241608380317</v>
      </c>
      <c r="D949" s="6" t="n">
        <v>-0.4918427275762085</v>
      </c>
      <c r="E949" s="6" t="n">
        <v>0.9097377965011599</v>
      </c>
      <c r="F949" s="6" t="n">
        <v>0.9185437189662378</v>
      </c>
      <c r="G949" s="5" t="n">
        <v>1</v>
      </c>
      <c r="H949" s="5" t="n">
        <v>0</v>
      </c>
      <c r="I949" s="5" t="n">
        <v>0</v>
      </c>
      <c r="J949" s="5" t="n">
        <v>0</v>
      </c>
      <c r="K949" s="5" t="n">
        <v>0</v>
      </c>
      <c r="L949" s="5" t="n">
        <v>0</v>
      </c>
      <c r="M949" s="5" t="n">
        <v>0</v>
      </c>
      <c r="N949" s="5" t="n">
        <v>0</v>
      </c>
      <c r="O949" s="5" t="n">
        <v>0</v>
      </c>
      <c r="P949" s="5" t="n">
        <v>1</v>
      </c>
      <c r="Q949" s="5" t="n">
        <v>0</v>
      </c>
      <c r="R949" s="5" t="n">
        <v>0</v>
      </c>
      <c r="S949" s="5" t="n">
        <v>0</v>
      </c>
      <c r="T949" s="5" t="n">
        <v>1</v>
      </c>
      <c r="U949" s="5" t="inlineStr">
        <is>
          <t>training</t>
        </is>
      </c>
    </row>
    <row r="950">
      <c r="A950" s="5" t="n">
        <v>946</v>
      </c>
      <c r="B950" s="5" t="n">
        <v>0</v>
      </c>
      <c r="C950" s="6" t="n">
        <v>2.297621231823615</v>
      </c>
      <c r="D950" s="6" t="n">
        <v>1.78700869962018</v>
      </c>
      <c r="E950" s="6" t="n">
        <v>-0.4818305346669622</v>
      </c>
      <c r="F950" s="6" t="n">
        <v>-1.786844513613144</v>
      </c>
      <c r="G950" s="5" t="n">
        <v>0</v>
      </c>
      <c r="H950" s="5" t="n">
        <v>1</v>
      </c>
      <c r="I950" s="5" t="n">
        <v>0</v>
      </c>
      <c r="J950" s="5" t="n">
        <v>0</v>
      </c>
      <c r="K950" s="5" t="n">
        <v>0</v>
      </c>
      <c r="L950" s="5" t="n">
        <v>1</v>
      </c>
      <c r="M950" s="5" t="n">
        <v>1</v>
      </c>
      <c r="N950" s="5" t="n">
        <v>0</v>
      </c>
      <c r="O950" s="5" t="n">
        <v>0</v>
      </c>
      <c r="P950" s="5" t="n">
        <v>0</v>
      </c>
      <c r="Q950" s="5" t="n">
        <v>0</v>
      </c>
      <c r="R950" s="5" t="n">
        <v>1</v>
      </c>
      <c r="S950" s="5" t="n">
        <v>0</v>
      </c>
      <c r="T950" s="5" t="n">
        <v>0</v>
      </c>
      <c r="U950" s="5" t="inlineStr">
        <is>
          <t>training</t>
        </is>
      </c>
    </row>
    <row r="951">
      <c r="A951" s="5" t="n">
        <v>947</v>
      </c>
      <c r="B951" s="5" t="n">
        <v>1</v>
      </c>
      <c r="C951" s="6" t="n">
        <v>0.275406400796963</v>
      </c>
      <c r="D951" s="6" t="n">
        <v>0.03439595605704315</v>
      </c>
      <c r="E951" s="6" t="n">
        <v>-0.4818305346669622</v>
      </c>
      <c r="F951" s="6" t="n">
        <v>0.9185437189662378</v>
      </c>
      <c r="G951" s="5" t="n">
        <v>1</v>
      </c>
      <c r="H951" s="5" t="n">
        <v>0</v>
      </c>
      <c r="I951" s="5" t="n">
        <v>0</v>
      </c>
      <c r="J951" s="5" t="n">
        <v>0</v>
      </c>
      <c r="K951" s="5" t="n">
        <v>0</v>
      </c>
      <c r="L951" s="5" t="n">
        <v>1</v>
      </c>
      <c r="M951" s="5" t="n">
        <v>1</v>
      </c>
      <c r="N951" s="5" t="n">
        <v>0</v>
      </c>
      <c r="O951" s="5" t="n">
        <v>0</v>
      </c>
      <c r="P951" s="5" t="n">
        <v>0</v>
      </c>
      <c r="Q951" s="5" t="n">
        <v>1</v>
      </c>
      <c r="R951" s="5" t="n">
        <v>0</v>
      </c>
      <c r="S951" s="5" t="n">
        <v>0</v>
      </c>
      <c r="T951" s="5" t="n">
        <v>1</v>
      </c>
      <c r="U951" s="5" t="inlineStr">
        <is>
          <t>training</t>
        </is>
      </c>
    </row>
    <row r="952">
      <c r="A952" s="5" t="n">
        <v>948</v>
      </c>
      <c r="B952" s="5" t="n">
        <v>0</v>
      </c>
      <c r="C952" s="6" t="n">
        <v>-0.7357010147163632</v>
      </c>
      <c r="D952" s="6" t="n">
        <v>-0.1370514874138966</v>
      </c>
      <c r="E952" s="6" t="n">
        <v>0.2139536309170988</v>
      </c>
      <c r="F952" s="6" t="n">
        <v>0.9185437189662378</v>
      </c>
      <c r="G952" s="5" t="n">
        <v>0</v>
      </c>
      <c r="H952" s="5" t="n">
        <v>0</v>
      </c>
      <c r="I952" s="5" t="n">
        <v>0</v>
      </c>
      <c r="J952" s="5" t="n">
        <v>0</v>
      </c>
      <c r="K952" s="5" t="n">
        <v>0</v>
      </c>
      <c r="L952" s="5" t="n">
        <v>0</v>
      </c>
      <c r="M952" s="5" t="n">
        <v>0</v>
      </c>
      <c r="N952" s="5" t="n">
        <v>0</v>
      </c>
      <c r="O952" s="5" t="n">
        <v>1</v>
      </c>
      <c r="P952" s="5" t="n">
        <v>0</v>
      </c>
      <c r="Q952" s="5" t="n">
        <v>0</v>
      </c>
      <c r="R952" s="5" t="n">
        <v>1</v>
      </c>
      <c r="S952" s="5" t="n">
        <v>0</v>
      </c>
      <c r="T952" s="5" t="n">
        <v>0</v>
      </c>
      <c r="U952" s="5" t="inlineStr">
        <is>
          <t>training</t>
        </is>
      </c>
    </row>
    <row r="953">
      <c r="A953" s="5" t="n">
        <v>949</v>
      </c>
      <c r="B953" s="5" t="n">
        <v>1</v>
      </c>
      <c r="C953" s="6" t="n">
        <v>-0.2301473069597001</v>
      </c>
      <c r="D953" s="6" t="n">
        <v>-0.601009263010766</v>
      </c>
      <c r="E953" s="6" t="n">
        <v>0.648818734407137</v>
      </c>
      <c r="F953" s="6" t="n">
        <v>0.9185437189662378</v>
      </c>
      <c r="G953" s="5" t="n">
        <v>0</v>
      </c>
      <c r="H953" s="5" t="n">
        <v>0</v>
      </c>
      <c r="I953" s="5" t="n">
        <v>0</v>
      </c>
      <c r="J953" s="5" t="n">
        <v>0</v>
      </c>
      <c r="K953" s="5" t="n">
        <v>0</v>
      </c>
      <c r="L953" s="5" t="n">
        <v>0</v>
      </c>
      <c r="M953" s="5" t="n">
        <v>0</v>
      </c>
      <c r="N953" s="5" t="n">
        <v>0</v>
      </c>
      <c r="O953" s="5" t="n">
        <v>0</v>
      </c>
      <c r="P953" s="5" t="n">
        <v>0</v>
      </c>
      <c r="Q953" s="5" t="n">
        <v>0</v>
      </c>
      <c r="R953" s="5" t="n">
        <v>0</v>
      </c>
      <c r="S953" s="5" t="n">
        <v>0</v>
      </c>
      <c r="T953" s="5" t="n">
        <v>1</v>
      </c>
      <c r="U953" s="5" t="inlineStr">
        <is>
          <t>testing</t>
        </is>
      </c>
    </row>
    <row r="954">
      <c r="A954" s="5" t="n">
        <v>950</v>
      </c>
      <c r="B954" s="5" t="n">
        <v>1</v>
      </c>
      <c r="C954" s="6" t="n">
        <v>0.275406400796963</v>
      </c>
      <c r="D954" s="6" t="n">
        <v>0.1295667818205035</v>
      </c>
      <c r="E954" s="6" t="n">
        <v>-0.3948575139689546</v>
      </c>
      <c r="F954" s="6" t="n">
        <v>-0.8850484360866833</v>
      </c>
      <c r="G954" s="5" t="n">
        <v>0</v>
      </c>
      <c r="H954" s="5" t="n">
        <v>0</v>
      </c>
      <c r="I954" s="5" t="n">
        <v>0</v>
      </c>
      <c r="J954" s="5" t="n">
        <v>0</v>
      </c>
      <c r="K954" s="5" t="n">
        <v>0</v>
      </c>
      <c r="L954" s="5" t="n">
        <v>0</v>
      </c>
      <c r="M954" s="5" t="n">
        <v>1</v>
      </c>
      <c r="N954" s="5" t="n">
        <v>0</v>
      </c>
      <c r="O954" s="5" t="n">
        <v>0</v>
      </c>
      <c r="P954" s="5" t="n">
        <v>0</v>
      </c>
      <c r="Q954" s="5" t="n">
        <v>0</v>
      </c>
      <c r="R954" s="5" t="n">
        <v>0</v>
      </c>
      <c r="S954" s="5" t="n">
        <v>1</v>
      </c>
      <c r="T954" s="5" t="n">
        <v>0</v>
      </c>
      <c r="U954" s="5" t="inlineStr">
        <is>
          <t>training</t>
        </is>
      </c>
    </row>
    <row r="955">
      <c r="A955" s="5" t="n">
        <v>951</v>
      </c>
      <c r="B955" s="5" t="n">
        <v>0</v>
      </c>
      <c r="C955" s="6" t="n">
        <v>-0.2301473069597001</v>
      </c>
      <c r="D955" s="6" t="n">
        <v>0.1187201068254033</v>
      </c>
      <c r="E955" s="6" t="n">
        <v>0.3878996723131141</v>
      </c>
      <c r="F955" s="6" t="n">
        <v>0.01674764143977723</v>
      </c>
      <c r="G955" s="5" t="n">
        <v>0</v>
      </c>
      <c r="H955" s="5" t="n">
        <v>1</v>
      </c>
      <c r="I955" s="5" t="n">
        <v>0</v>
      </c>
      <c r="J955" s="5" t="n">
        <v>1</v>
      </c>
      <c r="K955" s="5" t="n">
        <v>0</v>
      </c>
      <c r="L955" s="5" t="n">
        <v>0</v>
      </c>
      <c r="M955" s="5" t="n">
        <v>0</v>
      </c>
      <c r="N955" s="5" t="n">
        <v>0</v>
      </c>
      <c r="O955" s="5" t="n">
        <v>0</v>
      </c>
      <c r="P955" s="5" t="n">
        <v>0</v>
      </c>
      <c r="Q955" s="5" t="n">
        <v>0</v>
      </c>
      <c r="R955" s="5" t="n">
        <v>0</v>
      </c>
      <c r="S955" s="5" t="n">
        <v>0</v>
      </c>
      <c r="T955" s="5" t="n">
        <v>0</v>
      </c>
      <c r="U955" s="5" t="inlineStr">
        <is>
          <t>training</t>
        </is>
      </c>
    </row>
    <row r="956">
      <c r="A956" s="5" t="n">
        <v>952</v>
      </c>
      <c r="B956" s="5" t="n">
        <v>1</v>
      </c>
      <c r="C956" s="6" t="n">
        <v>1.286513816310289</v>
      </c>
      <c r="D956" s="6" t="n">
        <v>-0.3868749050429801</v>
      </c>
      <c r="E956" s="6" t="n">
        <v>-1.003668658855008</v>
      </c>
      <c r="F956" s="6" t="n">
        <v>-0.8850484360866833</v>
      </c>
      <c r="G956" s="5" t="n">
        <v>1</v>
      </c>
      <c r="H956" s="5" t="n">
        <v>0</v>
      </c>
      <c r="I956" s="5" t="n">
        <v>0</v>
      </c>
      <c r="J956" s="5" t="n">
        <v>0</v>
      </c>
      <c r="K956" s="5" t="n">
        <v>1</v>
      </c>
      <c r="L956" s="5" t="n">
        <v>0</v>
      </c>
      <c r="M956" s="5" t="n">
        <v>0</v>
      </c>
      <c r="N956" s="5" t="n">
        <v>0</v>
      </c>
      <c r="O956" s="5" t="n">
        <v>0</v>
      </c>
      <c r="P956" s="5" t="n">
        <v>0</v>
      </c>
      <c r="Q956" s="5" t="n">
        <v>0</v>
      </c>
      <c r="R956" s="5" t="n">
        <v>0</v>
      </c>
      <c r="S956" s="5" t="n">
        <v>0</v>
      </c>
      <c r="T956" s="5" t="n">
        <v>0</v>
      </c>
      <c r="U956" s="5" t="inlineStr">
        <is>
          <t>training</t>
        </is>
      </c>
    </row>
    <row r="957">
      <c r="A957" s="5" t="n">
        <v>953</v>
      </c>
      <c r="B957" s="5" t="n">
        <v>1</v>
      </c>
      <c r="C957" s="6" t="n">
        <v>0.275406400796963</v>
      </c>
      <c r="D957" s="6" t="n">
        <v>0.3017140107749981</v>
      </c>
      <c r="E957" s="6" t="n">
        <v>-0.6557765760629775</v>
      </c>
      <c r="F957" s="6" t="n">
        <v>0.01674764143977723</v>
      </c>
      <c r="G957" s="5" t="n">
        <v>0</v>
      </c>
      <c r="H957" s="5" t="n">
        <v>1</v>
      </c>
      <c r="I957" s="5" t="n">
        <v>0</v>
      </c>
      <c r="J957" s="5" t="n">
        <v>0</v>
      </c>
      <c r="K957" s="5" t="n">
        <v>0</v>
      </c>
      <c r="L957" s="5" t="n">
        <v>0</v>
      </c>
      <c r="M957" s="5" t="n">
        <v>1</v>
      </c>
      <c r="N957" s="5" t="n">
        <v>0</v>
      </c>
      <c r="O957" s="5" t="n">
        <v>0</v>
      </c>
      <c r="P957" s="5" t="n">
        <v>1</v>
      </c>
      <c r="Q957" s="5" t="n">
        <v>0</v>
      </c>
      <c r="R957" s="5" t="n">
        <v>1</v>
      </c>
      <c r="S957" s="5" t="n">
        <v>0</v>
      </c>
      <c r="T957" s="5" t="n">
        <v>0</v>
      </c>
      <c r="U957" s="5" t="inlineStr">
        <is>
          <t>training</t>
        </is>
      </c>
    </row>
    <row r="958">
      <c r="A958" s="5" t="n">
        <v>954</v>
      </c>
      <c r="B958" s="5" t="n">
        <v>1</v>
      </c>
      <c r="C958" s="6" t="n">
        <v>1.286513816310289</v>
      </c>
      <c r="D958" s="6" t="n">
        <v>2.702328112109931</v>
      </c>
      <c r="E958" s="6" t="n">
        <v>-0.8297226174589928</v>
      </c>
      <c r="F958" s="6" t="n">
        <v>0.9185437189662378</v>
      </c>
      <c r="G958" s="5" t="n">
        <v>0</v>
      </c>
      <c r="H958" s="5" t="n">
        <v>0</v>
      </c>
      <c r="I958" s="5" t="n">
        <v>0</v>
      </c>
      <c r="J958" s="5" t="n">
        <v>0</v>
      </c>
      <c r="K958" s="5" t="n">
        <v>0</v>
      </c>
      <c r="L958" s="5" t="n">
        <v>0</v>
      </c>
      <c r="M958" s="5" t="n">
        <v>0</v>
      </c>
      <c r="N958" s="5" t="n">
        <v>0</v>
      </c>
      <c r="O958" s="5" t="n">
        <v>0</v>
      </c>
      <c r="P958" s="5" t="n">
        <v>0</v>
      </c>
      <c r="Q958" s="5" t="n">
        <v>0</v>
      </c>
      <c r="R958" s="5" t="n">
        <v>0</v>
      </c>
      <c r="S958" s="5" t="n">
        <v>0</v>
      </c>
      <c r="T958" s="5" t="n">
        <v>1</v>
      </c>
      <c r="U958" s="5" t="inlineStr">
        <is>
          <t>testing</t>
        </is>
      </c>
    </row>
    <row r="959">
      <c r="A959" s="5" t="n">
        <v>955</v>
      </c>
      <c r="B959" s="5" t="n">
        <v>0</v>
      </c>
      <c r="C959" s="6" t="n">
        <v>-0.7357010147163632</v>
      </c>
      <c r="D959" s="6" t="n">
        <v>-0.4750478759708919</v>
      </c>
      <c r="E959" s="6" t="n">
        <v>-0.5688035553649698</v>
      </c>
      <c r="F959" s="6" t="n">
        <v>0.9185437189662378</v>
      </c>
      <c r="G959" s="5" t="n">
        <v>1</v>
      </c>
      <c r="H959" s="5" t="n">
        <v>0</v>
      </c>
      <c r="I959" s="5" t="n">
        <v>0</v>
      </c>
      <c r="J959" s="5" t="n">
        <v>0</v>
      </c>
      <c r="K959" s="5" t="n">
        <v>0</v>
      </c>
      <c r="L959" s="5" t="n">
        <v>0</v>
      </c>
      <c r="M959" s="5" t="n">
        <v>0</v>
      </c>
      <c r="N959" s="5" t="n">
        <v>0</v>
      </c>
      <c r="O959" s="5" t="n">
        <v>0</v>
      </c>
      <c r="P959" s="5" t="n">
        <v>0</v>
      </c>
      <c r="Q959" s="5" t="n">
        <v>0</v>
      </c>
      <c r="R959" s="5" t="n">
        <v>1</v>
      </c>
      <c r="S959" s="5" t="n">
        <v>0</v>
      </c>
      <c r="T959" s="5" t="n">
        <v>0</v>
      </c>
      <c r="U959" s="5" t="inlineStr">
        <is>
          <t>testing</t>
        </is>
      </c>
    </row>
    <row r="960">
      <c r="A960" s="5" t="n">
        <v>956</v>
      </c>
      <c r="B960" s="5" t="n">
        <v>0</v>
      </c>
      <c r="C960" s="6" t="n">
        <v>0.275406400796963</v>
      </c>
      <c r="D960" s="6" t="n">
        <v>-0.7066768710275493</v>
      </c>
      <c r="E960" s="6" t="n">
        <v>1.866441024179244</v>
      </c>
      <c r="F960" s="6" t="n">
        <v>0.9185437189662378</v>
      </c>
      <c r="G960" s="5" t="n">
        <v>1</v>
      </c>
      <c r="H960" s="5" t="n">
        <v>0</v>
      </c>
      <c r="I960" s="5" t="n">
        <v>0</v>
      </c>
      <c r="J960" s="5" t="n">
        <v>1</v>
      </c>
      <c r="K960" s="5" t="n">
        <v>0</v>
      </c>
      <c r="L960" s="5" t="n">
        <v>0</v>
      </c>
      <c r="M960" s="5" t="n">
        <v>0</v>
      </c>
      <c r="N960" s="5" t="n">
        <v>1</v>
      </c>
      <c r="O960" s="5" t="n">
        <v>0</v>
      </c>
      <c r="P960" s="5" t="n">
        <v>1</v>
      </c>
      <c r="Q960" s="5" t="n">
        <v>0</v>
      </c>
      <c r="R960" s="5" t="n">
        <v>0</v>
      </c>
      <c r="S960" s="5" t="n">
        <v>1</v>
      </c>
      <c r="T960" s="5" t="n">
        <v>0</v>
      </c>
      <c r="U960" s="5" t="inlineStr">
        <is>
          <t>training</t>
        </is>
      </c>
    </row>
    <row r="961">
      <c r="A961" s="5" t="n">
        <v>957</v>
      </c>
      <c r="B961" s="5" t="n">
        <v>0</v>
      </c>
      <c r="C961" s="6" t="n">
        <v>0.7809601085536261</v>
      </c>
      <c r="D961" s="6" t="n">
        <v>0.1418130277827135</v>
      </c>
      <c r="E961" s="6" t="n">
        <v>1.170656858595183</v>
      </c>
      <c r="F961" s="6" t="n">
        <v>0.9185437189662378</v>
      </c>
      <c r="G961" s="5" t="n">
        <v>0</v>
      </c>
      <c r="H961" s="5" t="n">
        <v>0</v>
      </c>
      <c r="I961" s="5" t="n">
        <v>1</v>
      </c>
      <c r="J961" s="5" t="n">
        <v>1</v>
      </c>
      <c r="K961" s="5" t="n">
        <v>0</v>
      </c>
      <c r="L961" s="5" t="n">
        <v>0</v>
      </c>
      <c r="M961" s="5" t="n">
        <v>0</v>
      </c>
      <c r="N961" s="5" t="n">
        <v>0</v>
      </c>
      <c r="O961" s="5" t="n">
        <v>1</v>
      </c>
      <c r="P961" s="5" t="n">
        <v>0</v>
      </c>
      <c r="Q961" s="5" t="n">
        <v>0</v>
      </c>
      <c r="R961" s="5" t="n">
        <v>0</v>
      </c>
      <c r="S961" s="5" t="n">
        <v>1</v>
      </c>
      <c r="T961" s="5" t="n">
        <v>0</v>
      </c>
      <c r="U961" s="5" t="inlineStr">
        <is>
          <t>training</t>
        </is>
      </c>
    </row>
    <row r="962">
      <c r="A962" s="5" t="n">
        <v>958</v>
      </c>
      <c r="B962" s="5" t="n">
        <v>0</v>
      </c>
      <c r="C962" s="6" t="n">
        <v>-0.9884778685946948</v>
      </c>
      <c r="D962" s="6" t="n">
        <v>-0.7336186121444112</v>
      </c>
      <c r="E962" s="6" t="n">
        <v>0.1269806102190912</v>
      </c>
      <c r="F962" s="6" t="n">
        <v>-0.8850484360866833</v>
      </c>
      <c r="G962" s="5" t="n">
        <v>0</v>
      </c>
      <c r="H962" s="5" t="n">
        <v>1</v>
      </c>
      <c r="I962" s="5" t="n">
        <v>0</v>
      </c>
      <c r="J962" s="5" t="n">
        <v>1</v>
      </c>
      <c r="K962" s="5" t="n">
        <v>0</v>
      </c>
      <c r="L962" s="5" t="n">
        <v>0</v>
      </c>
      <c r="M962" s="5" t="n">
        <v>0</v>
      </c>
      <c r="N962" s="5" t="n">
        <v>0</v>
      </c>
      <c r="O962" s="5" t="n">
        <v>0</v>
      </c>
      <c r="P962" s="5" t="n">
        <v>0</v>
      </c>
      <c r="Q962" s="5" t="n">
        <v>0</v>
      </c>
      <c r="R962" s="5" t="n">
        <v>0</v>
      </c>
      <c r="S962" s="5" t="n">
        <v>1</v>
      </c>
      <c r="T962" s="5" t="n">
        <v>0</v>
      </c>
      <c r="U962" s="5" t="inlineStr">
        <is>
          <t>training</t>
        </is>
      </c>
    </row>
    <row r="963">
      <c r="A963" s="5" t="n">
        <v>959</v>
      </c>
      <c r="B963" s="5" t="n">
        <v>1</v>
      </c>
      <c r="C963" s="6" t="n">
        <v>0.6124422059680718</v>
      </c>
      <c r="D963" s="6" t="n">
        <v>0.2642754874048133</v>
      </c>
      <c r="E963" s="6" t="n">
        <v>0.8227647758031523</v>
      </c>
      <c r="F963" s="6" t="n">
        <v>0.01674764143977723</v>
      </c>
      <c r="G963" s="5" t="n">
        <v>1</v>
      </c>
      <c r="H963" s="5" t="n">
        <v>0</v>
      </c>
      <c r="I963" s="5" t="n">
        <v>0</v>
      </c>
      <c r="J963" s="5" t="n">
        <v>0</v>
      </c>
      <c r="K963" s="5" t="n">
        <v>0</v>
      </c>
      <c r="L963" s="5" t="n">
        <v>0</v>
      </c>
      <c r="M963" s="5" t="n">
        <v>0</v>
      </c>
      <c r="N963" s="5" t="n">
        <v>0</v>
      </c>
      <c r="O963" s="5" t="n">
        <v>0</v>
      </c>
      <c r="P963" s="5" t="n">
        <v>0</v>
      </c>
      <c r="Q963" s="5" t="n">
        <v>0</v>
      </c>
      <c r="R963" s="5" t="n">
        <v>1</v>
      </c>
      <c r="S963" s="5" t="n">
        <v>0</v>
      </c>
      <c r="T963" s="5" t="n">
        <v>0</v>
      </c>
      <c r="U963" s="5" t="inlineStr">
        <is>
          <t>training</t>
        </is>
      </c>
    </row>
    <row r="964">
      <c r="A964" s="5" t="n">
        <v>960</v>
      </c>
      <c r="B964" s="5" t="n">
        <v>0</v>
      </c>
      <c r="C964" s="6" t="n">
        <v>0.275406400796963</v>
      </c>
      <c r="D964" s="6" t="n">
        <v>-0.06357401164063668</v>
      </c>
      <c r="E964" s="6" t="n">
        <v>-0.4818305346669622</v>
      </c>
      <c r="F964" s="6" t="n">
        <v>0.9185437189662378</v>
      </c>
      <c r="G964" s="5" t="n">
        <v>0</v>
      </c>
      <c r="H964" s="5" t="n">
        <v>1</v>
      </c>
      <c r="I964" s="5" t="n">
        <v>0</v>
      </c>
      <c r="J964" s="5" t="n">
        <v>0</v>
      </c>
      <c r="K964" s="5" t="n">
        <v>0</v>
      </c>
      <c r="L964" s="5" t="n">
        <v>0</v>
      </c>
      <c r="M964" s="5" t="n">
        <v>1</v>
      </c>
      <c r="N964" s="5" t="n">
        <v>0</v>
      </c>
      <c r="O964" s="5" t="n">
        <v>0</v>
      </c>
      <c r="P964" s="5" t="n">
        <v>0</v>
      </c>
      <c r="Q964" s="5" t="n">
        <v>1</v>
      </c>
      <c r="R964" s="5" t="n">
        <v>0</v>
      </c>
      <c r="S964" s="5" t="n">
        <v>0</v>
      </c>
      <c r="T964" s="5" t="n">
        <v>1</v>
      </c>
      <c r="U964" s="5" t="inlineStr">
        <is>
          <t>training</t>
        </is>
      </c>
    </row>
    <row r="965">
      <c r="A965" s="5" t="n">
        <v>961</v>
      </c>
      <c r="B965" s="5" t="n">
        <v>0</v>
      </c>
      <c r="C965" s="6" t="n">
        <v>-1.241254722473026</v>
      </c>
      <c r="D965" s="6" t="n">
        <v>-0.5285814654628385</v>
      </c>
      <c r="E965" s="6" t="n">
        <v>-0.4818305346669622</v>
      </c>
      <c r="F965" s="6" t="n">
        <v>-0.8850484360866833</v>
      </c>
      <c r="G965" s="5" t="n">
        <v>0</v>
      </c>
      <c r="H965" s="5" t="n">
        <v>0</v>
      </c>
      <c r="I965" s="5" t="n">
        <v>0</v>
      </c>
      <c r="J965" s="5" t="n">
        <v>1</v>
      </c>
      <c r="K965" s="5" t="n">
        <v>0</v>
      </c>
      <c r="L965" s="5" t="n">
        <v>0</v>
      </c>
      <c r="M965" s="5" t="n">
        <v>0</v>
      </c>
      <c r="N965" s="5" t="n">
        <v>0</v>
      </c>
      <c r="O965" s="5" t="n">
        <v>0</v>
      </c>
      <c r="P965" s="5" t="n">
        <v>1</v>
      </c>
      <c r="Q965" s="5" t="n">
        <v>0</v>
      </c>
      <c r="R965" s="5" t="n">
        <v>0</v>
      </c>
      <c r="S965" s="5" t="n">
        <v>1</v>
      </c>
      <c r="T965" s="5" t="n">
        <v>0</v>
      </c>
      <c r="U965" s="5" t="inlineStr">
        <is>
          <t>training</t>
        </is>
      </c>
    </row>
    <row r="966">
      <c r="A966" s="5" t="n">
        <v>962</v>
      </c>
      <c r="B966" s="5" t="n">
        <v>0</v>
      </c>
      <c r="C966" s="6" t="n">
        <v>0.02262954691863145</v>
      </c>
      <c r="D966" s="6" t="n">
        <v>-0.3140972147532751</v>
      </c>
      <c r="E966" s="6" t="n">
        <v>0.9967108171991675</v>
      </c>
      <c r="F966" s="6" t="n">
        <v>-1.786844513613144</v>
      </c>
      <c r="G966" s="5" t="n">
        <v>0</v>
      </c>
      <c r="H966" s="5" t="n">
        <v>1</v>
      </c>
      <c r="I966" s="5" t="n">
        <v>0</v>
      </c>
      <c r="J966" s="5" t="n">
        <v>0</v>
      </c>
      <c r="K966" s="5" t="n">
        <v>1</v>
      </c>
      <c r="L966" s="5" t="n">
        <v>0</v>
      </c>
      <c r="M966" s="5" t="n">
        <v>0</v>
      </c>
      <c r="N966" s="5" t="n">
        <v>0</v>
      </c>
      <c r="O966" s="5" t="n">
        <v>0</v>
      </c>
      <c r="P966" s="5" t="n">
        <v>0</v>
      </c>
      <c r="Q966" s="5" t="n">
        <v>0</v>
      </c>
      <c r="R966" s="5" t="n">
        <v>1</v>
      </c>
      <c r="S966" s="5" t="n">
        <v>0</v>
      </c>
      <c r="T966" s="5" t="n">
        <v>0</v>
      </c>
      <c r="U966" s="5" t="inlineStr">
        <is>
          <t>training</t>
        </is>
      </c>
    </row>
    <row r="967">
      <c r="A967" s="5" t="n">
        <v>963</v>
      </c>
      <c r="B967" s="5" t="n">
        <v>0</v>
      </c>
      <c r="C967" s="6" t="n">
        <v>-0.4829241608380317</v>
      </c>
      <c r="D967" s="6" t="n">
        <v>0.1068237536049707</v>
      </c>
      <c r="E967" s="6" t="n">
        <v>-0.5688035553649698</v>
      </c>
      <c r="F967" s="6" t="n">
        <v>0.01674764143977723</v>
      </c>
      <c r="G967" s="5" t="n">
        <v>0</v>
      </c>
      <c r="H967" s="5" t="n">
        <v>0</v>
      </c>
      <c r="I967" s="5" t="n">
        <v>0</v>
      </c>
      <c r="J967" s="5" t="n">
        <v>0</v>
      </c>
      <c r="K967" s="5" t="n">
        <v>0</v>
      </c>
      <c r="L967" s="5" t="n">
        <v>0</v>
      </c>
      <c r="M967" s="5" t="n">
        <v>0</v>
      </c>
      <c r="N967" s="5" t="n">
        <v>0</v>
      </c>
      <c r="O967" s="5" t="n">
        <v>1</v>
      </c>
      <c r="P967" s="5" t="n">
        <v>0</v>
      </c>
      <c r="Q967" s="5" t="n">
        <v>0</v>
      </c>
      <c r="R967" s="5" t="n">
        <v>1</v>
      </c>
      <c r="S967" s="5" t="n">
        <v>0</v>
      </c>
      <c r="T967" s="5" t="n">
        <v>0</v>
      </c>
      <c r="U967" s="5" t="inlineStr">
        <is>
          <t>training</t>
        </is>
      </c>
    </row>
    <row r="968">
      <c r="A968" s="5" t="n">
        <v>964</v>
      </c>
      <c r="B968" s="5" t="n">
        <v>1</v>
      </c>
      <c r="C968" s="6" t="n">
        <v>0.275406400796963</v>
      </c>
      <c r="D968" s="6" t="n">
        <v>-0.2987019341150682</v>
      </c>
      <c r="E968" s="6" t="n">
        <v>-0.04696543117692405</v>
      </c>
      <c r="F968" s="6" t="n">
        <v>0.01674764143977723</v>
      </c>
      <c r="G968" s="5" t="n">
        <v>0</v>
      </c>
      <c r="H968" s="5" t="n">
        <v>0</v>
      </c>
      <c r="I968" s="5" t="n">
        <v>0</v>
      </c>
      <c r="J968" s="5" t="n">
        <v>0</v>
      </c>
      <c r="K968" s="5" t="n">
        <v>0</v>
      </c>
      <c r="L968" s="5" t="n">
        <v>0</v>
      </c>
      <c r="M968" s="5" t="n">
        <v>1</v>
      </c>
      <c r="N968" s="5" t="n">
        <v>0</v>
      </c>
      <c r="O968" s="5" t="n">
        <v>0</v>
      </c>
      <c r="P968" s="5" t="n">
        <v>0</v>
      </c>
      <c r="Q968" s="5" t="n">
        <v>0</v>
      </c>
      <c r="R968" s="5" t="n">
        <v>0</v>
      </c>
      <c r="S968" s="5" t="n">
        <v>1</v>
      </c>
      <c r="T968" s="5" t="n">
        <v>0</v>
      </c>
      <c r="U968" s="5" t="inlineStr">
        <is>
          <t>training</t>
        </is>
      </c>
    </row>
    <row r="969">
      <c r="A969" s="5" t="n">
        <v>965</v>
      </c>
      <c r="B969" s="5" t="n">
        <v>0</v>
      </c>
      <c r="C969" s="6" t="n">
        <v>-1.241254722473026</v>
      </c>
      <c r="D969" s="6" t="n">
        <v>-0.9785435313886107</v>
      </c>
      <c r="E969" s="6" t="n">
        <v>-1.177614700251023</v>
      </c>
      <c r="F969" s="6" t="n">
        <v>0.01674764143977723</v>
      </c>
      <c r="G969" s="5" t="n">
        <v>0</v>
      </c>
      <c r="H969" s="5" t="n">
        <v>1</v>
      </c>
      <c r="I969" s="5" t="n">
        <v>0</v>
      </c>
      <c r="J969" s="5" t="n">
        <v>0</v>
      </c>
      <c r="K969" s="5" t="n">
        <v>0</v>
      </c>
      <c r="L969" s="5" t="n">
        <v>0</v>
      </c>
      <c r="M969" s="5" t="n">
        <v>0</v>
      </c>
      <c r="N969" s="5" t="n">
        <v>0</v>
      </c>
      <c r="O969" s="5" t="n">
        <v>0</v>
      </c>
      <c r="P969" s="5" t="n">
        <v>0</v>
      </c>
      <c r="Q969" s="5" t="n">
        <v>0</v>
      </c>
      <c r="R969" s="5" t="n">
        <v>0</v>
      </c>
      <c r="S969" s="5" t="n">
        <v>0</v>
      </c>
      <c r="T969" s="5" t="n">
        <v>0</v>
      </c>
      <c r="U969" s="5" t="inlineStr">
        <is>
          <t>testing</t>
        </is>
      </c>
    </row>
    <row r="970">
      <c r="A970" s="5" t="n">
        <v>966</v>
      </c>
      <c r="B970" s="5" t="n">
        <v>0</v>
      </c>
      <c r="C970" s="6" t="n">
        <v>0.7809601085536261</v>
      </c>
      <c r="D970" s="6" t="n">
        <v>-0.5373287840072741</v>
      </c>
      <c r="E970" s="6" t="n">
        <v>-0.8297226174589928</v>
      </c>
      <c r="F970" s="6" t="n">
        <v>0.9185437189662378</v>
      </c>
      <c r="G970" s="5" t="n">
        <v>0</v>
      </c>
      <c r="H970" s="5" t="n">
        <v>1</v>
      </c>
      <c r="I970" s="5" t="n">
        <v>0</v>
      </c>
      <c r="J970" s="5" t="n">
        <v>0</v>
      </c>
      <c r="K970" s="5" t="n">
        <v>0</v>
      </c>
      <c r="L970" s="5" t="n">
        <v>0</v>
      </c>
      <c r="M970" s="5" t="n">
        <v>0</v>
      </c>
      <c r="N970" s="5" t="n">
        <v>0</v>
      </c>
      <c r="O970" s="5" t="n">
        <v>1</v>
      </c>
      <c r="P970" s="5" t="n">
        <v>0</v>
      </c>
      <c r="Q970" s="5" t="n">
        <v>0</v>
      </c>
      <c r="R970" s="5" t="n">
        <v>0</v>
      </c>
      <c r="S970" s="5" t="n">
        <v>1</v>
      </c>
      <c r="T970" s="5" t="n">
        <v>0</v>
      </c>
      <c r="U970" s="5" t="inlineStr">
        <is>
          <t>testing</t>
        </is>
      </c>
    </row>
    <row r="971">
      <c r="A971" s="5" t="n">
        <v>967</v>
      </c>
      <c r="B971" s="5" t="n">
        <v>1</v>
      </c>
      <c r="C971" s="6" t="n">
        <v>0.5281832546752946</v>
      </c>
      <c r="D971" s="6" t="n">
        <v>-0.2556651268764446</v>
      </c>
      <c r="E971" s="6" t="n">
        <v>-1.090641679553016</v>
      </c>
      <c r="F971" s="6" t="n">
        <v>0.9185437189662378</v>
      </c>
      <c r="G971" s="5" t="n">
        <v>0</v>
      </c>
      <c r="H971" s="5" t="n">
        <v>1</v>
      </c>
      <c r="I971" s="5" t="n">
        <v>0</v>
      </c>
      <c r="J971" s="5" t="n">
        <v>1</v>
      </c>
      <c r="K971" s="5" t="n">
        <v>0</v>
      </c>
      <c r="L971" s="5" t="n">
        <v>0</v>
      </c>
      <c r="M971" s="5" t="n">
        <v>1</v>
      </c>
      <c r="N971" s="5" t="n">
        <v>0</v>
      </c>
      <c r="O971" s="5" t="n">
        <v>0</v>
      </c>
      <c r="P971" s="5" t="n">
        <v>0</v>
      </c>
      <c r="Q971" s="5" t="n">
        <v>0</v>
      </c>
      <c r="R971" s="5" t="n">
        <v>0</v>
      </c>
      <c r="S971" s="5" t="n">
        <v>1</v>
      </c>
      <c r="T971" s="5" t="n">
        <v>0</v>
      </c>
      <c r="U971" s="5" t="inlineStr">
        <is>
          <t>training</t>
        </is>
      </c>
    </row>
    <row r="972">
      <c r="A972" s="5" t="n">
        <v>968</v>
      </c>
      <c r="B972" s="5" t="n">
        <v>0</v>
      </c>
      <c r="C972" s="6" t="n">
        <v>-0.4829241608380317</v>
      </c>
      <c r="D972" s="6" t="n">
        <v>0.1110224665062999</v>
      </c>
      <c r="E972" s="6" t="n">
        <v>1.605521962085221</v>
      </c>
      <c r="F972" s="6" t="n">
        <v>0.9185437189662378</v>
      </c>
      <c r="G972" s="5" t="n">
        <v>0</v>
      </c>
      <c r="H972" s="5" t="n">
        <v>0</v>
      </c>
      <c r="I972" s="5" t="n">
        <v>0</v>
      </c>
      <c r="J972" s="5" t="n">
        <v>0</v>
      </c>
      <c r="K972" s="5" t="n">
        <v>0</v>
      </c>
      <c r="L972" s="5" t="n">
        <v>0</v>
      </c>
      <c r="M972" s="5" t="n">
        <v>0</v>
      </c>
      <c r="N972" s="5" t="n">
        <v>0</v>
      </c>
      <c r="O972" s="5" t="n">
        <v>0</v>
      </c>
      <c r="P972" s="5" t="n">
        <v>1</v>
      </c>
      <c r="Q972" s="5" t="n">
        <v>0</v>
      </c>
      <c r="R972" s="5" t="n">
        <v>0</v>
      </c>
      <c r="S972" s="5" t="n">
        <v>1</v>
      </c>
      <c r="T972" s="5" t="n">
        <v>0</v>
      </c>
      <c r="U972" s="5" t="inlineStr">
        <is>
          <t>testing</t>
        </is>
      </c>
    </row>
    <row r="973">
      <c r="A973" s="5" t="n">
        <v>969</v>
      </c>
      <c r="B973" s="5" t="n">
        <v>0</v>
      </c>
      <c r="C973" s="6" t="n">
        <v>1.792067524066952</v>
      </c>
      <c r="D973" s="6" t="n">
        <v>1.369936551421486</v>
      </c>
      <c r="E973" s="6" t="n">
        <v>-0.5688035553649698</v>
      </c>
      <c r="F973" s="6" t="n">
        <v>-0.8850484360866833</v>
      </c>
      <c r="G973" s="5" t="n">
        <v>0</v>
      </c>
      <c r="H973" s="5" t="n">
        <v>0</v>
      </c>
      <c r="I973" s="5" t="n">
        <v>0</v>
      </c>
      <c r="J973" s="5" t="n">
        <v>0</v>
      </c>
      <c r="K973" s="5" t="n">
        <v>0</v>
      </c>
      <c r="L973" s="5" t="n">
        <v>0</v>
      </c>
      <c r="M973" s="5" t="n">
        <v>0</v>
      </c>
      <c r="N973" s="5" t="n">
        <v>0</v>
      </c>
      <c r="O973" s="5" t="n">
        <v>1</v>
      </c>
      <c r="P973" s="5" t="n">
        <v>1</v>
      </c>
      <c r="Q973" s="5" t="n">
        <v>0</v>
      </c>
      <c r="R973" s="5" t="n">
        <v>0</v>
      </c>
      <c r="S973" s="5" t="n">
        <v>1</v>
      </c>
      <c r="T973" s="5" t="n">
        <v>0</v>
      </c>
      <c r="U973" s="5" t="inlineStr">
        <is>
          <t>training</t>
        </is>
      </c>
    </row>
    <row r="974">
      <c r="A974" s="5" t="n">
        <v>970</v>
      </c>
      <c r="B974" s="5" t="n">
        <v>0</v>
      </c>
      <c r="C974" s="6" t="n">
        <v>-0.8199599660091405</v>
      </c>
      <c r="D974" s="6" t="n">
        <v>0.2408326737057256</v>
      </c>
      <c r="E974" s="6" t="n">
        <v>0.3878996723131141</v>
      </c>
      <c r="F974" s="6" t="n">
        <v>-1.786844513613144</v>
      </c>
      <c r="G974" s="5" t="n">
        <v>1</v>
      </c>
      <c r="H974" s="5" t="n">
        <v>0</v>
      </c>
      <c r="I974" s="5" t="n">
        <v>0</v>
      </c>
      <c r="J974" s="5" t="n">
        <v>1</v>
      </c>
      <c r="K974" s="5" t="n">
        <v>0</v>
      </c>
      <c r="L974" s="5" t="n">
        <v>0</v>
      </c>
      <c r="M974" s="5" t="n">
        <v>0</v>
      </c>
      <c r="N974" s="5" t="n">
        <v>0</v>
      </c>
      <c r="O974" s="5" t="n">
        <v>0</v>
      </c>
      <c r="P974" s="5" t="n">
        <v>0</v>
      </c>
      <c r="Q974" s="5" t="n">
        <v>0</v>
      </c>
      <c r="R974" s="5" t="n">
        <v>1</v>
      </c>
      <c r="S974" s="5" t="n">
        <v>0</v>
      </c>
      <c r="T974" s="5" t="n">
        <v>0</v>
      </c>
      <c r="U974" s="5" t="inlineStr">
        <is>
          <t>training</t>
        </is>
      </c>
    </row>
    <row r="975">
      <c r="A975" s="5" t="n">
        <v>971</v>
      </c>
      <c r="B975" s="5" t="n">
        <v>0</v>
      </c>
      <c r="C975" s="6" t="n">
        <v>-0.4829241608380317</v>
      </c>
      <c r="D975" s="6" t="n">
        <v>-0.6076572251045371</v>
      </c>
      <c r="E975" s="6" t="n">
        <v>-1.177614700251023</v>
      </c>
      <c r="F975" s="6" t="n">
        <v>0.9185437189662378</v>
      </c>
      <c r="G975" s="5" t="n">
        <v>0</v>
      </c>
      <c r="H975" s="5" t="n">
        <v>1</v>
      </c>
      <c r="I975" s="5" t="n">
        <v>0</v>
      </c>
      <c r="J975" s="5" t="n">
        <v>0</v>
      </c>
      <c r="K975" s="5" t="n">
        <v>0</v>
      </c>
      <c r="L975" s="5" t="n">
        <v>0</v>
      </c>
      <c r="M975" s="5" t="n">
        <v>1</v>
      </c>
      <c r="N975" s="5" t="n">
        <v>0</v>
      </c>
      <c r="O975" s="5" t="n">
        <v>0</v>
      </c>
      <c r="P975" s="5" t="n">
        <v>0</v>
      </c>
      <c r="Q975" s="5" t="n">
        <v>0</v>
      </c>
      <c r="R975" s="5" t="n">
        <v>0</v>
      </c>
      <c r="S975" s="5" t="n">
        <v>0</v>
      </c>
      <c r="T975" s="5" t="n">
        <v>0</v>
      </c>
      <c r="U975" s="5" t="inlineStr">
        <is>
          <t>training</t>
        </is>
      </c>
    </row>
    <row r="976">
      <c r="A976" s="5" t="n">
        <v>972</v>
      </c>
      <c r="B976" s="5" t="n">
        <v>0</v>
      </c>
      <c r="C976" s="6" t="n">
        <v>0.275406400796963</v>
      </c>
      <c r="D976" s="6" t="n">
        <v>1.449362203804962</v>
      </c>
      <c r="E976" s="6" t="n">
        <v>0.648818734407137</v>
      </c>
      <c r="F976" s="6" t="n">
        <v>-1.786844513613144</v>
      </c>
      <c r="G976" s="5" t="n">
        <v>0</v>
      </c>
      <c r="H976" s="5" t="n">
        <v>0</v>
      </c>
      <c r="I976" s="5" t="n">
        <v>0</v>
      </c>
      <c r="J976" s="5" t="n">
        <v>0</v>
      </c>
      <c r="K976" s="5" t="n">
        <v>0</v>
      </c>
      <c r="L976" s="5" t="n">
        <v>0</v>
      </c>
      <c r="M976" s="5" t="n">
        <v>0</v>
      </c>
      <c r="N976" s="5" t="n">
        <v>0</v>
      </c>
      <c r="O976" s="5" t="n">
        <v>0</v>
      </c>
      <c r="P976" s="5" t="n">
        <v>0</v>
      </c>
      <c r="Q976" s="5" t="n">
        <v>0</v>
      </c>
      <c r="R976" s="5" t="n">
        <v>1</v>
      </c>
      <c r="S976" s="5" t="n">
        <v>0</v>
      </c>
      <c r="T976" s="5" t="n">
        <v>0</v>
      </c>
      <c r="U976" s="5" t="inlineStr">
        <is>
          <t>training</t>
        </is>
      </c>
    </row>
    <row r="977">
      <c r="A977" s="5" t="n">
        <v>973</v>
      </c>
      <c r="B977" s="5" t="n">
        <v>1</v>
      </c>
      <c r="C977" s="6" t="n">
        <v>0.275406400796963</v>
      </c>
      <c r="D977" s="6" t="n">
        <v>-0.7199727952150915</v>
      </c>
      <c r="E977" s="6" t="n">
        <v>-0.5688035553649698</v>
      </c>
      <c r="F977" s="6" t="n">
        <v>-1.786844513613144</v>
      </c>
      <c r="G977" s="5" t="n">
        <v>1</v>
      </c>
      <c r="H977" s="5" t="n">
        <v>0</v>
      </c>
      <c r="I977" s="5" t="n">
        <v>0</v>
      </c>
      <c r="J977" s="5" t="n">
        <v>0</v>
      </c>
      <c r="K977" s="5" t="n">
        <v>0</v>
      </c>
      <c r="L977" s="5" t="n">
        <v>1</v>
      </c>
      <c r="M977" s="5" t="n">
        <v>0</v>
      </c>
      <c r="N977" s="5" t="n">
        <v>0</v>
      </c>
      <c r="O977" s="5" t="n">
        <v>0</v>
      </c>
      <c r="P977" s="5" t="n">
        <v>1</v>
      </c>
      <c r="Q977" s="5" t="n">
        <v>0</v>
      </c>
      <c r="R977" s="5" t="n">
        <v>1</v>
      </c>
      <c r="S977" s="5" t="n">
        <v>0</v>
      </c>
      <c r="T977" s="5" t="n">
        <v>0</v>
      </c>
      <c r="U977" s="5" t="inlineStr">
        <is>
          <t>training</t>
        </is>
      </c>
    </row>
    <row r="978">
      <c r="A978" s="5" t="n">
        <v>974</v>
      </c>
      <c r="B978" s="5" t="n">
        <v>1</v>
      </c>
      <c r="C978" s="6" t="n">
        <v>3.308728647336942</v>
      </c>
      <c r="D978" s="6" t="n">
        <v>1.415772500594329</v>
      </c>
      <c r="E978" s="6" t="n">
        <v>0.04000758952108359</v>
      </c>
      <c r="F978" s="6" t="n">
        <v>0.9185437189662378</v>
      </c>
      <c r="G978" s="5" t="n">
        <v>1</v>
      </c>
      <c r="H978" s="5" t="n">
        <v>0</v>
      </c>
      <c r="I978" s="5" t="n">
        <v>0</v>
      </c>
      <c r="J978" s="5" t="n">
        <v>0</v>
      </c>
      <c r="K978" s="5" t="n">
        <v>0</v>
      </c>
      <c r="L978" s="5" t="n">
        <v>0</v>
      </c>
      <c r="M978" s="5" t="n">
        <v>0</v>
      </c>
      <c r="N978" s="5" t="n">
        <v>0</v>
      </c>
      <c r="O978" s="5" t="n">
        <v>0</v>
      </c>
      <c r="P978" s="5" t="n">
        <v>1</v>
      </c>
      <c r="Q978" s="5" t="n">
        <v>0</v>
      </c>
      <c r="R978" s="5" t="n">
        <v>0</v>
      </c>
      <c r="S978" s="5" t="n">
        <v>0</v>
      </c>
      <c r="T978" s="5" t="n">
        <v>0</v>
      </c>
      <c r="U978" s="5" t="inlineStr">
        <is>
          <t>testing</t>
        </is>
      </c>
    </row>
    <row r="979">
      <c r="A979" s="5" t="n">
        <v>975</v>
      </c>
      <c r="B979" s="5" t="n">
        <v>0</v>
      </c>
      <c r="C979" s="6" t="n">
        <v>0.7809601085536261</v>
      </c>
      <c r="D979" s="6" t="n">
        <v>-0.1468484841836645</v>
      </c>
      <c r="E979" s="6" t="n">
        <v>-0.2209114725729393</v>
      </c>
      <c r="F979" s="6" t="n">
        <v>0.9185437189662378</v>
      </c>
      <c r="G979" s="5" t="n">
        <v>0</v>
      </c>
      <c r="H979" s="5" t="n">
        <v>0</v>
      </c>
      <c r="I979" s="5" t="n">
        <v>0</v>
      </c>
      <c r="J979" s="5" t="n">
        <v>1</v>
      </c>
      <c r="K979" s="5" t="n">
        <v>0</v>
      </c>
      <c r="L979" s="5" t="n">
        <v>0</v>
      </c>
      <c r="M979" s="5" t="n">
        <v>0</v>
      </c>
      <c r="N979" s="5" t="n">
        <v>0</v>
      </c>
      <c r="O979" s="5" t="n">
        <v>0</v>
      </c>
      <c r="P979" s="5" t="n">
        <v>0</v>
      </c>
      <c r="Q979" s="5" t="n">
        <v>0</v>
      </c>
      <c r="R979" s="5" t="n">
        <v>0</v>
      </c>
      <c r="S979" s="5" t="n">
        <v>1</v>
      </c>
      <c r="T979" s="5" t="n">
        <v>0</v>
      </c>
      <c r="U979" s="5" t="inlineStr">
        <is>
          <t>training</t>
        </is>
      </c>
    </row>
    <row r="980">
      <c r="A980" s="5" t="n">
        <v>976</v>
      </c>
      <c r="B980" s="5" t="n">
        <v>0</v>
      </c>
      <c r="C980" s="6" t="n">
        <v>0.275406400796963</v>
      </c>
      <c r="D980" s="6" t="n">
        <v>-0.6972297669995587</v>
      </c>
      <c r="E980" s="6" t="n">
        <v>1.866441024179244</v>
      </c>
      <c r="F980" s="6" t="n">
        <v>0.01674764143977723</v>
      </c>
      <c r="G980" s="5" t="n">
        <v>0</v>
      </c>
      <c r="H980" s="5" t="n">
        <v>0</v>
      </c>
      <c r="I980" s="5" t="n">
        <v>1</v>
      </c>
      <c r="J980" s="5" t="n">
        <v>0</v>
      </c>
      <c r="K980" s="5" t="n">
        <v>0</v>
      </c>
      <c r="L980" s="5" t="n">
        <v>0</v>
      </c>
      <c r="M980" s="5" t="n">
        <v>1</v>
      </c>
      <c r="N980" s="5" t="n">
        <v>0</v>
      </c>
      <c r="O980" s="5" t="n">
        <v>0</v>
      </c>
      <c r="P980" s="5" t="n">
        <v>0</v>
      </c>
      <c r="Q980" s="5" t="n">
        <v>0</v>
      </c>
      <c r="R980" s="5" t="n">
        <v>0</v>
      </c>
      <c r="S980" s="5" t="n">
        <v>1</v>
      </c>
      <c r="T980" s="5" t="n">
        <v>0</v>
      </c>
      <c r="U980" s="5" t="inlineStr">
        <is>
          <t>training</t>
        </is>
      </c>
    </row>
    <row r="981">
      <c r="A981" s="5" t="n">
        <v>977</v>
      </c>
      <c r="B981" s="5" t="n">
        <v>0</v>
      </c>
      <c r="C981" s="6" t="n">
        <v>-1.241254722473026</v>
      </c>
      <c r="D981" s="6" t="n">
        <v>-0.8739256015971598</v>
      </c>
      <c r="E981" s="6" t="n">
        <v>2.475252169065298</v>
      </c>
      <c r="F981" s="6" t="n">
        <v>-0.8850484360866833</v>
      </c>
      <c r="G981" s="5" t="n">
        <v>0</v>
      </c>
      <c r="H981" s="5" t="n">
        <v>1</v>
      </c>
      <c r="I981" s="5" t="n">
        <v>0</v>
      </c>
      <c r="J981" s="5" t="n">
        <v>0</v>
      </c>
      <c r="K981" s="5" t="n">
        <v>0</v>
      </c>
      <c r="L981" s="5" t="n">
        <v>0</v>
      </c>
      <c r="M981" s="5" t="n">
        <v>0</v>
      </c>
      <c r="N981" s="5" t="n">
        <v>0</v>
      </c>
      <c r="O981" s="5" t="n">
        <v>0</v>
      </c>
      <c r="P981" s="5" t="n">
        <v>0</v>
      </c>
      <c r="Q981" s="5" t="n">
        <v>0</v>
      </c>
      <c r="R981" s="5" t="n">
        <v>0</v>
      </c>
      <c r="S981" s="5" t="n">
        <v>1</v>
      </c>
      <c r="T981" s="5" t="n">
        <v>0</v>
      </c>
      <c r="U981" s="5" t="inlineStr">
        <is>
          <t>testing</t>
        </is>
      </c>
    </row>
    <row r="982">
      <c r="A982" s="5" t="n">
        <v>978</v>
      </c>
      <c r="B982" s="5" t="n">
        <v>0</v>
      </c>
      <c r="C982" s="6" t="n">
        <v>-0.2301473069597001</v>
      </c>
      <c r="D982" s="6" t="n">
        <v>-0.2882051518617454</v>
      </c>
      <c r="E982" s="6" t="n">
        <v>0.5618457137091294</v>
      </c>
      <c r="F982" s="6" t="n">
        <v>0.9185437189662378</v>
      </c>
      <c r="G982" s="5" t="n">
        <v>0</v>
      </c>
      <c r="H982" s="5" t="n">
        <v>1</v>
      </c>
      <c r="I982" s="5" t="n">
        <v>0</v>
      </c>
      <c r="J982" s="5" t="n">
        <v>0</v>
      </c>
      <c r="K982" s="5" t="n">
        <v>1</v>
      </c>
      <c r="L982" s="5" t="n">
        <v>0</v>
      </c>
      <c r="M982" s="5" t="n">
        <v>0</v>
      </c>
      <c r="N982" s="5" t="n">
        <v>0</v>
      </c>
      <c r="O982" s="5" t="n">
        <v>1</v>
      </c>
      <c r="P982" s="5" t="n">
        <v>0</v>
      </c>
      <c r="Q982" s="5" t="n">
        <v>0</v>
      </c>
      <c r="R982" s="5" t="n">
        <v>0</v>
      </c>
      <c r="S982" s="5" t="n">
        <v>0</v>
      </c>
      <c r="T982" s="5" t="n">
        <v>0</v>
      </c>
      <c r="U982" s="5" t="inlineStr">
        <is>
          <t>testing</t>
        </is>
      </c>
    </row>
    <row r="983">
      <c r="A983" s="5" t="n">
        <v>979</v>
      </c>
      <c r="B983" s="5" t="n">
        <v>1</v>
      </c>
      <c r="C983" s="6" t="n">
        <v>0.275406400796963</v>
      </c>
      <c r="D983" s="6" t="n">
        <v>-0.2493670575244509</v>
      </c>
      <c r="E983" s="6" t="n">
        <v>0.9967108171991675</v>
      </c>
      <c r="F983" s="6" t="n">
        <v>0.9185437189662378</v>
      </c>
      <c r="G983" s="5" t="n">
        <v>0</v>
      </c>
      <c r="H983" s="5" t="n">
        <v>0</v>
      </c>
      <c r="I983" s="5" t="n">
        <v>0</v>
      </c>
      <c r="J983" s="5" t="n">
        <v>0</v>
      </c>
      <c r="K983" s="5" t="n">
        <v>1</v>
      </c>
      <c r="L983" s="5" t="n">
        <v>0</v>
      </c>
      <c r="M983" s="5" t="n">
        <v>0</v>
      </c>
      <c r="N983" s="5" t="n">
        <v>0</v>
      </c>
      <c r="O983" s="5" t="n">
        <v>0</v>
      </c>
      <c r="P983" s="5" t="n">
        <v>0</v>
      </c>
      <c r="Q983" s="5" t="n">
        <v>0</v>
      </c>
      <c r="R983" s="5" t="n">
        <v>1</v>
      </c>
      <c r="S983" s="5" t="n">
        <v>0</v>
      </c>
      <c r="T983" s="5" t="n">
        <v>0</v>
      </c>
      <c r="U983" s="5" t="inlineStr">
        <is>
          <t>training</t>
        </is>
      </c>
    </row>
    <row r="984">
      <c r="A984" s="5" t="n">
        <v>980</v>
      </c>
      <c r="B984" s="5" t="n">
        <v>1</v>
      </c>
      <c r="C984" s="6" t="n">
        <v>-0.4829241608380317</v>
      </c>
      <c r="D984" s="6" t="n">
        <v>-0.6951304105488941</v>
      </c>
      <c r="E984" s="6" t="n">
        <v>-0.9166956381570004</v>
      </c>
      <c r="F984" s="6" t="n">
        <v>-0.8850484360866833</v>
      </c>
      <c r="G984" s="5" t="n">
        <v>0</v>
      </c>
      <c r="H984" s="5" t="n">
        <v>1</v>
      </c>
      <c r="I984" s="5" t="n">
        <v>0</v>
      </c>
      <c r="J984" s="5" t="n">
        <v>0</v>
      </c>
      <c r="K984" s="5" t="n">
        <v>0</v>
      </c>
      <c r="L984" s="5" t="n">
        <v>1</v>
      </c>
      <c r="M984" s="5" t="n">
        <v>1</v>
      </c>
      <c r="N984" s="5" t="n">
        <v>0</v>
      </c>
      <c r="O984" s="5" t="n">
        <v>0</v>
      </c>
      <c r="P984" s="5" t="n">
        <v>1</v>
      </c>
      <c r="Q984" s="5" t="n">
        <v>0</v>
      </c>
      <c r="R984" s="5" t="n">
        <v>1</v>
      </c>
      <c r="S984" s="5" t="n">
        <v>0</v>
      </c>
      <c r="T984" s="5" t="n">
        <v>0</v>
      </c>
      <c r="U984" s="5" t="inlineStr">
        <is>
          <t>training</t>
        </is>
      </c>
    </row>
    <row r="985">
      <c r="A985" s="5" t="n">
        <v>981</v>
      </c>
      <c r="B985" s="5" t="n">
        <v>1</v>
      </c>
      <c r="C985" s="6" t="n">
        <v>0.7809601085536261</v>
      </c>
      <c r="D985" s="6" t="n">
        <v>1.796805696389948</v>
      </c>
      <c r="E985" s="6" t="n">
        <v>1.170656858595183</v>
      </c>
      <c r="F985" s="6" t="n">
        <v>-0.8850484360866833</v>
      </c>
      <c r="G985" s="5" t="n">
        <v>0</v>
      </c>
      <c r="H985" s="5" t="n">
        <v>1</v>
      </c>
      <c r="I985" s="5" t="n">
        <v>0</v>
      </c>
      <c r="J985" s="5" t="n">
        <v>1</v>
      </c>
      <c r="K985" s="5" t="n">
        <v>0</v>
      </c>
      <c r="L985" s="5" t="n">
        <v>0</v>
      </c>
      <c r="M985" s="5" t="n">
        <v>0</v>
      </c>
      <c r="N985" s="5" t="n">
        <v>0</v>
      </c>
      <c r="O985" s="5" t="n">
        <v>0</v>
      </c>
      <c r="P985" s="5" t="n">
        <v>0</v>
      </c>
      <c r="Q985" s="5" t="n">
        <v>0</v>
      </c>
      <c r="R985" s="5" t="n">
        <v>0</v>
      </c>
      <c r="S985" s="5" t="n">
        <v>0</v>
      </c>
      <c r="T985" s="5" t="n">
        <v>1</v>
      </c>
      <c r="U985" s="5" t="inlineStr">
        <is>
          <t>training</t>
        </is>
      </c>
    </row>
    <row r="986">
      <c r="A986" s="5" t="n">
        <v>982</v>
      </c>
      <c r="B986" s="5" t="n">
        <v>1</v>
      </c>
      <c r="C986" s="6" t="n">
        <v>2.297621231823615</v>
      </c>
      <c r="D986" s="6" t="n">
        <v>0.5574856050142979</v>
      </c>
      <c r="E986" s="6" t="n">
        <v>-0.2209114725729393</v>
      </c>
      <c r="F986" s="6" t="n">
        <v>0.01674764143977723</v>
      </c>
      <c r="G986" s="5" t="n">
        <v>0</v>
      </c>
      <c r="H986" s="5" t="n">
        <v>0</v>
      </c>
      <c r="I986" s="5" t="n">
        <v>0</v>
      </c>
      <c r="J986" s="5" t="n">
        <v>0</v>
      </c>
      <c r="K986" s="5" t="n">
        <v>0</v>
      </c>
      <c r="L986" s="5" t="n">
        <v>0</v>
      </c>
      <c r="M986" s="5" t="n">
        <v>0</v>
      </c>
      <c r="N986" s="5" t="n">
        <v>0</v>
      </c>
      <c r="O986" s="5" t="n">
        <v>0</v>
      </c>
      <c r="P986" s="5" t="n">
        <v>1</v>
      </c>
      <c r="Q986" s="5" t="n">
        <v>0</v>
      </c>
      <c r="R986" s="5" t="n">
        <v>0</v>
      </c>
      <c r="S986" s="5" t="n">
        <v>0</v>
      </c>
      <c r="T986" s="5" t="n">
        <v>0</v>
      </c>
      <c r="U986" s="5" t="inlineStr">
        <is>
          <t>training</t>
        </is>
      </c>
    </row>
    <row r="987">
      <c r="A987" s="5" t="n">
        <v>983</v>
      </c>
      <c r="B987" s="5" t="n">
        <v>0</v>
      </c>
      <c r="C987" s="6" t="n">
        <v>0.02262954691863145</v>
      </c>
      <c r="D987" s="6" t="n">
        <v>-0.1146583519401412</v>
      </c>
      <c r="E987" s="6" t="n">
        <v>-0.6557765760629775</v>
      </c>
      <c r="F987" s="6" t="n">
        <v>-1.786844513613144</v>
      </c>
      <c r="G987" s="5" t="n">
        <v>0</v>
      </c>
      <c r="H987" s="5" t="n">
        <v>0</v>
      </c>
      <c r="I987" s="5" t="n">
        <v>1</v>
      </c>
      <c r="J987" s="5" t="n">
        <v>0</v>
      </c>
      <c r="K987" s="5" t="n">
        <v>0</v>
      </c>
      <c r="L987" s="5" t="n">
        <v>0</v>
      </c>
      <c r="M987" s="5" t="n">
        <v>1</v>
      </c>
      <c r="N987" s="5" t="n">
        <v>0</v>
      </c>
      <c r="O987" s="5" t="n">
        <v>0</v>
      </c>
      <c r="P987" s="5" t="n">
        <v>0</v>
      </c>
      <c r="Q987" s="5" t="n">
        <v>0</v>
      </c>
      <c r="R987" s="5" t="n">
        <v>1</v>
      </c>
      <c r="S987" s="5" t="n">
        <v>0</v>
      </c>
      <c r="T987" s="5" t="n">
        <v>0</v>
      </c>
      <c r="U987" s="5" t="inlineStr">
        <is>
          <t>training</t>
        </is>
      </c>
    </row>
    <row r="988">
      <c r="A988" s="5" t="n">
        <v>984</v>
      </c>
      <c r="B988" s="5" t="n">
        <v>1</v>
      </c>
      <c r="C988" s="6" t="n">
        <v>1.286513816310289</v>
      </c>
      <c r="D988" s="6" t="n">
        <v>1.741872535930892</v>
      </c>
      <c r="E988" s="6" t="n">
        <v>-0.8297226174589928</v>
      </c>
      <c r="F988" s="6" t="n">
        <v>-0.8850484360866833</v>
      </c>
      <c r="G988" s="5" t="n">
        <v>1</v>
      </c>
      <c r="H988" s="5" t="n">
        <v>0</v>
      </c>
      <c r="I988" s="5" t="n">
        <v>0</v>
      </c>
      <c r="J988" s="5" t="n">
        <v>0</v>
      </c>
      <c r="K988" s="5" t="n">
        <v>0</v>
      </c>
      <c r="L988" s="5" t="n">
        <v>0</v>
      </c>
      <c r="M988" s="5" t="n">
        <v>0</v>
      </c>
      <c r="N988" s="5" t="n">
        <v>0</v>
      </c>
      <c r="O988" s="5" t="n">
        <v>0</v>
      </c>
      <c r="P988" s="5" t="n">
        <v>0</v>
      </c>
      <c r="Q988" s="5" t="n">
        <v>0</v>
      </c>
      <c r="R988" s="5" t="n">
        <v>1</v>
      </c>
      <c r="S988" s="5" t="n">
        <v>0</v>
      </c>
      <c r="T988" s="5" t="n">
        <v>0</v>
      </c>
      <c r="U988" s="5" t="inlineStr">
        <is>
          <t>training</t>
        </is>
      </c>
    </row>
    <row r="989">
      <c r="A989" s="5" t="n">
        <v>985</v>
      </c>
      <c r="B989" s="5" t="n">
        <v>0</v>
      </c>
      <c r="C989" s="6" t="n">
        <v>0.275406400796963</v>
      </c>
      <c r="D989" s="6" t="n">
        <v>-0.4278123558309392</v>
      </c>
      <c r="E989" s="6" t="n">
        <v>-0.4818305346669622</v>
      </c>
      <c r="F989" s="6" t="n">
        <v>-0.8850484360866833</v>
      </c>
      <c r="G989" s="5" t="n">
        <v>0</v>
      </c>
      <c r="H989" s="5" t="n">
        <v>0</v>
      </c>
      <c r="I989" s="5" t="n">
        <v>0</v>
      </c>
      <c r="J989" s="5" t="n">
        <v>1</v>
      </c>
      <c r="K989" s="5" t="n">
        <v>0</v>
      </c>
      <c r="L989" s="5" t="n">
        <v>0</v>
      </c>
      <c r="M989" s="5" t="n">
        <v>0</v>
      </c>
      <c r="N989" s="5" t="n">
        <v>0</v>
      </c>
      <c r="O989" s="5" t="n">
        <v>0</v>
      </c>
      <c r="P989" s="5" t="n">
        <v>0</v>
      </c>
      <c r="Q989" s="5" t="n">
        <v>0</v>
      </c>
      <c r="R989" s="5" t="n">
        <v>0</v>
      </c>
      <c r="S989" s="5" t="n">
        <v>0</v>
      </c>
      <c r="T989" s="5" t="n">
        <v>1</v>
      </c>
      <c r="U989" s="5" t="inlineStr">
        <is>
          <t>testing</t>
        </is>
      </c>
    </row>
    <row r="990">
      <c r="A990" s="5" t="n">
        <v>986</v>
      </c>
      <c r="B990" s="5" t="n">
        <v>0</v>
      </c>
      <c r="C990" s="6" t="n">
        <v>-0.4829241608380317</v>
      </c>
      <c r="D990" s="6" t="n">
        <v>-0.6359985371885089</v>
      </c>
      <c r="E990" s="6" t="n">
        <v>-0.9166956381570004</v>
      </c>
      <c r="F990" s="6" t="n">
        <v>0.9185437189662378</v>
      </c>
      <c r="G990" s="5" t="n">
        <v>1</v>
      </c>
      <c r="H990" s="5" t="n">
        <v>0</v>
      </c>
      <c r="I990" s="5" t="n">
        <v>0</v>
      </c>
      <c r="J990" s="5" t="n">
        <v>1</v>
      </c>
      <c r="K990" s="5" t="n">
        <v>0</v>
      </c>
      <c r="L990" s="5" t="n">
        <v>0</v>
      </c>
      <c r="M990" s="5" t="n">
        <v>0</v>
      </c>
      <c r="N990" s="5" t="n">
        <v>0</v>
      </c>
      <c r="O990" s="5" t="n">
        <v>0</v>
      </c>
      <c r="P990" s="5" t="n">
        <v>1</v>
      </c>
      <c r="Q990" s="5" t="n">
        <v>0</v>
      </c>
      <c r="R990" s="5" t="n">
        <v>0</v>
      </c>
      <c r="S990" s="5" t="n">
        <v>0</v>
      </c>
      <c r="T990" s="5" t="n">
        <v>1</v>
      </c>
      <c r="U990" s="5" t="inlineStr">
        <is>
          <t>testing</t>
        </is>
      </c>
    </row>
    <row r="991">
      <c r="A991" s="5" t="n">
        <v>987</v>
      </c>
      <c r="B991" s="5" t="n">
        <v>0</v>
      </c>
      <c r="C991" s="6" t="n">
        <v>1.792067524066952</v>
      </c>
      <c r="D991" s="6" t="n">
        <v>1.063080616882681</v>
      </c>
      <c r="E991" s="6" t="n">
        <v>-0.2209114725729393</v>
      </c>
      <c r="F991" s="6" t="n">
        <v>-0.8850484360866833</v>
      </c>
      <c r="G991" s="5" t="n">
        <v>0</v>
      </c>
      <c r="H991" s="5" t="n">
        <v>0</v>
      </c>
      <c r="I991" s="5" t="n">
        <v>1</v>
      </c>
      <c r="J991" s="5" t="n">
        <v>0</v>
      </c>
      <c r="K991" s="5" t="n">
        <v>0</v>
      </c>
      <c r="L991" s="5" t="n">
        <v>1</v>
      </c>
      <c r="M991" s="5" t="n">
        <v>0</v>
      </c>
      <c r="N991" s="5" t="n">
        <v>0</v>
      </c>
      <c r="O991" s="5" t="n">
        <v>0</v>
      </c>
      <c r="P991" s="5" t="n">
        <v>0</v>
      </c>
      <c r="Q991" s="5" t="n">
        <v>0</v>
      </c>
      <c r="R991" s="5" t="n">
        <v>0</v>
      </c>
      <c r="S991" s="5" t="n">
        <v>0</v>
      </c>
      <c r="T991" s="5" t="n">
        <v>0</v>
      </c>
      <c r="U991" s="5" t="inlineStr">
        <is>
          <t>testing</t>
        </is>
      </c>
    </row>
    <row r="992">
      <c r="A992" s="5" t="n">
        <v>988</v>
      </c>
      <c r="B992" s="5" t="n">
        <v>0</v>
      </c>
      <c r="C992" s="6" t="n">
        <v>-0.651442063423586</v>
      </c>
      <c r="D992" s="6" t="n">
        <v>-0.6443959629911671</v>
      </c>
      <c r="E992" s="6" t="n">
        <v>2.475252169065298</v>
      </c>
      <c r="F992" s="6" t="n">
        <v>-0.8850484360866833</v>
      </c>
      <c r="G992" s="5" t="n">
        <v>0</v>
      </c>
      <c r="H992" s="5" t="n">
        <v>0</v>
      </c>
      <c r="I992" s="5" t="n">
        <v>0</v>
      </c>
      <c r="J992" s="5" t="n">
        <v>0</v>
      </c>
      <c r="K992" s="5" t="n">
        <v>0</v>
      </c>
      <c r="L992" s="5" t="n">
        <v>0</v>
      </c>
      <c r="M992" s="5" t="n">
        <v>1</v>
      </c>
      <c r="N992" s="5" t="n">
        <v>0</v>
      </c>
      <c r="O992" s="5" t="n">
        <v>0</v>
      </c>
      <c r="P992" s="5" t="n">
        <v>0</v>
      </c>
      <c r="Q992" s="5" t="n">
        <v>0</v>
      </c>
      <c r="R992" s="5" t="n">
        <v>0</v>
      </c>
      <c r="S992" s="5" t="n">
        <v>1</v>
      </c>
      <c r="T992" s="5" t="n">
        <v>0</v>
      </c>
      <c r="U992" s="5" t="inlineStr">
        <is>
          <t>training</t>
        </is>
      </c>
    </row>
    <row r="993">
      <c r="A993" s="5" t="n">
        <v>989</v>
      </c>
      <c r="B993" s="5" t="n">
        <v>0</v>
      </c>
      <c r="C993" s="6" t="n">
        <v>0.275406400796963</v>
      </c>
      <c r="D993" s="6" t="n">
        <v>1.164549511998136</v>
      </c>
      <c r="E993" s="6" t="n">
        <v>-0.5688035553649698</v>
      </c>
      <c r="F993" s="6" t="n">
        <v>0.9185437189662378</v>
      </c>
      <c r="G993" s="5" t="n">
        <v>1</v>
      </c>
      <c r="H993" s="5" t="n">
        <v>0</v>
      </c>
      <c r="I993" s="5" t="n">
        <v>0</v>
      </c>
      <c r="J993" s="5" t="n">
        <v>0</v>
      </c>
      <c r="K993" s="5" t="n">
        <v>0</v>
      </c>
      <c r="L993" s="5" t="n">
        <v>0</v>
      </c>
      <c r="M993" s="5" t="n">
        <v>0</v>
      </c>
      <c r="N993" s="5" t="n">
        <v>0</v>
      </c>
      <c r="O993" s="5" t="n">
        <v>0</v>
      </c>
      <c r="P993" s="5" t="n">
        <v>0</v>
      </c>
      <c r="Q993" s="5" t="n">
        <v>1</v>
      </c>
      <c r="R993" s="5" t="n">
        <v>1</v>
      </c>
      <c r="S993" s="5" t="n">
        <v>0</v>
      </c>
      <c r="T993" s="5" t="n">
        <v>0</v>
      </c>
      <c r="U993" s="5" t="inlineStr">
        <is>
          <t>testing</t>
        </is>
      </c>
    </row>
    <row r="994">
      <c r="A994" s="5" t="n">
        <v>990</v>
      </c>
      <c r="B994" s="5" t="n">
        <v>0</v>
      </c>
      <c r="C994" s="6" t="n">
        <v>0.275406400796963</v>
      </c>
      <c r="D994" s="6" t="n">
        <v>-0.5275317872375062</v>
      </c>
      <c r="E994" s="6" t="n">
        <v>1.083683837897175</v>
      </c>
      <c r="F994" s="6" t="n">
        <v>0.9185437189662378</v>
      </c>
      <c r="G994" s="5" t="n">
        <v>0</v>
      </c>
      <c r="H994" s="5" t="n">
        <v>1</v>
      </c>
      <c r="I994" s="5" t="n">
        <v>0</v>
      </c>
      <c r="J994" s="5" t="n">
        <v>1</v>
      </c>
      <c r="K994" s="5" t="n">
        <v>0</v>
      </c>
      <c r="L994" s="5" t="n">
        <v>0</v>
      </c>
      <c r="M994" s="5" t="n">
        <v>0</v>
      </c>
      <c r="N994" s="5" t="n">
        <v>0</v>
      </c>
      <c r="O994" s="5" t="n">
        <v>0</v>
      </c>
      <c r="P994" s="5" t="n">
        <v>0</v>
      </c>
      <c r="Q994" s="5" t="n">
        <v>0</v>
      </c>
      <c r="R994" s="5" t="n">
        <v>0</v>
      </c>
      <c r="S994" s="5" t="n">
        <v>1</v>
      </c>
      <c r="T994" s="5" t="n">
        <v>0</v>
      </c>
      <c r="U994" s="5" t="inlineStr">
        <is>
          <t>training</t>
        </is>
      </c>
    </row>
    <row r="995">
      <c r="A995" s="5" t="n">
        <v>991</v>
      </c>
      <c r="B995" s="5" t="n">
        <v>0</v>
      </c>
      <c r="C995" s="6" t="n">
        <v>-0.7357010147163632</v>
      </c>
      <c r="D995" s="6" t="n">
        <v>0.1099727882809676</v>
      </c>
      <c r="E995" s="6" t="n">
        <v>0.1269806102190912</v>
      </c>
      <c r="F995" s="6" t="n">
        <v>-0.8850484360866833</v>
      </c>
      <c r="G995" s="5" t="n">
        <v>0</v>
      </c>
      <c r="H995" s="5" t="n">
        <v>0</v>
      </c>
      <c r="I995" s="5" t="n">
        <v>0</v>
      </c>
      <c r="J995" s="5" t="n">
        <v>1</v>
      </c>
      <c r="K995" s="5" t="n">
        <v>0</v>
      </c>
      <c r="L995" s="5" t="n">
        <v>0</v>
      </c>
      <c r="M995" s="5" t="n">
        <v>0</v>
      </c>
      <c r="N995" s="5" t="n">
        <v>0</v>
      </c>
      <c r="O995" s="5" t="n">
        <v>1</v>
      </c>
      <c r="P995" s="5" t="n">
        <v>0</v>
      </c>
      <c r="Q995" s="5" t="n">
        <v>0</v>
      </c>
      <c r="R995" s="5" t="n">
        <v>0</v>
      </c>
      <c r="S995" s="5" t="n">
        <v>0</v>
      </c>
      <c r="T995" s="5" t="n">
        <v>0</v>
      </c>
      <c r="U995" s="5" t="inlineStr">
        <is>
          <t>training</t>
        </is>
      </c>
    </row>
    <row r="996">
      <c r="A996" s="5" t="n">
        <v>992</v>
      </c>
      <c r="B996" s="5" t="n">
        <v>0</v>
      </c>
      <c r="C996" s="6" t="n">
        <v>-0.4829241608380317</v>
      </c>
      <c r="D996" s="6" t="n">
        <v>-0.5884131243067786</v>
      </c>
      <c r="E996" s="6" t="n">
        <v>-0.1339384518749317</v>
      </c>
      <c r="F996" s="6" t="n">
        <v>0.9185437189662378</v>
      </c>
      <c r="G996" s="5" t="n">
        <v>0</v>
      </c>
      <c r="H996" s="5" t="n">
        <v>0</v>
      </c>
      <c r="I996" s="5" t="n">
        <v>0</v>
      </c>
      <c r="J996" s="5" t="n">
        <v>0</v>
      </c>
      <c r="K996" s="5" t="n">
        <v>0</v>
      </c>
      <c r="L996" s="5" t="n">
        <v>1</v>
      </c>
      <c r="M996" s="5" t="n">
        <v>1</v>
      </c>
      <c r="N996" s="5" t="n">
        <v>0</v>
      </c>
      <c r="O996" s="5" t="n">
        <v>0</v>
      </c>
      <c r="P996" s="5" t="n">
        <v>0</v>
      </c>
      <c r="Q996" s="5" t="n">
        <v>0</v>
      </c>
      <c r="R996" s="5" t="n">
        <v>0</v>
      </c>
      <c r="S996" s="5" t="n">
        <v>1</v>
      </c>
      <c r="T996" s="5" t="n">
        <v>0</v>
      </c>
      <c r="U996" s="5" t="inlineStr">
        <is>
          <t>training</t>
        </is>
      </c>
    </row>
    <row r="997">
      <c r="A997" s="5" t="n">
        <v>993</v>
      </c>
      <c r="B997" s="5" t="n">
        <v>0</v>
      </c>
      <c r="C997" s="6" t="n">
        <v>-0.2301473069597001</v>
      </c>
      <c r="D997" s="6" t="n">
        <v>-0.4600024880744625</v>
      </c>
      <c r="E997" s="6" t="n">
        <v>-1.090641679553016</v>
      </c>
      <c r="F997" s="6" t="n">
        <v>-0.8850484360866833</v>
      </c>
      <c r="G997" s="5" t="n">
        <v>1</v>
      </c>
      <c r="H997" s="5" t="n">
        <v>0</v>
      </c>
      <c r="I997" s="5" t="n">
        <v>0</v>
      </c>
      <c r="J997" s="5" t="n">
        <v>0</v>
      </c>
      <c r="K997" s="5" t="n">
        <v>0</v>
      </c>
      <c r="L997" s="5" t="n">
        <v>0</v>
      </c>
      <c r="M997" s="5" t="n">
        <v>0</v>
      </c>
      <c r="N997" s="5" t="n">
        <v>0</v>
      </c>
      <c r="O997" s="5" t="n">
        <v>1</v>
      </c>
      <c r="P997" s="5" t="n">
        <v>1</v>
      </c>
      <c r="Q997" s="5" t="n">
        <v>0</v>
      </c>
      <c r="R997" s="5" t="n">
        <v>0</v>
      </c>
      <c r="S997" s="5" t="n">
        <v>1</v>
      </c>
      <c r="T997" s="5" t="n">
        <v>0</v>
      </c>
      <c r="U997" s="5" t="inlineStr">
        <is>
          <t>testing</t>
        </is>
      </c>
    </row>
    <row r="998">
      <c r="A998" s="5" t="n">
        <v>994</v>
      </c>
      <c r="B998" s="5" t="n">
        <v>0</v>
      </c>
      <c r="C998" s="6" t="n">
        <v>1.286513816310289</v>
      </c>
      <c r="D998" s="6" t="n">
        <v>0.2478305285412742</v>
      </c>
      <c r="E998" s="6" t="n">
        <v>-0.4818305346669622</v>
      </c>
      <c r="F998" s="6" t="n">
        <v>0.9185437189662378</v>
      </c>
      <c r="G998" s="5" t="n">
        <v>1</v>
      </c>
      <c r="H998" s="5" t="n">
        <v>0</v>
      </c>
      <c r="I998" s="5" t="n">
        <v>0</v>
      </c>
      <c r="J998" s="5" t="n">
        <v>0</v>
      </c>
      <c r="K998" s="5" t="n">
        <v>0</v>
      </c>
      <c r="L998" s="5" t="n">
        <v>0</v>
      </c>
      <c r="M998" s="5" t="n">
        <v>0</v>
      </c>
      <c r="N998" s="5" t="n">
        <v>0</v>
      </c>
      <c r="O998" s="5" t="n">
        <v>0</v>
      </c>
      <c r="P998" s="5" t="n">
        <v>0</v>
      </c>
      <c r="Q998" s="5" t="n">
        <v>0</v>
      </c>
      <c r="R998" s="5" t="n">
        <v>0</v>
      </c>
      <c r="S998" s="5" t="n">
        <v>0</v>
      </c>
      <c r="T998" s="5" t="n">
        <v>1</v>
      </c>
      <c r="U998" s="5" t="inlineStr">
        <is>
          <t>training</t>
        </is>
      </c>
    </row>
    <row r="999">
      <c r="A999" s="5" t="n">
        <v>995</v>
      </c>
      <c r="B999" s="5" t="n">
        <v>0</v>
      </c>
      <c r="C999" s="6" t="n">
        <v>-0.7357010147163632</v>
      </c>
      <c r="D999" s="6" t="n">
        <v>-0.3011511833075103</v>
      </c>
      <c r="E999" s="6" t="n">
        <v>1.257629879293191</v>
      </c>
      <c r="F999" s="6" t="n">
        <v>0.9185437189662378</v>
      </c>
      <c r="G999" s="5" t="n">
        <v>0</v>
      </c>
      <c r="H999" s="5" t="n">
        <v>0</v>
      </c>
      <c r="I999" s="5" t="n">
        <v>0</v>
      </c>
      <c r="J999" s="5" t="n">
        <v>0</v>
      </c>
      <c r="K999" s="5" t="n">
        <v>0</v>
      </c>
      <c r="L999" s="5" t="n">
        <v>0</v>
      </c>
      <c r="M999" s="5" t="n">
        <v>0</v>
      </c>
      <c r="N999" s="5" t="n">
        <v>0</v>
      </c>
      <c r="O999" s="5" t="n">
        <v>1</v>
      </c>
      <c r="P999" s="5" t="n">
        <v>0</v>
      </c>
      <c r="Q999" s="5" t="n">
        <v>0</v>
      </c>
      <c r="R999" s="5" t="n">
        <v>1</v>
      </c>
      <c r="S999" s="5" t="n">
        <v>0</v>
      </c>
      <c r="T999" s="5" t="n">
        <v>0</v>
      </c>
      <c r="U999" s="5" t="inlineStr">
        <is>
          <t>training</t>
        </is>
      </c>
    </row>
    <row r="1000">
      <c r="A1000" s="5" t="n">
        <v>996</v>
      </c>
      <c r="B1000" s="5" t="n">
        <v>0</v>
      </c>
      <c r="C1000" s="6" t="n">
        <v>-0.7357010147163632</v>
      </c>
      <c r="D1000" s="6" t="n">
        <v>-0.5299810364299481</v>
      </c>
      <c r="E1000" s="6" t="n">
        <v>-0.3948575139689546</v>
      </c>
      <c r="F1000" s="6" t="n">
        <v>0.01674764143977723</v>
      </c>
      <c r="G1000" s="5" t="n">
        <v>0</v>
      </c>
      <c r="H1000" s="5" t="n">
        <v>0</v>
      </c>
      <c r="I1000" s="5" t="n">
        <v>0</v>
      </c>
      <c r="J1000" s="5" t="n">
        <v>0</v>
      </c>
      <c r="K1000" s="5" t="n">
        <v>0</v>
      </c>
      <c r="L1000" s="5" t="n">
        <v>0</v>
      </c>
      <c r="M1000" s="5" t="n">
        <v>0</v>
      </c>
      <c r="N1000" s="5" t="n">
        <v>0</v>
      </c>
      <c r="O1000" s="5" t="n">
        <v>0</v>
      </c>
      <c r="P1000" s="5" t="n">
        <v>0</v>
      </c>
      <c r="Q1000" s="5" t="n">
        <v>0</v>
      </c>
      <c r="R1000" s="5" t="n">
        <v>0</v>
      </c>
      <c r="S1000" s="5" t="n">
        <v>0</v>
      </c>
      <c r="T1000" s="5" t="n">
        <v>1</v>
      </c>
      <c r="U1000" s="5" t="inlineStr">
        <is>
          <t>training</t>
        </is>
      </c>
    </row>
    <row r="1001">
      <c r="A1001" s="5" t="n">
        <v>997</v>
      </c>
      <c r="B1001" s="5" t="n">
        <v>0</v>
      </c>
      <c r="C1001" s="6" t="n">
        <v>0.7809601085536261</v>
      </c>
      <c r="D1001" s="6" t="n">
        <v>0.2121414688799765</v>
      </c>
      <c r="E1001" s="6" t="n">
        <v>0.3878996723131141</v>
      </c>
      <c r="F1001" s="6" t="n">
        <v>0.9185437189662378</v>
      </c>
      <c r="G1001" s="5" t="n">
        <v>1</v>
      </c>
      <c r="H1001" s="5" t="n">
        <v>0</v>
      </c>
      <c r="I1001" s="5" t="n">
        <v>0</v>
      </c>
      <c r="J1001" s="5" t="n">
        <v>0</v>
      </c>
      <c r="K1001" s="5" t="n">
        <v>0</v>
      </c>
      <c r="L1001" s="5" t="n">
        <v>0</v>
      </c>
      <c r="M1001" s="5" t="n">
        <v>0</v>
      </c>
      <c r="N1001" s="5" t="n">
        <v>0</v>
      </c>
      <c r="O1001" s="5" t="n">
        <v>0</v>
      </c>
      <c r="P1001" s="5" t="n">
        <v>0</v>
      </c>
      <c r="Q1001" s="5" t="n">
        <v>0</v>
      </c>
      <c r="R1001" s="5" t="n">
        <v>1</v>
      </c>
      <c r="S1001" s="5" t="n">
        <v>0</v>
      </c>
      <c r="T1001" s="5" t="n">
        <v>0</v>
      </c>
      <c r="U1001" s="5" t="inlineStr">
        <is>
          <t>training</t>
        </is>
      </c>
    </row>
    <row r="1002">
      <c r="A1002" s="5" t="n">
        <v>998</v>
      </c>
      <c r="B1002" s="5" t="n">
        <v>0</v>
      </c>
      <c r="C1002" s="6" t="n">
        <v>-0.7357010147163632</v>
      </c>
      <c r="D1002" s="6" t="n">
        <v>-0.8560810717665109</v>
      </c>
      <c r="E1002" s="6" t="n">
        <v>0.2139536309170988</v>
      </c>
      <c r="F1002" s="6" t="n">
        <v>0.9185437189662378</v>
      </c>
      <c r="G1002" s="5" t="n">
        <v>0</v>
      </c>
      <c r="H1002" s="5" t="n">
        <v>0</v>
      </c>
      <c r="I1002" s="5" t="n">
        <v>0</v>
      </c>
      <c r="J1002" s="5" t="n">
        <v>0</v>
      </c>
      <c r="K1002" s="5" t="n">
        <v>0</v>
      </c>
      <c r="L1002" s="5" t="n">
        <v>0</v>
      </c>
      <c r="M1002" s="5" t="n">
        <v>0</v>
      </c>
      <c r="N1002" s="5" t="n">
        <v>0</v>
      </c>
      <c r="O1002" s="5" t="n">
        <v>0</v>
      </c>
      <c r="P1002" s="5" t="n">
        <v>0</v>
      </c>
      <c r="Q1002" s="5" t="n">
        <v>0</v>
      </c>
      <c r="R1002" s="5" t="n">
        <v>0</v>
      </c>
      <c r="S1002" s="5" t="n">
        <v>1</v>
      </c>
      <c r="T1002" s="5" t="n">
        <v>0</v>
      </c>
      <c r="U1002" s="5" t="inlineStr">
        <is>
          <t>testing</t>
        </is>
      </c>
    </row>
    <row r="1003">
      <c r="A1003" s="5" t="n">
        <v>999</v>
      </c>
      <c r="B1003" s="5" t="n">
        <v>1</v>
      </c>
      <c r="C1003" s="6" t="n">
        <v>2.044844377945284</v>
      </c>
      <c r="D1003" s="6" t="n">
        <v>-0.4918427275762085</v>
      </c>
      <c r="E1003" s="6" t="n">
        <v>-1.090641679553016</v>
      </c>
      <c r="F1003" s="6" t="n">
        <v>0.9185437189662378</v>
      </c>
      <c r="G1003" s="5" t="n">
        <v>1</v>
      </c>
      <c r="H1003" s="5" t="n">
        <v>0</v>
      </c>
      <c r="I1003" s="5" t="n">
        <v>0</v>
      </c>
      <c r="J1003" s="5" t="n">
        <v>0</v>
      </c>
      <c r="K1003" s="5" t="n">
        <v>0</v>
      </c>
      <c r="L1003" s="5" t="n">
        <v>0</v>
      </c>
      <c r="M1003" s="5" t="n">
        <v>0</v>
      </c>
      <c r="N1003" s="5" t="n">
        <v>0</v>
      </c>
      <c r="O1003" s="5" t="n">
        <v>0</v>
      </c>
      <c r="P1003" s="5" t="n">
        <v>0</v>
      </c>
      <c r="Q1003" s="5" t="n">
        <v>1</v>
      </c>
      <c r="R1003" s="5" t="n">
        <v>0</v>
      </c>
      <c r="S1003" s="5" t="n">
        <v>1</v>
      </c>
      <c r="T1003" s="5" t="n">
        <v>0</v>
      </c>
      <c r="U1003" s="5" t="inlineStr">
        <is>
          <t>training</t>
        </is>
      </c>
    </row>
    <row r="1004">
      <c r="A1004" s="5" t="n">
        <v>1000</v>
      </c>
      <c r="B1004" s="5" t="n">
        <v>0</v>
      </c>
      <c r="C1004" s="6" t="n">
        <v>2.044844377945284</v>
      </c>
      <c r="D1004" s="6" t="n">
        <v>0.4637143502179472</v>
      </c>
      <c r="E1004" s="6" t="n">
        <v>-0.7427495967609852</v>
      </c>
      <c r="F1004" s="6" t="n">
        <v>0.01674764143977723</v>
      </c>
      <c r="G1004" s="5" t="n">
        <v>0</v>
      </c>
      <c r="H1004" s="5" t="n">
        <v>1</v>
      </c>
      <c r="I1004" s="5" t="n">
        <v>0</v>
      </c>
      <c r="J1004" s="5" t="n">
        <v>1</v>
      </c>
      <c r="K1004" s="5" t="n">
        <v>0</v>
      </c>
      <c r="L1004" s="5" t="n">
        <v>0</v>
      </c>
      <c r="M1004" s="5" t="n">
        <v>1</v>
      </c>
      <c r="N1004" s="5" t="n">
        <v>0</v>
      </c>
      <c r="O1004" s="5" t="n">
        <v>0</v>
      </c>
      <c r="P1004" s="5" t="n">
        <v>0</v>
      </c>
      <c r="Q1004" s="5" t="n">
        <v>0</v>
      </c>
      <c r="R1004" s="5" t="n">
        <v>1</v>
      </c>
      <c r="S1004" s="5" t="n">
        <v>0</v>
      </c>
      <c r="T1004" s="5" t="n">
        <v>0</v>
      </c>
      <c r="U1004" s="5" t="inlineStr">
        <is>
          <t>training</t>
        </is>
      </c>
    </row>
  </sheetData>
  <mergeCells count="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0" customWidth="1" min="22" max="22"/>
    <col width="13" customWidth="1" min="23" max="23"/>
    <col width="10" customWidth="1" min="24" max="24"/>
    <col width="11" customWidth="1" min="25" max="25"/>
    <col width="10" customWidth="1" min="26" max="26"/>
    <col width="52" customWidth="1" min="28" max="28"/>
    <col width="21" customWidth="1" min="29" max="29"/>
    <col width="27" customWidth="1" min="30" max="30"/>
    <col width="16" customWidth="1" min="31" max="31"/>
    <col width="24" customWidth="1" min="34" max="34"/>
    <col width="10" customWidth="1" min="35" max="35"/>
    <col width="12" customWidth="1" min="36" max="36"/>
    <col width="12" customWidth="1" min="37" max="37"/>
    <col width="10" customWidth="1" min="38" max="38"/>
  </cols>
  <sheetData>
    <row r="1">
      <c r="A1" s="3" t="inlineStr">
        <is>
          <t>Ridge (L2): charging for the sum of squared weights</t>
        </is>
      </c>
    </row>
    <row r="2" ht="65" customHeight="1">
      <c r="A2" s="2" t="inlineStr">
        <is>
          <t>Ridge (L2). The cost function becomes J = Σ losses + λ/2 · Σ theta², with the sum over the 18 weights (the intercept is left out). The new term grows with the square of each weight, so it punishes large weights a lot and small ones little: Solver shrinks them all toward zero, in proportion, but none reaches exactly zero. λ says how much size costs: with λ = 0 we are at the base workbook; with λ = 300 almost every weight is small and the model predicts close to the base rate for everyone.</t>
        </is>
      </c>
    </row>
    <row r="3" ht="65" customHeight="1">
      <c r="A3" s="2" t="inlineStr">
        <is>
          <t>The weights start from the unregularized solution (light blue column), the gray reference is the scikit-learn solution for λ = 10, and the yellow columns are the theta² values the penalty adds up. Run Solver on J and compare the weights with the reference; then change λ and run it again. Look at the average testing loss: that is what should improve if there were overfitting, and in this dataset it barely moves, because with 700 rows and 18 variables the unregularized model was not overfitting much.</t>
        </is>
      </c>
    </row>
    <row r="4"/>
    <row r="5"/>
    <row r="6"/>
    <row r="7"/>
    <row r="8"/>
    <row r="9"/>
    <row r="10">
      <c r="AB10" s="3" t="inlineStr">
        <is>
          <t>Weights (theta): start from the unregularized solution of the base workbook</t>
        </is>
      </c>
      <c r="AH10" s="3" t="inlineStr">
        <is>
          <t>EVALUATION ON TESTING (with the light blue threshold)</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Z (line)</t>
        </is>
      </c>
      <c r="W11" s="4" t="inlineStr">
        <is>
          <t>p (logistic)</t>
        </is>
      </c>
      <c r="X11" s="4" t="inlineStr">
        <is>
          <t>loss</t>
        </is>
      </c>
      <c r="Y11" s="4" t="inlineStr">
        <is>
          <t>prediction</t>
        </is>
      </c>
      <c r="Z11" s="4" t="inlineStr">
        <is>
          <t>correct</t>
        </is>
      </c>
      <c r="AB11" s="4" t="inlineStr">
        <is>
          <t>variable</t>
        </is>
      </c>
      <c r="AC11" s="4" t="inlineStr">
        <is>
          <t>theta (light blue)</t>
        </is>
      </c>
      <c r="AD11" s="4" t="inlineStr">
        <is>
          <t>scikit-learn reference, λ = 10</t>
        </is>
      </c>
      <c r="AE11" s="4" t="inlineStr">
        <is>
          <t>theta²</t>
        </is>
      </c>
    </row>
    <row r="12">
      <c r="A12">
        <f>'1 prepared data'!A5</f>
        <v/>
      </c>
      <c r="B12" s="5">
        <f>'1 prepared data'!U5</f>
        <v/>
      </c>
      <c r="C12">
        <f>'1 prepared data'!B5</f>
        <v/>
      </c>
      <c r="D12" s="7">
        <f>'1 prepared data'!C5</f>
        <v/>
      </c>
      <c r="E12" s="7">
        <f>'1 prepared data'!D5</f>
        <v/>
      </c>
      <c r="F12" s="7">
        <f>'1 prepared data'!E5</f>
        <v/>
      </c>
      <c r="G12" s="7">
        <f>'1 prepared data'!F5</f>
        <v/>
      </c>
      <c r="H12" s="7">
        <f>'1 prepared data'!G5</f>
        <v/>
      </c>
      <c r="I12" s="7">
        <f>'1 prepared data'!H5</f>
        <v/>
      </c>
      <c r="J12" s="7">
        <f>'1 prepared data'!I5</f>
        <v/>
      </c>
      <c r="K12" s="7">
        <f>'1 prepared data'!J5</f>
        <v/>
      </c>
      <c r="L12" s="7">
        <f>'1 prepared data'!K5</f>
        <v/>
      </c>
      <c r="M12" s="7">
        <f>'1 prepared data'!L5</f>
        <v/>
      </c>
      <c r="N12" s="7">
        <f>'1 prepared data'!M5</f>
        <v/>
      </c>
      <c r="O12" s="7">
        <f>'1 prepared data'!N5</f>
        <v/>
      </c>
      <c r="P12" s="7">
        <f>'1 prepared data'!O5</f>
        <v/>
      </c>
      <c r="Q12" s="7">
        <f>'1 prepared data'!P5</f>
        <v/>
      </c>
      <c r="R12" s="7">
        <f>'1 prepared data'!Q5</f>
        <v/>
      </c>
      <c r="S12" s="7">
        <f>'1 prepared data'!R5</f>
        <v/>
      </c>
      <c r="T12" s="7">
        <f>'1 prepared data'!S5</f>
        <v/>
      </c>
      <c r="U12" s="7">
        <f>'1 prepared data'!T5</f>
        <v/>
      </c>
      <c r="V12" s="8">
        <f>$AC$12+D12*$AC$13+E12*$AC$14+F12*$AC$15+G12*$AC$16+H12*$AC$17+I12*$AC$18+J12*$AC$19+K12*$AC$20+L12*$AC$21+M12*$AC$22+N12*$AC$23+O12*$AC$24+P12*$AC$25+Q12*$AC$26+R12*$AC$27+S12*$AC$28+T12*$AC$29+U12*$AC$30</f>
        <v/>
      </c>
      <c r="W12" s="8">
        <f>1/(1+EXP(-V12))</f>
        <v/>
      </c>
      <c r="X12" s="9">
        <f>-IF(C12=1,LN(W12),LN(1-W12))</f>
        <v/>
      </c>
      <c r="Y12" s="10">
        <f>IF(W12&gt;$AC$33,1,0)</f>
        <v/>
      </c>
      <c r="Z12">
        <f>IF(Y12=C12,1,0)</f>
        <v/>
      </c>
      <c r="AB12" t="inlineStr">
        <is>
          <t>intercept</t>
        </is>
      </c>
      <c r="AC12" s="11" t="n">
        <v>-1.341270962110326</v>
      </c>
      <c r="AD12" s="12" t="n">
        <v>-1.128786203267687</v>
      </c>
      <c r="AE12" t="inlineStr">
        <is>
          <t>(not penalized)</t>
        </is>
      </c>
    </row>
    <row r="13">
      <c r="A13">
        <f>'1 prepared data'!A6</f>
        <v/>
      </c>
      <c r="B13" s="5">
        <f>'1 prepared data'!U6</f>
        <v/>
      </c>
      <c r="C13">
        <f>'1 prepared data'!B6</f>
        <v/>
      </c>
      <c r="D13" s="7">
        <f>'1 prepared data'!C6</f>
        <v/>
      </c>
      <c r="E13" s="7">
        <f>'1 prepared data'!D6</f>
        <v/>
      </c>
      <c r="F13" s="7">
        <f>'1 prepared data'!E6</f>
        <v/>
      </c>
      <c r="G13" s="7">
        <f>'1 prepared data'!F6</f>
        <v/>
      </c>
      <c r="H13" s="7">
        <f>'1 prepared data'!G6</f>
        <v/>
      </c>
      <c r="I13" s="7">
        <f>'1 prepared data'!H6</f>
        <v/>
      </c>
      <c r="J13" s="7">
        <f>'1 prepared data'!I6</f>
        <v/>
      </c>
      <c r="K13" s="7">
        <f>'1 prepared data'!J6</f>
        <v/>
      </c>
      <c r="L13" s="7">
        <f>'1 prepared data'!K6</f>
        <v/>
      </c>
      <c r="M13" s="7">
        <f>'1 prepared data'!L6</f>
        <v/>
      </c>
      <c r="N13" s="7">
        <f>'1 prepared data'!M6</f>
        <v/>
      </c>
      <c r="O13" s="7">
        <f>'1 prepared data'!N6</f>
        <v/>
      </c>
      <c r="P13" s="7">
        <f>'1 prepared data'!O6</f>
        <v/>
      </c>
      <c r="Q13" s="7">
        <f>'1 prepared data'!P6</f>
        <v/>
      </c>
      <c r="R13" s="7">
        <f>'1 prepared data'!Q6</f>
        <v/>
      </c>
      <c r="S13" s="7">
        <f>'1 prepared data'!R6</f>
        <v/>
      </c>
      <c r="T13" s="7">
        <f>'1 prepared data'!S6</f>
        <v/>
      </c>
      <c r="U13" s="7">
        <f>'1 prepared data'!T6</f>
        <v/>
      </c>
      <c r="V13" s="8">
        <f>$AC$12+D13*$AC$13+E13*$AC$14+F13*$AC$15+G13*$AC$16+H13*$AC$17+I13*$AC$18+J13*$AC$19+K13*$AC$20+L13*$AC$21+M13*$AC$22+N13*$AC$23+O13*$AC$24+P13*$AC$25+Q13*$AC$26+R13*$AC$27+S13*$AC$28+T13*$AC$29+U13*$AC$30</f>
        <v/>
      </c>
      <c r="W13" s="8">
        <f>1/(1+EXP(-V13))</f>
        <v/>
      </c>
      <c r="X13" s="9">
        <f>-IF(C13=1,LN(W13),LN(1-W13))</f>
        <v/>
      </c>
      <c r="Y13" s="10">
        <f>IF(W13&gt;$AC$33,1,0)</f>
        <v/>
      </c>
      <c r="Z13">
        <f>IF(Y13=C13,1,0)</f>
        <v/>
      </c>
      <c r="AB13" t="inlineStr">
        <is>
          <t>duration</t>
        </is>
      </c>
      <c r="AC13" s="11" t="n">
        <v>0.3247012549391071</v>
      </c>
      <c r="AD13" s="12" t="n">
        <v>0.2893487245227952</v>
      </c>
      <c r="AE13" s="9">
        <f>AC13^2</f>
        <v/>
      </c>
      <c r="AJ13" s="3" t="inlineStr">
        <is>
          <t>predicted 0</t>
        </is>
      </c>
      <c r="AK13" s="3" t="inlineStr">
        <is>
          <t>predicted 1</t>
        </is>
      </c>
      <c r="AL13" s="3" t="inlineStr">
        <is>
          <t>total</t>
        </is>
      </c>
    </row>
    <row r="14">
      <c r="A14">
        <f>'1 prepared data'!A7</f>
        <v/>
      </c>
      <c r="B14" s="5">
        <f>'1 prepared data'!U7</f>
        <v/>
      </c>
      <c r="C14">
        <f>'1 prepared data'!B7</f>
        <v/>
      </c>
      <c r="D14" s="7">
        <f>'1 prepared data'!C7</f>
        <v/>
      </c>
      <c r="E14" s="7">
        <f>'1 prepared data'!D7</f>
        <v/>
      </c>
      <c r="F14" s="7">
        <f>'1 prepared data'!E7</f>
        <v/>
      </c>
      <c r="G14" s="7">
        <f>'1 prepared data'!F7</f>
        <v/>
      </c>
      <c r="H14" s="7">
        <f>'1 prepared data'!G7</f>
        <v/>
      </c>
      <c r="I14" s="7">
        <f>'1 prepared data'!H7</f>
        <v/>
      </c>
      <c r="J14" s="7">
        <f>'1 prepared data'!I7</f>
        <v/>
      </c>
      <c r="K14" s="7">
        <f>'1 prepared data'!J7</f>
        <v/>
      </c>
      <c r="L14" s="7">
        <f>'1 prepared data'!K7</f>
        <v/>
      </c>
      <c r="M14" s="7">
        <f>'1 prepared data'!L7</f>
        <v/>
      </c>
      <c r="N14" s="7">
        <f>'1 prepared data'!M7</f>
        <v/>
      </c>
      <c r="O14" s="7">
        <f>'1 prepared data'!N7</f>
        <v/>
      </c>
      <c r="P14" s="7">
        <f>'1 prepared data'!O7</f>
        <v/>
      </c>
      <c r="Q14" s="7">
        <f>'1 prepared data'!P7</f>
        <v/>
      </c>
      <c r="R14" s="7">
        <f>'1 prepared data'!Q7</f>
        <v/>
      </c>
      <c r="S14" s="7">
        <f>'1 prepared data'!R7</f>
        <v/>
      </c>
      <c r="T14" s="7">
        <f>'1 prepared data'!S7</f>
        <v/>
      </c>
      <c r="U14" s="7">
        <f>'1 prepared data'!T7</f>
        <v/>
      </c>
      <c r="V14" s="8">
        <f>$AC$12+D14*$AC$13+E14*$AC$14+F14*$AC$15+G14*$AC$16+H14*$AC$17+I14*$AC$18+J14*$AC$19+K14*$AC$20+L14*$AC$21+M14*$AC$22+N14*$AC$23+O14*$AC$24+P14*$AC$25+Q14*$AC$26+R14*$AC$27+S14*$AC$28+T14*$AC$29+U14*$AC$30</f>
        <v/>
      </c>
      <c r="W14" s="8">
        <f>1/(1+EXP(-V14))</f>
        <v/>
      </c>
      <c r="X14" s="9">
        <f>-IF(C14=1,LN(W14),LN(1-W14))</f>
        <v/>
      </c>
      <c r="Y14" s="10">
        <f>IF(W14&gt;$AC$33,1,0)</f>
        <v/>
      </c>
      <c r="Z14">
        <f>IF(Y14=C14,1,0)</f>
        <v/>
      </c>
      <c r="AB14" t="inlineStr">
        <is>
          <t>amount</t>
        </is>
      </c>
      <c r="AC14" s="11" t="n">
        <v>0.1163535941884676</v>
      </c>
      <c r="AD14" s="12" t="n">
        <v>0.1017915684909901</v>
      </c>
      <c r="AE14" s="9">
        <f>AC14^2</f>
        <v/>
      </c>
      <c r="AH14" s="3" t="inlineStr">
        <is>
          <t>actual 0 (good payer)</t>
        </is>
      </c>
      <c r="AI14" t="inlineStr">
        <is>
          <t>TN | FP</t>
        </is>
      </c>
      <c r="AJ14" s="13">
        <f>COUNTIFS($B$12:$B$1011,"testing",$C$12:$C$1011,0,$Y$12:$Y$1011,0)</f>
        <v/>
      </c>
      <c r="AK14" s="13">
        <f>COUNTIFS($B$12:$B$1011,"testing",$C$12:$C$1011,0,$Y$12:$Y$1011,1)</f>
        <v/>
      </c>
      <c r="AL14">
        <f>AJ14+AK14</f>
        <v/>
      </c>
    </row>
    <row r="15">
      <c r="A15">
        <f>'1 prepared data'!A8</f>
        <v/>
      </c>
      <c r="B15" s="5">
        <f>'1 prepared data'!U8</f>
        <v/>
      </c>
      <c r="C15">
        <f>'1 prepared data'!B8</f>
        <v/>
      </c>
      <c r="D15" s="7">
        <f>'1 prepared data'!C8</f>
        <v/>
      </c>
      <c r="E15" s="7">
        <f>'1 prepared data'!D8</f>
        <v/>
      </c>
      <c r="F15" s="7">
        <f>'1 prepared data'!E8</f>
        <v/>
      </c>
      <c r="G15" s="7">
        <f>'1 prepared data'!F8</f>
        <v/>
      </c>
      <c r="H15" s="7">
        <f>'1 prepared data'!G8</f>
        <v/>
      </c>
      <c r="I15" s="7">
        <f>'1 prepared data'!H8</f>
        <v/>
      </c>
      <c r="J15" s="7">
        <f>'1 prepared data'!I8</f>
        <v/>
      </c>
      <c r="K15" s="7">
        <f>'1 prepared data'!J8</f>
        <v/>
      </c>
      <c r="L15" s="7">
        <f>'1 prepared data'!K8</f>
        <v/>
      </c>
      <c r="M15" s="7">
        <f>'1 prepared data'!L8</f>
        <v/>
      </c>
      <c r="N15" s="7">
        <f>'1 prepared data'!M8</f>
        <v/>
      </c>
      <c r="O15" s="7">
        <f>'1 prepared data'!N8</f>
        <v/>
      </c>
      <c r="P15" s="7">
        <f>'1 prepared data'!O8</f>
        <v/>
      </c>
      <c r="Q15" s="7">
        <f>'1 prepared data'!P8</f>
        <v/>
      </c>
      <c r="R15" s="7">
        <f>'1 prepared data'!Q8</f>
        <v/>
      </c>
      <c r="S15" s="7">
        <f>'1 prepared data'!R8</f>
        <v/>
      </c>
      <c r="T15" s="7">
        <f>'1 prepared data'!S8</f>
        <v/>
      </c>
      <c r="U15" s="7">
        <f>'1 prepared data'!T8</f>
        <v/>
      </c>
      <c r="V15" s="8">
        <f>$AC$12+D15*$AC$13+E15*$AC$14+F15*$AC$15+G15*$AC$16+H15*$AC$17+I15*$AC$18+J15*$AC$19+K15*$AC$20+L15*$AC$21+M15*$AC$22+N15*$AC$23+O15*$AC$24+P15*$AC$25+Q15*$AC$26+R15*$AC$27+S15*$AC$28+T15*$AC$29+U15*$AC$30</f>
        <v/>
      </c>
      <c r="W15" s="8">
        <f>1/(1+EXP(-V15))</f>
        <v/>
      </c>
      <c r="X15" s="9">
        <f>-IF(C15=1,LN(W15),LN(1-W15))</f>
        <v/>
      </c>
      <c r="Y15" s="10">
        <f>IF(W15&gt;$AC$33,1,0)</f>
        <v/>
      </c>
      <c r="Z15">
        <f>IF(Y15=C15,1,0)</f>
        <v/>
      </c>
      <c r="AB15" t="inlineStr">
        <is>
          <t>age</t>
        </is>
      </c>
      <c r="AC15" s="11" t="n">
        <v>-0.09914522482627074</v>
      </c>
      <c r="AD15" s="12" t="n">
        <v>-0.1153217704738348</v>
      </c>
      <c r="AE15" s="9">
        <f>AC15^2</f>
        <v/>
      </c>
      <c r="AH15" s="3" t="inlineStr">
        <is>
          <t>actual 1 (defaulter)</t>
        </is>
      </c>
      <c r="AI15" t="inlineStr">
        <is>
          <t>FN | TP</t>
        </is>
      </c>
      <c r="AJ15" s="13">
        <f>COUNTIFS($B$12:$B$1011,"testing",$C$12:$C$1011,1,$Y$12:$Y$1011,0)</f>
        <v/>
      </c>
      <c r="AK15" s="13">
        <f>COUNTIFS($B$12:$B$1011,"testing",$C$12:$C$1011,1,$Y$12:$Y$1011,1)</f>
        <v/>
      </c>
      <c r="AL15">
        <f>AJ15+AK15</f>
        <v/>
      </c>
    </row>
    <row r="16">
      <c r="A16">
        <f>'1 prepared data'!A9</f>
        <v/>
      </c>
      <c r="B16" s="5">
        <f>'1 prepared data'!U9</f>
        <v/>
      </c>
      <c r="C16">
        <f>'1 prepared data'!B9</f>
        <v/>
      </c>
      <c r="D16" s="7">
        <f>'1 prepared data'!C9</f>
        <v/>
      </c>
      <c r="E16" s="7">
        <f>'1 prepared data'!D9</f>
        <v/>
      </c>
      <c r="F16" s="7">
        <f>'1 prepared data'!E9</f>
        <v/>
      </c>
      <c r="G16" s="7">
        <f>'1 prepared data'!F9</f>
        <v/>
      </c>
      <c r="H16" s="7">
        <f>'1 prepared data'!G9</f>
        <v/>
      </c>
      <c r="I16" s="7">
        <f>'1 prepared data'!H9</f>
        <v/>
      </c>
      <c r="J16" s="7">
        <f>'1 prepared data'!I9</f>
        <v/>
      </c>
      <c r="K16" s="7">
        <f>'1 prepared data'!J9</f>
        <v/>
      </c>
      <c r="L16" s="7">
        <f>'1 prepared data'!K9</f>
        <v/>
      </c>
      <c r="M16" s="7">
        <f>'1 prepared data'!L9</f>
        <v/>
      </c>
      <c r="N16" s="7">
        <f>'1 prepared data'!M9</f>
        <v/>
      </c>
      <c r="O16" s="7">
        <f>'1 prepared data'!N9</f>
        <v/>
      </c>
      <c r="P16" s="7">
        <f>'1 prepared data'!O9</f>
        <v/>
      </c>
      <c r="Q16" s="7">
        <f>'1 prepared data'!P9</f>
        <v/>
      </c>
      <c r="R16" s="7">
        <f>'1 prepared data'!Q9</f>
        <v/>
      </c>
      <c r="S16" s="7">
        <f>'1 prepared data'!R9</f>
        <v/>
      </c>
      <c r="T16" s="7">
        <f>'1 prepared data'!S9</f>
        <v/>
      </c>
      <c r="U16" s="7">
        <f>'1 prepared data'!T9</f>
        <v/>
      </c>
      <c r="V16" s="8">
        <f>$AC$12+D16*$AC$13+E16*$AC$14+F16*$AC$15+G16*$AC$16+H16*$AC$17+I16*$AC$18+J16*$AC$19+K16*$AC$20+L16*$AC$21+M16*$AC$22+N16*$AC$23+O16*$AC$24+P16*$AC$25+Q16*$AC$26+R16*$AC$27+S16*$AC$28+T16*$AC$29+U16*$AC$30</f>
        <v/>
      </c>
      <c r="W16" s="8">
        <f>1/(1+EXP(-V16))</f>
        <v/>
      </c>
      <c r="X16" s="9">
        <f>-IF(C16=1,LN(W16),LN(1-W16))</f>
        <v/>
      </c>
      <c r="Y16" s="10">
        <f>IF(W16&gt;$AC$33,1,0)</f>
        <v/>
      </c>
      <c r="Z16">
        <f>IF(Y16=C16,1,0)</f>
        <v/>
      </c>
      <c r="AB16" t="inlineStr">
        <is>
          <t>installment_pct_income</t>
        </is>
      </c>
      <c r="AC16" s="11" t="n">
        <v>0.2872157655933926</v>
      </c>
      <c r="AD16" s="12" t="n">
        <v>0.2222288724906683</v>
      </c>
      <c r="AE16" s="9">
        <f>AC16^2</f>
        <v/>
      </c>
      <c r="AH16" s="3" t="inlineStr">
        <is>
          <t>total</t>
        </is>
      </c>
      <c r="AJ16">
        <f>AJ14+AJ15</f>
        <v/>
      </c>
      <c r="AK16">
        <f>AK14+AK15</f>
        <v/>
      </c>
      <c r="AL16">
        <f>AL14+AL15</f>
        <v/>
      </c>
    </row>
    <row r="17">
      <c r="A17">
        <f>'1 prepared data'!A10</f>
        <v/>
      </c>
      <c r="B17" s="5">
        <f>'1 prepared data'!U10</f>
        <v/>
      </c>
      <c r="C17">
        <f>'1 prepared data'!B10</f>
        <v/>
      </c>
      <c r="D17" s="7">
        <f>'1 prepared data'!C10</f>
        <v/>
      </c>
      <c r="E17" s="7">
        <f>'1 prepared data'!D10</f>
        <v/>
      </c>
      <c r="F17" s="7">
        <f>'1 prepared data'!E10</f>
        <v/>
      </c>
      <c r="G17" s="7">
        <f>'1 prepared data'!F10</f>
        <v/>
      </c>
      <c r="H17" s="7">
        <f>'1 prepared data'!G10</f>
        <v/>
      </c>
      <c r="I17" s="7">
        <f>'1 prepared data'!H10</f>
        <v/>
      </c>
      <c r="J17" s="7">
        <f>'1 prepared data'!I10</f>
        <v/>
      </c>
      <c r="K17" s="7">
        <f>'1 prepared data'!J10</f>
        <v/>
      </c>
      <c r="L17" s="7">
        <f>'1 prepared data'!K10</f>
        <v/>
      </c>
      <c r="M17" s="7">
        <f>'1 prepared data'!L10</f>
        <v/>
      </c>
      <c r="N17" s="7">
        <f>'1 prepared data'!M10</f>
        <v/>
      </c>
      <c r="O17" s="7">
        <f>'1 prepared data'!N10</f>
        <v/>
      </c>
      <c r="P17" s="7">
        <f>'1 prepared data'!O10</f>
        <v/>
      </c>
      <c r="Q17" s="7">
        <f>'1 prepared data'!P10</f>
        <v/>
      </c>
      <c r="R17" s="7">
        <f>'1 prepared data'!Q10</f>
        <v/>
      </c>
      <c r="S17" s="7">
        <f>'1 prepared data'!R10</f>
        <v/>
      </c>
      <c r="T17" s="7">
        <f>'1 prepared data'!S10</f>
        <v/>
      </c>
      <c r="U17" s="7">
        <f>'1 prepared data'!T10</f>
        <v/>
      </c>
      <c r="V17" s="8">
        <f>$AC$12+D17*$AC$13+E17*$AC$14+F17*$AC$15+G17*$AC$16+H17*$AC$17+I17*$AC$18+J17*$AC$19+K17*$AC$20+L17*$AC$21+M17*$AC$22+N17*$AC$23+O17*$AC$24+P17*$AC$25+Q17*$AC$26+R17*$AC$27+S17*$AC$28+T17*$AC$29+U17*$AC$30</f>
        <v/>
      </c>
      <c r="W17" s="8">
        <f>1/(1+EXP(-V17))</f>
        <v/>
      </c>
      <c r="X17" s="9">
        <f>-IF(C17=1,LN(W17),LN(1-W17))</f>
        <v/>
      </c>
      <c r="Y17" s="10">
        <f>IF(W17&gt;$AC$33,1,0)</f>
        <v/>
      </c>
      <c r="Z17">
        <f>IF(Y17=C17,1,0)</f>
        <v/>
      </c>
      <c r="AB17" t="inlineStr">
        <is>
          <t>chk_negative</t>
        </is>
      </c>
      <c r="AC17" s="11" t="n">
        <v>1.546402670396991</v>
      </c>
      <c r="AD17" s="12" t="n">
        <v>0.9201763494787585</v>
      </c>
      <c r="AE17" s="9">
        <f>AC17^2</f>
        <v/>
      </c>
    </row>
    <row r="18">
      <c r="A18">
        <f>'1 prepared data'!A11</f>
        <v/>
      </c>
      <c r="B18" s="5">
        <f>'1 prepared data'!U11</f>
        <v/>
      </c>
      <c r="C18">
        <f>'1 prepared data'!B11</f>
        <v/>
      </c>
      <c r="D18" s="7">
        <f>'1 prepared data'!C11</f>
        <v/>
      </c>
      <c r="E18" s="7">
        <f>'1 prepared data'!D11</f>
        <v/>
      </c>
      <c r="F18" s="7">
        <f>'1 prepared data'!E11</f>
        <v/>
      </c>
      <c r="G18" s="7">
        <f>'1 prepared data'!F11</f>
        <v/>
      </c>
      <c r="H18" s="7">
        <f>'1 prepared data'!G11</f>
        <v/>
      </c>
      <c r="I18" s="7">
        <f>'1 prepared data'!H11</f>
        <v/>
      </c>
      <c r="J18" s="7">
        <f>'1 prepared data'!I11</f>
        <v/>
      </c>
      <c r="K18" s="7">
        <f>'1 prepared data'!J11</f>
        <v/>
      </c>
      <c r="L18" s="7">
        <f>'1 prepared data'!K11</f>
        <v/>
      </c>
      <c r="M18" s="7">
        <f>'1 prepared data'!L11</f>
        <v/>
      </c>
      <c r="N18" s="7">
        <f>'1 prepared data'!M11</f>
        <v/>
      </c>
      <c r="O18" s="7">
        <f>'1 prepared data'!N11</f>
        <v/>
      </c>
      <c r="P18" s="7">
        <f>'1 prepared data'!O11</f>
        <v/>
      </c>
      <c r="Q18" s="7">
        <f>'1 prepared data'!P11</f>
        <v/>
      </c>
      <c r="R18" s="7">
        <f>'1 prepared data'!Q11</f>
        <v/>
      </c>
      <c r="S18" s="7">
        <f>'1 prepared data'!R11</f>
        <v/>
      </c>
      <c r="T18" s="7">
        <f>'1 prepared data'!S11</f>
        <v/>
      </c>
      <c r="U18" s="7">
        <f>'1 prepared data'!T11</f>
        <v/>
      </c>
      <c r="V18" s="8">
        <f>$AC$12+D18*$AC$13+E18*$AC$14+F18*$AC$15+G18*$AC$16+H18*$AC$17+I18*$AC$18+J18*$AC$19+K18*$AC$20+L18*$AC$21+M18*$AC$22+N18*$AC$23+O18*$AC$24+P18*$AC$25+Q18*$AC$26+R18*$AC$27+S18*$AC$28+T18*$AC$29+U18*$AC$30</f>
        <v/>
      </c>
      <c r="W18" s="8">
        <f>1/(1+EXP(-V18))</f>
        <v/>
      </c>
      <c r="X18" s="9">
        <f>-IF(C18=1,LN(W18),LN(1-W18))</f>
        <v/>
      </c>
      <c r="Y18" s="10">
        <f>IF(W18&gt;$AC$33,1,0)</f>
        <v/>
      </c>
      <c r="Z18">
        <f>IF(Y18=C18,1,0)</f>
        <v/>
      </c>
      <c r="AB18" t="inlineStr">
        <is>
          <t>chk_0_200</t>
        </is>
      </c>
      <c r="AC18" s="11" t="n">
        <v>1.294997779791349</v>
      </c>
      <c r="AD18" s="12" t="n">
        <v>0.6915874744714144</v>
      </c>
      <c r="AE18" s="9">
        <f>AC18^2</f>
        <v/>
      </c>
      <c r="AH18" s="4" t="inlineStr"/>
      <c r="AI18" s="4" t="inlineStr">
        <is>
          <t>precision</t>
        </is>
      </c>
      <c r="AJ18" s="4" t="inlineStr">
        <is>
          <t>recall</t>
        </is>
      </c>
      <c r="AK18" s="4" t="inlineStr">
        <is>
          <t>f1-score</t>
        </is>
      </c>
      <c r="AL18" s="4" t="inlineStr">
        <is>
          <t>support</t>
        </is>
      </c>
    </row>
    <row r="19">
      <c r="A19">
        <f>'1 prepared data'!A12</f>
        <v/>
      </c>
      <c r="B19" s="5">
        <f>'1 prepared data'!U12</f>
        <v/>
      </c>
      <c r="C19">
        <f>'1 prepared data'!B12</f>
        <v/>
      </c>
      <c r="D19" s="7">
        <f>'1 prepared data'!C12</f>
        <v/>
      </c>
      <c r="E19" s="7">
        <f>'1 prepared data'!D12</f>
        <v/>
      </c>
      <c r="F19" s="7">
        <f>'1 prepared data'!E12</f>
        <v/>
      </c>
      <c r="G19" s="7">
        <f>'1 prepared data'!F12</f>
        <v/>
      </c>
      <c r="H19" s="7">
        <f>'1 prepared data'!G12</f>
        <v/>
      </c>
      <c r="I19" s="7">
        <f>'1 prepared data'!H12</f>
        <v/>
      </c>
      <c r="J19" s="7">
        <f>'1 prepared data'!I12</f>
        <v/>
      </c>
      <c r="K19" s="7">
        <f>'1 prepared data'!J12</f>
        <v/>
      </c>
      <c r="L19" s="7">
        <f>'1 prepared data'!K12</f>
        <v/>
      </c>
      <c r="M19" s="7">
        <f>'1 prepared data'!L12</f>
        <v/>
      </c>
      <c r="N19" s="7">
        <f>'1 prepared data'!M12</f>
        <v/>
      </c>
      <c r="O19" s="7">
        <f>'1 prepared data'!N12</f>
        <v/>
      </c>
      <c r="P19" s="7">
        <f>'1 prepared data'!O12</f>
        <v/>
      </c>
      <c r="Q19" s="7">
        <f>'1 prepared data'!P12</f>
        <v/>
      </c>
      <c r="R19" s="7">
        <f>'1 prepared data'!Q12</f>
        <v/>
      </c>
      <c r="S19" s="7">
        <f>'1 prepared data'!R12</f>
        <v/>
      </c>
      <c r="T19" s="7">
        <f>'1 prepared data'!S12</f>
        <v/>
      </c>
      <c r="U19" s="7">
        <f>'1 prepared data'!T12</f>
        <v/>
      </c>
      <c r="V19" s="8">
        <f>$AC$12+D19*$AC$13+E19*$AC$14+F19*$AC$15+G19*$AC$16+H19*$AC$17+I19*$AC$18+J19*$AC$19+K19*$AC$20+L19*$AC$21+M19*$AC$22+N19*$AC$23+O19*$AC$24+P19*$AC$25+Q19*$AC$26+R19*$AC$27+S19*$AC$28+T19*$AC$29+U19*$AC$30</f>
        <v/>
      </c>
      <c r="W19" s="8">
        <f>1/(1+EXP(-V19))</f>
        <v/>
      </c>
      <c r="X19" s="9">
        <f>-IF(C19=1,LN(W19),LN(1-W19))</f>
        <v/>
      </c>
      <c r="Y19" s="10">
        <f>IF(W19&gt;$AC$33,1,0)</f>
        <v/>
      </c>
      <c r="Z19">
        <f>IF(Y19=C19,1,0)</f>
        <v/>
      </c>
      <c r="AB19" t="inlineStr">
        <is>
          <t>chk_over_200</t>
        </is>
      </c>
      <c r="AC19" s="11" t="n">
        <v>0.6683615861023957</v>
      </c>
      <c r="AD19" s="12" t="n">
        <v>0.08267450875076099</v>
      </c>
      <c r="AE19" s="9">
        <f>AC19^2</f>
        <v/>
      </c>
      <c r="AH19" s="3" t="inlineStr">
        <is>
          <t>class 0 (pays)</t>
        </is>
      </c>
      <c r="AI19" s="14">
        <f>IF(AJ14+AJ15=0,0,AJ14/(AJ14+AJ15))</f>
        <v/>
      </c>
      <c r="AJ19" s="14">
        <f>IF(AJ14+AK14=0,0,AJ14/(AJ14+AK14))</f>
        <v/>
      </c>
      <c r="AK19" s="14">
        <f>IF(AI19+AJ19=0,0,2*AI19*AJ19/(AI19+AJ19))</f>
        <v/>
      </c>
      <c r="AL19">
        <f>AL14</f>
        <v/>
      </c>
    </row>
    <row r="20">
      <c r="A20">
        <f>'1 prepared data'!A13</f>
        <v/>
      </c>
      <c r="B20" s="5">
        <f>'1 prepared data'!U13</f>
        <v/>
      </c>
      <c r="C20">
        <f>'1 prepared data'!B13</f>
        <v/>
      </c>
      <c r="D20" s="7">
        <f>'1 prepared data'!C13</f>
        <v/>
      </c>
      <c r="E20" s="7">
        <f>'1 prepared data'!D13</f>
        <v/>
      </c>
      <c r="F20" s="7">
        <f>'1 prepared data'!E13</f>
        <v/>
      </c>
      <c r="G20" s="7">
        <f>'1 prepared data'!F13</f>
        <v/>
      </c>
      <c r="H20" s="7">
        <f>'1 prepared data'!G13</f>
        <v/>
      </c>
      <c r="I20" s="7">
        <f>'1 prepared data'!H13</f>
        <v/>
      </c>
      <c r="J20" s="7">
        <f>'1 prepared data'!I13</f>
        <v/>
      </c>
      <c r="K20" s="7">
        <f>'1 prepared data'!J13</f>
        <v/>
      </c>
      <c r="L20" s="7">
        <f>'1 prepared data'!K13</f>
        <v/>
      </c>
      <c r="M20" s="7">
        <f>'1 prepared data'!L13</f>
        <v/>
      </c>
      <c r="N20" s="7">
        <f>'1 prepared data'!M13</f>
        <v/>
      </c>
      <c r="O20" s="7">
        <f>'1 prepared data'!N13</f>
        <v/>
      </c>
      <c r="P20" s="7">
        <f>'1 prepared data'!O13</f>
        <v/>
      </c>
      <c r="Q20" s="7">
        <f>'1 prepared data'!P13</f>
        <v/>
      </c>
      <c r="R20" s="7">
        <f>'1 prepared data'!Q13</f>
        <v/>
      </c>
      <c r="S20" s="7">
        <f>'1 prepared data'!R13</f>
        <v/>
      </c>
      <c r="T20" s="7">
        <f>'1 prepared data'!S13</f>
        <v/>
      </c>
      <c r="U20" s="7">
        <f>'1 prepared data'!T13</f>
        <v/>
      </c>
      <c r="V20" s="8">
        <f>$AC$12+D20*$AC$13+E20*$AC$14+F20*$AC$15+G20*$AC$16+H20*$AC$17+I20*$AC$18+J20*$AC$19+K20*$AC$20+L20*$AC$21+M20*$AC$22+N20*$AC$23+O20*$AC$24+P20*$AC$25+Q20*$AC$26+R20*$AC$27+S20*$AC$28+T20*$AC$29+U20*$AC$30</f>
        <v/>
      </c>
      <c r="W20" s="8">
        <f>1/(1+EXP(-V20))</f>
        <v/>
      </c>
      <c r="X20" s="9">
        <f>-IF(C20=1,LN(W20),LN(1-W20))</f>
        <v/>
      </c>
      <c r="Y20" s="10">
        <f>IF(W20&gt;$AC$33,1,0)</f>
        <v/>
      </c>
      <c r="Z20">
        <f>IF(Y20=C20,1,0)</f>
        <v/>
      </c>
      <c r="AB20" t="inlineStr">
        <is>
          <t>hist_critical</t>
        </is>
      </c>
      <c r="AC20" s="11" t="n">
        <v>-0.6573449373610837</v>
      </c>
      <c r="AD20" s="12" t="n">
        <v>-0.5028570598412625</v>
      </c>
      <c r="AE20" s="9">
        <f>AC20^2</f>
        <v/>
      </c>
      <c r="AH20" s="3" t="inlineStr">
        <is>
          <t>class 1 (defaults)</t>
        </is>
      </c>
      <c r="AI20" s="14">
        <f>IF(AK15+AK14=0,0,AK15/(AK15+AK14))</f>
        <v/>
      </c>
      <c r="AJ20" s="14">
        <f>IF(AK15+AJ15=0,0,AK15/(AK15+AJ15))</f>
        <v/>
      </c>
      <c r="AK20" s="14">
        <f>IF(AI20+AJ20=0,0,2*AI20*AJ20/(AI20+AJ20))</f>
        <v/>
      </c>
      <c r="AL20">
        <f>AL15</f>
        <v/>
      </c>
    </row>
    <row r="21">
      <c r="A21">
        <f>'1 prepared data'!A14</f>
        <v/>
      </c>
      <c r="B21" s="5">
        <f>'1 prepared data'!U14</f>
        <v/>
      </c>
      <c r="C21">
        <f>'1 prepared data'!B14</f>
        <v/>
      </c>
      <c r="D21" s="7">
        <f>'1 prepared data'!C14</f>
        <v/>
      </c>
      <c r="E21" s="7">
        <f>'1 prepared data'!D14</f>
        <v/>
      </c>
      <c r="F21" s="7">
        <f>'1 prepared data'!E14</f>
        <v/>
      </c>
      <c r="G21" s="7">
        <f>'1 prepared data'!F14</f>
        <v/>
      </c>
      <c r="H21" s="7">
        <f>'1 prepared data'!G14</f>
        <v/>
      </c>
      <c r="I21" s="7">
        <f>'1 prepared data'!H14</f>
        <v/>
      </c>
      <c r="J21" s="7">
        <f>'1 prepared data'!I14</f>
        <v/>
      </c>
      <c r="K21" s="7">
        <f>'1 prepared data'!J14</f>
        <v/>
      </c>
      <c r="L21" s="7">
        <f>'1 prepared data'!K14</f>
        <v/>
      </c>
      <c r="M21" s="7">
        <f>'1 prepared data'!L14</f>
        <v/>
      </c>
      <c r="N21" s="7">
        <f>'1 prepared data'!M14</f>
        <v/>
      </c>
      <c r="O21" s="7">
        <f>'1 prepared data'!N14</f>
        <v/>
      </c>
      <c r="P21" s="7">
        <f>'1 prepared data'!O14</f>
        <v/>
      </c>
      <c r="Q21" s="7">
        <f>'1 prepared data'!P14</f>
        <v/>
      </c>
      <c r="R21" s="7">
        <f>'1 prepared data'!Q14</f>
        <v/>
      </c>
      <c r="S21" s="7">
        <f>'1 prepared data'!R14</f>
        <v/>
      </c>
      <c r="T21" s="7">
        <f>'1 prepared data'!S14</f>
        <v/>
      </c>
      <c r="U21" s="7">
        <f>'1 prepared data'!T14</f>
        <v/>
      </c>
      <c r="V21" s="8">
        <f>$AC$12+D21*$AC$13+E21*$AC$14+F21*$AC$15+G21*$AC$16+H21*$AC$17+I21*$AC$18+J21*$AC$19+K21*$AC$20+L21*$AC$21+M21*$AC$22+N21*$AC$23+O21*$AC$24+P21*$AC$25+Q21*$AC$26+R21*$AC$27+S21*$AC$28+T21*$AC$29+U21*$AC$30</f>
        <v/>
      </c>
      <c r="W21" s="8">
        <f>1/(1+EXP(-V21))</f>
        <v/>
      </c>
      <c r="X21" s="9">
        <f>-IF(C21=1,LN(W21),LN(1-W21))</f>
        <v/>
      </c>
      <c r="Y21" s="10">
        <f>IF(W21&gt;$AC$33,1,0)</f>
        <v/>
      </c>
      <c r="Z21">
        <f>IF(Y21=C21,1,0)</f>
        <v/>
      </c>
      <c r="AB21" t="inlineStr">
        <is>
          <t>hist_delays</t>
        </is>
      </c>
      <c r="AC21" s="11" t="n">
        <v>-0.04019551911120235</v>
      </c>
      <c r="AD21" s="12" t="n">
        <v>-0.0329890765506305</v>
      </c>
      <c r="AE21" s="9">
        <f>AC21^2</f>
        <v/>
      </c>
      <c r="AH21" s="3" t="inlineStr">
        <is>
          <t>accuracy</t>
        </is>
      </c>
      <c r="AK21" s="14">
        <f>(AK15+AJ14)/AL16</f>
        <v/>
      </c>
    </row>
    <row r="22">
      <c r="A22">
        <f>'1 prepared data'!A15</f>
        <v/>
      </c>
      <c r="B22" s="5">
        <f>'1 prepared data'!U15</f>
        <v/>
      </c>
      <c r="C22">
        <f>'1 prepared data'!B15</f>
        <v/>
      </c>
      <c r="D22" s="7">
        <f>'1 prepared data'!C15</f>
        <v/>
      </c>
      <c r="E22" s="7">
        <f>'1 prepared data'!D15</f>
        <v/>
      </c>
      <c r="F22" s="7">
        <f>'1 prepared data'!E15</f>
        <v/>
      </c>
      <c r="G22" s="7">
        <f>'1 prepared data'!F15</f>
        <v/>
      </c>
      <c r="H22" s="7">
        <f>'1 prepared data'!G15</f>
        <v/>
      </c>
      <c r="I22" s="7">
        <f>'1 prepared data'!H15</f>
        <v/>
      </c>
      <c r="J22" s="7">
        <f>'1 prepared data'!I15</f>
        <v/>
      </c>
      <c r="K22" s="7">
        <f>'1 prepared data'!J15</f>
        <v/>
      </c>
      <c r="L22" s="7">
        <f>'1 prepared data'!K15</f>
        <v/>
      </c>
      <c r="M22" s="7">
        <f>'1 prepared data'!L15</f>
        <v/>
      </c>
      <c r="N22" s="7">
        <f>'1 prepared data'!M15</f>
        <v/>
      </c>
      <c r="O22" s="7">
        <f>'1 prepared data'!N15</f>
        <v/>
      </c>
      <c r="P22" s="7">
        <f>'1 prepared data'!O15</f>
        <v/>
      </c>
      <c r="Q22" s="7">
        <f>'1 prepared data'!P15</f>
        <v/>
      </c>
      <c r="R22" s="7">
        <f>'1 prepared data'!Q15</f>
        <v/>
      </c>
      <c r="S22" s="7">
        <f>'1 prepared data'!R15</f>
        <v/>
      </c>
      <c r="T22" s="7">
        <f>'1 prepared data'!S15</f>
        <v/>
      </c>
      <c r="U22" s="7">
        <f>'1 prepared data'!T15</f>
        <v/>
      </c>
      <c r="V22" s="8">
        <f>$AC$12+D22*$AC$13+E22*$AC$14+F22*$AC$15+G22*$AC$16+H22*$AC$17+I22*$AC$18+J22*$AC$19+K22*$AC$20+L22*$AC$21+M22*$AC$22+N22*$AC$23+O22*$AC$24+P22*$AC$25+Q22*$AC$26+R22*$AC$27+S22*$AC$28+T22*$AC$29+U22*$AC$30</f>
        <v/>
      </c>
      <c r="W22" s="8">
        <f>1/(1+EXP(-V22))</f>
        <v/>
      </c>
      <c r="X22" s="9">
        <f>-IF(C22=1,LN(W22),LN(1-W22))</f>
        <v/>
      </c>
      <c r="Y22" s="10">
        <f>IF(W22&gt;$AC$33,1,0)</f>
        <v/>
      </c>
      <c r="Z22">
        <f>IF(Y22=C22,1,0)</f>
        <v/>
      </c>
      <c r="AB22" t="inlineStr">
        <is>
          <t>hist_no_credits</t>
        </is>
      </c>
      <c r="AC22" s="11" t="n">
        <v>0.6690656278784681</v>
      </c>
      <c r="AD22" s="12" t="n">
        <v>0.4566596296282059</v>
      </c>
      <c r="AE22" s="9">
        <f>AC22^2</f>
        <v/>
      </c>
    </row>
    <row r="23">
      <c r="A23">
        <f>'1 prepared data'!A16</f>
        <v/>
      </c>
      <c r="B23" s="5">
        <f>'1 prepared data'!U16</f>
        <v/>
      </c>
      <c r="C23">
        <f>'1 prepared data'!B16</f>
        <v/>
      </c>
      <c r="D23" s="7">
        <f>'1 prepared data'!C16</f>
        <v/>
      </c>
      <c r="E23" s="7">
        <f>'1 prepared data'!D16</f>
        <v/>
      </c>
      <c r="F23" s="7">
        <f>'1 prepared data'!E16</f>
        <v/>
      </c>
      <c r="G23" s="7">
        <f>'1 prepared data'!F16</f>
        <v/>
      </c>
      <c r="H23" s="7">
        <f>'1 prepared data'!G16</f>
        <v/>
      </c>
      <c r="I23" s="7">
        <f>'1 prepared data'!H16</f>
        <v/>
      </c>
      <c r="J23" s="7">
        <f>'1 prepared data'!I16</f>
        <v/>
      </c>
      <c r="K23" s="7">
        <f>'1 prepared data'!J16</f>
        <v/>
      </c>
      <c r="L23" s="7">
        <f>'1 prepared data'!K16</f>
        <v/>
      </c>
      <c r="M23" s="7">
        <f>'1 prepared data'!L16</f>
        <v/>
      </c>
      <c r="N23" s="7">
        <f>'1 prepared data'!M16</f>
        <v/>
      </c>
      <c r="O23" s="7">
        <f>'1 prepared data'!N16</f>
        <v/>
      </c>
      <c r="P23" s="7">
        <f>'1 prepared data'!O16</f>
        <v/>
      </c>
      <c r="Q23" s="7">
        <f>'1 prepared data'!P16</f>
        <v/>
      </c>
      <c r="R23" s="7">
        <f>'1 prepared data'!Q16</f>
        <v/>
      </c>
      <c r="S23" s="7">
        <f>'1 prepared data'!R16</f>
        <v/>
      </c>
      <c r="T23" s="7">
        <f>'1 prepared data'!S16</f>
        <v/>
      </c>
      <c r="U23" s="7">
        <f>'1 prepared data'!T16</f>
        <v/>
      </c>
      <c r="V23" s="8">
        <f>$AC$12+D23*$AC$13+E23*$AC$14+F23*$AC$15+G23*$AC$16+H23*$AC$17+I23*$AC$18+J23*$AC$19+K23*$AC$20+L23*$AC$21+M23*$AC$22+N23*$AC$23+O23*$AC$24+P23*$AC$25+Q23*$AC$26+R23*$AC$27+S23*$AC$28+T23*$AC$29+U23*$AC$30</f>
        <v/>
      </c>
      <c r="W23" s="8">
        <f>1/(1+EXP(-V23))</f>
        <v/>
      </c>
      <c r="X23" s="9">
        <f>-IF(C23=1,LN(W23),LN(1-W23))</f>
        <v/>
      </c>
      <c r="Y23" s="10">
        <f>IF(W23&gt;$AC$33,1,0)</f>
        <v/>
      </c>
      <c r="Z23">
        <f>IF(Y23=C23,1,0)</f>
        <v/>
      </c>
      <c r="AB23" t="inlineStr">
        <is>
          <t>sav_100_1000</t>
        </is>
      </c>
      <c r="AC23" s="11" t="n">
        <v>-0.3895834298458181</v>
      </c>
      <c r="AD23" s="12" t="n">
        <v>-0.1926231413667001</v>
      </c>
      <c r="AE23" s="9">
        <f>AC23^2</f>
        <v/>
      </c>
    </row>
    <row r="24">
      <c r="A24">
        <f>'1 prepared data'!A17</f>
        <v/>
      </c>
      <c r="B24" s="5">
        <f>'1 prepared data'!U17</f>
        <v/>
      </c>
      <c r="C24">
        <f>'1 prepared data'!B17</f>
        <v/>
      </c>
      <c r="D24" s="7">
        <f>'1 prepared data'!C17</f>
        <v/>
      </c>
      <c r="E24" s="7">
        <f>'1 prepared data'!D17</f>
        <v/>
      </c>
      <c r="F24" s="7">
        <f>'1 prepared data'!E17</f>
        <v/>
      </c>
      <c r="G24" s="7">
        <f>'1 prepared data'!F17</f>
        <v/>
      </c>
      <c r="H24" s="7">
        <f>'1 prepared data'!G17</f>
        <v/>
      </c>
      <c r="I24" s="7">
        <f>'1 prepared data'!H17</f>
        <v/>
      </c>
      <c r="J24" s="7">
        <f>'1 prepared data'!I17</f>
        <v/>
      </c>
      <c r="K24" s="7">
        <f>'1 prepared data'!J17</f>
        <v/>
      </c>
      <c r="L24" s="7">
        <f>'1 prepared data'!K17</f>
        <v/>
      </c>
      <c r="M24" s="7">
        <f>'1 prepared data'!L17</f>
        <v/>
      </c>
      <c r="N24" s="7">
        <f>'1 prepared data'!M17</f>
        <v/>
      </c>
      <c r="O24" s="7">
        <f>'1 prepared data'!N17</f>
        <v/>
      </c>
      <c r="P24" s="7">
        <f>'1 prepared data'!O17</f>
        <v/>
      </c>
      <c r="Q24" s="7">
        <f>'1 prepared data'!P17</f>
        <v/>
      </c>
      <c r="R24" s="7">
        <f>'1 prepared data'!Q17</f>
        <v/>
      </c>
      <c r="S24" s="7">
        <f>'1 prepared data'!R17</f>
        <v/>
      </c>
      <c r="T24" s="7">
        <f>'1 prepared data'!S17</f>
        <v/>
      </c>
      <c r="U24" s="7">
        <f>'1 prepared data'!T17</f>
        <v/>
      </c>
      <c r="V24" s="8">
        <f>$AC$12+D24*$AC$13+E24*$AC$14+F24*$AC$15+G24*$AC$16+H24*$AC$17+I24*$AC$18+J24*$AC$19+K24*$AC$20+L24*$AC$21+M24*$AC$22+N24*$AC$23+O24*$AC$24+P24*$AC$25+Q24*$AC$26+R24*$AC$27+S24*$AC$28+T24*$AC$29+U24*$AC$30</f>
        <v/>
      </c>
      <c r="W24" s="8">
        <f>1/(1+EXP(-V24))</f>
        <v/>
      </c>
      <c r="X24" s="9">
        <f>-IF(C24=1,LN(W24),LN(1-W24))</f>
        <v/>
      </c>
      <c r="Y24" s="10">
        <f>IF(W24&gt;$AC$33,1,0)</f>
        <v/>
      </c>
      <c r="Z24">
        <f>IF(Y24=C24,1,0)</f>
        <v/>
      </c>
      <c r="AB24" t="inlineStr">
        <is>
          <t>sav_over_1000</t>
        </is>
      </c>
      <c r="AC24" s="11" t="n">
        <v>-0.8892238593761824</v>
      </c>
      <c r="AD24" s="12" t="n">
        <v>-0.2544751864521931</v>
      </c>
      <c r="AE24" s="9">
        <f>AC24^2</f>
        <v/>
      </c>
    </row>
    <row r="25">
      <c r="A25">
        <f>'1 prepared data'!A18</f>
        <v/>
      </c>
      <c r="B25" s="5">
        <f>'1 prepared data'!U18</f>
        <v/>
      </c>
      <c r="C25">
        <f>'1 prepared data'!B18</f>
        <v/>
      </c>
      <c r="D25" s="7">
        <f>'1 prepared data'!C18</f>
        <v/>
      </c>
      <c r="E25" s="7">
        <f>'1 prepared data'!D18</f>
        <v/>
      </c>
      <c r="F25" s="7">
        <f>'1 prepared data'!E18</f>
        <v/>
      </c>
      <c r="G25" s="7">
        <f>'1 prepared data'!F18</f>
        <v/>
      </c>
      <c r="H25" s="7">
        <f>'1 prepared data'!G18</f>
        <v/>
      </c>
      <c r="I25" s="7">
        <f>'1 prepared data'!H18</f>
        <v/>
      </c>
      <c r="J25" s="7">
        <f>'1 prepared data'!I18</f>
        <v/>
      </c>
      <c r="K25" s="7">
        <f>'1 prepared data'!J18</f>
        <v/>
      </c>
      <c r="L25" s="7">
        <f>'1 prepared data'!K18</f>
        <v/>
      </c>
      <c r="M25" s="7">
        <f>'1 prepared data'!L18</f>
        <v/>
      </c>
      <c r="N25" s="7">
        <f>'1 prepared data'!M18</f>
        <v/>
      </c>
      <c r="O25" s="7">
        <f>'1 prepared data'!N18</f>
        <v/>
      </c>
      <c r="P25" s="7">
        <f>'1 prepared data'!O18</f>
        <v/>
      </c>
      <c r="Q25" s="7">
        <f>'1 prepared data'!P18</f>
        <v/>
      </c>
      <c r="R25" s="7">
        <f>'1 prepared data'!Q18</f>
        <v/>
      </c>
      <c r="S25" s="7">
        <f>'1 prepared data'!R18</f>
        <v/>
      </c>
      <c r="T25" s="7">
        <f>'1 prepared data'!S18</f>
        <v/>
      </c>
      <c r="U25" s="7">
        <f>'1 prepared data'!T18</f>
        <v/>
      </c>
      <c r="V25" s="8">
        <f>$AC$12+D25*$AC$13+E25*$AC$14+F25*$AC$15+G25*$AC$16+H25*$AC$17+I25*$AC$18+J25*$AC$19+K25*$AC$20+L25*$AC$21+M25*$AC$22+N25*$AC$23+O25*$AC$24+P25*$AC$25+Q25*$AC$26+R25*$AC$27+S25*$AC$28+T25*$AC$29+U25*$AC$30</f>
        <v/>
      </c>
      <c r="W25" s="8">
        <f>1/(1+EXP(-V25))</f>
        <v/>
      </c>
      <c r="X25" s="9">
        <f>-IF(C25=1,LN(W25),LN(1-W25))</f>
        <v/>
      </c>
      <c r="Y25" s="10">
        <f>IF(W25&gt;$AC$33,1,0)</f>
        <v/>
      </c>
      <c r="Z25">
        <f>IF(Y25=C25,1,0)</f>
        <v/>
      </c>
      <c r="AB25" t="inlineStr">
        <is>
          <t>sav_unknown</t>
        </is>
      </c>
      <c r="AC25" s="11" t="n">
        <v>-1.076092926242446</v>
      </c>
      <c r="AD25" s="12" t="n">
        <v>-0.5828104541232723</v>
      </c>
      <c r="AE25" s="9">
        <f>AC25^2</f>
        <v/>
      </c>
    </row>
    <row r="26">
      <c r="A26">
        <f>'1 prepared data'!A19</f>
        <v/>
      </c>
      <c r="B26" s="5">
        <f>'1 prepared data'!U19</f>
        <v/>
      </c>
      <c r="C26">
        <f>'1 prepared data'!B19</f>
        <v/>
      </c>
      <c r="D26" s="7">
        <f>'1 prepared data'!C19</f>
        <v/>
      </c>
      <c r="E26" s="7">
        <f>'1 prepared data'!D19</f>
        <v/>
      </c>
      <c r="F26" s="7">
        <f>'1 prepared data'!E19</f>
        <v/>
      </c>
      <c r="G26" s="7">
        <f>'1 prepared data'!F19</f>
        <v/>
      </c>
      <c r="H26" s="7">
        <f>'1 prepared data'!G19</f>
        <v/>
      </c>
      <c r="I26" s="7">
        <f>'1 prepared data'!H19</f>
        <v/>
      </c>
      <c r="J26" s="7">
        <f>'1 prepared data'!I19</f>
        <v/>
      </c>
      <c r="K26" s="7">
        <f>'1 prepared data'!J19</f>
        <v/>
      </c>
      <c r="L26" s="7">
        <f>'1 prepared data'!K19</f>
        <v/>
      </c>
      <c r="M26" s="7">
        <f>'1 prepared data'!L19</f>
        <v/>
      </c>
      <c r="N26" s="7">
        <f>'1 prepared data'!M19</f>
        <v/>
      </c>
      <c r="O26" s="7">
        <f>'1 prepared data'!N19</f>
        <v/>
      </c>
      <c r="P26" s="7">
        <f>'1 prepared data'!O19</f>
        <v/>
      </c>
      <c r="Q26" s="7">
        <f>'1 prepared data'!P19</f>
        <v/>
      </c>
      <c r="R26" s="7">
        <f>'1 prepared data'!Q19</f>
        <v/>
      </c>
      <c r="S26" s="7">
        <f>'1 prepared data'!R19</f>
        <v/>
      </c>
      <c r="T26" s="7">
        <f>'1 prepared data'!S19</f>
        <v/>
      </c>
      <c r="U26" s="7">
        <f>'1 prepared data'!T19</f>
        <v/>
      </c>
      <c r="V26" s="8">
        <f>$AC$12+D26*$AC$13+E26*$AC$14+F26*$AC$15+G26*$AC$16+H26*$AC$17+I26*$AC$18+J26*$AC$19+K26*$AC$20+L26*$AC$21+M26*$AC$22+N26*$AC$23+O26*$AC$24+P26*$AC$25+Q26*$AC$26+R26*$AC$27+S26*$AC$28+T26*$AC$29+U26*$AC$30</f>
        <v/>
      </c>
      <c r="W26" s="8">
        <f>1/(1+EXP(-V26))</f>
        <v/>
      </c>
      <c r="X26" s="9">
        <f>-IF(C26=1,LN(W26),LN(1-W26))</f>
        <v/>
      </c>
      <c r="Y26" s="10">
        <f>IF(W26&gt;$AC$33,1,0)</f>
        <v/>
      </c>
      <c r="Z26">
        <f>IF(Y26=C26,1,0)</f>
        <v/>
      </c>
      <c r="AB26" t="inlineStr">
        <is>
          <t>housing_rent</t>
        </is>
      </c>
      <c r="AC26" s="11" t="n">
        <v>0.6538371780658356</v>
      </c>
      <c r="AD26" s="12" t="n">
        <v>0.3838733425437118</v>
      </c>
      <c r="AE26" s="9">
        <f>AC26^2</f>
        <v/>
      </c>
    </row>
    <row r="27">
      <c r="A27">
        <f>'1 prepared data'!A20</f>
        <v/>
      </c>
      <c r="B27" s="5">
        <f>'1 prepared data'!U20</f>
        <v/>
      </c>
      <c r="C27">
        <f>'1 prepared data'!B20</f>
        <v/>
      </c>
      <c r="D27" s="7">
        <f>'1 prepared data'!C20</f>
        <v/>
      </c>
      <c r="E27" s="7">
        <f>'1 prepared data'!D20</f>
        <v/>
      </c>
      <c r="F27" s="7">
        <f>'1 prepared data'!E20</f>
        <v/>
      </c>
      <c r="G27" s="7">
        <f>'1 prepared data'!F20</f>
        <v/>
      </c>
      <c r="H27" s="7">
        <f>'1 prepared data'!G20</f>
        <v/>
      </c>
      <c r="I27" s="7">
        <f>'1 prepared data'!H20</f>
        <v/>
      </c>
      <c r="J27" s="7">
        <f>'1 prepared data'!I20</f>
        <v/>
      </c>
      <c r="K27" s="7">
        <f>'1 prepared data'!J20</f>
        <v/>
      </c>
      <c r="L27" s="7">
        <f>'1 prepared data'!K20</f>
        <v/>
      </c>
      <c r="M27" s="7">
        <f>'1 prepared data'!L20</f>
        <v/>
      </c>
      <c r="N27" s="7">
        <f>'1 prepared data'!M20</f>
        <v/>
      </c>
      <c r="O27" s="7">
        <f>'1 prepared data'!N20</f>
        <v/>
      </c>
      <c r="P27" s="7">
        <f>'1 prepared data'!O20</f>
        <v/>
      </c>
      <c r="Q27" s="7">
        <f>'1 prepared data'!P20</f>
        <v/>
      </c>
      <c r="R27" s="7">
        <f>'1 prepared data'!Q20</f>
        <v/>
      </c>
      <c r="S27" s="7">
        <f>'1 prepared data'!R20</f>
        <v/>
      </c>
      <c r="T27" s="7">
        <f>'1 prepared data'!S20</f>
        <v/>
      </c>
      <c r="U27" s="7">
        <f>'1 prepared data'!T20</f>
        <v/>
      </c>
      <c r="V27" s="8">
        <f>$AC$12+D27*$AC$13+E27*$AC$14+F27*$AC$15+G27*$AC$16+H27*$AC$17+I27*$AC$18+J27*$AC$19+K27*$AC$20+L27*$AC$21+M27*$AC$22+N27*$AC$23+O27*$AC$24+P27*$AC$25+Q27*$AC$26+R27*$AC$27+S27*$AC$28+T27*$AC$29+U27*$AC$30</f>
        <v/>
      </c>
      <c r="W27" s="8">
        <f>1/(1+EXP(-V27))</f>
        <v/>
      </c>
      <c r="X27" s="9">
        <f>-IF(C27=1,LN(W27),LN(1-W27))</f>
        <v/>
      </c>
      <c r="Y27" s="10">
        <f>IF(W27&gt;$AC$33,1,0)</f>
        <v/>
      </c>
      <c r="Z27">
        <f>IF(Y27=C27,1,0)</f>
        <v/>
      </c>
      <c r="AB27" t="inlineStr">
        <is>
          <t>housing_free</t>
        </is>
      </c>
      <c r="AC27" s="11" t="n">
        <v>0.1953653579159878</v>
      </c>
      <c r="AD27" s="12" t="n">
        <v>0.1582688785829422</v>
      </c>
      <c r="AE27" s="9">
        <f>AC27^2</f>
        <v/>
      </c>
    </row>
    <row r="28">
      <c r="A28">
        <f>'1 prepared data'!A21</f>
        <v/>
      </c>
      <c r="B28" s="5">
        <f>'1 prepared data'!U21</f>
        <v/>
      </c>
      <c r="C28">
        <f>'1 prepared data'!B21</f>
        <v/>
      </c>
      <c r="D28" s="7">
        <f>'1 prepared data'!C21</f>
        <v/>
      </c>
      <c r="E28" s="7">
        <f>'1 prepared data'!D21</f>
        <v/>
      </c>
      <c r="F28" s="7">
        <f>'1 prepared data'!E21</f>
        <v/>
      </c>
      <c r="G28" s="7">
        <f>'1 prepared data'!F21</f>
        <v/>
      </c>
      <c r="H28" s="7">
        <f>'1 prepared data'!G21</f>
        <v/>
      </c>
      <c r="I28" s="7">
        <f>'1 prepared data'!H21</f>
        <v/>
      </c>
      <c r="J28" s="7">
        <f>'1 prepared data'!I21</f>
        <v/>
      </c>
      <c r="K28" s="7">
        <f>'1 prepared data'!J21</f>
        <v/>
      </c>
      <c r="L28" s="7">
        <f>'1 prepared data'!K21</f>
        <v/>
      </c>
      <c r="M28" s="7">
        <f>'1 prepared data'!L21</f>
        <v/>
      </c>
      <c r="N28" s="7">
        <f>'1 prepared data'!M21</f>
        <v/>
      </c>
      <c r="O28" s="7">
        <f>'1 prepared data'!N21</f>
        <v/>
      </c>
      <c r="P28" s="7">
        <f>'1 prepared data'!O21</f>
        <v/>
      </c>
      <c r="Q28" s="7">
        <f>'1 prepared data'!P21</f>
        <v/>
      </c>
      <c r="R28" s="7">
        <f>'1 prepared data'!Q21</f>
        <v/>
      </c>
      <c r="S28" s="7">
        <f>'1 prepared data'!R21</f>
        <v/>
      </c>
      <c r="T28" s="7">
        <f>'1 prepared data'!S21</f>
        <v/>
      </c>
      <c r="U28" s="7">
        <f>'1 prepared data'!T21</f>
        <v/>
      </c>
      <c r="V28" s="8">
        <f>$AC$12+D28*$AC$13+E28*$AC$14+F28*$AC$15+G28*$AC$16+H28*$AC$17+I28*$AC$18+J28*$AC$19+K28*$AC$20+L28*$AC$21+M28*$AC$22+N28*$AC$23+O28*$AC$24+P28*$AC$25+Q28*$AC$26+R28*$AC$27+S28*$AC$28+T28*$AC$29+U28*$AC$30</f>
        <v/>
      </c>
      <c r="W28" s="8">
        <f>1/(1+EXP(-V28))</f>
        <v/>
      </c>
      <c r="X28" s="9">
        <f>-IF(C28=1,LN(W28),LN(1-W28))</f>
        <v/>
      </c>
      <c r="Y28" s="10">
        <f>IF(W28&gt;$AC$33,1,0)</f>
        <v/>
      </c>
      <c r="Z28">
        <f>IF(Y28=C28,1,0)</f>
        <v/>
      </c>
      <c r="AB28" t="inlineStr">
        <is>
          <t>purpose_car</t>
        </is>
      </c>
      <c r="AC28" s="11" t="n">
        <v>-0.08016547581790479</v>
      </c>
      <c r="AD28" s="12" t="n">
        <v>0.03459562593689872</v>
      </c>
      <c r="AE28" s="9">
        <f>AC28^2</f>
        <v/>
      </c>
    </row>
    <row r="29">
      <c r="A29">
        <f>'1 prepared data'!A22</f>
        <v/>
      </c>
      <c r="B29" s="5">
        <f>'1 prepared data'!U22</f>
        <v/>
      </c>
      <c r="C29">
        <f>'1 prepared data'!B22</f>
        <v/>
      </c>
      <c r="D29" s="7">
        <f>'1 prepared data'!C22</f>
        <v/>
      </c>
      <c r="E29" s="7">
        <f>'1 prepared data'!D22</f>
        <v/>
      </c>
      <c r="F29" s="7">
        <f>'1 prepared data'!E22</f>
        <v/>
      </c>
      <c r="G29" s="7">
        <f>'1 prepared data'!F22</f>
        <v/>
      </c>
      <c r="H29" s="7">
        <f>'1 prepared data'!G22</f>
        <v/>
      </c>
      <c r="I29" s="7">
        <f>'1 prepared data'!H22</f>
        <v/>
      </c>
      <c r="J29" s="7">
        <f>'1 prepared data'!I22</f>
        <v/>
      </c>
      <c r="K29" s="7">
        <f>'1 prepared data'!J22</f>
        <v/>
      </c>
      <c r="L29" s="7">
        <f>'1 prepared data'!K22</f>
        <v/>
      </c>
      <c r="M29" s="7">
        <f>'1 prepared data'!L22</f>
        <v/>
      </c>
      <c r="N29" s="7">
        <f>'1 prepared data'!M22</f>
        <v/>
      </c>
      <c r="O29" s="7">
        <f>'1 prepared data'!N22</f>
        <v/>
      </c>
      <c r="P29" s="7">
        <f>'1 prepared data'!O22</f>
        <v/>
      </c>
      <c r="Q29" s="7">
        <f>'1 prepared data'!P22</f>
        <v/>
      </c>
      <c r="R29" s="7">
        <f>'1 prepared data'!Q22</f>
        <v/>
      </c>
      <c r="S29" s="7">
        <f>'1 prepared data'!R22</f>
        <v/>
      </c>
      <c r="T29" s="7">
        <f>'1 prepared data'!S22</f>
        <v/>
      </c>
      <c r="U29" s="7">
        <f>'1 prepared data'!T22</f>
        <v/>
      </c>
      <c r="V29" s="8">
        <f>$AC$12+D29*$AC$13+E29*$AC$14+F29*$AC$15+G29*$AC$16+H29*$AC$17+I29*$AC$18+J29*$AC$19+K29*$AC$20+L29*$AC$21+M29*$AC$22+N29*$AC$23+O29*$AC$24+P29*$AC$25+Q29*$AC$26+R29*$AC$27+S29*$AC$28+T29*$AC$29+U29*$AC$30</f>
        <v/>
      </c>
      <c r="W29" s="8">
        <f>1/(1+EXP(-V29))</f>
        <v/>
      </c>
      <c r="X29" s="9">
        <f>-IF(C29=1,LN(W29),LN(1-W29))</f>
        <v/>
      </c>
      <c r="Y29" s="10">
        <f>IF(W29&gt;$AC$33,1,0)</f>
        <v/>
      </c>
      <c r="Z29">
        <f>IF(Y29=C29,1,0)</f>
        <v/>
      </c>
      <c r="AB29" t="inlineStr">
        <is>
          <t>purpose_radio_tv</t>
        </is>
      </c>
      <c r="AC29" s="11" t="n">
        <v>-0.5202106472417524</v>
      </c>
      <c r="AD29" s="12" t="n">
        <v>-0.3058125039821383</v>
      </c>
      <c r="AE29" s="9">
        <f>AC29^2</f>
        <v/>
      </c>
    </row>
    <row r="30">
      <c r="A30">
        <f>'1 prepared data'!A23</f>
        <v/>
      </c>
      <c r="B30" s="5">
        <f>'1 prepared data'!U23</f>
        <v/>
      </c>
      <c r="C30">
        <f>'1 prepared data'!B23</f>
        <v/>
      </c>
      <c r="D30" s="7">
        <f>'1 prepared data'!C23</f>
        <v/>
      </c>
      <c r="E30" s="7">
        <f>'1 prepared data'!D23</f>
        <v/>
      </c>
      <c r="F30" s="7">
        <f>'1 prepared data'!E23</f>
        <v/>
      </c>
      <c r="G30" s="7">
        <f>'1 prepared data'!F23</f>
        <v/>
      </c>
      <c r="H30" s="7">
        <f>'1 prepared data'!G23</f>
        <v/>
      </c>
      <c r="I30" s="7">
        <f>'1 prepared data'!H23</f>
        <v/>
      </c>
      <c r="J30" s="7">
        <f>'1 prepared data'!I23</f>
        <v/>
      </c>
      <c r="K30" s="7">
        <f>'1 prepared data'!J23</f>
        <v/>
      </c>
      <c r="L30" s="7">
        <f>'1 prepared data'!K23</f>
        <v/>
      </c>
      <c r="M30" s="7">
        <f>'1 prepared data'!L23</f>
        <v/>
      </c>
      <c r="N30" s="7">
        <f>'1 prepared data'!M23</f>
        <v/>
      </c>
      <c r="O30" s="7">
        <f>'1 prepared data'!N23</f>
        <v/>
      </c>
      <c r="P30" s="7">
        <f>'1 prepared data'!O23</f>
        <v/>
      </c>
      <c r="Q30" s="7">
        <f>'1 prepared data'!P23</f>
        <v/>
      </c>
      <c r="R30" s="7">
        <f>'1 prepared data'!Q23</f>
        <v/>
      </c>
      <c r="S30" s="7">
        <f>'1 prepared data'!R23</f>
        <v/>
      </c>
      <c r="T30" s="7">
        <f>'1 prepared data'!S23</f>
        <v/>
      </c>
      <c r="U30" s="7">
        <f>'1 prepared data'!T23</f>
        <v/>
      </c>
      <c r="V30" s="8">
        <f>$AC$12+D30*$AC$13+E30*$AC$14+F30*$AC$15+G30*$AC$16+H30*$AC$17+I30*$AC$18+J30*$AC$19+K30*$AC$20+L30*$AC$21+M30*$AC$22+N30*$AC$23+O30*$AC$24+P30*$AC$25+Q30*$AC$26+R30*$AC$27+S30*$AC$28+T30*$AC$29+U30*$AC$30</f>
        <v/>
      </c>
      <c r="W30" s="8">
        <f>1/(1+EXP(-V30))</f>
        <v/>
      </c>
      <c r="X30" s="9">
        <f>-IF(C30=1,LN(W30),LN(1-W30))</f>
        <v/>
      </c>
      <c r="Y30" s="10">
        <f>IF(W30&gt;$AC$33,1,0)</f>
        <v/>
      </c>
      <c r="Z30">
        <f>IF(Y30=C30,1,0)</f>
        <v/>
      </c>
      <c r="AB30" t="inlineStr">
        <is>
          <t>purpose_furniture</t>
        </is>
      </c>
      <c r="AC30" s="11" t="n">
        <v>-0.2818027438096851</v>
      </c>
      <c r="AD30" s="12" t="n">
        <v>-0.02543647574694628</v>
      </c>
      <c r="AE30" s="9">
        <f>AC30^2</f>
        <v/>
      </c>
    </row>
    <row r="31">
      <c r="A31">
        <f>'1 prepared data'!A24</f>
        <v/>
      </c>
      <c r="B31" s="5">
        <f>'1 prepared data'!U24</f>
        <v/>
      </c>
      <c r="C31">
        <f>'1 prepared data'!B24</f>
        <v/>
      </c>
      <c r="D31" s="7">
        <f>'1 prepared data'!C24</f>
        <v/>
      </c>
      <c r="E31" s="7">
        <f>'1 prepared data'!D24</f>
        <v/>
      </c>
      <c r="F31" s="7">
        <f>'1 prepared data'!E24</f>
        <v/>
      </c>
      <c r="G31" s="7">
        <f>'1 prepared data'!F24</f>
        <v/>
      </c>
      <c r="H31" s="7">
        <f>'1 prepared data'!G24</f>
        <v/>
      </c>
      <c r="I31" s="7">
        <f>'1 prepared data'!H24</f>
        <v/>
      </c>
      <c r="J31" s="7">
        <f>'1 prepared data'!I24</f>
        <v/>
      </c>
      <c r="K31" s="7">
        <f>'1 prepared data'!J24</f>
        <v/>
      </c>
      <c r="L31" s="7">
        <f>'1 prepared data'!K24</f>
        <v/>
      </c>
      <c r="M31" s="7">
        <f>'1 prepared data'!L24</f>
        <v/>
      </c>
      <c r="N31" s="7">
        <f>'1 prepared data'!M24</f>
        <v/>
      </c>
      <c r="O31" s="7">
        <f>'1 prepared data'!N24</f>
        <v/>
      </c>
      <c r="P31" s="7">
        <f>'1 prepared data'!O24</f>
        <v/>
      </c>
      <c r="Q31" s="7">
        <f>'1 prepared data'!P24</f>
        <v/>
      </c>
      <c r="R31" s="7">
        <f>'1 prepared data'!Q24</f>
        <v/>
      </c>
      <c r="S31" s="7">
        <f>'1 prepared data'!R24</f>
        <v/>
      </c>
      <c r="T31" s="7">
        <f>'1 prepared data'!S24</f>
        <v/>
      </c>
      <c r="U31" s="7">
        <f>'1 prepared data'!T24</f>
        <v/>
      </c>
      <c r="V31" s="8">
        <f>$AC$12+D31*$AC$13+E31*$AC$14+F31*$AC$15+G31*$AC$16+H31*$AC$17+I31*$AC$18+J31*$AC$19+K31*$AC$20+L31*$AC$21+M31*$AC$22+N31*$AC$23+O31*$AC$24+P31*$AC$25+Q31*$AC$26+R31*$AC$27+S31*$AC$28+T31*$AC$29+U31*$AC$30</f>
        <v/>
      </c>
      <c r="W31" s="8">
        <f>1/(1+EXP(-V31))</f>
        <v/>
      </c>
      <c r="X31" s="9">
        <f>-IF(C31=1,LN(W31),LN(1-W31))</f>
        <v/>
      </c>
      <c r="Y31" s="10">
        <f>IF(W31&gt;$AC$33,1,0)</f>
        <v/>
      </c>
      <c r="Z31">
        <f>IF(Y31=C31,1,0)</f>
        <v/>
      </c>
    </row>
    <row r="32">
      <c r="A32">
        <f>'1 prepared data'!A25</f>
        <v/>
      </c>
      <c r="B32" s="5">
        <f>'1 prepared data'!U25</f>
        <v/>
      </c>
      <c r="C32">
        <f>'1 prepared data'!B25</f>
        <v/>
      </c>
      <c r="D32" s="7">
        <f>'1 prepared data'!C25</f>
        <v/>
      </c>
      <c r="E32" s="7">
        <f>'1 prepared data'!D25</f>
        <v/>
      </c>
      <c r="F32" s="7">
        <f>'1 prepared data'!E25</f>
        <v/>
      </c>
      <c r="G32" s="7">
        <f>'1 prepared data'!F25</f>
        <v/>
      </c>
      <c r="H32" s="7">
        <f>'1 prepared data'!G25</f>
        <v/>
      </c>
      <c r="I32" s="7">
        <f>'1 prepared data'!H25</f>
        <v/>
      </c>
      <c r="J32" s="7">
        <f>'1 prepared data'!I25</f>
        <v/>
      </c>
      <c r="K32" s="7">
        <f>'1 prepared data'!J25</f>
        <v/>
      </c>
      <c r="L32" s="7">
        <f>'1 prepared data'!K25</f>
        <v/>
      </c>
      <c r="M32" s="7">
        <f>'1 prepared data'!L25</f>
        <v/>
      </c>
      <c r="N32" s="7">
        <f>'1 prepared data'!M25</f>
        <v/>
      </c>
      <c r="O32" s="7">
        <f>'1 prepared data'!N25</f>
        <v/>
      </c>
      <c r="P32" s="7">
        <f>'1 prepared data'!O25</f>
        <v/>
      </c>
      <c r="Q32" s="7">
        <f>'1 prepared data'!P25</f>
        <v/>
      </c>
      <c r="R32" s="7">
        <f>'1 prepared data'!Q25</f>
        <v/>
      </c>
      <c r="S32" s="7">
        <f>'1 prepared data'!R25</f>
        <v/>
      </c>
      <c r="T32" s="7">
        <f>'1 prepared data'!S25</f>
        <v/>
      </c>
      <c r="U32" s="7">
        <f>'1 prepared data'!T25</f>
        <v/>
      </c>
      <c r="V32" s="8">
        <f>$AC$12+D32*$AC$13+E32*$AC$14+F32*$AC$15+G32*$AC$16+H32*$AC$17+I32*$AC$18+J32*$AC$19+K32*$AC$20+L32*$AC$21+M32*$AC$22+N32*$AC$23+O32*$AC$24+P32*$AC$25+Q32*$AC$26+R32*$AC$27+S32*$AC$28+T32*$AC$29+U32*$AC$30</f>
        <v/>
      </c>
      <c r="W32" s="8">
        <f>1/(1+EXP(-V32))</f>
        <v/>
      </c>
      <c r="X32" s="9">
        <f>-IF(C32=1,LN(W32),LN(1-W32))</f>
        <v/>
      </c>
      <c r="Y32" s="10">
        <f>IF(W32&gt;$AC$33,1,0)</f>
        <v/>
      </c>
      <c r="Z32">
        <f>IF(Y32=C32,1,0)</f>
        <v/>
      </c>
      <c r="AB32" s="3" t="inlineStr">
        <is>
          <t>λ (lambda): how much the size of the weights costs</t>
        </is>
      </c>
      <c r="AC32" s="15" t="n">
        <v>10</v>
      </c>
    </row>
    <row r="33">
      <c r="A33">
        <f>'1 prepared data'!A26</f>
        <v/>
      </c>
      <c r="B33" s="5">
        <f>'1 prepared data'!U26</f>
        <v/>
      </c>
      <c r="C33">
        <f>'1 prepared data'!B26</f>
        <v/>
      </c>
      <c r="D33" s="7">
        <f>'1 prepared data'!C26</f>
        <v/>
      </c>
      <c r="E33" s="7">
        <f>'1 prepared data'!D26</f>
        <v/>
      </c>
      <c r="F33" s="7">
        <f>'1 prepared data'!E26</f>
        <v/>
      </c>
      <c r="G33" s="7">
        <f>'1 prepared data'!F26</f>
        <v/>
      </c>
      <c r="H33" s="7">
        <f>'1 prepared data'!G26</f>
        <v/>
      </c>
      <c r="I33" s="7">
        <f>'1 prepared data'!H26</f>
        <v/>
      </c>
      <c r="J33" s="7">
        <f>'1 prepared data'!I26</f>
        <v/>
      </c>
      <c r="K33" s="7">
        <f>'1 prepared data'!J26</f>
        <v/>
      </c>
      <c r="L33" s="7">
        <f>'1 prepared data'!K26</f>
        <v/>
      </c>
      <c r="M33" s="7">
        <f>'1 prepared data'!L26</f>
        <v/>
      </c>
      <c r="N33" s="7">
        <f>'1 prepared data'!M26</f>
        <v/>
      </c>
      <c r="O33" s="7">
        <f>'1 prepared data'!N26</f>
        <v/>
      </c>
      <c r="P33" s="7">
        <f>'1 prepared data'!O26</f>
        <v/>
      </c>
      <c r="Q33" s="7">
        <f>'1 prepared data'!P26</f>
        <v/>
      </c>
      <c r="R33" s="7">
        <f>'1 prepared data'!Q26</f>
        <v/>
      </c>
      <c r="S33" s="7">
        <f>'1 prepared data'!R26</f>
        <v/>
      </c>
      <c r="T33" s="7">
        <f>'1 prepared data'!S26</f>
        <v/>
      </c>
      <c r="U33" s="7">
        <f>'1 prepared data'!T26</f>
        <v/>
      </c>
      <c r="V33" s="8">
        <f>$AC$12+D33*$AC$13+E33*$AC$14+F33*$AC$15+G33*$AC$16+H33*$AC$17+I33*$AC$18+J33*$AC$19+K33*$AC$20+L33*$AC$21+M33*$AC$22+N33*$AC$23+O33*$AC$24+P33*$AC$25+Q33*$AC$26+R33*$AC$27+S33*$AC$28+T33*$AC$29+U33*$AC$30</f>
        <v/>
      </c>
      <c r="W33" s="8">
        <f>1/(1+EXP(-V33))</f>
        <v/>
      </c>
      <c r="X33" s="9">
        <f>-IF(C33=1,LN(W33),LN(1-W33))</f>
        <v/>
      </c>
      <c r="Y33" s="10">
        <f>IF(W33&gt;$AC$33,1,0)</f>
        <v/>
      </c>
      <c r="Z33">
        <f>IF(Y33=C33,1,0)</f>
        <v/>
      </c>
      <c r="AB33" s="3" t="inlineStr">
        <is>
          <t>threshold</t>
        </is>
      </c>
      <c r="AC33" s="16" t="n">
        <v>0.5</v>
      </c>
    </row>
    <row r="34">
      <c r="A34">
        <f>'1 prepared data'!A27</f>
        <v/>
      </c>
      <c r="B34" s="5">
        <f>'1 prepared data'!U27</f>
        <v/>
      </c>
      <c r="C34">
        <f>'1 prepared data'!B27</f>
        <v/>
      </c>
      <c r="D34" s="7">
        <f>'1 prepared data'!C27</f>
        <v/>
      </c>
      <c r="E34" s="7">
        <f>'1 prepared data'!D27</f>
        <v/>
      </c>
      <c r="F34" s="7">
        <f>'1 prepared data'!E27</f>
        <v/>
      </c>
      <c r="G34" s="7">
        <f>'1 prepared data'!F27</f>
        <v/>
      </c>
      <c r="H34" s="7">
        <f>'1 prepared data'!G27</f>
        <v/>
      </c>
      <c r="I34" s="7">
        <f>'1 prepared data'!H27</f>
        <v/>
      </c>
      <c r="J34" s="7">
        <f>'1 prepared data'!I27</f>
        <v/>
      </c>
      <c r="K34" s="7">
        <f>'1 prepared data'!J27</f>
        <v/>
      </c>
      <c r="L34" s="7">
        <f>'1 prepared data'!K27</f>
        <v/>
      </c>
      <c r="M34" s="7">
        <f>'1 prepared data'!L27</f>
        <v/>
      </c>
      <c r="N34" s="7">
        <f>'1 prepared data'!M27</f>
        <v/>
      </c>
      <c r="O34" s="7">
        <f>'1 prepared data'!N27</f>
        <v/>
      </c>
      <c r="P34" s="7">
        <f>'1 prepared data'!O27</f>
        <v/>
      </c>
      <c r="Q34" s="7">
        <f>'1 prepared data'!P27</f>
        <v/>
      </c>
      <c r="R34" s="7">
        <f>'1 prepared data'!Q27</f>
        <v/>
      </c>
      <c r="S34" s="7">
        <f>'1 prepared data'!R27</f>
        <v/>
      </c>
      <c r="T34" s="7">
        <f>'1 prepared data'!S27</f>
        <v/>
      </c>
      <c r="U34" s="7">
        <f>'1 prepared data'!T27</f>
        <v/>
      </c>
      <c r="V34" s="8">
        <f>$AC$12+D34*$AC$13+E34*$AC$14+F34*$AC$15+G34*$AC$16+H34*$AC$17+I34*$AC$18+J34*$AC$19+K34*$AC$20+L34*$AC$21+M34*$AC$22+N34*$AC$23+O34*$AC$24+P34*$AC$25+Q34*$AC$26+R34*$AC$27+S34*$AC$28+T34*$AC$29+U34*$AC$30</f>
        <v/>
      </c>
      <c r="W34" s="8">
        <f>1/(1+EXP(-V34))</f>
        <v/>
      </c>
      <c r="X34" s="9">
        <f>-IF(C34=1,LN(W34),LN(1-W34))</f>
        <v/>
      </c>
      <c r="Y34" s="10">
        <f>IF(W34&gt;$AC$33,1,0)</f>
        <v/>
      </c>
      <c r="Z34">
        <f>IF(Y34=C34,1,0)</f>
        <v/>
      </c>
    </row>
    <row r="35">
      <c r="A35">
        <f>'1 prepared data'!A28</f>
        <v/>
      </c>
      <c r="B35" s="5">
        <f>'1 prepared data'!U28</f>
        <v/>
      </c>
      <c r="C35">
        <f>'1 prepared data'!B28</f>
        <v/>
      </c>
      <c r="D35" s="7">
        <f>'1 prepared data'!C28</f>
        <v/>
      </c>
      <c r="E35" s="7">
        <f>'1 prepared data'!D28</f>
        <v/>
      </c>
      <c r="F35" s="7">
        <f>'1 prepared data'!E28</f>
        <v/>
      </c>
      <c r="G35" s="7">
        <f>'1 prepared data'!F28</f>
        <v/>
      </c>
      <c r="H35" s="7">
        <f>'1 prepared data'!G28</f>
        <v/>
      </c>
      <c r="I35" s="7">
        <f>'1 prepared data'!H28</f>
        <v/>
      </c>
      <c r="J35" s="7">
        <f>'1 prepared data'!I28</f>
        <v/>
      </c>
      <c r="K35" s="7">
        <f>'1 prepared data'!J28</f>
        <v/>
      </c>
      <c r="L35" s="7">
        <f>'1 prepared data'!K28</f>
        <v/>
      </c>
      <c r="M35" s="7">
        <f>'1 prepared data'!L28</f>
        <v/>
      </c>
      <c r="N35" s="7">
        <f>'1 prepared data'!M28</f>
        <v/>
      </c>
      <c r="O35" s="7">
        <f>'1 prepared data'!N28</f>
        <v/>
      </c>
      <c r="P35" s="7">
        <f>'1 prepared data'!O28</f>
        <v/>
      </c>
      <c r="Q35" s="7">
        <f>'1 prepared data'!P28</f>
        <v/>
      </c>
      <c r="R35" s="7">
        <f>'1 prepared data'!Q28</f>
        <v/>
      </c>
      <c r="S35" s="7">
        <f>'1 prepared data'!R28</f>
        <v/>
      </c>
      <c r="T35" s="7">
        <f>'1 prepared data'!S28</f>
        <v/>
      </c>
      <c r="U35" s="7">
        <f>'1 prepared data'!T28</f>
        <v/>
      </c>
      <c r="V35" s="8">
        <f>$AC$12+D35*$AC$13+E35*$AC$14+F35*$AC$15+G35*$AC$16+H35*$AC$17+I35*$AC$18+J35*$AC$19+K35*$AC$20+L35*$AC$21+M35*$AC$22+N35*$AC$23+O35*$AC$24+P35*$AC$25+Q35*$AC$26+R35*$AC$27+S35*$AC$28+T35*$AC$29+U35*$AC$30</f>
        <v/>
      </c>
      <c r="W35" s="8">
        <f>1/(1+EXP(-V35))</f>
        <v/>
      </c>
      <c r="X35" s="9">
        <f>-IF(C35=1,LN(W35),LN(1-W35))</f>
        <v/>
      </c>
      <c r="Y35" s="10">
        <f>IF(W35&gt;$AC$33,1,0)</f>
        <v/>
      </c>
      <c r="Z35">
        <f>IF(Y35=C35,1,0)</f>
        <v/>
      </c>
      <c r="AB35" s="3" t="inlineStr">
        <is>
          <t>RESULTS</t>
        </is>
      </c>
    </row>
    <row r="36">
      <c r="A36">
        <f>'1 prepared data'!A29</f>
        <v/>
      </c>
      <c r="B36" s="5">
        <f>'1 prepared data'!U29</f>
        <v/>
      </c>
      <c r="C36">
        <f>'1 prepared data'!B29</f>
        <v/>
      </c>
      <c r="D36" s="7">
        <f>'1 prepared data'!C29</f>
        <v/>
      </c>
      <c r="E36" s="7">
        <f>'1 prepared data'!D29</f>
        <v/>
      </c>
      <c r="F36" s="7">
        <f>'1 prepared data'!E29</f>
        <v/>
      </c>
      <c r="G36" s="7">
        <f>'1 prepared data'!F29</f>
        <v/>
      </c>
      <c r="H36" s="7">
        <f>'1 prepared data'!G29</f>
        <v/>
      </c>
      <c r="I36" s="7">
        <f>'1 prepared data'!H29</f>
        <v/>
      </c>
      <c r="J36" s="7">
        <f>'1 prepared data'!I29</f>
        <v/>
      </c>
      <c r="K36" s="7">
        <f>'1 prepared data'!J29</f>
        <v/>
      </c>
      <c r="L36" s="7">
        <f>'1 prepared data'!K29</f>
        <v/>
      </c>
      <c r="M36" s="7">
        <f>'1 prepared data'!L29</f>
        <v/>
      </c>
      <c r="N36" s="7">
        <f>'1 prepared data'!M29</f>
        <v/>
      </c>
      <c r="O36" s="7">
        <f>'1 prepared data'!N29</f>
        <v/>
      </c>
      <c r="P36" s="7">
        <f>'1 prepared data'!O29</f>
        <v/>
      </c>
      <c r="Q36" s="7">
        <f>'1 prepared data'!P29</f>
        <v/>
      </c>
      <c r="R36" s="7">
        <f>'1 prepared data'!Q29</f>
        <v/>
      </c>
      <c r="S36" s="7">
        <f>'1 prepared data'!R29</f>
        <v/>
      </c>
      <c r="T36" s="7">
        <f>'1 prepared data'!S29</f>
        <v/>
      </c>
      <c r="U36" s="7">
        <f>'1 prepared data'!T29</f>
        <v/>
      </c>
      <c r="V36" s="8">
        <f>$AC$12+D36*$AC$13+E36*$AC$14+F36*$AC$15+G36*$AC$16+H36*$AC$17+I36*$AC$18+J36*$AC$19+K36*$AC$20+L36*$AC$21+M36*$AC$22+N36*$AC$23+O36*$AC$24+P36*$AC$25+Q36*$AC$26+R36*$AC$27+S36*$AC$28+T36*$AC$29+U36*$AC$30</f>
        <v/>
      </c>
      <c r="W36" s="8">
        <f>1/(1+EXP(-V36))</f>
        <v/>
      </c>
      <c r="X36" s="9">
        <f>-IF(C36=1,LN(W36),LN(1-W36))</f>
        <v/>
      </c>
      <c r="Y36" s="10">
        <f>IF(W36&gt;$AC$33,1,0)</f>
        <v/>
      </c>
      <c r="Z36">
        <f>IF(Y36=C36,1,0)</f>
        <v/>
      </c>
      <c r="AB36" t="inlineStr">
        <is>
          <t>sum of training losses</t>
        </is>
      </c>
      <c r="AC36" s="17">
        <f>SUMPRODUCT(($B$12:$B$1011="training")*$X$12:$X$1011)</f>
        <v/>
      </c>
    </row>
    <row r="37">
      <c r="A37">
        <f>'1 prepared data'!A30</f>
        <v/>
      </c>
      <c r="B37" s="5">
        <f>'1 prepared data'!U30</f>
        <v/>
      </c>
      <c r="C37">
        <f>'1 prepared data'!B30</f>
        <v/>
      </c>
      <c r="D37" s="7">
        <f>'1 prepared data'!C30</f>
        <v/>
      </c>
      <c r="E37" s="7">
        <f>'1 prepared data'!D30</f>
        <v/>
      </c>
      <c r="F37" s="7">
        <f>'1 prepared data'!E30</f>
        <v/>
      </c>
      <c r="G37" s="7">
        <f>'1 prepared data'!F30</f>
        <v/>
      </c>
      <c r="H37" s="7">
        <f>'1 prepared data'!G30</f>
        <v/>
      </c>
      <c r="I37" s="7">
        <f>'1 prepared data'!H30</f>
        <v/>
      </c>
      <c r="J37" s="7">
        <f>'1 prepared data'!I30</f>
        <v/>
      </c>
      <c r="K37" s="7">
        <f>'1 prepared data'!J30</f>
        <v/>
      </c>
      <c r="L37" s="7">
        <f>'1 prepared data'!K30</f>
        <v/>
      </c>
      <c r="M37" s="7">
        <f>'1 prepared data'!L30</f>
        <v/>
      </c>
      <c r="N37" s="7">
        <f>'1 prepared data'!M30</f>
        <v/>
      </c>
      <c r="O37" s="7">
        <f>'1 prepared data'!N30</f>
        <v/>
      </c>
      <c r="P37" s="7">
        <f>'1 prepared data'!O30</f>
        <v/>
      </c>
      <c r="Q37" s="7">
        <f>'1 prepared data'!P30</f>
        <v/>
      </c>
      <c r="R37" s="7">
        <f>'1 prepared data'!Q30</f>
        <v/>
      </c>
      <c r="S37" s="7">
        <f>'1 prepared data'!R30</f>
        <v/>
      </c>
      <c r="T37" s="7">
        <f>'1 prepared data'!S30</f>
        <v/>
      </c>
      <c r="U37" s="7">
        <f>'1 prepared data'!T30</f>
        <v/>
      </c>
      <c r="V37" s="8">
        <f>$AC$12+D37*$AC$13+E37*$AC$14+F37*$AC$15+G37*$AC$16+H37*$AC$17+I37*$AC$18+J37*$AC$19+K37*$AC$20+L37*$AC$21+M37*$AC$22+N37*$AC$23+O37*$AC$24+P37*$AC$25+Q37*$AC$26+R37*$AC$27+S37*$AC$28+T37*$AC$29+U37*$AC$30</f>
        <v/>
      </c>
      <c r="W37" s="8">
        <f>1/(1+EXP(-V37))</f>
        <v/>
      </c>
      <c r="X37" s="9">
        <f>-IF(C37=1,LN(W37),LN(1-W37))</f>
        <v/>
      </c>
      <c r="Y37" s="10">
        <f>IF(W37&gt;$AC$33,1,0)</f>
        <v/>
      </c>
      <c r="Z37">
        <f>IF(Y37=C37,1,0)</f>
        <v/>
      </c>
      <c r="AB37" t="inlineStr">
        <is>
          <t>L2 penalty = λ/2 · Σ theta²</t>
        </is>
      </c>
      <c r="AC37" s="18">
        <f>$AC$32/2*SUM($AE$13:$AE$30)</f>
        <v/>
      </c>
    </row>
    <row r="38">
      <c r="A38">
        <f>'1 prepared data'!A31</f>
        <v/>
      </c>
      <c r="B38" s="5">
        <f>'1 prepared data'!U31</f>
        <v/>
      </c>
      <c r="C38">
        <f>'1 prepared data'!B31</f>
        <v/>
      </c>
      <c r="D38" s="7">
        <f>'1 prepared data'!C31</f>
        <v/>
      </c>
      <c r="E38" s="7">
        <f>'1 prepared data'!D31</f>
        <v/>
      </c>
      <c r="F38" s="7">
        <f>'1 prepared data'!E31</f>
        <v/>
      </c>
      <c r="G38" s="7">
        <f>'1 prepared data'!F31</f>
        <v/>
      </c>
      <c r="H38" s="7">
        <f>'1 prepared data'!G31</f>
        <v/>
      </c>
      <c r="I38" s="7">
        <f>'1 prepared data'!H31</f>
        <v/>
      </c>
      <c r="J38" s="7">
        <f>'1 prepared data'!I31</f>
        <v/>
      </c>
      <c r="K38" s="7">
        <f>'1 prepared data'!J31</f>
        <v/>
      </c>
      <c r="L38" s="7">
        <f>'1 prepared data'!K31</f>
        <v/>
      </c>
      <c r="M38" s="7">
        <f>'1 prepared data'!L31</f>
        <v/>
      </c>
      <c r="N38" s="7">
        <f>'1 prepared data'!M31</f>
        <v/>
      </c>
      <c r="O38" s="7">
        <f>'1 prepared data'!N31</f>
        <v/>
      </c>
      <c r="P38" s="7">
        <f>'1 prepared data'!O31</f>
        <v/>
      </c>
      <c r="Q38" s="7">
        <f>'1 prepared data'!P31</f>
        <v/>
      </c>
      <c r="R38" s="7">
        <f>'1 prepared data'!Q31</f>
        <v/>
      </c>
      <c r="S38" s="7">
        <f>'1 prepared data'!R31</f>
        <v/>
      </c>
      <c r="T38" s="7">
        <f>'1 prepared data'!S31</f>
        <v/>
      </c>
      <c r="U38" s="7">
        <f>'1 prepared data'!T31</f>
        <v/>
      </c>
      <c r="V38" s="8">
        <f>$AC$12+D38*$AC$13+E38*$AC$14+F38*$AC$15+G38*$AC$16+H38*$AC$17+I38*$AC$18+J38*$AC$19+K38*$AC$20+L38*$AC$21+M38*$AC$22+N38*$AC$23+O38*$AC$24+P38*$AC$25+Q38*$AC$26+R38*$AC$27+S38*$AC$28+T38*$AC$29+U38*$AC$30</f>
        <v/>
      </c>
      <c r="W38" s="8">
        <f>1/(1+EXP(-V38))</f>
        <v/>
      </c>
      <c r="X38" s="9">
        <f>-IF(C38=1,LN(W38),LN(1-W38))</f>
        <v/>
      </c>
      <c r="Y38" s="10">
        <f>IF(W38&gt;$AC$33,1,0)</f>
        <v/>
      </c>
      <c r="Z38">
        <f>IF(Y38=C38,1,0)</f>
        <v/>
      </c>
      <c r="AB38" t="inlineStr">
        <is>
          <t>J = sum of losses + penalty (SOLVER OBJECTIVE)</t>
        </is>
      </c>
      <c r="AC38" s="17">
        <f>AC36+AC37</f>
        <v/>
      </c>
    </row>
    <row r="39">
      <c r="A39">
        <f>'1 prepared data'!A32</f>
        <v/>
      </c>
      <c r="B39" s="5">
        <f>'1 prepared data'!U32</f>
        <v/>
      </c>
      <c r="C39">
        <f>'1 prepared data'!B32</f>
        <v/>
      </c>
      <c r="D39" s="7">
        <f>'1 prepared data'!C32</f>
        <v/>
      </c>
      <c r="E39" s="7">
        <f>'1 prepared data'!D32</f>
        <v/>
      </c>
      <c r="F39" s="7">
        <f>'1 prepared data'!E32</f>
        <v/>
      </c>
      <c r="G39" s="7">
        <f>'1 prepared data'!F32</f>
        <v/>
      </c>
      <c r="H39" s="7">
        <f>'1 prepared data'!G32</f>
        <v/>
      </c>
      <c r="I39" s="7">
        <f>'1 prepared data'!H32</f>
        <v/>
      </c>
      <c r="J39" s="7">
        <f>'1 prepared data'!I32</f>
        <v/>
      </c>
      <c r="K39" s="7">
        <f>'1 prepared data'!J32</f>
        <v/>
      </c>
      <c r="L39" s="7">
        <f>'1 prepared data'!K32</f>
        <v/>
      </c>
      <c r="M39" s="7">
        <f>'1 prepared data'!L32</f>
        <v/>
      </c>
      <c r="N39" s="7">
        <f>'1 prepared data'!M32</f>
        <v/>
      </c>
      <c r="O39" s="7">
        <f>'1 prepared data'!N32</f>
        <v/>
      </c>
      <c r="P39" s="7">
        <f>'1 prepared data'!O32</f>
        <v/>
      </c>
      <c r="Q39" s="7">
        <f>'1 prepared data'!P32</f>
        <v/>
      </c>
      <c r="R39" s="7">
        <f>'1 prepared data'!Q32</f>
        <v/>
      </c>
      <c r="S39" s="7">
        <f>'1 prepared data'!R32</f>
        <v/>
      </c>
      <c r="T39" s="7">
        <f>'1 prepared data'!S32</f>
        <v/>
      </c>
      <c r="U39" s="7">
        <f>'1 prepared data'!T32</f>
        <v/>
      </c>
      <c r="V39" s="8">
        <f>$AC$12+D39*$AC$13+E39*$AC$14+F39*$AC$15+G39*$AC$16+H39*$AC$17+I39*$AC$18+J39*$AC$19+K39*$AC$20+L39*$AC$21+M39*$AC$22+N39*$AC$23+O39*$AC$24+P39*$AC$25+Q39*$AC$26+R39*$AC$27+S39*$AC$28+T39*$AC$29+U39*$AC$30</f>
        <v/>
      </c>
      <c r="W39" s="8">
        <f>1/(1+EXP(-V39))</f>
        <v/>
      </c>
      <c r="X39" s="9">
        <f>-IF(C39=1,LN(W39),LN(1-W39))</f>
        <v/>
      </c>
      <c r="Y39" s="10">
        <f>IF(W39&gt;$AC$33,1,0)</f>
        <v/>
      </c>
      <c r="Z39">
        <f>IF(Y39=C39,1,0)</f>
        <v/>
      </c>
      <c r="AB39" t="inlineStr">
        <is>
          <t>average training loss</t>
        </is>
      </c>
      <c r="AC39" s="19">
        <f>AC36/COUNTIF($B$12:$B$1011,"training")</f>
        <v/>
      </c>
    </row>
    <row r="40">
      <c r="A40">
        <f>'1 prepared data'!A33</f>
        <v/>
      </c>
      <c r="B40" s="5">
        <f>'1 prepared data'!U33</f>
        <v/>
      </c>
      <c r="C40">
        <f>'1 prepared data'!B33</f>
        <v/>
      </c>
      <c r="D40" s="7">
        <f>'1 prepared data'!C33</f>
        <v/>
      </c>
      <c r="E40" s="7">
        <f>'1 prepared data'!D33</f>
        <v/>
      </c>
      <c r="F40" s="7">
        <f>'1 prepared data'!E33</f>
        <v/>
      </c>
      <c r="G40" s="7">
        <f>'1 prepared data'!F33</f>
        <v/>
      </c>
      <c r="H40" s="7">
        <f>'1 prepared data'!G33</f>
        <v/>
      </c>
      <c r="I40" s="7">
        <f>'1 prepared data'!H33</f>
        <v/>
      </c>
      <c r="J40" s="7">
        <f>'1 prepared data'!I33</f>
        <v/>
      </c>
      <c r="K40" s="7">
        <f>'1 prepared data'!J33</f>
        <v/>
      </c>
      <c r="L40" s="7">
        <f>'1 prepared data'!K33</f>
        <v/>
      </c>
      <c r="M40" s="7">
        <f>'1 prepared data'!L33</f>
        <v/>
      </c>
      <c r="N40" s="7">
        <f>'1 prepared data'!M33</f>
        <v/>
      </c>
      <c r="O40" s="7">
        <f>'1 prepared data'!N33</f>
        <v/>
      </c>
      <c r="P40" s="7">
        <f>'1 prepared data'!O33</f>
        <v/>
      </c>
      <c r="Q40" s="7">
        <f>'1 prepared data'!P33</f>
        <v/>
      </c>
      <c r="R40" s="7">
        <f>'1 prepared data'!Q33</f>
        <v/>
      </c>
      <c r="S40" s="7">
        <f>'1 prepared data'!R33</f>
        <v/>
      </c>
      <c r="T40" s="7">
        <f>'1 prepared data'!S33</f>
        <v/>
      </c>
      <c r="U40" s="7">
        <f>'1 prepared data'!T33</f>
        <v/>
      </c>
      <c r="V40" s="8">
        <f>$AC$12+D40*$AC$13+E40*$AC$14+F40*$AC$15+G40*$AC$16+H40*$AC$17+I40*$AC$18+J40*$AC$19+K40*$AC$20+L40*$AC$21+M40*$AC$22+N40*$AC$23+O40*$AC$24+P40*$AC$25+Q40*$AC$26+R40*$AC$27+S40*$AC$28+T40*$AC$29+U40*$AC$30</f>
        <v/>
      </c>
      <c r="W40" s="8">
        <f>1/(1+EXP(-V40))</f>
        <v/>
      </c>
      <c r="X40" s="9">
        <f>-IF(C40=1,LN(W40),LN(1-W40))</f>
        <v/>
      </c>
      <c r="Y40" s="10">
        <f>IF(W40&gt;$AC$33,1,0)</f>
        <v/>
      </c>
      <c r="Z40">
        <f>IF(Y40=C40,1,0)</f>
        <v/>
      </c>
      <c r="AB40" t="inlineStr">
        <is>
          <t>average testing loss</t>
        </is>
      </c>
      <c r="AC40" s="19">
        <f>SUMPRODUCT(($B$12:$B$1011="testing")*$X$12:$X$1011)/COUNTIF($B$12:$B$1011,"testing")</f>
        <v/>
      </c>
    </row>
    <row r="41">
      <c r="A41">
        <f>'1 prepared data'!A34</f>
        <v/>
      </c>
      <c r="B41" s="5">
        <f>'1 prepared data'!U34</f>
        <v/>
      </c>
      <c r="C41">
        <f>'1 prepared data'!B34</f>
        <v/>
      </c>
      <c r="D41" s="7">
        <f>'1 prepared data'!C34</f>
        <v/>
      </c>
      <c r="E41" s="7">
        <f>'1 prepared data'!D34</f>
        <v/>
      </c>
      <c r="F41" s="7">
        <f>'1 prepared data'!E34</f>
        <v/>
      </c>
      <c r="G41" s="7">
        <f>'1 prepared data'!F34</f>
        <v/>
      </c>
      <c r="H41" s="7">
        <f>'1 prepared data'!G34</f>
        <v/>
      </c>
      <c r="I41" s="7">
        <f>'1 prepared data'!H34</f>
        <v/>
      </c>
      <c r="J41" s="7">
        <f>'1 prepared data'!I34</f>
        <v/>
      </c>
      <c r="K41" s="7">
        <f>'1 prepared data'!J34</f>
        <v/>
      </c>
      <c r="L41" s="7">
        <f>'1 prepared data'!K34</f>
        <v/>
      </c>
      <c r="M41" s="7">
        <f>'1 prepared data'!L34</f>
        <v/>
      </c>
      <c r="N41" s="7">
        <f>'1 prepared data'!M34</f>
        <v/>
      </c>
      <c r="O41" s="7">
        <f>'1 prepared data'!N34</f>
        <v/>
      </c>
      <c r="P41" s="7">
        <f>'1 prepared data'!O34</f>
        <v/>
      </c>
      <c r="Q41" s="7">
        <f>'1 prepared data'!P34</f>
        <v/>
      </c>
      <c r="R41" s="7">
        <f>'1 prepared data'!Q34</f>
        <v/>
      </c>
      <c r="S41" s="7">
        <f>'1 prepared data'!R34</f>
        <v/>
      </c>
      <c r="T41" s="7">
        <f>'1 prepared data'!S34</f>
        <v/>
      </c>
      <c r="U41" s="7">
        <f>'1 prepared data'!T34</f>
        <v/>
      </c>
      <c r="V41" s="8">
        <f>$AC$12+D41*$AC$13+E41*$AC$14+F41*$AC$15+G41*$AC$16+H41*$AC$17+I41*$AC$18+J41*$AC$19+K41*$AC$20+L41*$AC$21+M41*$AC$22+N41*$AC$23+O41*$AC$24+P41*$AC$25+Q41*$AC$26+R41*$AC$27+S41*$AC$28+T41*$AC$29+U41*$AC$30</f>
        <v/>
      </c>
      <c r="W41" s="8">
        <f>1/(1+EXP(-V41))</f>
        <v/>
      </c>
      <c r="X41" s="9">
        <f>-IF(C41=1,LN(W41),LN(1-W41))</f>
        <v/>
      </c>
      <c r="Y41" s="10">
        <f>IF(W41&gt;$AC$33,1,0)</f>
        <v/>
      </c>
      <c r="Z41">
        <f>IF(Y41=C41,1,0)</f>
        <v/>
      </c>
      <c r="AB41" t="inlineStr">
        <is>
          <t>testing accuracy</t>
        </is>
      </c>
      <c r="AC41" s="20">
        <f>SUMPRODUCT(($B$12:$B$1011="testing")*$Z$12:$Z$1011)/COUNTIF($B$12:$B$1011,"testing")</f>
        <v/>
      </c>
    </row>
    <row r="42">
      <c r="A42">
        <f>'1 prepared data'!A35</f>
        <v/>
      </c>
      <c r="B42" s="5">
        <f>'1 prepared data'!U35</f>
        <v/>
      </c>
      <c r="C42">
        <f>'1 prepared data'!B35</f>
        <v/>
      </c>
      <c r="D42" s="7">
        <f>'1 prepared data'!C35</f>
        <v/>
      </c>
      <c r="E42" s="7">
        <f>'1 prepared data'!D35</f>
        <v/>
      </c>
      <c r="F42" s="7">
        <f>'1 prepared data'!E35</f>
        <v/>
      </c>
      <c r="G42" s="7">
        <f>'1 prepared data'!F35</f>
        <v/>
      </c>
      <c r="H42" s="7">
        <f>'1 prepared data'!G35</f>
        <v/>
      </c>
      <c r="I42" s="7">
        <f>'1 prepared data'!H35</f>
        <v/>
      </c>
      <c r="J42" s="7">
        <f>'1 prepared data'!I35</f>
        <v/>
      </c>
      <c r="K42" s="7">
        <f>'1 prepared data'!J35</f>
        <v/>
      </c>
      <c r="L42" s="7">
        <f>'1 prepared data'!K35</f>
        <v/>
      </c>
      <c r="M42" s="7">
        <f>'1 prepared data'!L35</f>
        <v/>
      </c>
      <c r="N42" s="7">
        <f>'1 prepared data'!M35</f>
        <v/>
      </c>
      <c r="O42" s="7">
        <f>'1 prepared data'!N35</f>
        <v/>
      </c>
      <c r="P42" s="7">
        <f>'1 prepared data'!O35</f>
        <v/>
      </c>
      <c r="Q42" s="7">
        <f>'1 prepared data'!P35</f>
        <v/>
      </c>
      <c r="R42" s="7">
        <f>'1 prepared data'!Q35</f>
        <v/>
      </c>
      <c r="S42" s="7">
        <f>'1 prepared data'!R35</f>
        <v/>
      </c>
      <c r="T42" s="7">
        <f>'1 prepared data'!S35</f>
        <v/>
      </c>
      <c r="U42" s="7">
        <f>'1 prepared data'!T35</f>
        <v/>
      </c>
      <c r="V42" s="8">
        <f>$AC$12+D42*$AC$13+E42*$AC$14+F42*$AC$15+G42*$AC$16+H42*$AC$17+I42*$AC$18+J42*$AC$19+K42*$AC$20+L42*$AC$21+M42*$AC$22+N42*$AC$23+O42*$AC$24+P42*$AC$25+Q42*$AC$26+R42*$AC$27+S42*$AC$28+T42*$AC$29+U42*$AC$30</f>
        <v/>
      </c>
      <c r="W42" s="8">
        <f>1/(1+EXP(-V42))</f>
        <v/>
      </c>
      <c r="X42" s="9">
        <f>-IF(C42=1,LN(W42),LN(1-W42))</f>
        <v/>
      </c>
      <c r="Y42" s="10">
        <f>IF(W42&gt;$AC$33,1,0)</f>
        <v/>
      </c>
      <c r="Z42">
        <f>IF(Y42=C42,1,0)</f>
        <v/>
      </c>
      <c r="AB42" t="inlineStr">
        <is>
          <t>weights (excluding intercept) with |theta| &lt; 0.01</t>
        </is>
      </c>
      <c r="AC42" s="21">
        <f>COUNTIF(AC13:AC30,"&lt;0.01")-COUNTIF(AC13:AC30,"&lt;-0.01")</f>
        <v/>
      </c>
    </row>
    <row r="43">
      <c r="A43">
        <f>'1 prepared data'!A36</f>
        <v/>
      </c>
      <c r="B43" s="5">
        <f>'1 prepared data'!U36</f>
        <v/>
      </c>
      <c r="C43">
        <f>'1 prepared data'!B36</f>
        <v/>
      </c>
      <c r="D43" s="7">
        <f>'1 prepared data'!C36</f>
        <v/>
      </c>
      <c r="E43" s="7">
        <f>'1 prepared data'!D36</f>
        <v/>
      </c>
      <c r="F43" s="7">
        <f>'1 prepared data'!E36</f>
        <v/>
      </c>
      <c r="G43" s="7">
        <f>'1 prepared data'!F36</f>
        <v/>
      </c>
      <c r="H43" s="7">
        <f>'1 prepared data'!G36</f>
        <v/>
      </c>
      <c r="I43" s="7">
        <f>'1 prepared data'!H36</f>
        <v/>
      </c>
      <c r="J43" s="7">
        <f>'1 prepared data'!I36</f>
        <v/>
      </c>
      <c r="K43" s="7">
        <f>'1 prepared data'!J36</f>
        <v/>
      </c>
      <c r="L43" s="7">
        <f>'1 prepared data'!K36</f>
        <v/>
      </c>
      <c r="M43" s="7">
        <f>'1 prepared data'!L36</f>
        <v/>
      </c>
      <c r="N43" s="7">
        <f>'1 prepared data'!M36</f>
        <v/>
      </c>
      <c r="O43" s="7">
        <f>'1 prepared data'!N36</f>
        <v/>
      </c>
      <c r="P43" s="7">
        <f>'1 prepared data'!O36</f>
        <v/>
      </c>
      <c r="Q43" s="7">
        <f>'1 prepared data'!P36</f>
        <v/>
      </c>
      <c r="R43" s="7">
        <f>'1 prepared data'!Q36</f>
        <v/>
      </c>
      <c r="S43" s="7">
        <f>'1 prepared data'!R36</f>
        <v/>
      </c>
      <c r="T43" s="7">
        <f>'1 prepared data'!S36</f>
        <v/>
      </c>
      <c r="U43" s="7">
        <f>'1 prepared data'!T36</f>
        <v/>
      </c>
      <c r="V43" s="8">
        <f>$AC$12+D43*$AC$13+E43*$AC$14+F43*$AC$15+G43*$AC$16+H43*$AC$17+I43*$AC$18+J43*$AC$19+K43*$AC$20+L43*$AC$21+M43*$AC$22+N43*$AC$23+O43*$AC$24+P43*$AC$25+Q43*$AC$26+R43*$AC$27+S43*$AC$28+T43*$AC$29+U43*$AC$30</f>
        <v/>
      </c>
      <c r="W43" s="8">
        <f>1/(1+EXP(-V43))</f>
        <v/>
      </c>
      <c r="X43" s="9">
        <f>-IF(C43=1,LN(W43),LN(1-W43))</f>
        <v/>
      </c>
      <c r="Y43" s="10">
        <f>IF(W43&gt;$AC$33,1,0)</f>
        <v/>
      </c>
      <c r="Z43">
        <f>IF(Y43=C43,1,0)</f>
        <v/>
      </c>
      <c r="AB43" t="inlineStr">
        <is>
          <t>scikit-learn reference (λ = 10): J</t>
        </is>
      </c>
      <c r="AC43" s="22" t="n">
        <v>372.5271165697004</v>
      </c>
    </row>
    <row r="44">
      <c r="A44">
        <f>'1 prepared data'!A37</f>
        <v/>
      </c>
      <c r="B44" s="5">
        <f>'1 prepared data'!U37</f>
        <v/>
      </c>
      <c r="C44">
        <f>'1 prepared data'!B37</f>
        <v/>
      </c>
      <c r="D44" s="7">
        <f>'1 prepared data'!C37</f>
        <v/>
      </c>
      <c r="E44" s="7">
        <f>'1 prepared data'!D37</f>
        <v/>
      </c>
      <c r="F44" s="7">
        <f>'1 prepared data'!E37</f>
        <v/>
      </c>
      <c r="G44" s="7">
        <f>'1 prepared data'!F37</f>
        <v/>
      </c>
      <c r="H44" s="7">
        <f>'1 prepared data'!G37</f>
        <v/>
      </c>
      <c r="I44" s="7">
        <f>'1 prepared data'!H37</f>
        <v/>
      </c>
      <c r="J44" s="7">
        <f>'1 prepared data'!I37</f>
        <v/>
      </c>
      <c r="K44" s="7">
        <f>'1 prepared data'!J37</f>
        <v/>
      </c>
      <c r="L44" s="7">
        <f>'1 prepared data'!K37</f>
        <v/>
      </c>
      <c r="M44" s="7">
        <f>'1 prepared data'!L37</f>
        <v/>
      </c>
      <c r="N44" s="7">
        <f>'1 prepared data'!M37</f>
        <v/>
      </c>
      <c r="O44" s="7">
        <f>'1 prepared data'!N37</f>
        <v/>
      </c>
      <c r="P44" s="7">
        <f>'1 prepared data'!O37</f>
        <v/>
      </c>
      <c r="Q44" s="7">
        <f>'1 prepared data'!P37</f>
        <v/>
      </c>
      <c r="R44" s="7">
        <f>'1 prepared data'!Q37</f>
        <v/>
      </c>
      <c r="S44" s="7">
        <f>'1 prepared data'!R37</f>
        <v/>
      </c>
      <c r="T44" s="7">
        <f>'1 prepared data'!S37</f>
        <v/>
      </c>
      <c r="U44" s="7">
        <f>'1 prepared data'!T37</f>
        <v/>
      </c>
      <c r="V44" s="8">
        <f>$AC$12+D44*$AC$13+E44*$AC$14+F44*$AC$15+G44*$AC$16+H44*$AC$17+I44*$AC$18+J44*$AC$19+K44*$AC$20+L44*$AC$21+M44*$AC$22+N44*$AC$23+O44*$AC$24+P44*$AC$25+Q44*$AC$26+R44*$AC$27+S44*$AC$28+T44*$AC$29+U44*$AC$30</f>
        <v/>
      </c>
      <c r="W44" s="8">
        <f>1/(1+EXP(-V44))</f>
        <v/>
      </c>
      <c r="X44" s="9">
        <f>-IF(C44=1,LN(W44),LN(1-W44))</f>
        <v/>
      </c>
      <c r="Y44" s="10">
        <f>IF(W44&gt;$AC$33,1,0)</f>
        <v/>
      </c>
      <c r="Z44">
        <f>IF(Y44=C44,1,0)</f>
        <v/>
      </c>
      <c r="AB44" t="inlineStr">
        <is>
          <t>scikit-learn reference (λ = 10): average testing loss</t>
        </is>
      </c>
      <c r="AC44" s="12" t="n">
        <v>0.4847933105992291</v>
      </c>
    </row>
    <row r="45">
      <c r="A45">
        <f>'1 prepared data'!A38</f>
        <v/>
      </c>
      <c r="B45" s="5">
        <f>'1 prepared data'!U38</f>
        <v/>
      </c>
      <c r="C45">
        <f>'1 prepared data'!B38</f>
        <v/>
      </c>
      <c r="D45" s="7">
        <f>'1 prepared data'!C38</f>
        <v/>
      </c>
      <c r="E45" s="7">
        <f>'1 prepared data'!D38</f>
        <v/>
      </c>
      <c r="F45" s="7">
        <f>'1 prepared data'!E38</f>
        <v/>
      </c>
      <c r="G45" s="7">
        <f>'1 prepared data'!F38</f>
        <v/>
      </c>
      <c r="H45" s="7">
        <f>'1 prepared data'!G38</f>
        <v/>
      </c>
      <c r="I45" s="7">
        <f>'1 prepared data'!H38</f>
        <v/>
      </c>
      <c r="J45" s="7">
        <f>'1 prepared data'!I38</f>
        <v/>
      </c>
      <c r="K45" s="7">
        <f>'1 prepared data'!J38</f>
        <v/>
      </c>
      <c r="L45" s="7">
        <f>'1 prepared data'!K38</f>
        <v/>
      </c>
      <c r="M45" s="7">
        <f>'1 prepared data'!L38</f>
        <v/>
      </c>
      <c r="N45" s="7">
        <f>'1 prepared data'!M38</f>
        <v/>
      </c>
      <c r="O45" s="7">
        <f>'1 prepared data'!N38</f>
        <v/>
      </c>
      <c r="P45" s="7">
        <f>'1 prepared data'!O38</f>
        <v/>
      </c>
      <c r="Q45" s="7">
        <f>'1 prepared data'!P38</f>
        <v/>
      </c>
      <c r="R45" s="7">
        <f>'1 prepared data'!Q38</f>
        <v/>
      </c>
      <c r="S45" s="7">
        <f>'1 prepared data'!R38</f>
        <v/>
      </c>
      <c r="T45" s="7">
        <f>'1 prepared data'!S38</f>
        <v/>
      </c>
      <c r="U45" s="7">
        <f>'1 prepared data'!T38</f>
        <v/>
      </c>
      <c r="V45" s="8">
        <f>$AC$12+D45*$AC$13+E45*$AC$14+F45*$AC$15+G45*$AC$16+H45*$AC$17+I45*$AC$18+J45*$AC$19+K45*$AC$20+L45*$AC$21+M45*$AC$22+N45*$AC$23+O45*$AC$24+P45*$AC$25+Q45*$AC$26+R45*$AC$27+S45*$AC$28+T45*$AC$29+U45*$AC$30</f>
        <v/>
      </c>
      <c r="W45" s="8">
        <f>1/(1+EXP(-V45))</f>
        <v/>
      </c>
      <c r="X45" s="9">
        <f>-IF(C45=1,LN(W45),LN(1-W45))</f>
        <v/>
      </c>
      <c r="Y45" s="10">
        <f>IF(W45&gt;$AC$33,1,0)</f>
        <v/>
      </c>
      <c r="Z45">
        <f>IF(Y45=C45,1,0)</f>
        <v/>
      </c>
      <c r="AB45" t="inlineStr">
        <is>
          <t>scikit-learn reference (λ = 10): weights at zero</t>
        </is>
      </c>
      <c r="AC45" s="23" t="n">
        <v>0</v>
      </c>
    </row>
    <row r="46">
      <c r="A46">
        <f>'1 prepared data'!A39</f>
        <v/>
      </c>
      <c r="B46" s="5">
        <f>'1 prepared data'!U39</f>
        <v/>
      </c>
      <c r="C46">
        <f>'1 prepared data'!B39</f>
        <v/>
      </c>
      <c r="D46" s="7">
        <f>'1 prepared data'!C39</f>
        <v/>
      </c>
      <c r="E46" s="7">
        <f>'1 prepared data'!D39</f>
        <v/>
      </c>
      <c r="F46" s="7">
        <f>'1 prepared data'!E39</f>
        <v/>
      </c>
      <c r="G46" s="7">
        <f>'1 prepared data'!F39</f>
        <v/>
      </c>
      <c r="H46" s="7">
        <f>'1 prepared data'!G39</f>
        <v/>
      </c>
      <c r="I46" s="7">
        <f>'1 prepared data'!H39</f>
        <v/>
      </c>
      <c r="J46" s="7">
        <f>'1 prepared data'!I39</f>
        <v/>
      </c>
      <c r="K46" s="7">
        <f>'1 prepared data'!J39</f>
        <v/>
      </c>
      <c r="L46" s="7">
        <f>'1 prepared data'!K39</f>
        <v/>
      </c>
      <c r="M46" s="7">
        <f>'1 prepared data'!L39</f>
        <v/>
      </c>
      <c r="N46" s="7">
        <f>'1 prepared data'!M39</f>
        <v/>
      </c>
      <c r="O46" s="7">
        <f>'1 prepared data'!N39</f>
        <v/>
      </c>
      <c r="P46" s="7">
        <f>'1 prepared data'!O39</f>
        <v/>
      </c>
      <c r="Q46" s="7">
        <f>'1 prepared data'!P39</f>
        <v/>
      </c>
      <c r="R46" s="7">
        <f>'1 prepared data'!Q39</f>
        <v/>
      </c>
      <c r="S46" s="7">
        <f>'1 prepared data'!R39</f>
        <v/>
      </c>
      <c r="T46" s="7">
        <f>'1 prepared data'!S39</f>
        <v/>
      </c>
      <c r="U46" s="7">
        <f>'1 prepared data'!T39</f>
        <v/>
      </c>
      <c r="V46" s="8">
        <f>$AC$12+D46*$AC$13+E46*$AC$14+F46*$AC$15+G46*$AC$16+H46*$AC$17+I46*$AC$18+J46*$AC$19+K46*$AC$20+L46*$AC$21+M46*$AC$22+N46*$AC$23+O46*$AC$24+P46*$AC$25+Q46*$AC$26+R46*$AC$27+S46*$AC$28+T46*$AC$29+U46*$AC$30</f>
        <v/>
      </c>
      <c r="W46" s="8">
        <f>1/(1+EXP(-V46))</f>
        <v/>
      </c>
      <c r="X46" s="9">
        <f>-IF(C46=1,LN(W46),LN(1-W46))</f>
        <v/>
      </c>
      <c r="Y46" s="10">
        <f>IF(W46&gt;$AC$33,1,0)</f>
        <v/>
      </c>
      <c r="Z46">
        <f>IF(Y46=C46,1,0)</f>
        <v/>
      </c>
      <c r="AB46" t="inlineStr">
        <is>
          <t>unregularized reference (base workbook): average testing loss</t>
        </is>
      </c>
      <c r="AC46" s="12" t="n">
        <v>0.4690599152735907</v>
      </c>
    </row>
    <row r="47">
      <c r="A47">
        <f>'1 prepared data'!A40</f>
        <v/>
      </c>
      <c r="B47" s="5">
        <f>'1 prepared data'!U40</f>
        <v/>
      </c>
      <c r="C47">
        <f>'1 prepared data'!B40</f>
        <v/>
      </c>
      <c r="D47" s="7">
        <f>'1 prepared data'!C40</f>
        <v/>
      </c>
      <c r="E47" s="7">
        <f>'1 prepared data'!D40</f>
        <v/>
      </c>
      <c r="F47" s="7">
        <f>'1 prepared data'!E40</f>
        <v/>
      </c>
      <c r="G47" s="7">
        <f>'1 prepared data'!F40</f>
        <v/>
      </c>
      <c r="H47" s="7">
        <f>'1 prepared data'!G40</f>
        <v/>
      </c>
      <c r="I47" s="7">
        <f>'1 prepared data'!H40</f>
        <v/>
      </c>
      <c r="J47" s="7">
        <f>'1 prepared data'!I40</f>
        <v/>
      </c>
      <c r="K47" s="7">
        <f>'1 prepared data'!J40</f>
        <v/>
      </c>
      <c r="L47" s="7">
        <f>'1 prepared data'!K40</f>
        <v/>
      </c>
      <c r="M47" s="7">
        <f>'1 prepared data'!L40</f>
        <v/>
      </c>
      <c r="N47" s="7">
        <f>'1 prepared data'!M40</f>
        <v/>
      </c>
      <c r="O47" s="7">
        <f>'1 prepared data'!N40</f>
        <v/>
      </c>
      <c r="P47" s="7">
        <f>'1 prepared data'!O40</f>
        <v/>
      </c>
      <c r="Q47" s="7">
        <f>'1 prepared data'!P40</f>
        <v/>
      </c>
      <c r="R47" s="7">
        <f>'1 prepared data'!Q40</f>
        <v/>
      </c>
      <c r="S47" s="7">
        <f>'1 prepared data'!R40</f>
        <v/>
      </c>
      <c r="T47" s="7">
        <f>'1 prepared data'!S40</f>
        <v/>
      </c>
      <c r="U47" s="7">
        <f>'1 prepared data'!T40</f>
        <v/>
      </c>
      <c r="V47" s="8">
        <f>$AC$12+D47*$AC$13+E47*$AC$14+F47*$AC$15+G47*$AC$16+H47*$AC$17+I47*$AC$18+J47*$AC$19+K47*$AC$20+L47*$AC$21+M47*$AC$22+N47*$AC$23+O47*$AC$24+P47*$AC$25+Q47*$AC$26+R47*$AC$27+S47*$AC$28+T47*$AC$29+U47*$AC$30</f>
        <v/>
      </c>
      <c r="W47" s="8">
        <f>1/(1+EXP(-V47))</f>
        <v/>
      </c>
      <c r="X47" s="9">
        <f>-IF(C47=1,LN(W47),LN(1-W47))</f>
        <v/>
      </c>
      <c r="Y47" s="10">
        <f>IF(W47&gt;$AC$33,1,0)</f>
        <v/>
      </c>
      <c r="Z47">
        <f>IF(Y47=C47,1,0)</f>
        <v/>
      </c>
    </row>
    <row r="48" ht="48" customHeight="1">
      <c r="A48">
        <f>'1 prepared data'!A41</f>
        <v/>
      </c>
      <c r="B48" s="5">
        <f>'1 prepared data'!U41</f>
        <v/>
      </c>
      <c r="C48">
        <f>'1 prepared data'!B41</f>
        <v/>
      </c>
      <c r="D48" s="7">
        <f>'1 prepared data'!C41</f>
        <v/>
      </c>
      <c r="E48" s="7">
        <f>'1 prepared data'!D41</f>
        <v/>
      </c>
      <c r="F48" s="7">
        <f>'1 prepared data'!E41</f>
        <v/>
      </c>
      <c r="G48" s="7">
        <f>'1 prepared data'!F41</f>
        <v/>
      </c>
      <c r="H48" s="7">
        <f>'1 prepared data'!G41</f>
        <v/>
      </c>
      <c r="I48" s="7">
        <f>'1 prepared data'!H41</f>
        <v/>
      </c>
      <c r="J48" s="7">
        <f>'1 prepared data'!I41</f>
        <v/>
      </c>
      <c r="K48" s="7">
        <f>'1 prepared data'!J41</f>
        <v/>
      </c>
      <c r="L48" s="7">
        <f>'1 prepared data'!K41</f>
        <v/>
      </c>
      <c r="M48" s="7">
        <f>'1 prepared data'!L41</f>
        <v/>
      </c>
      <c r="N48" s="7">
        <f>'1 prepared data'!M41</f>
        <v/>
      </c>
      <c r="O48" s="7">
        <f>'1 prepared data'!N41</f>
        <v/>
      </c>
      <c r="P48" s="7">
        <f>'1 prepared data'!O41</f>
        <v/>
      </c>
      <c r="Q48" s="7">
        <f>'1 prepared data'!P41</f>
        <v/>
      </c>
      <c r="R48" s="7">
        <f>'1 prepared data'!Q41</f>
        <v/>
      </c>
      <c r="S48" s="7">
        <f>'1 prepared data'!R41</f>
        <v/>
      </c>
      <c r="T48" s="7">
        <f>'1 prepared data'!S41</f>
        <v/>
      </c>
      <c r="U48" s="7">
        <f>'1 prepared data'!T41</f>
        <v/>
      </c>
      <c r="V48" s="8">
        <f>$AC$12+D48*$AC$13+E48*$AC$14+F48*$AC$15+G48*$AC$16+H48*$AC$17+I48*$AC$18+J48*$AC$19+K48*$AC$20+L48*$AC$21+M48*$AC$22+N48*$AC$23+O48*$AC$24+P48*$AC$25+Q48*$AC$26+R48*$AC$27+S48*$AC$28+T48*$AC$29+U48*$AC$30</f>
        <v/>
      </c>
      <c r="W48" s="8">
        <f>1/(1+EXP(-V48))</f>
        <v/>
      </c>
      <c r="X48" s="9">
        <f>-IF(C48=1,LN(W48),LN(1-W48))</f>
        <v/>
      </c>
      <c r="Y48" s="10">
        <f>IF(W48&gt;$AC$33,1,0)</f>
        <v/>
      </c>
      <c r="Z48">
        <f>IF(Y48=C48,1,0)</f>
        <v/>
      </c>
      <c r="AB48" s="2" t="inlineStr">
        <is>
          <t>Solver: minimize J (objective cell) by changing the light blue weight cells, GRG Nonlinear, central derivatives, convergence 0.000001, no constraints and with the box 'Make Unconstrained Variables Non-Negative' UNTICKED. Run twice if it stops early.</t>
        </is>
      </c>
    </row>
    <row r="49">
      <c r="A49">
        <f>'1 prepared data'!A42</f>
        <v/>
      </c>
      <c r="B49" s="5">
        <f>'1 prepared data'!U42</f>
        <v/>
      </c>
      <c r="C49">
        <f>'1 prepared data'!B42</f>
        <v/>
      </c>
      <c r="D49" s="7">
        <f>'1 prepared data'!C42</f>
        <v/>
      </c>
      <c r="E49" s="7">
        <f>'1 prepared data'!D42</f>
        <v/>
      </c>
      <c r="F49" s="7">
        <f>'1 prepared data'!E42</f>
        <v/>
      </c>
      <c r="G49" s="7">
        <f>'1 prepared data'!F42</f>
        <v/>
      </c>
      <c r="H49" s="7">
        <f>'1 prepared data'!G42</f>
        <v/>
      </c>
      <c r="I49" s="7">
        <f>'1 prepared data'!H42</f>
        <v/>
      </c>
      <c r="J49" s="7">
        <f>'1 prepared data'!I42</f>
        <v/>
      </c>
      <c r="K49" s="7">
        <f>'1 prepared data'!J42</f>
        <v/>
      </c>
      <c r="L49" s="7">
        <f>'1 prepared data'!K42</f>
        <v/>
      </c>
      <c r="M49" s="7">
        <f>'1 prepared data'!L42</f>
        <v/>
      </c>
      <c r="N49" s="7">
        <f>'1 prepared data'!M42</f>
        <v/>
      </c>
      <c r="O49" s="7">
        <f>'1 prepared data'!N42</f>
        <v/>
      </c>
      <c r="P49" s="7">
        <f>'1 prepared data'!O42</f>
        <v/>
      </c>
      <c r="Q49" s="7">
        <f>'1 prepared data'!P42</f>
        <v/>
      </c>
      <c r="R49" s="7">
        <f>'1 prepared data'!Q42</f>
        <v/>
      </c>
      <c r="S49" s="7">
        <f>'1 prepared data'!R42</f>
        <v/>
      </c>
      <c r="T49" s="7">
        <f>'1 prepared data'!S42</f>
        <v/>
      </c>
      <c r="U49" s="7">
        <f>'1 prepared data'!T42</f>
        <v/>
      </c>
      <c r="V49" s="8">
        <f>$AC$12+D49*$AC$13+E49*$AC$14+F49*$AC$15+G49*$AC$16+H49*$AC$17+I49*$AC$18+J49*$AC$19+K49*$AC$20+L49*$AC$21+M49*$AC$22+N49*$AC$23+O49*$AC$24+P49*$AC$25+Q49*$AC$26+R49*$AC$27+S49*$AC$28+T49*$AC$29+U49*$AC$30</f>
        <v/>
      </c>
      <c r="W49" s="8">
        <f>1/(1+EXP(-V49))</f>
        <v/>
      </c>
      <c r="X49" s="9">
        <f>-IF(C49=1,LN(W49),LN(1-W49))</f>
        <v/>
      </c>
      <c r="Y49" s="10">
        <f>IF(W49&gt;$AC$33,1,0)</f>
        <v/>
      </c>
      <c r="Z49">
        <f>IF(Y49=C49,1,0)</f>
        <v/>
      </c>
    </row>
    <row r="50">
      <c r="A50">
        <f>'1 prepared data'!A43</f>
        <v/>
      </c>
      <c r="B50" s="5">
        <f>'1 prepared data'!U43</f>
        <v/>
      </c>
      <c r="C50">
        <f>'1 prepared data'!B43</f>
        <v/>
      </c>
      <c r="D50" s="7">
        <f>'1 prepared data'!C43</f>
        <v/>
      </c>
      <c r="E50" s="7">
        <f>'1 prepared data'!D43</f>
        <v/>
      </c>
      <c r="F50" s="7">
        <f>'1 prepared data'!E43</f>
        <v/>
      </c>
      <c r="G50" s="7">
        <f>'1 prepared data'!F43</f>
        <v/>
      </c>
      <c r="H50" s="7">
        <f>'1 prepared data'!G43</f>
        <v/>
      </c>
      <c r="I50" s="7">
        <f>'1 prepared data'!H43</f>
        <v/>
      </c>
      <c r="J50" s="7">
        <f>'1 prepared data'!I43</f>
        <v/>
      </c>
      <c r="K50" s="7">
        <f>'1 prepared data'!J43</f>
        <v/>
      </c>
      <c r="L50" s="7">
        <f>'1 prepared data'!K43</f>
        <v/>
      </c>
      <c r="M50" s="7">
        <f>'1 prepared data'!L43</f>
        <v/>
      </c>
      <c r="N50" s="7">
        <f>'1 prepared data'!M43</f>
        <v/>
      </c>
      <c r="O50" s="7">
        <f>'1 prepared data'!N43</f>
        <v/>
      </c>
      <c r="P50" s="7">
        <f>'1 prepared data'!O43</f>
        <v/>
      </c>
      <c r="Q50" s="7">
        <f>'1 prepared data'!P43</f>
        <v/>
      </c>
      <c r="R50" s="7">
        <f>'1 prepared data'!Q43</f>
        <v/>
      </c>
      <c r="S50" s="7">
        <f>'1 prepared data'!R43</f>
        <v/>
      </c>
      <c r="T50" s="7">
        <f>'1 prepared data'!S43</f>
        <v/>
      </c>
      <c r="U50" s="7">
        <f>'1 prepared data'!T43</f>
        <v/>
      </c>
      <c r="V50" s="8">
        <f>$AC$12+D50*$AC$13+E50*$AC$14+F50*$AC$15+G50*$AC$16+H50*$AC$17+I50*$AC$18+J50*$AC$19+K50*$AC$20+L50*$AC$21+M50*$AC$22+N50*$AC$23+O50*$AC$24+P50*$AC$25+Q50*$AC$26+R50*$AC$27+S50*$AC$28+T50*$AC$29+U50*$AC$30</f>
        <v/>
      </c>
      <c r="W50" s="8">
        <f>1/(1+EXP(-V50))</f>
        <v/>
      </c>
      <c r="X50" s="9">
        <f>-IF(C50=1,LN(W50),LN(1-W50))</f>
        <v/>
      </c>
      <c r="Y50" s="10">
        <f>IF(W50&gt;$AC$33,1,0)</f>
        <v/>
      </c>
      <c r="Z50">
        <f>IF(Y50=C50,1,0)</f>
        <v/>
      </c>
    </row>
    <row r="51">
      <c r="A51">
        <f>'1 prepared data'!A44</f>
        <v/>
      </c>
      <c r="B51" s="5">
        <f>'1 prepared data'!U44</f>
        <v/>
      </c>
      <c r="C51">
        <f>'1 prepared data'!B44</f>
        <v/>
      </c>
      <c r="D51" s="7">
        <f>'1 prepared data'!C44</f>
        <v/>
      </c>
      <c r="E51" s="7">
        <f>'1 prepared data'!D44</f>
        <v/>
      </c>
      <c r="F51" s="7">
        <f>'1 prepared data'!E44</f>
        <v/>
      </c>
      <c r="G51" s="7">
        <f>'1 prepared data'!F44</f>
        <v/>
      </c>
      <c r="H51" s="7">
        <f>'1 prepared data'!G44</f>
        <v/>
      </c>
      <c r="I51" s="7">
        <f>'1 prepared data'!H44</f>
        <v/>
      </c>
      <c r="J51" s="7">
        <f>'1 prepared data'!I44</f>
        <v/>
      </c>
      <c r="K51" s="7">
        <f>'1 prepared data'!J44</f>
        <v/>
      </c>
      <c r="L51" s="7">
        <f>'1 prepared data'!K44</f>
        <v/>
      </c>
      <c r="M51" s="7">
        <f>'1 prepared data'!L44</f>
        <v/>
      </c>
      <c r="N51" s="7">
        <f>'1 prepared data'!M44</f>
        <v/>
      </c>
      <c r="O51" s="7">
        <f>'1 prepared data'!N44</f>
        <v/>
      </c>
      <c r="P51" s="7">
        <f>'1 prepared data'!O44</f>
        <v/>
      </c>
      <c r="Q51" s="7">
        <f>'1 prepared data'!P44</f>
        <v/>
      </c>
      <c r="R51" s="7">
        <f>'1 prepared data'!Q44</f>
        <v/>
      </c>
      <c r="S51" s="7">
        <f>'1 prepared data'!R44</f>
        <v/>
      </c>
      <c r="T51" s="7">
        <f>'1 prepared data'!S44</f>
        <v/>
      </c>
      <c r="U51" s="7">
        <f>'1 prepared data'!T44</f>
        <v/>
      </c>
      <c r="V51" s="8">
        <f>$AC$12+D51*$AC$13+E51*$AC$14+F51*$AC$15+G51*$AC$16+H51*$AC$17+I51*$AC$18+J51*$AC$19+K51*$AC$20+L51*$AC$21+M51*$AC$22+N51*$AC$23+O51*$AC$24+P51*$AC$25+Q51*$AC$26+R51*$AC$27+S51*$AC$28+T51*$AC$29+U51*$AC$30</f>
        <v/>
      </c>
      <c r="W51" s="8">
        <f>1/(1+EXP(-V51))</f>
        <v/>
      </c>
      <c r="X51" s="9">
        <f>-IF(C51=1,LN(W51),LN(1-W51))</f>
        <v/>
      </c>
      <c r="Y51" s="10">
        <f>IF(W51&gt;$AC$33,1,0)</f>
        <v/>
      </c>
      <c r="Z51">
        <f>IF(Y51=C51,1,0)</f>
        <v/>
      </c>
    </row>
    <row r="52">
      <c r="A52">
        <f>'1 prepared data'!A45</f>
        <v/>
      </c>
      <c r="B52" s="5">
        <f>'1 prepared data'!U45</f>
        <v/>
      </c>
      <c r="C52">
        <f>'1 prepared data'!B45</f>
        <v/>
      </c>
      <c r="D52" s="7">
        <f>'1 prepared data'!C45</f>
        <v/>
      </c>
      <c r="E52" s="7">
        <f>'1 prepared data'!D45</f>
        <v/>
      </c>
      <c r="F52" s="7">
        <f>'1 prepared data'!E45</f>
        <v/>
      </c>
      <c r="G52" s="7">
        <f>'1 prepared data'!F45</f>
        <v/>
      </c>
      <c r="H52" s="7">
        <f>'1 prepared data'!G45</f>
        <v/>
      </c>
      <c r="I52" s="7">
        <f>'1 prepared data'!H45</f>
        <v/>
      </c>
      <c r="J52" s="7">
        <f>'1 prepared data'!I45</f>
        <v/>
      </c>
      <c r="K52" s="7">
        <f>'1 prepared data'!J45</f>
        <v/>
      </c>
      <c r="L52" s="7">
        <f>'1 prepared data'!K45</f>
        <v/>
      </c>
      <c r="M52" s="7">
        <f>'1 prepared data'!L45</f>
        <v/>
      </c>
      <c r="N52" s="7">
        <f>'1 prepared data'!M45</f>
        <v/>
      </c>
      <c r="O52" s="7">
        <f>'1 prepared data'!N45</f>
        <v/>
      </c>
      <c r="P52" s="7">
        <f>'1 prepared data'!O45</f>
        <v/>
      </c>
      <c r="Q52" s="7">
        <f>'1 prepared data'!P45</f>
        <v/>
      </c>
      <c r="R52" s="7">
        <f>'1 prepared data'!Q45</f>
        <v/>
      </c>
      <c r="S52" s="7">
        <f>'1 prepared data'!R45</f>
        <v/>
      </c>
      <c r="T52" s="7">
        <f>'1 prepared data'!S45</f>
        <v/>
      </c>
      <c r="U52" s="7">
        <f>'1 prepared data'!T45</f>
        <v/>
      </c>
      <c r="V52" s="8">
        <f>$AC$12+D52*$AC$13+E52*$AC$14+F52*$AC$15+G52*$AC$16+H52*$AC$17+I52*$AC$18+J52*$AC$19+K52*$AC$20+L52*$AC$21+M52*$AC$22+N52*$AC$23+O52*$AC$24+P52*$AC$25+Q52*$AC$26+R52*$AC$27+S52*$AC$28+T52*$AC$29+U52*$AC$30</f>
        <v/>
      </c>
      <c r="W52" s="8">
        <f>1/(1+EXP(-V52))</f>
        <v/>
      </c>
      <c r="X52" s="9">
        <f>-IF(C52=1,LN(W52),LN(1-W52))</f>
        <v/>
      </c>
      <c r="Y52" s="10">
        <f>IF(W52&gt;$AC$33,1,0)</f>
        <v/>
      </c>
      <c r="Z52">
        <f>IF(Y52=C52,1,0)</f>
        <v/>
      </c>
    </row>
    <row r="53">
      <c r="A53">
        <f>'1 prepared data'!A46</f>
        <v/>
      </c>
      <c r="B53" s="5">
        <f>'1 prepared data'!U46</f>
        <v/>
      </c>
      <c r="C53">
        <f>'1 prepared data'!B46</f>
        <v/>
      </c>
      <c r="D53" s="7">
        <f>'1 prepared data'!C46</f>
        <v/>
      </c>
      <c r="E53" s="7">
        <f>'1 prepared data'!D46</f>
        <v/>
      </c>
      <c r="F53" s="7">
        <f>'1 prepared data'!E46</f>
        <v/>
      </c>
      <c r="G53" s="7">
        <f>'1 prepared data'!F46</f>
        <v/>
      </c>
      <c r="H53" s="7">
        <f>'1 prepared data'!G46</f>
        <v/>
      </c>
      <c r="I53" s="7">
        <f>'1 prepared data'!H46</f>
        <v/>
      </c>
      <c r="J53" s="7">
        <f>'1 prepared data'!I46</f>
        <v/>
      </c>
      <c r="K53" s="7">
        <f>'1 prepared data'!J46</f>
        <v/>
      </c>
      <c r="L53" s="7">
        <f>'1 prepared data'!K46</f>
        <v/>
      </c>
      <c r="M53" s="7">
        <f>'1 prepared data'!L46</f>
        <v/>
      </c>
      <c r="N53" s="7">
        <f>'1 prepared data'!M46</f>
        <v/>
      </c>
      <c r="O53" s="7">
        <f>'1 prepared data'!N46</f>
        <v/>
      </c>
      <c r="P53" s="7">
        <f>'1 prepared data'!O46</f>
        <v/>
      </c>
      <c r="Q53" s="7">
        <f>'1 prepared data'!P46</f>
        <v/>
      </c>
      <c r="R53" s="7">
        <f>'1 prepared data'!Q46</f>
        <v/>
      </c>
      <c r="S53" s="7">
        <f>'1 prepared data'!R46</f>
        <v/>
      </c>
      <c r="T53" s="7">
        <f>'1 prepared data'!S46</f>
        <v/>
      </c>
      <c r="U53" s="7">
        <f>'1 prepared data'!T46</f>
        <v/>
      </c>
      <c r="V53" s="8">
        <f>$AC$12+D53*$AC$13+E53*$AC$14+F53*$AC$15+G53*$AC$16+H53*$AC$17+I53*$AC$18+J53*$AC$19+K53*$AC$20+L53*$AC$21+M53*$AC$22+N53*$AC$23+O53*$AC$24+P53*$AC$25+Q53*$AC$26+R53*$AC$27+S53*$AC$28+T53*$AC$29+U53*$AC$30</f>
        <v/>
      </c>
      <c r="W53" s="8">
        <f>1/(1+EXP(-V53))</f>
        <v/>
      </c>
      <c r="X53" s="9">
        <f>-IF(C53=1,LN(W53),LN(1-W53))</f>
        <v/>
      </c>
      <c r="Y53" s="10">
        <f>IF(W53&gt;$AC$33,1,0)</f>
        <v/>
      </c>
      <c r="Z53">
        <f>IF(Y53=C53,1,0)</f>
        <v/>
      </c>
    </row>
    <row r="54">
      <c r="A54">
        <f>'1 prepared data'!A47</f>
        <v/>
      </c>
      <c r="B54" s="5">
        <f>'1 prepared data'!U47</f>
        <v/>
      </c>
      <c r="C54">
        <f>'1 prepared data'!B47</f>
        <v/>
      </c>
      <c r="D54" s="7">
        <f>'1 prepared data'!C47</f>
        <v/>
      </c>
      <c r="E54" s="7">
        <f>'1 prepared data'!D47</f>
        <v/>
      </c>
      <c r="F54" s="7">
        <f>'1 prepared data'!E47</f>
        <v/>
      </c>
      <c r="G54" s="7">
        <f>'1 prepared data'!F47</f>
        <v/>
      </c>
      <c r="H54" s="7">
        <f>'1 prepared data'!G47</f>
        <v/>
      </c>
      <c r="I54" s="7">
        <f>'1 prepared data'!H47</f>
        <v/>
      </c>
      <c r="J54" s="7">
        <f>'1 prepared data'!I47</f>
        <v/>
      </c>
      <c r="K54" s="7">
        <f>'1 prepared data'!J47</f>
        <v/>
      </c>
      <c r="L54" s="7">
        <f>'1 prepared data'!K47</f>
        <v/>
      </c>
      <c r="M54" s="7">
        <f>'1 prepared data'!L47</f>
        <v/>
      </c>
      <c r="N54" s="7">
        <f>'1 prepared data'!M47</f>
        <v/>
      </c>
      <c r="O54" s="7">
        <f>'1 prepared data'!N47</f>
        <v/>
      </c>
      <c r="P54" s="7">
        <f>'1 prepared data'!O47</f>
        <v/>
      </c>
      <c r="Q54" s="7">
        <f>'1 prepared data'!P47</f>
        <v/>
      </c>
      <c r="R54" s="7">
        <f>'1 prepared data'!Q47</f>
        <v/>
      </c>
      <c r="S54" s="7">
        <f>'1 prepared data'!R47</f>
        <v/>
      </c>
      <c r="T54" s="7">
        <f>'1 prepared data'!S47</f>
        <v/>
      </c>
      <c r="U54" s="7">
        <f>'1 prepared data'!T47</f>
        <v/>
      </c>
      <c r="V54" s="8">
        <f>$AC$12+D54*$AC$13+E54*$AC$14+F54*$AC$15+G54*$AC$16+H54*$AC$17+I54*$AC$18+J54*$AC$19+K54*$AC$20+L54*$AC$21+M54*$AC$22+N54*$AC$23+O54*$AC$24+P54*$AC$25+Q54*$AC$26+R54*$AC$27+S54*$AC$28+T54*$AC$29+U54*$AC$30</f>
        <v/>
      </c>
      <c r="W54" s="8">
        <f>1/(1+EXP(-V54))</f>
        <v/>
      </c>
      <c r="X54" s="9">
        <f>-IF(C54=1,LN(W54),LN(1-W54))</f>
        <v/>
      </c>
      <c r="Y54" s="10">
        <f>IF(W54&gt;$AC$33,1,0)</f>
        <v/>
      </c>
      <c r="Z54">
        <f>IF(Y54=C54,1,0)</f>
        <v/>
      </c>
    </row>
    <row r="55">
      <c r="A55">
        <f>'1 prepared data'!A48</f>
        <v/>
      </c>
      <c r="B55" s="5">
        <f>'1 prepared data'!U48</f>
        <v/>
      </c>
      <c r="C55">
        <f>'1 prepared data'!B48</f>
        <v/>
      </c>
      <c r="D55" s="7">
        <f>'1 prepared data'!C48</f>
        <v/>
      </c>
      <c r="E55" s="7">
        <f>'1 prepared data'!D48</f>
        <v/>
      </c>
      <c r="F55" s="7">
        <f>'1 prepared data'!E48</f>
        <v/>
      </c>
      <c r="G55" s="7">
        <f>'1 prepared data'!F48</f>
        <v/>
      </c>
      <c r="H55" s="7">
        <f>'1 prepared data'!G48</f>
        <v/>
      </c>
      <c r="I55" s="7">
        <f>'1 prepared data'!H48</f>
        <v/>
      </c>
      <c r="J55" s="7">
        <f>'1 prepared data'!I48</f>
        <v/>
      </c>
      <c r="K55" s="7">
        <f>'1 prepared data'!J48</f>
        <v/>
      </c>
      <c r="L55" s="7">
        <f>'1 prepared data'!K48</f>
        <v/>
      </c>
      <c r="M55" s="7">
        <f>'1 prepared data'!L48</f>
        <v/>
      </c>
      <c r="N55" s="7">
        <f>'1 prepared data'!M48</f>
        <v/>
      </c>
      <c r="O55" s="7">
        <f>'1 prepared data'!N48</f>
        <v/>
      </c>
      <c r="P55" s="7">
        <f>'1 prepared data'!O48</f>
        <v/>
      </c>
      <c r="Q55" s="7">
        <f>'1 prepared data'!P48</f>
        <v/>
      </c>
      <c r="R55" s="7">
        <f>'1 prepared data'!Q48</f>
        <v/>
      </c>
      <c r="S55" s="7">
        <f>'1 prepared data'!R48</f>
        <v/>
      </c>
      <c r="T55" s="7">
        <f>'1 prepared data'!S48</f>
        <v/>
      </c>
      <c r="U55" s="7">
        <f>'1 prepared data'!T48</f>
        <v/>
      </c>
      <c r="V55" s="8">
        <f>$AC$12+D55*$AC$13+E55*$AC$14+F55*$AC$15+G55*$AC$16+H55*$AC$17+I55*$AC$18+J55*$AC$19+K55*$AC$20+L55*$AC$21+M55*$AC$22+N55*$AC$23+O55*$AC$24+P55*$AC$25+Q55*$AC$26+R55*$AC$27+S55*$AC$28+T55*$AC$29+U55*$AC$30</f>
        <v/>
      </c>
      <c r="W55" s="8">
        <f>1/(1+EXP(-V55))</f>
        <v/>
      </c>
      <c r="X55" s="9">
        <f>-IF(C55=1,LN(W55),LN(1-W55))</f>
        <v/>
      </c>
      <c r="Y55" s="10">
        <f>IF(W55&gt;$AC$33,1,0)</f>
        <v/>
      </c>
      <c r="Z55">
        <f>IF(Y55=C55,1,0)</f>
        <v/>
      </c>
    </row>
    <row r="56">
      <c r="A56">
        <f>'1 prepared data'!A49</f>
        <v/>
      </c>
      <c r="B56" s="5">
        <f>'1 prepared data'!U49</f>
        <v/>
      </c>
      <c r="C56">
        <f>'1 prepared data'!B49</f>
        <v/>
      </c>
      <c r="D56" s="7">
        <f>'1 prepared data'!C49</f>
        <v/>
      </c>
      <c r="E56" s="7">
        <f>'1 prepared data'!D49</f>
        <v/>
      </c>
      <c r="F56" s="7">
        <f>'1 prepared data'!E49</f>
        <v/>
      </c>
      <c r="G56" s="7">
        <f>'1 prepared data'!F49</f>
        <v/>
      </c>
      <c r="H56" s="7">
        <f>'1 prepared data'!G49</f>
        <v/>
      </c>
      <c r="I56" s="7">
        <f>'1 prepared data'!H49</f>
        <v/>
      </c>
      <c r="J56" s="7">
        <f>'1 prepared data'!I49</f>
        <v/>
      </c>
      <c r="K56" s="7">
        <f>'1 prepared data'!J49</f>
        <v/>
      </c>
      <c r="L56" s="7">
        <f>'1 prepared data'!K49</f>
        <v/>
      </c>
      <c r="M56" s="7">
        <f>'1 prepared data'!L49</f>
        <v/>
      </c>
      <c r="N56" s="7">
        <f>'1 prepared data'!M49</f>
        <v/>
      </c>
      <c r="O56" s="7">
        <f>'1 prepared data'!N49</f>
        <v/>
      </c>
      <c r="P56" s="7">
        <f>'1 prepared data'!O49</f>
        <v/>
      </c>
      <c r="Q56" s="7">
        <f>'1 prepared data'!P49</f>
        <v/>
      </c>
      <c r="R56" s="7">
        <f>'1 prepared data'!Q49</f>
        <v/>
      </c>
      <c r="S56" s="7">
        <f>'1 prepared data'!R49</f>
        <v/>
      </c>
      <c r="T56" s="7">
        <f>'1 prepared data'!S49</f>
        <v/>
      </c>
      <c r="U56" s="7">
        <f>'1 prepared data'!T49</f>
        <v/>
      </c>
      <c r="V56" s="8">
        <f>$AC$12+D56*$AC$13+E56*$AC$14+F56*$AC$15+G56*$AC$16+H56*$AC$17+I56*$AC$18+J56*$AC$19+K56*$AC$20+L56*$AC$21+M56*$AC$22+N56*$AC$23+O56*$AC$24+P56*$AC$25+Q56*$AC$26+R56*$AC$27+S56*$AC$28+T56*$AC$29+U56*$AC$30</f>
        <v/>
      </c>
      <c r="W56" s="8">
        <f>1/(1+EXP(-V56))</f>
        <v/>
      </c>
      <c r="X56" s="9">
        <f>-IF(C56=1,LN(W56),LN(1-W56))</f>
        <v/>
      </c>
      <c r="Y56" s="10">
        <f>IF(W56&gt;$AC$33,1,0)</f>
        <v/>
      </c>
      <c r="Z56">
        <f>IF(Y56=C56,1,0)</f>
        <v/>
      </c>
    </row>
    <row r="57">
      <c r="A57">
        <f>'1 prepared data'!A50</f>
        <v/>
      </c>
      <c r="B57" s="5">
        <f>'1 prepared data'!U50</f>
        <v/>
      </c>
      <c r="C57">
        <f>'1 prepared data'!B50</f>
        <v/>
      </c>
      <c r="D57" s="7">
        <f>'1 prepared data'!C50</f>
        <v/>
      </c>
      <c r="E57" s="7">
        <f>'1 prepared data'!D50</f>
        <v/>
      </c>
      <c r="F57" s="7">
        <f>'1 prepared data'!E50</f>
        <v/>
      </c>
      <c r="G57" s="7">
        <f>'1 prepared data'!F50</f>
        <v/>
      </c>
      <c r="H57" s="7">
        <f>'1 prepared data'!G50</f>
        <v/>
      </c>
      <c r="I57" s="7">
        <f>'1 prepared data'!H50</f>
        <v/>
      </c>
      <c r="J57" s="7">
        <f>'1 prepared data'!I50</f>
        <v/>
      </c>
      <c r="K57" s="7">
        <f>'1 prepared data'!J50</f>
        <v/>
      </c>
      <c r="L57" s="7">
        <f>'1 prepared data'!K50</f>
        <v/>
      </c>
      <c r="M57" s="7">
        <f>'1 prepared data'!L50</f>
        <v/>
      </c>
      <c r="N57" s="7">
        <f>'1 prepared data'!M50</f>
        <v/>
      </c>
      <c r="O57" s="7">
        <f>'1 prepared data'!N50</f>
        <v/>
      </c>
      <c r="P57" s="7">
        <f>'1 prepared data'!O50</f>
        <v/>
      </c>
      <c r="Q57" s="7">
        <f>'1 prepared data'!P50</f>
        <v/>
      </c>
      <c r="R57" s="7">
        <f>'1 prepared data'!Q50</f>
        <v/>
      </c>
      <c r="S57" s="7">
        <f>'1 prepared data'!R50</f>
        <v/>
      </c>
      <c r="T57" s="7">
        <f>'1 prepared data'!S50</f>
        <v/>
      </c>
      <c r="U57" s="7">
        <f>'1 prepared data'!T50</f>
        <v/>
      </c>
      <c r="V57" s="8">
        <f>$AC$12+D57*$AC$13+E57*$AC$14+F57*$AC$15+G57*$AC$16+H57*$AC$17+I57*$AC$18+J57*$AC$19+K57*$AC$20+L57*$AC$21+M57*$AC$22+N57*$AC$23+O57*$AC$24+P57*$AC$25+Q57*$AC$26+R57*$AC$27+S57*$AC$28+T57*$AC$29+U57*$AC$30</f>
        <v/>
      </c>
      <c r="W57" s="8">
        <f>1/(1+EXP(-V57))</f>
        <v/>
      </c>
      <c r="X57" s="9">
        <f>-IF(C57=1,LN(W57),LN(1-W57))</f>
        <v/>
      </c>
      <c r="Y57" s="10">
        <f>IF(W57&gt;$AC$33,1,0)</f>
        <v/>
      </c>
      <c r="Z57">
        <f>IF(Y57=C57,1,0)</f>
        <v/>
      </c>
    </row>
    <row r="58">
      <c r="A58">
        <f>'1 prepared data'!A51</f>
        <v/>
      </c>
      <c r="B58" s="5">
        <f>'1 prepared data'!U51</f>
        <v/>
      </c>
      <c r="C58">
        <f>'1 prepared data'!B51</f>
        <v/>
      </c>
      <c r="D58" s="7">
        <f>'1 prepared data'!C51</f>
        <v/>
      </c>
      <c r="E58" s="7">
        <f>'1 prepared data'!D51</f>
        <v/>
      </c>
      <c r="F58" s="7">
        <f>'1 prepared data'!E51</f>
        <v/>
      </c>
      <c r="G58" s="7">
        <f>'1 prepared data'!F51</f>
        <v/>
      </c>
      <c r="H58" s="7">
        <f>'1 prepared data'!G51</f>
        <v/>
      </c>
      <c r="I58" s="7">
        <f>'1 prepared data'!H51</f>
        <v/>
      </c>
      <c r="J58" s="7">
        <f>'1 prepared data'!I51</f>
        <v/>
      </c>
      <c r="K58" s="7">
        <f>'1 prepared data'!J51</f>
        <v/>
      </c>
      <c r="L58" s="7">
        <f>'1 prepared data'!K51</f>
        <v/>
      </c>
      <c r="M58" s="7">
        <f>'1 prepared data'!L51</f>
        <v/>
      </c>
      <c r="N58" s="7">
        <f>'1 prepared data'!M51</f>
        <v/>
      </c>
      <c r="O58" s="7">
        <f>'1 prepared data'!N51</f>
        <v/>
      </c>
      <c r="P58" s="7">
        <f>'1 prepared data'!O51</f>
        <v/>
      </c>
      <c r="Q58" s="7">
        <f>'1 prepared data'!P51</f>
        <v/>
      </c>
      <c r="R58" s="7">
        <f>'1 prepared data'!Q51</f>
        <v/>
      </c>
      <c r="S58" s="7">
        <f>'1 prepared data'!R51</f>
        <v/>
      </c>
      <c r="T58" s="7">
        <f>'1 prepared data'!S51</f>
        <v/>
      </c>
      <c r="U58" s="7">
        <f>'1 prepared data'!T51</f>
        <v/>
      </c>
      <c r="V58" s="8">
        <f>$AC$12+D58*$AC$13+E58*$AC$14+F58*$AC$15+G58*$AC$16+H58*$AC$17+I58*$AC$18+J58*$AC$19+K58*$AC$20+L58*$AC$21+M58*$AC$22+N58*$AC$23+O58*$AC$24+P58*$AC$25+Q58*$AC$26+R58*$AC$27+S58*$AC$28+T58*$AC$29+U58*$AC$30</f>
        <v/>
      </c>
      <c r="W58" s="8">
        <f>1/(1+EXP(-V58))</f>
        <v/>
      </c>
      <c r="X58" s="9">
        <f>-IF(C58=1,LN(W58),LN(1-W58))</f>
        <v/>
      </c>
      <c r="Y58" s="10">
        <f>IF(W58&gt;$AC$33,1,0)</f>
        <v/>
      </c>
      <c r="Z58">
        <f>IF(Y58=C58,1,0)</f>
        <v/>
      </c>
    </row>
    <row r="59">
      <c r="A59">
        <f>'1 prepared data'!A52</f>
        <v/>
      </c>
      <c r="B59" s="5">
        <f>'1 prepared data'!U52</f>
        <v/>
      </c>
      <c r="C59">
        <f>'1 prepared data'!B52</f>
        <v/>
      </c>
      <c r="D59" s="7">
        <f>'1 prepared data'!C52</f>
        <v/>
      </c>
      <c r="E59" s="7">
        <f>'1 prepared data'!D52</f>
        <v/>
      </c>
      <c r="F59" s="7">
        <f>'1 prepared data'!E52</f>
        <v/>
      </c>
      <c r="G59" s="7">
        <f>'1 prepared data'!F52</f>
        <v/>
      </c>
      <c r="H59" s="7">
        <f>'1 prepared data'!G52</f>
        <v/>
      </c>
      <c r="I59" s="7">
        <f>'1 prepared data'!H52</f>
        <v/>
      </c>
      <c r="J59" s="7">
        <f>'1 prepared data'!I52</f>
        <v/>
      </c>
      <c r="K59" s="7">
        <f>'1 prepared data'!J52</f>
        <v/>
      </c>
      <c r="L59" s="7">
        <f>'1 prepared data'!K52</f>
        <v/>
      </c>
      <c r="M59" s="7">
        <f>'1 prepared data'!L52</f>
        <v/>
      </c>
      <c r="N59" s="7">
        <f>'1 prepared data'!M52</f>
        <v/>
      </c>
      <c r="O59" s="7">
        <f>'1 prepared data'!N52</f>
        <v/>
      </c>
      <c r="P59" s="7">
        <f>'1 prepared data'!O52</f>
        <v/>
      </c>
      <c r="Q59" s="7">
        <f>'1 prepared data'!P52</f>
        <v/>
      </c>
      <c r="R59" s="7">
        <f>'1 prepared data'!Q52</f>
        <v/>
      </c>
      <c r="S59" s="7">
        <f>'1 prepared data'!R52</f>
        <v/>
      </c>
      <c r="T59" s="7">
        <f>'1 prepared data'!S52</f>
        <v/>
      </c>
      <c r="U59" s="7">
        <f>'1 prepared data'!T52</f>
        <v/>
      </c>
      <c r="V59" s="8">
        <f>$AC$12+D59*$AC$13+E59*$AC$14+F59*$AC$15+G59*$AC$16+H59*$AC$17+I59*$AC$18+J59*$AC$19+K59*$AC$20+L59*$AC$21+M59*$AC$22+N59*$AC$23+O59*$AC$24+P59*$AC$25+Q59*$AC$26+R59*$AC$27+S59*$AC$28+T59*$AC$29+U59*$AC$30</f>
        <v/>
      </c>
      <c r="W59" s="8">
        <f>1/(1+EXP(-V59))</f>
        <v/>
      </c>
      <c r="X59" s="9">
        <f>-IF(C59=1,LN(W59),LN(1-W59))</f>
        <v/>
      </c>
      <c r="Y59" s="10">
        <f>IF(W59&gt;$AC$33,1,0)</f>
        <v/>
      </c>
      <c r="Z59">
        <f>IF(Y59=C59,1,0)</f>
        <v/>
      </c>
    </row>
    <row r="60">
      <c r="A60">
        <f>'1 prepared data'!A53</f>
        <v/>
      </c>
      <c r="B60" s="5">
        <f>'1 prepared data'!U53</f>
        <v/>
      </c>
      <c r="C60">
        <f>'1 prepared data'!B53</f>
        <v/>
      </c>
      <c r="D60" s="7">
        <f>'1 prepared data'!C53</f>
        <v/>
      </c>
      <c r="E60" s="7">
        <f>'1 prepared data'!D53</f>
        <v/>
      </c>
      <c r="F60" s="7">
        <f>'1 prepared data'!E53</f>
        <v/>
      </c>
      <c r="G60" s="7">
        <f>'1 prepared data'!F53</f>
        <v/>
      </c>
      <c r="H60" s="7">
        <f>'1 prepared data'!G53</f>
        <v/>
      </c>
      <c r="I60" s="7">
        <f>'1 prepared data'!H53</f>
        <v/>
      </c>
      <c r="J60" s="7">
        <f>'1 prepared data'!I53</f>
        <v/>
      </c>
      <c r="K60" s="7">
        <f>'1 prepared data'!J53</f>
        <v/>
      </c>
      <c r="L60" s="7">
        <f>'1 prepared data'!K53</f>
        <v/>
      </c>
      <c r="M60" s="7">
        <f>'1 prepared data'!L53</f>
        <v/>
      </c>
      <c r="N60" s="7">
        <f>'1 prepared data'!M53</f>
        <v/>
      </c>
      <c r="O60" s="7">
        <f>'1 prepared data'!N53</f>
        <v/>
      </c>
      <c r="P60" s="7">
        <f>'1 prepared data'!O53</f>
        <v/>
      </c>
      <c r="Q60" s="7">
        <f>'1 prepared data'!P53</f>
        <v/>
      </c>
      <c r="R60" s="7">
        <f>'1 prepared data'!Q53</f>
        <v/>
      </c>
      <c r="S60" s="7">
        <f>'1 prepared data'!R53</f>
        <v/>
      </c>
      <c r="T60" s="7">
        <f>'1 prepared data'!S53</f>
        <v/>
      </c>
      <c r="U60" s="7">
        <f>'1 prepared data'!T53</f>
        <v/>
      </c>
      <c r="V60" s="8">
        <f>$AC$12+D60*$AC$13+E60*$AC$14+F60*$AC$15+G60*$AC$16+H60*$AC$17+I60*$AC$18+J60*$AC$19+K60*$AC$20+L60*$AC$21+M60*$AC$22+N60*$AC$23+O60*$AC$24+P60*$AC$25+Q60*$AC$26+R60*$AC$27+S60*$AC$28+T60*$AC$29+U60*$AC$30</f>
        <v/>
      </c>
      <c r="W60" s="8">
        <f>1/(1+EXP(-V60))</f>
        <v/>
      </c>
      <c r="X60" s="9">
        <f>-IF(C60=1,LN(W60),LN(1-W60))</f>
        <v/>
      </c>
      <c r="Y60" s="10">
        <f>IF(W60&gt;$AC$33,1,0)</f>
        <v/>
      </c>
      <c r="Z60">
        <f>IF(Y60=C60,1,0)</f>
        <v/>
      </c>
    </row>
    <row r="61">
      <c r="A61">
        <f>'1 prepared data'!A54</f>
        <v/>
      </c>
      <c r="B61" s="5">
        <f>'1 prepared data'!U54</f>
        <v/>
      </c>
      <c r="C61">
        <f>'1 prepared data'!B54</f>
        <v/>
      </c>
      <c r="D61" s="7">
        <f>'1 prepared data'!C54</f>
        <v/>
      </c>
      <c r="E61" s="7">
        <f>'1 prepared data'!D54</f>
        <v/>
      </c>
      <c r="F61" s="7">
        <f>'1 prepared data'!E54</f>
        <v/>
      </c>
      <c r="G61" s="7">
        <f>'1 prepared data'!F54</f>
        <v/>
      </c>
      <c r="H61" s="7">
        <f>'1 prepared data'!G54</f>
        <v/>
      </c>
      <c r="I61" s="7">
        <f>'1 prepared data'!H54</f>
        <v/>
      </c>
      <c r="J61" s="7">
        <f>'1 prepared data'!I54</f>
        <v/>
      </c>
      <c r="K61" s="7">
        <f>'1 prepared data'!J54</f>
        <v/>
      </c>
      <c r="L61" s="7">
        <f>'1 prepared data'!K54</f>
        <v/>
      </c>
      <c r="M61" s="7">
        <f>'1 prepared data'!L54</f>
        <v/>
      </c>
      <c r="N61" s="7">
        <f>'1 prepared data'!M54</f>
        <v/>
      </c>
      <c r="O61" s="7">
        <f>'1 prepared data'!N54</f>
        <v/>
      </c>
      <c r="P61" s="7">
        <f>'1 prepared data'!O54</f>
        <v/>
      </c>
      <c r="Q61" s="7">
        <f>'1 prepared data'!P54</f>
        <v/>
      </c>
      <c r="R61" s="7">
        <f>'1 prepared data'!Q54</f>
        <v/>
      </c>
      <c r="S61" s="7">
        <f>'1 prepared data'!R54</f>
        <v/>
      </c>
      <c r="T61" s="7">
        <f>'1 prepared data'!S54</f>
        <v/>
      </c>
      <c r="U61" s="7">
        <f>'1 prepared data'!T54</f>
        <v/>
      </c>
      <c r="V61" s="8">
        <f>$AC$12+D61*$AC$13+E61*$AC$14+F61*$AC$15+G61*$AC$16+H61*$AC$17+I61*$AC$18+J61*$AC$19+K61*$AC$20+L61*$AC$21+M61*$AC$22+N61*$AC$23+O61*$AC$24+P61*$AC$25+Q61*$AC$26+R61*$AC$27+S61*$AC$28+T61*$AC$29+U61*$AC$30</f>
        <v/>
      </c>
      <c r="W61" s="8">
        <f>1/(1+EXP(-V61))</f>
        <v/>
      </c>
      <c r="X61" s="9">
        <f>-IF(C61=1,LN(W61),LN(1-W61))</f>
        <v/>
      </c>
      <c r="Y61" s="10">
        <f>IF(W61&gt;$AC$33,1,0)</f>
        <v/>
      </c>
      <c r="Z61">
        <f>IF(Y61=C61,1,0)</f>
        <v/>
      </c>
    </row>
    <row r="62">
      <c r="A62">
        <f>'1 prepared data'!A55</f>
        <v/>
      </c>
      <c r="B62" s="5">
        <f>'1 prepared data'!U55</f>
        <v/>
      </c>
      <c r="C62">
        <f>'1 prepared data'!B55</f>
        <v/>
      </c>
      <c r="D62" s="7">
        <f>'1 prepared data'!C55</f>
        <v/>
      </c>
      <c r="E62" s="7">
        <f>'1 prepared data'!D55</f>
        <v/>
      </c>
      <c r="F62" s="7">
        <f>'1 prepared data'!E55</f>
        <v/>
      </c>
      <c r="G62" s="7">
        <f>'1 prepared data'!F55</f>
        <v/>
      </c>
      <c r="H62" s="7">
        <f>'1 prepared data'!G55</f>
        <v/>
      </c>
      <c r="I62" s="7">
        <f>'1 prepared data'!H55</f>
        <v/>
      </c>
      <c r="J62" s="7">
        <f>'1 prepared data'!I55</f>
        <v/>
      </c>
      <c r="K62" s="7">
        <f>'1 prepared data'!J55</f>
        <v/>
      </c>
      <c r="L62" s="7">
        <f>'1 prepared data'!K55</f>
        <v/>
      </c>
      <c r="M62" s="7">
        <f>'1 prepared data'!L55</f>
        <v/>
      </c>
      <c r="N62" s="7">
        <f>'1 prepared data'!M55</f>
        <v/>
      </c>
      <c r="O62" s="7">
        <f>'1 prepared data'!N55</f>
        <v/>
      </c>
      <c r="P62" s="7">
        <f>'1 prepared data'!O55</f>
        <v/>
      </c>
      <c r="Q62" s="7">
        <f>'1 prepared data'!P55</f>
        <v/>
      </c>
      <c r="R62" s="7">
        <f>'1 prepared data'!Q55</f>
        <v/>
      </c>
      <c r="S62" s="7">
        <f>'1 prepared data'!R55</f>
        <v/>
      </c>
      <c r="T62" s="7">
        <f>'1 prepared data'!S55</f>
        <v/>
      </c>
      <c r="U62" s="7">
        <f>'1 prepared data'!T55</f>
        <v/>
      </c>
      <c r="V62" s="8">
        <f>$AC$12+D62*$AC$13+E62*$AC$14+F62*$AC$15+G62*$AC$16+H62*$AC$17+I62*$AC$18+J62*$AC$19+K62*$AC$20+L62*$AC$21+M62*$AC$22+N62*$AC$23+O62*$AC$24+P62*$AC$25+Q62*$AC$26+R62*$AC$27+S62*$AC$28+T62*$AC$29+U62*$AC$30</f>
        <v/>
      </c>
      <c r="W62" s="8">
        <f>1/(1+EXP(-V62))</f>
        <v/>
      </c>
      <c r="X62" s="9">
        <f>-IF(C62=1,LN(W62),LN(1-W62))</f>
        <v/>
      </c>
      <c r="Y62" s="10">
        <f>IF(W62&gt;$AC$33,1,0)</f>
        <v/>
      </c>
      <c r="Z62">
        <f>IF(Y62=C62,1,0)</f>
        <v/>
      </c>
    </row>
    <row r="63">
      <c r="A63">
        <f>'1 prepared data'!A56</f>
        <v/>
      </c>
      <c r="B63" s="5">
        <f>'1 prepared data'!U56</f>
        <v/>
      </c>
      <c r="C63">
        <f>'1 prepared data'!B56</f>
        <v/>
      </c>
      <c r="D63" s="7">
        <f>'1 prepared data'!C56</f>
        <v/>
      </c>
      <c r="E63" s="7">
        <f>'1 prepared data'!D56</f>
        <v/>
      </c>
      <c r="F63" s="7">
        <f>'1 prepared data'!E56</f>
        <v/>
      </c>
      <c r="G63" s="7">
        <f>'1 prepared data'!F56</f>
        <v/>
      </c>
      <c r="H63" s="7">
        <f>'1 prepared data'!G56</f>
        <v/>
      </c>
      <c r="I63" s="7">
        <f>'1 prepared data'!H56</f>
        <v/>
      </c>
      <c r="J63" s="7">
        <f>'1 prepared data'!I56</f>
        <v/>
      </c>
      <c r="K63" s="7">
        <f>'1 prepared data'!J56</f>
        <v/>
      </c>
      <c r="L63" s="7">
        <f>'1 prepared data'!K56</f>
        <v/>
      </c>
      <c r="M63" s="7">
        <f>'1 prepared data'!L56</f>
        <v/>
      </c>
      <c r="N63" s="7">
        <f>'1 prepared data'!M56</f>
        <v/>
      </c>
      <c r="O63" s="7">
        <f>'1 prepared data'!N56</f>
        <v/>
      </c>
      <c r="P63" s="7">
        <f>'1 prepared data'!O56</f>
        <v/>
      </c>
      <c r="Q63" s="7">
        <f>'1 prepared data'!P56</f>
        <v/>
      </c>
      <c r="R63" s="7">
        <f>'1 prepared data'!Q56</f>
        <v/>
      </c>
      <c r="S63" s="7">
        <f>'1 prepared data'!R56</f>
        <v/>
      </c>
      <c r="T63" s="7">
        <f>'1 prepared data'!S56</f>
        <v/>
      </c>
      <c r="U63" s="7">
        <f>'1 prepared data'!T56</f>
        <v/>
      </c>
      <c r="V63" s="8">
        <f>$AC$12+D63*$AC$13+E63*$AC$14+F63*$AC$15+G63*$AC$16+H63*$AC$17+I63*$AC$18+J63*$AC$19+K63*$AC$20+L63*$AC$21+M63*$AC$22+N63*$AC$23+O63*$AC$24+P63*$AC$25+Q63*$AC$26+R63*$AC$27+S63*$AC$28+T63*$AC$29+U63*$AC$30</f>
        <v/>
      </c>
      <c r="W63" s="8">
        <f>1/(1+EXP(-V63))</f>
        <v/>
      </c>
      <c r="X63" s="9">
        <f>-IF(C63=1,LN(W63),LN(1-W63))</f>
        <v/>
      </c>
      <c r="Y63" s="10">
        <f>IF(W63&gt;$AC$33,1,0)</f>
        <v/>
      </c>
      <c r="Z63">
        <f>IF(Y63=C63,1,0)</f>
        <v/>
      </c>
    </row>
    <row r="64">
      <c r="A64">
        <f>'1 prepared data'!A57</f>
        <v/>
      </c>
      <c r="B64" s="5">
        <f>'1 prepared data'!U57</f>
        <v/>
      </c>
      <c r="C64">
        <f>'1 prepared data'!B57</f>
        <v/>
      </c>
      <c r="D64" s="7">
        <f>'1 prepared data'!C57</f>
        <v/>
      </c>
      <c r="E64" s="7">
        <f>'1 prepared data'!D57</f>
        <v/>
      </c>
      <c r="F64" s="7">
        <f>'1 prepared data'!E57</f>
        <v/>
      </c>
      <c r="G64" s="7">
        <f>'1 prepared data'!F57</f>
        <v/>
      </c>
      <c r="H64" s="7">
        <f>'1 prepared data'!G57</f>
        <v/>
      </c>
      <c r="I64" s="7">
        <f>'1 prepared data'!H57</f>
        <v/>
      </c>
      <c r="J64" s="7">
        <f>'1 prepared data'!I57</f>
        <v/>
      </c>
      <c r="K64" s="7">
        <f>'1 prepared data'!J57</f>
        <v/>
      </c>
      <c r="L64" s="7">
        <f>'1 prepared data'!K57</f>
        <v/>
      </c>
      <c r="M64" s="7">
        <f>'1 prepared data'!L57</f>
        <v/>
      </c>
      <c r="N64" s="7">
        <f>'1 prepared data'!M57</f>
        <v/>
      </c>
      <c r="O64" s="7">
        <f>'1 prepared data'!N57</f>
        <v/>
      </c>
      <c r="P64" s="7">
        <f>'1 prepared data'!O57</f>
        <v/>
      </c>
      <c r="Q64" s="7">
        <f>'1 prepared data'!P57</f>
        <v/>
      </c>
      <c r="R64" s="7">
        <f>'1 prepared data'!Q57</f>
        <v/>
      </c>
      <c r="S64" s="7">
        <f>'1 prepared data'!R57</f>
        <v/>
      </c>
      <c r="T64" s="7">
        <f>'1 prepared data'!S57</f>
        <v/>
      </c>
      <c r="U64" s="7">
        <f>'1 prepared data'!T57</f>
        <v/>
      </c>
      <c r="V64" s="8">
        <f>$AC$12+D64*$AC$13+E64*$AC$14+F64*$AC$15+G64*$AC$16+H64*$AC$17+I64*$AC$18+J64*$AC$19+K64*$AC$20+L64*$AC$21+M64*$AC$22+N64*$AC$23+O64*$AC$24+P64*$AC$25+Q64*$AC$26+R64*$AC$27+S64*$AC$28+T64*$AC$29+U64*$AC$30</f>
        <v/>
      </c>
      <c r="W64" s="8">
        <f>1/(1+EXP(-V64))</f>
        <v/>
      </c>
      <c r="X64" s="9">
        <f>-IF(C64=1,LN(W64),LN(1-W64))</f>
        <v/>
      </c>
      <c r="Y64" s="10">
        <f>IF(W64&gt;$AC$33,1,0)</f>
        <v/>
      </c>
      <c r="Z64">
        <f>IF(Y64=C64,1,0)</f>
        <v/>
      </c>
    </row>
    <row r="65">
      <c r="A65">
        <f>'1 prepared data'!A58</f>
        <v/>
      </c>
      <c r="B65" s="5">
        <f>'1 prepared data'!U58</f>
        <v/>
      </c>
      <c r="C65">
        <f>'1 prepared data'!B58</f>
        <v/>
      </c>
      <c r="D65" s="7">
        <f>'1 prepared data'!C58</f>
        <v/>
      </c>
      <c r="E65" s="7">
        <f>'1 prepared data'!D58</f>
        <v/>
      </c>
      <c r="F65" s="7">
        <f>'1 prepared data'!E58</f>
        <v/>
      </c>
      <c r="G65" s="7">
        <f>'1 prepared data'!F58</f>
        <v/>
      </c>
      <c r="H65" s="7">
        <f>'1 prepared data'!G58</f>
        <v/>
      </c>
      <c r="I65" s="7">
        <f>'1 prepared data'!H58</f>
        <v/>
      </c>
      <c r="J65" s="7">
        <f>'1 prepared data'!I58</f>
        <v/>
      </c>
      <c r="K65" s="7">
        <f>'1 prepared data'!J58</f>
        <v/>
      </c>
      <c r="L65" s="7">
        <f>'1 prepared data'!K58</f>
        <v/>
      </c>
      <c r="M65" s="7">
        <f>'1 prepared data'!L58</f>
        <v/>
      </c>
      <c r="N65" s="7">
        <f>'1 prepared data'!M58</f>
        <v/>
      </c>
      <c r="O65" s="7">
        <f>'1 prepared data'!N58</f>
        <v/>
      </c>
      <c r="P65" s="7">
        <f>'1 prepared data'!O58</f>
        <v/>
      </c>
      <c r="Q65" s="7">
        <f>'1 prepared data'!P58</f>
        <v/>
      </c>
      <c r="R65" s="7">
        <f>'1 prepared data'!Q58</f>
        <v/>
      </c>
      <c r="S65" s="7">
        <f>'1 prepared data'!R58</f>
        <v/>
      </c>
      <c r="T65" s="7">
        <f>'1 prepared data'!S58</f>
        <v/>
      </c>
      <c r="U65" s="7">
        <f>'1 prepared data'!T58</f>
        <v/>
      </c>
      <c r="V65" s="8">
        <f>$AC$12+D65*$AC$13+E65*$AC$14+F65*$AC$15+G65*$AC$16+H65*$AC$17+I65*$AC$18+J65*$AC$19+K65*$AC$20+L65*$AC$21+M65*$AC$22+N65*$AC$23+O65*$AC$24+P65*$AC$25+Q65*$AC$26+R65*$AC$27+S65*$AC$28+T65*$AC$29+U65*$AC$30</f>
        <v/>
      </c>
      <c r="W65" s="8">
        <f>1/(1+EXP(-V65))</f>
        <v/>
      </c>
      <c r="X65" s="9">
        <f>-IF(C65=1,LN(W65),LN(1-W65))</f>
        <v/>
      </c>
      <c r="Y65" s="10">
        <f>IF(W65&gt;$AC$33,1,0)</f>
        <v/>
      </c>
      <c r="Z65">
        <f>IF(Y65=C65,1,0)</f>
        <v/>
      </c>
    </row>
    <row r="66">
      <c r="A66">
        <f>'1 prepared data'!A59</f>
        <v/>
      </c>
      <c r="B66" s="5">
        <f>'1 prepared data'!U59</f>
        <v/>
      </c>
      <c r="C66">
        <f>'1 prepared data'!B59</f>
        <v/>
      </c>
      <c r="D66" s="7">
        <f>'1 prepared data'!C59</f>
        <v/>
      </c>
      <c r="E66" s="7">
        <f>'1 prepared data'!D59</f>
        <v/>
      </c>
      <c r="F66" s="7">
        <f>'1 prepared data'!E59</f>
        <v/>
      </c>
      <c r="G66" s="7">
        <f>'1 prepared data'!F59</f>
        <v/>
      </c>
      <c r="H66" s="7">
        <f>'1 prepared data'!G59</f>
        <v/>
      </c>
      <c r="I66" s="7">
        <f>'1 prepared data'!H59</f>
        <v/>
      </c>
      <c r="J66" s="7">
        <f>'1 prepared data'!I59</f>
        <v/>
      </c>
      <c r="K66" s="7">
        <f>'1 prepared data'!J59</f>
        <v/>
      </c>
      <c r="L66" s="7">
        <f>'1 prepared data'!K59</f>
        <v/>
      </c>
      <c r="M66" s="7">
        <f>'1 prepared data'!L59</f>
        <v/>
      </c>
      <c r="N66" s="7">
        <f>'1 prepared data'!M59</f>
        <v/>
      </c>
      <c r="O66" s="7">
        <f>'1 prepared data'!N59</f>
        <v/>
      </c>
      <c r="P66" s="7">
        <f>'1 prepared data'!O59</f>
        <v/>
      </c>
      <c r="Q66" s="7">
        <f>'1 prepared data'!P59</f>
        <v/>
      </c>
      <c r="R66" s="7">
        <f>'1 prepared data'!Q59</f>
        <v/>
      </c>
      <c r="S66" s="7">
        <f>'1 prepared data'!R59</f>
        <v/>
      </c>
      <c r="T66" s="7">
        <f>'1 prepared data'!S59</f>
        <v/>
      </c>
      <c r="U66" s="7">
        <f>'1 prepared data'!T59</f>
        <v/>
      </c>
      <c r="V66" s="8">
        <f>$AC$12+D66*$AC$13+E66*$AC$14+F66*$AC$15+G66*$AC$16+H66*$AC$17+I66*$AC$18+J66*$AC$19+K66*$AC$20+L66*$AC$21+M66*$AC$22+N66*$AC$23+O66*$AC$24+P66*$AC$25+Q66*$AC$26+R66*$AC$27+S66*$AC$28+T66*$AC$29+U66*$AC$30</f>
        <v/>
      </c>
      <c r="W66" s="8">
        <f>1/(1+EXP(-V66))</f>
        <v/>
      </c>
      <c r="X66" s="9">
        <f>-IF(C66=1,LN(W66),LN(1-W66))</f>
        <v/>
      </c>
      <c r="Y66" s="10">
        <f>IF(W66&gt;$AC$33,1,0)</f>
        <v/>
      </c>
      <c r="Z66">
        <f>IF(Y66=C66,1,0)</f>
        <v/>
      </c>
    </row>
    <row r="67">
      <c r="A67">
        <f>'1 prepared data'!A60</f>
        <v/>
      </c>
      <c r="B67" s="5">
        <f>'1 prepared data'!U60</f>
        <v/>
      </c>
      <c r="C67">
        <f>'1 prepared data'!B60</f>
        <v/>
      </c>
      <c r="D67" s="7">
        <f>'1 prepared data'!C60</f>
        <v/>
      </c>
      <c r="E67" s="7">
        <f>'1 prepared data'!D60</f>
        <v/>
      </c>
      <c r="F67" s="7">
        <f>'1 prepared data'!E60</f>
        <v/>
      </c>
      <c r="G67" s="7">
        <f>'1 prepared data'!F60</f>
        <v/>
      </c>
      <c r="H67" s="7">
        <f>'1 prepared data'!G60</f>
        <v/>
      </c>
      <c r="I67" s="7">
        <f>'1 prepared data'!H60</f>
        <v/>
      </c>
      <c r="J67" s="7">
        <f>'1 prepared data'!I60</f>
        <v/>
      </c>
      <c r="K67" s="7">
        <f>'1 prepared data'!J60</f>
        <v/>
      </c>
      <c r="L67" s="7">
        <f>'1 prepared data'!K60</f>
        <v/>
      </c>
      <c r="M67" s="7">
        <f>'1 prepared data'!L60</f>
        <v/>
      </c>
      <c r="N67" s="7">
        <f>'1 prepared data'!M60</f>
        <v/>
      </c>
      <c r="O67" s="7">
        <f>'1 prepared data'!N60</f>
        <v/>
      </c>
      <c r="P67" s="7">
        <f>'1 prepared data'!O60</f>
        <v/>
      </c>
      <c r="Q67" s="7">
        <f>'1 prepared data'!P60</f>
        <v/>
      </c>
      <c r="R67" s="7">
        <f>'1 prepared data'!Q60</f>
        <v/>
      </c>
      <c r="S67" s="7">
        <f>'1 prepared data'!R60</f>
        <v/>
      </c>
      <c r="T67" s="7">
        <f>'1 prepared data'!S60</f>
        <v/>
      </c>
      <c r="U67" s="7">
        <f>'1 prepared data'!T60</f>
        <v/>
      </c>
      <c r="V67" s="8">
        <f>$AC$12+D67*$AC$13+E67*$AC$14+F67*$AC$15+G67*$AC$16+H67*$AC$17+I67*$AC$18+J67*$AC$19+K67*$AC$20+L67*$AC$21+M67*$AC$22+N67*$AC$23+O67*$AC$24+P67*$AC$25+Q67*$AC$26+R67*$AC$27+S67*$AC$28+T67*$AC$29+U67*$AC$30</f>
        <v/>
      </c>
      <c r="W67" s="8">
        <f>1/(1+EXP(-V67))</f>
        <v/>
      </c>
      <c r="X67" s="9">
        <f>-IF(C67=1,LN(W67),LN(1-W67))</f>
        <v/>
      </c>
      <c r="Y67" s="10">
        <f>IF(W67&gt;$AC$33,1,0)</f>
        <v/>
      </c>
      <c r="Z67">
        <f>IF(Y67=C67,1,0)</f>
        <v/>
      </c>
    </row>
    <row r="68">
      <c r="A68">
        <f>'1 prepared data'!A61</f>
        <v/>
      </c>
      <c r="B68" s="5">
        <f>'1 prepared data'!U61</f>
        <v/>
      </c>
      <c r="C68">
        <f>'1 prepared data'!B61</f>
        <v/>
      </c>
      <c r="D68" s="7">
        <f>'1 prepared data'!C61</f>
        <v/>
      </c>
      <c r="E68" s="7">
        <f>'1 prepared data'!D61</f>
        <v/>
      </c>
      <c r="F68" s="7">
        <f>'1 prepared data'!E61</f>
        <v/>
      </c>
      <c r="G68" s="7">
        <f>'1 prepared data'!F61</f>
        <v/>
      </c>
      <c r="H68" s="7">
        <f>'1 prepared data'!G61</f>
        <v/>
      </c>
      <c r="I68" s="7">
        <f>'1 prepared data'!H61</f>
        <v/>
      </c>
      <c r="J68" s="7">
        <f>'1 prepared data'!I61</f>
        <v/>
      </c>
      <c r="K68" s="7">
        <f>'1 prepared data'!J61</f>
        <v/>
      </c>
      <c r="L68" s="7">
        <f>'1 prepared data'!K61</f>
        <v/>
      </c>
      <c r="M68" s="7">
        <f>'1 prepared data'!L61</f>
        <v/>
      </c>
      <c r="N68" s="7">
        <f>'1 prepared data'!M61</f>
        <v/>
      </c>
      <c r="O68" s="7">
        <f>'1 prepared data'!N61</f>
        <v/>
      </c>
      <c r="P68" s="7">
        <f>'1 prepared data'!O61</f>
        <v/>
      </c>
      <c r="Q68" s="7">
        <f>'1 prepared data'!P61</f>
        <v/>
      </c>
      <c r="R68" s="7">
        <f>'1 prepared data'!Q61</f>
        <v/>
      </c>
      <c r="S68" s="7">
        <f>'1 prepared data'!R61</f>
        <v/>
      </c>
      <c r="T68" s="7">
        <f>'1 prepared data'!S61</f>
        <v/>
      </c>
      <c r="U68" s="7">
        <f>'1 prepared data'!T61</f>
        <v/>
      </c>
      <c r="V68" s="8">
        <f>$AC$12+D68*$AC$13+E68*$AC$14+F68*$AC$15+G68*$AC$16+H68*$AC$17+I68*$AC$18+J68*$AC$19+K68*$AC$20+L68*$AC$21+M68*$AC$22+N68*$AC$23+O68*$AC$24+P68*$AC$25+Q68*$AC$26+R68*$AC$27+S68*$AC$28+T68*$AC$29+U68*$AC$30</f>
        <v/>
      </c>
      <c r="W68" s="8">
        <f>1/(1+EXP(-V68))</f>
        <v/>
      </c>
      <c r="X68" s="9">
        <f>-IF(C68=1,LN(W68),LN(1-W68))</f>
        <v/>
      </c>
      <c r="Y68" s="10">
        <f>IF(W68&gt;$AC$33,1,0)</f>
        <v/>
      </c>
      <c r="Z68">
        <f>IF(Y68=C68,1,0)</f>
        <v/>
      </c>
    </row>
    <row r="69">
      <c r="A69">
        <f>'1 prepared data'!A62</f>
        <v/>
      </c>
      <c r="B69" s="5">
        <f>'1 prepared data'!U62</f>
        <v/>
      </c>
      <c r="C69">
        <f>'1 prepared data'!B62</f>
        <v/>
      </c>
      <c r="D69" s="7">
        <f>'1 prepared data'!C62</f>
        <v/>
      </c>
      <c r="E69" s="7">
        <f>'1 prepared data'!D62</f>
        <v/>
      </c>
      <c r="F69" s="7">
        <f>'1 prepared data'!E62</f>
        <v/>
      </c>
      <c r="G69" s="7">
        <f>'1 prepared data'!F62</f>
        <v/>
      </c>
      <c r="H69" s="7">
        <f>'1 prepared data'!G62</f>
        <v/>
      </c>
      <c r="I69" s="7">
        <f>'1 prepared data'!H62</f>
        <v/>
      </c>
      <c r="J69" s="7">
        <f>'1 prepared data'!I62</f>
        <v/>
      </c>
      <c r="K69" s="7">
        <f>'1 prepared data'!J62</f>
        <v/>
      </c>
      <c r="L69" s="7">
        <f>'1 prepared data'!K62</f>
        <v/>
      </c>
      <c r="M69" s="7">
        <f>'1 prepared data'!L62</f>
        <v/>
      </c>
      <c r="N69" s="7">
        <f>'1 prepared data'!M62</f>
        <v/>
      </c>
      <c r="O69" s="7">
        <f>'1 prepared data'!N62</f>
        <v/>
      </c>
      <c r="P69" s="7">
        <f>'1 prepared data'!O62</f>
        <v/>
      </c>
      <c r="Q69" s="7">
        <f>'1 prepared data'!P62</f>
        <v/>
      </c>
      <c r="R69" s="7">
        <f>'1 prepared data'!Q62</f>
        <v/>
      </c>
      <c r="S69" s="7">
        <f>'1 prepared data'!R62</f>
        <v/>
      </c>
      <c r="T69" s="7">
        <f>'1 prepared data'!S62</f>
        <v/>
      </c>
      <c r="U69" s="7">
        <f>'1 prepared data'!T62</f>
        <v/>
      </c>
      <c r="V69" s="8">
        <f>$AC$12+D69*$AC$13+E69*$AC$14+F69*$AC$15+G69*$AC$16+H69*$AC$17+I69*$AC$18+J69*$AC$19+K69*$AC$20+L69*$AC$21+M69*$AC$22+N69*$AC$23+O69*$AC$24+P69*$AC$25+Q69*$AC$26+R69*$AC$27+S69*$AC$28+T69*$AC$29+U69*$AC$30</f>
        <v/>
      </c>
      <c r="W69" s="8">
        <f>1/(1+EXP(-V69))</f>
        <v/>
      </c>
      <c r="X69" s="9">
        <f>-IF(C69=1,LN(W69),LN(1-W69))</f>
        <v/>
      </c>
      <c r="Y69" s="10">
        <f>IF(W69&gt;$AC$33,1,0)</f>
        <v/>
      </c>
      <c r="Z69">
        <f>IF(Y69=C69,1,0)</f>
        <v/>
      </c>
    </row>
    <row r="70">
      <c r="A70">
        <f>'1 prepared data'!A63</f>
        <v/>
      </c>
      <c r="B70" s="5">
        <f>'1 prepared data'!U63</f>
        <v/>
      </c>
      <c r="C70">
        <f>'1 prepared data'!B63</f>
        <v/>
      </c>
      <c r="D70" s="7">
        <f>'1 prepared data'!C63</f>
        <v/>
      </c>
      <c r="E70" s="7">
        <f>'1 prepared data'!D63</f>
        <v/>
      </c>
      <c r="F70" s="7">
        <f>'1 prepared data'!E63</f>
        <v/>
      </c>
      <c r="G70" s="7">
        <f>'1 prepared data'!F63</f>
        <v/>
      </c>
      <c r="H70" s="7">
        <f>'1 prepared data'!G63</f>
        <v/>
      </c>
      <c r="I70" s="7">
        <f>'1 prepared data'!H63</f>
        <v/>
      </c>
      <c r="J70" s="7">
        <f>'1 prepared data'!I63</f>
        <v/>
      </c>
      <c r="K70" s="7">
        <f>'1 prepared data'!J63</f>
        <v/>
      </c>
      <c r="L70" s="7">
        <f>'1 prepared data'!K63</f>
        <v/>
      </c>
      <c r="M70" s="7">
        <f>'1 prepared data'!L63</f>
        <v/>
      </c>
      <c r="N70" s="7">
        <f>'1 prepared data'!M63</f>
        <v/>
      </c>
      <c r="O70" s="7">
        <f>'1 prepared data'!N63</f>
        <v/>
      </c>
      <c r="P70" s="7">
        <f>'1 prepared data'!O63</f>
        <v/>
      </c>
      <c r="Q70" s="7">
        <f>'1 prepared data'!P63</f>
        <v/>
      </c>
      <c r="R70" s="7">
        <f>'1 prepared data'!Q63</f>
        <v/>
      </c>
      <c r="S70" s="7">
        <f>'1 prepared data'!R63</f>
        <v/>
      </c>
      <c r="T70" s="7">
        <f>'1 prepared data'!S63</f>
        <v/>
      </c>
      <c r="U70" s="7">
        <f>'1 prepared data'!T63</f>
        <v/>
      </c>
      <c r="V70" s="8">
        <f>$AC$12+D70*$AC$13+E70*$AC$14+F70*$AC$15+G70*$AC$16+H70*$AC$17+I70*$AC$18+J70*$AC$19+K70*$AC$20+L70*$AC$21+M70*$AC$22+N70*$AC$23+O70*$AC$24+P70*$AC$25+Q70*$AC$26+R70*$AC$27+S70*$AC$28+T70*$AC$29+U70*$AC$30</f>
        <v/>
      </c>
      <c r="W70" s="8">
        <f>1/(1+EXP(-V70))</f>
        <v/>
      </c>
      <c r="X70" s="9">
        <f>-IF(C70=1,LN(W70),LN(1-W70))</f>
        <v/>
      </c>
      <c r="Y70" s="10">
        <f>IF(W70&gt;$AC$33,1,0)</f>
        <v/>
      </c>
      <c r="Z70">
        <f>IF(Y70=C70,1,0)</f>
        <v/>
      </c>
    </row>
    <row r="71">
      <c r="A71">
        <f>'1 prepared data'!A64</f>
        <v/>
      </c>
      <c r="B71" s="5">
        <f>'1 prepared data'!U64</f>
        <v/>
      </c>
      <c r="C71">
        <f>'1 prepared data'!B64</f>
        <v/>
      </c>
      <c r="D71" s="7">
        <f>'1 prepared data'!C64</f>
        <v/>
      </c>
      <c r="E71" s="7">
        <f>'1 prepared data'!D64</f>
        <v/>
      </c>
      <c r="F71" s="7">
        <f>'1 prepared data'!E64</f>
        <v/>
      </c>
      <c r="G71" s="7">
        <f>'1 prepared data'!F64</f>
        <v/>
      </c>
      <c r="H71" s="7">
        <f>'1 prepared data'!G64</f>
        <v/>
      </c>
      <c r="I71" s="7">
        <f>'1 prepared data'!H64</f>
        <v/>
      </c>
      <c r="J71" s="7">
        <f>'1 prepared data'!I64</f>
        <v/>
      </c>
      <c r="K71" s="7">
        <f>'1 prepared data'!J64</f>
        <v/>
      </c>
      <c r="L71" s="7">
        <f>'1 prepared data'!K64</f>
        <v/>
      </c>
      <c r="M71" s="7">
        <f>'1 prepared data'!L64</f>
        <v/>
      </c>
      <c r="N71" s="7">
        <f>'1 prepared data'!M64</f>
        <v/>
      </c>
      <c r="O71" s="7">
        <f>'1 prepared data'!N64</f>
        <v/>
      </c>
      <c r="P71" s="7">
        <f>'1 prepared data'!O64</f>
        <v/>
      </c>
      <c r="Q71" s="7">
        <f>'1 prepared data'!P64</f>
        <v/>
      </c>
      <c r="R71" s="7">
        <f>'1 prepared data'!Q64</f>
        <v/>
      </c>
      <c r="S71" s="7">
        <f>'1 prepared data'!R64</f>
        <v/>
      </c>
      <c r="T71" s="7">
        <f>'1 prepared data'!S64</f>
        <v/>
      </c>
      <c r="U71" s="7">
        <f>'1 prepared data'!T64</f>
        <v/>
      </c>
      <c r="V71" s="8">
        <f>$AC$12+D71*$AC$13+E71*$AC$14+F71*$AC$15+G71*$AC$16+H71*$AC$17+I71*$AC$18+J71*$AC$19+K71*$AC$20+L71*$AC$21+M71*$AC$22+N71*$AC$23+O71*$AC$24+P71*$AC$25+Q71*$AC$26+R71*$AC$27+S71*$AC$28+T71*$AC$29+U71*$AC$30</f>
        <v/>
      </c>
      <c r="W71" s="8">
        <f>1/(1+EXP(-V71))</f>
        <v/>
      </c>
      <c r="X71" s="9">
        <f>-IF(C71=1,LN(W71),LN(1-W71))</f>
        <v/>
      </c>
      <c r="Y71" s="10">
        <f>IF(W71&gt;$AC$33,1,0)</f>
        <v/>
      </c>
      <c r="Z71">
        <f>IF(Y71=C71,1,0)</f>
        <v/>
      </c>
    </row>
    <row r="72">
      <c r="A72">
        <f>'1 prepared data'!A65</f>
        <v/>
      </c>
      <c r="B72" s="5">
        <f>'1 prepared data'!U65</f>
        <v/>
      </c>
      <c r="C72">
        <f>'1 prepared data'!B65</f>
        <v/>
      </c>
      <c r="D72" s="7">
        <f>'1 prepared data'!C65</f>
        <v/>
      </c>
      <c r="E72" s="7">
        <f>'1 prepared data'!D65</f>
        <v/>
      </c>
      <c r="F72" s="7">
        <f>'1 prepared data'!E65</f>
        <v/>
      </c>
      <c r="G72" s="7">
        <f>'1 prepared data'!F65</f>
        <v/>
      </c>
      <c r="H72" s="7">
        <f>'1 prepared data'!G65</f>
        <v/>
      </c>
      <c r="I72" s="7">
        <f>'1 prepared data'!H65</f>
        <v/>
      </c>
      <c r="J72" s="7">
        <f>'1 prepared data'!I65</f>
        <v/>
      </c>
      <c r="K72" s="7">
        <f>'1 prepared data'!J65</f>
        <v/>
      </c>
      <c r="L72" s="7">
        <f>'1 prepared data'!K65</f>
        <v/>
      </c>
      <c r="M72" s="7">
        <f>'1 prepared data'!L65</f>
        <v/>
      </c>
      <c r="N72" s="7">
        <f>'1 prepared data'!M65</f>
        <v/>
      </c>
      <c r="O72" s="7">
        <f>'1 prepared data'!N65</f>
        <v/>
      </c>
      <c r="P72" s="7">
        <f>'1 prepared data'!O65</f>
        <v/>
      </c>
      <c r="Q72" s="7">
        <f>'1 prepared data'!P65</f>
        <v/>
      </c>
      <c r="R72" s="7">
        <f>'1 prepared data'!Q65</f>
        <v/>
      </c>
      <c r="S72" s="7">
        <f>'1 prepared data'!R65</f>
        <v/>
      </c>
      <c r="T72" s="7">
        <f>'1 prepared data'!S65</f>
        <v/>
      </c>
      <c r="U72" s="7">
        <f>'1 prepared data'!T65</f>
        <v/>
      </c>
      <c r="V72" s="8">
        <f>$AC$12+D72*$AC$13+E72*$AC$14+F72*$AC$15+G72*$AC$16+H72*$AC$17+I72*$AC$18+J72*$AC$19+K72*$AC$20+L72*$AC$21+M72*$AC$22+N72*$AC$23+O72*$AC$24+P72*$AC$25+Q72*$AC$26+R72*$AC$27+S72*$AC$28+T72*$AC$29+U72*$AC$30</f>
        <v/>
      </c>
      <c r="W72" s="8">
        <f>1/(1+EXP(-V72))</f>
        <v/>
      </c>
      <c r="X72" s="9">
        <f>-IF(C72=1,LN(W72),LN(1-W72))</f>
        <v/>
      </c>
      <c r="Y72" s="10">
        <f>IF(W72&gt;$AC$33,1,0)</f>
        <v/>
      </c>
      <c r="Z72">
        <f>IF(Y72=C72,1,0)</f>
        <v/>
      </c>
    </row>
    <row r="73">
      <c r="A73">
        <f>'1 prepared data'!A66</f>
        <v/>
      </c>
      <c r="B73" s="5">
        <f>'1 prepared data'!U66</f>
        <v/>
      </c>
      <c r="C73">
        <f>'1 prepared data'!B66</f>
        <v/>
      </c>
      <c r="D73" s="7">
        <f>'1 prepared data'!C66</f>
        <v/>
      </c>
      <c r="E73" s="7">
        <f>'1 prepared data'!D66</f>
        <v/>
      </c>
      <c r="F73" s="7">
        <f>'1 prepared data'!E66</f>
        <v/>
      </c>
      <c r="G73" s="7">
        <f>'1 prepared data'!F66</f>
        <v/>
      </c>
      <c r="H73" s="7">
        <f>'1 prepared data'!G66</f>
        <v/>
      </c>
      <c r="I73" s="7">
        <f>'1 prepared data'!H66</f>
        <v/>
      </c>
      <c r="J73" s="7">
        <f>'1 prepared data'!I66</f>
        <v/>
      </c>
      <c r="K73" s="7">
        <f>'1 prepared data'!J66</f>
        <v/>
      </c>
      <c r="L73" s="7">
        <f>'1 prepared data'!K66</f>
        <v/>
      </c>
      <c r="M73" s="7">
        <f>'1 prepared data'!L66</f>
        <v/>
      </c>
      <c r="N73" s="7">
        <f>'1 prepared data'!M66</f>
        <v/>
      </c>
      <c r="O73" s="7">
        <f>'1 prepared data'!N66</f>
        <v/>
      </c>
      <c r="P73" s="7">
        <f>'1 prepared data'!O66</f>
        <v/>
      </c>
      <c r="Q73" s="7">
        <f>'1 prepared data'!P66</f>
        <v/>
      </c>
      <c r="R73" s="7">
        <f>'1 prepared data'!Q66</f>
        <v/>
      </c>
      <c r="S73" s="7">
        <f>'1 prepared data'!R66</f>
        <v/>
      </c>
      <c r="T73" s="7">
        <f>'1 prepared data'!S66</f>
        <v/>
      </c>
      <c r="U73" s="7">
        <f>'1 prepared data'!T66</f>
        <v/>
      </c>
      <c r="V73" s="8">
        <f>$AC$12+D73*$AC$13+E73*$AC$14+F73*$AC$15+G73*$AC$16+H73*$AC$17+I73*$AC$18+J73*$AC$19+K73*$AC$20+L73*$AC$21+M73*$AC$22+N73*$AC$23+O73*$AC$24+P73*$AC$25+Q73*$AC$26+R73*$AC$27+S73*$AC$28+T73*$AC$29+U73*$AC$30</f>
        <v/>
      </c>
      <c r="W73" s="8">
        <f>1/(1+EXP(-V73))</f>
        <v/>
      </c>
      <c r="X73" s="9">
        <f>-IF(C73=1,LN(W73),LN(1-W73))</f>
        <v/>
      </c>
      <c r="Y73" s="10">
        <f>IF(W73&gt;$AC$33,1,0)</f>
        <v/>
      </c>
      <c r="Z73">
        <f>IF(Y73=C73,1,0)</f>
        <v/>
      </c>
    </row>
    <row r="74">
      <c r="A74">
        <f>'1 prepared data'!A67</f>
        <v/>
      </c>
      <c r="B74" s="5">
        <f>'1 prepared data'!U67</f>
        <v/>
      </c>
      <c r="C74">
        <f>'1 prepared data'!B67</f>
        <v/>
      </c>
      <c r="D74" s="7">
        <f>'1 prepared data'!C67</f>
        <v/>
      </c>
      <c r="E74" s="7">
        <f>'1 prepared data'!D67</f>
        <v/>
      </c>
      <c r="F74" s="7">
        <f>'1 prepared data'!E67</f>
        <v/>
      </c>
      <c r="G74" s="7">
        <f>'1 prepared data'!F67</f>
        <v/>
      </c>
      <c r="H74" s="7">
        <f>'1 prepared data'!G67</f>
        <v/>
      </c>
      <c r="I74" s="7">
        <f>'1 prepared data'!H67</f>
        <v/>
      </c>
      <c r="J74" s="7">
        <f>'1 prepared data'!I67</f>
        <v/>
      </c>
      <c r="K74" s="7">
        <f>'1 prepared data'!J67</f>
        <v/>
      </c>
      <c r="L74" s="7">
        <f>'1 prepared data'!K67</f>
        <v/>
      </c>
      <c r="M74" s="7">
        <f>'1 prepared data'!L67</f>
        <v/>
      </c>
      <c r="N74" s="7">
        <f>'1 prepared data'!M67</f>
        <v/>
      </c>
      <c r="O74" s="7">
        <f>'1 prepared data'!N67</f>
        <v/>
      </c>
      <c r="P74" s="7">
        <f>'1 prepared data'!O67</f>
        <v/>
      </c>
      <c r="Q74" s="7">
        <f>'1 prepared data'!P67</f>
        <v/>
      </c>
      <c r="R74" s="7">
        <f>'1 prepared data'!Q67</f>
        <v/>
      </c>
      <c r="S74" s="7">
        <f>'1 prepared data'!R67</f>
        <v/>
      </c>
      <c r="T74" s="7">
        <f>'1 prepared data'!S67</f>
        <v/>
      </c>
      <c r="U74" s="7">
        <f>'1 prepared data'!T67</f>
        <v/>
      </c>
      <c r="V74" s="8">
        <f>$AC$12+D74*$AC$13+E74*$AC$14+F74*$AC$15+G74*$AC$16+H74*$AC$17+I74*$AC$18+J74*$AC$19+K74*$AC$20+L74*$AC$21+M74*$AC$22+N74*$AC$23+O74*$AC$24+P74*$AC$25+Q74*$AC$26+R74*$AC$27+S74*$AC$28+T74*$AC$29+U74*$AC$30</f>
        <v/>
      </c>
      <c r="W74" s="8">
        <f>1/(1+EXP(-V74))</f>
        <v/>
      </c>
      <c r="X74" s="9">
        <f>-IF(C74=1,LN(W74),LN(1-W74))</f>
        <v/>
      </c>
      <c r="Y74" s="10">
        <f>IF(W74&gt;$AC$33,1,0)</f>
        <v/>
      </c>
      <c r="Z74">
        <f>IF(Y74=C74,1,0)</f>
        <v/>
      </c>
    </row>
    <row r="75">
      <c r="A75">
        <f>'1 prepared data'!A68</f>
        <v/>
      </c>
      <c r="B75" s="5">
        <f>'1 prepared data'!U68</f>
        <v/>
      </c>
      <c r="C75">
        <f>'1 prepared data'!B68</f>
        <v/>
      </c>
      <c r="D75" s="7">
        <f>'1 prepared data'!C68</f>
        <v/>
      </c>
      <c r="E75" s="7">
        <f>'1 prepared data'!D68</f>
        <v/>
      </c>
      <c r="F75" s="7">
        <f>'1 prepared data'!E68</f>
        <v/>
      </c>
      <c r="G75" s="7">
        <f>'1 prepared data'!F68</f>
        <v/>
      </c>
      <c r="H75" s="7">
        <f>'1 prepared data'!G68</f>
        <v/>
      </c>
      <c r="I75" s="7">
        <f>'1 prepared data'!H68</f>
        <v/>
      </c>
      <c r="J75" s="7">
        <f>'1 prepared data'!I68</f>
        <v/>
      </c>
      <c r="K75" s="7">
        <f>'1 prepared data'!J68</f>
        <v/>
      </c>
      <c r="L75" s="7">
        <f>'1 prepared data'!K68</f>
        <v/>
      </c>
      <c r="M75" s="7">
        <f>'1 prepared data'!L68</f>
        <v/>
      </c>
      <c r="N75" s="7">
        <f>'1 prepared data'!M68</f>
        <v/>
      </c>
      <c r="O75" s="7">
        <f>'1 prepared data'!N68</f>
        <v/>
      </c>
      <c r="P75" s="7">
        <f>'1 prepared data'!O68</f>
        <v/>
      </c>
      <c r="Q75" s="7">
        <f>'1 prepared data'!P68</f>
        <v/>
      </c>
      <c r="R75" s="7">
        <f>'1 prepared data'!Q68</f>
        <v/>
      </c>
      <c r="S75" s="7">
        <f>'1 prepared data'!R68</f>
        <v/>
      </c>
      <c r="T75" s="7">
        <f>'1 prepared data'!S68</f>
        <v/>
      </c>
      <c r="U75" s="7">
        <f>'1 prepared data'!T68</f>
        <v/>
      </c>
      <c r="V75" s="8">
        <f>$AC$12+D75*$AC$13+E75*$AC$14+F75*$AC$15+G75*$AC$16+H75*$AC$17+I75*$AC$18+J75*$AC$19+K75*$AC$20+L75*$AC$21+M75*$AC$22+N75*$AC$23+O75*$AC$24+P75*$AC$25+Q75*$AC$26+R75*$AC$27+S75*$AC$28+T75*$AC$29+U75*$AC$30</f>
        <v/>
      </c>
      <c r="W75" s="8">
        <f>1/(1+EXP(-V75))</f>
        <v/>
      </c>
      <c r="X75" s="9">
        <f>-IF(C75=1,LN(W75),LN(1-W75))</f>
        <v/>
      </c>
      <c r="Y75" s="10">
        <f>IF(W75&gt;$AC$33,1,0)</f>
        <v/>
      </c>
      <c r="Z75">
        <f>IF(Y75=C75,1,0)</f>
        <v/>
      </c>
    </row>
    <row r="76">
      <c r="A76">
        <f>'1 prepared data'!A69</f>
        <v/>
      </c>
      <c r="B76" s="5">
        <f>'1 prepared data'!U69</f>
        <v/>
      </c>
      <c r="C76">
        <f>'1 prepared data'!B69</f>
        <v/>
      </c>
      <c r="D76" s="7">
        <f>'1 prepared data'!C69</f>
        <v/>
      </c>
      <c r="E76" s="7">
        <f>'1 prepared data'!D69</f>
        <v/>
      </c>
      <c r="F76" s="7">
        <f>'1 prepared data'!E69</f>
        <v/>
      </c>
      <c r="G76" s="7">
        <f>'1 prepared data'!F69</f>
        <v/>
      </c>
      <c r="H76" s="7">
        <f>'1 prepared data'!G69</f>
        <v/>
      </c>
      <c r="I76" s="7">
        <f>'1 prepared data'!H69</f>
        <v/>
      </c>
      <c r="J76" s="7">
        <f>'1 prepared data'!I69</f>
        <v/>
      </c>
      <c r="K76" s="7">
        <f>'1 prepared data'!J69</f>
        <v/>
      </c>
      <c r="L76" s="7">
        <f>'1 prepared data'!K69</f>
        <v/>
      </c>
      <c r="M76" s="7">
        <f>'1 prepared data'!L69</f>
        <v/>
      </c>
      <c r="N76" s="7">
        <f>'1 prepared data'!M69</f>
        <v/>
      </c>
      <c r="O76" s="7">
        <f>'1 prepared data'!N69</f>
        <v/>
      </c>
      <c r="P76" s="7">
        <f>'1 prepared data'!O69</f>
        <v/>
      </c>
      <c r="Q76" s="7">
        <f>'1 prepared data'!P69</f>
        <v/>
      </c>
      <c r="R76" s="7">
        <f>'1 prepared data'!Q69</f>
        <v/>
      </c>
      <c r="S76" s="7">
        <f>'1 prepared data'!R69</f>
        <v/>
      </c>
      <c r="T76" s="7">
        <f>'1 prepared data'!S69</f>
        <v/>
      </c>
      <c r="U76" s="7">
        <f>'1 prepared data'!T69</f>
        <v/>
      </c>
      <c r="V76" s="8">
        <f>$AC$12+D76*$AC$13+E76*$AC$14+F76*$AC$15+G76*$AC$16+H76*$AC$17+I76*$AC$18+J76*$AC$19+K76*$AC$20+L76*$AC$21+M76*$AC$22+N76*$AC$23+O76*$AC$24+P76*$AC$25+Q76*$AC$26+R76*$AC$27+S76*$AC$28+T76*$AC$29+U76*$AC$30</f>
        <v/>
      </c>
      <c r="W76" s="8">
        <f>1/(1+EXP(-V76))</f>
        <v/>
      </c>
      <c r="X76" s="9">
        <f>-IF(C76=1,LN(W76),LN(1-W76))</f>
        <v/>
      </c>
      <c r="Y76" s="10">
        <f>IF(W76&gt;$AC$33,1,0)</f>
        <v/>
      </c>
      <c r="Z76">
        <f>IF(Y76=C76,1,0)</f>
        <v/>
      </c>
    </row>
    <row r="77">
      <c r="A77">
        <f>'1 prepared data'!A70</f>
        <v/>
      </c>
      <c r="B77" s="5">
        <f>'1 prepared data'!U70</f>
        <v/>
      </c>
      <c r="C77">
        <f>'1 prepared data'!B70</f>
        <v/>
      </c>
      <c r="D77" s="7">
        <f>'1 prepared data'!C70</f>
        <v/>
      </c>
      <c r="E77" s="7">
        <f>'1 prepared data'!D70</f>
        <v/>
      </c>
      <c r="F77" s="7">
        <f>'1 prepared data'!E70</f>
        <v/>
      </c>
      <c r="G77" s="7">
        <f>'1 prepared data'!F70</f>
        <v/>
      </c>
      <c r="H77" s="7">
        <f>'1 prepared data'!G70</f>
        <v/>
      </c>
      <c r="I77" s="7">
        <f>'1 prepared data'!H70</f>
        <v/>
      </c>
      <c r="J77" s="7">
        <f>'1 prepared data'!I70</f>
        <v/>
      </c>
      <c r="K77" s="7">
        <f>'1 prepared data'!J70</f>
        <v/>
      </c>
      <c r="L77" s="7">
        <f>'1 prepared data'!K70</f>
        <v/>
      </c>
      <c r="M77" s="7">
        <f>'1 prepared data'!L70</f>
        <v/>
      </c>
      <c r="N77" s="7">
        <f>'1 prepared data'!M70</f>
        <v/>
      </c>
      <c r="O77" s="7">
        <f>'1 prepared data'!N70</f>
        <v/>
      </c>
      <c r="P77" s="7">
        <f>'1 prepared data'!O70</f>
        <v/>
      </c>
      <c r="Q77" s="7">
        <f>'1 prepared data'!P70</f>
        <v/>
      </c>
      <c r="R77" s="7">
        <f>'1 prepared data'!Q70</f>
        <v/>
      </c>
      <c r="S77" s="7">
        <f>'1 prepared data'!R70</f>
        <v/>
      </c>
      <c r="T77" s="7">
        <f>'1 prepared data'!S70</f>
        <v/>
      </c>
      <c r="U77" s="7">
        <f>'1 prepared data'!T70</f>
        <v/>
      </c>
      <c r="V77" s="8">
        <f>$AC$12+D77*$AC$13+E77*$AC$14+F77*$AC$15+G77*$AC$16+H77*$AC$17+I77*$AC$18+J77*$AC$19+K77*$AC$20+L77*$AC$21+M77*$AC$22+N77*$AC$23+O77*$AC$24+P77*$AC$25+Q77*$AC$26+R77*$AC$27+S77*$AC$28+T77*$AC$29+U77*$AC$30</f>
        <v/>
      </c>
      <c r="W77" s="8">
        <f>1/(1+EXP(-V77))</f>
        <v/>
      </c>
      <c r="X77" s="9">
        <f>-IF(C77=1,LN(W77),LN(1-W77))</f>
        <v/>
      </c>
      <c r="Y77" s="10">
        <f>IF(W77&gt;$AC$33,1,0)</f>
        <v/>
      </c>
      <c r="Z77">
        <f>IF(Y77=C77,1,0)</f>
        <v/>
      </c>
    </row>
    <row r="78">
      <c r="A78">
        <f>'1 prepared data'!A71</f>
        <v/>
      </c>
      <c r="B78" s="5">
        <f>'1 prepared data'!U71</f>
        <v/>
      </c>
      <c r="C78">
        <f>'1 prepared data'!B71</f>
        <v/>
      </c>
      <c r="D78" s="7">
        <f>'1 prepared data'!C71</f>
        <v/>
      </c>
      <c r="E78" s="7">
        <f>'1 prepared data'!D71</f>
        <v/>
      </c>
      <c r="F78" s="7">
        <f>'1 prepared data'!E71</f>
        <v/>
      </c>
      <c r="G78" s="7">
        <f>'1 prepared data'!F71</f>
        <v/>
      </c>
      <c r="H78" s="7">
        <f>'1 prepared data'!G71</f>
        <v/>
      </c>
      <c r="I78" s="7">
        <f>'1 prepared data'!H71</f>
        <v/>
      </c>
      <c r="J78" s="7">
        <f>'1 prepared data'!I71</f>
        <v/>
      </c>
      <c r="K78" s="7">
        <f>'1 prepared data'!J71</f>
        <v/>
      </c>
      <c r="L78" s="7">
        <f>'1 prepared data'!K71</f>
        <v/>
      </c>
      <c r="M78" s="7">
        <f>'1 prepared data'!L71</f>
        <v/>
      </c>
      <c r="N78" s="7">
        <f>'1 prepared data'!M71</f>
        <v/>
      </c>
      <c r="O78" s="7">
        <f>'1 prepared data'!N71</f>
        <v/>
      </c>
      <c r="P78" s="7">
        <f>'1 prepared data'!O71</f>
        <v/>
      </c>
      <c r="Q78" s="7">
        <f>'1 prepared data'!P71</f>
        <v/>
      </c>
      <c r="R78" s="7">
        <f>'1 prepared data'!Q71</f>
        <v/>
      </c>
      <c r="S78" s="7">
        <f>'1 prepared data'!R71</f>
        <v/>
      </c>
      <c r="T78" s="7">
        <f>'1 prepared data'!S71</f>
        <v/>
      </c>
      <c r="U78" s="7">
        <f>'1 prepared data'!T71</f>
        <v/>
      </c>
      <c r="V78" s="8">
        <f>$AC$12+D78*$AC$13+E78*$AC$14+F78*$AC$15+G78*$AC$16+H78*$AC$17+I78*$AC$18+J78*$AC$19+K78*$AC$20+L78*$AC$21+M78*$AC$22+N78*$AC$23+O78*$AC$24+P78*$AC$25+Q78*$AC$26+R78*$AC$27+S78*$AC$28+T78*$AC$29+U78*$AC$30</f>
        <v/>
      </c>
      <c r="W78" s="8">
        <f>1/(1+EXP(-V78))</f>
        <v/>
      </c>
      <c r="X78" s="9">
        <f>-IF(C78=1,LN(W78),LN(1-W78))</f>
        <v/>
      </c>
      <c r="Y78" s="10">
        <f>IF(W78&gt;$AC$33,1,0)</f>
        <v/>
      </c>
      <c r="Z78">
        <f>IF(Y78=C78,1,0)</f>
        <v/>
      </c>
    </row>
    <row r="79">
      <c r="A79">
        <f>'1 prepared data'!A72</f>
        <v/>
      </c>
      <c r="B79" s="5">
        <f>'1 prepared data'!U72</f>
        <v/>
      </c>
      <c r="C79">
        <f>'1 prepared data'!B72</f>
        <v/>
      </c>
      <c r="D79" s="7">
        <f>'1 prepared data'!C72</f>
        <v/>
      </c>
      <c r="E79" s="7">
        <f>'1 prepared data'!D72</f>
        <v/>
      </c>
      <c r="F79" s="7">
        <f>'1 prepared data'!E72</f>
        <v/>
      </c>
      <c r="G79" s="7">
        <f>'1 prepared data'!F72</f>
        <v/>
      </c>
      <c r="H79" s="7">
        <f>'1 prepared data'!G72</f>
        <v/>
      </c>
      <c r="I79" s="7">
        <f>'1 prepared data'!H72</f>
        <v/>
      </c>
      <c r="J79" s="7">
        <f>'1 prepared data'!I72</f>
        <v/>
      </c>
      <c r="K79" s="7">
        <f>'1 prepared data'!J72</f>
        <v/>
      </c>
      <c r="L79" s="7">
        <f>'1 prepared data'!K72</f>
        <v/>
      </c>
      <c r="M79" s="7">
        <f>'1 prepared data'!L72</f>
        <v/>
      </c>
      <c r="N79" s="7">
        <f>'1 prepared data'!M72</f>
        <v/>
      </c>
      <c r="O79" s="7">
        <f>'1 prepared data'!N72</f>
        <v/>
      </c>
      <c r="P79" s="7">
        <f>'1 prepared data'!O72</f>
        <v/>
      </c>
      <c r="Q79" s="7">
        <f>'1 prepared data'!P72</f>
        <v/>
      </c>
      <c r="R79" s="7">
        <f>'1 prepared data'!Q72</f>
        <v/>
      </c>
      <c r="S79" s="7">
        <f>'1 prepared data'!R72</f>
        <v/>
      </c>
      <c r="T79" s="7">
        <f>'1 prepared data'!S72</f>
        <v/>
      </c>
      <c r="U79" s="7">
        <f>'1 prepared data'!T72</f>
        <v/>
      </c>
      <c r="V79" s="8">
        <f>$AC$12+D79*$AC$13+E79*$AC$14+F79*$AC$15+G79*$AC$16+H79*$AC$17+I79*$AC$18+J79*$AC$19+K79*$AC$20+L79*$AC$21+M79*$AC$22+N79*$AC$23+O79*$AC$24+P79*$AC$25+Q79*$AC$26+R79*$AC$27+S79*$AC$28+T79*$AC$29+U79*$AC$30</f>
        <v/>
      </c>
      <c r="W79" s="8">
        <f>1/(1+EXP(-V79))</f>
        <v/>
      </c>
      <c r="X79" s="9">
        <f>-IF(C79=1,LN(W79),LN(1-W79))</f>
        <v/>
      </c>
      <c r="Y79" s="10">
        <f>IF(W79&gt;$AC$33,1,0)</f>
        <v/>
      </c>
      <c r="Z79">
        <f>IF(Y79=C79,1,0)</f>
        <v/>
      </c>
    </row>
    <row r="80">
      <c r="A80">
        <f>'1 prepared data'!A73</f>
        <v/>
      </c>
      <c r="B80" s="5">
        <f>'1 prepared data'!U73</f>
        <v/>
      </c>
      <c r="C80">
        <f>'1 prepared data'!B73</f>
        <v/>
      </c>
      <c r="D80" s="7">
        <f>'1 prepared data'!C73</f>
        <v/>
      </c>
      <c r="E80" s="7">
        <f>'1 prepared data'!D73</f>
        <v/>
      </c>
      <c r="F80" s="7">
        <f>'1 prepared data'!E73</f>
        <v/>
      </c>
      <c r="G80" s="7">
        <f>'1 prepared data'!F73</f>
        <v/>
      </c>
      <c r="H80" s="7">
        <f>'1 prepared data'!G73</f>
        <v/>
      </c>
      <c r="I80" s="7">
        <f>'1 prepared data'!H73</f>
        <v/>
      </c>
      <c r="J80" s="7">
        <f>'1 prepared data'!I73</f>
        <v/>
      </c>
      <c r="K80" s="7">
        <f>'1 prepared data'!J73</f>
        <v/>
      </c>
      <c r="L80" s="7">
        <f>'1 prepared data'!K73</f>
        <v/>
      </c>
      <c r="M80" s="7">
        <f>'1 prepared data'!L73</f>
        <v/>
      </c>
      <c r="N80" s="7">
        <f>'1 prepared data'!M73</f>
        <v/>
      </c>
      <c r="O80" s="7">
        <f>'1 prepared data'!N73</f>
        <v/>
      </c>
      <c r="P80" s="7">
        <f>'1 prepared data'!O73</f>
        <v/>
      </c>
      <c r="Q80" s="7">
        <f>'1 prepared data'!P73</f>
        <v/>
      </c>
      <c r="R80" s="7">
        <f>'1 prepared data'!Q73</f>
        <v/>
      </c>
      <c r="S80" s="7">
        <f>'1 prepared data'!R73</f>
        <v/>
      </c>
      <c r="T80" s="7">
        <f>'1 prepared data'!S73</f>
        <v/>
      </c>
      <c r="U80" s="7">
        <f>'1 prepared data'!T73</f>
        <v/>
      </c>
      <c r="V80" s="8">
        <f>$AC$12+D80*$AC$13+E80*$AC$14+F80*$AC$15+G80*$AC$16+H80*$AC$17+I80*$AC$18+J80*$AC$19+K80*$AC$20+L80*$AC$21+M80*$AC$22+N80*$AC$23+O80*$AC$24+P80*$AC$25+Q80*$AC$26+R80*$AC$27+S80*$AC$28+T80*$AC$29+U80*$AC$30</f>
        <v/>
      </c>
      <c r="W80" s="8">
        <f>1/(1+EXP(-V80))</f>
        <v/>
      </c>
      <c r="X80" s="9">
        <f>-IF(C80=1,LN(W80),LN(1-W80))</f>
        <v/>
      </c>
      <c r="Y80" s="10">
        <f>IF(W80&gt;$AC$33,1,0)</f>
        <v/>
      </c>
      <c r="Z80">
        <f>IF(Y80=C80,1,0)</f>
        <v/>
      </c>
    </row>
    <row r="81">
      <c r="A81">
        <f>'1 prepared data'!A74</f>
        <v/>
      </c>
      <c r="B81" s="5">
        <f>'1 prepared data'!U74</f>
        <v/>
      </c>
      <c r="C81">
        <f>'1 prepared data'!B74</f>
        <v/>
      </c>
      <c r="D81" s="7">
        <f>'1 prepared data'!C74</f>
        <v/>
      </c>
      <c r="E81" s="7">
        <f>'1 prepared data'!D74</f>
        <v/>
      </c>
      <c r="F81" s="7">
        <f>'1 prepared data'!E74</f>
        <v/>
      </c>
      <c r="G81" s="7">
        <f>'1 prepared data'!F74</f>
        <v/>
      </c>
      <c r="H81" s="7">
        <f>'1 prepared data'!G74</f>
        <v/>
      </c>
      <c r="I81" s="7">
        <f>'1 prepared data'!H74</f>
        <v/>
      </c>
      <c r="J81" s="7">
        <f>'1 prepared data'!I74</f>
        <v/>
      </c>
      <c r="K81" s="7">
        <f>'1 prepared data'!J74</f>
        <v/>
      </c>
      <c r="L81" s="7">
        <f>'1 prepared data'!K74</f>
        <v/>
      </c>
      <c r="M81" s="7">
        <f>'1 prepared data'!L74</f>
        <v/>
      </c>
      <c r="N81" s="7">
        <f>'1 prepared data'!M74</f>
        <v/>
      </c>
      <c r="O81" s="7">
        <f>'1 prepared data'!N74</f>
        <v/>
      </c>
      <c r="P81" s="7">
        <f>'1 prepared data'!O74</f>
        <v/>
      </c>
      <c r="Q81" s="7">
        <f>'1 prepared data'!P74</f>
        <v/>
      </c>
      <c r="R81" s="7">
        <f>'1 prepared data'!Q74</f>
        <v/>
      </c>
      <c r="S81" s="7">
        <f>'1 prepared data'!R74</f>
        <v/>
      </c>
      <c r="T81" s="7">
        <f>'1 prepared data'!S74</f>
        <v/>
      </c>
      <c r="U81" s="7">
        <f>'1 prepared data'!T74</f>
        <v/>
      </c>
      <c r="V81" s="8">
        <f>$AC$12+D81*$AC$13+E81*$AC$14+F81*$AC$15+G81*$AC$16+H81*$AC$17+I81*$AC$18+J81*$AC$19+K81*$AC$20+L81*$AC$21+M81*$AC$22+N81*$AC$23+O81*$AC$24+P81*$AC$25+Q81*$AC$26+R81*$AC$27+S81*$AC$28+T81*$AC$29+U81*$AC$30</f>
        <v/>
      </c>
      <c r="W81" s="8">
        <f>1/(1+EXP(-V81))</f>
        <v/>
      </c>
      <c r="X81" s="9">
        <f>-IF(C81=1,LN(W81),LN(1-W81))</f>
        <v/>
      </c>
      <c r="Y81" s="10">
        <f>IF(W81&gt;$AC$33,1,0)</f>
        <v/>
      </c>
      <c r="Z81">
        <f>IF(Y81=C81,1,0)</f>
        <v/>
      </c>
    </row>
    <row r="82">
      <c r="A82">
        <f>'1 prepared data'!A75</f>
        <v/>
      </c>
      <c r="B82" s="5">
        <f>'1 prepared data'!U75</f>
        <v/>
      </c>
      <c r="C82">
        <f>'1 prepared data'!B75</f>
        <v/>
      </c>
      <c r="D82" s="7">
        <f>'1 prepared data'!C75</f>
        <v/>
      </c>
      <c r="E82" s="7">
        <f>'1 prepared data'!D75</f>
        <v/>
      </c>
      <c r="F82" s="7">
        <f>'1 prepared data'!E75</f>
        <v/>
      </c>
      <c r="G82" s="7">
        <f>'1 prepared data'!F75</f>
        <v/>
      </c>
      <c r="H82" s="7">
        <f>'1 prepared data'!G75</f>
        <v/>
      </c>
      <c r="I82" s="7">
        <f>'1 prepared data'!H75</f>
        <v/>
      </c>
      <c r="J82" s="7">
        <f>'1 prepared data'!I75</f>
        <v/>
      </c>
      <c r="K82" s="7">
        <f>'1 prepared data'!J75</f>
        <v/>
      </c>
      <c r="L82" s="7">
        <f>'1 prepared data'!K75</f>
        <v/>
      </c>
      <c r="M82" s="7">
        <f>'1 prepared data'!L75</f>
        <v/>
      </c>
      <c r="N82" s="7">
        <f>'1 prepared data'!M75</f>
        <v/>
      </c>
      <c r="O82" s="7">
        <f>'1 prepared data'!N75</f>
        <v/>
      </c>
      <c r="P82" s="7">
        <f>'1 prepared data'!O75</f>
        <v/>
      </c>
      <c r="Q82" s="7">
        <f>'1 prepared data'!P75</f>
        <v/>
      </c>
      <c r="R82" s="7">
        <f>'1 prepared data'!Q75</f>
        <v/>
      </c>
      <c r="S82" s="7">
        <f>'1 prepared data'!R75</f>
        <v/>
      </c>
      <c r="T82" s="7">
        <f>'1 prepared data'!S75</f>
        <v/>
      </c>
      <c r="U82" s="7">
        <f>'1 prepared data'!T75</f>
        <v/>
      </c>
      <c r="V82" s="8">
        <f>$AC$12+D82*$AC$13+E82*$AC$14+F82*$AC$15+G82*$AC$16+H82*$AC$17+I82*$AC$18+J82*$AC$19+K82*$AC$20+L82*$AC$21+M82*$AC$22+N82*$AC$23+O82*$AC$24+P82*$AC$25+Q82*$AC$26+R82*$AC$27+S82*$AC$28+T82*$AC$29+U82*$AC$30</f>
        <v/>
      </c>
      <c r="W82" s="8">
        <f>1/(1+EXP(-V82))</f>
        <v/>
      </c>
      <c r="X82" s="9">
        <f>-IF(C82=1,LN(W82),LN(1-W82))</f>
        <v/>
      </c>
      <c r="Y82" s="10">
        <f>IF(W82&gt;$AC$33,1,0)</f>
        <v/>
      </c>
      <c r="Z82">
        <f>IF(Y82=C82,1,0)</f>
        <v/>
      </c>
    </row>
    <row r="83">
      <c r="A83">
        <f>'1 prepared data'!A76</f>
        <v/>
      </c>
      <c r="B83" s="5">
        <f>'1 prepared data'!U76</f>
        <v/>
      </c>
      <c r="C83">
        <f>'1 prepared data'!B76</f>
        <v/>
      </c>
      <c r="D83" s="7">
        <f>'1 prepared data'!C76</f>
        <v/>
      </c>
      <c r="E83" s="7">
        <f>'1 prepared data'!D76</f>
        <v/>
      </c>
      <c r="F83" s="7">
        <f>'1 prepared data'!E76</f>
        <v/>
      </c>
      <c r="G83" s="7">
        <f>'1 prepared data'!F76</f>
        <v/>
      </c>
      <c r="H83" s="7">
        <f>'1 prepared data'!G76</f>
        <v/>
      </c>
      <c r="I83" s="7">
        <f>'1 prepared data'!H76</f>
        <v/>
      </c>
      <c r="J83" s="7">
        <f>'1 prepared data'!I76</f>
        <v/>
      </c>
      <c r="K83" s="7">
        <f>'1 prepared data'!J76</f>
        <v/>
      </c>
      <c r="L83" s="7">
        <f>'1 prepared data'!K76</f>
        <v/>
      </c>
      <c r="M83" s="7">
        <f>'1 prepared data'!L76</f>
        <v/>
      </c>
      <c r="N83" s="7">
        <f>'1 prepared data'!M76</f>
        <v/>
      </c>
      <c r="O83" s="7">
        <f>'1 prepared data'!N76</f>
        <v/>
      </c>
      <c r="P83" s="7">
        <f>'1 prepared data'!O76</f>
        <v/>
      </c>
      <c r="Q83" s="7">
        <f>'1 prepared data'!P76</f>
        <v/>
      </c>
      <c r="R83" s="7">
        <f>'1 prepared data'!Q76</f>
        <v/>
      </c>
      <c r="S83" s="7">
        <f>'1 prepared data'!R76</f>
        <v/>
      </c>
      <c r="T83" s="7">
        <f>'1 prepared data'!S76</f>
        <v/>
      </c>
      <c r="U83" s="7">
        <f>'1 prepared data'!T76</f>
        <v/>
      </c>
      <c r="V83" s="8">
        <f>$AC$12+D83*$AC$13+E83*$AC$14+F83*$AC$15+G83*$AC$16+H83*$AC$17+I83*$AC$18+J83*$AC$19+K83*$AC$20+L83*$AC$21+M83*$AC$22+N83*$AC$23+O83*$AC$24+P83*$AC$25+Q83*$AC$26+R83*$AC$27+S83*$AC$28+T83*$AC$29+U83*$AC$30</f>
        <v/>
      </c>
      <c r="W83" s="8">
        <f>1/(1+EXP(-V83))</f>
        <v/>
      </c>
      <c r="X83" s="9">
        <f>-IF(C83=1,LN(W83),LN(1-W83))</f>
        <v/>
      </c>
      <c r="Y83" s="10">
        <f>IF(W83&gt;$AC$33,1,0)</f>
        <v/>
      </c>
      <c r="Z83">
        <f>IF(Y83=C83,1,0)</f>
        <v/>
      </c>
    </row>
    <row r="84">
      <c r="A84">
        <f>'1 prepared data'!A77</f>
        <v/>
      </c>
      <c r="B84" s="5">
        <f>'1 prepared data'!U77</f>
        <v/>
      </c>
      <c r="C84">
        <f>'1 prepared data'!B77</f>
        <v/>
      </c>
      <c r="D84" s="7">
        <f>'1 prepared data'!C77</f>
        <v/>
      </c>
      <c r="E84" s="7">
        <f>'1 prepared data'!D77</f>
        <v/>
      </c>
      <c r="F84" s="7">
        <f>'1 prepared data'!E77</f>
        <v/>
      </c>
      <c r="G84" s="7">
        <f>'1 prepared data'!F77</f>
        <v/>
      </c>
      <c r="H84" s="7">
        <f>'1 prepared data'!G77</f>
        <v/>
      </c>
      <c r="I84" s="7">
        <f>'1 prepared data'!H77</f>
        <v/>
      </c>
      <c r="J84" s="7">
        <f>'1 prepared data'!I77</f>
        <v/>
      </c>
      <c r="K84" s="7">
        <f>'1 prepared data'!J77</f>
        <v/>
      </c>
      <c r="L84" s="7">
        <f>'1 prepared data'!K77</f>
        <v/>
      </c>
      <c r="M84" s="7">
        <f>'1 prepared data'!L77</f>
        <v/>
      </c>
      <c r="N84" s="7">
        <f>'1 prepared data'!M77</f>
        <v/>
      </c>
      <c r="O84" s="7">
        <f>'1 prepared data'!N77</f>
        <v/>
      </c>
      <c r="P84" s="7">
        <f>'1 prepared data'!O77</f>
        <v/>
      </c>
      <c r="Q84" s="7">
        <f>'1 prepared data'!P77</f>
        <v/>
      </c>
      <c r="R84" s="7">
        <f>'1 prepared data'!Q77</f>
        <v/>
      </c>
      <c r="S84" s="7">
        <f>'1 prepared data'!R77</f>
        <v/>
      </c>
      <c r="T84" s="7">
        <f>'1 prepared data'!S77</f>
        <v/>
      </c>
      <c r="U84" s="7">
        <f>'1 prepared data'!T77</f>
        <v/>
      </c>
      <c r="V84" s="8">
        <f>$AC$12+D84*$AC$13+E84*$AC$14+F84*$AC$15+G84*$AC$16+H84*$AC$17+I84*$AC$18+J84*$AC$19+K84*$AC$20+L84*$AC$21+M84*$AC$22+N84*$AC$23+O84*$AC$24+P84*$AC$25+Q84*$AC$26+R84*$AC$27+S84*$AC$28+T84*$AC$29+U84*$AC$30</f>
        <v/>
      </c>
      <c r="W84" s="8">
        <f>1/(1+EXP(-V84))</f>
        <v/>
      </c>
      <c r="X84" s="9">
        <f>-IF(C84=1,LN(W84),LN(1-W84))</f>
        <v/>
      </c>
      <c r="Y84" s="10">
        <f>IF(W84&gt;$AC$33,1,0)</f>
        <v/>
      </c>
      <c r="Z84">
        <f>IF(Y84=C84,1,0)</f>
        <v/>
      </c>
    </row>
    <row r="85">
      <c r="A85">
        <f>'1 prepared data'!A78</f>
        <v/>
      </c>
      <c r="B85" s="5">
        <f>'1 prepared data'!U78</f>
        <v/>
      </c>
      <c r="C85">
        <f>'1 prepared data'!B78</f>
        <v/>
      </c>
      <c r="D85" s="7">
        <f>'1 prepared data'!C78</f>
        <v/>
      </c>
      <c r="E85" s="7">
        <f>'1 prepared data'!D78</f>
        <v/>
      </c>
      <c r="F85" s="7">
        <f>'1 prepared data'!E78</f>
        <v/>
      </c>
      <c r="G85" s="7">
        <f>'1 prepared data'!F78</f>
        <v/>
      </c>
      <c r="H85" s="7">
        <f>'1 prepared data'!G78</f>
        <v/>
      </c>
      <c r="I85" s="7">
        <f>'1 prepared data'!H78</f>
        <v/>
      </c>
      <c r="J85" s="7">
        <f>'1 prepared data'!I78</f>
        <v/>
      </c>
      <c r="K85" s="7">
        <f>'1 prepared data'!J78</f>
        <v/>
      </c>
      <c r="L85" s="7">
        <f>'1 prepared data'!K78</f>
        <v/>
      </c>
      <c r="M85" s="7">
        <f>'1 prepared data'!L78</f>
        <v/>
      </c>
      <c r="N85" s="7">
        <f>'1 prepared data'!M78</f>
        <v/>
      </c>
      <c r="O85" s="7">
        <f>'1 prepared data'!N78</f>
        <v/>
      </c>
      <c r="P85" s="7">
        <f>'1 prepared data'!O78</f>
        <v/>
      </c>
      <c r="Q85" s="7">
        <f>'1 prepared data'!P78</f>
        <v/>
      </c>
      <c r="R85" s="7">
        <f>'1 prepared data'!Q78</f>
        <v/>
      </c>
      <c r="S85" s="7">
        <f>'1 prepared data'!R78</f>
        <v/>
      </c>
      <c r="T85" s="7">
        <f>'1 prepared data'!S78</f>
        <v/>
      </c>
      <c r="U85" s="7">
        <f>'1 prepared data'!T78</f>
        <v/>
      </c>
      <c r="V85" s="8">
        <f>$AC$12+D85*$AC$13+E85*$AC$14+F85*$AC$15+G85*$AC$16+H85*$AC$17+I85*$AC$18+J85*$AC$19+K85*$AC$20+L85*$AC$21+M85*$AC$22+N85*$AC$23+O85*$AC$24+P85*$AC$25+Q85*$AC$26+R85*$AC$27+S85*$AC$28+T85*$AC$29+U85*$AC$30</f>
        <v/>
      </c>
      <c r="W85" s="8">
        <f>1/(1+EXP(-V85))</f>
        <v/>
      </c>
      <c r="X85" s="9">
        <f>-IF(C85=1,LN(W85),LN(1-W85))</f>
        <v/>
      </c>
      <c r="Y85" s="10">
        <f>IF(W85&gt;$AC$33,1,0)</f>
        <v/>
      </c>
      <c r="Z85">
        <f>IF(Y85=C85,1,0)</f>
        <v/>
      </c>
    </row>
    <row r="86">
      <c r="A86">
        <f>'1 prepared data'!A79</f>
        <v/>
      </c>
      <c r="B86" s="5">
        <f>'1 prepared data'!U79</f>
        <v/>
      </c>
      <c r="C86">
        <f>'1 prepared data'!B79</f>
        <v/>
      </c>
      <c r="D86" s="7">
        <f>'1 prepared data'!C79</f>
        <v/>
      </c>
      <c r="E86" s="7">
        <f>'1 prepared data'!D79</f>
        <v/>
      </c>
      <c r="F86" s="7">
        <f>'1 prepared data'!E79</f>
        <v/>
      </c>
      <c r="G86" s="7">
        <f>'1 prepared data'!F79</f>
        <v/>
      </c>
      <c r="H86" s="7">
        <f>'1 prepared data'!G79</f>
        <v/>
      </c>
      <c r="I86" s="7">
        <f>'1 prepared data'!H79</f>
        <v/>
      </c>
      <c r="J86" s="7">
        <f>'1 prepared data'!I79</f>
        <v/>
      </c>
      <c r="K86" s="7">
        <f>'1 prepared data'!J79</f>
        <v/>
      </c>
      <c r="L86" s="7">
        <f>'1 prepared data'!K79</f>
        <v/>
      </c>
      <c r="M86" s="7">
        <f>'1 prepared data'!L79</f>
        <v/>
      </c>
      <c r="N86" s="7">
        <f>'1 prepared data'!M79</f>
        <v/>
      </c>
      <c r="O86" s="7">
        <f>'1 prepared data'!N79</f>
        <v/>
      </c>
      <c r="P86" s="7">
        <f>'1 prepared data'!O79</f>
        <v/>
      </c>
      <c r="Q86" s="7">
        <f>'1 prepared data'!P79</f>
        <v/>
      </c>
      <c r="R86" s="7">
        <f>'1 prepared data'!Q79</f>
        <v/>
      </c>
      <c r="S86" s="7">
        <f>'1 prepared data'!R79</f>
        <v/>
      </c>
      <c r="T86" s="7">
        <f>'1 prepared data'!S79</f>
        <v/>
      </c>
      <c r="U86" s="7">
        <f>'1 prepared data'!T79</f>
        <v/>
      </c>
      <c r="V86" s="8">
        <f>$AC$12+D86*$AC$13+E86*$AC$14+F86*$AC$15+G86*$AC$16+H86*$AC$17+I86*$AC$18+J86*$AC$19+K86*$AC$20+L86*$AC$21+M86*$AC$22+N86*$AC$23+O86*$AC$24+P86*$AC$25+Q86*$AC$26+R86*$AC$27+S86*$AC$28+T86*$AC$29+U86*$AC$30</f>
        <v/>
      </c>
      <c r="W86" s="8">
        <f>1/(1+EXP(-V86))</f>
        <v/>
      </c>
      <c r="X86" s="9">
        <f>-IF(C86=1,LN(W86),LN(1-W86))</f>
        <v/>
      </c>
      <c r="Y86" s="10">
        <f>IF(W86&gt;$AC$33,1,0)</f>
        <v/>
      </c>
      <c r="Z86">
        <f>IF(Y86=C86,1,0)</f>
        <v/>
      </c>
    </row>
    <row r="87">
      <c r="A87">
        <f>'1 prepared data'!A80</f>
        <v/>
      </c>
      <c r="B87" s="5">
        <f>'1 prepared data'!U80</f>
        <v/>
      </c>
      <c r="C87">
        <f>'1 prepared data'!B80</f>
        <v/>
      </c>
      <c r="D87" s="7">
        <f>'1 prepared data'!C80</f>
        <v/>
      </c>
      <c r="E87" s="7">
        <f>'1 prepared data'!D80</f>
        <v/>
      </c>
      <c r="F87" s="7">
        <f>'1 prepared data'!E80</f>
        <v/>
      </c>
      <c r="G87" s="7">
        <f>'1 prepared data'!F80</f>
        <v/>
      </c>
      <c r="H87" s="7">
        <f>'1 prepared data'!G80</f>
        <v/>
      </c>
      <c r="I87" s="7">
        <f>'1 prepared data'!H80</f>
        <v/>
      </c>
      <c r="J87" s="7">
        <f>'1 prepared data'!I80</f>
        <v/>
      </c>
      <c r="K87" s="7">
        <f>'1 prepared data'!J80</f>
        <v/>
      </c>
      <c r="L87" s="7">
        <f>'1 prepared data'!K80</f>
        <v/>
      </c>
      <c r="M87" s="7">
        <f>'1 prepared data'!L80</f>
        <v/>
      </c>
      <c r="N87" s="7">
        <f>'1 prepared data'!M80</f>
        <v/>
      </c>
      <c r="O87" s="7">
        <f>'1 prepared data'!N80</f>
        <v/>
      </c>
      <c r="P87" s="7">
        <f>'1 prepared data'!O80</f>
        <v/>
      </c>
      <c r="Q87" s="7">
        <f>'1 prepared data'!P80</f>
        <v/>
      </c>
      <c r="R87" s="7">
        <f>'1 prepared data'!Q80</f>
        <v/>
      </c>
      <c r="S87" s="7">
        <f>'1 prepared data'!R80</f>
        <v/>
      </c>
      <c r="T87" s="7">
        <f>'1 prepared data'!S80</f>
        <v/>
      </c>
      <c r="U87" s="7">
        <f>'1 prepared data'!T80</f>
        <v/>
      </c>
      <c r="V87" s="8">
        <f>$AC$12+D87*$AC$13+E87*$AC$14+F87*$AC$15+G87*$AC$16+H87*$AC$17+I87*$AC$18+J87*$AC$19+K87*$AC$20+L87*$AC$21+M87*$AC$22+N87*$AC$23+O87*$AC$24+P87*$AC$25+Q87*$AC$26+R87*$AC$27+S87*$AC$28+T87*$AC$29+U87*$AC$30</f>
        <v/>
      </c>
      <c r="W87" s="8">
        <f>1/(1+EXP(-V87))</f>
        <v/>
      </c>
      <c r="X87" s="9">
        <f>-IF(C87=1,LN(W87),LN(1-W87))</f>
        <v/>
      </c>
      <c r="Y87" s="10">
        <f>IF(W87&gt;$AC$33,1,0)</f>
        <v/>
      </c>
      <c r="Z87">
        <f>IF(Y87=C87,1,0)</f>
        <v/>
      </c>
    </row>
    <row r="88">
      <c r="A88">
        <f>'1 prepared data'!A81</f>
        <v/>
      </c>
      <c r="B88" s="5">
        <f>'1 prepared data'!U81</f>
        <v/>
      </c>
      <c r="C88">
        <f>'1 prepared data'!B81</f>
        <v/>
      </c>
      <c r="D88" s="7">
        <f>'1 prepared data'!C81</f>
        <v/>
      </c>
      <c r="E88" s="7">
        <f>'1 prepared data'!D81</f>
        <v/>
      </c>
      <c r="F88" s="7">
        <f>'1 prepared data'!E81</f>
        <v/>
      </c>
      <c r="G88" s="7">
        <f>'1 prepared data'!F81</f>
        <v/>
      </c>
      <c r="H88" s="7">
        <f>'1 prepared data'!G81</f>
        <v/>
      </c>
      <c r="I88" s="7">
        <f>'1 prepared data'!H81</f>
        <v/>
      </c>
      <c r="J88" s="7">
        <f>'1 prepared data'!I81</f>
        <v/>
      </c>
      <c r="K88" s="7">
        <f>'1 prepared data'!J81</f>
        <v/>
      </c>
      <c r="L88" s="7">
        <f>'1 prepared data'!K81</f>
        <v/>
      </c>
      <c r="M88" s="7">
        <f>'1 prepared data'!L81</f>
        <v/>
      </c>
      <c r="N88" s="7">
        <f>'1 prepared data'!M81</f>
        <v/>
      </c>
      <c r="O88" s="7">
        <f>'1 prepared data'!N81</f>
        <v/>
      </c>
      <c r="P88" s="7">
        <f>'1 prepared data'!O81</f>
        <v/>
      </c>
      <c r="Q88" s="7">
        <f>'1 prepared data'!P81</f>
        <v/>
      </c>
      <c r="R88" s="7">
        <f>'1 prepared data'!Q81</f>
        <v/>
      </c>
      <c r="S88" s="7">
        <f>'1 prepared data'!R81</f>
        <v/>
      </c>
      <c r="T88" s="7">
        <f>'1 prepared data'!S81</f>
        <v/>
      </c>
      <c r="U88" s="7">
        <f>'1 prepared data'!T81</f>
        <v/>
      </c>
      <c r="V88" s="8">
        <f>$AC$12+D88*$AC$13+E88*$AC$14+F88*$AC$15+G88*$AC$16+H88*$AC$17+I88*$AC$18+J88*$AC$19+K88*$AC$20+L88*$AC$21+M88*$AC$22+N88*$AC$23+O88*$AC$24+P88*$AC$25+Q88*$AC$26+R88*$AC$27+S88*$AC$28+T88*$AC$29+U88*$AC$30</f>
        <v/>
      </c>
      <c r="W88" s="8">
        <f>1/(1+EXP(-V88))</f>
        <v/>
      </c>
      <c r="X88" s="9">
        <f>-IF(C88=1,LN(W88),LN(1-W88))</f>
        <v/>
      </c>
      <c r="Y88" s="10">
        <f>IF(W88&gt;$AC$33,1,0)</f>
        <v/>
      </c>
      <c r="Z88">
        <f>IF(Y88=C88,1,0)</f>
        <v/>
      </c>
    </row>
    <row r="89">
      <c r="A89">
        <f>'1 prepared data'!A82</f>
        <v/>
      </c>
      <c r="B89" s="5">
        <f>'1 prepared data'!U82</f>
        <v/>
      </c>
      <c r="C89">
        <f>'1 prepared data'!B82</f>
        <v/>
      </c>
      <c r="D89" s="7">
        <f>'1 prepared data'!C82</f>
        <v/>
      </c>
      <c r="E89" s="7">
        <f>'1 prepared data'!D82</f>
        <v/>
      </c>
      <c r="F89" s="7">
        <f>'1 prepared data'!E82</f>
        <v/>
      </c>
      <c r="G89" s="7">
        <f>'1 prepared data'!F82</f>
        <v/>
      </c>
      <c r="H89" s="7">
        <f>'1 prepared data'!G82</f>
        <v/>
      </c>
      <c r="I89" s="7">
        <f>'1 prepared data'!H82</f>
        <v/>
      </c>
      <c r="J89" s="7">
        <f>'1 prepared data'!I82</f>
        <v/>
      </c>
      <c r="K89" s="7">
        <f>'1 prepared data'!J82</f>
        <v/>
      </c>
      <c r="L89" s="7">
        <f>'1 prepared data'!K82</f>
        <v/>
      </c>
      <c r="M89" s="7">
        <f>'1 prepared data'!L82</f>
        <v/>
      </c>
      <c r="N89" s="7">
        <f>'1 prepared data'!M82</f>
        <v/>
      </c>
      <c r="O89" s="7">
        <f>'1 prepared data'!N82</f>
        <v/>
      </c>
      <c r="P89" s="7">
        <f>'1 prepared data'!O82</f>
        <v/>
      </c>
      <c r="Q89" s="7">
        <f>'1 prepared data'!P82</f>
        <v/>
      </c>
      <c r="R89" s="7">
        <f>'1 prepared data'!Q82</f>
        <v/>
      </c>
      <c r="S89" s="7">
        <f>'1 prepared data'!R82</f>
        <v/>
      </c>
      <c r="T89" s="7">
        <f>'1 prepared data'!S82</f>
        <v/>
      </c>
      <c r="U89" s="7">
        <f>'1 prepared data'!T82</f>
        <v/>
      </c>
      <c r="V89" s="8">
        <f>$AC$12+D89*$AC$13+E89*$AC$14+F89*$AC$15+G89*$AC$16+H89*$AC$17+I89*$AC$18+J89*$AC$19+K89*$AC$20+L89*$AC$21+M89*$AC$22+N89*$AC$23+O89*$AC$24+P89*$AC$25+Q89*$AC$26+R89*$AC$27+S89*$AC$28+T89*$AC$29+U89*$AC$30</f>
        <v/>
      </c>
      <c r="W89" s="8">
        <f>1/(1+EXP(-V89))</f>
        <v/>
      </c>
      <c r="X89" s="9">
        <f>-IF(C89=1,LN(W89),LN(1-W89))</f>
        <v/>
      </c>
      <c r="Y89" s="10">
        <f>IF(W89&gt;$AC$33,1,0)</f>
        <v/>
      </c>
      <c r="Z89">
        <f>IF(Y89=C89,1,0)</f>
        <v/>
      </c>
    </row>
    <row r="90">
      <c r="A90">
        <f>'1 prepared data'!A83</f>
        <v/>
      </c>
      <c r="B90" s="5">
        <f>'1 prepared data'!U83</f>
        <v/>
      </c>
      <c r="C90">
        <f>'1 prepared data'!B83</f>
        <v/>
      </c>
      <c r="D90" s="7">
        <f>'1 prepared data'!C83</f>
        <v/>
      </c>
      <c r="E90" s="7">
        <f>'1 prepared data'!D83</f>
        <v/>
      </c>
      <c r="F90" s="7">
        <f>'1 prepared data'!E83</f>
        <v/>
      </c>
      <c r="G90" s="7">
        <f>'1 prepared data'!F83</f>
        <v/>
      </c>
      <c r="H90" s="7">
        <f>'1 prepared data'!G83</f>
        <v/>
      </c>
      <c r="I90" s="7">
        <f>'1 prepared data'!H83</f>
        <v/>
      </c>
      <c r="J90" s="7">
        <f>'1 prepared data'!I83</f>
        <v/>
      </c>
      <c r="K90" s="7">
        <f>'1 prepared data'!J83</f>
        <v/>
      </c>
      <c r="L90" s="7">
        <f>'1 prepared data'!K83</f>
        <v/>
      </c>
      <c r="M90" s="7">
        <f>'1 prepared data'!L83</f>
        <v/>
      </c>
      <c r="N90" s="7">
        <f>'1 prepared data'!M83</f>
        <v/>
      </c>
      <c r="O90" s="7">
        <f>'1 prepared data'!N83</f>
        <v/>
      </c>
      <c r="P90" s="7">
        <f>'1 prepared data'!O83</f>
        <v/>
      </c>
      <c r="Q90" s="7">
        <f>'1 prepared data'!P83</f>
        <v/>
      </c>
      <c r="R90" s="7">
        <f>'1 prepared data'!Q83</f>
        <v/>
      </c>
      <c r="S90" s="7">
        <f>'1 prepared data'!R83</f>
        <v/>
      </c>
      <c r="T90" s="7">
        <f>'1 prepared data'!S83</f>
        <v/>
      </c>
      <c r="U90" s="7">
        <f>'1 prepared data'!T83</f>
        <v/>
      </c>
      <c r="V90" s="8">
        <f>$AC$12+D90*$AC$13+E90*$AC$14+F90*$AC$15+G90*$AC$16+H90*$AC$17+I90*$AC$18+J90*$AC$19+K90*$AC$20+L90*$AC$21+M90*$AC$22+N90*$AC$23+O90*$AC$24+P90*$AC$25+Q90*$AC$26+R90*$AC$27+S90*$AC$28+T90*$AC$29+U90*$AC$30</f>
        <v/>
      </c>
      <c r="W90" s="8">
        <f>1/(1+EXP(-V90))</f>
        <v/>
      </c>
      <c r="X90" s="9">
        <f>-IF(C90=1,LN(W90),LN(1-W90))</f>
        <v/>
      </c>
      <c r="Y90" s="10">
        <f>IF(W90&gt;$AC$33,1,0)</f>
        <v/>
      </c>
      <c r="Z90">
        <f>IF(Y90=C90,1,0)</f>
        <v/>
      </c>
    </row>
    <row r="91">
      <c r="A91">
        <f>'1 prepared data'!A84</f>
        <v/>
      </c>
      <c r="B91" s="5">
        <f>'1 prepared data'!U84</f>
        <v/>
      </c>
      <c r="C91">
        <f>'1 prepared data'!B84</f>
        <v/>
      </c>
      <c r="D91" s="7">
        <f>'1 prepared data'!C84</f>
        <v/>
      </c>
      <c r="E91" s="7">
        <f>'1 prepared data'!D84</f>
        <v/>
      </c>
      <c r="F91" s="7">
        <f>'1 prepared data'!E84</f>
        <v/>
      </c>
      <c r="G91" s="7">
        <f>'1 prepared data'!F84</f>
        <v/>
      </c>
      <c r="H91" s="7">
        <f>'1 prepared data'!G84</f>
        <v/>
      </c>
      <c r="I91" s="7">
        <f>'1 prepared data'!H84</f>
        <v/>
      </c>
      <c r="J91" s="7">
        <f>'1 prepared data'!I84</f>
        <v/>
      </c>
      <c r="K91" s="7">
        <f>'1 prepared data'!J84</f>
        <v/>
      </c>
      <c r="L91" s="7">
        <f>'1 prepared data'!K84</f>
        <v/>
      </c>
      <c r="M91" s="7">
        <f>'1 prepared data'!L84</f>
        <v/>
      </c>
      <c r="N91" s="7">
        <f>'1 prepared data'!M84</f>
        <v/>
      </c>
      <c r="O91" s="7">
        <f>'1 prepared data'!N84</f>
        <v/>
      </c>
      <c r="P91" s="7">
        <f>'1 prepared data'!O84</f>
        <v/>
      </c>
      <c r="Q91" s="7">
        <f>'1 prepared data'!P84</f>
        <v/>
      </c>
      <c r="R91" s="7">
        <f>'1 prepared data'!Q84</f>
        <v/>
      </c>
      <c r="S91" s="7">
        <f>'1 prepared data'!R84</f>
        <v/>
      </c>
      <c r="T91" s="7">
        <f>'1 prepared data'!S84</f>
        <v/>
      </c>
      <c r="U91" s="7">
        <f>'1 prepared data'!T84</f>
        <v/>
      </c>
      <c r="V91" s="8">
        <f>$AC$12+D91*$AC$13+E91*$AC$14+F91*$AC$15+G91*$AC$16+H91*$AC$17+I91*$AC$18+J91*$AC$19+K91*$AC$20+L91*$AC$21+M91*$AC$22+N91*$AC$23+O91*$AC$24+P91*$AC$25+Q91*$AC$26+R91*$AC$27+S91*$AC$28+T91*$AC$29+U91*$AC$30</f>
        <v/>
      </c>
      <c r="W91" s="8">
        <f>1/(1+EXP(-V91))</f>
        <v/>
      </c>
      <c r="X91" s="9">
        <f>-IF(C91=1,LN(W91),LN(1-W91))</f>
        <v/>
      </c>
      <c r="Y91" s="10">
        <f>IF(W91&gt;$AC$33,1,0)</f>
        <v/>
      </c>
      <c r="Z91">
        <f>IF(Y91=C91,1,0)</f>
        <v/>
      </c>
    </row>
    <row r="92">
      <c r="A92">
        <f>'1 prepared data'!A85</f>
        <v/>
      </c>
      <c r="B92" s="5">
        <f>'1 prepared data'!U85</f>
        <v/>
      </c>
      <c r="C92">
        <f>'1 prepared data'!B85</f>
        <v/>
      </c>
      <c r="D92" s="7">
        <f>'1 prepared data'!C85</f>
        <v/>
      </c>
      <c r="E92" s="7">
        <f>'1 prepared data'!D85</f>
        <v/>
      </c>
      <c r="F92" s="7">
        <f>'1 prepared data'!E85</f>
        <v/>
      </c>
      <c r="G92" s="7">
        <f>'1 prepared data'!F85</f>
        <v/>
      </c>
      <c r="H92" s="7">
        <f>'1 prepared data'!G85</f>
        <v/>
      </c>
      <c r="I92" s="7">
        <f>'1 prepared data'!H85</f>
        <v/>
      </c>
      <c r="J92" s="7">
        <f>'1 prepared data'!I85</f>
        <v/>
      </c>
      <c r="K92" s="7">
        <f>'1 prepared data'!J85</f>
        <v/>
      </c>
      <c r="L92" s="7">
        <f>'1 prepared data'!K85</f>
        <v/>
      </c>
      <c r="M92" s="7">
        <f>'1 prepared data'!L85</f>
        <v/>
      </c>
      <c r="N92" s="7">
        <f>'1 prepared data'!M85</f>
        <v/>
      </c>
      <c r="O92" s="7">
        <f>'1 prepared data'!N85</f>
        <v/>
      </c>
      <c r="P92" s="7">
        <f>'1 prepared data'!O85</f>
        <v/>
      </c>
      <c r="Q92" s="7">
        <f>'1 prepared data'!P85</f>
        <v/>
      </c>
      <c r="R92" s="7">
        <f>'1 prepared data'!Q85</f>
        <v/>
      </c>
      <c r="S92" s="7">
        <f>'1 prepared data'!R85</f>
        <v/>
      </c>
      <c r="T92" s="7">
        <f>'1 prepared data'!S85</f>
        <v/>
      </c>
      <c r="U92" s="7">
        <f>'1 prepared data'!T85</f>
        <v/>
      </c>
      <c r="V92" s="8">
        <f>$AC$12+D92*$AC$13+E92*$AC$14+F92*$AC$15+G92*$AC$16+H92*$AC$17+I92*$AC$18+J92*$AC$19+K92*$AC$20+L92*$AC$21+M92*$AC$22+N92*$AC$23+O92*$AC$24+P92*$AC$25+Q92*$AC$26+R92*$AC$27+S92*$AC$28+T92*$AC$29+U92*$AC$30</f>
        <v/>
      </c>
      <c r="W92" s="8">
        <f>1/(1+EXP(-V92))</f>
        <v/>
      </c>
      <c r="X92" s="9">
        <f>-IF(C92=1,LN(W92),LN(1-W92))</f>
        <v/>
      </c>
      <c r="Y92" s="10">
        <f>IF(W92&gt;$AC$33,1,0)</f>
        <v/>
      </c>
      <c r="Z92">
        <f>IF(Y92=C92,1,0)</f>
        <v/>
      </c>
    </row>
    <row r="93">
      <c r="A93">
        <f>'1 prepared data'!A86</f>
        <v/>
      </c>
      <c r="B93" s="5">
        <f>'1 prepared data'!U86</f>
        <v/>
      </c>
      <c r="C93">
        <f>'1 prepared data'!B86</f>
        <v/>
      </c>
      <c r="D93" s="7">
        <f>'1 prepared data'!C86</f>
        <v/>
      </c>
      <c r="E93" s="7">
        <f>'1 prepared data'!D86</f>
        <v/>
      </c>
      <c r="F93" s="7">
        <f>'1 prepared data'!E86</f>
        <v/>
      </c>
      <c r="G93" s="7">
        <f>'1 prepared data'!F86</f>
        <v/>
      </c>
      <c r="H93" s="7">
        <f>'1 prepared data'!G86</f>
        <v/>
      </c>
      <c r="I93" s="7">
        <f>'1 prepared data'!H86</f>
        <v/>
      </c>
      <c r="J93" s="7">
        <f>'1 prepared data'!I86</f>
        <v/>
      </c>
      <c r="K93" s="7">
        <f>'1 prepared data'!J86</f>
        <v/>
      </c>
      <c r="L93" s="7">
        <f>'1 prepared data'!K86</f>
        <v/>
      </c>
      <c r="M93" s="7">
        <f>'1 prepared data'!L86</f>
        <v/>
      </c>
      <c r="N93" s="7">
        <f>'1 prepared data'!M86</f>
        <v/>
      </c>
      <c r="O93" s="7">
        <f>'1 prepared data'!N86</f>
        <v/>
      </c>
      <c r="P93" s="7">
        <f>'1 prepared data'!O86</f>
        <v/>
      </c>
      <c r="Q93" s="7">
        <f>'1 prepared data'!P86</f>
        <v/>
      </c>
      <c r="R93" s="7">
        <f>'1 prepared data'!Q86</f>
        <v/>
      </c>
      <c r="S93" s="7">
        <f>'1 prepared data'!R86</f>
        <v/>
      </c>
      <c r="T93" s="7">
        <f>'1 prepared data'!S86</f>
        <v/>
      </c>
      <c r="U93" s="7">
        <f>'1 prepared data'!T86</f>
        <v/>
      </c>
      <c r="V93" s="8">
        <f>$AC$12+D93*$AC$13+E93*$AC$14+F93*$AC$15+G93*$AC$16+H93*$AC$17+I93*$AC$18+J93*$AC$19+K93*$AC$20+L93*$AC$21+M93*$AC$22+N93*$AC$23+O93*$AC$24+P93*$AC$25+Q93*$AC$26+R93*$AC$27+S93*$AC$28+T93*$AC$29+U93*$AC$30</f>
        <v/>
      </c>
      <c r="W93" s="8">
        <f>1/(1+EXP(-V93))</f>
        <v/>
      </c>
      <c r="X93" s="9">
        <f>-IF(C93=1,LN(W93),LN(1-W93))</f>
        <v/>
      </c>
      <c r="Y93" s="10">
        <f>IF(W93&gt;$AC$33,1,0)</f>
        <v/>
      </c>
      <c r="Z93">
        <f>IF(Y93=C93,1,0)</f>
        <v/>
      </c>
    </row>
    <row r="94">
      <c r="A94">
        <f>'1 prepared data'!A87</f>
        <v/>
      </c>
      <c r="B94" s="5">
        <f>'1 prepared data'!U87</f>
        <v/>
      </c>
      <c r="C94">
        <f>'1 prepared data'!B87</f>
        <v/>
      </c>
      <c r="D94" s="7">
        <f>'1 prepared data'!C87</f>
        <v/>
      </c>
      <c r="E94" s="7">
        <f>'1 prepared data'!D87</f>
        <v/>
      </c>
      <c r="F94" s="7">
        <f>'1 prepared data'!E87</f>
        <v/>
      </c>
      <c r="G94" s="7">
        <f>'1 prepared data'!F87</f>
        <v/>
      </c>
      <c r="H94" s="7">
        <f>'1 prepared data'!G87</f>
        <v/>
      </c>
      <c r="I94" s="7">
        <f>'1 prepared data'!H87</f>
        <v/>
      </c>
      <c r="J94" s="7">
        <f>'1 prepared data'!I87</f>
        <v/>
      </c>
      <c r="K94" s="7">
        <f>'1 prepared data'!J87</f>
        <v/>
      </c>
      <c r="L94" s="7">
        <f>'1 prepared data'!K87</f>
        <v/>
      </c>
      <c r="M94" s="7">
        <f>'1 prepared data'!L87</f>
        <v/>
      </c>
      <c r="N94" s="7">
        <f>'1 prepared data'!M87</f>
        <v/>
      </c>
      <c r="O94" s="7">
        <f>'1 prepared data'!N87</f>
        <v/>
      </c>
      <c r="P94" s="7">
        <f>'1 prepared data'!O87</f>
        <v/>
      </c>
      <c r="Q94" s="7">
        <f>'1 prepared data'!P87</f>
        <v/>
      </c>
      <c r="R94" s="7">
        <f>'1 prepared data'!Q87</f>
        <v/>
      </c>
      <c r="S94" s="7">
        <f>'1 prepared data'!R87</f>
        <v/>
      </c>
      <c r="T94" s="7">
        <f>'1 prepared data'!S87</f>
        <v/>
      </c>
      <c r="U94" s="7">
        <f>'1 prepared data'!T87</f>
        <v/>
      </c>
      <c r="V94" s="8">
        <f>$AC$12+D94*$AC$13+E94*$AC$14+F94*$AC$15+G94*$AC$16+H94*$AC$17+I94*$AC$18+J94*$AC$19+K94*$AC$20+L94*$AC$21+M94*$AC$22+N94*$AC$23+O94*$AC$24+P94*$AC$25+Q94*$AC$26+R94*$AC$27+S94*$AC$28+T94*$AC$29+U94*$AC$30</f>
        <v/>
      </c>
      <c r="W94" s="8">
        <f>1/(1+EXP(-V94))</f>
        <v/>
      </c>
      <c r="X94" s="9">
        <f>-IF(C94=1,LN(W94),LN(1-W94))</f>
        <v/>
      </c>
      <c r="Y94" s="10">
        <f>IF(W94&gt;$AC$33,1,0)</f>
        <v/>
      </c>
      <c r="Z94">
        <f>IF(Y94=C94,1,0)</f>
        <v/>
      </c>
    </row>
    <row r="95">
      <c r="A95">
        <f>'1 prepared data'!A88</f>
        <v/>
      </c>
      <c r="B95" s="5">
        <f>'1 prepared data'!U88</f>
        <v/>
      </c>
      <c r="C95">
        <f>'1 prepared data'!B88</f>
        <v/>
      </c>
      <c r="D95" s="7">
        <f>'1 prepared data'!C88</f>
        <v/>
      </c>
      <c r="E95" s="7">
        <f>'1 prepared data'!D88</f>
        <v/>
      </c>
      <c r="F95" s="7">
        <f>'1 prepared data'!E88</f>
        <v/>
      </c>
      <c r="G95" s="7">
        <f>'1 prepared data'!F88</f>
        <v/>
      </c>
      <c r="H95" s="7">
        <f>'1 prepared data'!G88</f>
        <v/>
      </c>
      <c r="I95" s="7">
        <f>'1 prepared data'!H88</f>
        <v/>
      </c>
      <c r="J95" s="7">
        <f>'1 prepared data'!I88</f>
        <v/>
      </c>
      <c r="K95" s="7">
        <f>'1 prepared data'!J88</f>
        <v/>
      </c>
      <c r="L95" s="7">
        <f>'1 prepared data'!K88</f>
        <v/>
      </c>
      <c r="M95" s="7">
        <f>'1 prepared data'!L88</f>
        <v/>
      </c>
      <c r="N95" s="7">
        <f>'1 prepared data'!M88</f>
        <v/>
      </c>
      <c r="O95" s="7">
        <f>'1 prepared data'!N88</f>
        <v/>
      </c>
      <c r="P95" s="7">
        <f>'1 prepared data'!O88</f>
        <v/>
      </c>
      <c r="Q95" s="7">
        <f>'1 prepared data'!P88</f>
        <v/>
      </c>
      <c r="R95" s="7">
        <f>'1 prepared data'!Q88</f>
        <v/>
      </c>
      <c r="S95" s="7">
        <f>'1 prepared data'!R88</f>
        <v/>
      </c>
      <c r="T95" s="7">
        <f>'1 prepared data'!S88</f>
        <v/>
      </c>
      <c r="U95" s="7">
        <f>'1 prepared data'!T88</f>
        <v/>
      </c>
      <c r="V95" s="8">
        <f>$AC$12+D95*$AC$13+E95*$AC$14+F95*$AC$15+G95*$AC$16+H95*$AC$17+I95*$AC$18+J95*$AC$19+K95*$AC$20+L95*$AC$21+M95*$AC$22+N95*$AC$23+O95*$AC$24+P95*$AC$25+Q95*$AC$26+R95*$AC$27+S95*$AC$28+T95*$AC$29+U95*$AC$30</f>
        <v/>
      </c>
      <c r="W95" s="8">
        <f>1/(1+EXP(-V95))</f>
        <v/>
      </c>
      <c r="X95" s="9">
        <f>-IF(C95=1,LN(W95),LN(1-W95))</f>
        <v/>
      </c>
      <c r="Y95" s="10">
        <f>IF(W95&gt;$AC$33,1,0)</f>
        <v/>
      </c>
      <c r="Z95">
        <f>IF(Y95=C95,1,0)</f>
        <v/>
      </c>
    </row>
    <row r="96">
      <c r="A96">
        <f>'1 prepared data'!A89</f>
        <v/>
      </c>
      <c r="B96" s="5">
        <f>'1 prepared data'!U89</f>
        <v/>
      </c>
      <c r="C96">
        <f>'1 prepared data'!B89</f>
        <v/>
      </c>
      <c r="D96" s="7">
        <f>'1 prepared data'!C89</f>
        <v/>
      </c>
      <c r="E96" s="7">
        <f>'1 prepared data'!D89</f>
        <v/>
      </c>
      <c r="F96" s="7">
        <f>'1 prepared data'!E89</f>
        <v/>
      </c>
      <c r="G96" s="7">
        <f>'1 prepared data'!F89</f>
        <v/>
      </c>
      <c r="H96" s="7">
        <f>'1 prepared data'!G89</f>
        <v/>
      </c>
      <c r="I96" s="7">
        <f>'1 prepared data'!H89</f>
        <v/>
      </c>
      <c r="J96" s="7">
        <f>'1 prepared data'!I89</f>
        <v/>
      </c>
      <c r="K96" s="7">
        <f>'1 prepared data'!J89</f>
        <v/>
      </c>
      <c r="L96" s="7">
        <f>'1 prepared data'!K89</f>
        <v/>
      </c>
      <c r="M96" s="7">
        <f>'1 prepared data'!L89</f>
        <v/>
      </c>
      <c r="N96" s="7">
        <f>'1 prepared data'!M89</f>
        <v/>
      </c>
      <c r="O96" s="7">
        <f>'1 prepared data'!N89</f>
        <v/>
      </c>
      <c r="P96" s="7">
        <f>'1 prepared data'!O89</f>
        <v/>
      </c>
      <c r="Q96" s="7">
        <f>'1 prepared data'!P89</f>
        <v/>
      </c>
      <c r="R96" s="7">
        <f>'1 prepared data'!Q89</f>
        <v/>
      </c>
      <c r="S96" s="7">
        <f>'1 prepared data'!R89</f>
        <v/>
      </c>
      <c r="T96" s="7">
        <f>'1 prepared data'!S89</f>
        <v/>
      </c>
      <c r="U96" s="7">
        <f>'1 prepared data'!T89</f>
        <v/>
      </c>
      <c r="V96" s="8">
        <f>$AC$12+D96*$AC$13+E96*$AC$14+F96*$AC$15+G96*$AC$16+H96*$AC$17+I96*$AC$18+J96*$AC$19+K96*$AC$20+L96*$AC$21+M96*$AC$22+N96*$AC$23+O96*$AC$24+P96*$AC$25+Q96*$AC$26+R96*$AC$27+S96*$AC$28+T96*$AC$29+U96*$AC$30</f>
        <v/>
      </c>
      <c r="W96" s="8">
        <f>1/(1+EXP(-V96))</f>
        <v/>
      </c>
      <c r="X96" s="9">
        <f>-IF(C96=1,LN(W96),LN(1-W96))</f>
        <v/>
      </c>
      <c r="Y96" s="10">
        <f>IF(W96&gt;$AC$33,1,0)</f>
        <v/>
      </c>
      <c r="Z96">
        <f>IF(Y96=C96,1,0)</f>
        <v/>
      </c>
    </row>
    <row r="97">
      <c r="A97">
        <f>'1 prepared data'!A90</f>
        <v/>
      </c>
      <c r="B97" s="5">
        <f>'1 prepared data'!U90</f>
        <v/>
      </c>
      <c r="C97">
        <f>'1 prepared data'!B90</f>
        <v/>
      </c>
      <c r="D97" s="7">
        <f>'1 prepared data'!C90</f>
        <v/>
      </c>
      <c r="E97" s="7">
        <f>'1 prepared data'!D90</f>
        <v/>
      </c>
      <c r="F97" s="7">
        <f>'1 prepared data'!E90</f>
        <v/>
      </c>
      <c r="G97" s="7">
        <f>'1 prepared data'!F90</f>
        <v/>
      </c>
      <c r="H97" s="7">
        <f>'1 prepared data'!G90</f>
        <v/>
      </c>
      <c r="I97" s="7">
        <f>'1 prepared data'!H90</f>
        <v/>
      </c>
      <c r="J97" s="7">
        <f>'1 prepared data'!I90</f>
        <v/>
      </c>
      <c r="K97" s="7">
        <f>'1 prepared data'!J90</f>
        <v/>
      </c>
      <c r="L97" s="7">
        <f>'1 prepared data'!K90</f>
        <v/>
      </c>
      <c r="M97" s="7">
        <f>'1 prepared data'!L90</f>
        <v/>
      </c>
      <c r="N97" s="7">
        <f>'1 prepared data'!M90</f>
        <v/>
      </c>
      <c r="O97" s="7">
        <f>'1 prepared data'!N90</f>
        <v/>
      </c>
      <c r="P97" s="7">
        <f>'1 prepared data'!O90</f>
        <v/>
      </c>
      <c r="Q97" s="7">
        <f>'1 prepared data'!P90</f>
        <v/>
      </c>
      <c r="R97" s="7">
        <f>'1 prepared data'!Q90</f>
        <v/>
      </c>
      <c r="S97" s="7">
        <f>'1 prepared data'!R90</f>
        <v/>
      </c>
      <c r="T97" s="7">
        <f>'1 prepared data'!S90</f>
        <v/>
      </c>
      <c r="U97" s="7">
        <f>'1 prepared data'!T90</f>
        <v/>
      </c>
      <c r="V97" s="8">
        <f>$AC$12+D97*$AC$13+E97*$AC$14+F97*$AC$15+G97*$AC$16+H97*$AC$17+I97*$AC$18+J97*$AC$19+K97*$AC$20+L97*$AC$21+M97*$AC$22+N97*$AC$23+O97*$AC$24+P97*$AC$25+Q97*$AC$26+R97*$AC$27+S97*$AC$28+T97*$AC$29+U97*$AC$30</f>
        <v/>
      </c>
      <c r="W97" s="8">
        <f>1/(1+EXP(-V97))</f>
        <v/>
      </c>
      <c r="X97" s="9">
        <f>-IF(C97=1,LN(W97),LN(1-W97))</f>
        <v/>
      </c>
      <c r="Y97" s="10">
        <f>IF(W97&gt;$AC$33,1,0)</f>
        <v/>
      </c>
      <c r="Z97">
        <f>IF(Y97=C97,1,0)</f>
        <v/>
      </c>
    </row>
    <row r="98">
      <c r="A98">
        <f>'1 prepared data'!A91</f>
        <v/>
      </c>
      <c r="B98" s="5">
        <f>'1 prepared data'!U91</f>
        <v/>
      </c>
      <c r="C98">
        <f>'1 prepared data'!B91</f>
        <v/>
      </c>
      <c r="D98" s="7">
        <f>'1 prepared data'!C91</f>
        <v/>
      </c>
      <c r="E98" s="7">
        <f>'1 prepared data'!D91</f>
        <v/>
      </c>
      <c r="F98" s="7">
        <f>'1 prepared data'!E91</f>
        <v/>
      </c>
      <c r="G98" s="7">
        <f>'1 prepared data'!F91</f>
        <v/>
      </c>
      <c r="H98" s="7">
        <f>'1 prepared data'!G91</f>
        <v/>
      </c>
      <c r="I98" s="7">
        <f>'1 prepared data'!H91</f>
        <v/>
      </c>
      <c r="J98" s="7">
        <f>'1 prepared data'!I91</f>
        <v/>
      </c>
      <c r="K98" s="7">
        <f>'1 prepared data'!J91</f>
        <v/>
      </c>
      <c r="L98" s="7">
        <f>'1 prepared data'!K91</f>
        <v/>
      </c>
      <c r="M98" s="7">
        <f>'1 prepared data'!L91</f>
        <v/>
      </c>
      <c r="N98" s="7">
        <f>'1 prepared data'!M91</f>
        <v/>
      </c>
      <c r="O98" s="7">
        <f>'1 prepared data'!N91</f>
        <v/>
      </c>
      <c r="P98" s="7">
        <f>'1 prepared data'!O91</f>
        <v/>
      </c>
      <c r="Q98" s="7">
        <f>'1 prepared data'!P91</f>
        <v/>
      </c>
      <c r="R98" s="7">
        <f>'1 prepared data'!Q91</f>
        <v/>
      </c>
      <c r="S98" s="7">
        <f>'1 prepared data'!R91</f>
        <v/>
      </c>
      <c r="T98" s="7">
        <f>'1 prepared data'!S91</f>
        <v/>
      </c>
      <c r="U98" s="7">
        <f>'1 prepared data'!T91</f>
        <v/>
      </c>
      <c r="V98" s="8">
        <f>$AC$12+D98*$AC$13+E98*$AC$14+F98*$AC$15+G98*$AC$16+H98*$AC$17+I98*$AC$18+J98*$AC$19+K98*$AC$20+L98*$AC$21+M98*$AC$22+N98*$AC$23+O98*$AC$24+P98*$AC$25+Q98*$AC$26+R98*$AC$27+S98*$AC$28+T98*$AC$29+U98*$AC$30</f>
        <v/>
      </c>
      <c r="W98" s="8">
        <f>1/(1+EXP(-V98))</f>
        <v/>
      </c>
      <c r="X98" s="9">
        <f>-IF(C98=1,LN(W98),LN(1-W98))</f>
        <v/>
      </c>
      <c r="Y98" s="10">
        <f>IF(W98&gt;$AC$33,1,0)</f>
        <v/>
      </c>
      <c r="Z98">
        <f>IF(Y98=C98,1,0)</f>
        <v/>
      </c>
    </row>
    <row r="99">
      <c r="A99">
        <f>'1 prepared data'!A92</f>
        <v/>
      </c>
      <c r="B99" s="5">
        <f>'1 prepared data'!U92</f>
        <v/>
      </c>
      <c r="C99">
        <f>'1 prepared data'!B92</f>
        <v/>
      </c>
      <c r="D99" s="7">
        <f>'1 prepared data'!C92</f>
        <v/>
      </c>
      <c r="E99" s="7">
        <f>'1 prepared data'!D92</f>
        <v/>
      </c>
      <c r="F99" s="7">
        <f>'1 prepared data'!E92</f>
        <v/>
      </c>
      <c r="G99" s="7">
        <f>'1 prepared data'!F92</f>
        <v/>
      </c>
      <c r="H99" s="7">
        <f>'1 prepared data'!G92</f>
        <v/>
      </c>
      <c r="I99" s="7">
        <f>'1 prepared data'!H92</f>
        <v/>
      </c>
      <c r="J99" s="7">
        <f>'1 prepared data'!I92</f>
        <v/>
      </c>
      <c r="K99" s="7">
        <f>'1 prepared data'!J92</f>
        <v/>
      </c>
      <c r="L99" s="7">
        <f>'1 prepared data'!K92</f>
        <v/>
      </c>
      <c r="M99" s="7">
        <f>'1 prepared data'!L92</f>
        <v/>
      </c>
      <c r="N99" s="7">
        <f>'1 prepared data'!M92</f>
        <v/>
      </c>
      <c r="O99" s="7">
        <f>'1 prepared data'!N92</f>
        <v/>
      </c>
      <c r="P99" s="7">
        <f>'1 prepared data'!O92</f>
        <v/>
      </c>
      <c r="Q99" s="7">
        <f>'1 prepared data'!P92</f>
        <v/>
      </c>
      <c r="R99" s="7">
        <f>'1 prepared data'!Q92</f>
        <v/>
      </c>
      <c r="S99" s="7">
        <f>'1 prepared data'!R92</f>
        <v/>
      </c>
      <c r="T99" s="7">
        <f>'1 prepared data'!S92</f>
        <v/>
      </c>
      <c r="U99" s="7">
        <f>'1 prepared data'!T92</f>
        <v/>
      </c>
      <c r="V99" s="8">
        <f>$AC$12+D99*$AC$13+E99*$AC$14+F99*$AC$15+G99*$AC$16+H99*$AC$17+I99*$AC$18+J99*$AC$19+K99*$AC$20+L99*$AC$21+M99*$AC$22+N99*$AC$23+O99*$AC$24+P99*$AC$25+Q99*$AC$26+R99*$AC$27+S99*$AC$28+T99*$AC$29+U99*$AC$30</f>
        <v/>
      </c>
      <c r="W99" s="8">
        <f>1/(1+EXP(-V99))</f>
        <v/>
      </c>
      <c r="X99" s="9">
        <f>-IF(C99=1,LN(W99),LN(1-W99))</f>
        <v/>
      </c>
      <c r="Y99" s="10">
        <f>IF(W99&gt;$AC$33,1,0)</f>
        <v/>
      </c>
      <c r="Z99">
        <f>IF(Y99=C99,1,0)</f>
        <v/>
      </c>
    </row>
    <row r="100">
      <c r="A100">
        <f>'1 prepared data'!A93</f>
        <v/>
      </c>
      <c r="B100" s="5">
        <f>'1 prepared data'!U93</f>
        <v/>
      </c>
      <c r="C100">
        <f>'1 prepared data'!B93</f>
        <v/>
      </c>
      <c r="D100" s="7">
        <f>'1 prepared data'!C93</f>
        <v/>
      </c>
      <c r="E100" s="7">
        <f>'1 prepared data'!D93</f>
        <v/>
      </c>
      <c r="F100" s="7">
        <f>'1 prepared data'!E93</f>
        <v/>
      </c>
      <c r="G100" s="7">
        <f>'1 prepared data'!F93</f>
        <v/>
      </c>
      <c r="H100" s="7">
        <f>'1 prepared data'!G93</f>
        <v/>
      </c>
      <c r="I100" s="7">
        <f>'1 prepared data'!H93</f>
        <v/>
      </c>
      <c r="J100" s="7">
        <f>'1 prepared data'!I93</f>
        <v/>
      </c>
      <c r="K100" s="7">
        <f>'1 prepared data'!J93</f>
        <v/>
      </c>
      <c r="L100" s="7">
        <f>'1 prepared data'!K93</f>
        <v/>
      </c>
      <c r="M100" s="7">
        <f>'1 prepared data'!L93</f>
        <v/>
      </c>
      <c r="N100" s="7">
        <f>'1 prepared data'!M93</f>
        <v/>
      </c>
      <c r="O100" s="7">
        <f>'1 prepared data'!N93</f>
        <v/>
      </c>
      <c r="P100" s="7">
        <f>'1 prepared data'!O93</f>
        <v/>
      </c>
      <c r="Q100" s="7">
        <f>'1 prepared data'!P93</f>
        <v/>
      </c>
      <c r="R100" s="7">
        <f>'1 prepared data'!Q93</f>
        <v/>
      </c>
      <c r="S100" s="7">
        <f>'1 prepared data'!R93</f>
        <v/>
      </c>
      <c r="T100" s="7">
        <f>'1 prepared data'!S93</f>
        <v/>
      </c>
      <c r="U100" s="7">
        <f>'1 prepared data'!T93</f>
        <v/>
      </c>
      <c r="V100" s="8">
        <f>$AC$12+D100*$AC$13+E100*$AC$14+F100*$AC$15+G100*$AC$16+H100*$AC$17+I100*$AC$18+J100*$AC$19+K100*$AC$20+L100*$AC$21+M100*$AC$22+N100*$AC$23+O100*$AC$24+P100*$AC$25+Q100*$AC$26+R100*$AC$27+S100*$AC$28+T100*$AC$29+U100*$AC$30</f>
        <v/>
      </c>
      <c r="W100" s="8">
        <f>1/(1+EXP(-V100))</f>
        <v/>
      </c>
      <c r="X100" s="9">
        <f>-IF(C100=1,LN(W100),LN(1-W100))</f>
        <v/>
      </c>
      <c r="Y100" s="10">
        <f>IF(W100&gt;$AC$33,1,0)</f>
        <v/>
      </c>
      <c r="Z100">
        <f>IF(Y100=C100,1,0)</f>
        <v/>
      </c>
    </row>
    <row r="101">
      <c r="A101">
        <f>'1 prepared data'!A94</f>
        <v/>
      </c>
      <c r="B101" s="5">
        <f>'1 prepared data'!U94</f>
        <v/>
      </c>
      <c r="C101">
        <f>'1 prepared data'!B94</f>
        <v/>
      </c>
      <c r="D101" s="7">
        <f>'1 prepared data'!C94</f>
        <v/>
      </c>
      <c r="E101" s="7">
        <f>'1 prepared data'!D94</f>
        <v/>
      </c>
      <c r="F101" s="7">
        <f>'1 prepared data'!E94</f>
        <v/>
      </c>
      <c r="G101" s="7">
        <f>'1 prepared data'!F94</f>
        <v/>
      </c>
      <c r="H101" s="7">
        <f>'1 prepared data'!G94</f>
        <v/>
      </c>
      <c r="I101" s="7">
        <f>'1 prepared data'!H94</f>
        <v/>
      </c>
      <c r="J101" s="7">
        <f>'1 prepared data'!I94</f>
        <v/>
      </c>
      <c r="K101" s="7">
        <f>'1 prepared data'!J94</f>
        <v/>
      </c>
      <c r="L101" s="7">
        <f>'1 prepared data'!K94</f>
        <v/>
      </c>
      <c r="M101" s="7">
        <f>'1 prepared data'!L94</f>
        <v/>
      </c>
      <c r="N101" s="7">
        <f>'1 prepared data'!M94</f>
        <v/>
      </c>
      <c r="O101" s="7">
        <f>'1 prepared data'!N94</f>
        <v/>
      </c>
      <c r="P101" s="7">
        <f>'1 prepared data'!O94</f>
        <v/>
      </c>
      <c r="Q101" s="7">
        <f>'1 prepared data'!P94</f>
        <v/>
      </c>
      <c r="R101" s="7">
        <f>'1 prepared data'!Q94</f>
        <v/>
      </c>
      <c r="S101" s="7">
        <f>'1 prepared data'!R94</f>
        <v/>
      </c>
      <c r="T101" s="7">
        <f>'1 prepared data'!S94</f>
        <v/>
      </c>
      <c r="U101" s="7">
        <f>'1 prepared data'!T94</f>
        <v/>
      </c>
      <c r="V101" s="8">
        <f>$AC$12+D101*$AC$13+E101*$AC$14+F101*$AC$15+G101*$AC$16+H101*$AC$17+I101*$AC$18+J101*$AC$19+K101*$AC$20+L101*$AC$21+M101*$AC$22+N101*$AC$23+O101*$AC$24+P101*$AC$25+Q101*$AC$26+R101*$AC$27+S101*$AC$28+T101*$AC$29+U101*$AC$30</f>
        <v/>
      </c>
      <c r="W101" s="8">
        <f>1/(1+EXP(-V101))</f>
        <v/>
      </c>
      <c r="X101" s="9">
        <f>-IF(C101=1,LN(W101),LN(1-W101))</f>
        <v/>
      </c>
      <c r="Y101" s="10">
        <f>IF(W101&gt;$AC$33,1,0)</f>
        <v/>
      </c>
      <c r="Z101">
        <f>IF(Y101=C101,1,0)</f>
        <v/>
      </c>
    </row>
    <row r="102">
      <c r="A102">
        <f>'1 prepared data'!A95</f>
        <v/>
      </c>
      <c r="B102" s="5">
        <f>'1 prepared data'!U95</f>
        <v/>
      </c>
      <c r="C102">
        <f>'1 prepared data'!B95</f>
        <v/>
      </c>
      <c r="D102" s="7">
        <f>'1 prepared data'!C95</f>
        <v/>
      </c>
      <c r="E102" s="7">
        <f>'1 prepared data'!D95</f>
        <v/>
      </c>
      <c r="F102" s="7">
        <f>'1 prepared data'!E95</f>
        <v/>
      </c>
      <c r="G102" s="7">
        <f>'1 prepared data'!F95</f>
        <v/>
      </c>
      <c r="H102" s="7">
        <f>'1 prepared data'!G95</f>
        <v/>
      </c>
      <c r="I102" s="7">
        <f>'1 prepared data'!H95</f>
        <v/>
      </c>
      <c r="J102" s="7">
        <f>'1 prepared data'!I95</f>
        <v/>
      </c>
      <c r="K102" s="7">
        <f>'1 prepared data'!J95</f>
        <v/>
      </c>
      <c r="L102" s="7">
        <f>'1 prepared data'!K95</f>
        <v/>
      </c>
      <c r="M102" s="7">
        <f>'1 prepared data'!L95</f>
        <v/>
      </c>
      <c r="N102" s="7">
        <f>'1 prepared data'!M95</f>
        <v/>
      </c>
      <c r="O102" s="7">
        <f>'1 prepared data'!N95</f>
        <v/>
      </c>
      <c r="P102" s="7">
        <f>'1 prepared data'!O95</f>
        <v/>
      </c>
      <c r="Q102" s="7">
        <f>'1 prepared data'!P95</f>
        <v/>
      </c>
      <c r="R102" s="7">
        <f>'1 prepared data'!Q95</f>
        <v/>
      </c>
      <c r="S102" s="7">
        <f>'1 prepared data'!R95</f>
        <v/>
      </c>
      <c r="T102" s="7">
        <f>'1 prepared data'!S95</f>
        <v/>
      </c>
      <c r="U102" s="7">
        <f>'1 prepared data'!T95</f>
        <v/>
      </c>
      <c r="V102" s="8">
        <f>$AC$12+D102*$AC$13+E102*$AC$14+F102*$AC$15+G102*$AC$16+H102*$AC$17+I102*$AC$18+J102*$AC$19+K102*$AC$20+L102*$AC$21+M102*$AC$22+N102*$AC$23+O102*$AC$24+P102*$AC$25+Q102*$AC$26+R102*$AC$27+S102*$AC$28+T102*$AC$29+U102*$AC$30</f>
        <v/>
      </c>
      <c r="W102" s="8">
        <f>1/(1+EXP(-V102))</f>
        <v/>
      </c>
      <c r="X102" s="9">
        <f>-IF(C102=1,LN(W102),LN(1-W102))</f>
        <v/>
      </c>
      <c r="Y102" s="10">
        <f>IF(W102&gt;$AC$33,1,0)</f>
        <v/>
      </c>
      <c r="Z102">
        <f>IF(Y102=C102,1,0)</f>
        <v/>
      </c>
    </row>
    <row r="103">
      <c r="A103">
        <f>'1 prepared data'!A96</f>
        <v/>
      </c>
      <c r="B103" s="5">
        <f>'1 prepared data'!U96</f>
        <v/>
      </c>
      <c r="C103">
        <f>'1 prepared data'!B96</f>
        <v/>
      </c>
      <c r="D103" s="7">
        <f>'1 prepared data'!C96</f>
        <v/>
      </c>
      <c r="E103" s="7">
        <f>'1 prepared data'!D96</f>
        <v/>
      </c>
      <c r="F103" s="7">
        <f>'1 prepared data'!E96</f>
        <v/>
      </c>
      <c r="G103" s="7">
        <f>'1 prepared data'!F96</f>
        <v/>
      </c>
      <c r="H103" s="7">
        <f>'1 prepared data'!G96</f>
        <v/>
      </c>
      <c r="I103" s="7">
        <f>'1 prepared data'!H96</f>
        <v/>
      </c>
      <c r="J103" s="7">
        <f>'1 prepared data'!I96</f>
        <v/>
      </c>
      <c r="K103" s="7">
        <f>'1 prepared data'!J96</f>
        <v/>
      </c>
      <c r="L103" s="7">
        <f>'1 prepared data'!K96</f>
        <v/>
      </c>
      <c r="M103" s="7">
        <f>'1 prepared data'!L96</f>
        <v/>
      </c>
      <c r="N103" s="7">
        <f>'1 prepared data'!M96</f>
        <v/>
      </c>
      <c r="O103" s="7">
        <f>'1 prepared data'!N96</f>
        <v/>
      </c>
      <c r="P103" s="7">
        <f>'1 prepared data'!O96</f>
        <v/>
      </c>
      <c r="Q103" s="7">
        <f>'1 prepared data'!P96</f>
        <v/>
      </c>
      <c r="R103" s="7">
        <f>'1 prepared data'!Q96</f>
        <v/>
      </c>
      <c r="S103" s="7">
        <f>'1 prepared data'!R96</f>
        <v/>
      </c>
      <c r="T103" s="7">
        <f>'1 prepared data'!S96</f>
        <v/>
      </c>
      <c r="U103" s="7">
        <f>'1 prepared data'!T96</f>
        <v/>
      </c>
      <c r="V103" s="8">
        <f>$AC$12+D103*$AC$13+E103*$AC$14+F103*$AC$15+G103*$AC$16+H103*$AC$17+I103*$AC$18+J103*$AC$19+K103*$AC$20+L103*$AC$21+M103*$AC$22+N103*$AC$23+O103*$AC$24+P103*$AC$25+Q103*$AC$26+R103*$AC$27+S103*$AC$28+T103*$AC$29+U103*$AC$30</f>
        <v/>
      </c>
      <c r="W103" s="8">
        <f>1/(1+EXP(-V103))</f>
        <v/>
      </c>
      <c r="X103" s="9">
        <f>-IF(C103=1,LN(W103),LN(1-W103))</f>
        <v/>
      </c>
      <c r="Y103" s="10">
        <f>IF(W103&gt;$AC$33,1,0)</f>
        <v/>
      </c>
      <c r="Z103">
        <f>IF(Y103=C103,1,0)</f>
        <v/>
      </c>
    </row>
    <row r="104">
      <c r="A104">
        <f>'1 prepared data'!A97</f>
        <v/>
      </c>
      <c r="B104" s="5">
        <f>'1 prepared data'!U97</f>
        <v/>
      </c>
      <c r="C104">
        <f>'1 prepared data'!B97</f>
        <v/>
      </c>
      <c r="D104" s="7">
        <f>'1 prepared data'!C97</f>
        <v/>
      </c>
      <c r="E104" s="7">
        <f>'1 prepared data'!D97</f>
        <v/>
      </c>
      <c r="F104" s="7">
        <f>'1 prepared data'!E97</f>
        <v/>
      </c>
      <c r="G104" s="7">
        <f>'1 prepared data'!F97</f>
        <v/>
      </c>
      <c r="H104" s="7">
        <f>'1 prepared data'!G97</f>
        <v/>
      </c>
      <c r="I104" s="7">
        <f>'1 prepared data'!H97</f>
        <v/>
      </c>
      <c r="J104" s="7">
        <f>'1 prepared data'!I97</f>
        <v/>
      </c>
      <c r="K104" s="7">
        <f>'1 prepared data'!J97</f>
        <v/>
      </c>
      <c r="L104" s="7">
        <f>'1 prepared data'!K97</f>
        <v/>
      </c>
      <c r="M104" s="7">
        <f>'1 prepared data'!L97</f>
        <v/>
      </c>
      <c r="N104" s="7">
        <f>'1 prepared data'!M97</f>
        <v/>
      </c>
      <c r="O104" s="7">
        <f>'1 prepared data'!N97</f>
        <v/>
      </c>
      <c r="P104" s="7">
        <f>'1 prepared data'!O97</f>
        <v/>
      </c>
      <c r="Q104" s="7">
        <f>'1 prepared data'!P97</f>
        <v/>
      </c>
      <c r="R104" s="7">
        <f>'1 prepared data'!Q97</f>
        <v/>
      </c>
      <c r="S104" s="7">
        <f>'1 prepared data'!R97</f>
        <v/>
      </c>
      <c r="T104" s="7">
        <f>'1 prepared data'!S97</f>
        <v/>
      </c>
      <c r="U104" s="7">
        <f>'1 prepared data'!T97</f>
        <v/>
      </c>
      <c r="V104" s="8">
        <f>$AC$12+D104*$AC$13+E104*$AC$14+F104*$AC$15+G104*$AC$16+H104*$AC$17+I104*$AC$18+J104*$AC$19+K104*$AC$20+L104*$AC$21+M104*$AC$22+N104*$AC$23+O104*$AC$24+P104*$AC$25+Q104*$AC$26+R104*$AC$27+S104*$AC$28+T104*$AC$29+U104*$AC$30</f>
        <v/>
      </c>
      <c r="W104" s="8">
        <f>1/(1+EXP(-V104))</f>
        <v/>
      </c>
      <c r="X104" s="9">
        <f>-IF(C104=1,LN(W104),LN(1-W104))</f>
        <v/>
      </c>
      <c r="Y104" s="10">
        <f>IF(W104&gt;$AC$33,1,0)</f>
        <v/>
      </c>
      <c r="Z104">
        <f>IF(Y104=C104,1,0)</f>
        <v/>
      </c>
    </row>
    <row r="105">
      <c r="A105">
        <f>'1 prepared data'!A98</f>
        <v/>
      </c>
      <c r="B105" s="5">
        <f>'1 prepared data'!U98</f>
        <v/>
      </c>
      <c r="C105">
        <f>'1 prepared data'!B98</f>
        <v/>
      </c>
      <c r="D105" s="7">
        <f>'1 prepared data'!C98</f>
        <v/>
      </c>
      <c r="E105" s="7">
        <f>'1 prepared data'!D98</f>
        <v/>
      </c>
      <c r="F105" s="7">
        <f>'1 prepared data'!E98</f>
        <v/>
      </c>
      <c r="G105" s="7">
        <f>'1 prepared data'!F98</f>
        <v/>
      </c>
      <c r="H105" s="7">
        <f>'1 prepared data'!G98</f>
        <v/>
      </c>
      <c r="I105" s="7">
        <f>'1 prepared data'!H98</f>
        <v/>
      </c>
      <c r="J105" s="7">
        <f>'1 prepared data'!I98</f>
        <v/>
      </c>
      <c r="K105" s="7">
        <f>'1 prepared data'!J98</f>
        <v/>
      </c>
      <c r="L105" s="7">
        <f>'1 prepared data'!K98</f>
        <v/>
      </c>
      <c r="M105" s="7">
        <f>'1 prepared data'!L98</f>
        <v/>
      </c>
      <c r="N105" s="7">
        <f>'1 prepared data'!M98</f>
        <v/>
      </c>
      <c r="O105" s="7">
        <f>'1 prepared data'!N98</f>
        <v/>
      </c>
      <c r="P105" s="7">
        <f>'1 prepared data'!O98</f>
        <v/>
      </c>
      <c r="Q105" s="7">
        <f>'1 prepared data'!P98</f>
        <v/>
      </c>
      <c r="R105" s="7">
        <f>'1 prepared data'!Q98</f>
        <v/>
      </c>
      <c r="S105" s="7">
        <f>'1 prepared data'!R98</f>
        <v/>
      </c>
      <c r="T105" s="7">
        <f>'1 prepared data'!S98</f>
        <v/>
      </c>
      <c r="U105" s="7">
        <f>'1 prepared data'!T98</f>
        <v/>
      </c>
      <c r="V105" s="8">
        <f>$AC$12+D105*$AC$13+E105*$AC$14+F105*$AC$15+G105*$AC$16+H105*$AC$17+I105*$AC$18+J105*$AC$19+K105*$AC$20+L105*$AC$21+M105*$AC$22+N105*$AC$23+O105*$AC$24+P105*$AC$25+Q105*$AC$26+R105*$AC$27+S105*$AC$28+T105*$AC$29+U105*$AC$30</f>
        <v/>
      </c>
      <c r="W105" s="8">
        <f>1/(1+EXP(-V105))</f>
        <v/>
      </c>
      <c r="X105" s="9">
        <f>-IF(C105=1,LN(W105),LN(1-W105))</f>
        <v/>
      </c>
      <c r="Y105" s="10">
        <f>IF(W105&gt;$AC$33,1,0)</f>
        <v/>
      </c>
      <c r="Z105">
        <f>IF(Y105=C105,1,0)</f>
        <v/>
      </c>
    </row>
    <row r="106">
      <c r="A106">
        <f>'1 prepared data'!A99</f>
        <v/>
      </c>
      <c r="B106" s="5">
        <f>'1 prepared data'!U99</f>
        <v/>
      </c>
      <c r="C106">
        <f>'1 prepared data'!B99</f>
        <v/>
      </c>
      <c r="D106" s="7">
        <f>'1 prepared data'!C99</f>
        <v/>
      </c>
      <c r="E106" s="7">
        <f>'1 prepared data'!D99</f>
        <v/>
      </c>
      <c r="F106" s="7">
        <f>'1 prepared data'!E99</f>
        <v/>
      </c>
      <c r="G106" s="7">
        <f>'1 prepared data'!F99</f>
        <v/>
      </c>
      <c r="H106" s="7">
        <f>'1 prepared data'!G99</f>
        <v/>
      </c>
      <c r="I106" s="7">
        <f>'1 prepared data'!H99</f>
        <v/>
      </c>
      <c r="J106" s="7">
        <f>'1 prepared data'!I99</f>
        <v/>
      </c>
      <c r="K106" s="7">
        <f>'1 prepared data'!J99</f>
        <v/>
      </c>
      <c r="L106" s="7">
        <f>'1 prepared data'!K99</f>
        <v/>
      </c>
      <c r="M106" s="7">
        <f>'1 prepared data'!L99</f>
        <v/>
      </c>
      <c r="N106" s="7">
        <f>'1 prepared data'!M99</f>
        <v/>
      </c>
      <c r="O106" s="7">
        <f>'1 prepared data'!N99</f>
        <v/>
      </c>
      <c r="P106" s="7">
        <f>'1 prepared data'!O99</f>
        <v/>
      </c>
      <c r="Q106" s="7">
        <f>'1 prepared data'!P99</f>
        <v/>
      </c>
      <c r="R106" s="7">
        <f>'1 prepared data'!Q99</f>
        <v/>
      </c>
      <c r="S106" s="7">
        <f>'1 prepared data'!R99</f>
        <v/>
      </c>
      <c r="T106" s="7">
        <f>'1 prepared data'!S99</f>
        <v/>
      </c>
      <c r="U106" s="7">
        <f>'1 prepared data'!T99</f>
        <v/>
      </c>
      <c r="V106" s="8">
        <f>$AC$12+D106*$AC$13+E106*$AC$14+F106*$AC$15+G106*$AC$16+H106*$AC$17+I106*$AC$18+J106*$AC$19+K106*$AC$20+L106*$AC$21+M106*$AC$22+N106*$AC$23+O106*$AC$24+P106*$AC$25+Q106*$AC$26+R106*$AC$27+S106*$AC$28+T106*$AC$29+U106*$AC$30</f>
        <v/>
      </c>
      <c r="W106" s="8">
        <f>1/(1+EXP(-V106))</f>
        <v/>
      </c>
      <c r="X106" s="9">
        <f>-IF(C106=1,LN(W106),LN(1-W106))</f>
        <v/>
      </c>
      <c r="Y106" s="10">
        <f>IF(W106&gt;$AC$33,1,0)</f>
        <v/>
      </c>
      <c r="Z106">
        <f>IF(Y106=C106,1,0)</f>
        <v/>
      </c>
    </row>
    <row r="107">
      <c r="A107">
        <f>'1 prepared data'!A100</f>
        <v/>
      </c>
      <c r="B107" s="5">
        <f>'1 prepared data'!U100</f>
        <v/>
      </c>
      <c r="C107">
        <f>'1 prepared data'!B100</f>
        <v/>
      </c>
      <c r="D107" s="7">
        <f>'1 prepared data'!C100</f>
        <v/>
      </c>
      <c r="E107" s="7">
        <f>'1 prepared data'!D100</f>
        <v/>
      </c>
      <c r="F107" s="7">
        <f>'1 prepared data'!E100</f>
        <v/>
      </c>
      <c r="G107" s="7">
        <f>'1 prepared data'!F100</f>
        <v/>
      </c>
      <c r="H107" s="7">
        <f>'1 prepared data'!G100</f>
        <v/>
      </c>
      <c r="I107" s="7">
        <f>'1 prepared data'!H100</f>
        <v/>
      </c>
      <c r="J107" s="7">
        <f>'1 prepared data'!I100</f>
        <v/>
      </c>
      <c r="K107" s="7">
        <f>'1 prepared data'!J100</f>
        <v/>
      </c>
      <c r="L107" s="7">
        <f>'1 prepared data'!K100</f>
        <v/>
      </c>
      <c r="M107" s="7">
        <f>'1 prepared data'!L100</f>
        <v/>
      </c>
      <c r="N107" s="7">
        <f>'1 prepared data'!M100</f>
        <v/>
      </c>
      <c r="O107" s="7">
        <f>'1 prepared data'!N100</f>
        <v/>
      </c>
      <c r="P107" s="7">
        <f>'1 prepared data'!O100</f>
        <v/>
      </c>
      <c r="Q107" s="7">
        <f>'1 prepared data'!P100</f>
        <v/>
      </c>
      <c r="R107" s="7">
        <f>'1 prepared data'!Q100</f>
        <v/>
      </c>
      <c r="S107" s="7">
        <f>'1 prepared data'!R100</f>
        <v/>
      </c>
      <c r="T107" s="7">
        <f>'1 prepared data'!S100</f>
        <v/>
      </c>
      <c r="U107" s="7">
        <f>'1 prepared data'!T100</f>
        <v/>
      </c>
      <c r="V107" s="8">
        <f>$AC$12+D107*$AC$13+E107*$AC$14+F107*$AC$15+G107*$AC$16+H107*$AC$17+I107*$AC$18+J107*$AC$19+K107*$AC$20+L107*$AC$21+M107*$AC$22+N107*$AC$23+O107*$AC$24+P107*$AC$25+Q107*$AC$26+R107*$AC$27+S107*$AC$28+T107*$AC$29+U107*$AC$30</f>
        <v/>
      </c>
      <c r="W107" s="8">
        <f>1/(1+EXP(-V107))</f>
        <v/>
      </c>
      <c r="X107" s="9">
        <f>-IF(C107=1,LN(W107),LN(1-W107))</f>
        <v/>
      </c>
      <c r="Y107" s="10">
        <f>IF(W107&gt;$AC$33,1,0)</f>
        <v/>
      </c>
      <c r="Z107">
        <f>IF(Y107=C107,1,0)</f>
        <v/>
      </c>
    </row>
    <row r="108">
      <c r="A108">
        <f>'1 prepared data'!A101</f>
        <v/>
      </c>
      <c r="B108" s="5">
        <f>'1 prepared data'!U101</f>
        <v/>
      </c>
      <c r="C108">
        <f>'1 prepared data'!B101</f>
        <v/>
      </c>
      <c r="D108" s="7">
        <f>'1 prepared data'!C101</f>
        <v/>
      </c>
      <c r="E108" s="7">
        <f>'1 prepared data'!D101</f>
        <v/>
      </c>
      <c r="F108" s="7">
        <f>'1 prepared data'!E101</f>
        <v/>
      </c>
      <c r="G108" s="7">
        <f>'1 prepared data'!F101</f>
        <v/>
      </c>
      <c r="H108" s="7">
        <f>'1 prepared data'!G101</f>
        <v/>
      </c>
      <c r="I108" s="7">
        <f>'1 prepared data'!H101</f>
        <v/>
      </c>
      <c r="J108" s="7">
        <f>'1 prepared data'!I101</f>
        <v/>
      </c>
      <c r="K108" s="7">
        <f>'1 prepared data'!J101</f>
        <v/>
      </c>
      <c r="L108" s="7">
        <f>'1 prepared data'!K101</f>
        <v/>
      </c>
      <c r="M108" s="7">
        <f>'1 prepared data'!L101</f>
        <v/>
      </c>
      <c r="N108" s="7">
        <f>'1 prepared data'!M101</f>
        <v/>
      </c>
      <c r="O108" s="7">
        <f>'1 prepared data'!N101</f>
        <v/>
      </c>
      <c r="P108" s="7">
        <f>'1 prepared data'!O101</f>
        <v/>
      </c>
      <c r="Q108" s="7">
        <f>'1 prepared data'!P101</f>
        <v/>
      </c>
      <c r="R108" s="7">
        <f>'1 prepared data'!Q101</f>
        <v/>
      </c>
      <c r="S108" s="7">
        <f>'1 prepared data'!R101</f>
        <v/>
      </c>
      <c r="T108" s="7">
        <f>'1 prepared data'!S101</f>
        <v/>
      </c>
      <c r="U108" s="7">
        <f>'1 prepared data'!T101</f>
        <v/>
      </c>
      <c r="V108" s="8">
        <f>$AC$12+D108*$AC$13+E108*$AC$14+F108*$AC$15+G108*$AC$16+H108*$AC$17+I108*$AC$18+J108*$AC$19+K108*$AC$20+L108*$AC$21+M108*$AC$22+N108*$AC$23+O108*$AC$24+P108*$AC$25+Q108*$AC$26+R108*$AC$27+S108*$AC$28+T108*$AC$29+U108*$AC$30</f>
        <v/>
      </c>
      <c r="W108" s="8">
        <f>1/(1+EXP(-V108))</f>
        <v/>
      </c>
      <c r="X108" s="9">
        <f>-IF(C108=1,LN(W108),LN(1-W108))</f>
        <v/>
      </c>
      <c r="Y108" s="10">
        <f>IF(W108&gt;$AC$33,1,0)</f>
        <v/>
      </c>
      <c r="Z108">
        <f>IF(Y108=C108,1,0)</f>
        <v/>
      </c>
    </row>
    <row r="109">
      <c r="A109">
        <f>'1 prepared data'!A102</f>
        <v/>
      </c>
      <c r="B109" s="5">
        <f>'1 prepared data'!U102</f>
        <v/>
      </c>
      <c r="C109">
        <f>'1 prepared data'!B102</f>
        <v/>
      </c>
      <c r="D109" s="7">
        <f>'1 prepared data'!C102</f>
        <v/>
      </c>
      <c r="E109" s="7">
        <f>'1 prepared data'!D102</f>
        <v/>
      </c>
      <c r="F109" s="7">
        <f>'1 prepared data'!E102</f>
        <v/>
      </c>
      <c r="G109" s="7">
        <f>'1 prepared data'!F102</f>
        <v/>
      </c>
      <c r="H109" s="7">
        <f>'1 prepared data'!G102</f>
        <v/>
      </c>
      <c r="I109" s="7">
        <f>'1 prepared data'!H102</f>
        <v/>
      </c>
      <c r="J109" s="7">
        <f>'1 prepared data'!I102</f>
        <v/>
      </c>
      <c r="K109" s="7">
        <f>'1 prepared data'!J102</f>
        <v/>
      </c>
      <c r="L109" s="7">
        <f>'1 prepared data'!K102</f>
        <v/>
      </c>
      <c r="M109" s="7">
        <f>'1 prepared data'!L102</f>
        <v/>
      </c>
      <c r="N109" s="7">
        <f>'1 prepared data'!M102</f>
        <v/>
      </c>
      <c r="O109" s="7">
        <f>'1 prepared data'!N102</f>
        <v/>
      </c>
      <c r="P109" s="7">
        <f>'1 prepared data'!O102</f>
        <v/>
      </c>
      <c r="Q109" s="7">
        <f>'1 prepared data'!P102</f>
        <v/>
      </c>
      <c r="R109" s="7">
        <f>'1 prepared data'!Q102</f>
        <v/>
      </c>
      <c r="S109" s="7">
        <f>'1 prepared data'!R102</f>
        <v/>
      </c>
      <c r="T109" s="7">
        <f>'1 prepared data'!S102</f>
        <v/>
      </c>
      <c r="U109" s="7">
        <f>'1 prepared data'!T102</f>
        <v/>
      </c>
      <c r="V109" s="8">
        <f>$AC$12+D109*$AC$13+E109*$AC$14+F109*$AC$15+G109*$AC$16+H109*$AC$17+I109*$AC$18+J109*$AC$19+K109*$AC$20+L109*$AC$21+M109*$AC$22+N109*$AC$23+O109*$AC$24+P109*$AC$25+Q109*$AC$26+R109*$AC$27+S109*$AC$28+T109*$AC$29+U109*$AC$30</f>
        <v/>
      </c>
      <c r="W109" s="8">
        <f>1/(1+EXP(-V109))</f>
        <v/>
      </c>
      <c r="X109" s="9">
        <f>-IF(C109=1,LN(W109),LN(1-W109))</f>
        <v/>
      </c>
      <c r="Y109" s="10">
        <f>IF(W109&gt;$AC$33,1,0)</f>
        <v/>
      </c>
      <c r="Z109">
        <f>IF(Y109=C109,1,0)</f>
        <v/>
      </c>
    </row>
    <row r="110">
      <c r="A110">
        <f>'1 prepared data'!A103</f>
        <v/>
      </c>
      <c r="B110" s="5">
        <f>'1 prepared data'!U103</f>
        <v/>
      </c>
      <c r="C110">
        <f>'1 prepared data'!B103</f>
        <v/>
      </c>
      <c r="D110" s="7">
        <f>'1 prepared data'!C103</f>
        <v/>
      </c>
      <c r="E110" s="7">
        <f>'1 prepared data'!D103</f>
        <v/>
      </c>
      <c r="F110" s="7">
        <f>'1 prepared data'!E103</f>
        <v/>
      </c>
      <c r="G110" s="7">
        <f>'1 prepared data'!F103</f>
        <v/>
      </c>
      <c r="H110" s="7">
        <f>'1 prepared data'!G103</f>
        <v/>
      </c>
      <c r="I110" s="7">
        <f>'1 prepared data'!H103</f>
        <v/>
      </c>
      <c r="J110" s="7">
        <f>'1 prepared data'!I103</f>
        <v/>
      </c>
      <c r="K110" s="7">
        <f>'1 prepared data'!J103</f>
        <v/>
      </c>
      <c r="L110" s="7">
        <f>'1 prepared data'!K103</f>
        <v/>
      </c>
      <c r="M110" s="7">
        <f>'1 prepared data'!L103</f>
        <v/>
      </c>
      <c r="N110" s="7">
        <f>'1 prepared data'!M103</f>
        <v/>
      </c>
      <c r="O110" s="7">
        <f>'1 prepared data'!N103</f>
        <v/>
      </c>
      <c r="P110" s="7">
        <f>'1 prepared data'!O103</f>
        <v/>
      </c>
      <c r="Q110" s="7">
        <f>'1 prepared data'!P103</f>
        <v/>
      </c>
      <c r="R110" s="7">
        <f>'1 prepared data'!Q103</f>
        <v/>
      </c>
      <c r="S110" s="7">
        <f>'1 prepared data'!R103</f>
        <v/>
      </c>
      <c r="T110" s="7">
        <f>'1 prepared data'!S103</f>
        <v/>
      </c>
      <c r="U110" s="7">
        <f>'1 prepared data'!T103</f>
        <v/>
      </c>
      <c r="V110" s="8">
        <f>$AC$12+D110*$AC$13+E110*$AC$14+F110*$AC$15+G110*$AC$16+H110*$AC$17+I110*$AC$18+J110*$AC$19+K110*$AC$20+L110*$AC$21+M110*$AC$22+N110*$AC$23+O110*$AC$24+P110*$AC$25+Q110*$AC$26+R110*$AC$27+S110*$AC$28+T110*$AC$29+U110*$AC$30</f>
        <v/>
      </c>
      <c r="W110" s="8">
        <f>1/(1+EXP(-V110))</f>
        <v/>
      </c>
      <c r="X110" s="9">
        <f>-IF(C110=1,LN(W110),LN(1-W110))</f>
        <v/>
      </c>
      <c r="Y110" s="10">
        <f>IF(W110&gt;$AC$33,1,0)</f>
        <v/>
      </c>
      <c r="Z110">
        <f>IF(Y110=C110,1,0)</f>
        <v/>
      </c>
    </row>
    <row r="111">
      <c r="A111">
        <f>'1 prepared data'!A104</f>
        <v/>
      </c>
      <c r="B111" s="5">
        <f>'1 prepared data'!U104</f>
        <v/>
      </c>
      <c r="C111">
        <f>'1 prepared data'!B104</f>
        <v/>
      </c>
      <c r="D111" s="7">
        <f>'1 prepared data'!C104</f>
        <v/>
      </c>
      <c r="E111" s="7">
        <f>'1 prepared data'!D104</f>
        <v/>
      </c>
      <c r="F111" s="7">
        <f>'1 prepared data'!E104</f>
        <v/>
      </c>
      <c r="G111" s="7">
        <f>'1 prepared data'!F104</f>
        <v/>
      </c>
      <c r="H111" s="7">
        <f>'1 prepared data'!G104</f>
        <v/>
      </c>
      <c r="I111" s="7">
        <f>'1 prepared data'!H104</f>
        <v/>
      </c>
      <c r="J111" s="7">
        <f>'1 prepared data'!I104</f>
        <v/>
      </c>
      <c r="K111" s="7">
        <f>'1 prepared data'!J104</f>
        <v/>
      </c>
      <c r="L111" s="7">
        <f>'1 prepared data'!K104</f>
        <v/>
      </c>
      <c r="M111" s="7">
        <f>'1 prepared data'!L104</f>
        <v/>
      </c>
      <c r="N111" s="7">
        <f>'1 prepared data'!M104</f>
        <v/>
      </c>
      <c r="O111" s="7">
        <f>'1 prepared data'!N104</f>
        <v/>
      </c>
      <c r="P111" s="7">
        <f>'1 prepared data'!O104</f>
        <v/>
      </c>
      <c r="Q111" s="7">
        <f>'1 prepared data'!P104</f>
        <v/>
      </c>
      <c r="R111" s="7">
        <f>'1 prepared data'!Q104</f>
        <v/>
      </c>
      <c r="S111" s="7">
        <f>'1 prepared data'!R104</f>
        <v/>
      </c>
      <c r="T111" s="7">
        <f>'1 prepared data'!S104</f>
        <v/>
      </c>
      <c r="U111" s="7">
        <f>'1 prepared data'!T104</f>
        <v/>
      </c>
      <c r="V111" s="8">
        <f>$AC$12+D111*$AC$13+E111*$AC$14+F111*$AC$15+G111*$AC$16+H111*$AC$17+I111*$AC$18+J111*$AC$19+K111*$AC$20+L111*$AC$21+M111*$AC$22+N111*$AC$23+O111*$AC$24+P111*$AC$25+Q111*$AC$26+R111*$AC$27+S111*$AC$28+T111*$AC$29+U111*$AC$30</f>
        <v/>
      </c>
      <c r="W111" s="8">
        <f>1/(1+EXP(-V111))</f>
        <v/>
      </c>
      <c r="X111" s="9">
        <f>-IF(C111=1,LN(W111),LN(1-W111))</f>
        <v/>
      </c>
      <c r="Y111" s="10">
        <f>IF(W111&gt;$AC$33,1,0)</f>
        <v/>
      </c>
      <c r="Z111">
        <f>IF(Y111=C111,1,0)</f>
        <v/>
      </c>
    </row>
    <row r="112">
      <c r="A112">
        <f>'1 prepared data'!A105</f>
        <v/>
      </c>
      <c r="B112" s="5">
        <f>'1 prepared data'!U105</f>
        <v/>
      </c>
      <c r="C112">
        <f>'1 prepared data'!B105</f>
        <v/>
      </c>
      <c r="D112" s="7">
        <f>'1 prepared data'!C105</f>
        <v/>
      </c>
      <c r="E112" s="7">
        <f>'1 prepared data'!D105</f>
        <v/>
      </c>
      <c r="F112" s="7">
        <f>'1 prepared data'!E105</f>
        <v/>
      </c>
      <c r="G112" s="7">
        <f>'1 prepared data'!F105</f>
        <v/>
      </c>
      <c r="H112" s="7">
        <f>'1 prepared data'!G105</f>
        <v/>
      </c>
      <c r="I112" s="7">
        <f>'1 prepared data'!H105</f>
        <v/>
      </c>
      <c r="J112" s="7">
        <f>'1 prepared data'!I105</f>
        <v/>
      </c>
      <c r="K112" s="7">
        <f>'1 prepared data'!J105</f>
        <v/>
      </c>
      <c r="L112" s="7">
        <f>'1 prepared data'!K105</f>
        <v/>
      </c>
      <c r="M112" s="7">
        <f>'1 prepared data'!L105</f>
        <v/>
      </c>
      <c r="N112" s="7">
        <f>'1 prepared data'!M105</f>
        <v/>
      </c>
      <c r="O112" s="7">
        <f>'1 prepared data'!N105</f>
        <v/>
      </c>
      <c r="P112" s="7">
        <f>'1 prepared data'!O105</f>
        <v/>
      </c>
      <c r="Q112" s="7">
        <f>'1 prepared data'!P105</f>
        <v/>
      </c>
      <c r="R112" s="7">
        <f>'1 prepared data'!Q105</f>
        <v/>
      </c>
      <c r="S112" s="7">
        <f>'1 prepared data'!R105</f>
        <v/>
      </c>
      <c r="T112" s="7">
        <f>'1 prepared data'!S105</f>
        <v/>
      </c>
      <c r="U112" s="7">
        <f>'1 prepared data'!T105</f>
        <v/>
      </c>
      <c r="V112" s="8">
        <f>$AC$12+D112*$AC$13+E112*$AC$14+F112*$AC$15+G112*$AC$16+H112*$AC$17+I112*$AC$18+J112*$AC$19+K112*$AC$20+L112*$AC$21+M112*$AC$22+N112*$AC$23+O112*$AC$24+P112*$AC$25+Q112*$AC$26+R112*$AC$27+S112*$AC$28+T112*$AC$29+U112*$AC$30</f>
        <v/>
      </c>
      <c r="W112" s="8">
        <f>1/(1+EXP(-V112))</f>
        <v/>
      </c>
      <c r="X112" s="9">
        <f>-IF(C112=1,LN(W112),LN(1-W112))</f>
        <v/>
      </c>
      <c r="Y112" s="10">
        <f>IF(W112&gt;$AC$33,1,0)</f>
        <v/>
      </c>
      <c r="Z112">
        <f>IF(Y112=C112,1,0)</f>
        <v/>
      </c>
    </row>
    <row r="113">
      <c r="A113">
        <f>'1 prepared data'!A106</f>
        <v/>
      </c>
      <c r="B113" s="5">
        <f>'1 prepared data'!U106</f>
        <v/>
      </c>
      <c r="C113">
        <f>'1 prepared data'!B106</f>
        <v/>
      </c>
      <c r="D113" s="7">
        <f>'1 prepared data'!C106</f>
        <v/>
      </c>
      <c r="E113" s="7">
        <f>'1 prepared data'!D106</f>
        <v/>
      </c>
      <c r="F113" s="7">
        <f>'1 prepared data'!E106</f>
        <v/>
      </c>
      <c r="G113" s="7">
        <f>'1 prepared data'!F106</f>
        <v/>
      </c>
      <c r="H113" s="7">
        <f>'1 prepared data'!G106</f>
        <v/>
      </c>
      <c r="I113" s="7">
        <f>'1 prepared data'!H106</f>
        <v/>
      </c>
      <c r="J113" s="7">
        <f>'1 prepared data'!I106</f>
        <v/>
      </c>
      <c r="K113" s="7">
        <f>'1 prepared data'!J106</f>
        <v/>
      </c>
      <c r="L113" s="7">
        <f>'1 prepared data'!K106</f>
        <v/>
      </c>
      <c r="M113" s="7">
        <f>'1 prepared data'!L106</f>
        <v/>
      </c>
      <c r="N113" s="7">
        <f>'1 prepared data'!M106</f>
        <v/>
      </c>
      <c r="O113" s="7">
        <f>'1 prepared data'!N106</f>
        <v/>
      </c>
      <c r="P113" s="7">
        <f>'1 prepared data'!O106</f>
        <v/>
      </c>
      <c r="Q113" s="7">
        <f>'1 prepared data'!P106</f>
        <v/>
      </c>
      <c r="R113" s="7">
        <f>'1 prepared data'!Q106</f>
        <v/>
      </c>
      <c r="S113" s="7">
        <f>'1 prepared data'!R106</f>
        <v/>
      </c>
      <c r="T113" s="7">
        <f>'1 prepared data'!S106</f>
        <v/>
      </c>
      <c r="U113" s="7">
        <f>'1 prepared data'!T106</f>
        <v/>
      </c>
      <c r="V113" s="8">
        <f>$AC$12+D113*$AC$13+E113*$AC$14+F113*$AC$15+G113*$AC$16+H113*$AC$17+I113*$AC$18+J113*$AC$19+K113*$AC$20+L113*$AC$21+M113*$AC$22+N113*$AC$23+O113*$AC$24+P113*$AC$25+Q113*$AC$26+R113*$AC$27+S113*$AC$28+T113*$AC$29+U113*$AC$30</f>
        <v/>
      </c>
      <c r="W113" s="8">
        <f>1/(1+EXP(-V113))</f>
        <v/>
      </c>
      <c r="X113" s="9">
        <f>-IF(C113=1,LN(W113),LN(1-W113))</f>
        <v/>
      </c>
      <c r="Y113" s="10">
        <f>IF(W113&gt;$AC$33,1,0)</f>
        <v/>
      </c>
      <c r="Z113">
        <f>IF(Y113=C113,1,0)</f>
        <v/>
      </c>
    </row>
    <row r="114">
      <c r="A114">
        <f>'1 prepared data'!A107</f>
        <v/>
      </c>
      <c r="B114" s="5">
        <f>'1 prepared data'!U107</f>
        <v/>
      </c>
      <c r="C114">
        <f>'1 prepared data'!B107</f>
        <v/>
      </c>
      <c r="D114" s="7">
        <f>'1 prepared data'!C107</f>
        <v/>
      </c>
      <c r="E114" s="7">
        <f>'1 prepared data'!D107</f>
        <v/>
      </c>
      <c r="F114" s="7">
        <f>'1 prepared data'!E107</f>
        <v/>
      </c>
      <c r="G114" s="7">
        <f>'1 prepared data'!F107</f>
        <v/>
      </c>
      <c r="H114" s="7">
        <f>'1 prepared data'!G107</f>
        <v/>
      </c>
      <c r="I114" s="7">
        <f>'1 prepared data'!H107</f>
        <v/>
      </c>
      <c r="J114" s="7">
        <f>'1 prepared data'!I107</f>
        <v/>
      </c>
      <c r="K114" s="7">
        <f>'1 prepared data'!J107</f>
        <v/>
      </c>
      <c r="L114" s="7">
        <f>'1 prepared data'!K107</f>
        <v/>
      </c>
      <c r="M114" s="7">
        <f>'1 prepared data'!L107</f>
        <v/>
      </c>
      <c r="N114" s="7">
        <f>'1 prepared data'!M107</f>
        <v/>
      </c>
      <c r="O114" s="7">
        <f>'1 prepared data'!N107</f>
        <v/>
      </c>
      <c r="P114" s="7">
        <f>'1 prepared data'!O107</f>
        <v/>
      </c>
      <c r="Q114" s="7">
        <f>'1 prepared data'!P107</f>
        <v/>
      </c>
      <c r="R114" s="7">
        <f>'1 prepared data'!Q107</f>
        <v/>
      </c>
      <c r="S114" s="7">
        <f>'1 prepared data'!R107</f>
        <v/>
      </c>
      <c r="T114" s="7">
        <f>'1 prepared data'!S107</f>
        <v/>
      </c>
      <c r="U114" s="7">
        <f>'1 prepared data'!T107</f>
        <v/>
      </c>
      <c r="V114" s="8">
        <f>$AC$12+D114*$AC$13+E114*$AC$14+F114*$AC$15+G114*$AC$16+H114*$AC$17+I114*$AC$18+J114*$AC$19+K114*$AC$20+L114*$AC$21+M114*$AC$22+N114*$AC$23+O114*$AC$24+P114*$AC$25+Q114*$AC$26+R114*$AC$27+S114*$AC$28+T114*$AC$29+U114*$AC$30</f>
        <v/>
      </c>
      <c r="W114" s="8">
        <f>1/(1+EXP(-V114))</f>
        <v/>
      </c>
      <c r="X114" s="9">
        <f>-IF(C114=1,LN(W114),LN(1-W114))</f>
        <v/>
      </c>
      <c r="Y114" s="10">
        <f>IF(W114&gt;$AC$33,1,0)</f>
        <v/>
      </c>
      <c r="Z114">
        <f>IF(Y114=C114,1,0)</f>
        <v/>
      </c>
    </row>
    <row r="115">
      <c r="A115">
        <f>'1 prepared data'!A108</f>
        <v/>
      </c>
      <c r="B115" s="5">
        <f>'1 prepared data'!U108</f>
        <v/>
      </c>
      <c r="C115">
        <f>'1 prepared data'!B108</f>
        <v/>
      </c>
      <c r="D115" s="7">
        <f>'1 prepared data'!C108</f>
        <v/>
      </c>
      <c r="E115" s="7">
        <f>'1 prepared data'!D108</f>
        <v/>
      </c>
      <c r="F115" s="7">
        <f>'1 prepared data'!E108</f>
        <v/>
      </c>
      <c r="G115" s="7">
        <f>'1 prepared data'!F108</f>
        <v/>
      </c>
      <c r="H115" s="7">
        <f>'1 prepared data'!G108</f>
        <v/>
      </c>
      <c r="I115" s="7">
        <f>'1 prepared data'!H108</f>
        <v/>
      </c>
      <c r="J115" s="7">
        <f>'1 prepared data'!I108</f>
        <v/>
      </c>
      <c r="K115" s="7">
        <f>'1 prepared data'!J108</f>
        <v/>
      </c>
      <c r="L115" s="7">
        <f>'1 prepared data'!K108</f>
        <v/>
      </c>
      <c r="M115" s="7">
        <f>'1 prepared data'!L108</f>
        <v/>
      </c>
      <c r="N115" s="7">
        <f>'1 prepared data'!M108</f>
        <v/>
      </c>
      <c r="O115" s="7">
        <f>'1 prepared data'!N108</f>
        <v/>
      </c>
      <c r="P115" s="7">
        <f>'1 prepared data'!O108</f>
        <v/>
      </c>
      <c r="Q115" s="7">
        <f>'1 prepared data'!P108</f>
        <v/>
      </c>
      <c r="R115" s="7">
        <f>'1 prepared data'!Q108</f>
        <v/>
      </c>
      <c r="S115" s="7">
        <f>'1 prepared data'!R108</f>
        <v/>
      </c>
      <c r="T115" s="7">
        <f>'1 prepared data'!S108</f>
        <v/>
      </c>
      <c r="U115" s="7">
        <f>'1 prepared data'!T108</f>
        <v/>
      </c>
      <c r="V115" s="8">
        <f>$AC$12+D115*$AC$13+E115*$AC$14+F115*$AC$15+G115*$AC$16+H115*$AC$17+I115*$AC$18+J115*$AC$19+K115*$AC$20+L115*$AC$21+M115*$AC$22+N115*$AC$23+O115*$AC$24+P115*$AC$25+Q115*$AC$26+R115*$AC$27+S115*$AC$28+T115*$AC$29+U115*$AC$30</f>
        <v/>
      </c>
      <c r="W115" s="8">
        <f>1/(1+EXP(-V115))</f>
        <v/>
      </c>
      <c r="X115" s="9">
        <f>-IF(C115=1,LN(W115),LN(1-W115))</f>
        <v/>
      </c>
      <c r="Y115" s="10">
        <f>IF(W115&gt;$AC$33,1,0)</f>
        <v/>
      </c>
      <c r="Z115">
        <f>IF(Y115=C115,1,0)</f>
        <v/>
      </c>
    </row>
    <row r="116">
      <c r="A116">
        <f>'1 prepared data'!A109</f>
        <v/>
      </c>
      <c r="B116" s="5">
        <f>'1 prepared data'!U109</f>
        <v/>
      </c>
      <c r="C116">
        <f>'1 prepared data'!B109</f>
        <v/>
      </c>
      <c r="D116" s="7">
        <f>'1 prepared data'!C109</f>
        <v/>
      </c>
      <c r="E116" s="7">
        <f>'1 prepared data'!D109</f>
        <v/>
      </c>
      <c r="F116" s="7">
        <f>'1 prepared data'!E109</f>
        <v/>
      </c>
      <c r="G116" s="7">
        <f>'1 prepared data'!F109</f>
        <v/>
      </c>
      <c r="H116" s="7">
        <f>'1 prepared data'!G109</f>
        <v/>
      </c>
      <c r="I116" s="7">
        <f>'1 prepared data'!H109</f>
        <v/>
      </c>
      <c r="J116" s="7">
        <f>'1 prepared data'!I109</f>
        <v/>
      </c>
      <c r="K116" s="7">
        <f>'1 prepared data'!J109</f>
        <v/>
      </c>
      <c r="L116" s="7">
        <f>'1 prepared data'!K109</f>
        <v/>
      </c>
      <c r="M116" s="7">
        <f>'1 prepared data'!L109</f>
        <v/>
      </c>
      <c r="N116" s="7">
        <f>'1 prepared data'!M109</f>
        <v/>
      </c>
      <c r="O116" s="7">
        <f>'1 prepared data'!N109</f>
        <v/>
      </c>
      <c r="P116" s="7">
        <f>'1 prepared data'!O109</f>
        <v/>
      </c>
      <c r="Q116" s="7">
        <f>'1 prepared data'!P109</f>
        <v/>
      </c>
      <c r="R116" s="7">
        <f>'1 prepared data'!Q109</f>
        <v/>
      </c>
      <c r="S116" s="7">
        <f>'1 prepared data'!R109</f>
        <v/>
      </c>
      <c r="T116" s="7">
        <f>'1 prepared data'!S109</f>
        <v/>
      </c>
      <c r="U116" s="7">
        <f>'1 prepared data'!T109</f>
        <v/>
      </c>
      <c r="V116" s="8">
        <f>$AC$12+D116*$AC$13+E116*$AC$14+F116*$AC$15+G116*$AC$16+H116*$AC$17+I116*$AC$18+J116*$AC$19+K116*$AC$20+L116*$AC$21+M116*$AC$22+N116*$AC$23+O116*$AC$24+P116*$AC$25+Q116*$AC$26+R116*$AC$27+S116*$AC$28+T116*$AC$29+U116*$AC$30</f>
        <v/>
      </c>
      <c r="W116" s="8">
        <f>1/(1+EXP(-V116))</f>
        <v/>
      </c>
      <c r="X116" s="9">
        <f>-IF(C116=1,LN(W116),LN(1-W116))</f>
        <v/>
      </c>
      <c r="Y116" s="10">
        <f>IF(W116&gt;$AC$33,1,0)</f>
        <v/>
      </c>
      <c r="Z116">
        <f>IF(Y116=C116,1,0)</f>
        <v/>
      </c>
    </row>
    <row r="117">
      <c r="A117">
        <f>'1 prepared data'!A110</f>
        <v/>
      </c>
      <c r="B117" s="5">
        <f>'1 prepared data'!U110</f>
        <v/>
      </c>
      <c r="C117">
        <f>'1 prepared data'!B110</f>
        <v/>
      </c>
      <c r="D117" s="7">
        <f>'1 prepared data'!C110</f>
        <v/>
      </c>
      <c r="E117" s="7">
        <f>'1 prepared data'!D110</f>
        <v/>
      </c>
      <c r="F117" s="7">
        <f>'1 prepared data'!E110</f>
        <v/>
      </c>
      <c r="G117" s="7">
        <f>'1 prepared data'!F110</f>
        <v/>
      </c>
      <c r="H117" s="7">
        <f>'1 prepared data'!G110</f>
        <v/>
      </c>
      <c r="I117" s="7">
        <f>'1 prepared data'!H110</f>
        <v/>
      </c>
      <c r="J117" s="7">
        <f>'1 prepared data'!I110</f>
        <v/>
      </c>
      <c r="K117" s="7">
        <f>'1 prepared data'!J110</f>
        <v/>
      </c>
      <c r="L117" s="7">
        <f>'1 prepared data'!K110</f>
        <v/>
      </c>
      <c r="M117" s="7">
        <f>'1 prepared data'!L110</f>
        <v/>
      </c>
      <c r="N117" s="7">
        <f>'1 prepared data'!M110</f>
        <v/>
      </c>
      <c r="O117" s="7">
        <f>'1 prepared data'!N110</f>
        <v/>
      </c>
      <c r="P117" s="7">
        <f>'1 prepared data'!O110</f>
        <v/>
      </c>
      <c r="Q117" s="7">
        <f>'1 prepared data'!P110</f>
        <v/>
      </c>
      <c r="R117" s="7">
        <f>'1 prepared data'!Q110</f>
        <v/>
      </c>
      <c r="S117" s="7">
        <f>'1 prepared data'!R110</f>
        <v/>
      </c>
      <c r="T117" s="7">
        <f>'1 prepared data'!S110</f>
        <v/>
      </c>
      <c r="U117" s="7">
        <f>'1 prepared data'!T110</f>
        <v/>
      </c>
      <c r="V117" s="8">
        <f>$AC$12+D117*$AC$13+E117*$AC$14+F117*$AC$15+G117*$AC$16+H117*$AC$17+I117*$AC$18+J117*$AC$19+K117*$AC$20+L117*$AC$21+M117*$AC$22+N117*$AC$23+O117*$AC$24+P117*$AC$25+Q117*$AC$26+R117*$AC$27+S117*$AC$28+T117*$AC$29+U117*$AC$30</f>
        <v/>
      </c>
      <c r="W117" s="8">
        <f>1/(1+EXP(-V117))</f>
        <v/>
      </c>
      <c r="X117" s="9">
        <f>-IF(C117=1,LN(W117),LN(1-W117))</f>
        <v/>
      </c>
      <c r="Y117" s="10">
        <f>IF(W117&gt;$AC$33,1,0)</f>
        <v/>
      </c>
      <c r="Z117">
        <f>IF(Y117=C117,1,0)</f>
        <v/>
      </c>
    </row>
    <row r="118">
      <c r="A118">
        <f>'1 prepared data'!A111</f>
        <v/>
      </c>
      <c r="B118" s="5">
        <f>'1 prepared data'!U111</f>
        <v/>
      </c>
      <c r="C118">
        <f>'1 prepared data'!B111</f>
        <v/>
      </c>
      <c r="D118" s="7">
        <f>'1 prepared data'!C111</f>
        <v/>
      </c>
      <c r="E118" s="7">
        <f>'1 prepared data'!D111</f>
        <v/>
      </c>
      <c r="F118" s="7">
        <f>'1 prepared data'!E111</f>
        <v/>
      </c>
      <c r="G118" s="7">
        <f>'1 prepared data'!F111</f>
        <v/>
      </c>
      <c r="H118" s="7">
        <f>'1 prepared data'!G111</f>
        <v/>
      </c>
      <c r="I118" s="7">
        <f>'1 prepared data'!H111</f>
        <v/>
      </c>
      <c r="J118" s="7">
        <f>'1 prepared data'!I111</f>
        <v/>
      </c>
      <c r="K118" s="7">
        <f>'1 prepared data'!J111</f>
        <v/>
      </c>
      <c r="L118" s="7">
        <f>'1 prepared data'!K111</f>
        <v/>
      </c>
      <c r="M118" s="7">
        <f>'1 prepared data'!L111</f>
        <v/>
      </c>
      <c r="N118" s="7">
        <f>'1 prepared data'!M111</f>
        <v/>
      </c>
      <c r="O118" s="7">
        <f>'1 prepared data'!N111</f>
        <v/>
      </c>
      <c r="P118" s="7">
        <f>'1 prepared data'!O111</f>
        <v/>
      </c>
      <c r="Q118" s="7">
        <f>'1 prepared data'!P111</f>
        <v/>
      </c>
      <c r="R118" s="7">
        <f>'1 prepared data'!Q111</f>
        <v/>
      </c>
      <c r="S118" s="7">
        <f>'1 prepared data'!R111</f>
        <v/>
      </c>
      <c r="T118" s="7">
        <f>'1 prepared data'!S111</f>
        <v/>
      </c>
      <c r="U118" s="7">
        <f>'1 prepared data'!T111</f>
        <v/>
      </c>
      <c r="V118" s="8">
        <f>$AC$12+D118*$AC$13+E118*$AC$14+F118*$AC$15+G118*$AC$16+H118*$AC$17+I118*$AC$18+J118*$AC$19+K118*$AC$20+L118*$AC$21+M118*$AC$22+N118*$AC$23+O118*$AC$24+P118*$AC$25+Q118*$AC$26+R118*$AC$27+S118*$AC$28+T118*$AC$29+U118*$AC$30</f>
        <v/>
      </c>
      <c r="W118" s="8">
        <f>1/(1+EXP(-V118))</f>
        <v/>
      </c>
      <c r="X118" s="9">
        <f>-IF(C118=1,LN(W118),LN(1-W118))</f>
        <v/>
      </c>
      <c r="Y118" s="10">
        <f>IF(W118&gt;$AC$33,1,0)</f>
        <v/>
      </c>
      <c r="Z118">
        <f>IF(Y118=C118,1,0)</f>
        <v/>
      </c>
    </row>
    <row r="119">
      <c r="A119">
        <f>'1 prepared data'!A112</f>
        <v/>
      </c>
      <c r="B119" s="5">
        <f>'1 prepared data'!U112</f>
        <v/>
      </c>
      <c r="C119">
        <f>'1 prepared data'!B112</f>
        <v/>
      </c>
      <c r="D119" s="7">
        <f>'1 prepared data'!C112</f>
        <v/>
      </c>
      <c r="E119" s="7">
        <f>'1 prepared data'!D112</f>
        <v/>
      </c>
      <c r="F119" s="7">
        <f>'1 prepared data'!E112</f>
        <v/>
      </c>
      <c r="G119" s="7">
        <f>'1 prepared data'!F112</f>
        <v/>
      </c>
      <c r="H119" s="7">
        <f>'1 prepared data'!G112</f>
        <v/>
      </c>
      <c r="I119" s="7">
        <f>'1 prepared data'!H112</f>
        <v/>
      </c>
      <c r="J119" s="7">
        <f>'1 prepared data'!I112</f>
        <v/>
      </c>
      <c r="K119" s="7">
        <f>'1 prepared data'!J112</f>
        <v/>
      </c>
      <c r="L119" s="7">
        <f>'1 prepared data'!K112</f>
        <v/>
      </c>
      <c r="M119" s="7">
        <f>'1 prepared data'!L112</f>
        <v/>
      </c>
      <c r="N119" s="7">
        <f>'1 prepared data'!M112</f>
        <v/>
      </c>
      <c r="O119" s="7">
        <f>'1 prepared data'!N112</f>
        <v/>
      </c>
      <c r="P119" s="7">
        <f>'1 prepared data'!O112</f>
        <v/>
      </c>
      <c r="Q119" s="7">
        <f>'1 prepared data'!P112</f>
        <v/>
      </c>
      <c r="R119" s="7">
        <f>'1 prepared data'!Q112</f>
        <v/>
      </c>
      <c r="S119" s="7">
        <f>'1 prepared data'!R112</f>
        <v/>
      </c>
      <c r="T119" s="7">
        <f>'1 prepared data'!S112</f>
        <v/>
      </c>
      <c r="U119" s="7">
        <f>'1 prepared data'!T112</f>
        <v/>
      </c>
      <c r="V119" s="8">
        <f>$AC$12+D119*$AC$13+E119*$AC$14+F119*$AC$15+G119*$AC$16+H119*$AC$17+I119*$AC$18+J119*$AC$19+K119*$AC$20+L119*$AC$21+M119*$AC$22+N119*$AC$23+O119*$AC$24+P119*$AC$25+Q119*$AC$26+R119*$AC$27+S119*$AC$28+T119*$AC$29+U119*$AC$30</f>
        <v/>
      </c>
      <c r="W119" s="8">
        <f>1/(1+EXP(-V119))</f>
        <v/>
      </c>
      <c r="X119" s="9">
        <f>-IF(C119=1,LN(W119),LN(1-W119))</f>
        <v/>
      </c>
      <c r="Y119" s="10">
        <f>IF(W119&gt;$AC$33,1,0)</f>
        <v/>
      </c>
      <c r="Z119">
        <f>IF(Y119=C119,1,0)</f>
        <v/>
      </c>
    </row>
    <row r="120">
      <c r="A120">
        <f>'1 prepared data'!A113</f>
        <v/>
      </c>
      <c r="B120" s="5">
        <f>'1 prepared data'!U113</f>
        <v/>
      </c>
      <c r="C120">
        <f>'1 prepared data'!B113</f>
        <v/>
      </c>
      <c r="D120" s="7">
        <f>'1 prepared data'!C113</f>
        <v/>
      </c>
      <c r="E120" s="7">
        <f>'1 prepared data'!D113</f>
        <v/>
      </c>
      <c r="F120" s="7">
        <f>'1 prepared data'!E113</f>
        <v/>
      </c>
      <c r="G120" s="7">
        <f>'1 prepared data'!F113</f>
        <v/>
      </c>
      <c r="H120" s="7">
        <f>'1 prepared data'!G113</f>
        <v/>
      </c>
      <c r="I120" s="7">
        <f>'1 prepared data'!H113</f>
        <v/>
      </c>
      <c r="J120" s="7">
        <f>'1 prepared data'!I113</f>
        <v/>
      </c>
      <c r="K120" s="7">
        <f>'1 prepared data'!J113</f>
        <v/>
      </c>
      <c r="L120" s="7">
        <f>'1 prepared data'!K113</f>
        <v/>
      </c>
      <c r="M120" s="7">
        <f>'1 prepared data'!L113</f>
        <v/>
      </c>
      <c r="N120" s="7">
        <f>'1 prepared data'!M113</f>
        <v/>
      </c>
      <c r="O120" s="7">
        <f>'1 prepared data'!N113</f>
        <v/>
      </c>
      <c r="P120" s="7">
        <f>'1 prepared data'!O113</f>
        <v/>
      </c>
      <c r="Q120" s="7">
        <f>'1 prepared data'!P113</f>
        <v/>
      </c>
      <c r="R120" s="7">
        <f>'1 prepared data'!Q113</f>
        <v/>
      </c>
      <c r="S120" s="7">
        <f>'1 prepared data'!R113</f>
        <v/>
      </c>
      <c r="T120" s="7">
        <f>'1 prepared data'!S113</f>
        <v/>
      </c>
      <c r="U120" s="7">
        <f>'1 prepared data'!T113</f>
        <v/>
      </c>
      <c r="V120" s="8">
        <f>$AC$12+D120*$AC$13+E120*$AC$14+F120*$AC$15+G120*$AC$16+H120*$AC$17+I120*$AC$18+J120*$AC$19+K120*$AC$20+L120*$AC$21+M120*$AC$22+N120*$AC$23+O120*$AC$24+P120*$AC$25+Q120*$AC$26+R120*$AC$27+S120*$AC$28+T120*$AC$29+U120*$AC$30</f>
        <v/>
      </c>
      <c r="W120" s="8">
        <f>1/(1+EXP(-V120))</f>
        <v/>
      </c>
      <c r="X120" s="9">
        <f>-IF(C120=1,LN(W120),LN(1-W120))</f>
        <v/>
      </c>
      <c r="Y120" s="10">
        <f>IF(W120&gt;$AC$33,1,0)</f>
        <v/>
      </c>
      <c r="Z120">
        <f>IF(Y120=C120,1,0)</f>
        <v/>
      </c>
    </row>
    <row r="121">
      <c r="A121">
        <f>'1 prepared data'!A114</f>
        <v/>
      </c>
      <c r="B121" s="5">
        <f>'1 prepared data'!U114</f>
        <v/>
      </c>
      <c r="C121">
        <f>'1 prepared data'!B114</f>
        <v/>
      </c>
      <c r="D121" s="7">
        <f>'1 prepared data'!C114</f>
        <v/>
      </c>
      <c r="E121" s="7">
        <f>'1 prepared data'!D114</f>
        <v/>
      </c>
      <c r="F121" s="7">
        <f>'1 prepared data'!E114</f>
        <v/>
      </c>
      <c r="G121" s="7">
        <f>'1 prepared data'!F114</f>
        <v/>
      </c>
      <c r="H121" s="7">
        <f>'1 prepared data'!G114</f>
        <v/>
      </c>
      <c r="I121" s="7">
        <f>'1 prepared data'!H114</f>
        <v/>
      </c>
      <c r="J121" s="7">
        <f>'1 prepared data'!I114</f>
        <v/>
      </c>
      <c r="K121" s="7">
        <f>'1 prepared data'!J114</f>
        <v/>
      </c>
      <c r="L121" s="7">
        <f>'1 prepared data'!K114</f>
        <v/>
      </c>
      <c r="M121" s="7">
        <f>'1 prepared data'!L114</f>
        <v/>
      </c>
      <c r="N121" s="7">
        <f>'1 prepared data'!M114</f>
        <v/>
      </c>
      <c r="O121" s="7">
        <f>'1 prepared data'!N114</f>
        <v/>
      </c>
      <c r="P121" s="7">
        <f>'1 prepared data'!O114</f>
        <v/>
      </c>
      <c r="Q121" s="7">
        <f>'1 prepared data'!P114</f>
        <v/>
      </c>
      <c r="R121" s="7">
        <f>'1 prepared data'!Q114</f>
        <v/>
      </c>
      <c r="S121" s="7">
        <f>'1 prepared data'!R114</f>
        <v/>
      </c>
      <c r="T121" s="7">
        <f>'1 prepared data'!S114</f>
        <v/>
      </c>
      <c r="U121" s="7">
        <f>'1 prepared data'!T114</f>
        <v/>
      </c>
      <c r="V121" s="8">
        <f>$AC$12+D121*$AC$13+E121*$AC$14+F121*$AC$15+G121*$AC$16+H121*$AC$17+I121*$AC$18+J121*$AC$19+K121*$AC$20+L121*$AC$21+M121*$AC$22+N121*$AC$23+O121*$AC$24+P121*$AC$25+Q121*$AC$26+R121*$AC$27+S121*$AC$28+T121*$AC$29+U121*$AC$30</f>
        <v/>
      </c>
      <c r="W121" s="8">
        <f>1/(1+EXP(-V121))</f>
        <v/>
      </c>
      <c r="X121" s="9">
        <f>-IF(C121=1,LN(W121),LN(1-W121))</f>
        <v/>
      </c>
      <c r="Y121" s="10">
        <f>IF(W121&gt;$AC$33,1,0)</f>
        <v/>
      </c>
      <c r="Z121">
        <f>IF(Y121=C121,1,0)</f>
        <v/>
      </c>
    </row>
    <row r="122">
      <c r="A122">
        <f>'1 prepared data'!A115</f>
        <v/>
      </c>
      <c r="B122" s="5">
        <f>'1 prepared data'!U115</f>
        <v/>
      </c>
      <c r="C122">
        <f>'1 prepared data'!B115</f>
        <v/>
      </c>
      <c r="D122" s="7">
        <f>'1 prepared data'!C115</f>
        <v/>
      </c>
      <c r="E122" s="7">
        <f>'1 prepared data'!D115</f>
        <v/>
      </c>
      <c r="F122" s="7">
        <f>'1 prepared data'!E115</f>
        <v/>
      </c>
      <c r="G122" s="7">
        <f>'1 prepared data'!F115</f>
        <v/>
      </c>
      <c r="H122" s="7">
        <f>'1 prepared data'!G115</f>
        <v/>
      </c>
      <c r="I122" s="7">
        <f>'1 prepared data'!H115</f>
        <v/>
      </c>
      <c r="J122" s="7">
        <f>'1 prepared data'!I115</f>
        <v/>
      </c>
      <c r="K122" s="7">
        <f>'1 prepared data'!J115</f>
        <v/>
      </c>
      <c r="L122" s="7">
        <f>'1 prepared data'!K115</f>
        <v/>
      </c>
      <c r="M122" s="7">
        <f>'1 prepared data'!L115</f>
        <v/>
      </c>
      <c r="N122" s="7">
        <f>'1 prepared data'!M115</f>
        <v/>
      </c>
      <c r="O122" s="7">
        <f>'1 prepared data'!N115</f>
        <v/>
      </c>
      <c r="P122" s="7">
        <f>'1 prepared data'!O115</f>
        <v/>
      </c>
      <c r="Q122" s="7">
        <f>'1 prepared data'!P115</f>
        <v/>
      </c>
      <c r="R122" s="7">
        <f>'1 prepared data'!Q115</f>
        <v/>
      </c>
      <c r="S122" s="7">
        <f>'1 prepared data'!R115</f>
        <v/>
      </c>
      <c r="T122" s="7">
        <f>'1 prepared data'!S115</f>
        <v/>
      </c>
      <c r="U122" s="7">
        <f>'1 prepared data'!T115</f>
        <v/>
      </c>
      <c r="V122" s="8">
        <f>$AC$12+D122*$AC$13+E122*$AC$14+F122*$AC$15+G122*$AC$16+H122*$AC$17+I122*$AC$18+J122*$AC$19+K122*$AC$20+L122*$AC$21+M122*$AC$22+N122*$AC$23+O122*$AC$24+P122*$AC$25+Q122*$AC$26+R122*$AC$27+S122*$AC$28+T122*$AC$29+U122*$AC$30</f>
        <v/>
      </c>
      <c r="W122" s="8">
        <f>1/(1+EXP(-V122))</f>
        <v/>
      </c>
      <c r="X122" s="9">
        <f>-IF(C122=1,LN(W122),LN(1-W122))</f>
        <v/>
      </c>
      <c r="Y122" s="10">
        <f>IF(W122&gt;$AC$33,1,0)</f>
        <v/>
      </c>
      <c r="Z122">
        <f>IF(Y122=C122,1,0)</f>
        <v/>
      </c>
    </row>
    <row r="123">
      <c r="A123">
        <f>'1 prepared data'!A116</f>
        <v/>
      </c>
      <c r="B123" s="5">
        <f>'1 prepared data'!U116</f>
        <v/>
      </c>
      <c r="C123">
        <f>'1 prepared data'!B116</f>
        <v/>
      </c>
      <c r="D123" s="7">
        <f>'1 prepared data'!C116</f>
        <v/>
      </c>
      <c r="E123" s="7">
        <f>'1 prepared data'!D116</f>
        <v/>
      </c>
      <c r="F123" s="7">
        <f>'1 prepared data'!E116</f>
        <v/>
      </c>
      <c r="G123" s="7">
        <f>'1 prepared data'!F116</f>
        <v/>
      </c>
      <c r="H123" s="7">
        <f>'1 prepared data'!G116</f>
        <v/>
      </c>
      <c r="I123" s="7">
        <f>'1 prepared data'!H116</f>
        <v/>
      </c>
      <c r="J123" s="7">
        <f>'1 prepared data'!I116</f>
        <v/>
      </c>
      <c r="K123" s="7">
        <f>'1 prepared data'!J116</f>
        <v/>
      </c>
      <c r="L123" s="7">
        <f>'1 prepared data'!K116</f>
        <v/>
      </c>
      <c r="M123" s="7">
        <f>'1 prepared data'!L116</f>
        <v/>
      </c>
      <c r="N123" s="7">
        <f>'1 prepared data'!M116</f>
        <v/>
      </c>
      <c r="O123" s="7">
        <f>'1 prepared data'!N116</f>
        <v/>
      </c>
      <c r="P123" s="7">
        <f>'1 prepared data'!O116</f>
        <v/>
      </c>
      <c r="Q123" s="7">
        <f>'1 prepared data'!P116</f>
        <v/>
      </c>
      <c r="R123" s="7">
        <f>'1 prepared data'!Q116</f>
        <v/>
      </c>
      <c r="S123" s="7">
        <f>'1 prepared data'!R116</f>
        <v/>
      </c>
      <c r="T123" s="7">
        <f>'1 prepared data'!S116</f>
        <v/>
      </c>
      <c r="U123" s="7">
        <f>'1 prepared data'!T116</f>
        <v/>
      </c>
      <c r="V123" s="8">
        <f>$AC$12+D123*$AC$13+E123*$AC$14+F123*$AC$15+G123*$AC$16+H123*$AC$17+I123*$AC$18+J123*$AC$19+K123*$AC$20+L123*$AC$21+M123*$AC$22+N123*$AC$23+O123*$AC$24+P123*$AC$25+Q123*$AC$26+R123*$AC$27+S123*$AC$28+T123*$AC$29+U123*$AC$30</f>
        <v/>
      </c>
      <c r="W123" s="8">
        <f>1/(1+EXP(-V123))</f>
        <v/>
      </c>
      <c r="X123" s="9">
        <f>-IF(C123=1,LN(W123),LN(1-W123))</f>
        <v/>
      </c>
      <c r="Y123" s="10">
        <f>IF(W123&gt;$AC$33,1,0)</f>
        <v/>
      </c>
      <c r="Z123">
        <f>IF(Y123=C123,1,0)</f>
        <v/>
      </c>
    </row>
    <row r="124">
      <c r="A124">
        <f>'1 prepared data'!A117</f>
        <v/>
      </c>
      <c r="B124" s="5">
        <f>'1 prepared data'!U117</f>
        <v/>
      </c>
      <c r="C124">
        <f>'1 prepared data'!B117</f>
        <v/>
      </c>
      <c r="D124" s="7">
        <f>'1 prepared data'!C117</f>
        <v/>
      </c>
      <c r="E124" s="7">
        <f>'1 prepared data'!D117</f>
        <v/>
      </c>
      <c r="F124" s="7">
        <f>'1 prepared data'!E117</f>
        <v/>
      </c>
      <c r="G124" s="7">
        <f>'1 prepared data'!F117</f>
        <v/>
      </c>
      <c r="H124" s="7">
        <f>'1 prepared data'!G117</f>
        <v/>
      </c>
      <c r="I124" s="7">
        <f>'1 prepared data'!H117</f>
        <v/>
      </c>
      <c r="J124" s="7">
        <f>'1 prepared data'!I117</f>
        <v/>
      </c>
      <c r="K124" s="7">
        <f>'1 prepared data'!J117</f>
        <v/>
      </c>
      <c r="L124" s="7">
        <f>'1 prepared data'!K117</f>
        <v/>
      </c>
      <c r="M124" s="7">
        <f>'1 prepared data'!L117</f>
        <v/>
      </c>
      <c r="N124" s="7">
        <f>'1 prepared data'!M117</f>
        <v/>
      </c>
      <c r="O124" s="7">
        <f>'1 prepared data'!N117</f>
        <v/>
      </c>
      <c r="P124" s="7">
        <f>'1 prepared data'!O117</f>
        <v/>
      </c>
      <c r="Q124" s="7">
        <f>'1 prepared data'!P117</f>
        <v/>
      </c>
      <c r="R124" s="7">
        <f>'1 prepared data'!Q117</f>
        <v/>
      </c>
      <c r="S124" s="7">
        <f>'1 prepared data'!R117</f>
        <v/>
      </c>
      <c r="T124" s="7">
        <f>'1 prepared data'!S117</f>
        <v/>
      </c>
      <c r="U124" s="7">
        <f>'1 prepared data'!T117</f>
        <v/>
      </c>
      <c r="V124" s="8">
        <f>$AC$12+D124*$AC$13+E124*$AC$14+F124*$AC$15+G124*$AC$16+H124*$AC$17+I124*$AC$18+J124*$AC$19+K124*$AC$20+L124*$AC$21+M124*$AC$22+N124*$AC$23+O124*$AC$24+P124*$AC$25+Q124*$AC$26+R124*$AC$27+S124*$AC$28+T124*$AC$29+U124*$AC$30</f>
        <v/>
      </c>
      <c r="W124" s="8">
        <f>1/(1+EXP(-V124))</f>
        <v/>
      </c>
      <c r="X124" s="9">
        <f>-IF(C124=1,LN(W124),LN(1-W124))</f>
        <v/>
      </c>
      <c r="Y124" s="10">
        <f>IF(W124&gt;$AC$33,1,0)</f>
        <v/>
      </c>
      <c r="Z124">
        <f>IF(Y124=C124,1,0)</f>
        <v/>
      </c>
    </row>
    <row r="125">
      <c r="A125">
        <f>'1 prepared data'!A118</f>
        <v/>
      </c>
      <c r="B125" s="5">
        <f>'1 prepared data'!U118</f>
        <v/>
      </c>
      <c r="C125">
        <f>'1 prepared data'!B118</f>
        <v/>
      </c>
      <c r="D125" s="7">
        <f>'1 prepared data'!C118</f>
        <v/>
      </c>
      <c r="E125" s="7">
        <f>'1 prepared data'!D118</f>
        <v/>
      </c>
      <c r="F125" s="7">
        <f>'1 prepared data'!E118</f>
        <v/>
      </c>
      <c r="G125" s="7">
        <f>'1 prepared data'!F118</f>
        <v/>
      </c>
      <c r="H125" s="7">
        <f>'1 prepared data'!G118</f>
        <v/>
      </c>
      <c r="I125" s="7">
        <f>'1 prepared data'!H118</f>
        <v/>
      </c>
      <c r="J125" s="7">
        <f>'1 prepared data'!I118</f>
        <v/>
      </c>
      <c r="K125" s="7">
        <f>'1 prepared data'!J118</f>
        <v/>
      </c>
      <c r="L125" s="7">
        <f>'1 prepared data'!K118</f>
        <v/>
      </c>
      <c r="M125" s="7">
        <f>'1 prepared data'!L118</f>
        <v/>
      </c>
      <c r="N125" s="7">
        <f>'1 prepared data'!M118</f>
        <v/>
      </c>
      <c r="O125" s="7">
        <f>'1 prepared data'!N118</f>
        <v/>
      </c>
      <c r="P125" s="7">
        <f>'1 prepared data'!O118</f>
        <v/>
      </c>
      <c r="Q125" s="7">
        <f>'1 prepared data'!P118</f>
        <v/>
      </c>
      <c r="R125" s="7">
        <f>'1 prepared data'!Q118</f>
        <v/>
      </c>
      <c r="S125" s="7">
        <f>'1 prepared data'!R118</f>
        <v/>
      </c>
      <c r="T125" s="7">
        <f>'1 prepared data'!S118</f>
        <v/>
      </c>
      <c r="U125" s="7">
        <f>'1 prepared data'!T118</f>
        <v/>
      </c>
      <c r="V125" s="8">
        <f>$AC$12+D125*$AC$13+E125*$AC$14+F125*$AC$15+G125*$AC$16+H125*$AC$17+I125*$AC$18+J125*$AC$19+K125*$AC$20+L125*$AC$21+M125*$AC$22+N125*$AC$23+O125*$AC$24+P125*$AC$25+Q125*$AC$26+R125*$AC$27+S125*$AC$28+T125*$AC$29+U125*$AC$30</f>
        <v/>
      </c>
      <c r="W125" s="8">
        <f>1/(1+EXP(-V125))</f>
        <v/>
      </c>
      <c r="X125" s="9">
        <f>-IF(C125=1,LN(W125),LN(1-W125))</f>
        <v/>
      </c>
      <c r="Y125" s="10">
        <f>IF(W125&gt;$AC$33,1,0)</f>
        <v/>
      </c>
      <c r="Z125">
        <f>IF(Y125=C125,1,0)</f>
        <v/>
      </c>
    </row>
    <row r="126">
      <c r="A126">
        <f>'1 prepared data'!A119</f>
        <v/>
      </c>
      <c r="B126" s="5">
        <f>'1 prepared data'!U119</f>
        <v/>
      </c>
      <c r="C126">
        <f>'1 prepared data'!B119</f>
        <v/>
      </c>
      <c r="D126" s="7">
        <f>'1 prepared data'!C119</f>
        <v/>
      </c>
      <c r="E126" s="7">
        <f>'1 prepared data'!D119</f>
        <v/>
      </c>
      <c r="F126" s="7">
        <f>'1 prepared data'!E119</f>
        <v/>
      </c>
      <c r="G126" s="7">
        <f>'1 prepared data'!F119</f>
        <v/>
      </c>
      <c r="H126" s="7">
        <f>'1 prepared data'!G119</f>
        <v/>
      </c>
      <c r="I126" s="7">
        <f>'1 prepared data'!H119</f>
        <v/>
      </c>
      <c r="J126" s="7">
        <f>'1 prepared data'!I119</f>
        <v/>
      </c>
      <c r="K126" s="7">
        <f>'1 prepared data'!J119</f>
        <v/>
      </c>
      <c r="L126" s="7">
        <f>'1 prepared data'!K119</f>
        <v/>
      </c>
      <c r="M126" s="7">
        <f>'1 prepared data'!L119</f>
        <v/>
      </c>
      <c r="N126" s="7">
        <f>'1 prepared data'!M119</f>
        <v/>
      </c>
      <c r="O126" s="7">
        <f>'1 prepared data'!N119</f>
        <v/>
      </c>
      <c r="P126" s="7">
        <f>'1 prepared data'!O119</f>
        <v/>
      </c>
      <c r="Q126" s="7">
        <f>'1 prepared data'!P119</f>
        <v/>
      </c>
      <c r="R126" s="7">
        <f>'1 prepared data'!Q119</f>
        <v/>
      </c>
      <c r="S126" s="7">
        <f>'1 prepared data'!R119</f>
        <v/>
      </c>
      <c r="T126" s="7">
        <f>'1 prepared data'!S119</f>
        <v/>
      </c>
      <c r="U126" s="7">
        <f>'1 prepared data'!T119</f>
        <v/>
      </c>
      <c r="V126" s="8">
        <f>$AC$12+D126*$AC$13+E126*$AC$14+F126*$AC$15+G126*$AC$16+H126*$AC$17+I126*$AC$18+J126*$AC$19+K126*$AC$20+L126*$AC$21+M126*$AC$22+N126*$AC$23+O126*$AC$24+P126*$AC$25+Q126*$AC$26+R126*$AC$27+S126*$AC$28+T126*$AC$29+U126*$AC$30</f>
        <v/>
      </c>
      <c r="W126" s="8">
        <f>1/(1+EXP(-V126))</f>
        <v/>
      </c>
      <c r="X126" s="9">
        <f>-IF(C126=1,LN(W126),LN(1-W126))</f>
        <v/>
      </c>
      <c r="Y126" s="10">
        <f>IF(W126&gt;$AC$33,1,0)</f>
        <v/>
      </c>
      <c r="Z126">
        <f>IF(Y126=C126,1,0)</f>
        <v/>
      </c>
    </row>
    <row r="127">
      <c r="A127">
        <f>'1 prepared data'!A120</f>
        <v/>
      </c>
      <c r="B127" s="5">
        <f>'1 prepared data'!U120</f>
        <v/>
      </c>
      <c r="C127">
        <f>'1 prepared data'!B120</f>
        <v/>
      </c>
      <c r="D127" s="7">
        <f>'1 prepared data'!C120</f>
        <v/>
      </c>
      <c r="E127" s="7">
        <f>'1 prepared data'!D120</f>
        <v/>
      </c>
      <c r="F127" s="7">
        <f>'1 prepared data'!E120</f>
        <v/>
      </c>
      <c r="G127" s="7">
        <f>'1 prepared data'!F120</f>
        <v/>
      </c>
      <c r="H127" s="7">
        <f>'1 prepared data'!G120</f>
        <v/>
      </c>
      <c r="I127" s="7">
        <f>'1 prepared data'!H120</f>
        <v/>
      </c>
      <c r="J127" s="7">
        <f>'1 prepared data'!I120</f>
        <v/>
      </c>
      <c r="K127" s="7">
        <f>'1 prepared data'!J120</f>
        <v/>
      </c>
      <c r="L127" s="7">
        <f>'1 prepared data'!K120</f>
        <v/>
      </c>
      <c r="M127" s="7">
        <f>'1 prepared data'!L120</f>
        <v/>
      </c>
      <c r="N127" s="7">
        <f>'1 prepared data'!M120</f>
        <v/>
      </c>
      <c r="O127" s="7">
        <f>'1 prepared data'!N120</f>
        <v/>
      </c>
      <c r="P127" s="7">
        <f>'1 prepared data'!O120</f>
        <v/>
      </c>
      <c r="Q127" s="7">
        <f>'1 prepared data'!P120</f>
        <v/>
      </c>
      <c r="R127" s="7">
        <f>'1 prepared data'!Q120</f>
        <v/>
      </c>
      <c r="S127" s="7">
        <f>'1 prepared data'!R120</f>
        <v/>
      </c>
      <c r="T127" s="7">
        <f>'1 prepared data'!S120</f>
        <v/>
      </c>
      <c r="U127" s="7">
        <f>'1 prepared data'!T120</f>
        <v/>
      </c>
      <c r="V127" s="8">
        <f>$AC$12+D127*$AC$13+E127*$AC$14+F127*$AC$15+G127*$AC$16+H127*$AC$17+I127*$AC$18+J127*$AC$19+K127*$AC$20+L127*$AC$21+M127*$AC$22+N127*$AC$23+O127*$AC$24+P127*$AC$25+Q127*$AC$26+R127*$AC$27+S127*$AC$28+T127*$AC$29+U127*$AC$30</f>
        <v/>
      </c>
      <c r="W127" s="8">
        <f>1/(1+EXP(-V127))</f>
        <v/>
      </c>
      <c r="X127" s="9">
        <f>-IF(C127=1,LN(W127),LN(1-W127))</f>
        <v/>
      </c>
      <c r="Y127" s="10">
        <f>IF(W127&gt;$AC$33,1,0)</f>
        <v/>
      </c>
      <c r="Z127">
        <f>IF(Y127=C127,1,0)</f>
        <v/>
      </c>
    </row>
    <row r="128">
      <c r="A128">
        <f>'1 prepared data'!A121</f>
        <v/>
      </c>
      <c r="B128" s="5">
        <f>'1 prepared data'!U121</f>
        <v/>
      </c>
      <c r="C128">
        <f>'1 prepared data'!B121</f>
        <v/>
      </c>
      <c r="D128" s="7">
        <f>'1 prepared data'!C121</f>
        <v/>
      </c>
      <c r="E128" s="7">
        <f>'1 prepared data'!D121</f>
        <v/>
      </c>
      <c r="F128" s="7">
        <f>'1 prepared data'!E121</f>
        <v/>
      </c>
      <c r="G128" s="7">
        <f>'1 prepared data'!F121</f>
        <v/>
      </c>
      <c r="H128" s="7">
        <f>'1 prepared data'!G121</f>
        <v/>
      </c>
      <c r="I128" s="7">
        <f>'1 prepared data'!H121</f>
        <v/>
      </c>
      <c r="J128" s="7">
        <f>'1 prepared data'!I121</f>
        <v/>
      </c>
      <c r="K128" s="7">
        <f>'1 prepared data'!J121</f>
        <v/>
      </c>
      <c r="L128" s="7">
        <f>'1 prepared data'!K121</f>
        <v/>
      </c>
      <c r="M128" s="7">
        <f>'1 prepared data'!L121</f>
        <v/>
      </c>
      <c r="N128" s="7">
        <f>'1 prepared data'!M121</f>
        <v/>
      </c>
      <c r="O128" s="7">
        <f>'1 prepared data'!N121</f>
        <v/>
      </c>
      <c r="P128" s="7">
        <f>'1 prepared data'!O121</f>
        <v/>
      </c>
      <c r="Q128" s="7">
        <f>'1 prepared data'!P121</f>
        <v/>
      </c>
      <c r="R128" s="7">
        <f>'1 prepared data'!Q121</f>
        <v/>
      </c>
      <c r="S128" s="7">
        <f>'1 prepared data'!R121</f>
        <v/>
      </c>
      <c r="T128" s="7">
        <f>'1 prepared data'!S121</f>
        <v/>
      </c>
      <c r="U128" s="7">
        <f>'1 prepared data'!T121</f>
        <v/>
      </c>
      <c r="V128" s="8">
        <f>$AC$12+D128*$AC$13+E128*$AC$14+F128*$AC$15+G128*$AC$16+H128*$AC$17+I128*$AC$18+J128*$AC$19+K128*$AC$20+L128*$AC$21+M128*$AC$22+N128*$AC$23+O128*$AC$24+P128*$AC$25+Q128*$AC$26+R128*$AC$27+S128*$AC$28+T128*$AC$29+U128*$AC$30</f>
        <v/>
      </c>
      <c r="W128" s="8">
        <f>1/(1+EXP(-V128))</f>
        <v/>
      </c>
      <c r="X128" s="9">
        <f>-IF(C128=1,LN(W128),LN(1-W128))</f>
        <v/>
      </c>
      <c r="Y128" s="10">
        <f>IF(W128&gt;$AC$33,1,0)</f>
        <v/>
      </c>
      <c r="Z128">
        <f>IF(Y128=C128,1,0)</f>
        <v/>
      </c>
    </row>
    <row r="129">
      <c r="A129">
        <f>'1 prepared data'!A122</f>
        <v/>
      </c>
      <c r="B129" s="5">
        <f>'1 prepared data'!U122</f>
        <v/>
      </c>
      <c r="C129">
        <f>'1 prepared data'!B122</f>
        <v/>
      </c>
      <c r="D129" s="7">
        <f>'1 prepared data'!C122</f>
        <v/>
      </c>
      <c r="E129" s="7">
        <f>'1 prepared data'!D122</f>
        <v/>
      </c>
      <c r="F129" s="7">
        <f>'1 prepared data'!E122</f>
        <v/>
      </c>
      <c r="G129" s="7">
        <f>'1 prepared data'!F122</f>
        <v/>
      </c>
      <c r="H129" s="7">
        <f>'1 prepared data'!G122</f>
        <v/>
      </c>
      <c r="I129" s="7">
        <f>'1 prepared data'!H122</f>
        <v/>
      </c>
      <c r="J129" s="7">
        <f>'1 prepared data'!I122</f>
        <v/>
      </c>
      <c r="K129" s="7">
        <f>'1 prepared data'!J122</f>
        <v/>
      </c>
      <c r="L129" s="7">
        <f>'1 prepared data'!K122</f>
        <v/>
      </c>
      <c r="M129" s="7">
        <f>'1 prepared data'!L122</f>
        <v/>
      </c>
      <c r="N129" s="7">
        <f>'1 prepared data'!M122</f>
        <v/>
      </c>
      <c r="O129" s="7">
        <f>'1 prepared data'!N122</f>
        <v/>
      </c>
      <c r="P129" s="7">
        <f>'1 prepared data'!O122</f>
        <v/>
      </c>
      <c r="Q129" s="7">
        <f>'1 prepared data'!P122</f>
        <v/>
      </c>
      <c r="R129" s="7">
        <f>'1 prepared data'!Q122</f>
        <v/>
      </c>
      <c r="S129" s="7">
        <f>'1 prepared data'!R122</f>
        <v/>
      </c>
      <c r="T129" s="7">
        <f>'1 prepared data'!S122</f>
        <v/>
      </c>
      <c r="U129" s="7">
        <f>'1 prepared data'!T122</f>
        <v/>
      </c>
      <c r="V129" s="8">
        <f>$AC$12+D129*$AC$13+E129*$AC$14+F129*$AC$15+G129*$AC$16+H129*$AC$17+I129*$AC$18+J129*$AC$19+K129*$AC$20+L129*$AC$21+M129*$AC$22+N129*$AC$23+O129*$AC$24+P129*$AC$25+Q129*$AC$26+R129*$AC$27+S129*$AC$28+T129*$AC$29+U129*$AC$30</f>
        <v/>
      </c>
      <c r="W129" s="8">
        <f>1/(1+EXP(-V129))</f>
        <v/>
      </c>
      <c r="X129" s="9">
        <f>-IF(C129=1,LN(W129),LN(1-W129))</f>
        <v/>
      </c>
      <c r="Y129" s="10">
        <f>IF(W129&gt;$AC$33,1,0)</f>
        <v/>
      </c>
      <c r="Z129">
        <f>IF(Y129=C129,1,0)</f>
        <v/>
      </c>
    </row>
    <row r="130">
      <c r="A130">
        <f>'1 prepared data'!A123</f>
        <v/>
      </c>
      <c r="B130" s="5">
        <f>'1 prepared data'!U123</f>
        <v/>
      </c>
      <c r="C130">
        <f>'1 prepared data'!B123</f>
        <v/>
      </c>
      <c r="D130" s="7">
        <f>'1 prepared data'!C123</f>
        <v/>
      </c>
      <c r="E130" s="7">
        <f>'1 prepared data'!D123</f>
        <v/>
      </c>
      <c r="F130" s="7">
        <f>'1 prepared data'!E123</f>
        <v/>
      </c>
      <c r="G130" s="7">
        <f>'1 prepared data'!F123</f>
        <v/>
      </c>
      <c r="H130" s="7">
        <f>'1 prepared data'!G123</f>
        <v/>
      </c>
      <c r="I130" s="7">
        <f>'1 prepared data'!H123</f>
        <v/>
      </c>
      <c r="J130" s="7">
        <f>'1 prepared data'!I123</f>
        <v/>
      </c>
      <c r="K130" s="7">
        <f>'1 prepared data'!J123</f>
        <v/>
      </c>
      <c r="L130" s="7">
        <f>'1 prepared data'!K123</f>
        <v/>
      </c>
      <c r="M130" s="7">
        <f>'1 prepared data'!L123</f>
        <v/>
      </c>
      <c r="N130" s="7">
        <f>'1 prepared data'!M123</f>
        <v/>
      </c>
      <c r="O130" s="7">
        <f>'1 prepared data'!N123</f>
        <v/>
      </c>
      <c r="P130" s="7">
        <f>'1 prepared data'!O123</f>
        <v/>
      </c>
      <c r="Q130" s="7">
        <f>'1 prepared data'!P123</f>
        <v/>
      </c>
      <c r="R130" s="7">
        <f>'1 prepared data'!Q123</f>
        <v/>
      </c>
      <c r="S130" s="7">
        <f>'1 prepared data'!R123</f>
        <v/>
      </c>
      <c r="T130" s="7">
        <f>'1 prepared data'!S123</f>
        <v/>
      </c>
      <c r="U130" s="7">
        <f>'1 prepared data'!T123</f>
        <v/>
      </c>
      <c r="V130" s="8">
        <f>$AC$12+D130*$AC$13+E130*$AC$14+F130*$AC$15+G130*$AC$16+H130*$AC$17+I130*$AC$18+J130*$AC$19+K130*$AC$20+L130*$AC$21+M130*$AC$22+N130*$AC$23+O130*$AC$24+P130*$AC$25+Q130*$AC$26+R130*$AC$27+S130*$AC$28+T130*$AC$29+U130*$AC$30</f>
        <v/>
      </c>
      <c r="W130" s="8">
        <f>1/(1+EXP(-V130))</f>
        <v/>
      </c>
      <c r="X130" s="9">
        <f>-IF(C130=1,LN(W130),LN(1-W130))</f>
        <v/>
      </c>
      <c r="Y130" s="10">
        <f>IF(W130&gt;$AC$33,1,0)</f>
        <v/>
      </c>
      <c r="Z130">
        <f>IF(Y130=C130,1,0)</f>
        <v/>
      </c>
    </row>
    <row r="131">
      <c r="A131">
        <f>'1 prepared data'!A124</f>
        <v/>
      </c>
      <c r="B131" s="5">
        <f>'1 prepared data'!U124</f>
        <v/>
      </c>
      <c r="C131">
        <f>'1 prepared data'!B124</f>
        <v/>
      </c>
      <c r="D131" s="7">
        <f>'1 prepared data'!C124</f>
        <v/>
      </c>
      <c r="E131" s="7">
        <f>'1 prepared data'!D124</f>
        <v/>
      </c>
      <c r="F131" s="7">
        <f>'1 prepared data'!E124</f>
        <v/>
      </c>
      <c r="G131" s="7">
        <f>'1 prepared data'!F124</f>
        <v/>
      </c>
      <c r="H131" s="7">
        <f>'1 prepared data'!G124</f>
        <v/>
      </c>
      <c r="I131" s="7">
        <f>'1 prepared data'!H124</f>
        <v/>
      </c>
      <c r="J131" s="7">
        <f>'1 prepared data'!I124</f>
        <v/>
      </c>
      <c r="K131" s="7">
        <f>'1 prepared data'!J124</f>
        <v/>
      </c>
      <c r="L131" s="7">
        <f>'1 prepared data'!K124</f>
        <v/>
      </c>
      <c r="M131" s="7">
        <f>'1 prepared data'!L124</f>
        <v/>
      </c>
      <c r="N131" s="7">
        <f>'1 prepared data'!M124</f>
        <v/>
      </c>
      <c r="O131" s="7">
        <f>'1 prepared data'!N124</f>
        <v/>
      </c>
      <c r="P131" s="7">
        <f>'1 prepared data'!O124</f>
        <v/>
      </c>
      <c r="Q131" s="7">
        <f>'1 prepared data'!P124</f>
        <v/>
      </c>
      <c r="R131" s="7">
        <f>'1 prepared data'!Q124</f>
        <v/>
      </c>
      <c r="S131" s="7">
        <f>'1 prepared data'!R124</f>
        <v/>
      </c>
      <c r="T131" s="7">
        <f>'1 prepared data'!S124</f>
        <v/>
      </c>
      <c r="U131" s="7">
        <f>'1 prepared data'!T124</f>
        <v/>
      </c>
      <c r="V131" s="8">
        <f>$AC$12+D131*$AC$13+E131*$AC$14+F131*$AC$15+G131*$AC$16+H131*$AC$17+I131*$AC$18+J131*$AC$19+K131*$AC$20+L131*$AC$21+M131*$AC$22+N131*$AC$23+O131*$AC$24+P131*$AC$25+Q131*$AC$26+R131*$AC$27+S131*$AC$28+T131*$AC$29+U131*$AC$30</f>
        <v/>
      </c>
      <c r="W131" s="8">
        <f>1/(1+EXP(-V131))</f>
        <v/>
      </c>
      <c r="X131" s="9">
        <f>-IF(C131=1,LN(W131),LN(1-W131))</f>
        <v/>
      </c>
      <c r="Y131" s="10">
        <f>IF(W131&gt;$AC$33,1,0)</f>
        <v/>
      </c>
      <c r="Z131">
        <f>IF(Y131=C131,1,0)</f>
        <v/>
      </c>
    </row>
    <row r="132">
      <c r="A132">
        <f>'1 prepared data'!A125</f>
        <v/>
      </c>
      <c r="B132" s="5">
        <f>'1 prepared data'!U125</f>
        <v/>
      </c>
      <c r="C132">
        <f>'1 prepared data'!B125</f>
        <v/>
      </c>
      <c r="D132" s="7">
        <f>'1 prepared data'!C125</f>
        <v/>
      </c>
      <c r="E132" s="7">
        <f>'1 prepared data'!D125</f>
        <v/>
      </c>
      <c r="F132" s="7">
        <f>'1 prepared data'!E125</f>
        <v/>
      </c>
      <c r="G132" s="7">
        <f>'1 prepared data'!F125</f>
        <v/>
      </c>
      <c r="H132" s="7">
        <f>'1 prepared data'!G125</f>
        <v/>
      </c>
      <c r="I132" s="7">
        <f>'1 prepared data'!H125</f>
        <v/>
      </c>
      <c r="J132" s="7">
        <f>'1 prepared data'!I125</f>
        <v/>
      </c>
      <c r="K132" s="7">
        <f>'1 prepared data'!J125</f>
        <v/>
      </c>
      <c r="L132" s="7">
        <f>'1 prepared data'!K125</f>
        <v/>
      </c>
      <c r="M132" s="7">
        <f>'1 prepared data'!L125</f>
        <v/>
      </c>
      <c r="N132" s="7">
        <f>'1 prepared data'!M125</f>
        <v/>
      </c>
      <c r="O132" s="7">
        <f>'1 prepared data'!N125</f>
        <v/>
      </c>
      <c r="P132" s="7">
        <f>'1 prepared data'!O125</f>
        <v/>
      </c>
      <c r="Q132" s="7">
        <f>'1 prepared data'!P125</f>
        <v/>
      </c>
      <c r="R132" s="7">
        <f>'1 prepared data'!Q125</f>
        <v/>
      </c>
      <c r="S132" s="7">
        <f>'1 prepared data'!R125</f>
        <v/>
      </c>
      <c r="T132" s="7">
        <f>'1 prepared data'!S125</f>
        <v/>
      </c>
      <c r="U132" s="7">
        <f>'1 prepared data'!T125</f>
        <v/>
      </c>
      <c r="V132" s="8">
        <f>$AC$12+D132*$AC$13+E132*$AC$14+F132*$AC$15+G132*$AC$16+H132*$AC$17+I132*$AC$18+J132*$AC$19+K132*$AC$20+L132*$AC$21+M132*$AC$22+N132*$AC$23+O132*$AC$24+P132*$AC$25+Q132*$AC$26+R132*$AC$27+S132*$AC$28+T132*$AC$29+U132*$AC$30</f>
        <v/>
      </c>
      <c r="W132" s="8">
        <f>1/(1+EXP(-V132))</f>
        <v/>
      </c>
      <c r="X132" s="9">
        <f>-IF(C132=1,LN(W132),LN(1-W132))</f>
        <v/>
      </c>
      <c r="Y132" s="10">
        <f>IF(W132&gt;$AC$33,1,0)</f>
        <v/>
      </c>
      <c r="Z132">
        <f>IF(Y132=C132,1,0)</f>
        <v/>
      </c>
    </row>
    <row r="133">
      <c r="A133">
        <f>'1 prepared data'!A126</f>
        <v/>
      </c>
      <c r="B133" s="5">
        <f>'1 prepared data'!U126</f>
        <v/>
      </c>
      <c r="C133">
        <f>'1 prepared data'!B126</f>
        <v/>
      </c>
      <c r="D133" s="7">
        <f>'1 prepared data'!C126</f>
        <v/>
      </c>
      <c r="E133" s="7">
        <f>'1 prepared data'!D126</f>
        <v/>
      </c>
      <c r="F133" s="7">
        <f>'1 prepared data'!E126</f>
        <v/>
      </c>
      <c r="G133" s="7">
        <f>'1 prepared data'!F126</f>
        <v/>
      </c>
      <c r="H133" s="7">
        <f>'1 prepared data'!G126</f>
        <v/>
      </c>
      <c r="I133" s="7">
        <f>'1 prepared data'!H126</f>
        <v/>
      </c>
      <c r="J133" s="7">
        <f>'1 prepared data'!I126</f>
        <v/>
      </c>
      <c r="K133" s="7">
        <f>'1 prepared data'!J126</f>
        <v/>
      </c>
      <c r="L133" s="7">
        <f>'1 prepared data'!K126</f>
        <v/>
      </c>
      <c r="M133" s="7">
        <f>'1 prepared data'!L126</f>
        <v/>
      </c>
      <c r="N133" s="7">
        <f>'1 prepared data'!M126</f>
        <v/>
      </c>
      <c r="O133" s="7">
        <f>'1 prepared data'!N126</f>
        <v/>
      </c>
      <c r="P133" s="7">
        <f>'1 prepared data'!O126</f>
        <v/>
      </c>
      <c r="Q133" s="7">
        <f>'1 prepared data'!P126</f>
        <v/>
      </c>
      <c r="R133" s="7">
        <f>'1 prepared data'!Q126</f>
        <v/>
      </c>
      <c r="S133" s="7">
        <f>'1 prepared data'!R126</f>
        <v/>
      </c>
      <c r="T133" s="7">
        <f>'1 prepared data'!S126</f>
        <v/>
      </c>
      <c r="U133" s="7">
        <f>'1 prepared data'!T126</f>
        <v/>
      </c>
      <c r="V133" s="8">
        <f>$AC$12+D133*$AC$13+E133*$AC$14+F133*$AC$15+G133*$AC$16+H133*$AC$17+I133*$AC$18+J133*$AC$19+K133*$AC$20+L133*$AC$21+M133*$AC$22+N133*$AC$23+O133*$AC$24+P133*$AC$25+Q133*$AC$26+R133*$AC$27+S133*$AC$28+T133*$AC$29+U133*$AC$30</f>
        <v/>
      </c>
      <c r="W133" s="8">
        <f>1/(1+EXP(-V133))</f>
        <v/>
      </c>
      <c r="X133" s="9">
        <f>-IF(C133=1,LN(W133),LN(1-W133))</f>
        <v/>
      </c>
      <c r="Y133" s="10">
        <f>IF(W133&gt;$AC$33,1,0)</f>
        <v/>
      </c>
      <c r="Z133">
        <f>IF(Y133=C133,1,0)</f>
        <v/>
      </c>
    </row>
    <row r="134">
      <c r="A134">
        <f>'1 prepared data'!A127</f>
        <v/>
      </c>
      <c r="B134" s="5">
        <f>'1 prepared data'!U127</f>
        <v/>
      </c>
      <c r="C134">
        <f>'1 prepared data'!B127</f>
        <v/>
      </c>
      <c r="D134" s="7">
        <f>'1 prepared data'!C127</f>
        <v/>
      </c>
      <c r="E134" s="7">
        <f>'1 prepared data'!D127</f>
        <v/>
      </c>
      <c r="F134" s="7">
        <f>'1 prepared data'!E127</f>
        <v/>
      </c>
      <c r="G134" s="7">
        <f>'1 prepared data'!F127</f>
        <v/>
      </c>
      <c r="H134" s="7">
        <f>'1 prepared data'!G127</f>
        <v/>
      </c>
      <c r="I134" s="7">
        <f>'1 prepared data'!H127</f>
        <v/>
      </c>
      <c r="J134" s="7">
        <f>'1 prepared data'!I127</f>
        <v/>
      </c>
      <c r="K134" s="7">
        <f>'1 prepared data'!J127</f>
        <v/>
      </c>
      <c r="L134" s="7">
        <f>'1 prepared data'!K127</f>
        <v/>
      </c>
      <c r="M134" s="7">
        <f>'1 prepared data'!L127</f>
        <v/>
      </c>
      <c r="N134" s="7">
        <f>'1 prepared data'!M127</f>
        <v/>
      </c>
      <c r="O134" s="7">
        <f>'1 prepared data'!N127</f>
        <v/>
      </c>
      <c r="P134" s="7">
        <f>'1 prepared data'!O127</f>
        <v/>
      </c>
      <c r="Q134" s="7">
        <f>'1 prepared data'!P127</f>
        <v/>
      </c>
      <c r="R134" s="7">
        <f>'1 prepared data'!Q127</f>
        <v/>
      </c>
      <c r="S134" s="7">
        <f>'1 prepared data'!R127</f>
        <v/>
      </c>
      <c r="T134" s="7">
        <f>'1 prepared data'!S127</f>
        <v/>
      </c>
      <c r="U134" s="7">
        <f>'1 prepared data'!T127</f>
        <v/>
      </c>
      <c r="V134" s="8">
        <f>$AC$12+D134*$AC$13+E134*$AC$14+F134*$AC$15+G134*$AC$16+H134*$AC$17+I134*$AC$18+J134*$AC$19+K134*$AC$20+L134*$AC$21+M134*$AC$22+N134*$AC$23+O134*$AC$24+P134*$AC$25+Q134*$AC$26+R134*$AC$27+S134*$AC$28+T134*$AC$29+U134*$AC$30</f>
        <v/>
      </c>
      <c r="W134" s="8">
        <f>1/(1+EXP(-V134))</f>
        <v/>
      </c>
      <c r="X134" s="9">
        <f>-IF(C134=1,LN(W134),LN(1-W134))</f>
        <v/>
      </c>
      <c r="Y134" s="10">
        <f>IF(W134&gt;$AC$33,1,0)</f>
        <v/>
      </c>
      <c r="Z134">
        <f>IF(Y134=C134,1,0)</f>
        <v/>
      </c>
    </row>
    <row r="135">
      <c r="A135">
        <f>'1 prepared data'!A128</f>
        <v/>
      </c>
      <c r="B135" s="5">
        <f>'1 prepared data'!U128</f>
        <v/>
      </c>
      <c r="C135">
        <f>'1 prepared data'!B128</f>
        <v/>
      </c>
      <c r="D135" s="7">
        <f>'1 prepared data'!C128</f>
        <v/>
      </c>
      <c r="E135" s="7">
        <f>'1 prepared data'!D128</f>
        <v/>
      </c>
      <c r="F135" s="7">
        <f>'1 prepared data'!E128</f>
        <v/>
      </c>
      <c r="G135" s="7">
        <f>'1 prepared data'!F128</f>
        <v/>
      </c>
      <c r="H135" s="7">
        <f>'1 prepared data'!G128</f>
        <v/>
      </c>
      <c r="I135" s="7">
        <f>'1 prepared data'!H128</f>
        <v/>
      </c>
      <c r="J135" s="7">
        <f>'1 prepared data'!I128</f>
        <v/>
      </c>
      <c r="K135" s="7">
        <f>'1 prepared data'!J128</f>
        <v/>
      </c>
      <c r="L135" s="7">
        <f>'1 prepared data'!K128</f>
        <v/>
      </c>
      <c r="M135" s="7">
        <f>'1 prepared data'!L128</f>
        <v/>
      </c>
      <c r="N135" s="7">
        <f>'1 prepared data'!M128</f>
        <v/>
      </c>
      <c r="O135" s="7">
        <f>'1 prepared data'!N128</f>
        <v/>
      </c>
      <c r="P135" s="7">
        <f>'1 prepared data'!O128</f>
        <v/>
      </c>
      <c r="Q135" s="7">
        <f>'1 prepared data'!P128</f>
        <v/>
      </c>
      <c r="R135" s="7">
        <f>'1 prepared data'!Q128</f>
        <v/>
      </c>
      <c r="S135" s="7">
        <f>'1 prepared data'!R128</f>
        <v/>
      </c>
      <c r="T135" s="7">
        <f>'1 prepared data'!S128</f>
        <v/>
      </c>
      <c r="U135" s="7">
        <f>'1 prepared data'!T128</f>
        <v/>
      </c>
      <c r="V135" s="8">
        <f>$AC$12+D135*$AC$13+E135*$AC$14+F135*$AC$15+G135*$AC$16+H135*$AC$17+I135*$AC$18+J135*$AC$19+K135*$AC$20+L135*$AC$21+M135*$AC$22+N135*$AC$23+O135*$AC$24+P135*$AC$25+Q135*$AC$26+R135*$AC$27+S135*$AC$28+T135*$AC$29+U135*$AC$30</f>
        <v/>
      </c>
      <c r="W135" s="8">
        <f>1/(1+EXP(-V135))</f>
        <v/>
      </c>
      <c r="X135" s="9">
        <f>-IF(C135=1,LN(W135),LN(1-W135))</f>
        <v/>
      </c>
      <c r="Y135" s="10">
        <f>IF(W135&gt;$AC$33,1,0)</f>
        <v/>
      </c>
      <c r="Z135">
        <f>IF(Y135=C135,1,0)</f>
        <v/>
      </c>
    </row>
    <row r="136">
      <c r="A136">
        <f>'1 prepared data'!A129</f>
        <v/>
      </c>
      <c r="B136" s="5">
        <f>'1 prepared data'!U129</f>
        <v/>
      </c>
      <c r="C136">
        <f>'1 prepared data'!B129</f>
        <v/>
      </c>
      <c r="D136" s="7">
        <f>'1 prepared data'!C129</f>
        <v/>
      </c>
      <c r="E136" s="7">
        <f>'1 prepared data'!D129</f>
        <v/>
      </c>
      <c r="F136" s="7">
        <f>'1 prepared data'!E129</f>
        <v/>
      </c>
      <c r="G136" s="7">
        <f>'1 prepared data'!F129</f>
        <v/>
      </c>
      <c r="H136" s="7">
        <f>'1 prepared data'!G129</f>
        <v/>
      </c>
      <c r="I136" s="7">
        <f>'1 prepared data'!H129</f>
        <v/>
      </c>
      <c r="J136" s="7">
        <f>'1 prepared data'!I129</f>
        <v/>
      </c>
      <c r="K136" s="7">
        <f>'1 prepared data'!J129</f>
        <v/>
      </c>
      <c r="L136" s="7">
        <f>'1 prepared data'!K129</f>
        <v/>
      </c>
      <c r="M136" s="7">
        <f>'1 prepared data'!L129</f>
        <v/>
      </c>
      <c r="N136" s="7">
        <f>'1 prepared data'!M129</f>
        <v/>
      </c>
      <c r="O136" s="7">
        <f>'1 prepared data'!N129</f>
        <v/>
      </c>
      <c r="P136" s="7">
        <f>'1 prepared data'!O129</f>
        <v/>
      </c>
      <c r="Q136" s="7">
        <f>'1 prepared data'!P129</f>
        <v/>
      </c>
      <c r="R136" s="7">
        <f>'1 prepared data'!Q129</f>
        <v/>
      </c>
      <c r="S136" s="7">
        <f>'1 prepared data'!R129</f>
        <v/>
      </c>
      <c r="T136" s="7">
        <f>'1 prepared data'!S129</f>
        <v/>
      </c>
      <c r="U136" s="7">
        <f>'1 prepared data'!T129</f>
        <v/>
      </c>
      <c r="V136" s="8">
        <f>$AC$12+D136*$AC$13+E136*$AC$14+F136*$AC$15+G136*$AC$16+H136*$AC$17+I136*$AC$18+J136*$AC$19+K136*$AC$20+L136*$AC$21+M136*$AC$22+N136*$AC$23+O136*$AC$24+P136*$AC$25+Q136*$AC$26+R136*$AC$27+S136*$AC$28+T136*$AC$29+U136*$AC$30</f>
        <v/>
      </c>
      <c r="W136" s="8">
        <f>1/(1+EXP(-V136))</f>
        <v/>
      </c>
      <c r="X136" s="9">
        <f>-IF(C136=1,LN(W136),LN(1-W136))</f>
        <v/>
      </c>
      <c r="Y136" s="10">
        <f>IF(W136&gt;$AC$33,1,0)</f>
        <v/>
      </c>
      <c r="Z136">
        <f>IF(Y136=C136,1,0)</f>
        <v/>
      </c>
    </row>
    <row r="137">
      <c r="A137">
        <f>'1 prepared data'!A130</f>
        <v/>
      </c>
      <c r="B137" s="5">
        <f>'1 prepared data'!U130</f>
        <v/>
      </c>
      <c r="C137">
        <f>'1 prepared data'!B130</f>
        <v/>
      </c>
      <c r="D137" s="7">
        <f>'1 prepared data'!C130</f>
        <v/>
      </c>
      <c r="E137" s="7">
        <f>'1 prepared data'!D130</f>
        <v/>
      </c>
      <c r="F137" s="7">
        <f>'1 prepared data'!E130</f>
        <v/>
      </c>
      <c r="G137" s="7">
        <f>'1 prepared data'!F130</f>
        <v/>
      </c>
      <c r="H137" s="7">
        <f>'1 prepared data'!G130</f>
        <v/>
      </c>
      <c r="I137" s="7">
        <f>'1 prepared data'!H130</f>
        <v/>
      </c>
      <c r="J137" s="7">
        <f>'1 prepared data'!I130</f>
        <v/>
      </c>
      <c r="K137" s="7">
        <f>'1 prepared data'!J130</f>
        <v/>
      </c>
      <c r="L137" s="7">
        <f>'1 prepared data'!K130</f>
        <v/>
      </c>
      <c r="M137" s="7">
        <f>'1 prepared data'!L130</f>
        <v/>
      </c>
      <c r="N137" s="7">
        <f>'1 prepared data'!M130</f>
        <v/>
      </c>
      <c r="O137" s="7">
        <f>'1 prepared data'!N130</f>
        <v/>
      </c>
      <c r="P137" s="7">
        <f>'1 prepared data'!O130</f>
        <v/>
      </c>
      <c r="Q137" s="7">
        <f>'1 prepared data'!P130</f>
        <v/>
      </c>
      <c r="R137" s="7">
        <f>'1 prepared data'!Q130</f>
        <v/>
      </c>
      <c r="S137" s="7">
        <f>'1 prepared data'!R130</f>
        <v/>
      </c>
      <c r="T137" s="7">
        <f>'1 prepared data'!S130</f>
        <v/>
      </c>
      <c r="U137" s="7">
        <f>'1 prepared data'!T130</f>
        <v/>
      </c>
      <c r="V137" s="8">
        <f>$AC$12+D137*$AC$13+E137*$AC$14+F137*$AC$15+G137*$AC$16+H137*$AC$17+I137*$AC$18+J137*$AC$19+K137*$AC$20+L137*$AC$21+M137*$AC$22+N137*$AC$23+O137*$AC$24+P137*$AC$25+Q137*$AC$26+R137*$AC$27+S137*$AC$28+T137*$AC$29+U137*$AC$30</f>
        <v/>
      </c>
      <c r="W137" s="8">
        <f>1/(1+EXP(-V137))</f>
        <v/>
      </c>
      <c r="X137" s="9">
        <f>-IF(C137=1,LN(W137),LN(1-W137))</f>
        <v/>
      </c>
      <c r="Y137" s="10">
        <f>IF(W137&gt;$AC$33,1,0)</f>
        <v/>
      </c>
      <c r="Z137">
        <f>IF(Y137=C137,1,0)</f>
        <v/>
      </c>
    </row>
    <row r="138">
      <c r="A138">
        <f>'1 prepared data'!A131</f>
        <v/>
      </c>
      <c r="B138" s="5">
        <f>'1 prepared data'!U131</f>
        <v/>
      </c>
      <c r="C138">
        <f>'1 prepared data'!B131</f>
        <v/>
      </c>
      <c r="D138" s="7">
        <f>'1 prepared data'!C131</f>
        <v/>
      </c>
      <c r="E138" s="7">
        <f>'1 prepared data'!D131</f>
        <v/>
      </c>
      <c r="F138" s="7">
        <f>'1 prepared data'!E131</f>
        <v/>
      </c>
      <c r="G138" s="7">
        <f>'1 prepared data'!F131</f>
        <v/>
      </c>
      <c r="H138" s="7">
        <f>'1 prepared data'!G131</f>
        <v/>
      </c>
      <c r="I138" s="7">
        <f>'1 prepared data'!H131</f>
        <v/>
      </c>
      <c r="J138" s="7">
        <f>'1 prepared data'!I131</f>
        <v/>
      </c>
      <c r="K138" s="7">
        <f>'1 prepared data'!J131</f>
        <v/>
      </c>
      <c r="L138" s="7">
        <f>'1 prepared data'!K131</f>
        <v/>
      </c>
      <c r="M138" s="7">
        <f>'1 prepared data'!L131</f>
        <v/>
      </c>
      <c r="N138" s="7">
        <f>'1 prepared data'!M131</f>
        <v/>
      </c>
      <c r="O138" s="7">
        <f>'1 prepared data'!N131</f>
        <v/>
      </c>
      <c r="P138" s="7">
        <f>'1 prepared data'!O131</f>
        <v/>
      </c>
      <c r="Q138" s="7">
        <f>'1 prepared data'!P131</f>
        <v/>
      </c>
      <c r="R138" s="7">
        <f>'1 prepared data'!Q131</f>
        <v/>
      </c>
      <c r="S138" s="7">
        <f>'1 prepared data'!R131</f>
        <v/>
      </c>
      <c r="T138" s="7">
        <f>'1 prepared data'!S131</f>
        <v/>
      </c>
      <c r="U138" s="7">
        <f>'1 prepared data'!T131</f>
        <v/>
      </c>
      <c r="V138" s="8">
        <f>$AC$12+D138*$AC$13+E138*$AC$14+F138*$AC$15+G138*$AC$16+H138*$AC$17+I138*$AC$18+J138*$AC$19+K138*$AC$20+L138*$AC$21+M138*$AC$22+N138*$AC$23+O138*$AC$24+P138*$AC$25+Q138*$AC$26+R138*$AC$27+S138*$AC$28+T138*$AC$29+U138*$AC$30</f>
        <v/>
      </c>
      <c r="W138" s="8">
        <f>1/(1+EXP(-V138))</f>
        <v/>
      </c>
      <c r="X138" s="9">
        <f>-IF(C138=1,LN(W138),LN(1-W138))</f>
        <v/>
      </c>
      <c r="Y138" s="10">
        <f>IF(W138&gt;$AC$33,1,0)</f>
        <v/>
      </c>
      <c r="Z138">
        <f>IF(Y138=C138,1,0)</f>
        <v/>
      </c>
    </row>
    <row r="139">
      <c r="A139">
        <f>'1 prepared data'!A132</f>
        <v/>
      </c>
      <c r="B139" s="5">
        <f>'1 prepared data'!U132</f>
        <v/>
      </c>
      <c r="C139">
        <f>'1 prepared data'!B132</f>
        <v/>
      </c>
      <c r="D139" s="7">
        <f>'1 prepared data'!C132</f>
        <v/>
      </c>
      <c r="E139" s="7">
        <f>'1 prepared data'!D132</f>
        <v/>
      </c>
      <c r="F139" s="7">
        <f>'1 prepared data'!E132</f>
        <v/>
      </c>
      <c r="G139" s="7">
        <f>'1 prepared data'!F132</f>
        <v/>
      </c>
      <c r="H139" s="7">
        <f>'1 prepared data'!G132</f>
        <v/>
      </c>
      <c r="I139" s="7">
        <f>'1 prepared data'!H132</f>
        <v/>
      </c>
      <c r="J139" s="7">
        <f>'1 prepared data'!I132</f>
        <v/>
      </c>
      <c r="K139" s="7">
        <f>'1 prepared data'!J132</f>
        <v/>
      </c>
      <c r="L139" s="7">
        <f>'1 prepared data'!K132</f>
        <v/>
      </c>
      <c r="M139" s="7">
        <f>'1 prepared data'!L132</f>
        <v/>
      </c>
      <c r="N139" s="7">
        <f>'1 prepared data'!M132</f>
        <v/>
      </c>
      <c r="O139" s="7">
        <f>'1 prepared data'!N132</f>
        <v/>
      </c>
      <c r="P139" s="7">
        <f>'1 prepared data'!O132</f>
        <v/>
      </c>
      <c r="Q139" s="7">
        <f>'1 prepared data'!P132</f>
        <v/>
      </c>
      <c r="R139" s="7">
        <f>'1 prepared data'!Q132</f>
        <v/>
      </c>
      <c r="S139" s="7">
        <f>'1 prepared data'!R132</f>
        <v/>
      </c>
      <c r="T139" s="7">
        <f>'1 prepared data'!S132</f>
        <v/>
      </c>
      <c r="U139" s="7">
        <f>'1 prepared data'!T132</f>
        <v/>
      </c>
      <c r="V139" s="8">
        <f>$AC$12+D139*$AC$13+E139*$AC$14+F139*$AC$15+G139*$AC$16+H139*$AC$17+I139*$AC$18+J139*$AC$19+K139*$AC$20+L139*$AC$21+M139*$AC$22+N139*$AC$23+O139*$AC$24+P139*$AC$25+Q139*$AC$26+R139*$AC$27+S139*$AC$28+T139*$AC$29+U139*$AC$30</f>
        <v/>
      </c>
      <c r="W139" s="8">
        <f>1/(1+EXP(-V139))</f>
        <v/>
      </c>
      <c r="X139" s="9">
        <f>-IF(C139=1,LN(W139),LN(1-W139))</f>
        <v/>
      </c>
      <c r="Y139" s="10">
        <f>IF(W139&gt;$AC$33,1,0)</f>
        <v/>
      </c>
      <c r="Z139">
        <f>IF(Y139=C139,1,0)</f>
        <v/>
      </c>
    </row>
    <row r="140">
      <c r="A140">
        <f>'1 prepared data'!A133</f>
        <v/>
      </c>
      <c r="B140" s="5">
        <f>'1 prepared data'!U133</f>
        <v/>
      </c>
      <c r="C140">
        <f>'1 prepared data'!B133</f>
        <v/>
      </c>
      <c r="D140" s="7">
        <f>'1 prepared data'!C133</f>
        <v/>
      </c>
      <c r="E140" s="7">
        <f>'1 prepared data'!D133</f>
        <v/>
      </c>
      <c r="F140" s="7">
        <f>'1 prepared data'!E133</f>
        <v/>
      </c>
      <c r="G140" s="7">
        <f>'1 prepared data'!F133</f>
        <v/>
      </c>
      <c r="H140" s="7">
        <f>'1 prepared data'!G133</f>
        <v/>
      </c>
      <c r="I140" s="7">
        <f>'1 prepared data'!H133</f>
        <v/>
      </c>
      <c r="J140" s="7">
        <f>'1 prepared data'!I133</f>
        <v/>
      </c>
      <c r="K140" s="7">
        <f>'1 prepared data'!J133</f>
        <v/>
      </c>
      <c r="L140" s="7">
        <f>'1 prepared data'!K133</f>
        <v/>
      </c>
      <c r="M140" s="7">
        <f>'1 prepared data'!L133</f>
        <v/>
      </c>
      <c r="N140" s="7">
        <f>'1 prepared data'!M133</f>
        <v/>
      </c>
      <c r="O140" s="7">
        <f>'1 prepared data'!N133</f>
        <v/>
      </c>
      <c r="P140" s="7">
        <f>'1 prepared data'!O133</f>
        <v/>
      </c>
      <c r="Q140" s="7">
        <f>'1 prepared data'!P133</f>
        <v/>
      </c>
      <c r="R140" s="7">
        <f>'1 prepared data'!Q133</f>
        <v/>
      </c>
      <c r="S140" s="7">
        <f>'1 prepared data'!R133</f>
        <v/>
      </c>
      <c r="T140" s="7">
        <f>'1 prepared data'!S133</f>
        <v/>
      </c>
      <c r="U140" s="7">
        <f>'1 prepared data'!T133</f>
        <v/>
      </c>
      <c r="V140" s="8">
        <f>$AC$12+D140*$AC$13+E140*$AC$14+F140*$AC$15+G140*$AC$16+H140*$AC$17+I140*$AC$18+J140*$AC$19+K140*$AC$20+L140*$AC$21+M140*$AC$22+N140*$AC$23+O140*$AC$24+P140*$AC$25+Q140*$AC$26+R140*$AC$27+S140*$AC$28+T140*$AC$29+U140*$AC$30</f>
        <v/>
      </c>
      <c r="W140" s="8">
        <f>1/(1+EXP(-V140))</f>
        <v/>
      </c>
      <c r="X140" s="9">
        <f>-IF(C140=1,LN(W140),LN(1-W140))</f>
        <v/>
      </c>
      <c r="Y140" s="10">
        <f>IF(W140&gt;$AC$33,1,0)</f>
        <v/>
      </c>
      <c r="Z140">
        <f>IF(Y140=C140,1,0)</f>
        <v/>
      </c>
    </row>
    <row r="141">
      <c r="A141">
        <f>'1 prepared data'!A134</f>
        <v/>
      </c>
      <c r="B141" s="5">
        <f>'1 prepared data'!U134</f>
        <v/>
      </c>
      <c r="C141">
        <f>'1 prepared data'!B134</f>
        <v/>
      </c>
      <c r="D141" s="7">
        <f>'1 prepared data'!C134</f>
        <v/>
      </c>
      <c r="E141" s="7">
        <f>'1 prepared data'!D134</f>
        <v/>
      </c>
      <c r="F141" s="7">
        <f>'1 prepared data'!E134</f>
        <v/>
      </c>
      <c r="G141" s="7">
        <f>'1 prepared data'!F134</f>
        <v/>
      </c>
      <c r="H141" s="7">
        <f>'1 prepared data'!G134</f>
        <v/>
      </c>
      <c r="I141" s="7">
        <f>'1 prepared data'!H134</f>
        <v/>
      </c>
      <c r="J141" s="7">
        <f>'1 prepared data'!I134</f>
        <v/>
      </c>
      <c r="K141" s="7">
        <f>'1 prepared data'!J134</f>
        <v/>
      </c>
      <c r="L141" s="7">
        <f>'1 prepared data'!K134</f>
        <v/>
      </c>
      <c r="M141" s="7">
        <f>'1 prepared data'!L134</f>
        <v/>
      </c>
      <c r="N141" s="7">
        <f>'1 prepared data'!M134</f>
        <v/>
      </c>
      <c r="O141" s="7">
        <f>'1 prepared data'!N134</f>
        <v/>
      </c>
      <c r="P141" s="7">
        <f>'1 prepared data'!O134</f>
        <v/>
      </c>
      <c r="Q141" s="7">
        <f>'1 prepared data'!P134</f>
        <v/>
      </c>
      <c r="R141" s="7">
        <f>'1 prepared data'!Q134</f>
        <v/>
      </c>
      <c r="S141" s="7">
        <f>'1 prepared data'!R134</f>
        <v/>
      </c>
      <c r="T141" s="7">
        <f>'1 prepared data'!S134</f>
        <v/>
      </c>
      <c r="U141" s="7">
        <f>'1 prepared data'!T134</f>
        <v/>
      </c>
      <c r="V141" s="8">
        <f>$AC$12+D141*$AC$13+E141*$AC$14+F141*$AC$15+G141*$AC$16+H141*$AC$17+I141*$AC$18+J141*$AC$19+K141*$AC$20+L141*$AC$21+M141*$AC$22+N141*$AC$23+O141*$AC$24+P141*$AC$25+Q141*$AC$26+R141*$AC$27+S141*$AC$28+T141*$AC$29+U141*$AC$30</f>
        <v/>
      </c>
      <c r="W141" s="8">
        <f>1/(1+EXP(-V141))</f>
        <v/>
      </c>
      <c r="X141" s="9">
        <f>-IF(C141=1,LN(W141),LN(1-W141))</f>
        <v/>
      </c>
      <c r="Y141" s="10">
        <f>IF(W141&gt;$AC$33,1,0)</f>
        <v/>
      </c>
      <c r="Z141">
        <f>IF(Y141=C141,1,0)</f>
        <v/>
      </c>
    </row>
    <row r="142">
      <c r="A142">
        <f>'1 prepared data'!A135</f>
        <v/>
      </c>
      <c r="B142" s="5">
        <f>'1 prepared data'!U135</f>
        <v/>
      </c>
      <c r="C142">
        <f>'1 prepared data'!B135</f>
        <v/>
      </c>
      <c r="D142" s="7">
        <f>'1 prepared data'!C135</f>
        <v/>
      </c>
      <c r="E142" s="7">
        <f>'1 prepared data'!D135</f>
        <v/>
      </c>
      <c r="F142" s="7">
        <f>'1 prepared data'!E135</f>
        <v/>
      </c>
      <c r="G142" s="7">
        <f>'1 prepared data'!F135</f>
        <v/>
      </c>
      <c r="H142" s="7">
        <f>'1 prepared data'!G135</f>
        <v/>
      </c>
      <c r="I142" s="7">
        <f>'1 prepared data'!H135</f>
        <v/>
      </c>
      <c r="J142" s="7">
        <f>'1 prepared data'!I135</f>
        <v/>
      </c>
      <c r="K142" s="7">
        <f>'1 prepared data'!J135</f>
        <v/>
      </c>
      <c r="L142" s="7">
        <f>'1 prepared data'!K135</f>
        <v/>
      </c>
      <c r="M142" s="7">
        <f>'1 prepared data'!L135</f>
        <v/>
      </c>
      <c r="N142" s="7">
        <f>'1 prepared data'!M135</f>
        <v/>
      </c>
      <c r="O142" s="7">
        <f>'1 prepared data'!N135</f>
        <v/>
      </c>
      <c r="P142" s="7">
        <f>'1 prepared data'!O135</f>
        <v/>
      </c>
      <c r="Q142" s="7">
        <f>'1 prepared data'!P135</f>
        <v/>
      </c>
      <c r="R142" s="7">
        <f>'1 prepared data'!Q135</f>
        <v/>
      </c>
      <c r="S142" s="7">
        <f>'1 prepared data'!R135</f>
        <v/>
      </c>
      <c r="T142" s="7">
        <f>'1 prepared data'!S135</f>
        <v/>
      </c>
      <c r="U142" s="7">
        <f>'1 prepared data'!T135</f>
        <v/>
      </c>
      <c r="V142" s="8">
        <f>$AC$12+D142*$AC$13+E142*$AC$14+F142*$AC$15+G142*$AC$16+H142*$AC$17+I142*$AC$18+J142*$AC$19+K142*$AC$20+L142*$AC$21+M142*$AC$22+N142*$AC$23+O142*$AC$24+P142*$AC$25+Q142*$AC$26+R142*$AC$27+S142*$AC$28+T142*$AC$29+U142*$AC$30</f>
        <v/>
      </c>
      <c r="W142" s="8">
        <f>1/(1+EXP(-V142))</f>
        <v/>
      </c>
      <c r="X142" s="9">
        <f>-IF(C142=1,LN(W142),LN(1-W142))</f>
        <v/>
      </c>
      <c r="Y142" s="10">
        <f>IF(W142&gt;$AC$33,1,0)</f>
        <v/>
      </c>
      <c r="Z142">
        <f>IF(Y142=C142,1,0)</f>
        <v/>
      </c>
    </row>
    <row r="143">
      <c r="A143">
        <f>'1 prepared data'!A136</f>
        <v/>
      </c>
      <c r="B143" s="5">
        <f>'1 prepared data'!U136</f>
        <v/>
      </c>
      <c r="C143">
        <f>'1 prepared data'!B136</f>
        <v/>
      </c>
      <c r="D143" s="7">
        <f>'1 prepared data'!C136</f>
        <v/>
      </c>
      <c r="E143" s="7">
        <f>'1 prepared data'!D136</f>
        <v/>
      </c>
      <c r="F143" s="7">
        <f>'1 prepared data'!E136</f>
        <v/>
      </c>
      <c r="G143" s="7">
        <f>'1 prepared data'!F136</f>
        <v/>
      </c>
      <c r="H143" s="7">
        <f>'1 prepared data'!G136</f>
        <v/>
      </c>
      <c r="I143" s="7">
        <f>'1 prepared data'!H136</f>
        <v/>
      </c>
      <c r="J143" s="7">
        <f>'1 prepared data'!I136</f>
        <v/>
      </c>
      <c r="K143" s="7">
        <f>'1 prepared data'!J136</f>
        <v/>
      </c>
      <c r="L143" s="7">
        <f>'1 prepared data'!K136</f>
        <v/>
      </c>
      <c r="M143" s="7">
        <f>'1 prepared data'!L136</f>
        <v/>
      </c>
      <c r="N143" s="7">
        <f>'1 prepared data'!M136</f>
        <v/>
      </c>
      <c r="O143" s="7">
        <f>'1 prepared data'!N136</f>
        <v/>
      </c>
      <c r="P143" s="7">
        <f>'1 prepared data'!O136</f>
        <v/>
      </c>
      <c r="Q143" s="7">
        <f>'1 prepared data'!P136</f>
        <v/>
      </c>
      <c r="R143" s="7">
        <f>'1 prepared data'!Q136</f>
        <v/>
      </c>
      <c r="S143" s="7">
        <f>'1 prepared data'!R136</f>
        <v/>
      </c>
      <c r="T143" s="7">
        <f>'1 prepared data'!S136</f>
        <v/>
      </c>
      <c r="U143" s="7">
        <f>'1 prepared data'!T136</f>
        <v/>
      </c>
      <c r="V143" s="8">
        <f>$AC$12+D143*$AC$13+E143*$AC$14+F143*$AC$15+G143*$AC$16+H143*$AC$17+I143*$AC$18+J143*$AC$19+K143*$AC$20+L143*$AC$21+M143*$AC$22+N143*$AC$23+O143*$AC$24+P143*$AC$25+Q143*$AC$26+R143*$AC$27+S143*$AC$28+T143*$AC$29+U143*$AC$30</f>
        <v/>
      </c>
      <c r="W143" s="8">
        <f>1/(1+EXP(-V143))</f>
        <v/>
      </c>
      <c r="X143" s="9">
        <f>-IF(C143=1,LN(W143),LN(1-W143))</f>
        <v/>
      </c>
      <c r="Y143" s="10">
        <f>IF(W143&gt;$AC$33,1,0)</f>
        <v/>
      </c>
      <c r="Z143">
        <f>IF(Y143=C143,1,0)</f>
        <v/>
      </c>
    </row>
    <row r="144">
      <c r="A144">
        <f>'1 prepared data'!A137</f>
        <v/>
      </c>
      <c r="B144" s="5">
        <f>'1 prepared data'!U137</f>
        <v/>
      </c>
      <c r="C144">
        <f>'1 prepared data'!B137</f>
        <v/>
      </c>
      <c r="D144" s="7">
        <f>'1 prepared data'!C137</f>
        <v/>
      </c>
      <c r="E144" s="7">
        <f>'1 prepared data'!D137</f>
        <v/>
      </c>
      <c r="F144" s="7">
        <f>'1 prepared data'!E137</f>
        <v/>
      </c>
      <c r="G144" s="7">
        <f>'1 prepared data'!F137</f>
        <v/>
      </c>
      <c r="H144" s="7">
        <f>'1 prepared data'!G137</f>
        <v/>
      </c>
      <c r="I144" s="7">
        <f>'1 prepared data'!H137</f>
        <v/>
      </c>
      <c r="J144" s="7">
        <f>'1 prepared data'!I137</f>
        <v/>
      </c>
      <c r="K144" s="7">
        <f>'1 prepared data'!J137</f>
        <v/>
      </c>
      <c r="L144" s="7">
        <f>'1 prepared data'!K137</f>
        <v/>
      </c>
      <c r="M144" s="7">
        <f>'1 prepared data'!L137</f>
        <v/>
      </c>
      <c r="N144" s="7">
        <f>'1 prepared data'!M137</f>
        <v/>
      </c>
      <c r="O144" s="7">
        <f>'1 prepared data'!N137</f>
        <v/>
      </c>
      <c r="P144" s="7">
        <f>'1 prepared data'!O137</f>
        <v/>
      </c>
      <c r="Q144" s="7">
        <f>'1 prepared data'!P137</f>
        <v/>
      </c>
      <c r="R144" s="7">
        <f>'1 prepared data'!Q137</f>
        <v/>
      </c>
      <c r="S144" s="7">
        <f>'1 prepared data'!R137</f>
        <v/>
      </c>
      <c r="T144" s="7">
        <f>'1 prepared data'!S137</f>
        <v/>
      </c>
      <c r="U144" s="7">
        <f>'1 prepared data'!T137</f>
        <v/>
      </c>
      <c r="V144" s="8">
        <f>$AC$12+D144*$AC$13+E144*$AC$14+F144*$AC$15+G144*$AC$16+H144*$AC$17+I144*$AC$18+J144*$AC$19+K144*$AC$20+L144*$AC$21+M144*$AC$22+N144*$AC$23+O144*$AC$24+P144*$AC$25+Q144*$AC$26+R144*$AC$27+S144*$AC$28+T144*$AC$29+U144*$AC$30</f>
        <v/>
      </c>
      <c r="W144" s="8">
        <f>1/(1+EXP(-V144))</f>
        <v/>
      </c>
      <c r="X144" s="9">
        <f>-IF(C144=1,LN(W144),LN(1-W144))</f>
        <v/>
      </c>
      <c r="Y144" s="10">
        <f>IF(W144&gt;$AC$33,1,0)</f>
        <v/>
      </c>
      <c r="Z144">
        <f>IF(Y144=C144,1,0)</f>
        <v/>
      </c>
    </row>
    <row r="145">
      <c r="A145">
        <f>'1 prepared data'!A138</f>
        <v/>
      </c>
      <c r="B145" s="5">
        <f>'1 prepared data'!U138</f>
        <v/>
      </c>
      <c r="C145">
        <f>'1 prepared data'!B138</f>
        <v/>
      </c>
      <c r="D145" s="7">
        <f>'1 prepared data'!C138</f>
        <v/>
      </c>
      <c r="E145" s="7">
        <f>'1 prepared data'!D138</f>
        <v/>
      </c>
      <c r="F145" s="7">
        <f>'1 prepared data'!E138</f>
        <v/>
      </c>
      <c r="G145" s="7">
        <f>'1 prepared data'!F138</f>
        <v/>
      </c>
      <c r="H145" s="7">
        <f>'1 prepared data'!G138</f>
        <v/>
      </c>
      <c r="I145" s="7">
        <f>'1 prepared data'!H138</f>
        <v/>
      </c>
      <c r="J145" s="7">
        <f>'1 prepared data'!I138</f>
        <v/>
      </c>
      <c r="K145" s="7">
        <f>'1 prepared data'!J138</f>
        <v/>
      </c>
      <c r="L145" s="7">
        <f>'1 prepared data'!K138</f>
        <v/>
      </c>
      <c r="M145" s="7">
        <f>'1 prepared data'!L138</f>
        <v/>
      </c>
      <c r="N145" s="7">
        <f>'1 prepared data'!M138</f>
        <v/>
      </c>
      <c r="O145" s="7">
        <f>'1 prepared data'!N138</f>
        <v/>
      </c>
      <c r="P145" s="7">
        <f>'1 prepared data'!O138</f>
        <v/>
      </c>
      <c r="Q145" s="7">
        <f>'1 prepared data'!P138</f>
        <v/>
      </c>
      <c r="R145" s="7">
        <f>'1 prepared data'!Q138</f>
        <v/>
      </c>
      <c r="S145" s="7">
        <f>'1 prepared data'!R138</f>
        <v/>
      </c>
      <c r="T145" s="7">
        <f>'1 prepared data'!S138</f>
        <v/>
      </c>
      <c r="U145" s="7">
        <f>'1 prepared data'!T138</f>
        <v/>
      </c>
      <c r="V145" s="8">
        <f>$AC$12+D145*$AC$13+E145*$AC$14+F145*$AC$15+G145*$AC$16+H145*$AC$17+I145*$AC$18+J145*$AC$19+K145*$AC$20+L145*$AC$21+M145*$AC$22+N145*$AC$23+O145*$AC$24+P145*$AC$25+Q145*$AC$26+R145*$AC$27+S145*$AC$28+T145*$AC$29+U145*$AC$30</f>
        <v/>
      </c>
      <c r="W145" s="8">
        <f>1/(1+EXP(-V145))</f>
        <v/>
      </c>
      <c r="X145" s="9">
        <f>-IF(C145=1,LN(W145),LN(1-W145))</f>
        <v/>
      </c>
      <c r="Y145" s="10">
        <f>IF(W145&gt;$AC$33,1,0)</f>
        <v/>
      </c>
      <c r="Z145">
        <f>IF(Y145=C145,1,0)</f>
        <v/>
      </c>
    </row>
    <row r="146">
      <c r="A146">
        <f>'1 prepared data'!A139</f>
        <v/>
      </c>
      <c r="B146" s="5">
        <f>'1 prepared data'!U139</f>
        <v/>
      </c>
      <c r="C146">
        <f>'1 prepared data'!B139</f>
        <v/>
      </c>
      <c r="D146" s="7">
        <f>'1 prepared data'!C139</f>
        <v/>
      </c>
      <c r="E146" s="7">
        <f>'1 prepared data'!D139</f>
        <v/>
      </c>
      <c r="F146" s="7">
        <f>'1 prepared data'!E139</f>
        <v/>
      </c>
      <c r="G146" s="7">
        <f>'1 prepared data'!F139</f>
        <v/>
      </c>
      <c r="H146" s="7">
        <f>'1 prepared data'!G139</f>
        <v/>
      </c>
      <c r="I146" s="7">
        <f>'1 prepared data'!H139</f>
        <v/>
      </c>
      <c r="J146" s="7">
        <f>'1 prepared data'!I139</f>
        <v/>
      </c>
      <c r="K146" s="7">
        <f>'1 prepared data'!J139</f>
        <v/>
      </c>
      <c r="L146" s="7">
        <f>'1 prepared data'!K139</f>
        <v/>
      </c>
      <c r="M146" s="7">
        <f>'1 prepared data'!L139</f>
        <v/>
      </c>
      <c r="N146" s="7">
        <f>'1 prepared data'!M139</f>
        <v/>
      </c>
      <c r="O146" s="7">
        <f>'1 prepared data'!N139</f>
        <v/>
      </c>
      <c r="P146" s="7">
        <f>'1 prepared data'!O139</f>
        <v/>
      </c>
      <c r="Q146" s="7">
        <f>'1 prepared data'!P139</f>
        <v/>
      </c>
      <c r="R146" s="7">
        <f>'1 prepared data'!Q139</f>
        <v/>
      </c>
      <c r="S146" s="7">
        <f>'1 prepared data'!R139</f>
        <v/>
      </c>
      <c r="T146" s="7">
        <f>'1 prepared data'!S139</f>
        <v/>
      </c>
      <c r="U146" s="7">
        <f>'1 prepared data'!T139</f>
        <v/>
      </c>
      <c r="V146" s="8">
        <f>$AC$12+D146*$AC$13+E146*$AC$14+F146*$AC$15+G146*$AC$16+H146*$AC$17+I146*$AC$18+J146*$AC$19+K146*$AC$20+L146*$AC$21+M146*$AC$22+N146*$AC$23+O146*$AC$24+P146*$AC$25+Q146*$AC$26+R146*$AC$27+S146*$AC$28+T146*$AC$29+U146*$AC$30</f>
        <v/>
      </c>
      <c r="W146" s="8">
        <f>1/(1+EXP(-V146))</f>
        <v/>
      </c>
      <c r="X146" s="9">
        <f>-IF(C146=1,LN(W146),LN(1-W146))</f>
        <v/>
      </c>
      <c r="Y146" s="10">
        <f>IF(W146&gt;$AC$33,1,0)</f>
        <v/>
      </c>
      <c r="Z146">
        <f>IF(Y146=C146,1,0)</f>
        <v/>
      </c>
    </row>
    <row r="147">
      <c r="A147">
        <f>'1 prepared data'!A140</f>
        <v/>
      </c>
      <c r="B147" s="5">
        <f>'1 prepared data'!U140</f>
        <v/>
      </c>
      <c r="C147">
        <f>'1 prepared data'!B140</f>
        <v/>
      </c>
      <c r="D147" s="7">
        <f>'1 prepared data'!C140</f>
        <v/>
      </c>
      <c r="E147" s="7">
        <f>'1 prepared data'!D140</f>
        <v/>
      </c>
      <c r="F147" s="7">
        <f>'1 prepared data'!E140</f>
        <v/>
      </c>
      <c r="G147" s="7">
        <f>'1 prepared data'!F140</f>
        <v/>
      </c>
      <c r="H147" s="7">
        <f>'1 prepared data'!G140</f>
        <v/>
      </c>
      <c r="I147" s="7">
        <f>'1 prepared data'!H140</f>
        <v/>
      </c>
      <c r="J147" s="7">
        <f>'1 prepared data'!I140</f>
        <v/>
      </c>
      <c r="K147" s="7">
        <f>'1 prepared data'!J140</f>
        <v/>
      </c>
      <c r="L147" s="7">
        <f>'1 prepared data'!K140</f>
        <v/>
      </c>
      <c r="M147" s="7">
        <f>'1 prepared data'!L140</f>
        <v/>
      </c>
      <c r="N147" s="7">
        <f>'1 prepared data'!M140</f>
        <v/>
      </c>
      <c r="O147" s="7">
        <f>'1 prepared data'!N140</f>
        <v/>
      </c>
      <c r="P147" s="7">
        <f>'1 prepared data'!O140</f>
        <v/>
      </c>
      <c r="Q147" s="7">
        <f>'1 prepared data'!P140</f>
        <v/>
      </c>
      <c r="R147" s="7">
        <f>'1 prepared data'!Q140</f>
        <v/>
      </c>
      <c r="S147" s="7">
        <f>'1 prepared data'!R140</f>
        <v/>
      </c>
      <c r="T147" s="7">
        <f>'1 prepared data'!S140</f>
        <v/>
      </c>
      <c r="U147" s="7">
        <f>'1 prepared data'!T140</f>
        <v/>
      </c>
      <c r="V147" s="8">
        <f>$AC$12+D147*$AC$13+E147*$AC$14+F147*$AC$15+G147*$AC$16+H147*$AC$17+I147*$AC$18+J147*$AC$19+K147*$AC$20+L147*$AC$21+M147*$AC$22+N147*$AC$23+O147*$AC$24+P147*$AC$25+Q147*$AC$26+R147*$AC$27+S147*$AC$28+T147*$AC$29+U147*$AC$30</f>
        <v/>
      </c>
      <c r="W147" s="8">
        <f>1/(1+EXP(-V147))</f>
        <v/>
      </c>
      <c r="X147" s="9">
        <f>-IF(C147=1,LN(W147),LN(1-W147))</f>
        <v/>
      </c>
      <c r="Y147" s="10">
        <f>IF(W147&gt;$AC$33,1,0)</f>
        <v/>
      </c>
      <c r="Z147">
        <f>IF(Y147=C147,1,0)</f>
        <v/>
      </c>
    </row>
    <row r="148">
      <c r="A148">
        <f>'1 prepared data'!A141</f>
        <v/>
      </c>
      <c r="B148" s="5">
        <f>'1 prepared data'!U141</f>
        <v/>
      </c>
      <c r="C148">
        <f>'1 prepared data'!B141</f>
        <v/>
      </c>
      <c r="D148" s="7">
        <f>'1 prepared data'!C141</f>
        <v/>
      </c>
      <c r="E148" s="7">
        <f>'1 prepared data'!D141</f>
        <v/>
      </c>
      <c r="F148" s="7">
        <f>'1 prepared data'!E141</f>
        <v/>
      </c>
      <c r="G148" s="7">
        <f>'1 prepared data'!F141</f>
        <v/>
      </c>
      <c r="H148" s="7">
        <f>'1 prepared data'!G141</f>
        <v/>
      </c>
      <c r="I148" s="7">
        <f>'1 prepared data'!H141</f>
        <v/>
      </c>
      <c r="J148" s="7">
        <f>'1 prepared data'!I141</f>
        <v/>
      </c>
      <c r="K148" s="7">
        <f>'1 prepared data'!J141</f>
        <v/>
      </c>
      <c r="L148" s="7">
        <f>'1 prepared data'!K141</f>
        <v/>
      </c>
      <c r="M148" s="7">
        <f>'1 prepared data'!L141</f>
        <v/>
      </c>
      <c r="N148" s="7">
        <f>'1 prepared data'!M141</f>
        <v/>
      </c>
      <c r="O148" s="7">
        <f>'1 prepared data'!N141</f>
        <v/>
      </c>
      <c r="P148" s="7">
        <f>'1 prepared data'!O141</f>
        <v/>
      </c>
      <c r="Q148" s="7">
        <f>'1 prepared data'!P141</f>
        <v/>
      </c>
      <c r="R148" s="7">
        <f>'1 prepared data'!Q141</f>
        <v/>
      </c>
      <c r="S148" s="7">
        <f>'1 prepared data'!R141</f>
        <v/>
      </c>
      <c r="T148" s="7">
        <f>'1 prepared data'!S141</f>
        <v/>
      </c>
      <c r="U148" s="7">
        <f>'1 prepared data'!T141</f>
        <v/>
      </c>
      <c r="V148" s="8">
        <f>$AC$12+D148*$AC$13+E148*$AC$14+F148*$AC$15+G148*$AC$16+H148*$AC$17+I148*$AC$18+J148*$AC$19+K148*$AC$20+L148*$AC$21+M148*$AC$22+N148*$AC$23+O148*$AC$24+P148*$AC$25+Q148*$AC$26+R148*$AC$27+S148*$AC$28+T148*$AC$29+U148*$AC$30</f>
        <v/>
      </c>
      <c r="W148" s="8">
        <f>1/(1+EXP(-V148))</f>
        <v/>
      </c>
      <c r="X148" s="9">
        <f>-IF(C148=1,LN(W148),LN(1-W148))</f>
        <v/>
      </c>
      <c r="Y148" s="10">
        <f>IF(W148&gt;$AC$33,1,0)</f>
        <v/>
      </c>
      <c r="Z148">
        <f>IF(Y148=C148,1,0)</f>
        <v/>
      </c>
    </row>
    <row r="149">
      <c r="A149">
        <f>'1 prepared data'!A142</f>
        <v/>
      </c>
      <c r="B149" s="5">
        <f>'1 prepared data'!U142</f>
        <v/>
      </c>
      <c r="C149">
        <f>'1 prepared data'!B142</f>
        <v/>
      </c>
      <c r="D149" s="7">
        <f>'1 prepared data'!C142</f>
        <v/>
      </c>
      <c r="E149" s="7">
        <f>'1 prepared data'!D142</f>
        <v/>
      </c>
      <c r="F149" s="7">
        <f>'1 prepared data'!E142</f>
        <v/>
      </c>
      <c r="G149" s="7">
        <f>'1 prepared data'!F142</f>
        <v/>
      </c>
      <c r="H149" s="7">
        <f>'1 prepared data'!G142</f>
        <v/>
      </c>
      <c r="I149" s="7">
        <f>'1 prepared data'!H142</f>
        <v/>
      </c>
      <c r="J149" s="7">
        <f>'1 prepared data'!I142</f>
        <v/>
      </c>
      <c r="K149" s="7">
        <f>'1 prepared data'!J142</f>
        <v/>
      </c>
      <c r="L149" s="7">
        <f>'1 prepared data'!K142</f>
        <v/>
      </c>
      <c r="M149" s="7">
        <f>'1 prepared data'!L142</f>
        <v/>
      </c>
      <c r="N149" s="7">
        <f>'1 prepared data'!M142</f>
        <v/>
      </c>
      <c r="O149" s="7">
        <f>'1 prepared data'!N142</f>
        <v/>
      </c>
      <c r="P149" s="7">
        <f>'1 prepared data'!O142</f>
        <v/>
      </c>
      <c r="Q149" s="7">
        <f>'1 prepared data'!P142</f>
        <v/>
      </c>
      <c r="R149" s="7">
        <f>'1 prepared data'!Q142</f>
        <v/>
      </c>
      <c r="S149" s="7">
        <f>'1 prepared data'!R142</f>
        <v/>
      </c>
      <c r="T149" s="7">
        <f>'1 prepared data'!S142</f>
        <v/>
      </c>
      <c r="U149" s="7">
        <f>'1 prepared data'!T142</f>
        <v/>
      </c>
      <c r="V149" s="8">
        <f>$AC$12+D149*$AC$13+E149*$AC$14+F149*$AC$15+G149*$AC$16+H149*$AC$17+I149*$AC$18+J149*$AC$19+K149*$AC$20+L149*$AC$21+M149*$AC$22+N149*$AC$23+O149*$AC$24+P149*$AC$25+Q149*$AC$26+R149*$AC$27+S149*$AC$28+T149*$AC$29+U149*$AC$30</f>
        <v/>
      </c>
      <c r="W149" s="8">
        <f>1/(1+EXP(-V149))</f>
        <v/>
      </c>
      <c r="X149" s="9">
        <f>-IF(C149=1,LN(W149),LN(1-W149))</f>
        <v/>
      </c>
      <c r="Y149" s="10">
        <f>IF(W149&gt;$AC$33,1,0)</f>
        <v/>
      </c>
      <c r="Z149">
        <f>IF(Y149=C149,1,0)</f>
        <v/>
      </c>
    </row>
    <row r="150">
      <c r="A150">
        <f>'1 prepared data'!A143</f>
        <v/>
      </c>
      <c r="B150" s="5">
        <f>'1 prepared data'!U143</f>
        <v/>
      </c>
      <c r="C150">
        <f>'1 prepared data'!B143</f>
        <v/>
      </c>
      <c r="D150" s="7">
        <f>'1 prepared data'!C143</f>
        <v/>
      </c>
      <c r="E150" s="7">
        <f>'1 prepared data'!D143</f>
        <v/>
      </c>
      <c r="F150" s="7">
        <f>'1 prepared data'!E143</f>
        <v/>
      </c>
      <c r="G150" s="7">
        <f>'1 prepared data'!F143</f>
        <v/>
      </c>
      <c r="H150" s="7">
        <f>'1 prepared data'!G143</f>
        <v/>
      </c>
      <c r="I150" s="7">
        <f>'1 prepared data'!H143</f>
        <v/>
      </c>
      <c r="J150" s="7">
        <f>'1 prepared data'!I143</f>
        <v/>
      </c>
      <c r="K150" s="7">
        <f>'1 prepared data'!J143</f>
        <v/>
      </c>
      <c r="L150" s="7">
        <f>'1 prepared data'!K143</f>
        <v/>
      </c>
      <c r="M150" s="7">
        <f>'1 prepared data'!L143</f>
        <v/>
      </c>
      <c r="N150" s="7">
        <f>'1 prepared data'!M143</f>
        <v/>
      </c>
      <c r="O150" s="7">
        <f>'1 prepared data'!N143</f>
        <v/>
      </c>
      <c r="P150" s="7">
        <f>'1 prepared data'!O143</f>
        <v/>
      </c>
      <c r="Q150" s="7">
        <f>'1 prepared data'!P143</f>
        <v/>
      </c>
      <c r="R150" s="7">
        <f>'1 prepared data'!Q143</f>
        <v/>
      </c>
      <c r="S150" s="7">
        <f>'1 prepared data'!R143</f>
        <v/>
      </c>
      <c r="T150" s="7">
        <f>'1 prepared data'!S143</f>
        <v/>
      </c>
      <c r="U150" s="7">
        <f>'1 prepared data'!T143</f>
        <v/>
      </c>
      <c r="V150" s="8">
        <f>$AC$12+D150*$AC$13+E150*$AC$14+F150*$AC$15+G150*$AC$16+H150*$AC$17+I150*$AC$18+J150*$AC$19+K150*$AC$20+L150*$AC$21+M150*$AC$22+N150*$AC$23+O150*$AC$24+P150*$AC$25+Q150*$AC$26+R150*$AC$27+S150*$AC$28+T150*$AC$29+U150*$AC$30</f>
        <v/>
      </c>
      <c r="W150" s="8">
        <f>1/(1+EXP(-V150))</f>
        <v/>
      </c>
      <c r="X150" s="9">
        <f>-IF(C150=1,LN(W150),LN(1-W150))</f>
        <v/>
      </c>
      <c r="Y150" s="10">
        <f>IF(W150&gt;$AC$33,1,0)</f>
        <v/>
      </c>
      <c r="Z150">
        <f>IF(Y150=C150,1,0)</f>
        <v/>
      </c>
    </row>
    <row r="151">
      <c r="A151">
        <f>'1 prepared data'!A144</f>
        <v/>
      </c>
      <c r="B151" s="5">
        <f>'1 prepared data'!U144</f>
        <v/>
      </c>
      <c r="C151">
        <f>'1 prepared data'!B144</f>
        <v/>
      </c>
      <c r="D151" s="7">
        <f>'1 prepared data'!C144</f>
        <v/>
      </c>
      <c r="E151" s="7">
        <f>'1 prepared data'!D144</f>
        <v/>
      </c>
      <c r="F151" s="7">
        <f>'1 prepared data'!E144</f>
        <v/>
      </c>
      <c r="G151" s="7">
        <f>'1 prepared data'!F144</f>
        <v/>
      </c>
      <c r="H151" s="7">
        <f>'1 prepared data'!G144</f>
        <v/>
      </c>
      <c r="I151" s="7">
        <f>'1 prepared data'!H144</f>
        <v/>
      </c>
      <c r="J151" s="7">
        <f>'1 prepared data'!I144</f>
        <v/>
      </c>
      <c r="K151" s="7">
        <f>'1 prepared data'!J144</f>
        <v/>
      </c>
      <c r="L151" s="7">
        <f>'1 prepared data'!K144</f>
        <v/>
      </c>
      <c r="M151" s="7">
        <f>'1 prepared data'!L144</f>
        <v/>
      </c>
      <c r="N151" s="7">
        <f>'1 prepared data'!M144</f>
        <v/>
      </c>
      <c r="O151" s="7">
        <f>'1 prepared data'!N144</f>
        <v/>
      </c>
      <c r="P151" s="7">
        <f>'1 prepared data'!O144</f>
        <v/>
      </c>
      <c r="Q151" s="7">
        <f>'1 prepared data'!P144</f>
        <v/>
      </c>
      <c r="R151" s="7">
        <f>'1 prepared data'!Q144</f>
        <v/>
      </c>
      <c r="S151" s="7">
        <f>'1 prepared data'!R144</f>
        <v/>
      </c>
      <c r="T151" s="7">
        <f>'1 prepared data'!S144</f>
        <v/>
      </c>
      <c r="U151" s="7">
        <f>'1 prepared data'!T144</f>
        <v/>
      </c>
      <c r="V151" s="8">
        <f>$AC$12+D151*$AC$13+E151*$AC$14+F151*$AC$15+G151*$AC$16+H151*$AC$17+I151*$AC$18+J151*$AC$19+K151*$AC$20+L151*$AC$21+M151*$AC$22+N151*$AC$23+O151*$AC$24+P151*$AC$25+Q151*$AC$26+R151*$AC$27+S151*$AC$28+T151*$AC$29+U151*$AC$30</f>
        <v/>
      </c>
      <c r="W151" s="8">
        <f>1/(1+EXP(-V151))</f>
        <v/>
      </c>
      <c r="X151" s="9">
        <f>-IF(C151=1,LN(W151),LN(1-W151))</f>
        <v/>
      </c>
      <c r="Y151" s="10">
        <f>IF(W151&gt;$AC$33,1,0)</f>
        <v/>
      </c>
      <c r="Z151">
        <f>IF(Y151=C151,1,0)</f>
        <v/>
      </c>
    </row>
    <row r="152">
      <c r="A152">
        <f>'1 prepared data'!A145</f>
        <v/>
      </c>
      <c r="B152" s="5">
        <f>'1 prepared data'!U145</f>
        <v/>
      </c>
      <c r="C152">
        <f>'1 prepared data'!B145</f>
        <v/>
      </c>
      <c r="D152" s="7">
        <f>'1 prepared data'!C145</f>
        <v/>
      </c>
      <c r="E152" s="7">
        <f>'1 prepared data'!D145</f>
        <v/>
      </c>
      <c r="F152" s="7">
        <f>'1 prepared data'!E145</f>
        <v/>
      </c>
      <c r="G152" s="7">
        <f>'1 prepared data'!F145</f>
        <v/>
      </c>
      <c r="H152" s="7">
        <f>'1 prepared data'!G145</f>
        <v/>
      </c>
      <c r="I152" s="7">
        <f>'1 prepared data'!H145</f>
        <v/>
      </c>
      <c r="J152" s="7">
        <f>'1 prepared data'!I145</f>
        <v/>
      </c>
      <c r="K152" s="7">
        <f>'1 prepared data'!J145</f>
        <v/>
      </c>
      <c r="L152" s="7">
        <f>'1 prepared data'!K145</f>
        <v/>
      </c>
      <c r="M152" s="7">
        <f>'1 prepared data'!L145</f>
        <v/>
      </c>
      <c r="N152" s="7">
        <f>'1 prepared data'!M145</f>
        <v/>
      </c>
      <c r="O152" s="7">
        <f>'1 prepared data'!N145</f>
        <v/>
      </c>
      <c r="P152" s="7">
        <f>'1 prepared data'!O145</f>
        <v/>
      </c>
      <c r="Q152" s="7">
        <f>'1 prepared data'!P145</f>
        <v/>
      </c>
      <c r="R152" s="7">
        <f>'1 prepared data'!Q145</f>
        <v/>
      </c>
      <c r="S152" s="7">
        <f>'1 prepared data'!R145</f>
        <v/>
      </c>
      <c r="T152" s="7">
        <f>'1 prepared data'!S145</f>
        <v/>
      </c>
      <c r="U152" s="7">
        <f>'1 prepared data'!T145</f>
        <v/>
      </c>
      <c r="V152" s="8">
        <f>$AC$12+D152*$AC$13+E152*$AC$14+F152*$AC$15+G152*$AC$16+H152*$AC$17+I152*$AC$18+J152*$AC$19+K152*$AC$20+L152*$AC$21+M152*$AC$22+N152*$AC$23+O152*$AC$24+P152*$AC$25+Q152*$AC$26+R152*$AC$27+S152*$AC$28+T152*$AC$29+U152*$AC$30</f>
        <v/>
      </c>
      <c r="W152" s="8">
        <f>1/(1+EXP(-V152))</f>
        <v/>
      </c>
      <c r="X152" s="9">
        <f>-IF(C152=1,LN(W152),LN(1-W152))</f>
        <v/>
      </c>
      <c r="Y152" s="10">
        <f>IF(W152&gt;$AC$33,1,0)</f>
        <v/>
      </c>
      <c r="Z152">
        <f>IF(Y152=C152,1,0)</f>
        <v/>
      </c>
    </row>
    <row r="153">
      <c r="A153">
        <f>'1 prepared data'!A146</f>
        <v/>
      </c>
      <c r="B153" s="5">
        <f>'1 prepared data'!U146</f>
        <v/>
      </c>
      <c r="C153">
        <f>'1 prepared data'!B146</f>
        <v/>
      </c>
      <c r="D153" s="7">
        <f>'1 prepared data'!C146</f>
        <v/>
      </c>
      <c r="E153" s="7">
        <f>'1 prepared data'!D146</f>
        <v/>
      </c>
      <c r="F153" s="7">
        <f>'1 prepared data'!E146</f>
        <v/>
      </c>
      <c r="G153" s="7">
        <f>'1 prepared data'!F146</f>
        <v/>
      </c>
      <c r="H153" s="7">
        <f>'1 prepared data'!G146</f>
        <v/>
      </c>
      <c r="I153" s="7">
        <f>'1 prepared data'!H146</f>
        <v/>
      </c>
      <c r="J153" s="7">
        <f>'1 prepared data'!I146</f>
        <v/>
      </c>
      <c r="K153" s="7">
        <f>'1 prepared data'!J146</f>
        <v/>
      </c>
      <c r="L153" s="7">
        <f>'1 prepared data'!K146</f>
        <v/>
      </c>
      <c r="M153" s="7">
        <f>'1 prepared data'!L146</f>
        <v/>
      </c>
      <c r="N153" s="7">
        <f>'1 prepared data'!M146</f>
        <v/>
      </c>
      <c r="O153" s="7">
        <f>'1 prepared data'!N146</f>
        <v/>
      </c>
      <c r="P153" s="7">
        <f>'1 prepared data'!O146</f>
        <v/>
      </c>
      <c r="Q153" s="7">
        <f>'1 prepared data'!P146</f>
        <v/>
      </c>
      <c r="R153" s="7">
        <f>'1 prepared data'!Q146</f>
        <v/>
      </c>
      <c r="S153" s="7">
        <f>'1 prepared data'!R146</f>
        <v/>
      </c>
      <c r="T153" s="7">
        <f>'1 prepared data'!S146</f>
        <v/>
      </c>
      <c r="U153" s="7">
        <f>'1 prepared data'!T146</f>
        <v/>
      </c>
      <c r="V153" s="8">
        <f>$AC$12+D153*$AC$13+E153*$AC$14+F153*$AC$15+G153*$AC$16+H153*$AC$17+I153*$AC$18+J153*$AC$19+K153*$AC$20+L153*$AC$21+M153*$AC$22+N153*$AC$23+O153*$AC$24+P153*$AC$25+Q153*$AC$26+R153*$AC$27+S153*$AC$28+T153*$AC$29+U153*$AC$30</f>
        <v/>
      </c>
      <c r="W153" s="8">
        <f>1/(1+EXP(-V153))</f>
        <v/>
      </c>
      <c r="X153" s="9">
        <f>-IF(C153=1,LN(W153),LN(1-W153))</f>
        <v/>
      </c>
      <c r="Y153" s="10">
        <f>IF(W153&gt;$AC$33,1,0)</f>
        <v/>
      </c>
      <c r="Z153">
        <f>IF(Y153=C153,1,0)</f>
        <v/>
      </c>
    </row>
    <row r="154">
      <c r="A154">
        <f>'1 prepared data'!A147</f>
        <v/>
      </c>
      <c r="B154" s="5">
        <f>'1 prepared data'!U147</f>
        <v/>
      </c>
      <c r="C154">
        <f>'1 prepared data'!B147</f>
        <v/>
      </c>
      <c r="D154" s="7">
        <f>'1 prepared data'!C147</f>
        <v/>
      </c>
      <c r="E154" s="7">
        <f>'1 prepared data'!D147</f>
        <v/>
      </c>
      <c r="F154" s="7">
        <f>'1 prepared data'!E147</f>
        <v/>
      </c>
      <c r="G154" s="7">
        <f>'1 prepared data'!F147</f>
        <v/>
      </c>
      <c r="H154" s="7">
        <f>'1 prepared data'!G147</f>
        <v/>
      </c>
      <c r="I154" s="7">
        <f>'1 prepared data'!H147</f>
        <v/>
      </c>
      <c r="J154" s="7">
        <f>'1 prepared data'!I147</f>
        <v/>
      </c>
      <c r="K154" s="7">
        <f>'1 prepared data'!J147</f>
        <v/>
      </c>
      <c r="L154" s="7">
        <f>'1 prepared data'!K147</f>
        <v/>
      </c>
      <c r="M154" s="7">
        <f>'1 prepared data'!L147</f>
        <v/>
      </c>
      <c r="N154" s="7">
        <f>'1 prepared data'!M147</f>
        <v/>
      </c>
      <c r="O154" s="7">
        <f>'1 prepared data'!N147</f>
        <v/>
      </c>
      <c r="P154" s="7">
        <f>'1 prepared data'!O147</f>
        <v/>
      </c>
      <c r="Q154" s="7">
        <f>'1 prepared data'!P147</f>
        <v/>
      </c>
      <c r="R154" s="7">
        <f>'1 prepared data'!Q147</f>
        <v/>
      </c>
      <c r="S154" s="7">
        <f>'1 prepared data'!R147</f>
        <v/>
      </c>
      <c r="T154" s="7">
        <f>'1 prepared data'!S147</f>
        <v/>
      </c>
      <c r="U154" s="7">
        <f>'1 prepared data'!T147</f>
        <v/>
      </c>
      <c r="V154" s="8">
        <f>$AC$12+D154*$AC$13+E154*$AC$14+F154*$AC$15+G154*$AC$16+H154*$AC$17+I154*$AC$18+J154*$AC$19+K154*$AC$20+L154*$AC$21+M154*$AC$22+N154*$AC$23+O154*$AC$24+P154*$AC$25+Q154*$AC$26+R154*$AC$27+S154*$AC$28+T154*$AC$29+U154*$AC$30</f>
        <v/>
      </c>
      <c r="W154" s="8">
        <f>1/(1+EXP(-V154))</f>
        <v/>
      </c>
      <c r="X154" s="9">
        <f>-IF(C154=1,LN(W154),LN(1-W154))</f>
        <v/>
      </c>
      <c r="Y154" s="10">
        <f>IF(W154&gt;$AC$33,1,0)</f>
        <v/>
      </c>
      <c r="Z154">
        <f>IF(Y154=C154,1,0)</f>
        <v/>
      </c>
    </row>
    <row r="155">
      <c r="A155">
        <f>'1 prepared data'!A148</f>
        <v/>
      </c>
      <c r="B155" s="5">
        <f>'1 prepared data'!U148</f>
        <v/>
      </c>
      <c r="C155">
        <f>'1 prepared data'!B148</f>
        <v/>
      </c>
      <c r="D155" s="7">
        <f>'1 prepared data'!C148</f>
        <v/>
      </c>
      <c r="E155" s="7">
        <f>'1 prepared data'!D148</f>
        <v/>
      </c>
      <c r="F155" s="7">
        <f>'1 prepared data'!E148</f>
        <v/>
      </c>
      <c r="G155" s="7">
        <f>'1 prepared data'!F148</f>
        <v/>
      </c>
      <c r="H155" s="7">
        <f>'1 prepared data'!G148</f>
        <v/>
      </c>
      <c r="I155" s="7">
        <f>'1 prepared data'!H148</f>
        <v/>
      </c>
      <c r="J155" s="7">
        <f>'1 prepared data'!I148</f>
        <v/>
      </c>
      <c r="K155" s="7">
        <f>'1 prepared data'!J148</f>
        <v/>
      </c>
      <c r="L155" s="7">
        <f>'1 prepared data'!K148</f>
        <v/>
      </c>
      <c r="M155" s="7">
        <f>'1 prepared data'!L148</f>
        <v/>
      </c>
      <c r="N155" s="7">
        <f>'1 prepared data'!M148</f>
        <v/>
      </c>
      <c r="O155" s="7">
        <f>'1 prepared data'!N148</f>
        <v/>
      </c>
      <c r="P155" s="7">
        <f>'1 prepared data'!O148</f>
        <v/>
      </c>
      <c r="Q155" s="7">
        <f>'1 prepared data'!P148</f>
        <v/>
      </c>
      <c r="R155" s="7">
        <f>'1 prepared data'!Q148</f>
        <v/>
      </c>
      <c r="S155" s="7">
        <f>'1 prepared data'!R148</f>
        <v/>
      </c>
      <c r="T155" s="7">
        <f>'1 prepared data'!S148</f>
        <v/>
      </c>
      <c r="U155" s="7">
        <f>'1 prepared data'!T148</f>
        <v/>
      </c>
      <c r="V155" s="8">
        <f>$AC$12+D155*$AC$13+E155*$AC$14+F155*$AC$15+G155*$AC$16+H155*$AC$17+I155*$AC$18+J155*$AC$19+K155*$AC$20+L155*$AC$21+M155*$AC$22+N155*$AC$23+O155*$AC$24+P155*$AC$25+Q155*$AC$26+R155*$AC$27+S155*$AC$28+T155*$AC$29+U155*$AC$30</f>
        <v/>
      </c>
      <c r="W155" s="8">
        <f>1/(1+EXP(-V155))</f>
        <v/>
      </c>
      <c r="X155" s="9">
        <f>-IF(C155=1,LN(W155),LN(1-W155))</f>
        <v/>
      </c>
      <c r="Y155" s="10">
        <f>IF(W155&gt;$AC$33,1,0)</f>
        <v/>
      </c>
      <c r="Z155">
        <f>IF(Y155=C155,1,0)</f>
        <v/>
      </c>
    </row>
    <row r="156">
      <c r="A156">
        <f>'1 prepared data'!A149</f>
        <v/>
      </c>
      <c r="B156" s="5">
        <f>'1 prepared data'!U149</f>
        <v/>
      </c>
      <c r="C156">
        <f>'1 prepared data'!B149</f>
        <v/>
      </c>
      <c r="D156" s="7">
        <f>'1 prepared data'!C149</f>
        <v/>
      </c>
      <c r="E156" s="7">
        <f>'1 prepared data'!D149</f>
        <v/>
      </c>
      <c r="F156" s="7">
        <f>'1 prepared data'!E149</f>
        <v/>
      </c>
      <c r="G156" s="7">
        <f>'1 prepared data'!F149</f>
        <v/>
      </c>
      <c r="H156" s="7">
        <f>'1 prepared data'!G149</f>
        <v/>
      </c>
      <c r="I156" s="7">
        <f>'1 prepared data'!H149</f>
        <v/>
      </c>
      <c r="J156" s="7">
        <f>'1 prepared data'!I149</f>
        <v/>
      </c>
      <c r="K156" s="7">
        <f>'1 prepared data'!J149</f>
        <v/>
      </c>
      <c r="L156" s="7">
        <f>'1 prepared data'!K149</f>
        <v/>
      </c>
      <c r="M156" s="7">
        <f>'1 prepared data'!L149</f>
        <v/>
      </c>
      <c r="N156" s="7">
        <f>'1 prepared data'!M149</f>
        <v/>
      </c>
      <c r="O156" s="7">
        <f>'1 prepared data'!N149</f>
        <v/>
      </c>
      <c r="P156" s="7">
        <f>'1 prepared data'!O149</f>
        <v/>
      </c>
      <c r="Q156" s="7">
        <f>'1 prepared data'!P149</f>
        <v/>
      </c>
      <c r="R156" s="7">
        <f>'1 prepared data'!Q149</f>
        <v/>
      </c>
      <c r="S156" s="7">
        <f>'1 prepared data'!R149</f>
        <v/>
      </c>
      <c r="T156" s="7">
        <f>'1 prepared data'!S149</f>
        <v/>
      </c>
      <c r="U156" s="7">
        <f>'1 prepared data'!T149</f>
        <v/>
      </c>
      <c r="V156" s="8">
        <f>$AC$12+D156*$AC$13+E156*$AC$14+F156*$AC$15+G156*$AC$16+H156*$AC$17+I156*$AC$18+J156*$AC$19+K156*$AC$20+L156*$AC$21+M156*$AC$22+N156*$AC$23+O156*$AC$24+P156*$AC$25+Q156*$AC$26+R156*$AC$27+S156*$AC$28+T156*$AC$29+U156*$AC$30</f>
        <v/>
      </c>
      <c r="W156" s="8">
        <f>1/(1+EXP(-V156))</f>
        <v/>
      </c>
      <c r="X156" s="9">
        <f>-IF(C156=1,LN(W156),LN(1-W156))</f>
        <v/>
      </c>
      <c r="Y156" s="10">
        <f>IF(W156&gt;$AC$33,1,0)</f>
        <v/>
      </c>
      <c r="Z156">
        <f>IF(Y156=C156,1,0)</f>
        <v/>
      </c>
    </row>
    <row r="157">
      <c r="A157">
        <f>'1 prepared data'!A150</f>
        <v/>
      </c>
      <c r="B157" s="5">
        <f>'1 prepared data'!U150</f>
        <v/>
      </c>
      <c r="C157">
        <f>'1 prepared data'!B150</f>
        <v/>
      </c>
      <c r="D157" s="7">
        <f>'1 prepared data'!C150</f>
        <v/>
      </c>
      <c r="E157" s="7">
        <f>'1 prepared data'!D150</f>
        <v/>
      </c>
      <c r="F157" s="7">
        <f>'1 prepared data'!E150</f>
        <v/>
      </c>
      <c r="G157" s="7">
        <f>'1 prepared data'!F150</f>
        <v/>
      </c>
      <c r="H157" s="7">
        <f>'1 prepared data'!G150</f>
        <v/>
      </c>
      <c r="I157" s="7">
        <f>'1 prepared data'!H150</f>
        <v/>
      </c>
      <c r="J157" s="7">
        <f>'1 prepared data'!I150</f>
        <v/>
      </c>
      <c r="K157" s="7">
        <f>'1 prepared data'!J150</f>
        <v/>
      </c>
      <c r="L157" s="7">
        <f>'1 prepared data'!K150</f>
        <v/>
      </c>
      <c r="M157" s="7">
        <f>'1 prepared data'!L150</f>
        <v/>
      </c>
      <c r="N157" s="7">
        <f>'1 prepared data'!M150</f>
        <v/>
      </c>
      <c r="O157" s="7">
        <f>'1 prepared data'!N150</f>
        <v/>
      </c>
      <c r="P157" s="7">
        <f>'1 prepared data'!O150</f>
        <v/>
      </c>
      <c r="Q157" s="7">
        <f>'1 prepared data'!P150</f>
        <v/>
      </c>
      <c r="R157" s="7">
        <f>'1 prepared data'!Q150</f>
        <v/>
      </c>
      <c r="S157" s="7">
        <f>'1 prepared data'!R150</f>
        <v/>
      </c>
      <c r="T157" s="7">
        <f>'1 prepared data'!S150</f>
        <v/>
      </c>
      <c r="U157" s="7">
        <f>'1 prepared data'!T150</f>
        <v/>
      </c>
      <c r="V157" s="8">
        <f>$AC$12+D157*$AC$13+E157*$AC$14+F157*$AC$15+G157*$AC$16+H157*$AC$17+I157*$AC$18+J157*$AC$19+K157*$AC$20+L157*$AC$21+M157*$AC$22+N157*$AC$23+O157*$AC$24+P157*$AC$25+Q157*$AC$26+R157*$AC$27+S157*$AC$28+T157*$AC$29+U157*$AC$30</f>
        <v/>
      </c>
      <c r="W157" s="8">
        <f>1/(1+EXP(-V157))</f>
        <v/>
      </c>
      <c r="X157" s="9">
        <f>-IF(C157=1,LN(W157),LN(1-W157))</f>
        <v/>
      </c>
      <c r="Y157" s="10">
        <f>IF(W157&gt;$AC$33,1,0)</f>
        <v/>
      </c>
      <c r="Z157">
        <f>IF(Y157=C157,1,0)</f>
        <v/>
      </c>
    </row>
    <row r="158">
      <c r="A158">
        <f>'1 prepared data'!A151</f>
        <v/>
      </c>
      <c r="B158" s="5">
        <f>'1 prepared data'!U151</f>
        <v/>
      </c>
      <c r="C158">
        <f>'1 prepared data'!B151</f>
        <v/>
      </c>
      <c r="D158" s="7">
        <f>'1 prepared data'!C151</f>
        <v/>
      </c>
      <c r="E158" s="7">
        <f>'1 prepared data'!D151</f>
        <v/>
      </c>
      <c r="F158" s="7">
        <f>'1 prepared data'!E151</f>
        <v/>
      </c>
      <c r="G158" s="7">
        <f>'1 prepared data'!F151</f>
        <v/>
      </c>
      <c r="H158" s="7">
        <f>'1 prepared data'!G151</f>
        <v/>
      </c>
      <c r="I158" s="7">
        <f>'1 prepared data'!H151</f>
        <v/>
      </c>
      <c r="J158" s="7">
        <f>'1 prepared data'!I151</f>
        <v/>
      </c>
      <c r="K158" s="7">
        <f>'1 prepared data'!J151</f>
        <v/>
      </c>
      <c r="L158" s="7">
        <f>'1 prepared data'!K151</f>
        <v/>
      </c>
      <c r="M158" s="7">
        <f>'1 prepared data'!L151</f>
        <v/>
      </c>
      <c r="N158" s="7">
        <f>'1 prepared data'!M151</f>
        <v/>
      </c>
      <c r="O158" s="7">
        <f>'1 prepared data'!N151</f>
        <v/>
      </c>
      <c r="P158" s="7">
        <f>'1 prepared data'!O151</f>
        <v/>
      </c>
      <c r="Q158" s="7">
        <f>'1 prepared data'!P151</f>
        <v/>
      </c>
      <c r="R158" s="7">
        <f>'1 prepared data'!Q151</f>
        <v/>
      </c>
      <c r="S158" s="7">
        <f>'1 prepared data'!R151</f>
        <v/>
      </c>
      <c r="T158" s="7">
        <f>'1 prepared data'!S151</f>
        <v/>
      </c>
      <c r="U158" s="7">
        <f>'1 prepared data'!T151</f>
        <v/>
      </c>
      <c r="V158" s="8">
        <f>$AC$12+D158*$AC$13+E158*$AC$14+F158*$AC$15+G158*$AC$16+H158*$AC$17+I158*$AC$18+J158*$AC$19+K158*$AC$20+L158*$AC$21+M158*$AC$22+N158*$AC$23+O158*$AC$24+P158*$AC$25+Q158*$AC$26+R158*$AC$27+S158*$AC$28+T158*$AC$29+U158*$AC$30</f>
        <v/>
      </c>
      <c r="W158" s="8">
        <f>1/(1+EXP(-V158))</f>
        <v/>
      </c>
      <c r="X158" s="9">
        <f>-IF(C158=1,LN(W158),LN(1-W158))</f>
        <v/>
      </c>
      <c r="Y158" s="10">
        <f>IF(W158&gt;$AC$33,1,0)</f>
        <v/>
      </c>
      <c r="Z158">
        <f>IF(Y158=C158,1,0)</f>
        <v/>
      </c>
    </row>
    <row r="159">
      <c r="A159">
        <f>'1 prepared data'!A152</f>
        <v/>
      </c>
      <c r="B159" s="5">
        <f>'1 prepared data'!U152</f>
        <v/>
      </c>
      <c r="C159">
        <f>'1 prepared data'!B152</f>
        <v/>
      </c>
      <c r="D159" s="7">
        <f>'1 prepared data'!C152</f>
        <v/>
      </c>
      <c r="E159" s="7">
        <f>'1 prepared data'!D152</f>
        <v/>
      </c>
      <c r="F159" s="7">
        <f>'1 prepared data'!E152</f>
        <v/>
      </c>
      <c r="G159" s="7">
        <f>'1 prepared data'!F152</f>
        <v/>
      </c>
      <c r="H159" s="7">
        <f>'1 prepared data'!G152</f>
        <v/>
      </c>
      <c r="I159" s="7">
        <f>'1 prepared data'!H152</f>
        <v/>
      </c>
      <c r="J159" s="7">
        <f>'1 prepared data'!I152</f>
        <v/>
      </c>
      <c r="K159" s="7">
        <f>'1 prepared data'!J152</f>
        <v/>
      </c>
      <c r="L159" s="7">
        <f>'1 prepared data'!K152</f>
        <v/>
      </c>
      <c r="M159" s="7">
        <f>'1 prepared data'!L152</f>
        <v/>
      </c>
      <c r="N159" s="7">
        <f>'1 prepared data'!M152</f>
        <v/>
      </c>
      <c r="O159" s="7">
        <f>'1 prepared data'!N152</f>
        <v/>
      </c>
      <c r="P159" s="7">
        <f>'1 prepared data'!O152</f>
        <v/>
      </c>
      <c r="Q159" s="7">
        <f>'1 prepared data'!P152</f>
        <v/>
      </c>
      <c r="R159" s="7">
        <f>'1 prepared data'!Q152</f>
        <v/>
      </c>
      <c r="S159" s="7">
        <f>'1 prepared data'!R152</f>
        <v/>
      </c>
      <c r="T159" s="7">
        <f>'1 prepared data'!S152</f>
        <v/>
      </c>
      <c r="U159" s="7">
        <f>'1 prepared data'!T152</f>
        <v/>
      </c>
      <c r="V159" s="8">
        <f>$AC$12+D159*$AC$13+E159*$AC$14+F159*$AC$15+G159*$AC$16+H159*$AC$17+I159*$AC$18+J159*$AC$19+K159*$AC$20+L159*$AC$21+M159*$AC$22+N159*$AC$23+O159*$AC$24+P159*$AC$25+Q159*$AC$26+R159*$AC$27+S159*$AC$28+T159*$AC$29+U159*$AC$30</f>
        <v/>
      </c>
      <c r="W159" s="8">
        <f>1/(1+EXP(-V159))</f>
        <v/>
      </c>
      <c r="X159" s="9">
        <f>-IF(C159=1,LN(W159),LN(1-W159))</f>
        <v/>
      </c>
      <c r="Y159" s="10">
        <f>IF(W159&gt;$AC$33,1,0)</f>
        <v/>
      </c>
      <c r="Z159">
        <f>IF(Y159=C159,1,0)</f>
        <v/>
      </c>
    </row>
    <row r="160">
      <c r="A160">
        <f>'1 prepared data'!A153</f>
        <v/>
      </c>
      <c r="B160" s="5">
        <f>'1 prepared data'!U153</f>
        <v/>
      </c>
      <c r="C160">
        <f>'1 prepared data'!B153</f>
        <v/>
      </c>
      <c r="D160" s="7">
        <f>'1 prepared data'!C153</f>
        <v/>
      </c>
      <c r="E160" s="7">
        <f>'1 prepared data'!D153</f>
        <v/>
      </c>
      <c r="F160" s="7">
        <f>'1 prepared data'!E153</f>
        <v/>
      </c>
      <c r="G160" s="7">
        <f>'1 prepared data'!F153</f>
        <v/>
      </c>
      <c r="H160" s="7">
        <f>'1 prepared data'!G153</f>
        <v/>
      </c>
      <c r="I160" s="7">
        <f>'1 prepared data'!H153</f>
        <v/>
      </c>
      <c r="J160" s="7">
        <f>'1 prepared data'!I153</f>
        <v/>
      </c>
      <c r="K160" s="7">
        <f>'1 prepared data'!J153</f>
        <v/>
      </c>
      <c r="L160" s="7">
        <f>'1 prepared data'!K153</f>
        <v/>
      </c>
      <c r="M160" s="7">
        <f>'1 prepared data'!L153</f>
        <v/>
      </c>
      <c r="N160" s="7">
        <f>'1 prepared data'!M153</f>
        <v/>
      </c>
      <c r="O160" s="7">
        <f>'1 prepared data'!N153</f>
        <v/>
      </c>
      <c r="P160" s="7">
        <f>'1 prepared data'!O153</f>
        <v/>
      </c>
      <c r="Q160" s="7">
        <f>'1 prepared data'!P153</f>
        <v/>
      </c>
      <c r="R160" s="7">
        <f>'1 prepared data'!Q153</f>
        <v/>
      </c>
      <c r="S160" s="7">
        <f>'1 prepared data'!R153</f>
        <v/>
      </c>
      <c r="T160" s="7">
        <f>'1 prepared data'!S153</f>
        <v/>
      </c>
      <c r="U160" s="7">
        <f>'1 prepared data'!T153</f>
        <v/>
      </c>
      <c r="V160" s="8">
        <f>$AC$12+D160*$AC$13+E160*$AC$14+F160*$AC$15+G160*$AC$16+H160*$AC$17+I160*$AC$18+J160*$AC$19+K160*$AC$20+L160*$AC$21+M160*$AC$22+N160*$AC$23+O160*$AC$24+P160*$AC$25+Q160*$AC$26+R160*$AC$27+S160*$AC$28+T160*$AC$29+U160*$AC$30</f>
        <v/>
      </c>
      <c r="W160" s="8">
        <f>1/(1+EXP(-V160))</f>
        <v/>
      </c>
      <c r="X160" s="9">
        <f>-IF(C160=1,LN(W160),LN(1-W160))</f>
        <v/>
      </c>
      <c r="Y160" s="10">
        <f>IF(W160&gt;$AC$33,1,0)</f>
        <v/>
      </c>
      <c r="Z160">
        <f>IF(Y160=C160,1,0)</f>
        <v/>
      </c>
    </row>
    <row r="161">
      <c r="A161">
        <f>'1 prepared data'!A154</f>
        <v/>
      </c>
      <c r="B161" s="5">
        <f>'1 prepared data'!U154</f>
        <v/>
      </c>
      <c r="C161">
        <f>'1 prepared data'!B154</f>
        <v/>
      </c>
      <c r="D161" s="7">
        <f>'1 prepared data'!C154</f>
        <v/>
      </c>
      <c r="E161" s="7">
        <f>'1 prepared data'!D154</f>
        <v/>
      </c>
      <c r="F161" s="7">
        <f>'1 prepared data'!E154</f>
        <v/>
      </c>
      <c r="G161" s="7">
        <f>'1 prepared data'!F154</f>
        <v/>
      </c>
      <c r="H161" s="7">
        <f>'1 prepared data'!G154</f>
        <v/>
      </c>
      <c r="I161" s="7">
        <f>'1 prepared data'!H154</f>
        <v/>
      </c>
      <c r="J161" s="7">
        <f>'1 prepared data'!I154</f>
        <v/>
      </c>
      <c r="K161" s="7">
        <f>'1 prepared data'!J154</f>
        <v/>
      </c>
      <c r="L161" s="7">
        <f>'1 prepared data'!K154</f>
        <v/>
      </c>
      <c r="M161" s="7">
        <f>'1 prepared data'!L154</f>
        <v/>
      </c>
      <c r="N161" s="7">
        <f>'1 prepared data'!M154</f>
        <v/>
      </c>
      <c r="O161" s="7">
        <f>'1 prepared data'!N154</f>
        <v/>
      </c>
      <c r="P161" s="7">
        <f>'1 prepared data'!O154</f>
        <v/>
      </c>
      <c r="Q161" s="7">
        <f>'1 prepared data'!P154</f>
        <v/>
      </c>
      <c r="R161" s="7">
        <f>'1 prepared data'!Q154</f>
        <v/>
      </c>
      <c r="S161" s="7">
        <f>'1 prepared data'!R154</f>
        <v/>
      </c>
      <c r="T161" s="7">
        <f>'1 prepared data'!S154</f>
        <v/>
      </c>
      <c r="U161" s="7">
        <f>'1 prepared data'!T154</f>
        <v/>
      </c>
      <c r="V161" s="8">
        <f>$AC$12+D161*$AC$13+E161*$AC$14+F161*$AC$15+G161*$AC$16+H161*$AC$17+I161*$AC$18+J161*$AC$19+K161*$AC$20+L161*$AC$21+M161*$AC$22+N161*$AC$23+O161*$AC$24+P161*$AC$25+Q161*$AC$26+R161*$AC$27+S161*$AC$28+T161*$AC$29+U161*$AC$30</f>
        <v/>
      </c>
      <c r="W161" s="8">
        <f>1/(1+EXP(-V161))</f>
        <v/>
      </c>
      <c r="X161" s="9">
        <f>-IF(C161=1,LN(W161),LN(1-W161))</f>
        <v/>
      </c>
      <c r="Y161" s="10">
        <f>IF(W161&gt;$AC$33,1,0)</f>
        <v/>
      </c>
      <c r="Z161">
        <f>IF(Y161=C161,1,0)</f>
        <v/>
      </c>
    </row>
    <row r="162">
      <c r="A162">
        <f>'1 prepared data'!A155</f>
        <v/>
      </c>
      <c r="B162" s="5">
        <f>'1 prepared data'!U155</f>
        <v/>
      </c>
      <c r="C162">
        <f>'1 prepared data'!B155</f>
        <v/>
      </c>
      <c r="D162" s="7">
        <f>'1 prepared data'!C155</f>
        <v/>
      </c>
      <c r="E162" s="7">
        <f>'1 prepared data'!D155</f>
        <v/>
      </c>
      <c r="F162" s="7">
        <f>'1 prepared data'!E155</f>
        <v/>
      </c>
      <c r="G162" s="7">
        <f>'1 prepared data'!F155</f>
        <v/>
      </c>
      <c r="H162" s="7">
        <f>'1 prepared data'!G155</f>
        <v/>
      </c>
      <c r="I162" s="7">
        <f>'1 prepared data'!H155</f>
        <v/>
      </c>
      <c r="J162" s="7">
        <f>'1 prepared data'!I155</f>
        <v/>
      </c>
      <c r="K162" s="7">
        <f>'1 prepared data'!J155</f>
        <v/>
      </c>
      <c r="L162" s="7">
        <f>'1 prepared data'!K155</f>
        <v/>
      </c>
      <c r="M162" s="7">
        <f>'1 prepared data'!L155</f>
        <v/>
      </c>
      <c r="N162" s="7">
        <f>'1 prepared data'!M155</f>
        <v/>
      </c>
      <c r="O162" s="7">
        <f>'1 prepared data'!N155</f>
        <v/>
      </c>
      <c r="P162" s="7">
        <f>'1 prepared data'!O155</f>
        <v/>
      </c>
      <c r="Q162" s="7">
        <f>'1 prepared data'!P155</f>
        <v/>
      </c>
      <c r="R162" s="7">
        <f>'1 prepared data'!Q155</f>
        <v/>
      </c>
      <c r="S162" s="7">
        <f>'1 prepared data'!R155</f>
        <v/>
      </c>
      <c r="T162" s="7">
        <f>'1 prepared data'!S155</f>
        <v/>
      </c>
      <c r="U162" s="7">
        <f>'1 prepared data'!T155</f>
        <v/>
      </c>
      <c r="V162" s="8">
        <f>$AC$12+D162*$AC$13+E162*$AC$14+F162*$AC$15+G162*$AC$16+H162*$AC$17+I162*$AC$18+J162*$AC$19+K162*$AC$20+L162*$AC$21+M162*$AC$22+N162*$AC$23+O162*$AC$24+P162*$AC$25+Q162*$AC$26+R162*$AC$27+S162*$AC$28+T162*$AC$29+U162*$AC$30</f>
        <v/>
      </c>
      <c r="W162" s="8">
        <f>1/(1+EXP(-V162))</f>
        <v/>
      </c>
      <c r="X162" s="9">
        <f>-IF(C162=1,LN(W162),LN(1-W162))</f>
        <v/>
      </c>
      <c r="Y162" s="10">
        <f>IF(W162&gt;$AC$33,1,0)</f>
        <v/>
      </c>
      <c r="Z162">
        <f>IF(Y162=C162,1,0)</f>
        <v/>
      </c>
    </row>
    <row r="163">
      <c r="A163">
        <f>'1 prepared data'!A156</f>
        <v/>
      </c>
      <c r="B163" s="5">
        <f>'1 prepared data'!U156</f>
        <v/>
      </c>
      <c r="C163">
        <f>'1 prepared data'!B156</f>
        <v/>
      </c>
      <c r="D163" s="7">
        <f>'1 prepared data'!C156</f>
        <v/>
      </c>
      <c r="E163" s="7">
        <f>'1 prepared data'!D156</f>
        <v/>
      </c>
      <c r="F163" s="7">
        <f>'1 prepared data'!E156</f>
        <v/>
      </c>
      <c r="G163" s="7">
        <f>'1 prepared data'!F156</f>
        <v/>
      </c>
      <c r="H163" s="7">
        <f>'1 prepared data'!G156</f>
        <v/>
      </c>
      <c r="I163" s="7">
        <f>'1 prepared data'!H156</f>
        <v/>
      </c>
      <c r="J163" s="7">
        <f>'1 prepared data'!I156</f>
        <v/>
      </c>
      <c r="K163" s="7">
        <f>'1 prepared data'!J156</f>
        <v/>
      </c>
      <c r="L163" s="7">
        <f>'1 prepared data'!K156</f>
        <v/>
      </c>
      <c r="M163" s="7">
        <f>'1 prepared data'!L156</f>
        <v/>
      </c>
      <c r="N163" s="7">
        <f>'1 prepared data'!M156</f>
        <v/>
      </c>
      <c r="O163" s="7">
        <f>'1 prepared data'!N156</f>
        <v/>
      </c>
      <c r="P163" s="7">
        <f>'1 prepared data'!O156</f>
        <v/>
      </c>
      <c r="Q163" s="7">
        <f>'1 prepared data'!P156</f>
        <v/>
      </c>
      <c r="R163" s="7">
        <f>'1 prepared data'!Q156</f>
        <v/>
      </c>
      <c r="S163" s="7">
        <f>'1 prepared data'!R156</f>
        <v/>
      </c>
      <c r="T163" s="7">
        <f>'1 prepared data'!S156</f>
        <v/>
      </c>
      <c r="U163" s="7">
        <f>'1 prepared data'!T156</f>
        <v/>
      </c>
      <c r="V163" s="8">
        <f>$AC$12+D163*$AC$13+E163*$AC$14+F163*$AC$15+G163*$AC$16+H163*$AC$17+I163*$AC$18+J163*$AC$19+K163*$AC$20+L163*$AC$21+M163*$AC$22+N163*$AC$23+O163*$AC$24+P163*$AC$25+Q163*$AC$26+R163*$AC$27+S163*$AC$28+T163*$AC$29+U163*$AC$30</f>
        <v/>
      </c>
      <c r="W163" s="8">
        <f>1/(1+EXP(-V163))</f>
        <v/>
      </c>
      <c r="X163" s="9">
        <f>-IF(C163=1,LN(W163),LN(1-W163))</f>
        <v/>
      </c>
      <c r="Y163" s="10">
        <f>IF(W163&gt;$AC$33,1,0)</f>
        <v/>
      </c>
      <c r="Z163">
        <f>IF(Y163=C163,1,0)</f>
        <v/>
      </c>
    </row>
    <row r="164">
      <c r="A164">
        <f>'1 prepared data'!A157</f>
        <v/>
      </c>
      <c r="B164" s="5">
        <f>'1 prepared data'!U157</f>
        <v/>
      </c>
      <c r="C164">
        <f>'1 prepared data'!B157</f>
        <v/>
      </c>
      <c r="D164" s="7">
        <f>'1 prepared data'!C157</f>
        <v/>
      </c>
      <c r="E164" s="7">
        <f>'1 prepared data'!D157</f>
        <v/>
      </c>
      <c r="F164" s="7">
        <f>'1 prepared data'!E157</f>
        <v/>
      </c>
      <c r="G164" s="7">
        <f>'1 prepared data'!F157</f>
        <v/>
      </c>
      <c r="H164" s="7">
        <f>'1 prepared data'!G157</f>
        <v/>
      </c>
      <c r="I164" s="7">
        <f>'1 prepared data'!H157</f>
        <v/>
      </c>
      <c r="J164" s="7">
        <f>'1 prepared data'!I157</f>
        <v/>
      </c>
      <c r="K164" s="7">
        <f>'1 prepared data'!J157</f>
        <v/>
      </c>
      <c r="L164" s="7">
        <f>'1 prepared data'!K157</f>
        <v/>
      </c>
      <c r="M164" s="7">
        <f>'1 prepared data'!L157</f>
        <v/>
      </c>
      <c r="N164" s="7">
        <f>'1 prepared data'!M157</f>
        <v/>
      </c>
      <c r="O164" s="7">
        <f>'1 prepared data'!N157</f>
        <v/>
      </c>
      <c r="P164" s="7">
        <f>'1 prepared data'!O157</f>
        <v/>
      </c>
      <c r="Q164" s="7">
        <f>'1 prepared data'!P157</f>
        <v/>
      </c>
      <c r="R164" s="7">
        <f>'1 prepared data'!Q157</f>
        <v/>
      </c>
      <c r="S164" s="7">
        <f>'1 prepared data'!R157</f>
        <v/>
      </c>
      <c r="T164" s="7">
        <f>'1 prepared data'!S157</f>
        <v/>
      </c>
      <c r="U164" s="7">
        <f>'1 prepared data'!T157</f>
        <v/>
      </c>
      <c r="V164" s="8">
        <f>$AC$12+D164*$AC$13+E164*$AC$14+F164*$AC$15+G164*$AC$16+H164*$AC$17+I164*$AC$18+J164*$AC$19+K164*$AC$20+L164*$AC$21+M164*$AC$22+N164*$AC$23+O164*$AC$24+P164*$AC$25+Q164*$AC$26+R164*$AC$27+S164*$AC$28+T164*$AC$29+U164*$AC$30</f>
        <v/>
      </c>
      <c r="W164" s="8">
        <f>1/(1+EXP(-V164))</f>
        <v/>
      </c>
      <c r="X164" s="9">
        <f>-IF(C164=1,LN(W164),LN(1-W164))</f>
        <v/>
      </c>
      <c r="Y164" s="10">
        <f>IF(W164&gt;$AC$33,1,0)</f>
        <v/>
      </c>
      <c r="Z164">
        <f>IF(Y164=C164,1,0)</f>
        <v/>
      </c>
    </row>
    <row r="165">
      <c r="A165">
        <f>'1 prepared data'!A158</f>
        <v/>
      </c>
      <c r="B165" s="5">
        <f>'1 prepared data'!U158</f>
        <v/>
      </c>
      <c r="C165">
        <f>'1 prepared data'!B158</f>
        <v/>
      </c>
      <c r="D165" s="7">
        <f>'1 prepared data'!C158</f>
        <v/>
      </c>
      <c r="E165" s="7">
        <f>'1 prepared data'!D158</f>
        <v/>
      </c>
      <c r="F165" s="7">
        <f>'1 prepared data'!E158</f>
        <v/>
      </c>
      <c r="G165" s="7">
        <f>'1 prepared data'!F158</f>
        <v/>
      </c>
      <c r="H165" s="7">
        <f>'1 prepared data'!G158</f>
        <v/>
      </c>
      <c r="I165" s="7">
        <f>'1 prepared data'!H158</f>
        <v/>
      </c>
      <c r="J165" s="7">
        <f>'1 prepared data'!I158</f>
        <v/>
      </c>
      <c r="K165" s="7">
        <f>'1 prepared data'!J158</f>
        <v/>
      </c>
      <c r="L165" s="7">
        <f>'1 prepared data'!K158</f>
        <v/>
      </c>
      <c r="M165" s="7">
        <f>'1 prepared data'!L158</f>
        <v/>
      </c>
      <c r="N165" s="7">
        <f>'1 prepared data'!M158</f>
        <v/>
      </c>
      <c r="O165" s="7">
        <f>'1 prepared data'!N158</f>
        <v/>
      </c>
      <c r="P165" s="7">
        <f>'1 prepared data'!O158</f>
        <v/>
      </c>
      <c r="Q165" s="7">
        <f>'1 prepared data'!P158</f>
        <v/>
      </c>
      <c r="R165" s="7">
        <f>'1 prepared data'!Q158</f>
        <v/>
      </c>
      <c r="S165" s="7">
        <f>'1 prepared data'!R158</f>
        <v/>
      </c>
      <c r="T165" s="7">
        <f>'1 prepared data'!S158</f>
        <v/>
      </c>
      <c r="U165" s="7">
        <f>'1 prepared data'!T158</f>
        <v/>
      </c>
      <c r="V165" s="8">
        <f>$AC$12+D165*$AC$13+E165*$AC$14+F165*$AC$15+G165*$AC$16+H165*$AC$17+I165*$AC$18+J165*$AC$19+K165*$AC$20+L165*$AC$21+M165*$AC$22+N165*$AC$23+O165*$AC$24+P165*$AC$25+Q165*$AC$26+R165*$AC$27+S165*$AC$28+T165*$AC$29+U165*$AC$30</f>
        <v/>
      </c>
      <c r="W165" s="8">
        <f>1/(1+EXP(-V165))</f>
        <v/>
      </c>
      <c r="X165" s="9">
        <f>-IF(C165=1,LN(W165),LN(1-W165))</f>
        <v/>
      </c>
      <c r="Y165" s="10">
        <f>IF(W165&gt;$AC$33,1,0)</f>
        <v/>
      </c>
      <c r="Z165">
        <f>IF(Y165=C165,1,0)</f>
        <v/>
      </c>
    </row>
    <row r="166">
      <c r="A166">
        <f>'1 prepared data'!A159</f>
        <v/>
      </c>
      <c r="B166" s="5">
        <f>'1 prepared data'!U159</f>
        <v/>
      </c>
      <c r="C166">
        <f>'1 prepared data'!B159</f>
        <v/>
      </c>
      <c r="D166" s="7">
        <f>'1 prepared data'!C159</f>
        <v/>
      </c>
      <c r="E166" s="7">
        <f>'1 prepared data'!D159</f>
        <v/>
      </c>
      <c r="F166" s="7">
        <f>'1 prepared data'!E159</f>
        <v/>
      </c>
      <c r="G166" s="7">
        <f>'1 prepared data'!F159</f>
        <v/>
      </c>
      <c r="H166" s="7">
        <f>'1 prepared data'!G159</f>
        <v/>
      </c>
      <c r="I166" s="7">
        <f>'1 prepared data'!H159</f>
        <v/>
      </c>
      <c r="J166" s="7">
        <f>'1 prepared data'!I159</f>
        <v/>
      </c>
      <c r="K166" s="7">
        <f>'1 prepared data'!J159</f>
        <v/>
      </c>
      <c r="L166" s="7">
        <f>'1 prepared data'!K159</f>
        <v/>
      </c>
      <c r="M166" s="7">
        <f>'1 prepared data'!L159</f>
        <v/>
      </c>
      <c r="N166" s="7">
        <f>'1 prepared data'!M159</f>
        <v/>
      </c>
      <c r="O166" s="7">
        <f>'1 prepared data'!N159</f>
        <v/>
      </c>
      <c r="P166" s="7">
        <f>'1 prepared data'!O159</f>
        <v/>
      </c>
      <c r="Q166" s="7">
        <f>'1 prepared data'!P159</f>
        <v/>
      </c>
      <c r="R166" s="7">
        <f>'1 prepared data'!Q159</f>
        <v/>
      </c>
      <c r="S166" s="7">
        <f>'1 prepared data'!R159</f>
        <v/>
      </c>
      <c r="T166" s="7">
        <f>'1 prepared data'!S159</f>
        <v/>
      </c>
      <c r="U166" s="7">
        <f>'1 prepared data'!T159</f>
        <v/>
      </c>
      <c r="V166" s="8">
        <f>$AC$12+D166*$AC$13+E166*$AC$14+F166*$AC$15+G166*$AC$16+H166*$AC$17+I166*$AC$18+J166*$AC$19+K166*$AC$20+L166*$AC$21+M166*$AC$22+N166*$AC$23+O166*$AC$24+P166*$AC$25+Q166*$AC$26+R166*$AC$27+S166*$AC$28+T166*$AC$29+U166*$AC$30</f>
        <v/>
      </c>
      <c r="W166" s="8">
        <f>1/(1+EXP(-V166))</f>
        <v/>
      </c>
      <c r="X166" s="9">
        <f>-IF(C166=1,LN(W166),LN(1-W166))</f>
        <v/>
      </c>
      <c r="Y166" s="10">
        <f>IF(W166&gt;$AC$33,1,0)</f>
        <v/>
      </c>
      <c r="Z166">
        <f>IF(Y166=C166,1,0)</f>
        <v/>
      </c>
    </row>
    <row r="167">
      <c r="A167">
        <f>'1 prepared data'!A160</f>
        <v/>
      </c>
      <c r="B167" s="5">
        <f>'1 prepared data'!U160</f>
        <v/>
      </c>
      <c r="C167">
        <f>'1 prepared data'!B160</f>
        <v/>
      </c>
      <c r="D167" s="7">
        <f>'1 prepared data'!C160</f>
        <v/>
      </c>
      <c r="E167" s="7">
        <f>'1 prepared data'!D160</f>
        <v/>
      </c>
      <c r="F167" s="7">
        <f>'1 prepared data'!E160</f>
        <v/>
      </c>
      <c r="G167" s="7">
        <f>'1 prepared data'!F160</f>
        <v/>
      </c>
      <c r="H167" s="7">
        <f>'1 prepared data'!G160</f>
        <v/>
      </c>
      <c r="I167" s="7">
        <f>'1 prepared data'!H160</f>
        <v/>
      </c>
      <c r="J167" s="7">
        <f>'1 prepared data'!I160</f>
        <v/>
      </c>
      <c r="K167" s="7">
        <f>'1 prepared data'!J160</f>
        <v/>
      </c>
      <c r="L167" s="7">
        <f>'1 prepared data'!K160</f>
        <v/>
      </c>
      <c r="M167" s="7">
        <f>'1 prepared data'!L160</f>
        <v/>
      </c>
      <c r="N167" s="7">
        <f>'1 prepared data'!M160</f>
        <v/>
      </c>
      <c r="O167" s="7">
        <f>'1 prepared data'!N160</f>
        <v/>
      </c>
      <c r="P167" s="7">
        <f>'1 prepared data'!O160</f>
        <v/>
      </c>
      <c r="Q167" s="7">
        <f>'1 prepared data'!P160</f>
        <v/>
      </c>
      <c r="R167" s="7">
        <f>'1 prepared data'!Q160</f>
        <v/>
      </c>
      <c r="S167" s="7">
        <f>'1 prepared data'!R160</f>
        <v/>
      </c>
      <c r="T167" s="7">
        <f>'1 prepared data'!S160</f>
        <v/>
      </c>
      <c r="U167" s="7">
        <f>'1 prepared data'!T160</f>
        <v/>
      </c>
      <c r="V167" s="8">
        <f>$AC$12+D167*$AC$13+E167*$AC$14+F167*$AC$15+G167*$AC$16+H167*$AC$17+I167*$AC$18+J167*$AC$19+K167*$AC$20+L167*$AC$21+M167*$AC$22+N167*$AC$23+O167*$AC$24+P167*$AC$25+Q167*$AC$26+R167*$AC$27+S167*$AC$28+T167*$AC$29+U167*$AC$30</f>
        <v/>
      </c>
      <c r="W167" s="8">
        <f>1/(1+EXP(-V167))</f>
        <v/>
      </c>
      <c r="X167" s="9">
        <f>-IF(C167=1,LN(W167),LN(1-W167))</f>
        <v/>
      </c>
      <c r="Y167" s="10">
        <f>IF(W167&gt;$AC$33,1,0)</f>
        <v/>
      </c>
      <c r="Z167">
        <f>IF(Y167=C167,1,0)</f>
        <v/>
      </c>
    </row>
    <row r="168">
      <c r="A168">
        <f>'1 prepared data'!A161</f>
        <v/>
      </c>
      <c r="B168" s="5">
        <f>'1 prepared data'!U161</f>
        <v/>
      </c>
      <c r="C168">
        <f>'1 prepared data'!B161</f>
        <v/>
      </c>
      <c r="D168" s="7">
        <f>'1 prepared data'!C161</f>
        <v/>
      </c>
      <c r="E168" s="7">
        <f>'1 prepared data'!D161</f>
        <v/>
      </c>
      <c r="F168" s="7">
        <f>'1 prepared data'!E161</f>
        <v/>
      </c>
      <c r="G168" s="7">
        <f>'1 prepared data'!F161</f>
        <v/>
      </c>
      <c r="H168" s="7">
        <f>'1 prepared data'!G161</f>
        <v/>
      </c>
      <c r="I168" s="7">
        <f>'1 prepared data'!H161</f>
        <v/>
      </c>
      <c r="J168" s="7">
        <f>'1 prepared data'!I161</f>
        <v/>
      </c>
      <c r="K168" s="7">
        <f>'1 prepared data'!J161</f>
        <v/>
      </c>
      <c r="L168" s="7">
        <f>'1 prepared data'!K161</f>
        <v/>
      </c>
      <c r="M168" s="7">
        <f>'1 prepared data'!L161</f>
        <v/>
      </c>
      <c r="N168" s="7">
        <f>'1 prepared data'!M161</f>
        <v/>
      </c>
      <c r="O168" s="7">
        <f>'1 prepared data'!N161</f>
        <v/>
      </c>
      <c r="P168" s="7">
        <f>'1 prepared data'!O161</f>
        <v/>
      </c>
      <c r="Q168" s="7">
        <f>'1 prepared data'!P161</f>
        <v/>
      </c>
      <c r="R168" s="7">
        <f>'1 prepared data'!Q161</f>
        <v/>
      </c>
      <c r="S168" s="7">
        <f>'1 prepared data'!R161</f>
        <v/>
      </c>
      <c r="T168" s="7">
        <f>'1 prepared data'!S161</f>
        <v/>
      </c>
      <c r="U168" s="7">
        <f>'1 prepared data'!T161</f>
        <v/>
      </c>
      <c r="V168" s="8">
        <f>$AC$12+D168*$AC$13+E168*$AC$14+F168*$AC$15+G168*$AC$16+H168*$AC$17+I168*$AC$18+J168*$AC$19+K168*$AC$20+L168*$AC$21+M168*$AC$22+N168*$AC$23+O168*$AC$24+P168*$AC$25+Q168*$AC$26+R168*$AC$27+S168*$AC$28+T168*$AC$29+U168*$AC$30</f>
        <v/>
      </c>
      <c r="W168" s="8">
        <f>1/(1+EXP(-V168))</f>
        <v/>
      </c>
      <c r="X168" s="9">
        <f>-IF(C168=1,LN(W168),LN(1-W168))</f>
        <v/>
      </c>
      <c r="Y168" s="10">
        <f>IF(W168&gt;$AC$33,1,0)</f>
        <v/>
      </c>
      <c r="Z168">
        <f>IF(Y168=C168,1,0)</f>
        <v/>
      </c>
    </row>
    <row r="169">
      <c r="A169">
        <f>'1 prepared data'!A162</f>
        <v/>
      </c>
      <c r="B169" s="5">
        <f>'1 prepared data'!U162</f>
        <v/>
      </c>
      <c r="C169">
        <f>'1 prepared data'!B162</f>
        <v/>
      </c>
      <c r="D169" s="7">
        <f>'1 prepared data'!C162</f>
        <v/>
      </c>
      <c r="E169" s="7">
        <f>'1 prepared data'!D162</f>
        <v/>
      </c>
      <c r="F169" s="7">
        <f>'1 prepared data'!E162</f>
        <v/>
      </c>
      <c r="G169" s="7">
        <f>'1 prepared data'!F162</f>
        <v/>
      </c>
      <c r="H169" s="7">
        <f>'1 prepared data'!G162</f>
        <v/>
      </c>
      <c r="I169" s="7">
        <f>'1 prepared data'!H162</f>
        <v/>
      </c>
      <c r="J169" s="7">
        <f>'1 prepared data'!I162</f>
        <v/>
      </c>
      <c r="K169" s="7">
        <f>'1 prepared data'!J162</f>
        <v/>
      </c>
      <c r="L169" s="7">
        <f>'1 prepared data'!K162</f>
        <v/>
      </c>
      <c r="M169" s="7">
        <f>'1 prepared data'!L162</f>
        <v/>
      </c>
      <c r="N169" s="7">
        <f>'1 prepared data'!M162</f>
        <v/>
      </c>
      <c r="O169" s="7">
        <f>'1 prepared data'!N162</f>
        <v/>
      </c>
      <c r="P169" s="7">
        <f>'1 prepared data'!O162</f>
        <v/>
      </c>
      <c r="Q169" s="7">
        <f>'1 prepared data'!P162</f>
        <v/>
      </c>
      <c r="R169" s="7">
        <f>'1 prepared data'!Q162</f>
        <v/>
      </c>
      <c r="S169" s="7">
        <f>'1 prepared data'!R162</f>
        <v/>
      </c>
      <c r="T169" s="7">
        <f>'1 prepared data'!S162</f>
        <v/>
      </c>
      <c r="U169" s="7">
        <f>'1 prepared data'!T162</f>
        <v/>
      </c>
      <c r="V169" s="8">
        <f>$AC$12+D169*$AC$13+E169*$AC$14+F169*$AC$15+G169*$AC$16+H169*$AC$17+I169*$AC$18+J169*$AC$19+K169*$AC$20+L169*$AC$21+M169*$AC$22+N169*$AC$23+O169*$AC$24+P169*$AC$25+Q169*$AC$26+R169*$AC$27+S169*$AC$28+T169*$AC$29+U169*$AC$30</f>
        <v/>
      </c>
      <c r="W169" s="8">
        <f>1/(1+EXP(-V169))</f>
        <v/>
      </c>
      <c r="X169" s="9">
        <f>-IF(C169=1,LN(W169),LN(1-W169))</f>
        <v/>
      </c>
      <c r="Y169" s="10">
        <f>IF(W169&gt;$AC$33,1,0)</f>
        <v/>
      </c>
      <c r="Z169">
        <f>IF(Y169=C169,1,0)</f>
        <v/>
      </c>
    </row>
    <row r="170">
      <c r="A170">
        <f>'1 prepared data'!A163</f>
        <v/>
      </c>
      <c r="B170" s="5">
        <f>'1 prepared data'!U163</f>
        <v/>
      </c>
      <c r="C170">
        <f>'1 prepared data'!B163</f>
        <v/>
      </c>
      <c r="D170" s="7">
        <f>'1 prepared data'!C163</f>
        <v/>
      </c>
      <c r="E170" s="7">
        <f>'1 prepared data'!D163</f>
        <v/>
      </c>
      <c r="F170" s="7">
        <f>'1 prepared data'!E163</f>
        <v/>
      </c>
      <c r="G170" s="7">
        <f>'1 prepared data'!F163</f>
        <v/>
      </c>
      <c r="H170" s="7">
        <f>'1 prepared data'!G163</f>
        <v/>
      </c>
      <c r="I170" s="7">
        <f>'1 prepared data'!H163</f>
        <v/>
      </c>
      <c r="J170" s="7">
        <f>'1 prepared data'!I163</f>
        <v/>
      </c>
      <c r="K170" s="7">
        <f>'1 prepared data'!J163</f>
        <v/>
      </c>
      <c r="L170" s="7">
        <f>'1 prepared data'!K163</f>
        <v/>
      </c>
      <c r="M170" s="7">
        <f>'1 prepared data'!L163</f>
        <v/>
      </c>
      <c r="N170" s="7">
        <f>'1 prepared data'!M163</f>
        <v/>
      </c>
      <c r="O170" s="7">
        <f>'1 prepared data'!N163</f>
        <v/>
      </c>
      <c r="P170" s="7">
        <f>'1 prepared data'!O163</f>
        <v/>
      </c>
      <c r="Q170" s="7">
        <f>'1 prepared data'!P163</f>
        <v/>
      </c>
      <c r="R170" s="7">
        <f>'1 prepared data'!Q163</f>
        <v/>
      </c>
      <c r="S170" s="7">
        <f>'1 prepared data'!R163</f>
        <v/>
      </c>
      <c r="T170" s="7">
        <f>'1 prepared data'!S163</f>
        <v/>
      </c>
      <c r="U170" s="7">
        <f>'1 prepared data'!T163</f>
        <v/>
      </c>
      <c r="V170" s="8">
        <f>$AC$12+D170*$AC$13+E170*$AC$14+F170*$AC$15+G170*$AC$16+H170*$AC$17+I170*$AC$18+J170*$AC$19+K170*$AC$20+L170*$AC$21+M170*$AC$22+N170*$AC$23+O170*$AC$24+P170*$AC$25+Q170*$AC$26+R170*$AC$27+S170*$AC$28+T170*$AC$29+U170*$AC$30</f>
        <v/>
      </c>
      <c r="W170" s="8">
        <f>1/(1+EXP(-V170))</f>
        <v/>
      </c>
      <c r="X170" s="9">
        <f>-IF(C170=1,LN(W170),LN(1-W170))</f>
        <v/>
      </c>
      <c r="Y170" s="10">
        <f>IF(W170&gt;$AC$33,1,0)</f>
        <v/>
      </c>
      <c r="Z170">
        <f>IF(Y170=C170,1,0)</f>
        <v/>
      </c>
    </row>
    <row r="171">
      <c r="A171">
        <f>'1 prepared data'!A164</f>
        <v/>
      </c>
      <c r="B171" s="5">
        <f>'1 prepared data'!U164</f>
        <v/>
      </c>
      <c r="C171">
        <f>'1 prepared data'!B164</f>
        <v/>
      </c>
      <c r="D171" s="7">
        <f>'1 prepared data'!C164</f>
        <v/>
      </c>
      <c r="E171" s="7">
        <f>'1 prepared data'!D164</f>
        <v/>
      </c>
      <c r="F171" s="7">
        <f>'1 prepared data'!E164</f>
        <v/>
      </c>
      <c r="G171" s="7">
        <f>'1 prepared data'!F164</f>
        <v/>
      </c>
      <c r="H171" s="7">
        <f>'1 prepared data'!G164</f>
        <v/>
      </c>
      <c r="I171" s="7">
        <f>'1 prepared data'!H164</f>
        <v/>
      </c>
      <c r="J171" s="7">
        <f>'1 prepared data'!I164</f>
        <v/>
      </c>
      <c r="K171" s="7">
        <f>'1 prepared data'!J164</f>
        <v/>
      </c>
      <c r="L171" s="7">
        <f>'1 prepared data'!K164</f>
        <v/>
      </c>
      <c r="M171" s="7">
        <f>'1 prepared data'!L164</f>
        <v/>
      </c>
      <c r="N171" s="7">
        <f>'1 prepared data'!M164</f>
        <v/>
      </c>
      <c r="O171" s="7">
        <f>'1 prepared data'!N164</f>
        <v/>
      </c>
      <c r="P171" s="7">
        <f>'1 prepared data'!O164</f>
        <v/>
      </c>
      <c r="Q171" s="7">
        <f>'1 prepared data'!P164</f>
        <v/>
      </c>
      <c r="R171" s="7">
        <f>'1 prepared data'!Q164</f>
        <v/>
      </c>
      <c r="S171" s="7">
        <f>'1 prepared data'!R164</f>
        <v/>
      </c>
      <c r="T171" s="7">
        <f>'1 prepared data'!S164</f>
        <v/>
      </c>
      <c r="U171" s="7">
        <f>'1 prepared data'!T164</f>
        <v/>
      </c>
      <c r="V171" s="8">
        <f>$AC$12+D171*$AC$13+E171*$AC$14+F171*$AC$15+G171*$AC$16+H171*$AC$17+I171*$AC$18+J171*$AC$19+K171*$AC$20+L171*$AC$21+M171*$AC$22+N171*$AC$23+O171*$AC$24+P171*$AC$25+Q171*$AC$26+R171*$AC$27+S171*$AC$28+T171*$AC$29+U171*$AC$30</f>
        <v/>
      </c>
      <c r="W171" s="8">
        <f>1/(1+EXP(-V171))</f>
        <v/>
      </c>
      <c r="X171" s="9">
        <f>-IF(C171=1,LN(W171),LN(1-W171))</f>
        <v/>
      </c>
      <c r="Y171" s="10">
        <f>IF(W171&gt;$AC$33,1,0)</f>
        <v/>
      </c>
      <c r="Z171">
        <f>IF(Y171=C171,1,0)</f>
        <v/>
      </c>
    </row>
    <row r="172">
      <c r="A172">
        <f>'1 prepared data'!A165</f>
        <v/>
      </c>
      <c r="B172" s="5">
        <f>'1 prepared data'!U165</f>
        <v/>
      </c>
      <c r="C172">
        <f>'1 prepared data'!B165</f>
        <v/>
      </c>
      <c r="D172" s="7">
        <f>'1 prepared data'!C165</f>
        <v/>
      </c>
      <c r="E172" s="7">
        <f>'1 prepared data'!D165</f>
        <v/>
      </c>
      <c r="F172" s="7">
        <f>'1 prepared data'!E165</f>
        <v/>
      </c>
      <c r="G172" s="7">
        <f>'1 prepared data'!F165</f>
        <v/>
      </c>
      <c r="H172" s="7">
        <f>'1 prepared data'!G165</f>
        <v/>
      </c>
      <c r="I172" s="7">
        <f>'1 prepared data'!H165</f>
        <v/>
      </c>
      <c r="J172" s="7">
        <f>'1 prepared data'!I165</f>
        <v/>
      </c>
      <c r="K172" s="7">
        <f>'1 prepared data'!J165</f>
        <v/>
      </c>
      <c r="L172" s="7">
        <f>'1 prepared data'!K165</f>
        <v/>
      </c>
      <c r="M172" s="7">
        <f>'1 prepared data'!L165</f>
        <v/>
      </c>
      <c r="N172" s="7">
        <f>'1 prepared data'!M165</f>
        <v/>
      </c>
      <c r="O172" s="7">
        <f>'1 prepared data'!N165</f>
        <v/>
      </c>
      <c r="P172" s="7">
        <f>'1 prepared data'!O165</f>
        <v/>
      </c>
      <c r="Q172" s="7">
        <f>'1 prepared data'!P165</f>
        <v/>
      </c>
      <c r="R172" s="7">
        <f>'1 prepared data'!Q165</f>
        <v/>
      </c>
      <c r="S172" s="7">
        <f>'1 prepared data'!R165</f>
        <v/>
      </c>
      <c r="T172" s="7">
        <f>'1 prepared data'!S165</f>
        <v/>
      </c>
      <c r="U172" s="7">
        <f>'1 prepared data'!T165</f>
        <v/>
      </c>
      <c r="V172" s="8">
        <f>$AC$12+D172*$AC$13+E172*$AC$14+F172*$AC$15+G172*$AC$16+H172*$AC$17+I172*$AC$18+J172*$AC$19+K172*$AC$20+L172*$AC$21+M172*$AC$22+N172*$AC$23+O172*$AC$24+P172*$AC$25+Q172*$AC$26+R172*$AC$27+S172*$AC$28+T172*$AC$29+U172*$AC$30</f>
        <v/>
      </c>
      <c r="W172" s="8">
        <f>1/(1+EXP(-V172))</f>
        <v/>
      </c>
      <c r="X172" s="9">
        <f>-IF(C172=1,LN(W172),LN(1-W172))</f>
        <v/>
      </c>
      <c r="Y172" s="10">
        <f>IF(W172&gt;$AC$33,1,0)</f>
        <v/>
      </c>
      <c r="Z172">
        <f>IF(Y172=C172,1,0)</f>
        <v/>
      </c>
    </row>
    <row r="173">
      <c r="A173">
        <f>'1 prepared data'!A166</f>
        <v/>
      </c>
      <c r="B173" s="5">
        <f>'1 prepared data'!U166</f>
        <v/>
      </c>
      <c r="C173">
        <f>'1 prepared data'!B166</f>
        <v/>
      </c>
      <c r="D173" s="7">
        <f>'1 prepared data'!C166</f>
        <v/>
      </c>
      <c r="E173" s="7">
        <f>'1 prepared data'!D166</f>
        <v/>
      </c>
      <c r="F173" s="7">
        <f>'1 prepared data'!E166</f>
        <v/>
      </c>
      <c r="G173" s="7">
        <f>'1 prepared data'!F166</f>
        <v/>
      </c>
      <c r="H173" s="7">
        <f>'1 prepared data'!G166</f>
        <v/>
      </c>
      <c r="I173" s="7">
        <f>'1 prepared data'!H166</f>
        <v/>
      </c>
      <c r="J173" s="7">
        <f>'1 prepared data'!I166</f>
        <v/>
      </c>
      <c r="K173" s="7">
        <f>'1 prepared data'!J166</f>
        <v/>
      </c>
      <c r="L173" s="7">
        <f>'1 prepared data'!K166</f>
        <v/>
      </c>
      <c r="M173" s="7">
        <f>'1 prepared data'!L166</f>
        <v/>
      </c>
      <c r="N173" s="7">
        <f>'1 prepared data'!M166</f>
        <v/>
      </c>
      <c r="O173" s="7">
        <f>'1 prepared data'!N166</f>
        <v/>
      </c>
      <c r="P173" s="7">
        <f>'1 prepared data'!O166</f>
        <v/>
      </c>
      <c r="Q173" s="7">
        <f>'1 prepared data'!P166</f>
        <v/>
      </c>
      <c r="R173" s="7">
        <f>'1 prepared data'!Q166</f>
        <v/>
      </c>
      <c r="S173" s="7">
        <f>'1 prepared data'!R166</f>
        <v/>
      </c>
      <c r="T173" s="7">
        <f>'1 prepared data'!S166</f>
        <v/>
      </c>
      <c r="U173" s="7">
        <f>'1 prepared data'!T166</f>
        <v/>
      </c>
      <c r="V173" s="8">
        <f>$AC$12+D173*$AC$13+E173*$AC$14+F173*$AC$15+G173*$AC$16+H173*$AC$17+I173*$AC$18+J173*$AC$19+K173*$AC$20+L173*$AC$21+M173*$AC$22+N173*$AC$23+O173*$AC$24+P173*$AC$25+Q173*$AC$26+R173*$AC$27+S173*$AC$28+T173*$AC$29+U173*$AC$30</f>
        <v/>
      </c>
      <c r="W173" s="8">
        <f>1/(1+EXP(-V173))</f>
        <v/>
      </c>
      <c r="X173" s="9">
        <f>-IF(C173=1,LN(W173),LN(1-W173))</f>
        <v/>
      </c>
      <c r="Y173" s="10">
        <f>IF(W173&gt;$AC$33,1,0)</f>
        <v/>
      </c>
      <c r="Z173">
        <f>IF(Y173=C173,1,0)</f>
        <v/>
      </c>
    </row>
    <row r="174">
      <c r="A174">
        <f>'1 prepared data'!A167</f>
        <v/>
      </c>
      <c r="B174" s="5">
        <f>'1 prepared data'!U167</f>
        <v/>
      </c>
      <c r="C174">
        <f>'1 prepared data'!B167</f>
        <v/>
      </c>
      <c r="D174" s="7">
        <f>'1 prepared data'!C167</f>
        <v/>
      </c>
      <c r="E174" s="7">
        <f>'1 prepared data'!D167</f>
        <v/>
      </c>
      <c r="F174" s="7">
        <f>'1 prepared data'!E167</f>
        <v/>
      </c>
      <c r="G174" s="7">
        <f>'1 prepared data'!F167</f>
        <v/>
      </c>
      <c r="H174" s="7">
        <f>'1 prepared data'!G167</f>
        <v/>
      </c>
      <c r="I174" s="7">
        <f>'1 prepared data'!H167</f>
        <v/>
      </c>
      <c r="J174" s="7">
        <f>'1 prepared data'!I167</f>
        <v/>
      </c>
      <c r="K174" s="7">
        <f>'1 prepared data'!J167</f>
        <v/>
      </c>
      <c r="L174" s="7">
        <f>'1 prepared data'!K167</f>
        <v/>
      </c>
      <c r="M174" s="7">
        <f>'1 prepared data'!L167</f>
        <v/>
      </c>
      <c r="N174" s="7">
        <f>'1 prepared data'!M167</f>
        <v/>
      </c>
      <c r="O174" s="7">
        <f>'1 prepared data'!N167</f>
        <v/>
      </c>
      <c r="P174" s="7">
        <f>'1 prepared data'!O167</f>
        <v/>
      </c>
      <c r="Q174" s="7">
        <f>'1 prepared data'!P167</f>
        <v/>
      </c>
      <c r="R174" s="7">
        <f>'1 prepared data'!Q167</f>
        <v/>
      </c>
      <c r="S174" s="7">
        <f>'1 prepared data'!R167</f>
        <v/>
      </c>
      <c r="T174" s="7">
        <f>'1 prepared data'!S167</f>
        <v/>
      </c>
      <c r="U174" s="7">
        <f>'1 prepared data'!T167</f>
        <v/>
      </c>
      <c r="V174" s="8">
        <f>$AC$12+D174*$AC$13+E174*$AC$14+F174*$AC$15+G174*$AC$16+H174*$AC$17+I174*$AC$18+J174*$AC$19+K174*$AC$20+L174*$AC$21+M174*$AC$22+N174*$AC$23+O174*$AC$24+P174*$AC$25+Q174*$AC$26+R174*$AC$27+S174*$AC$28+T174*$AC$29+U174*$AC$30</f>
        <v/>
      </c>
      <c r="W174" s="8">
        <f>1/(1+EXP(-V174))</f>
        <v/>
      </c>
      <c r="X174" s="9">
        <f>-IF(C174=1,LN(W174),LN(1-W174))</f>
        <v/>
      </c>
      <c r="Y174" s="10">
        <f>IF(W174&gt;$AC$33,1,0)</f>
        <v/>
      </c>
      <c r="Z174">
        <f>IF(Y174=C174,1,0)</f>
        <v/>
      </c>
    </row>
    <row r="175">
      <c r="A175">
        <f>'1 prepared data'!A168</f>
        <v/>
      </c>
      <c r="B175" s="5">
        <f>'1 prepared data'!U168</f>
        <v/>
      </c>
      <c r="C175">
        <f>'1 prepared data'!B168</f>
        <v/>
      </c>
      <c r="D175" s="7">
        <f>'1 prepared data'!C168</f>
        <v/>
      </c>
      <c r="E175" s="7">
        <f>'1 prepared data'!D168</f>
        <v/>
      </c>
      <c r="F175" s="7">
        <f>'1 prepared data'!E168</f>
        <v/>
      </c>
      <c r="G175" s="7">
        <f>'1 prepared data'!F168</f>
        <v/>
      </c>
      <c r="H175" s="7">
        <f>'1 prepared data'!G168</f>
        <v/>
      </c>
      <c r="I175" s="7">
        <f>'1 prepared data'!H168</f>
        <v/>
      </c>
      <c r="J175" s="7">
        <f>'1 prepared data'!I168</f>
        <v/>
      </c>
      <c r="K175" s="7">
        <f>'1 prepared data'!J168</f>
        <v/>
      </c>
      <c r="L175" s="7">
        <f>'1 prepared data'!K168</f>
        <v/>
      </c>
      <c r="M175" s="7">
        <f>'1 prepared data'!L168</f>
        <v/>
      </c>
      <c r="N175" s="7">
        <f>'1 prepared data'!M168</f>
        <v/>
      </c>
      <c r="O175" s="7">
        <f>'1 prepared data'!N168</f>
        <v/>
      </c>
      <c r="P175" s="7">
        <f>'1 prepared data'!O168</f>
        <v/>
      </c>
      <c r="Q175" s="7">
        <f>'1 prepared data'!P168</f>
        <v/>
      </c>
      <c r="R175" s="7">
        <f>'1 prepared data'!Q168</f>
        <v/>
      </c>
      <c r="S175" s="7">
        <f>'1 prepared data'!R168</f>
        <v/>
      </c>
      <c r="T175" s="7">
        <f>'1 prepared data'!S168</f>
        <v/>
      </c>
      <c r="U175" s="7">
        <f>'1 prepared data'!T168</f>
        <v/>
      </c>
      <c r="V175" s="8">
        <f>$AC$12+D175*$AC$13+E175*$AC$14+F175*$AC$15+G175*$AC$16+H175*$AC$17+I175*$AC$18+J175*$AC$19+K175*$AC$20+L175*$AC$21+M175*$AC$22+N175*$AC$23+O175*$AC$24+P175*$AC$25+Q175*$AC$26+R175*$AC$27+S175*$AC$28+T175*$AC$29+U175*$AC$30</f>
        <v/>
      </c>
      <c r="W175" s="8">
        <f>1/(1+EXP(-V175))</f>
        <v/>
      </c>
      <c r="X175" s="9">
        <f>-IF(C175=1,LN(W175),LN(1-W175))</f>
        <v/>
      </c>
      <c r="Y175" s="10">
        <f>IF(W175&gt;$AC$33,1,0)</f>
        <v/>
      </c>
      <c r="Z175">
        <f>IF(Y175=C175,1,0)</f>
        <v/>
      </c>
    </row>
    <row r="176">
      <c r="A176">
        <f>'1 prepared data'!A169</f>
        <v/>
      </c>
      <c r="B176" s="5">
        <f>'1 prepared data'!U169</f>
        <v/>
      </c>
      <c r="C176">
        <f>'1 prepared data'!B169</f>
        <v/>
      </c>
      <c r="D176" s="7">
        <f>'1 prepared data'!C169</f>
        <v/>
      </c>
      <c r="E176" s="7">
        <f>'1 prepared data'!D169</f>
        <v/>
      </c>
      <c r="F176" s="7">
        <f>'1 prepared data'!E169</f>
        <v/>
      </c>
      <c r="G176" s="7">
        <f>'1 prepared data'!F169</f>
        <v/>
      </c>
      <c r="H176" s="7">
        <f>'1 prepared data'!G169</f>
        <v/>
      </c>
      <c r="I176" s="7">
        <f>'1 prepared data'!H169</f>
        <v/>
      </c>
      <c r="J176" s="7">
        <f>'1 prepared data'!I169</f>
        <v/>
      </c>
      <c r="K176" s="7">
        <f>'1 prepared data'!J169</f>
        <v/>
      </c>
      <c r="L176" s="7">
        <f>'1 prepared data'!K169</f>
        <v/>
      </c>
      <c r="M176" s="7">
        <f>'1 prepared data'!L169</f>
        <v/>
      </c>
      <c r="N176" s="7">
        <f>'1 prepared data'!M169</f>
        <v/>
      </c>
      <c r="O176" s="7">
        <f>'1 prepared data'!N169</f>
        <v/>
      </c>
      <c r="P176" s="7">
        <f>'1 prepared data'!O169</f>
        <v/>
      </c>
      <c r="Q176" s="7">
        <f>'1 prepared data'!P169</f>
        <v/>
      </c>
      <c r="R176" s="7">
        <f>'1 prepared data'!Q169</f>
        <v/>
      </c>
      <c r="S176" s="7">
        <f>'1 prepared data'!R169</f>
        <v/>
      </c>
      <c r="T176" s="7">
        <f>'1 prepared data'!S169</f>
        <v/>
      </c>
      <c r="U176" s="7">
        <f>'1 prepared data'!T169</f>
        <v/>
      </c>
      <c r="V176" s="8">
        <f>$AC$12+D176*$AC$13+E176*$AC$14+F176*$AC$15+G176*$AC$16+H176*$AC$17+I176*$AC$18+J176*$AC$19+K176*$AC$20+L176*$AC$21+M176*$AC$22+N176*$AC$23+O176*$AC$24+P176*$AC$25+Q176*$AC$26+R176*$AC$27+S176*$AC$28+T176*$AC$29+U176*$AC$30</f>
        <v/>
      </c>
      <c r="W176" s="8">
        <f>1/(1+EXP(-V176))</f>
        <v/>
      </c>
      <c r="X176" s="9">
        <f>-IF(C176=1,LN(W176),LN(1-W176))</f>
        <v/>
      </c>
      <c r="Y176" s="10">
        <f>IF(W176&gt;$AC$33,1,0)</f>
        <v/>
      </c>
      <c r="Z176">
        <f>IF(Y176=C176,1,0)</f>
        <v/>
      </c>
    </row>
    <row r="177">
      <c r="A177">
        <f>'1 prepared data'!A170</f>
        <v/>
      </c>
      <c r="B177" s="5">
        <f>'1 prepared data'!U170</f>
        <v/>
      </c>
      <c r="C177">
        <f>'1 prepared data'!B170</f>
        <v/>
      </c>
      <c r="D177" s="7">
        <f>'1 prepared data'!C170</f>
        <v/>
      </c>
      <c r="E177" s="7">
        <f>'1 prepared data'!D170</f>
        <v/>
      </c>
      <c r="F177" s="7">
        <f>'1 prepared data'!E170</f>
        <v/>
      </c>
      <c r="G177" s="7">
        <f>'1 prepared data'!F170</f>
        <v/>
      </c>
      <c r="H177" s="7">
        <f>'1 prepared data'!G170</f>
        <v/>
      </c>
      <c r="I177" s="7">
        <f>'1 prepared data'!H170</f>
        <v/>
      </c>
      <c r="J177" s="7">
        <f>'1 prepared data'!I170</f>
        <v/>
      </c>
      <c r="K177" s="7">
        <f>'1 prepared data'!J170</f>
        <v/>
      </c>
      <c r="L177" s="7">
        <f>'1 prepared data'!K170</f>
        <v/>
      </c>
      <c r="M177" s="7">
        <f>'1 prepared data'!L170</f>
        <v/>
      </c>
      <c r="N177" s="7">
        <f>'1 prepared data'!M170</f>
        <v/>
      </c>
      <c r="O177" s="7">
        <f>'1 prepared data'!N170</f>
        <v/>
      </c>
      <c r="P177" s="7">
        <f>'1 prepared data'!O170</f>
        <v/>
      </c>
      <c r="Q177" s="7">
        <f>'1 prepared data'!P170</f>
        <v/>
      </c>
      <c r="R177" s="7">
        <f>'1 prepared data'!Q170</f>
        <v/>
      </c>
      <c r="S177" s="7">
        <f>'1 prepared data'!R170</f>
        <v/>
      </c>
      <c r="T177" s="7">
        <f>'1 prepared data'!S170</f>
        <v/>
      </c>
      <c r="U177" s="7">
        <f>'1 prepared data'!T170</f>
        <v/>
      </c>
      <c r="V177" s="8">
        <f>$AC$12+D177*$AC$13+E177*$AC$14+F177*$AC$15+G177*$AC$16+H177*$AC$17+I177*$AC$18+J177*$AC$19+K177*$AC$20+L177*$AC$21+M177*$AC$22+N177*$AC$23+O177*$AC$24+P177*$AC$25+Q177*$AC$26+R177*$AC$27+S177*$AC$28+T177*$AC$29+U177*$AC$30</f>
        <v/>
      </c>
      <c r="W177" s="8">
        <f>1/(1+EXP(-V177))</f>
        <v/>
      </c>
      <c r="X177" s="9">
        <f>-IF(C177=1,LN(W177),LN(1-W177))</f>
        <v/>
      </c>
      <c r="Y177" s="10">
        <f>IF(W177&gt;$AC$33,1,0)</f>
        <v/>
      </c>
      <c r="Z177">
        <f>IF(Y177=C177,1,0)</f>
        <v/>
      </c>
    </row>
    <row r="178">
      <c r="A178">
        <f>'1 prepared data'!A171</f>
        <v/>
      </c>
      <c r="B178" s="5">
        <f>'1 prepared data'!U171</f>
        <v/>
      </c>
      <c r="C178">
        <f>'1 prepared data'!B171</f>
        <v/>
      </c>
      <c r="D178" s="7">
        <f>'1 prepared data'!C171</f>
        <v/>
      </c>
      <c r="E178" s="7">
        <f>'1 prepared data'!D171</f>
        <v/>
      </c>
      <c r="F178" s="7">
        <f>'1 prepared data'!E171</f>
        <v/>
      </c>
      <c r="G178" s="7">
        <f>'1 prepared data'!F171</f>
        <v/>
      </c>
      <c r="H178" s="7">
        <f>'1 prepared data'!G171</f>
        <v/>
      </c>
      <c r="I178" s="7">
        <f>'1 prepared data'!H171</f>
        <v/>
      </c>
      <c r="J178" s="7">
        <f>'1 prepared data'!I171</f>
        <v/>
      </c>
      <c r="K178" s="7">
        <f>'1 prepared data'!J171</f>
        <v/>
      </c>
      <c r="L178" s="7">
        <f>'1 prepared data'!K171</f>
        <v/>
      </c>
      <c r="M178" s="7">
        <f>'1 prepared data'!L171</f>
        <v/>
      </c>
      <c r="N178" s="7">
        <f>'1 prepared data'!M171</f>
        <v/>
      </c>
      <c r="O178" s="7">
        <f>'1 prepared data'!N171</f>
        <v/>
      </c>
      <c r="P178" s="7">
        <f>'1 prepared data'!O171</f>
        <v/>
      </c>
      <c r="Q178" s="7">
        <f>'1 prepared data'!P171</f>
        <v/>
      </c>
      <c r="R178" s="7">
        <f>'1 prepared data'!Q171</f>
        <v/>
      </c>
      <c r="S178" s="7">
        <f>'1 prepared data'!R171</f>
        <v/>
      </c>
      <c r="T178" s="7">
        <f>'1 prepared data'!S171</f>
        <v/>
      </c>
      <c r="U178" s="7">
        <f>'1 prepared data'!T171</f>
        <v/>
      </c>
      <c r="V178" s="8">
        <f>$AC$12+D178*$AC$13+E178*$AC$14+F178*$AC$15+G178*$AC$16+H178*$AC$17+I178*$AC$18+J178*$AC$19+K178*$AC$20+L178*$AC$21+M178*$AC$22+N178*$AC$23+O178*$AC$24+P178*$AC$25+Q178*$AC$26+R178*$AC$27+S178*$AC$28+T178*$AC$29+U178*$AC$30</f>
        <v/>
      </c>
      <c r="W178" s="8">
        <f>1/(1+EXP(-V178))</f>
        <v/>
      </c>
      <c r="X178" s="9">
        <f>-IF(C178=1,LN(W178),LN(1-W178))</f>
        <v/>
      </c>
      <c r="Y178" s="10">
        <f>IF(W178&gt;$AC$33,1,0)</f>
        <v/>
      </c>
      <c r="Z178">
        <f>IF(Y178=C178,1,0)</f>
        <v/>
      </c>
    </row>
    <row r="179">
      <c r="A179">
        <f>'1 prepared data'!A172</f>
        <v/>
      </c>
      <c r="B179" s="5">
        <f>'1 prepared data'!U172</f>
        <v/>
      </c>
      <c r="C179">
        <f>'1 prepared data'!B172</f>
        <v/>
      </c>
      <c r="D179" s="7">
        <f>'1 prepared data'!C172</f>
        <v/>
      </c>
      <c r="E179" s="7">
        <f>'1 prepared data'!D172</f>
        <v/>
      </c>
      <c r="F179" s="7">
        <f>'1 prepared data'!E172</f>
        <v/>
      </c>
      <c r="G179" s="7">
        <f>'1 prepared data'!F172</f>
        <v/>
      </c>
      <c r="H179" s="7">
        <f>'1 prepared data'!G172</f>
        <v/>
      </c>
      <c r="I179" s="7">
        <f>'1 prepared data'!H172</f>
        <v/>
      </c>
      <c r="J179" s="7">
        <f>'1 prepared data'!I172</f>
        <v/>
      </c>
      <c r="K179" s="7">
        <f>'1 prepared data'!J172</f>
        <v/>
      </c>
      <c r="L179" s="7">
        <f>'1 prepared data'!K172</f>
        <v/>
      </c>
      <c r="M179" s="7">
        <f>'1 prepared data'!L172</f>
        <v/>
      </c>
      <c r="N179" s="7">
        <f>'1 prepared data'!M172</f>
        <v/>
      </c>
      <c r="O179" s="7">
        <f>'1 prepared data'!N172</f>
        <v/>
      </c>
      <c r="P179" s="7">
        <f>'1 prepared data'!O172</f>
        <v/>
      </c>
      <c r="Q179" s="7">
        <f>'1 prepared data'!P172</f>
        <v/>
      </c>
      <c r="R179" s="7">
        <f>'1 prepared data'!Q172</f>
        <v/>
      </c>
      <c r="S179" s="7">
        <f>'1 prepared data'!R172</f>
        <v/>
      </c>
      <c r="T179" s="7">
        <f>'1 prepared data'!S172</f>
        <v/>
      </c>
      <c r="U179" s="7">
        <f>'1 prepared data'!T172</f>
        <v/>
      </c>
      <c r="V179" s="8">
        <f>$AC$12+D179*$AC$13+E179*$AC$14+F179*$AC$15+G179*$AC$16+H179*$AC$17+I179*$AC$18+J179*$AC$19+K179*$AC$20+L179*$AC$21+M179*$AC$22+N179*$AC$23+O179*$AC$24+P179*$AC$25+Q179*$AC$26+R179*$AC$27+S179*$AC$28+T179*$AC$29+U179*$AC$30</f>
        <v/>
      </c>
      <c r="W179" s="8">
        <f>1/(1+EXP(-V179))</f>
        <v/>
      </c>
      <c r="X179" s="9">
        <f>-IF(C179=1,LN(W179),LN(1-W179))</f>
        <v/>
      </c>
      <c r="Y179" s="10">
        <f>IF(W179&gt;$AC$33,1,0)</f>
        <v/>
      </c>
      <c r="Z179">
        <f>IF(Y179=C179,1,0)</f>
        <v/>
      </c>
    </row>
    <row r="180">
      <c r="A180">
        <f>'1 prepared data'!A173</f>
        <v/>
      </c>
      <c r="B180" s="5">
        <f>'1 prepared data'!U173</f>
        <v/>
      </c>
      <c r="C180">
        <f>'1 prepared data'!B173</f>
        <v/>
      </c>
      <c r="D180" s="7">
        <f>'1 prepared data'!C173</f>
        <v/>
      </c>
      <c r="E180" s="7">
        <f>'1 prepared data'!D173</f>
        <v/>
      </c>
      <c r="F180" s="7">
        <f>'1 prepared data'!E173</f>
        <v/>
      </c>
      <c r="G180" s="7">
        <f>'1 prepared data'!F173</f>
        <v/>
      </c>
      <c r="H180" s="7">
        <f>'1 prepared data'!G173</f>
        <v/>
      </c>
      <c r="I180" s="7">
        <f>'1 prepared data'!H173</f>
        <v/>
      </c>
      <c r="J180" s="7">
        <f>'1 prepared data'!I173</f>
        <v/>
      </c>
      <c r="K180" s="7">
        <f>'1 prepared data'!J173</f>
        <v/>
      </c>
      <c r="L180" s="7">
        <f>'1 prepared data'!K173</f>
        <v/>
      </c>
      <c r="M180" s="7">
        <f>'1 prepared data'!L173</f>
        <v/>
      </c>
      <c r="N180" s="7">
        <f>'1 prepared data'!M173</f>
        <v/>
      </c>
      <c r="O180" s="7">
        <f>'1 prepared data'!N173</f>
        <v/>
      </c>
      <c r="P180" s="7">
        <f>'1 prepared data'!O173</f>
        <v/>
      </c>
      <c r="Q180" s="7">
        <f>'1 prepared data'!P173</f>
        <v/>
      </c>
      <c r="R180" s="7">
        <f>'1 prepared data'!Q173</f>
        <v/>
      </c>
      <c r="S180" s="7">
        <f>'1 prepared data'!R173</f>
        <v/>
      </c>
      <c r="T180" s="7">
        <f>'1 prepared data'!S173</f>
        <v/>
      </c>
      <c r="U180" s="7">
        <f>'1 prepared data'!T173</f>
        <v/>
      </c>
      <c r="V180" s="8">
        <f>$AC$12+D180*$AC$13+E180*$AC$14+F180*$AC$15+G180*$AC$16+H180*$AC$17+I180*$AC$18+J180*$AC$19+K180*$AC$20+L180*$AC$21+M180*$AC$22+N180*$AC$23+O180*$AC$24+P180*$AC$25+Q180*$AC$26+R180*$AC$27+S180*$AC$28+T180*$AC$29+U180*$AC$30</f>
        <v/>
      </c>
      <c r="W180" s="8">
        <f>1/(1+EXP(-V180))</f>
        <v/>
      </c>
      <c r="X180" s="9">
        <f>-IF(C180=1,LN(W180),LN(1-W180))</f>
        <v/>
      </c>
      <c r="Y180" s="10">
        <f>IF(W180&gt;$AC$33,1,0)</f>
        <v/>
      </c>
      <c r="Z180">
        <f>IF(Y180=C180,1,0)</f>
        <v/>
      </c>
    </row>
    <row r="181">
      <c r="A181">
        <f>'1 prepared data'!A174</f>
        <v/>
      </c>
      <c r="B181" s="5">
        <f>'1 prepared data'!U174</f>
        <v/>
      </c>
      <c r="C181">
        <f>'1 prepared data'!B174</f>
        <v/>
      </c>
      <c r="D181" s="7">
        <f>'1 prepared data'!C174</f>
        <v/>
      </c>
      <c r="E181" s="7">
        <f>'1 prepared data'!D174</f>
        <v/>
      </c>
      <c r="F181" s="7">
        <f>'1 prepared data'!E174</f>
        <v/>
      </c>
      <c r="G181" s="7">
        <f>'1 prepared data'!F174</f>
        <v/>
      </c>
      <c r="H181" s="7">
        <f>'1 prepared data'!G174</f>
        <v/>
      </c>
      <c r="I181" s="7">
        <f>'1 prepared data'!H174</f>
        <v/>
      </c>
      <c r="J181" s="7">
        <f>'1 prepared data'!I174</f>
        <v/>
      </c>
      <c r="K181" s="7">
        <f>'1 prepared data'!J174</f>
        <v/>
      </c>
      <c r="L181" s="7">
        <f>'1 prepared data'!K174</f>
        <v/>
      </c>
      <c r="M181" s="7">
        <f>'1 prepared data'!L174</f>
        <v/>
      </c>
      <c r="N181" s="7">
        <f>'1 prepared data'!M174</f>
        <v/>
      </c>
      <c r="O181" s="7">
        <f>'1 prepared data'!N174</f>
        <v/>
      </c>
      <c r="P181" s="7">
        <f>'1 prepared data'!O174</f>
        <v/>
      </c>
      <c r="Q181" s="7">
        <f>'1 prepared data'!P174</f>
        <v/>
      </c>
      <c r="R181" s="7">
        <f>'1 prepared data'!Q174</f>
        <v/>
      </c>
      <c r="S181" s="7">
        <f>'1 prepared data'!R174</f>
        <v/>
      </c>
      <c r="T181" s="7">
        <f>'1 prepared data'!S174</f>
        <v/>
      </c>
      <c r="U181" s="7">
        <f>'1 prepared data'!T174</f>
        <v/>
      </c>
      <c r="V181" s="8">
        <f>$AC$12+D181*$AC$13+E181*$AC$14+F181*$AC$15+G181*$AC$16+H181*$AC$17+I181*$AC$18+J181*$AC$19+K181*$AC$20+L181*$AC$21+M181*$AC$22+N181*$AC$23+O181*$AC$24+P181*$AC$25+Q181*$AC$26+R181*$AC$27+S181*$AC$28+T181*$AC$29+U181*$AC$30</f>
        <v/>
      </c>
      <c r="W181" s="8">
        <f>1/(1+EXP(-V181))</f>
        <v/>
      </c>
      <c r="X181" s="9">
        <f>-IF(C181=1,LN(W181),LN(1-W181))</f>
        <v/>
      </c>
      <c r="Y181" s="10">
        <f>IF(W181&gt;$AC$33,1,0)</f>
        <v/>
      </c>
      <c r="Z181">
        <f>IF(Y181=C181,1,0)</f>
        <v/>
      </c>
    </row>
    <row r="182">
      <c r="A182">
        <f>'1 prepared data'!A175</f>
        <v/>
      </c>
      <c r="B182" s="5">
        <f>'1 prepared data'!U175</f>
        <v/>
      </c>
      <c r="C182">
        <f>'1 prepared data'!B175</f>
        <v/>
      </c>
      <c r="D182" s="7">
        <f>'1 prepared data'!C175</f>
        <v/>
      </c>
      <c r="E182" s="7">
        <f>'1 prepared data'!D175</f>
        <v/>
      </c>
      <c r="F182" s="7">
        <f>'1 prepared data'!E175</f>
        <v/>
      </c>
      <c r="G182" s="7">
        <f>'1 prepared data'!F175</f>
        <v/>
      </c>
      <c r="H182" s="7">
        <f>'1 prepared data'!G175</f>
        <v/>
      </c>
      <c r="I182" s="7">
        <f>'1 prepared data'!H175</f>
        <v/>
      </c>
      <c r="J182" s="7">
        <f>'1 prepared data'!I175</f>
        <v/>
      </c>
      <c r="K182" s="7">
        <f>'1 prepared data'!J175</f>
        <v/>
      </c>
      <c r="L182" s="7">
        <f>'1 prepared data'!K175</f>
        <v/>
      </c>
      <c r="M182" s="7">
        <f>'1 prepared data'!L175</f>
        <v/>
      </c>
      <c r="N182" s="7">
        <f>'1 prepared data'!M175</f>
        <v/>
      </c>
      <c r="O182" s="7">
        <f>'1 prepared data'!N175</f>
        <v/>
      </c>
      <c r="P182" s="7">
        <f>'1 prepared data'!O175</f>
        <v/>
      </c>
      <c r="Q182" s="7">
        <f>'1 prepared data'!P175</f>
        <v/>
      </c>
      <c r="R182" s="7">
        <f>'1 prepared data'!Q175</f>
        <v/>
      </c>
      <c r="S182" s="7">
        <f>'1 prepared data'!R175</f>
        <v/>
      </c>
      <c r="T182" s="7">
        <f>'1 prepared data'!S175</f>
        <v/>
      </c>
      <c r="U182" s="7">
        <f>'1 prepared data'!T175</f>
        <v/>
      </c>
      <c r="V182" s="8">
        <f>$AC$12+D182*$AC$13+E182*$AC$14+F182*$AC$15+G182*$AC$16+H182*$AC$17+I182*$AC$18+J182*$AC$19+K182*$AC$20+L182*$AC$21+M182*$AC$22+N182*$AC$23+O182*$AC$24+P182*$AC$25+Q182*$AC$26+R182*$AC$27+S182*$AC$28+T182*$AC$29+U182*$AC$30</f>
        <v/>
      </c>
      <c r="W182" s="8">
        <f>1/(1+EXP(-V182))</f>
        <v/>
      </c>
      <c r="X182" s="9">
        <f>-IF(C182=1,LN(W182),LN(1-W182))</f>
        <v/>
      </c>
      <c r="Y182" s="10">
        <f>IF(W182&gt;$AC$33,1,0)</f>
        <v/>
      </c>
      <c r="Z182">
        <f>IF(Y182=C182,1,0)</f>
        <v/>
      </c>
    </row>
    <row r="183">
      <c r="A183">
        <f>'1 prepared data'!A176</f>
        <v/>
      </c>
      <c r="B183" s="5">
        <f>'1 prepared data'!U176</f>
        <v/>
      </c>
      <c r="C183">
        <f>'1 prepared data'!B176</f>
        <v/>
      </c>
      <c r="D183" s="7">
        <f>'1 prepared data'!C176</f>
        <v/>
      </c>
      <c r="E183" s="7">
        <f>'1 prepared data'!D176</f>
        <v/>
      </c>
      <c r="F183" s="7">
        <f>'1 prepared data'!E176</f>
        <v/>
      </c>
      <c r="G183" s="7">
        <f>'1 prepared data'!F176</f>
        <v/>
      </c>
      <c r="H183" s="7">
        <f>'1 prepared data'!G176</f>
        <v/>
      </c>
      <c r="I183" s="7">
        <f>'1 prepared data'!H176</f>
        <v/>
      </c>
      <c r="J183" s="7">
        <f>'1 prepared data'!I176</f>
        <v/>
      </c>
      <c r="K183" s="7">
        <f>'1 prepared data'!J176</f>
        <v/>
      </c>
      <c r="L183" s="7">
        <f>'1 prepared data'!K176</f>
        <v/>
      </c>
      <c r="M183" s="7">
        <f>'1 prepared data'!L176</f>
        <v/>
      </c>
      <c r="N183" s="7">
        <f>'1 prepared data'!M176</f>
        <v/>
      </c>
      <c r="O183" s="7">
        <f>'1 prepared data'!N176</f>
        <v/>
      </c>
      <c r="P183" s="7">
        <f>'1 prepared data'!O176</f>
        <v/>
      </c>
      <c r="Q183" s="7">
        <f>'1 prepared data'!P176</f>
        <v/>
      </c>
      <c r="R183" s="7">
        <f>'1 prepared data'!Q176</f>
        <v/>
      </c>
      <c r="S183" s="7">
        <f>'1 prepared data'!R176</f>
        <v/>
      </c>
      <c r="T183" s="7">
        <f>'1 prepared data'!S176</f>
        <v/>
      </c>
      <c r="U183" s="7">
        <f>'1 prepared data'!T176</f>
        <v/>
      </c>
      <c r="V183" s="8">
        <f>$AC$12+D183*$AC$13+E183*$AC$14+F183*$AC$15+G183*$AC$16+H183*$AC$17+I183*$AC$18+J183*$AC$19+K183*$AC$20+L183*$AC$21+M183*$AC$22+N183*$AC$23+O183*$AC$24+P183*$AC$25+Q183*$AC$26+R183*$AC$27+S183*$AC$28+T183*$AC$29+U183*$AC$30</f>
        <v/>
      </c>
      <c r="W183" s="8">
        <f>1/(1+EXP(-V183))</f>
        <v/>
      </c>
      <c r="X183" s="9">
        <f>-IF(C183=1,LN(W183),LN(1-W183))</f>
        <v/>
      </c>
      <c r="Y183" s="10">
        <f>IF(W183&gt;$AC$33,1,0)</f>
        <v/>
      </c>
      <c r="Z183">
        <f>IF(Y183=C183,1,0)</f>
        <v/>
      </c>
    </row>
    <row r="184">
      <c r="A184">
        <f>'1 prepared data'!A177</f>
        <v/>
      </c>
      <c r="B184" s="5">
        <f>'1 prepared data'!U177</f>
        <v/>
      </c>
      <c r="C184">
        <f>'1 prepared data'!B177</f>
        <v/>
      </c>
      <c r="D184" s="7">
        <f>'1 prepared data'!C177</f>
        <v/>
      </c>
      <c r="E184" s="7">
        <f>'1 prepared data'!D177</f>
        <v/>
      </c>
      <c r="F184" s="7">
        <f>'1 prepared data'!E177</f>
        <v/>
      </c>
      <c r="G184" s="7">
        <f>'1 prepared data'!F177</f>
        <v/>
      </c>
      <c r="H184" s="7">
        <f>'1 prepared data'!G177</f>
        <v/>
      </c>
      <c r="I184" s="7">
        <f>'1 prepared data'!H177</f>
        <v/>
      </c>
      <c r="J184" s="7">
        <f>'1 prepared data'!I177</f>
        <v/>
      </c>
      <c r="K184" s="7">
        <f>'1 prepared data'!J177</f>
        <v/>
      </c>
      <c r="L184" s="7">
        <f>'1 prepared data'!K177</f>
        <v/>
      </c>
      <c r="M184" s="7">
        <f>'1 prepared data'!L177</f>
        <v/>
      </c>
      <c r="N184" s="7">
        <f>'1 prepared data'!M177</f>
        <v/>
      </c>
      <c r="O184" s="7">
        <f>'1 prepared data'!N177</f>
        <v/>
      </c>
      <c r="P184" s="7">
        <f>'1 prepared data'!O177</f>
        <v/>
      </c>
      <c r="Q184" s="7">
        <f>'1 prepared data'!P177</f>
        <v/>
      </c>
      <c r="R184" s="7">
        <f>'1 prepared data'!Q177</f>
        <v/>
      </c>
      <c r="S184" s="7">
        <f>'1 prepared data'!R177</f>
        <v/>
      </c>
      <c r="T184" s="7">
        <f>'1 prepared data'!S177</f>
        <v/>
      </c>
      <c r="U184" s="7">
        <f>'1 prepared data'!T177</f>
        <v/>
      </c>
      <c r="V184" s="8">
        <f>$AC$12+D184*$AC$13+E184*$AC$14+F184*$AC$15+G184*$AC$16+H184*$AC$17+I184*$AC$18+J184*$AC$19+K184*$AC$20+L184*$AC$21+M184*$AC$22+N184*$AC$23+O184*$AC$24+P184*$AC$25+Q184*$AC$26+R184*$AC$27+S184*$AC$28+T184*$AC$29+U184*$AC$30</f>
        <v/>
      </c>
      <c r="W184" s="8">
        <f>1/(1+EXP(-V184))</f>
        <v/>
      </c>
      <c r="X184" s="9">
        <f>-IF(C184=1,LN(W184),LN(1-W184))</f>
        <v/>
      </c>
      <c r="Y184" s="10">
        <f>IF(W184&gt;$AC$33,1,0)</f>
        <v/>
      </c>
      <c r="Z184">
        <f>IF(Y184=C184,1,0)</f>
        <v/>
      </c>
    </row>
    <row r="185">
      <c r="A185">
        <f>'1 prepared data'!A178</f>
        <v/>
      </c>
      <c r="B185" s="5">
        <f>'1 prepared data'!U178</f>
        <v/>
      </c>
      <c r="C185">
        <f>'1 prepared data'!B178</f>
        <v/>
      </c>
      <c r="D185" s="7">
        <f>'1 prepared data'!C178</f>
        <v/>
      </c>
      <c r="E185" s="7">
        <f>'1 prepared data'!D178</f>
        <v/>
      </c>
      <c r="F185" s="7">
        <f>'1 prepared data'!E178</f>
        <v/>
      </c>
      <c r="G185" s="7">
        <f>'1 prepared data'!F178</f>
        <v/>
      </c>
      <c r="H185" s="7">
        <f>'1 prepared data'!G178</f>
        <v/>
      </c>
      <c r="I185" s="7">
        <f>'1 prepared data'!H178</f>
        <v/>
      </c>
      <c r="J185" s="7">
        <f>'1 prepared data'!I178</f>
        <v/>
      </c>
      <c r="K185" s="7">
        <f>'1 prepared data'!J178</f>
        <v/>
      </c>
      <c r="L185" s="7">
        <f>'1 prepared data'!K178</f>
        <v/>
      </c>
      <c r="M185" s="7">
        <f>'1 prepared data'!L178</f>
        <v/>
      </c>
      <c r="N185" s="7">
        <f>'1 prepared data'!M178</f>
        <v/>
      </c>
      <c r="O185" s="7">
        <f>'1 prepared data'!N178</f>
        <v/>
      </c>
      <c r="P185" s="7">
        <f>'1 prepared data'!O178</f>
        <v/>
      </c>
      <c r="Q185" s="7">
        <f>'1 prepared data'!P178</f>
        <v/>
      </c>
      <c r="R185" s="7">
        <f>'1 prepared data'!Q178</f>
        <v/>
      </c>
      <c r="S185" s="7">
        <f>'1 prepared data'!R178</f>
        <v/>
      </c>
      <c r="T185" s="7">
        <f>'1 prepared data'!S178</f>
        <v/>
      </c>
      <c r="U185" s="7">
        <f>'1 prepared data'!T178</f>
        <v/>
      </c>
      <c r="V185" s="8">
        <f>$AC$12+D185*$AC$13+E185*$AC$14+F185*$AC$15+G185*$AC$16+H185*$AC$17+I185*$AC$18+J185*$AC$19+K185*$AC$20+L185*$AC$21+M185*$AC$22+N185*$AC$23+O185*$AC$24+P185*$AC$25+Q185*$AC$26+R185*$AC$27+S185*$AC$28+T185*$AC$29+U185*$AC$30</f>
        <v/>
      </c>
      <c r="W185" s="8">
        <f>1/(1+EXP(-V185))</f>
        <v/>
      </c>
      <c r="X185" s="9">
        <f>-IF(C185=1,LN(W185),LN(1-W185))</f>
        <v/>
      </c>
      <c r="Y185" s="10">
        <f>IF(W185&gt;$AC$33,1,0)</f>
        <v/>
      </c>
      <c r="Z185">
        <f>IF(Y185=C185,1,0)</f>
        <v/>
      </c>
    </row>
    <row r="186">
      <c r="A186">
        <f>'1 prepared data'!A179</f>
        <v/>
      </c>
      <c r="B186" s="5">
        <f>'1 prepared data'!U179</f>
        <v/>
      </c>
      <c r="C186">
        <f>'1 prepared data'!B179</f>
        <v/>
      </c>
      <c r="D186" s="7">
        <f>'1 prepared data'!C179</f>
        <v/>
      </c>
      <c r="E186" s="7">
        <f>'1 prepared data'!D179</f>
        <v/>
      </c>
      <c r="F186" s="7">
        <f>'1 prepared data'!E179</f>
        <v/>
      </c>
      <c r="G186" s="7">
        <f>'1 prepared data'!F179</f>
        <v/>
      </c>
      <c r="H186" s="7">
        <f>'1 prepared data'!G179</f>
        <v/>
      </c>
      <c r="I186" s="7">
        <f>'1 prepared data'!H179</f>
        <v/>
      </c>
      <c r="J186" s="7">
        <f>'1 prepared data'!I179</f>
        <v/>
      </c>
      <c r="K186" s="7">
        <f>'1 prepared data'!J179</f>
        <v/>
      </c>
      <c r="L186" s="7">
        <f>'1 prepared data'!K179</f>
        <v/>
      </c>
      <c r="M186" s="7">
        <f>'1 prepared data'!L179</f>
        <v/>
      </c>
      <c r="N186" s="7">
        <f>'1 prepared data'!M179</f>
        <v/>
      </c>
      <c r="O186" s="7">
        <f>'1 prepared data'!N179</f>
        <v/>
      </c>
      <c r="P186" s="7">
        <f>'1 prepared data'!O179</f>
        <v/>
      </c>
      <c r="Q186" s="7">
        <f>'1 prepared data'!P179</f>
        <v/>
      </c>
      <c r="R186" s="7">
        <f>'1 prepared data'!Q179</f>
        <v/>
      </c>
      <c r="S186" s="7">
        <f>'1 prepared data'!R179</f>
        <v/>
      </c>
      <c r="T186" s="7">
        <f>'1 prepared data'!S179</f>
        <v/>
      </c>
      <c r="U186" s="7">
        <f>'1 prepared data'!T179</f>
        <v/>
      </c>
      <c r="V186" s="8">
        <f>$AC$12+D186*$AC$13+E186*$AC$14+F186*$AC$15+G186*$AC$16+H186*$AC$17+I186*$AC$18+J186*$AC$19+K186*$AC$20+L186*$AC$21+M186*$AC$22+N186*$AC$23+O186*$AC$24+P186*$AC$25+Q186*$AC$26+R186*$AC$27+S186*$AC$28+T186*$AC$29+U186*$AC$30</f>
        <v/>
      </c>
      <c r="W186" s="8">
        <f>1/(1+EXP(-V186))</f>
        <v/>
      </c>
      <c r="X186" s="9">
        <f>-IF(C186=1,LN(W186),LN(1-W186))</f>
        <v/>
      </c>
      <c r="Y186" s="10">
        <f>IF(W186&gt;$AC$33,1,0)</f>
        <v/>
      </c>
      <c r="Z186">
        <f>IF(Y186=C186,1,0)</f>
        <v/>
      </c>
    </row>
    <row r="187">
      <c r="A187">
        <f>'1 prepared data'!A180</f>
        <v/>
      </c>
      <c r="B187" s="5">
        <f>'1 prepared data'!U180</f>
        <v/>
      </c>
      <c r="C187">
        <f>'1 prepared data'!B180</f>
        <v/>
      </c>
      <c r="D187" s="7">
        <f>'1 prepared data'!C180</f>
        <v/>
      </c>
      <c r="E187" s="7">
        <f>'1 prepared data'!D180</f>
        <v/>
      </c>
      <c r="F187" s="7">
        <f>'1 prepared data'!E180</f>
        <v/>
      </c>
      <c r="G187" s="7">
        <f>'1 prepared data'!F180</f>
        <v/>
      </c>
      <c r="H187" s="7">
        <f>'1 prepared data'!G180</f>
        <v/>
      </c>
      <c r="I187" s="7">
        <f>'1 prepared data'!H180</f>
        <v/>
      </c>
      <c r="J187" s="7">
        <f>'1 prepared data'!I180</f>
        <v/>
      </c>
      <c r="K187" s="7">
        <f>'1 prepared data'!J180</f>
        <v/>
      </c>
      <c r="L187" s="7">
        <f>'1 prepared data'!K180</f>
        <v/>
      </c>
      <c r="M187" s="7">
        <f>'1 prepared data'!L180</f>
        <v/>
      </c>
      <c r="N187" s="7">
        <f>'1 prepared data'!M180</f>
        <v/>
      </c>
      <c r="O187" s="7">
        <f>'1 prepared data'!N180</f>
        <v/>
      </c>
      <c r="P187" s="7">
        <f>'1 prepared data'!O180</f>
        <v/>
      </c>
      <c r="Q187" s="7">
        <f>'1 prepared data'!P180</f>
        <v/>
      </c>
      <c r="R187" s="7">
        <f>'1 prepared data'!Q180</f>
        <v/>
      </c>
      <c r="S187" s="7">
        <f>'1 prepared data'!R180</f>
        <v/>
      </c>
      <c r="T187" s="7">
        <f>'1 prepared data'!S180</f>
        <v/>
      </c>
      <c r="U187" s="7">
        <f>'1 prepared data'!T180</f>
        <v/>
      </c>
      <c r="V187" s="8">
        <f>$AC$12+D187*$AC$13+E187*$AC$14+F187*$AC$15+G187*$AC$16+H187*$AC$17+I187*$AC$18+J187*$AC$19+K187*$AC$20+L187*$AC$21+M187*$AC$22+N187*$AC$23+O187*$AC$24+P187*$AC$25+Q187*$AC$26+R187*$AC$27+S187*$AC$28+T187*$AC$29+U187*$AC$30</f>
        <v/>
      </c>
      <c r="W187" s="8">
        <f>1/(1+EXP(-V187))</f>
        <v/>
      </c>
      <c r="X187" s="9">
        <f>-IF(C187=1,LN(W187),LN(1-W187))</f>
        <v/>
      </c>
      <c r="Y187" s="10">
        <f>IF(W187&gt;$AC$33,1,0)</f>
        <v/>
      </c>
      <c r="Z187">
        <f>IF(Y187=C187,1,0)</f>
        <v/>
      </c>
    </row>
    <row r="188">
      <c r="A188">
        <f>'1 prepared data'!A181</f>
        <v/>
      </c>
      <c r="B188" s="5">
        <f>'1 prepared data'!U181</f>
        <v/>
      </c>
      <c r="C188">
        <f>'1 prepared data'!B181</f>
        <v/>
      </c>
      <c r="D188" s="7">
        <f>'1 prepared data'!C181</f>
        <v/>
      </c>
      <c r="E188" s="7">
        <f>'1 prepared data'!D181</f>
        <v/>
      </c>
      <c r="F188" s="7">
        <f>'1 prepared data'!E181</f>
        <v/>
      </c>
      <c r="G188" s="7">
        <f>'1 prepared data'!F181</f>
        <v/>
      </c>
      <c r="H188" s="7">
        <f>'1 prepared data'!G181</f>
        <v/>
      </c>
      <c r="I188" s="7">
        <f>'1 prepared data'!H181</f>
        <v/>
      </c>
      <c r="J188" s="7">
        <f>'1 prepared data'!I181</f>
        <v/>
      </c>
      <c r="K188" s="7">
        <f>'1 prepared data'!J181</f>
        <v/>
      </c>
      <c r="L188" s="7">
        <f>'1 prepared data'!K181</f>
        <v/>
      </c>
      <c r="M188" s="7">
        <f>'1 prepared data'!L181</f>
        <v/>
      </c>
      <c r="N188" s="7">
        <f>'1 prepared data'!M181</f>
        <v/>
      </c>
      <c r="O188" s="7">
        <f>'1 prepared data'!N181</f>
        <v/>
      </c>
      <c r="P188" s="7">
        <f>'1 prepared data'!O181</f>
        <v/>
      </c>
      <c r="Q188" s="7">
        <f>'1 prepared data'!P181</f>
        <v/>
      </c>
      <c r="R188" s="7">
        <f>'1 prepared data'!Q181</f>
        <v/>
      </c>
      <c r="S188" s="7">
        <f>'1 prepared data'!R181</f>
        <v/>
      </c>
      <c r="T188" s="7">
        <f>'1 prepared data'!S181</f>
        <v/>
      </c>
      <c r="U188" s="7">
        <f>'1 prepared data'!T181</f>
        <v/>
      </c>
      <c r="V188" s="8">
        <f>$AC$12+D188*$AC$13+E188*$AC$14+F188*$AC$15+G188*$AC$16+H188*$AC$17+I188*$AC$18+J188*$AC$19+K188*$AC$20+L188*$AC$21+M188*$AC$22+N188*$AC$23+O188*$AC$24+P188*$AC$25+Q188*$AC$26+R188*$AC$27+S188*$AC$28+T188*$AC$29+U188*$AC$30</f>
        <v/>
      </c>
      <c r="W188" s="8">
        <f>1/(1+EXP(-V188))</f>
        <v/>
      </c>
      <c r="X188" s="9">
        <f>-IF(C188=1,LN(W188),LN(1-W188))</f>
        <v/>
      </c>
      <c r="Y188" s="10">
        <f>IF(W188&gt;$AC$33,1,0)</f>
        <v/>
      </c>
      <c r="Z188">
        <f>IF(Y188=C188,1,0)</f>
        <v/>
      </c>
    </row>
    <row r="189">
      <c r="A189">
        <f>'1 prepared data'!A182</f>
        <v/>
      </c>
      <c r="B189" s="5">
        <f>'1 prepared data'!U182</f>
        <v/>
      </c>
      <c r="C189">
        <f>'1 prepared data'!B182</f>
        <v/>
      </c>
      <c r="D189" s="7">
        <f>'1 prepared data'!C182</f>
        <v/>
      </c>
      <c r="E189" s="7">
        <f>'1 prepared data'!D182</f>
        <v/>
      </c>
      <c r="F189" s="7">
        <f>'1 prepared data'!E182</f>
        <v/>
      </c>
      <c r="G189" s="7">
        <f>'1 prepared data'!F182</f>
        <v/>
      </c>
      <c r="H189" s="7">
        <f>'1 prepared data'!G182</f>
        <v/>
      </c>
      <c r="I189" s="7">
        <f>'1 prepared data'!H182</f>
        <v/>
      </c>
      <c r="J189" s="7">
        <f>'1 prepared data'!I182</f>
        <v/>
      </c>
      <c r="K189" s="7">
        <f>'1 prepared data'!J182</f>
        <v/>
      </c>
      <c r="L189" s="7">
        <f>'1 prepared data'!K182</f>
        <v/>
      </c>
      <c r="M189" s="7">
        <f>'1 prepared data'!L182</f>
        <v/>
      </c>
      <c r="N189" s="7">
        <f>'1 prepared data'!M182</f>
        <v/>
      </c>
      <c r="O189" s="7">
        <f>'1 prepared data'!N182</f>
        <v/>
      </c>
      <c r="P189" s="7">
        <f>'1 prepared data'!O182</f>
        <v/>
      </c>
      <c r="Q189" s="7">
        <f>'1 prepared data'!P182</f>
        <v/>
      </c>
      <c r="R189" s="7">
        <f>'1 prepared data'!Q182</f>
        <v/>
      </c>
      <c r="S189" s="7">
        <f>'1 prepared data'!R182</f>
        <v/>
      </c>
      <c r="T189" s="7">
        <f>'1 prepared data'!S182</f>
        <v/>
      </c>
      <c r="U189" s="7">
        <f>'1 prepared data'!T182</f>
        <v/>
      </c>
      <c r="V189" s="8">
        <f>$AC$12+D189*$AC$13+E189*$AC$14+F189*$AC$15+G189*$AC$16+H189*$AC$17+I189*$AC$18+J189*$AC$19+K189*$AC$20+L189*$AC$21+M189*$AC$22+N189*$AC$23+O189*$AC$24+P189*$AC$25+Q189*$AC$26+R189*$AC$27+S189*$AC$28+T189*$AC$29+U189*$AC$30</f>
        <v/>
      </c>
      <c r="W189" s="8">
        <f>1/(1+EXP(-V189))</f>
        <v/>
      </c>
      <c r="X189" s="9">
        <f>-IF(C189=1,LN(W189),LN(1-W189))</f>
        <v/>
      </c>
      <c r="Y189" s="10">
        <f>IF(W189&gt;$AC$33,1,0)</f>
        <v/>
      </c>
      <c r="Z189">
        <f>IF(Y189=C189,1,0)</f>
        <v/>
      </c>
    </row>
    <row r="190">
      <c r="A190">
        <f>'1 prepared data'!A183</f>
        <v/>
      </c>
      <c r="B190" s="5">
        <f>'1 prepared data'!U183</f>
        <v/>
      </c>
      <c r="C190">
        <f>'1 prepared data'!B183</f>
        <v/>
      </c>
      <c r="D190" s="7">
        <f>'1 prepared data'!C183</f>
        <v/>
      </c>
      <c r="E190" s="7">
        <f>'1 prepared data'!D183</f>
        <v/>
      </c>
      <c r="F190" s="7">
        <f>'1 prepared data'!E183</f>
        <v/>
      </c>
      <c r="G190" s="7">
        <f>'1 prepared data'!F183</f>
        <v/>
      </c>
      <c r="H190" s="7">
        <f>'1 prepared data'!G183</f>
        <v/>
      </c>
      <c r="I190" s="7">
        <f>'1 prepared data'!H183</f>
        <v/>
      </c>
      <c r="J190" s="7">
        <f>'1 prepared data'!I183</f>
        <v/>
      </c>
      <c r="K190" s="7">
        <f>'1 prepared data'!J183</f>
        <v/>
      </c>
      <c r="L190" s="7">
        <f>'1 prepared data'!K183</f>
        <v/>
      </c>
      <c r="M190" s="7">
        <f>'1 prepared data'!L183</f>
        <v/>
      </c>
      <c r="N190" s="7">
        <f>'1 prepared data'!M183</f>
        <v/>
      </c>
      <c r="O190" s="7">
        <f>'1 prepared data'!N183</f>
        <v/>
      </c>
      <c r="P190" s="7">
        <f>'1 prepared data'!O183</f>
        <v/>
      </c>
      <c r="Q190" s="7">
        <f>'1 prepared data'!P183</f>
        <v/>
      </c>
      <c r="R190" s="7">
        <f>'1 prepared data'!Q183</f>
        <v/>
      </c>
      <c r="S190" s="7">
        <f>'1 prepared data'!R183</f>
        <v/>
      </c>
      <c r="T190" s="7">
        <f>'1 prepared data'!S183</f>
        <v/>
      </c>
      <c r="U190" s="7">
        <f>'1 prepared data'!T183</f>
        <v/>
      </c>
      <c r="V190" s="8">
        <f>$AC$12+D190*$AC$13+E190*$AC$14+F190*$AC$15+G190*$AC$16+H190*$AC$17+I190*$AC$18+J190*$AC$19+K190*$AC$20+L190*$AC$21+M190*$AC$22+N190*$AC$23+O190*$AC$24+P190*$AC$25+Q190*$AC$26+R190*$AC$27+S190*$AC$28+T190*$AC$29+U190*$AC$30</f>
        <v/>
      </c>
      <c r="W190" s="8">
        <f>1/(1+EXP(-V190))</f>
        <v/>
      </c>
      <c r="X190" s="9">
        <f>-IF(C190=1,LN(W190),LN(1-W190))</f>
        <v/>
      </c>
      <c r="Y190" s="10">
        <f>IF(W190&gt;$AC$33,1,0)</f>
        <v/>
      </c>
      <c r="Z190">
        <f>IF(Y190=C190,1,0)</f>
        <v/>
      </c>
    </row>
    <row r="191">
      <c r="A191">
        <f>'1 prepared data'!A184</f>
        <v/>
      </c>
      <c r="B191" s="5">
        <f>'1 prepared data'!U184</f>
        <v/>
      </c>
      <c r="C191">
        <f>'1 prepared data'!B184</f>
        <v/>
      </c>
      <c r="D191" s="7">
        <f>'1 prepared data'!C184</f>
        <v/>
      </c>
      <c r="E191" s="7">
        <f>'1 prepared data'!D184</f>
        <v/>
      </c>
      <c r="F191" s="7">
        <f>'1 prepared data'!E184</f>
        <v/>
      </c>
      <c r="G191" s="7">
        <f>'1 prepared data'!F184</f>
        <v/>
      </c>
      <c r="H191" s="7">
        <f>'1 prepared data'!G184</f>
        <v/>
      </c>
      <c r="I191" s="7">
        <f>'1 prepared data'!H184</f>
        <v/>
      </c>
      <c r="J191" s="7">
        <f>'1 prepared data'!I184</f>
        <v/>
      </c>
      <c r="K191" s="7">
        <f>'1 prepared data'!J184</f>
        <v/>
      </c>
      <c r="L191" s="7">
        <f>'1 prepared data'!K184</f>
        <v/>
      </c>
      <c r="M191" s="7">
        <f>'1 prepared data'!L184</f>
        <v/>
      </c>
      <c r="N191" s="7">
        <f>'1 prepared data'!M184</f>
        <v/>
      </c>
      <c r="O191" s="7">
        <f>'1 prepared data'!N184</f>
        <v/>
      </c>
      <c r="P191" s="7">
        <f>'1 prepared data'!O184</f>
        <v/>
      </c>
      <c r="Q191" s="7">
        <f>'1 prepared data'!P184</f>
        <v/>
      </c>
      <c r="R191" s="7">
        <f>'1 prepared data'!Q184</f>
        <v/>
      </c>
      <c r="S191" s="7">
        <f>'1 prepared data'!R184</f>
        <v/>
      </c>
      <c r="T191" s="7">
        <f>'1 prepared data'!S184</f>
        <v/>
      </c>
      <c r="U191" s="7">
        <f>'1 prepared data'!T184</f>
        <v/>
      </c>
      <c r="V191" s="8">
        <f>$AC$12+D191*$AC$13+E191*$AC$14+F191*$AC$15+G191*$AC$16+H191*$AC$17+I191*$AC$18+J191*$AC$19+K191*$AC$20+L191*$AC$21+M191*$AC$22+N191*$AC$23+O191*$AC$24+P191*$AC$25+Q191*$AC$26+R191*$AC$27+S191*$AC$28+T191*$AC$29+U191*$AC$30</f>
        <v/>
      </c>
      <c r="W191" s="8">
        <f>1/(1+EXP(-V191))</f>
        <v/>
      </c>
      <c r="X191" s="9">
        <f>-IF(C191=1,LN(W191),LN(1-W191))</f>
        <v/>
      </c>
      <c r="Y191" s="10">
        <f>IF(W191&gt;$AC$33,1,0)</f>
        <v/>
      </c>
      <c r="Z191">
        <f>IF(Y191=C191,1,0)</f>
        <v/>
      </c>
    </row>
    <row r="192">
      <c r="A192">
        <f>'1 prepared data'!A185</f>
        <v/>
      </c>
      <c r="B192" s="5">
        <f>'1 prepared data'!U185</f>
        <v/>
      </c>
      <c r="C192">
        <f>'1 prepared data'!B185</f>
        <v/>
      </c>
      <c r="D192" s="7">
        <f>'1 prepared data'!C185</f>
        <v/>
      </c>
      <c r="E192" s="7">
        <f>'1 prepared data'!D185</f>
        <v/>
      </c>
      <c r="F192" s="7">
        <f>'1 prepared data'!E185</f>
        <v/>
      </c>
      <c r="G192" s="7">
        <f>'1 prepared data'!F185</f>
        <v/>
      </c>
      <c r="H192" s="7">
        <f>'1 prepared data'!G185</f>
        <v/>
      </c>
      <c r="I192" s="7">
        <f>'1 prepared data'!H185</f>
        <v/>
      </c>
      <c r="J192" s="7">
        <f>'1 prepared data'!I185</f>
        <v/>
      </c>
      <c r="K192" s="7">
        <f>'1 prepared data'!J185</f>
        <v/>
      </c>
      <c r="L192" s="7">
        <f>'1 prepared data'!K185</f>
        <v/>
      </c>
      <c r="M192" s="7">
        <f>'1 prepared data'!L185</f>
        <v/>
      </c>
      <c r="N192" s="7">
        <f>'1 prepared data'!M185</f>
        <v/>
      </c>
      <c r="O192" s="7">
        <f>'1 prepared data'!N185</f>
        <v/>
      </c>
      <c r="P192" s="7">
        <f>'1 prepared data'!O185</f>
        <v/>
      </c>
      <c r="Q192" s="7">
        <f>'1 prepared data'!P185</f>
        <v/>
      </c>
      <c r="R192" s="7">
        <f>'1 prepared data'!Q185</f>
        <v/>
      </c>
      <c r="S192" s="7">
        <f>'1 prepared data'!R185</f>
        <v/>
      </c>
      <c r="T192" s="7">
        <f>'1 prepared data'!S185</f>
        <v/>
      </c>
      <c r="U192" s="7">
        <f>'1 prepared data'!T185</f>
        <v/>
      </c>
      <c r="V192" s="8">
        <f>$AC$12+D192*$AC$13+E192*$AC$14+F192*$AC$15+G192*$AC$16+H192*$AC$17+I192*$AC$18+J192*$AC$19+K192*$AC$20+L192*$AC$21+M192*$AC$22+N192*$AC$23+O192*$AC$24+P192*$AC$25+Q192*$AC$26+R192*$AC$27+S192*$AC$28+T192*$AC$29+U192*$AC$30</f>
        <v/>
      </c>
      <c r="W192" s="8">
        <f>1/(1+EXP(-V192))</f>
        <v/>
      </c>
      <c r="X192" s="9">
        <f>-IF(C192=1,LN(W192),LN(1-W192))</f>
        <v/>
      </c>
      <c r="Y192" s="10">
        <f>IF(W192&gt;$AC$33,1,0)</f>
        <v/>
      </c>
      <c r="Z192">
        <f>IF(Y192=C192,1,0)</f>
        <v/>
      </c>
    </row>
    <row r="193">
      <c r="A193">
        <f>'1 prepared data'!A186</f>
        <v/>
      </c>
      <c r="B193" s="5">
        <f>'1 prepared data'!U186</f>
        <v/>
      </c>
      <c r="C193">
        <f>'1 prepared data'!B186</f>
        <v/>
      </c>
      <c r="D193" s="7">
        <f>'1 prepared data'!C186</f>
        <v/>
      </c>
      <c r="E193" s="7">
        <f>'1 prepared data'!D186</f>
        <v/>
      </c>
      <c r="F193" s="7">
        <f>'1 prepared data'!E186</f>
        <v/>
      </c>
      <c r="G193" s="7">
        <f>'1 prepared data'!F186</f>
        <v/>
      </c>
      <c r="H193" s="7">
        <f>'1 prepared data'!G186</f>
        <v/>
      </c>
      <c r="I193" s="7">
        <f>'1 prepared data'!H186</f>
        <v/>
      </c>
      <c r="J193" s="7">
        <f>'1 prepared data'!I186</f>
        <v/>
      </c>
      <c r="K193" s="7">
        <f>'1 prepared data'!J186</f>
        <v/>
      </c>
      <c r="L193" s="7">
        <f>'1 prepared data'!K186</f>
        <v/>
      </c>
      <c r="M193" s="7">
        <f>'1 prepared data'!L186</f>
        <v/>
      </c>
      <c r="N193" s="7">
        <f>'1 prepared data'!M186</f>
        <v/>
      </c>
      <c r="O193" s="7">
        <f>'1 prepared data'!N186</f>
        <v/>
      </c>
      <c r="P193" s="7">
        <f>'1 prepared data'!O186</f>
        <v/>
      </c>
      <c r="Q193" s="7">
        <f>'1 prepared data'!P186</f>
        <v/>
      </c>
      <c r="R193" s="7">
        <f>'1 prepared data'!Q186</f>
        <v/>
      </c>
      <c r="S193" s="7">
        <f>'1 prepared data'!R186</f>
        <v/>
      </c>
      <c r="T193" s="7">
        <f>'1 prepared data'!S186</f>
        <v/>
      </c>
      <c r="U193" s="7">
        <f>'1 prepared data'!T186</f>
        <v/>
      </c>
      <c r="V193" s="8">
        <f>$AC$12+D193*$AC$13+E193*$AC$14+F193*$AC$15+G193*$AC$16+H193*$AC$17+I193*$AC$18+J193*$AC$19+K193*$AC$20+L193*$AC$21+M193*$AC$22+N193*$AC$23+O193*$AC$24+P193*$AC$25+Q193*$AC$26+R193*$AC$27+S193*$AC$28+T193*$AC$29+U193*$AC$30</f>
        <v/>
      </c>
      <c r="W193" s="8">
        <f>1/(1+EXP(-V193))</f>
        <v/>
      </c>
      <c r="X193" s="9">
        <f>-IF(C193=1,LN(W193),LN(1-W193))</f>
        <v/>
      </c>
      <c r="Y193" s="10">
        <f>IF(W193&gt;$AC$33,1,0)</f>
        <v/>
      </c>
      <c r="Z193">
        <f>IF(Y193=C193,1,0)</f>
        <v/>
      </c>
    </row>
    <row r="194">
      <c r="A194">
        <f>'1 prepared data'!A187</f>
        <v/>
      </c>
      <c r="B194" s="5">
        <f>'1 prepared data'!U187</f>
        <v/>
      </c>
      <c r="C194">
        <f>'1 prepared data'!B187</f>
        <v/>
      </c>
      <c r="D194" s="7">
        <f>'1 prepared data'!C187</f>
        <v/>
      </c>
      <c r="E194" s="7">
        <f>'1 prepared data'!D187</f>
        <v/>
      </c>
      <c r="F194" s="7">
        <f>'1 prepared data'!E187</f>
        <v/>
      </c>
      <c r="G194" s="7">
        <f>'1 prepared data'!F187</f>
        <v/>
      </c>
      <c r="H194" s="7">
        <f>'1 prepared data'!G187</f>
        <v/>
      </c>
      <c r="I194" s="7">
        <f>'1 prepared data'!H187</f>
        <v/>
      </c>
      <c r="J194" s="7">
        <f>'1 prepared data'!I187</f>
        <v/>
      </c>
      <c r="K194" s="7">
        <f>'1 prepared data'!J187</f>
        <v/>
      </c>
      <c r="L194" s="7">
        <f>'1 prepared data'!K187</f>
        <v/>
      </c>
      <c r="M194" s="7">
        <f>'1 prepared data'!L187</f>
        <v/>
      </c>
      <c r="N194" s="7">
        <f>'1 prepared data'!M187</f>
        <v/>
      </c>
      <c r="O194" s="7">
        <f>'1 prepared data'!N187</f>
        <v/>
      </c>
      <c r="P194" s="7">
        <f>'1 prepared data'!O187</f>
        <v/>
      </c>
      <c r="Q194" s="7">
        <f>'1 prepared data'!P187</f>
        <v/>
      </c>
      <c r="R194" s="7">
        <f>'1 prepared data'!Q187</f>
        <v/>
      </c>
      <c r="S194" s="7">
        <f>'1 prepared data'!R187</f>
        <v/>
      </c>
      <c r="T194" s="7">
        <f>'1 prepared data'!S187</f>
        <v/>
      </c>
      <c r="U194" s="7">
        <f>'1 prepared data'!T187</f>
        <v/>
      </c>
      <c r="V194" s="8">
        <f>$AC$12+D194*$AC$13+E194*$AC$14+F194*$AC$15+G194*$AC$16+H194*$AC$17+I194*$AC$18+J194*$AC$19+K194*$AC$20+L194*$AC$21+M194*$AC$22+N194*$AC$23+O194*$AC$24+P194*$AC$25+Q194*$AC$26+R194*$AC$27+S194*$AC$28+T194*$AC$29+U194*$AC$30</f>
        <v/>
      </c>
      <c r="W194" s="8">
        <f>1/(1+EXP(-V194))</f>
        <v/>
      </c>
      <c r="X194" s="9">
        <f>-IF(C194=1,LN(W194),LN(1-W194))</f>
        <v/>
      </c>
      <c r="Y194" s="10">
        <f>IF(W194&gt;$AC$33,1,0)</f>
        <v/>
      </c>
      <c r="Z194">
        <f>IF(Y194=C194,1,0)</f>
        <v/>
      </c>
    </row>
    <row r="195">
      <c r="A195">
        <f>'1 prepared data'!A188</f>
        <v/>
      </c>
      <c r="B195" s="5">
        <f>'1 prepared data'!U188</f>
        <v/>
      </c>
      <c r="C195">
        <f>'1 prepared data'!B188</f>
        <v/>
      </c>
      <c r="D195" s="7">
        <f>'1 prepared data'!C188</f>
        <v/>
      </c>
      <c r="E195" s="7">
        <f>'1 prepared data'!D188</f>
        <v/>
      </c>
      <c r="F195" s="7">
        <f>'1 prepared data'!E188</f>
        <v/>
      </c>
      <c r="G195" s="7">
        <f>'1 prepared data'!F188</f>
        <v/>
      </c>
      <c r="H195" s="7">
        <f>'1 prepared data'!G188</f>
        <v/>
      </c>
      <c r="I195" s="7">
        <f>'1 prepared data'!H188</f>
        <v/>
      </c>
      <c r="J195" s="7">
        <f>'1 prepared data'!I188</f>
        <v/>
      </c>
      <c r="K195" s="7">
        <f>'1 prepared data'!J188</f>
        <v/>
      </c>
      <c r="L195" s="7">
        <f>'1 prepared data'!K188</f>
        <v/>
      </c>
      <c r="M195" s="7">
        <f>'1 prepared data'!L188</f>
        <v/>
      </c>
      <c r="N195" s="7">
        <f>'1 prepared data'!M188</f>
        <v/>
      </c>
      <c r="O195" s="7">
        <f>'1 prepared data'!N188</f>
        <v/>
      </c>
      <c r="P195" s="7">
        <f>'1 prepared data'!O188</f>
        <v/>
      </c>
      <c r="Q195" s="7">
        <f>'1 prepared data'!P188</f>
        <v/>
      </c>
      <c r="R195" s="7">
        <f>'1 prepared data'!Q188</f>
        <v/>
      </c>
      <c r="S195" s="7">
        <f>'1 prepared data'!R188</f>
        <v/>
      </c>
      <c r="T195" s="7">
        <f>'1 prepared data'!S188</f>
        <v/>
      </c>
      <c r="U195" s="7">
        <f>'1 prepared data'!T188</f>
        <v/>
      </c>
      <c r="V195" s="8">
        <f>$AC$12+D195*$AC$13+E195*$AC$14+F195*$AC$15+G195*$AC$16+H195*$AC$17+I195*$AC$18+J195*$AC$19+K195*$AC$20+L195*$AC$21+M195*$AC$22+N195*$AC$23+O195*$AC$24+P195*$AC$25+Q195*$AC$26+R195*$AC$27+S195*$AC$28+T195*$AC$29+U195*$AC$30</f>
        <v/>
      </c>
      <c r="W195" s="8">
        <f>1/(1+EXP(-V195))</f>
        <v/>
      </c>
      <c r="X195" s="9">
        <f>-IF(C195=1,LN(W195),LN(1-W195))</f>
        <v/>
      </c>
      <c r="Y195" s="10">
        <f>IF(W195&gt;$AC$33,1,0)</f>
        <v/>
      </c>
      <c r="Z195">
        <f>IF(Y195=C195,1,0)</f>
        <v/>
      </c>
    </row>
    <row r="196">
      <c r="A196">
        <f>'1 prepared data'!A189</f>
        <v/>
      </c>
      <c r="B196" s="5">
        <f>'1 prepared data'!U189</f>
        <v/>
      </c>
      <c r="C196">
        <f>'1 prepared data'!B189</f>
        <v/>
      </c>
      <c r="D196" s="7">
        <f>'1 prepared data'!C189</f>
        <v/>
      </c>
      <c r="E196" s="7">
        <f>'1 prepared data'!D189</f>
        <v/>
      </c>
      <c r="F196" s="7">
        <f>'1 prepared data'!E189</f>
        <v/>
      </c>
      <c r="G196" s="7">
        <f>'1 prepared data'!F189</f>
        <v/>
      </c>
      <c r="H196" s="7">
        <f>'1 prepared data'!G189</f>
        <v/>
      </c>
      <c r="I196" s="7">
        <f>'1 prepared data'!H189</f>
        <v/>
      </c>
      <c r="J196" s="7">
        <f>'1 prepared data'!I189</f>
        <v/>
      </c>
      <c r="K196" s="7">
        <f>'1 prepared data'!J189</f>
        <v/>
      </c>
      <c r="L196" s="7">
        <f>'1 prepared data'!K189</f>
        <v/>
      </c>
      <c r="M196" s="7">
        <f>'1 prepared data'!L189</f>
        <v/>
      </c>
      <c r="N196" s="7">
        <f>'1 prepared data'!M189</f>
        <v/>
      </c>
      <c r="O196" s="7">
        <f>'1 prepared data'!N189</f>
        <v/>
      </c>
      <c r="P196" s="7">
        <f>'1 prepared data'!O189</f>
        <v/>
      </c>
      <c r="Q196" s="7">
        <f>'1 prepared data'!P189</f>
        <v/>
      </c>
      <c r="R196" s="7">
        <f>'1 prepared data'!Q189</f>
        <v/>
      </c>
      <c r="S196" s="7">
        <f>'1 prepared data'!R189</f>
        <v/>
      </c>
      <c r="T196" s="7">
        <f>'1 prepared data'!S189</f>
        <v/>
      </c>
      <c r="U196" s="7">
        <f>'1 prepared data'!T189</f>
        <v/>
      </c>
      <c r="V196" s="8">
        <f>$AC$12+D196*$AC$13+E196*$AC$14+F196*$AC$15+G196*$AC$16+H196*$AC$17+I196*$AC$18+J196*$AC$19+K196*$AC$20+L196*$AC$21+M196*$AC$22+N196*$AC$23+O196*$AC$24+P196*$AC$25+Q196*$AC$26+R196*$AC$27+S196*$AC$28+T196*$AC$29+U196*$AC$30</f>
        <v/>
      </c>
      <c r="W196" s="8">
        <f>1/(1+EXP(-V196))</f>
        <v/>
      </c>
      <c r="X196" s="9">
        <f>-IF(C196=1,LN(W196),LN(1-W196))</f>
        <v/>
      </c>
      <c r="Y196" s="10">
        <f>IF(W196&gt;$AC$33,1,0)</f>
        <v/>
      </c>
      <c r="Z196">
        <f>IF(Y196=C196,1,0)</f>
        <v/>
      </c>
    </row>
    <row r="197">
      <c r="A197">
        <f>'1 prepared data'!A190</f>
        <v/>
      </c>
      <c r="B197" s="5">
        <f>'1 prepared data'!U190</f>
        <v/>
      </c>
      <c r="C197">
        <f>'1 prepared data'!B190</f>
        <v/>
      </c>
      <c r="D197" s="7">
        <f>'1 prepared data'!C190</f>
        <v/>
      </c>
      <c r="E197" s="7">
        <f>'1 prepared data'!D190</f>
        <v/>
      </c>
      <c r="F197" s="7">
        <f>'1 prepared data'!E190</f>
        <v/>
      </c>
      <c r="G197" s="7">
        <f>'1 prepared data'!F190</f>
        <v/>
      </c>
      <c r="H197" s="7">
        <f>'1 prepared data'!G190</f>
        <v/>
      </c>
      <c r="I197" s="7">
        <f>'1 prepared data'!H190</f>
        <v/>
      </c>
      <c r="J197" s="7">
        <f>'1 prepared data'!I190</f>
        <v/>
      </c>
      <c r="K197" s="7">
        <f>'1 prepared data'!J190</f>
        <v/>
      </c>
      <c r="L197" s="7">
        <f>'1 prepared data'!K190</f>
        <v/>
      </c>
      <c r="M197" s="7">
        <f>'1 prepared data'!L190</f>
        <v/>
      </c>
      <c r="N197" s="7">
        <f>'1 prepared data'!M190</f>
        <v/>
      </c>
      <c r="O197" s="7">
        <f>'1 prepared data'!N190</f>
        <v/>
      </c>
      <c r="P197" s="7">
        <f>'1 prepared data'!O190</f>
        <v/>
      </c>
      <c r="Q197" s="7">
        <f>'1 prepared data'!P190</f>
        <v/>
      </c>
      <c r="R197" s="7">
        <f>'1 prepared data'!Q190</f>
        <v/>
      </c>
      <c r="S197" s="7">
        <f>'1 prepared data'!R190</f>
        <v/>
      </c>
      <c r="T197" s="7">
        <f>'1 prepared data'!S190</f>
        <v/>
      </c>
      <c r="U197" s="7">
        <f>'1 prepared data'!T190</f>
        <v/>
      </c>
      <c r="V197" s="8">
        <f>$AC$12+D197*$AC$13+E197*$AC$14+F197*$AC$15+G197*$AC$16+H197*$AC$17+I197*$AC$18+J197*$AC$19+K197*$AC$20+L197*$AC$21+M197*$AC$22+N197*$AC$23+O197*$AC$24+P197*$AC$25+Q197*$AC$26+R197*$AC$27+S197*$AC$28+T197*$AC$29+U197*$AC$30</f>
        <v/>
      </c>
      <c r="W197" s="8">
        <f>1/(1+EXP(-V197))</f>
        <v/>
      </c>
      <c r="X197" s="9">
        <f>-IF(C197=1,LN(W197),LN(1-W197))</f>
        <v/>
      </c>
      <c r="Y197" s="10">
        <f>IF(W197&gt;$AC$33,1,0)</f>
        <v/>
      </c>
      <c r="Z197">
        <f>IF(Y197=C197,1,0)</f>
        <v/>
      </c>
    </row>
    <row r="198">
      <c r="A198">
        <f>'1 prepared data'!A191</f>
        <v/>
      </c>
      <c r="B198" s="5">
        <f>'1 prepared data'!U191</f>
        <v/>
      </c>
      <c r="C198">
        <f>'1 prepared data'!B191</f>
        <v/>
      </c>
      <c r="D198" s="7">
        <f>'1 prepared data'!C191</f>
        <v/>
      </c>
      <c r="E198" s="7">
        <f>'1 prepared data'!D191</f>
        <v/>
      </c>
      <c r="F198" s="7">
        <f>'1 prepared data'!E191</f>
        <v/>
      </c>
      <c r="G198" s="7">
        <f>'1 prepared data'!F191</f>
        <v/>
      </c>
      <c r="H198" s="7">
        <f>'1 prepared data'!G191</f>
        <v/>
      </c>
      <c r="I198" s="7">
        <f>'1 prepared data'!H191</f>
        <v/>
      </c>
      <c r="J198" s="7">
        <f>'1 prepared data'!I191</f>
        <v/>
      </c>
      <c r="K198" s="7">
        <f>'1 prepared data'!J191</f>
        <v/>
      </c>
      <c r="L198" s="7">
        <f>'1 prepared data'!K191</f>
        <v/>
      </c>
      <c r="M198" s="7">
        <f>'1 prepared data'!L191</f>
        <v/>
      </c>
      <c r="N198" s="7">
        <f>'1 prepared data'!M191</f>
        <v/>
      </c>
      <c r="O198" s="7">
        <f>'1 prepared data'!N191</f>
        <v/>
      </c>
      <c r="P198" s="7">
        <f>'1 prepared data'!O191</f>
        <v/>
      </c>
      <c r="Q198" s="7">
        <f>'1 prepared data'!P191</f>
        <v/>
      </c>
      <c r="R198" s="7">
        <f>'1 prepared data'!Q191</f>
        <v/>
      </c>
      <c r="S198" s="7">
        <f>'1 prepared data'!R191</f>
        <v/>
      </c>
      <c r="T198" s="7">
        <f>'1 prepared data'!S191</f>
        <v/>
      </c>
      <c r="U198" s="7">
        <f>'1 prepared data'!T191</f>
        <v/>
      </c>
      <c r="V198" s="8">
        <f>$AC$12+D198*$AC$13+E198*$AC$14+F198*$AC$15+G198*$AC$16+H198*$AC$17+I198*$AC$18+J198*$AC$19+K198*$AC$20+L198*$AC$21+M198*$AC$22+N198*$AC$23+O198*$AC$24+P198*$AC$25+Q198*$AC$26+R198*$AC$27+S198*$AC$28+T198*$AC$29+U198*$AC$30</f>
        <v/>
      </c>
      <c r="W198" s="8">
        <f>1/(1+EXP(-V198))</f>
        <v/>
      </c>
      <c r="X198" s="9">
        <f>-IF(C198=1,LN(W198),LN(1-W198))</f>
        <v/>
      </c>
      <c r="Y198" s="10">
        <f>IF(W198&gt;$AC$33,1,0)</f>
        <v/>
      </c>
      <c r="Z198">
        <f>IF(Y198=C198,1,0)</f>
        <v/>
      </c>
    </row>
    <row r="199">
      <c r="A199">
        <f>'1 prepared data'!A192</f>
        <v/>
      </c>
      <c r="B199" s="5">
        <f>'1 prepared data'!U192</f>
        <v/>
      </c>
      <c r="C199">
        <f>'1 prepared data'!B192</f>
        <v/>
      </c>
      <c r="D199" s="7">
        <f>'1 prepared data'!C192</f>
        <v/>
      </c>
      <c r="E199" s="7">
        <f>'1 prepared data'!D192</f>
        <v/>
      </c>
      <c r="F199" s="7">
        <f>'1 prepared data'!E192</f>
        <v/>
      </c>
      <c r="G199" s="7">
        <f>'1 prepared data'!F192</f>
        <v/>
      </c>
      <c r="H199" s="7">
        <f>'1 prepared data'!G192</f>
        <v/>
      </c>
      <c r="I199" s="7">
        <f>'1 prepared data'!H192</f>
        <v/>
      </c>
      <c r="J199" s="7">
        <f>'1 prepared data'!I192</f>
        <v/>
      </c>
      <c r="K199" s="7">
        <f>'1 prepared data'!J192</f>
        <v/>
      </c>
      <c r="L199" s="7">
        <f>'1 prepared data'!K192</f>
        <v/>
      </c>
      <c r="M199" s="7">
        <f>'1 prepared data'!L192</f>
        <v/>
      </c>
      <c r="N199" s="7">
        <f>'1 prepared data'!M192</f>
        <v/>
      </c>
      <c r="O199" s="7">
        <f>'1 prepared data'!N192</f>
        <v/>
      </c>
      <c r="P199" s="7">
        <f>'1 prepared data'!O192</f>
        <v/>
      </c>
      <c r="Q199" s="7">
        <f>'1 prepared data'!P192</f>
        <v/>
      </c>
      <c r="R199" s="7">
        <f>'1 prepared data'!Q192</f>
        <v/>
      </c>
      <c r="S199" s="7">
        <f>'1 prepared data'!R192</f>
        <v/>
      </c>
      <c r="T199" s="7">
        <f>'1 prepared data'!S192</f>
        <v/>
      </c>
      <c r="U199" s="7">
        <f>'1 prepared data'!T192</f>
        <v/>
      </c>
      <c r="V199" s="8">
        <f>$AC$12+D199*$AC$13+E199*$AC$14+F199*$AC$15+G199*$AC$16+H199*$AC$17+I199*$AC$18+J199*$AC$19+K199*$AC$20+L199*$AC$21+M199*$AC$22+N199*$AC$23+O199*$AC$24+P199*$AC$25+Q199*$AC$26+R199*$AC$27+S199*$AC$28+T199*$AC$29+U199*$AC$30</f>
        <v/>
      </c>
      <c r="W199" s="8">
        <f>1/(1+EXP(-V199))</f>
        <v/>
      </c>
      <c r="X199" s="9">
        <f>-IF(C199=1,LN(W199),LN(1-W199))</f>
        <v/>
      </c>
      <c r="Y199" s="10">
        <f>IF(W199&gt;$AC$33,1,0)</f>
        <v/>
      </c>
      <c r="Z199">
        <f>IF(Y199=C199,1,0)</f>
        <v/>
      </c>
    </row>
    <row r="200">
      <c r="A200">
        <f>'1 prepared data'!A193</f>
        <v/>
      </c>
      <c r="B200" s="5">
        <f>'1 prepared data'!U193</f>
        <v/>
      </c>
      <c r="C200">
        <f>'1 prepared data'!B193</f>
        <v/>
      </c>
      <c r="D200" s="7">
        <f>'1 prepared data'!C193</f>
        <v/>
      </c>
      <c r="E200" s="7">
        <f>'1 prepared data'!D193</f>
        <v/>
      </c>
      <c r="F200" s="7">
        <f>'1 prepared data'!E193</f>
        <v/>
      </c>
      <c r="G200" s="7">
        <f>'1 prepared data'!F193</f>
        <v/>
      </c>
      <c r="H200" s="7">
        <f>'1 prepared data'!G193</f>
        <v/>
      </c>
      <c r="I200" s="7">
        <f>'1 prepared data'!H193</f>
        <v/>
      </c>
      <c r="J200" s="7">
        <f>'1 prepared data'!I193</f>
        <v/>
      </c>
      <c r="K200" s="7">
        <f>'1 prepared data'!J193</f>
        <v/>
      </c>
      <c r="L200" s="7">
        <f>'1 prepared data'!K193</f>
        <v/>
      </c>
      <c r="M200" s="7">
        <f>'1 prepared data'!L193</f>
        <v/>
      </c>
      <c r="N200" s="7">
        <f>'1 prepared data'!M193</f>
        <v/>
      </c>
      <c r="O200" s="7">
        <f>'1 prepared data'!N193</f>
        <v/>
      </c>
      <c r="P200" s="7">
        <f>'1 prepared data'!O193</f>
        <v/>
      </c>
      <c r="Q200" s="7">
        <f>'1 prepared data'!P193</f>
        <v/>
      </c>
      <c r="R200" s="7">
        <f>'1 prepared data'!Q193</f>
        <v/>
      </c>
      <c r="S200" s="7">
        <f>'1 prepared data'!R193</f>
        <v/>
      </c>
      <c r="T200" s="7">
        <f>'1 prepared data'!S193</f>
        <v/>
      </c>
      <c r="U200" s="7">
        <f>'1 prepared data'!T193</f>
        <v/>
      </c>
      <c r="V200" s="8">
        <f>$AC$12+D200*$AC$13+E200*$AC$14+F200*$AC$15+G200*$AC$16+H200*$AC$17+I200*$AC$18+J200*$AC$19+K200*$AC$20+L200*$AC$21+M200*$AC$22+N200*$AC$23+O200*$AC$24+P200*$AC$25+Q200*$AC$26+R200*$AC$27+S200*$AC$28+T200*$AC$29+U200*$AC$30</f>
        <v/>
      </c>
      <c r="W200" s="8">
        <f>1/(1+EXP(-V200))</f>
        <v/>
      </c>
      <c r="X200" s="9">
        <f>-IF(C200=1,LN(W200),LN(1-W200))</f>
        <v/>
      </c>
      <c r="Y200" s="10">
        <f>IF(W200&gt;$AC$33,1,0)</f>
        <v/>
      </c>
      <c r="Z200">
        <f>IF(Y200=C200,1,0)</f>
        <v/>
      </c>
    </row>
    <row r="201">
      <c r="A201">
        <f>'1 prepared data'!A194</f>
        <v/>
      </c>
      <c r="B201" s="5">
        <f>'1 prepared data'!U194</f>
        <v/>
      </c>
      <c r="C201">
        <f>'1 prepared data'!B194</f>
        <v/>
      </c>
      <c r="D201" s="7">
        <f>'1 prepared data'!C194</f>
        <v/>
      </c>
      <c r="E201" s="7">
        <f>'1 prepared data'!D194</f>
        <v/>
      </c>
      <c r="F201" s="7">
        <f>'1 prepared data'!E194</f>
        <v/>
      </c>
      <c r="G201" s="7">
        <f>'1 prepared data'!F194</f>
        <v/>
      </c>
      <c r="H201" s="7">
        <f>'1 prepared data'!G194</f>
        <v/>
      </c>
      <c r="I201" s="7">
        <f>'1 prepared data'!H194</f>
        <v/>
      </c>
      <c r="J201" s="7">
        <f>'1 prepared data'!I194</f>
        <v/>
      </c>
      <c r="K201" s="7">
        <f>'1 prepared data'!J194</f>
        <v/>
      </c>
      <c r="L201" s="7">
        <f>'1 prepared data'!K194</f>
        <v/>
      </c>
      <c r="M201" s="7">
        <f>'1 prepared data'!L194</f>
        <v/>
      </c>
      <c r="N201" s="7">
        <f>'1 prepared data'!M194</f>
        <v/>
      </c>
      <c r="O201" s="7">
        <f>'1 prepared data'!N194</f>
        <v/>
      </c>
      <c r="P201" s="7">
        <f>'1 prepared data'!O194</f>
        <v/>
      </c>
      <c r="Q201" s="7">
        <f>'1 prepared data'!P194</f>
        <v/>
      </c>
      <c r="R201" s="7">
        <f>'1 prepared data'!Q194</f>
        <v/>
      </c>
      <c r="S201" s="7">
        <f>'1 prepared data'!R194</f>
        <v/>
      </c>
      <c r="T201" s="7">
        <f>'1 prepared data'!S194</f>
        <v/>
      </c>
      <c r="U201" s="7">
        <f>'1 prepared data'!T194</f>
        <v/>
      </c>
      <c r="V201" s="8">
        <f>$AC$12+D201*$AC$13+E201*$AC$14+F201*$AC$15+G201*$AC$16+H201*$AC$17+I201*$AC$18+J201*$AC$19+K201*$AC$20+L201*$AC$21+M201*$AC$22+N201*$AC$23+O201*$AC$24+P201*$AC$25+Q201*$AC$26+R201*$AC$27+S201*$AC$28+T201*$AC$29+U201*$AC$30</f>
        <v/>
      </c>
      <c r="W201" s="8">
        <f>1/(1+EXP(-V201))</f>
        <v/>
      </c>
      <c r="X201" s="9">
        <f>-IF(C201=1,LN(W201),LN(1-W201))</f>
        <v/>
      </c>
      <c r="Y201" s="10">
        <f>IF(W201&gt;$AC$33,1,0)</f>
        <v/>
      </c>
      <c r="Z201">
        <f>IF(Y201=C201,1,0)</f>
        <v/>
      </c>
    </row>
    <row r="202">
      <c r="A202">
        <f>'1 prepared data'!A195</f>
        <v/>
      </c>
      <c r="B202" s="5">
        <f>'1 prepared data'!U195</f>
        <v/>
      </c>
      <c r="C202">
        <f>'1 prepared data'!B195</f>
        <v/>
      </c>
      <c r="D202" s="7">
        <f>'1 prepared data'!C195</f>
        <v/>
      </c>
      <c r="E202" s="7">
        <f>'1 prepared data'!D195</f>
        <v/>
      </c>
      <c r="F202" s="7">
        <f>'1 prepared data'!E195</f>
        <v/>
      </c>
      <c r="G202" s="7">
        <f>'1 prepared data'!F195</f>
        <v/>
      </c>
      <c r="H202" s="7">
        <f>'1 prepared data'!G195</f>
        <v/>
      </c>
      <c r="I202" s="7">
        <f>'1 prepared data'!H195</f>
        <v/>
      </c>
      <c r="J202" s="7">
        <f>'1 prepared data'!I195</f>
        <v/>
      </c>
      <c r="K202" s="7">
        <f>'1 prepared data'!J195</f>
        <v/>
      </c>
      <c r="L202" s="7">
        <f>'1 prepared data'!K195</f>
        <v/>
      </c>
      <c r="M202" s="7">
        <f>'1 prepared data'!L195</f>
        <v/>
      </c>
      <c r="N202" s="7">
        <f>'1 prepared data'!M195</f>
        <v/>
      </c>
      <c r="O202" s="7">
        <f>'1 prepared data'!N195</f>
        <v/>
      </c>
      <c r="P202" s="7">
        <f>'1 prepared data'!O195</f>
        <v/>
      </c>
      <c r="Q202" s="7">
        <f>'1 prepared data'!P195</f>
        <v/>
      </c>
      <c r="R202" s="7">
        <f>'1 prepared data'!Q195</f>
        <v/>
      </c>
      <c r="S202" s="7">
        <f>'1 prepared data'!R195</f>
        <v/>
      </c>
      <c r="T202" s="7">
        <f>'1 prepared data'!S195</f>
        <v/>
      </c>
      <c r="U202" s="7">
        <f>'1 prepared data'!T195</f>
        <v/>
      </c>
      <c r="V202" s="8">
        <f>$AC$12+D202*$AC$13+E202*$AC$14+F202*$AC$15+G202*$AC$16+H202*$AC$17+I202*$AC$18+J202*$AC$19+K202*$AC$20+L202*$AC$21+M202*$AC$22+N202*$AC$23+O202*$AC$24+P202*$AC$25+Q202*$AC$26+R202*$AC$27+S202*$AC$28+T202*$AC$29+U202*$AC$30</f>
        <v/>
      </c>
      <c r="W202" s="8">
        <f>1/(1+EXP(-V202))</f>
        <v/>
      </c>
      <c r="X202" s="9">
        <f>-IF(C202=1,LN(W202),LN(1-W202))</f>
        <v/>
      </c>
      <c r="Y202" s="10">
        <f>IF(W202&gt;$AC$33,1,0)</f>
        <v/>
      </c>
      <c r="Z202">
        <f>IF(Y202=C202,1,0)</f>
        <v/>
      </c>
    </row>
    <row r="203">
      <c r="A203">
        <f>'1 prepared data'!A196</f>
        <v/>
      </c>
      <c r="B203" s="5">
        <f>'1 prepared data'!U196</f>
        <v/>
      </c>
      <c r="C203">
        <f>'1 prepared data'!B196</f>
        <v/>
      </c>
      <c r="D203" s="7">
        <f>'1 prepared data'!C196</f>
        <v/>
      </c>
      <c r="E203" s="7">
        <f>'1 prepared data'!D196</f>
        <v/>
      </c>
      <c r="F203" s="7">
        <f>'1 prepared data'!E196</f>
        <v/>
      </c>
      <c r="G203" s="7">
        <f>'1 prepared data'!F196</f>
        <v/>
      </c>
      <c r="H203" s="7">
        <f>'1 prepared data'!G196</f>
        <v/>
      </c>
      <c r="I203" s="7">
        <f>'1 prepared data'!H196</f>
        <v/>
      </c>
      <c r="J203" s="7">
        <f>'1 prepared data'!I196</f>
        <v/>
      </c>
      <c r="K203" s="7">
        <f>'1 prepared data'!J196</f>
        <v/>
      </c>
      <c r="L203" s="7">
        <f>'1 prepared data'!K196</f>
        <v/>
      </c>
      <c r="M203" s="7">
        <f>'1 prepared data'!L196</f>
        <v/>
      </c>
      <c r="N203" s="7">
        <f>'1 prepared data'!M196</f>
        <v/>
      </c>
      <c r="O203" s="7">
        <f>'1 prepared data'!N196</f>
        <v/>
      </c>
      <c r="P203" s="7">
        <f>'1 prepared data'!O196</f>
        <v/>
      </c>
      <c r="Q203" s="7">
        <f>'1 prepared data'!P196</f>
        <v/>
      </c>
      <c r="R203" s="7">
        <f>'1 prepared data'!Q196</f>
        <v/>
      </c>
      <c r="S203" s="7">
        <f>'1 prepared data'!R196</f>
        <v/>
      </c>
      <c r="T203" s="7">
        <f>'1 prepared data'!S196</f>
        <v/>
      </c>
      <c r="U203" s="7">
        <f>'1 prepared data'!T196</f>
        <v/>
      </c>
      <c r="V203" s="8">
        <f>$AC$12+D203*$AC$13+E203*$AC$14+F203*$AC$15+G203*$AC$16+H203*$AC$17+I203*$AC$18+J203*$AC$19+K203*$AC$20+L203*$AC$21+M203*$AC$22+N203*$AC$23+O203*$AC$24+P203*$AC$25+Q203*$AC$26+R203*$AC$27+S203*$AC$28+T203*$AC$29+U203*$AC$30</f>
        <v/>
      </c>
      <c r="W203" s="8">
        <f>1/(1+EXP(-V203))</f>
        <v/>
      </c>
      <c r="X203" s="9">
        <f>-IF(C203=1,LN(W203),LN(1-W203))</f>
        <v/>
      </c>
      <c r="Y203" s="10">
        <f>IF(W203&gt;$AC$33,1,0)</f>
        <v/>
      </c>
      <c r="Z203">
        <f>IF(Y203=C203,1,0)</f>
        <v/>
      </c>
    </row>
    <row r="204">
      <c r="A204">
        <f>'1 prepared data'!A197</f>
        <v/>
      </c>
      <c r="B204" s="5">
        <f>'1 prepared data'!U197</f>
        <v/>
      </c>
      <c r="C204">
        <f>'1 prepared data'!B197</f>
        <v/>
      </c>
      <c r="D204" s="7">
        <f>'1 prepared data'!C197</f>
        <v/>
      </c>
      <c r="E204" s="7">
        <f>'1 prepared data'!D197</f>
        <v/>
      </c>
      <c r="F204" s="7">
        <f>'1 prepared data'!E197</f>
        <v/>
      </c>
      <c r="G204" s="7">
        <f>'1 prepared data'!F197</f>
        <v/>
      </c>
      <c r="H204" s="7">
        <f>'1 prepared data'!G197</f>
        <v/>
      </c>
      <c r="I204" s="7">
        <f>'1 prepared data'!H197</f>
        <v/>
      </c>
      <c r="J204" s="7">
        <f>'1 prepared data'!I197</f>
        <v/>
      </c>
      <c r="K204" s="7">
        <f>'1 prepared data'!J197</f>
        <v/>
      </c>
      <c r="L204" s="7">
        <f>'1 prepared data'!K197</f>
        <v/>
      </c>
      <c r="M204" s="7">
        <f>'1 prepared data'!L197</f>
        <v/>
      </c>
      <c r="N204" s="7">
        <f>'1 prepared data'!M197</f>
        <v/>
      </c>
      <c r="O204" s="7">
        <f>'1 prepared data'!N197</f>
        <v/>
      </c>
      <c r="P204" s="7">
        <f>'1 prepared data'!O197</f>
        <v/>
      </c>
      <c r="Q204" s="7">
        <f>'1 prepared data'!P197</f>
        <v/>
      </c>
      <c r="R204" s="7">
        <f>'1 prepared data'!Q197</f>
        <v/>
      </c>
      <c r="S204" s="7">
        <f>'1 prepared data'!R197</f>
        <v/>
      </c>
      <c r="T204" s="7">
        <f>'1 prepared data'!S197</f>
        <v/>
      </c>
      <c r="U204" s="7">
        <f>'1 prepared data'!T197</f>
        <v/>
      </c>
      <c r="V204" s="8">
        <f>$AC$12+D204*$AC$13+E204*$AC$14+F204*$AC$15+G204*$AC$16+H204*$AC$17+I204*$AC$18+J204*$AC$19+K204*$AC$20+L204*$AC$21+M204*$AC$22+N204*$AC$23+O204*$AC$24+P204*$AC$25+Q204*$AC$26+R204*$AC$27+S204*$AC$28+T204*$AC$29+U204*$AC$30</f>
        <v/>
      </c>
      <c r="W204" s="8">
        <f>1/(1+EXP(-V204))</f>
        <v/>
      </c>
      <c r="X204" s="9">
        <f>-IF(C204=1,LN(W204),LN(1-W204))</f>
        <v/>
      </c>
      <c r="Y204" s="10">
        <f>IF(W204&gt;$AC$33,1,0)</f>
        <v/>
      </c>
      <c r="Z204">
        <f>IF(Y204=C204,1,0)</f>
        <v/>
      </c>
    </row>
    <row r="205">
      <c r="A205">
        <f>'1 prepared data'!A198</f>
        <v/>
      </c>
      <c r="B205" s="5">
        <f>'1 prepared data'!U198</f>
        <v/>
      </c>
      <c r="C205">
        <f>'1 prepared data'!B198</f>
        <v/>
      </c>
      <c r="D205" s="7">
        <f>'1 prepared data'!C198</f>
        <v/>
      </c>
      <c r="E205" s="7">
        <f>'1 prepared data'!D198</f>
        <v/>
      </c>
      <c r="F205" s="7">
        <f>'1 prepared data'!E198</f>
        <v/>
      </c>
      <c r="G205" s="7">
        <f>'1 prepared data'!F198</f>
        <v/>
      </c>
      <c r="H205" s="7">
        <f>'1 prepared data'!G198</f>
        <v/>
      </c>
      <c r="I205" s="7">
        <f>'1 prepared data'!H198</f>
        <v/>
      </c>
      <c r="J205" s="7">
        <f>'1 prepared data'!I198</f>
        <v/>
      </c>
      <c r="K205" s="7">
        <f>'1 prepared data'!J198</f>
        <v/>
      </c>
      <c r="L205" s="7">
        <f>'1 prepared data'!K198</f>
        <v/>
      </c>
      <c r="M205" s="7">
        <f>'1 prepared data'!L198</f>
        <v/>
      </c>
      <c r="N205" s="7">
        <f>'1 prepared data'!M198</f>
        <v/>
      </c>
      <c r="O205" s="7">
        <f>'1 prepared data'!N198</f>
        <v/>
      </c>
      <c r="P205" s="7">
        <f>'1 prepared data'!O198</f>
        <v/>
      </c>
      <c r="Q205" s="7">
        <f>'1 prepared data'!P198</f>
        <v/>
      </c>
      <c r="R205" s="7">
        <f>'1 prepared data'!Q198</f>
        <v/>
      </c>
      <c r="S205" s="7">
        <f>'1 prepared data'!R198</f>
        <v/>
      </c>
      <c r="T205" s="7">
        <f>'1 prepared data'!S198</f>
        <v/>
      </c>
      <c r="U205" s="7">
        <f>'1 prepared data'!T198</f>
        <v/>
      </c>
      <c r="V205" s="8">
        <f>$AC$12+D205*$AC$13+E205*$AC$14+F205*$AC$15+G205*$AC$16+H205*$AC$17+I205*$AC$18+J205*$AC$19+K205*$AC$20+L205*$AC$21+M205*$AC$22+N205*$AC$23+O205*$AC$24+P205*$AC$25+Q205*$AC$26+R205*$AC$27+S205*$AC$28+T205*$AC$29+U205*$AC$30</f>
        <v/>
      </c>
      <c r="W205" s="8">
        <f>1/(1+EXP(-V205))</f>
        <v/>
      </c>
      <c r="X205" s="9">
        <f>-IF(C205=1,LN(W205),LN(1-W205))</f>
        <v/>
      </c>
      <c r="Y205" s="10">
        <f>IF(W205&gt;$AC$33,1,0)</f>
        <v/>
      </c>
      <c r="Z205">
        <f>IF(Y205=C205,1,0)</f>
        <v/>
      </c>
    </row>
    <row r="206">
      <c r="A206">
        <f>'1 prepared data'!A199</f>
        <v/>
      </c>
      <c r="B206" s="5">
        <f>'1 prepared data'!U199</f>
        <v/>
      </c>
      <c r="C206">
        <f>'1 prepared data'!B199</f>
        <v/>
      </c>
      <c r="D206" s="7">
        <f>'1 prepared data'!C199</f>
        <v/>
      </c>
      <c r="E206" s="7">
        <f>'1 prepared data'!D199</f>
        <v/>
      </c>
      <c r="F206" s="7">
        <f>'1 prepared data'!E199</f>
        <v/>
      </c>
      <c r="G206" s="7">
        <f>'1 prepared data'!F199</f>
        <v/>
      </c>
      <c r="H206" s="7">
        <f>'1 prepared data'!G199</f>
        <v/>
      </c>
      <c r="I206" s="7">
        <f>'1 prepared data'!H199</f>
        <v/>
      </c>
      <c r="J206" s="7">
        <f>'1 prepared data'!I199</f>
        <v/>
      </c>
      <c r="K206" s="7">
        <f>'1 prepared data'!J199</f>
        <v/>
      </c>
      <c r="L206" s="7">
        <f>'1 prepared data'!K199</f>
        <v/>
      </c>
      <c r="M206" s="7">
        <f>'1 prepared data'!L199</f>
        <v/>
      </c>
      <c r="N206" s="7">
        <f>'1 prepared data'!M199</f>
        <v/>
      </c>
      <c r="O206" s="7">
        <f>'1 prepared data'!N199</f>
        <v/>
      </c>
      <c r="P206" s="7">
        <f>'1 prepared data'!O199</f>
        <v/>
      </c>
      <c r="Q206" s="7">
        <f>'1 prepared data'!P199</f>
        <v/>
      </c>
      <c r="R206" s="7">
        <f>'1 prepared data'!Q199</f>
        <v/>
      </c>
      <c r="S206" s="7">
        <f>'1 prepared data'!R199</f>
        <v/>
      </c>
      <c r="T206" s="7">
        <f>'1 prepared data'!S199</f>
        <v/>
      </c>
      <c r="U206" s="7">
        <f>'1 prepared data'!T199</f>
        <v/>
      </c>
      <c r="V206" s="8">
        <f>$AC$12+D206*$AC$13+E206*$AC$14+F206*$AC$15+G206*$AC$16+H206*$AC$17+I206*$AC$18+J206*$AC$19+K206*$AC$20+L206*$AC$21+M206*$AC$22+N206*$AC$23+O206*$AC$24+P206*$AC$25+Q206*$AC$26+R206*$AC$27+S206*$AC$28+T206*$AC$29+U206*$AC$30</f>
        <v/>
      </c>
      <c r="W206" s="8">
        <f>1/(1+EXP(-V206))</f>
        <v/>
      </c>
      <c r="X206" s="9">
        <f>-IF(C206=1,LN(W206),LN(1-W206))</f>
        <v/>
      </c>
      <c r="Y206" s="10">
        <f>IF(W206&gt;$AC$33,1,0)</f>
        <v/>
      </c>
      <c r="Z206">
        <f>IF(Y206=C206,1,0)</f>
        <v/>
      </c>
    </row>
    <row r="207">
      <c r="A207">
        <f>'1 prepared data'!A200</f>
        <v/>
      </c>
      <c r="B207" s="5">
        <f>'1 prepared data'!U200</f>
        <v/>
      </c>
      <c r="C207">
        <f>'1 prepared data'!B200</f>
        <v/>
      </c>
      <c r="D207" s="7">
        <f>'1 prepared data'!C200</f>
        <v/>
      </c>
      <c r="E207" s="7">
        <f>'1 prepared data'!D200</f>
        <v/>
      </c>
      <c r="F207" s="7">
        <f>'1 prepared data'!E200</f>
        <v/>
      </c>
      <c r="G207" s="7">
        <f>'1 prepared data'!F200</f>
        <v/>
      </c>
      <c r="H207" s="7">
        <f>'1 prepared data'!G200</f>
        <v/>
      </c>
      <c r="I207" s="7">
        <f>'1 prepared data'!H200</f>
        <v/>
      </c>
      <c r="J207" s="7">
        <f>'1 prepared data'!I200</f>
        <v/>
      </c>
      <c r="K207" s="7">
        <f>'1 prepared data'!J200</f>
        <v/>
      </c>
      <c r="L207" s="7">
        <f>'1 prepared data'!K200</f>
        <v/>
      </c>
      <c r="M207" s="7">
        <f>'1 prepared data'!L200</f>
        <v/>
      </c>
      <c r="N207" s="7">
        <f>'1 prepared data'!M200</f>
        <v/>
      </c>
      <c r="O207" s="7">
        <f>'1 prepared data'!N200</f>
        <v/>
      </c>
      <c r="P207" s="7">
        <f>'1 prepared data'!O200</f>
        <v/>
      </c>
      <c r="Q207" s="7">
        <f>'1 prepared data'!P200</f>
        <v/>
      </c>
      <c r="R207" s="7">
        <f>'1 prepared data'!Q200</f>
        <v/>
      </c>
      <c r="S207" s="7">
        <f>'1 prepared data'!R200</f>
        <v/>
      </c>
      <c r="T207" s="7">
        <f>'1 prepared data'!S200</f>
        <v/>
      </c>
      <c r="U207" s="7">
        <f>'1 prepared data'!T200</f>
        <v/>
      </c>
      <c r="V207" s="8">
        <f>$AC$12+D207*$AC$13+E207*$AC$14+F207*$AC$15+G207*$AC$16+H207*$AC$17+I207*$AC$18+J207*$AC$19+K207*$AC$20+L207*$AC$21+M207*$AC$22+N207*$AC$23+O207*$AC$24+P207*$AC$25+Q207*$AC$26+R207*$AC$27+S207*$AC$28+T207*$AC$29+U207*$AC$30</f>
        <v/>
      </c>
      <c r="W207" s="8">
        <f>1/(1+EXP(-V207))</f>
        <v/>
      </c>
      <c r="X207" s="9">
        <f>-IF(C207=1,LN(W207),LN(1-W207))</f>
        <v/>
      </c>
      <c r="Y207" s="10">
        <f>IF(W207&gt;$AC$33,1,0)</f>
        <v/>
      </c>
      <c r="Z207">
        <f>IF(Y207=C207,1,0)</f>
        <v/>
      </c>
    </row>
    <row r="208">
      <c r="A208">
        <f>'1 prepared data'!A201</f>
        <v/>
      </c>
      <c r="B208" s="5">
        <f>'1 prepared data'!U201</f>
        <v/>
      </c>
      <c r="C208">
        <f>'1 prepared data'!B201</f>
        <v/>
      </c>
      <c r="D208" s="7">
        <f>'1 prepared data'!C201</f>
        <v/>
      </c>
      <c r="E208" s="7">
        <f>'1 prepared data'!D201</f>
        <v/>
      </c>
      <c r="F208" s="7">
        <f>'1 prepared data'!E201</f>
        <v/>
      </c>
      <c r="G208" s="7">
        <f>'1 prepared data'!F201</f>
        <v/>
      </c>
      <c r="H208" s="7">
        <f>'1 prepared data'!G201</f>
        <v/>
      </c>
      <c r="I208" s="7">
        <f>'1 prepared data'!H201</f>
        <v/>
      </c>
      <c r="J208" s="7">
        <f>'1 prepared data'!I201</f>
        <v/>
      </c>
      <c r="K208" s="7">
        <f>'1 prepared data'!J201</f>
        <v/>
      </c>
      <c r="L208" s="7">
        <f>'1 prepared data'!K201</f>
        <v/>
      </c>
      <c r="M208" s="7">
        <f>'1 prepared data'!L201</f>
        <v/>
      </c>
      <c r="N208" s="7">
        <f>'1 prepared data'!M201</f>
        <v/>
      </c>
      <c r="O208" s="7">
        <f>'1 prepared data'!N201</f>
        <v/>
      </c>
      <c r="P208" s="7">
        <f>'1 prepared data'!O201</f>
        <v/>
      </c>
      <c r="Q208" s="7">
        <f>'1 prepared data'!P201</f>
        <v/>
      </c>
      <c r="R208" s="7">
        <f>'1 prepared data'!Q201</f>
        <v/>
      </c>
      <c r="S208" s="7">
        <f>'1 prepared data'!R201</f>
        <v/>
      </c>
      <c r="T208" s="7">
        <f>'1 prepared data'!S201</f>
        <v/>
      </c>
      <c r="U208" s="7">
        <f>'1 prepared data'!T201</f>
        <v/>
      </c>
      <c r="V208" s="8">
        <f>$AC$12+D208*$AC$13+E208*$AC$14+F208*$AC$15+G208*$AC$16+H208*$AC$17+I208*$AC$18+J208*$AC$19+K208*$AC$20+L208*$AC$21+M208*$AC$22+N208*$AC$23+O208*$AC$24+P208*$AC$25+Q208*$AC$26+R208*$AC$27+S208*$AC$28+T208*$AC$29+U208*$AC$30</f>
        <v/>
      </c>
      <c r="W208" s="8">
        <f>1/(1+EXP(-V208))</f>
        <v/>
      </c>
      <c r="X208" s="9">
        <f>-IF(C208=1,LN(W208),LN(1-W208))</f>
        <v/>
      </c>
      <c r="Y208" s="10">
        <f>IF(W208&gt;$AC$33,1,0)</f>
        <v/>
      </c>
      <c r="Z208">
        <f>IF(Y208=C208,1,0)</f>
        <v/>
      </c>
    </row>
    <row r="209">
      <c r="A209">
        <f>'1 prepared data'!A202</f>
        <v/>
      </c>
      <c r="B209" s="5">
        <f>'1 prepared data'!U202</f>
        <v/>
      </c>
      <c r="C209">
        <f>'1 prepared data'!B202</f>
        <v/>
      </c>
      <c r="D209" s="7">
        <f>'1 prepared data'!C202</f>
        <v/>
      </c>
      <c r="E209" s="7">
        <f>'1 prepared data'!D202</f>
        <v/>
      </c>
      <c r="F209" s="7">
        <f>'1 prepared data'!E202</f>
        <v/>
      </c>
      <c r="G209" s="7">
        <f>'1 prepared data'!F202</f>
        <v/>
      </c>
      <c r="H209" s="7">
        <f>'1 prepared data'!G202</f>
        <v/>
      </c>
      <c r="I209" s="7">
        <f>'1 prepared data'!H202</f>
        <v/>
      </c>
      <c r="J209" s="7">
        <f>'1 prepared data'!I202</f>
        <v/>
      </c>
      <c r="K209" s="7">
        <f>'1 prepared data'!J202</f>
        <v/>
      </c>
      <c r="L209" s="7">
        <f>'1 prepared data'!K202</f>
        <v/>
      </c>
      <c r="M209" s="7">
        <f>'1 prepared data'!L202</f>
        <v/>
      </c>
      <c r="N209" s="7">
        <f>'1 prepared data'!M202</f>
        <v/>
      </c>
      <c r="O209" s="7">
        <f>'1 prepared data'!N202</f>
        <v/>
      </c>
      <c r="P209" s="7">
        <f>'1 prepared data'!O202</f>
        <v/>
      </c>
      <c r="Q209" s="7">
        <f>'1 prepared data'!P202</f>
        <v/>
      </c>
      <c r="R209" s="7">
        <f>'1 prepared data'!Q202</f>
        <v/>
      </c>
      <c r="S209" s="7">
        <f>'1 prepared data'!R202</f>
        <v/>
      </c>
      <c r="T209" s="7">
        <f>'1 prepared data'!S202</f>
        <v/>
      </c>
      <c r="U209" s="7">
        <f>'1 prepared data'!T202</f>
        <v/>
      </c>
      <c r="V209" s="8">
        <f>$AC$12+D209*$AC$13+E209*$AC$14+F209*$AC$15+G209*$AC$16+H209*$AC$17+I209*$AC$18+J209*$AC$19+K209*$AC$20+L209*$AC$21+M209*$AC$22+N209*$AC$23+O209*$AC$24+P209*$AC$25+Q209*$AC$26+R209*$AC$27+S209*$AC$28+T209*$AC$29+U209*$AC$30</f>
        <v/>
      </c>
      <c r="W209" s="8">
        <f>1/(1+EXP(-V209))</f>
        <v/>
      </c>
      <c r="X209" s="9">
        <f>-IF(C209=1,LN(W209),LN(1-W209))</f>
        <v/>
      </c>
      <c r="Y209" s="10">
        <f>IF(W209&gt;$AC$33,1,0)</f>
        <v/>
      </c>
      <c r="Z209">
        <f>IF(Y209=C209,1,0)</f>
        <v/>
      </c>
    </row>
    <row r="210">
      <c r="A210">
        <f>'1 prepared data'!A203</f>
        <v/>
      </c>
      <c r="B210" s="5">
        <f>'1 prepared data'!U203</f>
        <v/>
      </c>
      <c r="C210">
        <f>'1 prepared data'!B203</f>
        <v/>
      </c>
      <c r="D210" s="7">
        <f>'1 prepared data'!C203</f>
        <v/>
      </c>
      <c r="E210" s="7">
        <f>'1 prepared data'!D203</f>
        <v/>
      </c>
      <c r="F210" s="7">
        <f>'1 prepared data'!E203</f>
        <v/>
      </c>
      <c r="G210" s="7">
        <f>'1 prepared data'!F203</f>
        <v/>
      </c>
      <c r="H210" s="7">
        <f>'1 prepared data'!G203</f>
        <v/>
      </c>
      <c r="I210" s="7">
        <f>'1 prepared data'!H203</f>
        <v/>
      </c>
      <c r="J210" s="7">
        <f>'1 prepared data'!I203</f>
        <v/>
      </c>
      <c r="K210" s="7">
        <f>'1 prepared data'!J203</f>
        <v/>
      </c>
      <c r="L210" s="7">
        <f>'1 prepared data'!K203</f>
        <v/>
      </c>
      <c r="M210" s="7">
        <f>'1 prepared data'!L203</f>
        <v/>
      </c>
      <c r="N210" s="7">
        <f>'1 prepared data'!M203</f>
        <v/>
      </c>
      <c r="O210" s="7">
        <f>'1 prepared data'!N203</f>
        <v/>
      </c>
      <c r="P210" s="7">
        <f>'1 prepared data'!O203</f>
        <v/>
      </c>
      <c r="Q210" s="7">
        <f>'1 prepared data'!P203</f>
        <v/>
      </c>
      <c r="R210" s="7">
        <f>'1 prepared data'!Q203</f>
        <v/>
      </c>
      <c r="S210" s="7">
        <f>'1 prepared data'!R203</f>
        <v/>
      </c>
      <c r="T210" s="7">
        <f>'1 prepared data'!S203</f>
        <v/>
      </c>
      <c r="U210" s="7">
        <f>'1 prepared data'!T203</f>
        <v/>
      </c>
      <c r="V210" s="8">
        <f>$AC$12+D210*$AC$13+E210*$AC$14+F210*$AC$15+G210*$AC$16+H210*$AC$17+I210*$AC$18+J210*$AC$19+K210*$AC$20+L210*$AC$21+M210*$AC$22+N210*$AC$23+O210*$AC$24+P210*$AC$25+Q210*$AC$26+R210*$AC$27+S210*$AC$28+T210*$AC$29+U210*$AC$30</f>
        <v/>
      </c>
      <c r="W210" s="8">
        <f>1/(1+EXP(-V210))</f>
        <v/>
      </c>
      <c r="X210" s="9">
        <f>-IF(C210=1,LN(W210),LN(1-W210))</f>
        <v/>
      </c>
      <c r="Y210" s="10">
        <f>IF(W210&gt;$AC$33,1,0)</f>
        <v/>
      </c>
      <c r="Z210">
        <f>IF(Y210=C210,1,0)</f>
        <v/>
      </c>
    </row>
    <row r="211">
      <c r="A211">
        <f>'1 prepared data'!A204</f>
        <v/>
      </c>
      <c r="B211" s="5">
        <f>'1 prepared data'!U204</f>
        <v/>
      </c>
      <c r="C211">
        <f>'1 prepared data'!B204</f>
        <v/>
      </c>
      <c r="D211" s="7">
        <f>'1 prepared data'!C204</f>
        <v/>
      </c>
      <c r="E211" s="7">
        <f>'1 prepared data'!D204</f>
        <v/>
      </c>
      <c r="F211" s="7">
        <f>'1 prepared data'!E204</f>
        <v/>
      </c>
      <c r="G211" s="7">
        <f>'1 prepared data'!F204</f>
        <v/>
      </c>
      <c r="H211" s="7">
        <f>'1 prepared data'!G204</f>
        <v/>
      </c>
      <c r="I211" s="7">
        <f>'1 prepared data'!H204</f>
        <v/>
      </c>
      <c r="J211" s="7">
        <f>'1 prepared data'!I204</f>
        <v/>
      </c>
      <c r="K211" s="7">
        <f>'1 prepared data'!J204</f>
        <v/>
      </c>
      <c r="L211" s="7">
        <f>'1 prepared data'!K204</f>
        <v/>
      </c>
      <c r="M211" s="7">
        <f>'1 prepared data'!L204</f>
        <v/>
      </c>
      <c r="N211" s="7">
        <f>'1 prepared data'!M204</f>
        <v/>
      </c>
      <c r="O211" s="7">
        <f>'1 prepared data'!N204</f>
        <v/>
      </c>
      <c r="P211" s="7">
        <f>'1 prepared data'!O204</f>
        <v/>
      </c>
      <c r="Q211" s="7">
        <f>'1 prepared data'!P204</f>
        <v/>
      </c>
      <c r="R211" s="7">
        <f>'1 prepared data'!Q204</f>
        <v/>
      </c>
      <c r="S211" s="7">
        <f>'1 prepared data'!R204</f>
        <v/>
      </c>
      <c r="T211" s="7">
        <f>'1 prepared data'!S204</f>
        <v/>
      </c>
      <c r="U211" s="7">
        <f>'1 prepared data'!T204</f>
        <v/>
      </c>
      <c r="V211" s="8">
        <f>$AC$12+D211*$AC$13+E211*$AC$14+F211*$AC$15+G211*$AC$16+H211*$AC$17+I211*$AC$18+J211*$AC$19+K211*$AC$20+L211*$AC$21+M211*$AC$22+N211*$AC$23+O211*$AC$24+P211*$AC$25+Q211*$AC$26+R211*$AC$27+S211*$AC$28+T211*$AC$29+U211*$AC$30</f>
        <v/>
      </c>
      <c r="W211" s="8">
        <f>1/(1+EXP(-V211))</f>
        <v/>
      </c>
      <c r="X211" s="9">
        <f>-IF(C211=1,LN(W211),LN(1-W211))</f>
        <v/>
      </c>
      <c r="Y211" s="10">
        <f>IF(W211&gt;$AC$33,1,0)</f>
        <v/>
      </c>
      <c r="Z211">
        <f>IF(Y211=C211,1,0)</f>
        <v/>
      </c>
    </row>
    <row r="212">
      <c r="A212">
        <f>'1 prepared data'!A205</f>
        <v/>
      </c>
      <c r="B212" s="5">
        <f>'1 prepared data'!U205</f>
        <v/>
      </c>
      <c r="C212">
        <f>'1 prepared data'!B205</f>
        <v/>
      </c>
      <c r="D212" s="7">
        <f>'1 prepared data'!C205</f>
        <v/>
      </c>
      <c r="E212" s="7">
        <f>'1 prepared data'!D205</f>
        <v/>
      </c>
      <c r="F212" s="7">
        <f>'1 prepared data'!E205</f>
        <v/>
      </c>
      <c r="G212" s="7">
        <f>'1 prepared data'!F205</f>
        <v/>
      </c>
      <c r="H212" s="7">
        <f>'1 prepared data'!G205</f>
        <v/>
      </c>
      <c r="I212" s="7">
        <f>'1 prepared data'!H205</f>
        <v/>
      </c>
      <c r="J212" s="7">
        <f>'1 prepared data'!I205</f>
        <v/>
      </c>
      <c r="K212" s="7">
        <f>'1 prepared data'!J205</f>
        <v/>
      </c>
      <c r="L212" s="7">
        <f>'1 prepared data'!K205</f>
        <v/>
      </c>
      <c r="M212" s="7">
        <f>'1 prepared data'!L205</f>
        <v/>
      </c>
      <c r="N212" s="7">
        <f>'1 prepared data'!M205</f>
        <v/>
      </c>
      <c r="O212" s="7">
        <f>'1 prepared data'!N205</f>
        <v/>
      </c>
      <c r="P212" s="7">
        <f>'1 prepared data'!O205</f>
        <v/>
      </c>
      <c r="Q212" s="7">
        <f>'1 prepared data'!P205</f>
        <v/>
      </c>
      <c r="R212" s="7">
        <f>'1 prepared data'!Q205</f>
        <v/>
      </c>
      <c r="S212" s="7">
        <f>'1 prepared data'!R205</f>
        <v/>
      </c>
      <c r="T212" s="7">
        <f>'1 prepared data'!S205</f>
        <v/>
      </c>
      <c r="U212" s="7">
        <f>'1 prepared data'!T205</f>
        <v/>
      </c>
      <c r="V212" s="8">
        <f>$AC$12+D212*$AC$13+E212*$AC$14+F212*$AC$15+G212*$AC$16+H212*$AC$17+I212*$AC$18+J212*$AC$19+K212*$AC$20+L212*$AC$21+M212*$AC$22+N212*$AC$23+O212*$AC$24+P212*$AC$25+Q212*$AC$26+R212*$AC$27+S212*$AC$28+T212*$AC$29+U212*$AC$30</f>
        <v/>
      </c>
      <c r="W212" s="8">
        <f>1/(1+EXP(-V212))</f>
        <v/>
      </c>
      <c r="X212" s="9">
        <f>-IF(C212=1,LN(W212),LN(1-W212))</f>
        <v/>
      </c>
      <c r="Y212" s="10">
        <f>IF(W212&gt;$AC$33,1,0)</f>
        <v/>
      </c>
      <c r="Z212">
        <f>IF(Y212=C212,1,0)</f>
        <v/>
      </c>
    </row>
    <row r="213">
      <c r="A213">
        <f>'1 prepared data'!A206</f>
        <v/>
      </c>
      <c r="B213" s="5">
        <f>'1 prepared data'!U206</f>
        <v/>
      </c>
      <c r="C213">
        <f>'1 prepared data'!B206</f>
        <v/>
      </c>
      <c r="D213" s="7">
        <f>'1 prepared data'!C206</f>
        <v/>
      </c>
      <c r="E213" s="7">
        <f>'1 prepared data'!D206</f>
        <v/>
      </c>
      <c r="F213" s="7">
        <f>'1 prepared data'!E206</f>
        <v/>
      </c>
      <c r="G213" s="7">
        <f>'1 prepared data'!F206</f>
        <v/>
      </c>
      <c r="H213" s="7">
        <f>'1 prepared data'!G206</f>
        <v/>
      </c>
      <c r="I213" s="7">
        <f>'1 prepared data'!H206</f>
        <v/>
      </c>
      <c r="J213" s="7">
        <f>'1 prepared data'!I206</f>
        <v/>
      </c>
      <c r="K213" s="7">
        <f>'1 prepared data'!J206</f>
        <v/>
      </c>
      <c r="L213" s="7">
        <f>'1 prepared data'!K206</f>
        <v/>
      </c>
      <c r="M213" s="7">
        <f>'1 prepared data'!L206</f>
        <v/>
      </c>
      <c r="N213" s="7">
        <f>'1 prepared data'!M206</f>
        <v/>
      </c>
      <c r="O213" s="7">
        <f>'1 prepared data'!N206</f>
        <v/>
      </c>
      <c r="P213" s="7">
        <f>'1 prepared data'!O206</f>
        <v/>
      </c>
      <c r="Q213" s="7">
        <f>'1 prepared data'!P206</f>
        <v/>
      </c>
      <c r="R213" s="7">
        <f>'1 prepared data'!Q206</f>
        <v/>
      </c>
      <c r="S213" s="7">
        <f>'1 prepared data'!R206</f>
        <v/>
      </c>
      <c r="T213" s="7">
        <f>'1 prepared data'!S206</f>
        <v/>
      </c>
      <c r="U213" s="7">
        <f>'1 prepared data'!T206</f>
        <v/>
      </c>
      <c r="V213" s="8">
        <f>$AC$12+D213*$AC$13+E213*$AC$14+F213*$AC$15+G213*$AC$16+H213*$AC$17+I213*$AC$18+J213*$AC$19+K213*$AC$20+L213*$AC$21+M213*$AC$22+N213*$AC$23+O213*$AC$24+P213*$AC$25+Q213*$AC$26+R213*$AC$27+S213*$AC$28+T213*$AC$29+U213*$AC$30</f>
        <v/>
      </c>
      <c r="W213" s="8">
        <f>1/(1+EXP(-V213))</f>
        <v/>
      </c>
      <c r="X213" s="9">
        <f>-IF(C213=1,LN(W213),LN(1-W213))</f>
        <v/>
      </c>
      <c r="Y213" s="10">
        <f>IF(W213&gt;$AC$33,1,0)</f>
        <v/>
      </c>
      <c r="Z213">
        <f>IF(Y213=C213,1,0)</f>
        <v/>
      </c>
    </row>
    <row r="214">
      <c r="A214">
        <f>'1 prepared data'!A207</f>
        <v/>
      </c>
      <c r="B214" s="5">
        <f>'1 prepared data'!U207</f>
        <v/>
      </c>
      <c r="C214">
        <f>'1 prepared data'!B207</f>
        <v/>
      </c>
      <c r="D214" s="7">
        <f>'1 prepared data'!C207</f>
        <v/>
      </c>
      <c r="E214" s="7">
        <f>'1 prepared data'!D207</f>
        <v/>
      </c>
      <c r="F214" s="7">
        <f>'1 prepared data'!E207</f>
        <v/>
      </c>
      <c r="G214" s="7">
        <f>'1 prepared data'!F207</f>
        <v/>
      </c>
      <c r="H214" s="7">
        <f>'1 prepared data'!G207</f>
        <v/>
      </c>
      <c r="I214" s="7">
        <f>'1 prepared data'!H207</f>
        <v/>
      </c>
      <c r="J214" s="7">
        <f>'1 prepared data'!I207</f>
        <v/>
      </c>
      <c r="K214" s="7">
        <f>'1 prepared data'!J207</f>
        <v/>
      </c>
      <c r="L214" s="7">
        <f>'1 prepared data'!K207</f>
        <v/>
      </c>
      <c r="M214" s="7">
        <f>'1 prepared data'!L207</f>
        <v/>
      </c>
      <c r="N214" s="7">
        <f>'1 prepared data'!M207</f>
        <v/>
      </c>
      <c r="O214" s="7">
        <f>'1 prepared data'!N207</f>
        <v/>
      </c>
      <c r="P214" s="7">
        <f>'1 prepared data'!O207</f>
        <v/>
      </c>
      <c r="Q214" s="7">
        <f>'1 prepared data'!P207</f>
        <v/>
      </c>
      <c r="R214" s="7">
        <f>'1 prepared data'!Q207</f>
        <v/>
      </c>
      <c r="S214" s="7">
        <f>'1 prepared data'!R207</f>
        <v/>
      </c>
      <c r="T214" s="7">
        <f>'1 prepared data'!S207</f>
        <v/>
      </c>
      <c r="U214" s="7">
        <f>'1 prepared data'!T207</f>
        <v/>
      </c>
      <c r="V214" s="8">
        <f>$AC$12+D214*$AC$13+E214*$AC$14+F214*$AC$15+G214*$AC$16+H214*$AC$17+I214*$AC$18+J214*$AC$19+K214*$AC$20+L214*$AC$21+M214*$AC$22+N214*$AC$23+O214*$AC$24+P214*$AC$25+Q214*$AC$26+R214*$AC$27+S214*$AC$28+T214*$AC$29+U214*$AC$30</f>
        <v/>
      </c>
      <c r="W214" s="8">
        <f>1/(1+EXP(-V214))</f>
        <v/>
      </c>
      <c r="X214" s="9">
        <f>-IF(C214=1,LN(W214),LN(1-W214))</f>
        <v/>
      </c>
      <c r="Y214" s="10">
        <f>IF(W214&gt;$AC$33,1,0)</f>
        <v/>
      </c>
      <c r="Z214">
        <f>IF(Y214=C214,1,0)</f>
        <v/>
      </c>
    </row>
    <row r="215">
      <c r="A215">
        <f>'1 prepared data'!A208</f>
        <v/>
      </c>
      <c r="B215" s="5">
        <f>'1 prepared data'!U208</f>
        <v/>
      </c>
      <c r="C215">
        <f>'1 prepared data'!B208</f>
        <v/>
      </c>
      <c r="D215" s="7">
        <f>'1 prepared data'!C208</f>
        <v/>
      </c>
      <c r="E215" s="7">
        <f>'1 prepared data'!D208</f>
        <v/>
      </c>
      <c r="F215" s="7">
        <f>'1 prepared data'!E208</f>
        <v/>
      </c>
      <c r="G215" s="7">
        <f>'1 prepared data'!F208</f>
        <v/>
      </c>
      <c r="H215" s="7">
        <f>'1 prepared data'!G208</f>
        <v/>
      </c>
      <c r="I215" s="7">
        <f>'1 prepared data'!H208</f>
        <v/>
      </c>
      <c r="J215" s="7">
        <f>'1 prepared data'!I208</f>
        <v/>
      </c>
      <c r="K215" s="7">
        <f>'1 prepared data'!J208</f>
        <v/>
      </c>
      <c r="L215" s="7">
        <f>'1 prepared data'!K208</f>
        <v/>
      </c>
      <c r="M215" s="7">
        <f>'1 prepared data'!L208</f>
        <v/>
      </c>
      <c r="N215" s="7">
        <f>'1 prepared data'!M208</f>
        <v/>
      </c>
      <c r="O215" s="7">
        <f>'1 prepared data'!N208</f>
        <v/>
      </c>
      <c r="P215" s="7">
        <f>'1 prepared data'!O208</f>
        <v/>
      </c>
      <c r="Q215" s="7">
        <f>'1 prepared data'!P208</f>
        <v/>
      </c>
      <c r="R215" s="7">
        <f>'1 prepared data'!Q208</f>
        <v/>
      </c>
      <c r="S215" s="7">
        <f>'1 prepared data'!R208</f>
        <v/>
      </c>
      <c r="T215" s="7">
        <f>'1 prepared data'!S208</f>
        <v/>
      </c>
      <c r="U215" s="7">
        <f>'1 prepared data'!T208</f>
        <v/>
      </c>
      <c r="V215" s="8">
        <f>$AC$12+D215*$AC$13+E215*$AC$14+F215*$AC$15+G215*$AC$16+H215*$AC$17+I215*$AC$18+J215*$AC$19+K215*$AC$20+L215*$AC$21+M215*$AC$22+N215*$AC$23+O215*$AC$24+P215*$AC$25+Q215*$AC$26+R215*$AC$27+S215*$AC$28+T215*$AC$29+U215*$AC$30</f>
        <v/>
      </c>
      <c r="W215" s="8">
        <f>1/(1+EXP(-V215))</f>
        <v/>
      </c>
      <c r="X215" s="9">
        <f>-IF(C215=1,LN(W215),LN(1-W215))</f>
        <v/>
      </c>
      <c r="Y215" s="10">
        <f>IF(W215&gt;$AC$33,1,0)</f>
        <v/>
      </c>
      <c r="Z215">
        <f>IF(Y215=C215,1,0)</f>
        <v/>
      </c>
    </row>
    <row r="216">
      <c r="A216">
        <f>'1 prepared data'!A209</f>
        <v/>
      </c>
      <c r="B216" s="5">
        <f>'1 prepared data'!U209</f>
        <v/>
      </c>
      <c r="C216">
        <f>'1 prepared data'!B209</f>
        <v/>
      </c>
      <c r="D216" s="7">
        <f>'1 prepared data'!C209</f>
        <v/>
      </c>
      <c r="E216" s="7">
        <f>'1 prepared data'!D209</f>
        <v/>
      </c>
      <c r="F216" s="7">
        <f>'1 prepared data'!E209</f>
        <v/>
      </c>
      <c r="G216" s="7">
        <f>'1 prepared data'!F209</f>
        <v/>
      </c>
      <c r="H216" s="7">
        <f>'1 prepared data'!G209</f>
        <v/>
      </c>
      <c r="I216" s="7">
        <f>'1 prepared data'!H209</f>
        <v/>
      </c>
      <c r="J216" s="7">
        <f>'1 prepared data'!I209</f>
        <v/>
      </c>
      <c r="K216" s="7">
        <f>'1 prepared data'!J209</f>
        <v/>
      </c>
      <c r="L216" s="7">
        <f>'1 prepared data'!K209</f>
        <v/>
      </c>
      <c r="M216" s="7">
        <f>'1 prepared data'!L209</f>
        <v/>
      </c>
      <c r="N216" s="7">
        <f>'1 prepared data'!M209</f>
        <v/>
      </c>
      <c r="O216" s="7">
        <f>'1 prepared data'!N209</f>
        <v/>
      </c>
      <c r="P216" s="7">
        <f>'1 prepared data'!O209</f>
        <v/>
      </c>
      <c r="Q216" s="7">
        <f>'1 prepared data'!P209</f>
        <v/>
      </c>
      <c r="R216" s="7">
        <f>'1 prepared data'!Q209</f>
        <v/>
      </c>
      <c r="S216" s="7">
        <f>'1 prepared data'!R209</f>
        <v/>
      </c>
      <c r="T216" s="7">
        <f>'1 prepared data'!S209</f>
        <v/>
      </c>
      <c r="U216" s="7">
        <f>'1 prepared data'!T209</f>
        <v/>
      </c>
      <c r="V216" s="8">
        <f>$AC$12+D216*$AC$13+E216*$AC$14+F216*$AC$15+G216*$AC$16+H216*$AC$17+I216*$AC$18+J216*$AC$19+K216*$AC$20+L216*$AC$21+M216*$AC$22+N216*$AC$23+O216*$AC$24+P216*$AC$25+Q216*$AC$26+R216*$AC$27+S216*$AC$28+T216*$AC$29+U216*$AC$30</f>
        <v/>
      </c>
      <c r="W216" s="8">
        <f>1/(1+EXP(-V216))</f>
        <v/>
      </c>
      <c r="X216" s="9">
        <f>-IF(C216=1,LN(W216),LN(1-W216))</f>
        <v/>
      </c>
      <c r="Y216" s="10">
        <f>IF(W216&gt;$AC$33,1,0)</f>
        <v/>
      </c>
      <c r="Z216">
        <f>IF(Y216=C216,1,0)</f>
        <v/>
      </c>
    </row>
    <row r="217">
      <c r="A217">
        <f>'1 prepared data'!A210</f>
        <v/>
      </c>
      <c r="B217" s="5">
        <f>'1 prepared data'!U210</f>
        <v/>
      </c>
      <c r="C217">
        <f>'1 prepared data'!B210</f>
        <v/>
      </c>
      <c r="D217" s="7">
        <f>'1 prepared data'!C210</f>
        <v/>
      </c>
      <c r="E217" s="7">
        <f>'1 prepared data'!D210</f>
        <v/>
      </c>
      <c r="F217" s="7">
        <f>'1 prepared data'!E210</f>
        <v/>
      </c>
      <c r="G217" s="7">
        <f>'1 prepared data'!F210</f>
        <v/>
      </c>
      <c r="H217" s="7">
        <f>'1 prepared data'!G210</f>
        <v/>
      </c>
      <c r="I217" s="7">
        <f>'1 prepared data'!H210</f>
        <v/>
      </c>
      <c r="J217" s="7">
        <f>'1 prepared data'!I210</f>
        <v/>
      </c>
      <c r="K217" s="7">
        <f>'1 prepared data'!J210</f>
        <v/>
      </c>
      <c r="L217" s="7">
        <f>'1 prepared data'!K210</f>
        <v/>
      </c>
      <c r="M217" s="7">
        <f>'1 prepared data'!L210</f>
        <v/>
      </c>
      <c r="N217" s="7">
        <f>'1 prepared data'!M210</f>
        <v/>
      </c>
      <c r="O217" s="7">
        <f>'1 prepared data'!N210</f>
        <v/>
      </c>
      <c r="P217" s="7">
        <f>'1 prepared data'!O210</f>
        <v/>
      </c>
      <c r="Q217" s="7">
        <f>'1 prepared data'!P210</f>
        <v/>
      </c>
      <c r="R217" s="7">
        <f>'1 prepared data'!Q210</f>
        <v/>
      </c>
      <c r="S217" s="7">
        <f>'1 prepared data'!R210</f>
        <v/>
      </c>
      <c r="T217" s="7">
        <f>'1 prepared data'!S210</f>
        <v/>
      </c>
      <c r="U217" s="7">
        <f>'1 prepared data'!T210</f>
        <v/>
      </c>
      <c r="V217" s="8">
        <f>$AC$12+D217*$AC$13+E217*$AC$14+F217*$AC$15+G217*$AC$16+H217*$AC$17+I217*$AC$18+J217*$AC$19+K217*$AC$20+L217*$AC$21+M217*$AC$22+N217*$AC$23+O217*$AC$24+P217*$AC$25+Q217*$AC$26+R217*$AC$27+S217*$AC$28+T217*$AC$29+U217*$AC$30</f>
        <v/>
      </c>
      <c r="W217" s="8">
        <f>1/(1+EXP(-V217))</f>
        <v/>
      </c>
      <c r="X217" s="9">
        <f>-IF(C217=1,LN(W217),LN(1-W217))</f>
        <v/>
      </c>
      <c r="Y217" s="10">
        <f>IF(W217&gt;$AC$33,1,0)</f>
        <v/>
      </c>
      <c r="Z217">
        <f>IF(Y217=C217,1,0)</f>
        <v/>
      </c>
    </row>
    <row r="218">
      <c r="A218">
        <f>'1 prepared data'!A211</f>
        <v/>
      </c>
      <c r="B218" s="5">
        <f>'1 prepared data'!U211</f>
        <v/>
      </c>
      <c r="C218">
        <f>'1 prepared data'!B211</f>
        <v/>
      </c>
      <c r="D218" s="7">
        <f>'1 prepared data'!C211</f>
        <v/>
      </c>
      <c r="E218" s="7">
        <f>'1 prepared data'!D211</f>
        <v/>
      </c>
      <c r="F218" s="7">
        <f>'1 prepared data'!E211</f>
        <v/>
      </c>
      <c r="G218" s="7">
        <f>'1 prepared data'!F211</f>
        <v/>
      </c>
      <c r="H218" s="7">
        <f>'1 prepared data'!G211</f>
        <v/>
      </c>
      <c r="I218" s="7">
        <f>'1 prepared data'!H211</f>
        <v/>
      </c>
      <c r="J218" s="7">
        <f>'1 prepared data'!I211</f>
        <v/>
      </c>
      <c r="K218" s="7">
        <f>'1 prepared data'!J211</f>
        <v/>
      </c>
      <c r="L218" s="7">
        <f>'1 prepared data'!K211</f>
        <v/>
      </c>
      <c r="M218" s="7">
        <f>'1 prepared data'!L211</f>
        <v/>
      </c>
      <c r="N218" s="7">
        <f>'1 prepared data'!M211</f>
        <v/>
      </c>
      <c r="O218" s="7">
        <f>'1 prepared data'!N211</f>
        <v/>
      </c>
      <c r="P218" s="7">
        <f>'1 prepared data'!O211</f>
        <v/>
      </c>
      <c r="Q218" s="7">
        <f>'1 prepared data'!P211</f>
        <v/>
      </c>
      <c r="R218" s="7">
        <f>'1 prepared data'!Q211</f>
        <v/>
      </c>
      <c r="S218" s="7">
        <f>'1 prepared data'!R211</f>
        <v/>
      </c>
      <c r="T218" s="7">
        <f>'1 prepared data'!S211</f>
        <v/>
      </c>
      <c r="U218" s="7">
        <f>'1 prepared data'!T211</f>
        <v/>
      </c>
      <c r="V218" s="8">
        <f>$AC$12+D218*$AC$13+E218*$AC$14+F218*$AC$15+G218*$AC$16+H218*$AC$17+I218*$AC$18+J218*$AC$19+K218*$AC$20+L218*$AC$21+M218*$AC$22+N218*$AC$23+O218*$AC$24+P218*$AC$25+Q218*$AC$26+R218*$AC$27+S218*$AC$28+T218*$AC$29+U218*$AC$30</f>
        <v/>
      </c>
      <c r="W218" s="8">
        <f>1/(1+EXP(-V218))</f>
        <v/>
      </c>
      <c r="X218" s="9">
        <f>-IF(C218=1,LN(W218),LN(1-W218))</f>
        <v/>
      </c>
      <c r="Y218" s="10">
        <f>IF(W218&gt;$AC$33,1,0)</f>
        <v/>
      </c>
      <c r="Z218">
        <f>IF(Y218=C218,1,0)</f>
        <v/>
      </c>
    </row>
    <row r="219">
      <c r="A219">
        <f>'1 prepared data'!A212</f>
        <v/>
      </c>
      <c r="B219" s="5">
        <f>'1 prepared data'!U212</f>
        <v/>
      </c>
      <c r="C219">
        <f>'1 prepared data'!B212</f>
        <v/>
      </c>
      <c r="D219" s="7">
        <f>'1 prepared data'!C212</f>
        <v/>
      </c>
      <c r="E219" s="7">
        <f>'1 prepared data'!D212</f>
        <v/>
      </c>
      <c r="F219" s="7">
        <f>'1 prepared data'!E212</f>
        <v/>
      </c>
      <c r="G219" s="7">
        <f>'1 prepared data'!F212</f>
        <v/>
      </c>
      <c r="H219" s="7">
        <f>'1 prepared data'!G212</f>
        <v/>
      </c>
      <c r="I219" s="7">
        <f>'1 prepared data'!H212</f>
        <v/>
      </c>
      <c r="J219" s="7">
        <f>'1 prepared data'!I212</f>
        <v/>
      </c>
      <c r="K219" s="7">
        <f>'1 prepared data'!J212</f>
        <v/>
      </c>
      <c r="L219" s="7">
        <f>'1 prepared data'!K212</f>
        <v/>
      </c>
      <c r="M219" s="7">
        <f>'1 prepared data'!L212</f>
        <v/>
      </c>
      <c r="N219" s="7">
        <f>'1 prepared data'!M212</f>
        <v/>
      </c>
      <c r="O219" s="7">
        <f>'1 prepared data'!N212</f>
        <v/>
      </c>
      <c r="P219" s="7">
        <f>'1 prepared data'!O212</f>
        <v/>
      </c>
      <c r="Q219" s="7">
        <f>'1 prepared data'!P212</f>
        <v/>
      </c>
      <c r="R219" s="7">
        <f>'1 prepared data'!Q212</f>
        <v/>
      </c>
      <c r="S219" s="7">
        <f>'1 prepared data'!R212</f>
        <v/>
      </c>
      <c r="T219" s="7">
        <f>'1 prepared data'!S212</f>
        <v/>
      </c>
      <c r="U219" s="7">
        <f>'1 prepared data'!T212</f>
        <v/>
      </c>
      <c r="V219" s="8">
        <f>$AC$12+D219*$AC$13+E219*$AC$14+F219*$AC$15+G219*$AC$16+H219*$AC$17+I219*$AC$18+J219*$AC$19+K219*$AC$20+L219*$AC$21+M219*$AC$22+N219*$AC$23+O219*$AC$24+P219*$AC$25+Q219*$AC$26+R219*$AC$27+S219*$AC$28+T219*$AC$29+U219*$AC$30</f>
        <v/>
      </c>
      <c r="W219" s="8">
        <f>1/(1+EXP(-V219))</f>
        <v/>
      </c>
      <c r="X219" s="9">
        <f>-IF(C219=1,LN(W219),LN(1-W219))</f>
        <v/>
      </c>
      <c r="Y219" s="10">
        <f>IF(W219&gt;$AC$33,1,0)</f>
        <v/>
      </c>
      <c r="Z219">
        <f>IF(Y219=C219,1,0)</f>
        <v/>
      </c>
    </row>
    <row r="220">
      <c r="A220">
        <f>'1 prepared data'!A213</f>
        <v/>
      </c>
      <c r="B220" s="5">
        <f>'1 prepared data'!U213</f>
        <v/>
      </c>
      <c r="C220">
        <f>'1 prepared data'!B213</f>
        <v/>
      </c>
      <c r="D220" s="7">
        <f>'1 prepared data'!C213</f>
        <v/>
      </c>
      <c r="E220" s="7">
        <f>'1 prepared data'!D213</f>
        <v/>
      </c>
      <c r="F220" s="7">
        <f>'1 prepared data'!E213</f>
        <v/>
      </c>
      <c r="G220" s="7">
        <f>'1 prepared data'!F213</f>
        <v/>
      </c>
      <c r="H220" s="7">
        <f>'1 prepared data'!G213</f>
        <v/>
      </c>
      <c r="I220" s="7">
        <f>'1 prepared data'!H213</f>
        <v/>
      </c>
      <c r="J220" s="7">
        <f>'1 prepared data'!I213</f>
        <v/>
      </c>
      <c r="K220" s="7">
        <f>'1 prepared data'!J213</f>
        <v/>
      </c>
      <c r="L220" s="7">
        <f>'1 prepared data'!K213</f>
        <v/>
      </c>
      <c r="M220" s="7">
        <f>'1 prepared data'!L213</f>
        <v/>
      </c>
      <c r="N220" s="7">
        <f>'1 prepared data'!M213</f>
        <v/>
      </c>
      <c r="O220" s="7">
        <f>'1 prepared data'!N213</f>
        <v/>
      </c>
      <c r="P220" s="7">
        <f>'1 prepared data'!O213</f>
        <v/>
      </c>
      <c r="Q220" s="7">
        <f>'1 prepared data'!P213</f>
        <v/>
      </c>
      <c r="R220" s="7">
        <f>'1 prepared data'!Q213</f>
        <v/>
      </c>
      <c r="S220" s="7">
        <f>'1 prepared data'!R213</f>
        <v/>
      </c>
      <c r="T220" s="7">
        <f>'1 prepared data'!S213</f>
        <v/>
      </c>
      <c r="U220" s="7">
        <f>'1 prepared data'!T213</f>
        <v/>
      </c>
      <c r="V220" s="8">
        <f>$AC$12+D220*$AC$13+E220*$AC$14+F220*$AC$15+G220*$AC$16+H220*$AC$17+I220*$AC$18+J220*$AC$19+K220*$AC$20+L220*$AC$21+M220*$AC$22+N220*$AC$23+O220*$AC$24+P220*$AC$25+Q220*$AC$26+R220*$AC$27+S220*$AC$28+T220*$AC$29+U220*$AC$30</f>
        <v/>
      </c>
      <c r="W220" s="8">
        <f>1/(1+EXP(-V220))</f>
        <v/>
      </c>
      <c r="X220" s="9">
        <f>-IF(C220=1,LN(W220),LN(1-W220))</f>
        <v/>
      </c>
      <c r="Y220" s="10">
        <f>IF(W220&gt;$AC$33,1,0)</f>
        <v/>
      </c>
      <c r="Z220">
        <f>IF(Y220=C220,1,0)</f>
        <v/>
      </c>
    </row>
    <row r="221">
      <c r="A221">
        <f>'1 prepared data'!A214</f>
        <v/>
      </c>
      <c r="B221" s="5">
        <f>'1 prepared data'!U214</f>
        <v/>
      </c>
      <c r="C221">
        <f>'1 prepared data'!B214</f>
        <v/>
      </c>
      <c r="D221" s="7">
        <f>'1 prepared data'!C214</f>
        <v/>
      </c>
      <c r="E221" s="7">
        <f>'1 prepared data'!D214</f>
        <v/>
      </c>
      <c r="F221" s="7">
        <f>'1 prepared data'!E214</f>
        <v/>
      </c>
      <c r="G221" s="7">
        <f>'1 prepared data'!F214</f>
        <v/>
      </c>
      <c r="H221" s="7">
        <f>'1 prepared data'!G214</f>
        <v/>
      </c>
      <c r="I221" s="7">
        <f>'1 prepared data'!H214</f>
        <v/>
      </c>
      <c r="J221" s="7">
        <f>'1 prepared data'!I214</f>
        <v/>
      </c>
      <c r="K221" s="7">
        <f>'1 prepared data'!J214</f>
        <v/>
      </c>
      <c r="L221" s="7">
        <f>'1 prepared data'!K214</f>
        <v/>
      </c>
      <c r="M221" s="7">
        <f>'1 prepared data'!L214</f>
        <v/>
      </c>
      <c r="N221" s="7">
        <f>'1 prepared data'!M214</f>
        <v/>
      </c>
      <c r="O221" s="7">
        <f>'1 prepared data'!N214</f>
        <v/>
      </c>
      <c r="P221" s="7">
        <f>'1 prepared data'!O214</f>
        <v/>
      </c>
      <c r="Q221" s="7">
        <f>'1 prepared data'!P214</f>
        <v/>
      </c>
      <c r="R221" s="7">
        <f>'1 prepared data'!Q214</f>
        <v/>
      </c>
      <c r="S221" s="7">
        <f>'1 prepared data'!R214</f>
        <v/>
      </c>
      <c r="T221" s="7">
        <f>'1 prepared data'!S214</f>
        <v/>
      </c>
      <c r="U221" s="7">
        <f>'1 prepared data'!T214</f>
        <v/>
      </c>
      <c r="V221" s="8">
        <f>$AC$12+D221*$AC$13+E221*$AC$14+F221*$AC$15+G221*$AC$16+H221*$AC$17+I221*$AC$18+J221*$AC$19+K221*$AC$20+L221*$AC$21+M221*$AC$22+N221*$AC$23+O221*$AC$24+P221*$AC$25+Q221*$AC$26+R221*$AC$27+S221*$AC$28+T221*$AC$29+U221*$AC$30</f>
        <v/>
      </c>
      <c r="W221" s="8">
        <f>1/(1+EXP(-V221))</f>
        <v/>
      </c>
      <c r="X221" s="9">
        <f>-IF(C221=1,LN(W221),LN(1-W221))</f>
        <v/>
      </c>
      <c r="Y221" s="10">
        <f>IF(W221&gt;$AC$33,1,0)</f>
        <v/>
      </c>
      <c r="Z221">
        <f>IF(Y221=C221,1,0)</f>
        <v/>
      </c>
    </row>
    <row r="222">
      <c r="A222">
        <f>'1 prepared data'!A215</f>
        <v/>
      </c>
      <c r="B222" s="5">
        <f>'1 prepared data'!U215</f>
        <v/>
      </c>
      <c r="C222">
        <f>'1 prepared data'!B215</f>
        <v/>
      </c>
      <c r="D222" s="7">
        <f>'1 prepared data'!C215</f>
        <v/>
      </c>
      <c r="E222" s="7">
        <f>'1 prepared data'!D215</f>
        <v/>
      </c>
      <c r="F222" s="7">
        <f>'1 prepared data'!E215</f>
        <v/>
      </c>
      <c r="G222" s="7">
        <f>'1 prepared data'!F215</f>
        <v/>
      </c>
      <c r="H222" s="7">
        <f>'1 prepared data'!G215</f>
        <v/>
      </c>
      <c r="I222" s="7">
        <f>'1 prepared data'!H215</f>
        <v/>
      </c>
      <c r="J222" s="7">
        <f>'1 prepared data'!I215</f>
        <v/>
      </c>
      <c r="K222" s="7">
        <f>'1 prepared data'!J215</f>
        <v/>
      </c>
      <c r="L222" s="7">
        <f>'1 prepared data'!K215</f>
        <v/>
      </c>
      <c r="M222" s="7">
        <f>'1 prepared data'!L215</f>
        <v/>
      </c>
      <c r="N222" s="7">
        <f>'1 prepared data'!M215</f>
        <v/>
      </c>
      <c r="O222" s="7">
        <f>'1 prepared data'!N215</f>
        <v/>
      </c>
      <c r="P222" s="7">
        <f>'1 prepared data'!O215</f>
        <v/>
      </c>
      <c r="Q222" s="7">
        <f>'1 prepared data'!P215</f>
        <v/>
      </c>
      <c r="R222" s="7">
        <f>'1 prepared data'!Q215</f>
        <v/>
      </c>
      <c r="S222" s="7">
        <f>'1 prepared data'!R215</f>
        <v/>
      </c>
      <c r="T222" s="7">
        <f>'1 prepared data'!S215</f>
        <v/>
      </c>
      <c r="U222" s="7">
        <f>'1 prepared data'!T215</f>
        <v/>
      </c>
      <c r="V222" s="8">
        <f>$AC$12+D222*$AC$13+E222*$AC$14+F222*$AC$15+G222*$AC$16+H222*$AC$17+I222*$AC$18+J222*$AC$19+K222*$AC$20+L222*$AC$21+M222*$AC$22+N222*$AC$23+O222*$AC$24+P222*$AC$25+Q222*$AC$26+R222*$AC$27+S222*$AC$28+T222*$AC$29+U222*$AC$30</f>
        <v/>
      </c>
      <c r="W222" s="8">
        <f>1/(1+EXP(-V222))</f>
        <v/>
      </c>
      <c r="X222" s="9">
        <f>-IF(C222=1,LN(W222),LN(1-W222))</f>
        <v/>
      </c>
      <c r="Y222" s="10">
        <f>IF(W222&gt;$AC$33,1,0)</f>
        <v/>
      </c>
      <c r="Z222">
        <f>IF(Y222=C222,1,0)</f>
        <v/>
      </c>
    </row>
    <row r="223">
      <c r="A223">
        <f>'1 prepared data'!A216</f>
        <v/>
      </c>
      <c r="B223" s="5">
        <f>'1 prepared data'!U216</f>
        <v/>
      </c>
      <c r="C223">
        <f>'1 prepared data'!B216</f>
        <v/>
      </c>
      <c r="D223" s="7">
        <f>'1 prepared data'!C216</f>
        <v/>
      </c>
      <c r="E223" s="7">
        <f>'1 prepared data'!D216</f>
        <v/>
      </c>
      <c r="F223" s="7">
        <f>'1 prepared data'!E216</f>
        <v/>
      </c>
      <c r="G223" s="7">
        <f>'1 prepared data'!F216</f>
        <v/>
      </c>
      <c r="H223" s="7">
        <f>'1 prepared data'!G216</f>
        <v/>
      </c>
      <c r="I223" s="7">
        <f>'1 prepared data'!H216</f>
        <v/>
      </c>
      <c r="J223" s="7">
        <f>'1 prepared data'!I216</f>
        <v/>
      </c>
      <c r="K223" s="7">
        <f>'1 prepared data'!J216</f>
        <v/>
      </c>
      <c r="L223" s="7">
        <f>'1 prepared data'!K216</f>
        <v/>
      </c>
      <c r="M223" s="7">
        <f>'1 prepared data'!L216</f>
        <v/>
      </c>
      <c r="N223" s="7">
        <f>'1 prepared data'!M216</f>
        <v/>
      </c>
      <c r="O223" s="7">
        <f>'1 prepared data'!N216</f>
        <v/>
      </c>
      <c r="P223" s="7">
        <f>'1 prepared data'!O216</f>
        <v/>
      </c>
      <c r="Q223" s="7">
        <f>'1 prepared data'!P216</f>
        <v/>
      </c>
      <c r="R223" s="7">
        <f>'1 prepared data'!Q216</f>
        <v/>
      </c>
      <c r="S223" s="7">
        <f>'1 prepared data'!R216</f>
        <v/>
      </c>
      <c r="T223" s="7">
        <f>'1 prepared data'!S216</f>
        <v/>
      </c>
      <c r="U223" s="7">
        <f>'1 prepared data'!T216</f>
        <v/>
      </c>
      <c r="V223" s="8">
        <f>$AC$12+D223*$AC$13+E223*$AC$14+F223*$AC$15+G223*$AC$16+H223*$AC$17+I223*$AC$18+J223*$AC$19+K223*$AC$20+L223*$AC$21+M223*$AC$22+N223*$AC$23+O223*$AC$24+P223*$AC$25+Q223*$AC$26+R223*$AC$27+S223*$AC$28+T223*$AC$29+U223*$AC$30</f>
        <v/>
      </c>
      <c r="W223" s="8">
        <f>1/(1+EXP(-V223))</f>
        <v/>
      </c>
      <c r="X223" s="9">
        <f>-IF(C223=1,LN(W223),LN(1-W223))</f>
        <v/>
      </c>
      <c r="Y223" s="10">
        <f>IF(W223&gt;$AC$33,1,0)</f>
        <v/>
      </c>
      <c r="Z223">
        <f>IF(Y223=C223,1,0)</f>
        <v/>
      </c>
    </row>
    <row r="224">
      <c r="A224">
        <f>'1 prepared data'!A217</f>
        <v/>
      </c>
      <c r="B224" s="5">
        <f>'1 prepared data'!U217</f>
        <v/>
      </c>
      <c r="C224">
        <f>'1 prepared data'!B217</f>
        <v/>
      </c>
      <c r="D224" s="7">
        <f>'1 prepared data'!C217</f>
        <v/>
      </c>
      <c r="E224" s="7">
        <f>'1 prepared data'!D217</f>
        <v/>
      </c>
      <c r="F224" s="7">
        <f>'1 prepared data'!E217</f>
        <v/>
      </c>
      <c r="G224" s="7">
        <f>'1 prepared data'!F217</f>
        <v/>
      </c>
      <c r="H224" s="7">
        <f>'1 prepared data'!G217</f>
        <v/>
      </c>
      <c r="I224" s="7">
        <f>'1 prepared data'!H217</f>
        <v/>
      </c>
      <c r="J224" s="7">
        <f>'1 prepared data'!I217</f>
        <v/>
      </c>
      <c r="K224" s="7">
        <f>'1 prepared data'!J217</f>
        <v/>
      </c>
      <c r="L224" s="7">
        <f>'1 prepared data'!K217</f>
        <v/>
      </c>
      <c r="M224" s="7">
        <f>'1 prepared data'!L217</f>
        <v/>
      </c>
      <c r="N224" s="7">
        <f>'1 prepared data'!M217</f>
        <v/>
      </c>
      <c r="O224" s="7">
        <f>'1 prepared data'!N217</f>
        <v/>
      </c>
      <c r="P224" s="7">
        <f>'1 prepared data'!O217</f>
        <v/>
      </c>
      <c r="Q224" s="7">
        <f>'1 prepared data'!P217</f>
        <v/>
      </c>
      <c r="R224" s="7">
        <f>'1 prepared data'!Q217</f>
        <v/>
      </c>
      <c r="S224" s="7">
        <f>'1 prepared data'!R217</f>
        <v/>
      </c>
      <c r="T224" s="7">
        <f>'1 prepared data'!S217</f>
        <v/>
      </c>
      <c r="U224" s="7">
        <f>'1 prepared data'!T217</f>
        <v/>
      </c>
      <c r="V224" s="8">
        <f>$AC$12+D224*$AC$13+E224*$AC$14+F224*$AC$15+G224*$AC$16+H224*$AC$17+I224*$AC$18+J224*$AC$19+K224*$AC$20+L224*$AC$21+M224*$AC$22+N224*$AC$23+O224*$AC$24+P224*$AC$25+Q224*$AC$26+R224*$AC$27+S224*$AC$28+T224*$AC$29+U224*$AC$30</f>
        <v/>
      </c>
      <c r="W224" s="8">
        <f>1/(1+EXP(-V224))</f>
        <v/>
      </c>
      <c r="X224" s="9">
        <f>-IF(C224=1,LN(W224),LN(1-W224))</f>
        <v/>
      </c>
      <c r="Y224" s="10">
        <f>IF(W224&gt;$AC$33,1,0)</f>
        <v/>
      </c>
      <c r="Z224">
        <f>IF(Y224=C224,1,0)</f>
        <v/>
      </c>
    </row>
    <row r="225">
      <c r="A225">
        <f>'1 prepared data'!A218</f>
        <v/>
      </c>
      <c r="B225" s="5">
        <f>'1 prepared data'!U218</f>
        <v/>
      </c>
      <c r="C225">
        <f>'1 prepared data'!B218</f>
        <v/>
      </c>
      <c r="D225" s="7">
        <f>'1 prepared data'!C218</f>
        <v/>
      </c>
      <c r="E225" s="7">
        <f>'1 prepared data'!D218</f>
        <v/>
      </c>
      <c r="F225" s="7">
        <f>'1 prepared data'!E218</f>
        <v/>
      </c>
      <c r="G225" s="7">
        <f>'1 prepared data'!F218</f>
        <v/>
      </c>
      <c r="H225" s="7">
        <f>'1 prepared data'!G218</f>
        <v/>
      </c>
      <c r="I225" s="7">
        <f>'1 prepared data'!H218</f>
        <v/>
      </c>
      <c r="J225" s="7">
        <f>'1 prepared data'!I218</f>
        <v/>
      </c>
      <c r="K225" s="7">
        <f>'1 prepared data'!J218</f>
        <v/>
      </c>
      <c r="L225" s="7">
        <f>'1 prepared data'!K218</f>
        <v/>
      </c>
      <c r="M225" s="7">
        <f>'1 prepared data'!L218</f>
        <v/>
      </c>
      <c r="N225" s="7">
        <f>'1 prepared data'!M218</f>
        <v/>
      </c>
      <c r="O225" s="7">
        <f>'1 prepared data'!N218</f>
        <v/>
      </c>
      <c r="P225" s="7">
        <f>'1 prepared data'!O218</f>
        <v/>
      </c>
      <c r="Q225" s="7">
        <f>'1 prepared data'!P218</f>
        <v/>
      </c>
      <c r="R225" s="7">
        <f>'1 prepared data'!Q218</f>
        <v/>
      </c>
      <c r="S225" s="7">
        <f>'1 prepared data'!R218</f>
        <v/>
      </c>
      <c r="T225" s="7">
        <f>'1 prepared data'!S218</f>
        <v/>
      </c>
      <c r="U225" s="7">
        <f>'1 prepared data'!T218</f>
        <v/>
      </c>
      <c r="V225" s="8">
        <f>$AC$12+D225*$AC$13+E225*$AC$14+F225*$AC$15+G225*$AC$16+H225*$AC$17+I225*$AC$18+J225*$AC$19+K225*$AC$20+L225*$AC$21+M225*$AC$22+N225*$AC$23+O225*$AC$24+P225*$AC$25+Q225*$AC$26+R225*$AC$27+S225*$AC$28+T225*$AC$29+U225*$AC$30</f>
        <v/>
      </c>
      <c r="W225" s="8">
        <f>1/(1+EXP(-V225))</f>
        <v/>
      </c>
      <c r="X225" s="9">
        <f>-IF(C225=1,LN(W225),LN(1-W225))</f>
        <v/>
      </c>
      <c r="Y225" s="10">
        <f>IF(W225&gt;$AC$33,1,0)</f>
        <v/>
      </c>
      <c r="Z225">
        <f>IF(Y225=C225,1,0)</f>
        <v/>
      </c>
    </row>
    <row r="226">
      <c r="A226">
        <f>'1 prepared data'!A219</f>
        <v/>
      </c>
      <c r="B226" s="5">
        <f>'1 prepared data'!U219</f>
        <v/>
      </c>
      <c r="C226">
        <f>'1 prepared data'!B219</f>
        <v/>
      </c>
      <c r="D226" s="7">
        <f>'1 prepared data'!C219</f>
        <v/>
      </c>
      <c r="E226" s="7">
        <f>'1 prepared data'!D219</f>
        <v/>
      </c>
      <c r="F226" s="7">
        <f>'1 prepared data'!E219</f>
        <v/>
      </c>
      <c r="G226" s="7">
        <f>'1 prepared data'!F219</f>
        <v/>
      </c>
      <c r="H226" s="7">
        <f>'1 prepared data'!G219</f>
        <v/>
      </c>
      <c r="I226" s="7">
        <f>'1 prepared data'!H219</f>
        <v/>
      </c>
      <c r="J226" s="7">
        <f>'1 prepared data'!I219</f>
        <v/>
      </c>
      <c r="K226" s="7">
        <f>'1 prepared data'!J219</f>
        <v/>
      </c>
      <c r="L226" s="7">
        <f>'1 prepared data'!K219</f>
        <v/>
      </c>
      <c r="M226" s="7">
        <f>'1 prepared data'!L219</f>
        <v/>
      </c>
      <c r="N226" s="7">
        <f>'1 prepared data'!M219</f>
        <v/>
      </c>
      <c r="O226" s="7">
        <f>'1 prepared data'!N219</f>
        <v/>
      </c>
      <c r="P226" s="7">
        <f>'1 prepared data'!O219</f>
        <v/>
      </c>
      <c r="Q226" s="7">
        <f>'1 prepared data'!P219</f>
        <v/>
      </c>
      <c r="R226" s="7">
        <f>'1 prepared data'!Q219</f>
        <v/>
      </c>
      <c r="S226" s="7">
        <f>'1 prepared data'!R219</f>
        <v/>
      </c>
      <c r="T226" s="7">
        <f>'1 prepared data'!S219</f>
        <v/>
      </c>
      <c r="U226" s="7">
        <f>'1 prepared data'!T219</f>
        <v/>
      </c>
      <c r="V226" s="8">
        <f>$AC$12+D226*$AC$13+E226*$AC$14+F226*$AC$15+G226*$AC$16+H226*$AC$17+I226*$AC$18+J226*$AC$19+K226*$AC$20+L226*$AC$21+M226*$AC$22+N226*$AC$23+O226*$AC$24+P226*$AC$25+Q226*$AC$26+R226*$AC$27+S226*$AC$28+T226*$AC$29+U226*$AC$30</f>
        <v/>
      </c>
      <c r="W226" s="8">
        <f>1/(1+EXP(-V226))</f>
        <v/>
      </c>
      <c r="X226" s="9">
        <f>-IF(C226=1,LN(W226),LN(1-W226))</f>
        <v/>
      </c>
      <c r="Y226" s="10">
        <f>IF(W226&gt;$AC$33,1,0)</f>
        <v/>
      </c>
      <c r="Z226">
        <f>IF(Y226=C226,1,0)</f>
        <v/>
      </c>
    </row>
    <row r="227">
      <c r="A227">
        <f>'1 prepared data'!A220</f>
        <v/>
      </c>
      <c r="B227" s="5">
        <f>'1 prepared data'!U220</f>
        <v/>
      </c>
      <c r="C227">
        <f>'1 prepared data'!B220</f>
        <v/>
      </c>
      <c r="D227" s="7">
        <f>'1 prepared data'!C220</f>
        <v/>
      </c>
      <c r="E227" s="7">
        <f>'1 prepared data'!D220</f>
        <v/>
      </c>
      <c r="F227" s="7">
        <f>'1 prepared data'!E220</f>
        <v/>
      </c>
      <c r="G227" s="7">
        <f>'1 prepared data'!F220</f>
        <v/>
      </c>
      <c r="H227" s="7">
        <f>'1 prepared data'!G220</f>
        <v/>
      </c>
      <c r="I227" s="7">
        <f>'1 prepared data'!H220</f>
        <v/>
      </c>
      <c r="J227" s="7">
        <f>'1 prepared data'!I220</f>
        <v/>
      </c>
      <c r="K227" s="7">
        <f>'1 prepared data'!J220</f>
        <v/>
      </c>
      <c r="L227" s="7">
        <f>'1 prepared data'!K220</f>
        <v/>
      </c>
      <c r="M227" s="7">
        <f>'1 prepared data'!L220</f>
        <v/>
      </c>
      <c r="N227" s="7">
        <f>'1 prepared data'!M220</f>
        <v/>
      </c>
      <c r="O227" s="7">
        <f>'1 prepared data'!N220</f>
        <v/>
      </c>
      <c r="P227" s="7">
        <f>'1 prepared data'!O220</f>
        <v/>
      </c>
      <c r="Q227" s="7">
        <f>'1 prepared data'!P220</f>
        <v/>
      </c>
      <c r="R227" s="7">
        <f>'1 prepared data'!Q220</f>
        <v/>
      </c>
      <c r="S227" s="7">
        <f>'1 prepared data'!R220</f>
        <v/>
      </c>
      <c r="T227" s="7">
        <f>'1 prepared data'!S220</f>
        <v/>
      </c>
      <c r="U227" s="7">
        <f>'1 prepared data'!T220</f>
        <v/>
      </c>
      <c r="V227" s="8">
        <f>$AC$12+D227*$AC$13+E227*$AC$14+F227*$AC$15+G227*$AC$16+H227*$AC$17+I227*$AC$18+J227*$AC$19+K227*$AC$20+L227*$AC$21+M227*$AC$22+N227*$AC$23+O227*$AC$24+P227*$AC$25+Q227*$AC$26+R227*$AC$27+S227*$AC$28+T227*$AC$29+U227*$AC$30</f>
        <v/>
      </c>
      <c r="W227" s="8">
        <f>1/(1+EXP(-V227))</f>
        <v/>
      </c>
      <c r="X227" s="9">
        <f>-IF(C227=1,LN(W227),LN(1-W227))</f>
        <v/>
      </c>
      <c r="Y227" s="10">
        <f>IF(W227&gt;$AC$33,1,0)</f>
        <v/>
      </c>
      <c r="Z227">
        <f>IF(Y227=C227,1,0)</f>
        <v/>
      </c>
    </row>
    <row r="228">
      <c r="A228">
        <f>'1 prepared data'!A221</f>
        <v/>
      </c>
      <c r="B228" s="5">
        <f>'1 prepared data'!U221</f>
        <v/>
      </c>
      <c r="C228">
        <f>'1 prepared data'!B221</f>
        <v/>
      </c>
      <c r="D228" s="7">
        <f>'1 prepared data'!C221</f>
        <v/>
      </c>
      <c r="E228" s="7">
        <f>'1 prepared data'!D221</f>
        <v/>
      </c>
      <c r="F228" s="7">
        <f>'1 prepared data'!E221</f>
        <v/>
      </c>
      <c r="G228" s="7">
        <f>'1 prepared data'!F221</f>
        <v/>
      </c>
      <c r="H228" s="7">
        <f>'1 prepared data'!G221</f>
        <v/>
      </c>
      <c r="I228" s="7">
        <f>'1 prepared data'!H221</f>
        <v/>
      </c>
      <c r="J228" s="7">
        <f>'1 prepared data'!I221</f>
        <v/>
      </c>
      <c r="K228" s="7">
        <f>'1 prepared data'!J221</f>
        <v/>
      </c>
      <c r="L228" s="7">
        <f>'1 prepared data'!K221</f>
        <v/>
      </c>
      <c r="M228" s="7">
        <f>'1 prepared data'!L221</f>
        <v/>
      </c>
      <c r="N228" s="7">
        <f>'1 prepared data'!M221</f>
        <v/>
      </c>
      <c r="O228" s="7">
        <f>'1 prepared data'!N221</f>
        <v/>
      </c>
      <c r="P228" s="7">
        <f>'1 prepared data'!O221</f>
        <v/>
      </c>
      <c r="Q228" s="7">
        <f>'1 prepared data'!P221</f>
        <v/>
      </c>
      <c r="R228" s="7">
        <f>'1 prepared data'!Q221</f>
        <v/>
      </c>
      <c r="S228" s="7">
        <f>'1 prepared data'!R221</f>
        <v/>
      </c>
      <c r="T228" s="7">
        <f>'1 prepared data'!S221</f>
        <v/>
      </c>
      <c r="U228" s="7">
        <f>'1 prepared data'!T221</f>
        <v/>
      </c>
      <c r="V228" s="8">
        <f>$AC$12+D228*$AC$13+E228*$AC$14+F228*$AC$15+G228*$AC$16+H228*$AC$17+I228*$AC$18+J228*$AC$19+K228*$AC$20+L228*$AC$21+M228*$AC$22+N228*$AC$23+O228*$AC$24+P228*$AC$25+Q228*$AC$26+R228*$AC$27+S228*$AC$28+T228*$AC$29+U228*$AC$30</f>
        <v/>
      </c>
      <c r="W228" s="8">
        <f>1/(1+EXP(-V228))</f>
        <v/>
      </c>
      <c r="X228" s="9">
        <f>-IF(C228=1,LN(W228),LN(1-W228))</f>
        <v/>
      </c>
      <c r="Y228" s="10">
        <f>IF(W228&gt;$AC$33,1,0)</f>
        <v/>
      </c>
      <c r="Z228">
        <f>IF(Y228=C228,1,0)</f>
        <v/>
      </c>
    </row>
    <row r="229">
      <c r="A229">
        <f>'1 prepared data'!A222</f>
        <v/>
      </c>
      <c r="B229" s="5">
        <f>'1 prepared data'!U222</f>
        <v/>
      </c>
      <c r="C229">
        <f>'1 prepared data'!B222</f>
        <v/>
      </c>
      <c r="D229" s="7">
        <f>'1 prepared data'!C222</f>
        <v/>
      </c>
      <c r="E229" s="7">
        <f>'1 prepared data'!D222</f>
        <v/>
      </c>
      <c r="F229" s="7">
        <f>'1 prepared data'!E222</f>
        <v/>
      </c>
      <c r="G229" s="7">
        <f>'1 prepared data'!F222</f>
        <v/>
      </c>
      <c r="H229" s="7">
        <f>'1 prepared data'!G222</f>
        <v/>
      </c>
      <c r="I229" s="7">
        <f>'1 prepared data'!H222</f>
        <v/>
      </c>
      <c r="J229" s="7">
        <f>'1 prepared data'!I222</f>
        <v/>
      </c>
      <c r="K229" s="7">
        <f>'1 prepared data'!J222</f>
        <v/>
      </c>
      <c r="L229" s="7">
        <f>'1 prepared data'!K222</f>
        <v/>
      </c>
      <c r="M229" s="7">
        <f>'1 prepared data'!L222</f>
        <v/>
      </c>
      <c r="N229" s="7">
        <f>'1 prepared data'!M222</f>
        <v/>
      </c>
      <c r="O229" s="7">
        <f>'1 prepared data'!N222</f>
        <v/>
      </c>
      <c r="P229" s="7">
        <f>'1 prepared data'!O222</f>
        <v/>
      </c>
      <c r="Q229" s="7">
        <f>'1 prepared data'!P222</f>
        <v/>
      </c>
      <c r="R229" s="7">
        <f>'1 prepared data'!Q222</f>
        <v/>
      </c>
      <c r="S229" s="7">
        <f>'1 prepared data'!R222</f>
        <v/>
      </c>
      <c r="T229" s="7">
        <f>'1 prepared data'!S222</f>
        <v/>
      </c>
      <c r="U229" s="7">
        <f>'1 prepared data'!T222</f>
        <v/>
      </c>
      <c r="V229" s="8">
        <f>$AC$12+D229*$AC$13+E229*$AC$14+F229*$AC$15+G229*$AC$16+H229*$AC$17+I229*$AC$18+J229*$AC$19+K229*$AC$20+L229*$AC$21+M229*$AC$22+N229*$AC$23+O229*$AC$24+P229*$AC$25+Q229*$AC$26+R229*$AC$27+S229*$AC$28+T229*$AC$29+U229*$AC$30</f>
        <v/>
      </c>
      <c r="W229" s="8">
        <f>1/(1+EXP(-V229))</f>
        <v/>
      </c>
      <c r="X229" s="9">
        <f>-IF(C229=1,LN(W229),LN(1-W229))</f>
        <v/>
      </c>
      <c r="Y229" s="10">
        <f>IF(W229&gt;$AC$33,1,0)</f>
        <v/>
      </c>
      <c r="Z229">
        <f>IF(Y229=C229,1,0)</f>
        <v/>
      </c>
    </row>
    <row r="230">
      <c r="A230">
        <f>'1 prepared data'!A223</f>
        <v/>
      </c>
      <c r="B230" s="5">
        <f>'1 prepared data'!U223</f>
        <v/>
      </c>
      <c r="C230">
        <f>'1 prepared data'!B223</f>
        <v/>
      </c>
      <c r="D230" s="7">
        <f>'1 prepared data'!C223</f>
        <v/>
      </c>
      <c r="E230" s="7">
        <f>'1 prepared data'!D223</f>
        <v/>
      </c>
      <c r="F230" s="7">
        <f>'1 prepared data'!E223</f>
        <v/>
      </c>
      <c r="G230" s="7">
        <f>'1 prepared data'!F223</f>
        <v/>
      </c>
      <c r="H230" s="7">
        <f>'1 prepared data'!G223</f>
        <v/>
      </c>
      <c r="I230" s="7">
        <f>'1 prepared data'!H223</f>
        <v/>
      </c>
      <c r="J230" s="7">
        <f>'1 prepared data'!I223</f>
        <v/>
      </c>
      <c r="K230" s="7">
        <f>'1 prepared data'!J223</f>
        <v/>
      </c>
      <c r="L230" s="7">
        <f>'1 prepared data'!K223</f>
        <v/>
      </c>
      <c r="M230" s="7">
        <f>'1 prepared data'!L223</f>
        <v/>
      </c>
      <c r="N230" s="7">
        <f>'1 prepared data'!M223</f>
        <v/>
      </c>
      <c r="O230" s="7">
        <f>'1 prepared data'!N223</f>
        <v/>
      </c>
      <c r="P230" s="7">
        <f>'1 prepared data'!O223</f>
        <v/>
      </c>
      <c r="Q230" s="7">
        <f>'1 prepared data'!P223</f>
        <v/>
      </c>
      <c r="R230" s="7">
        <f>'1 prepared data'!Q223</f>
        <v/>
      </c>
      <c r="S230" s="7">
        <f>'1 prepared data'!R223</f>
        <v/>
      </c>
      <c r="T230" s="7">
        <f>'1 prepared data'!S223</f>
        <v/>
      </c>
      <c r="U230" s="7">
        <f>'1 prepared data'!T223</f>
        <v/>
      </c>
      <c r="V230" s="8">
        <f>$AC$12+D230*$AC$13+E230*$AC$14+F230*$AC$15+G230*$AC$16+H230*$AC$17+I230*$AC$18+J230*$AC$19+K230*$AC$20+L230*$AC$21+M230*$AC$22+N230*$AC$23+O230*$AC$24+P230*$AC$25+Q230*$AC$26+R230*$AC$27+S230*$AC$28+T230*$AC$29+U230*$AC$30</f>
        <v/>
      </c>
      <c r="W230" s="8">
        <f>1/(1+EXP(-V230))</f>
        <v/>
      </c>
      <c r="X230" s="9">
        <f>-IF(C230=1,LN(W230),LN(1-W230))</f>
        <v/>
      </c>
      <c r="Y230" s="10">
        <f>IF(W230&gt;$AC$33,1,0)</f>
        <v/>
      </c>
      <c r="Z230">
        <f>IF(Y230=C230,1,0)</f>
        <v/>
      </c>
    </row>
    <row r="231">
      <c r="A231">
        <f>'1 prepared data'!A224</f>
        <v/>
      </c>
      <c r="B231" s="5">
        <f>'1 prepared data'!U224</f>
        <v/>
      </c>
      <c r="C231">
        <f>'1 prepared data'!B224</f>
        <v/>
      </c>
      <c r="D231" s="7">
        <f>'1 prepared data'!C224</f>
        <v/>
      </c>
      <c r="E231" s="7">
        <f>'1 prepared data'!D224</f>
        <v/>
      </c>
      <c r="F231" s="7">
        <f>'1 prepared data'!E224</f>
        <v/>
      </c>
      <c r="G231" s="7">
        <f>'1 prepared data'!F224</f>
        <v/>
      </c>
      <c r="H231" s="7">
        <f>'1 prepared data'!G224</f>
        <v/>
      </c>
      <c r="I231" s="7">
        <f>'1 prepared data'!H224</f>
        <v/>
      </c>
      <c r="J231" s="7">
        <f>'1 prepared data'!I224</f>
        <v/>
      </c>
      <c r="K231" s="7">
        <f>'1 prepared data'!J224</f>
        <v/>
      </c>
      <c r="L231" s="7">
        <f>'1 prepared data'!K224</f>
        <v/>
      </c>
      <c r="M231" s="7">
        <f>'1 prepared data'!L224</f>
        <v/>
      </c>
      <c r="N231" s="7">
        <f>'1 prepared data'!M224</f>
        <v/>
      </c>
      <c r="O231" s="7">
        <f>'1 prepared data'!N224</f>
        <v/>
      </c>
      <c r="P231" s="7">
        <f>'1 prepared data'!O224</f>
        <v/>
      </c>
      <c r="Q231" s="7">
        <f>'1 prepared data'!P224</f>
        <v/>
      </c>
      <c r="R231" s="7">
        <f>'1 prepared data'!Q224</f>
        <v/>
      </c>
      <c r="S231" s="7">
        <f>'1 prepared data'!R224</f>
        <v/>
      </c>
      <c r="T231" s="7">
        <f>'1 prepared data'!S224</f>
        <v/>
      </c>
      <c r="U231" s="7">
        <f>'1 prepared data'!T224</f>
        <v/>
      </c>
      <c r="V231" s="8">
        <f>$AC$12+D231*$AC$13+E231*$AC$14+F231*$AC$15+G231*$AC$16+H231*$AC$17+I231*$AC$18+J231*$AC$19+K231*$AC$20+L231*$AC$21+M231*$AC$22+N231*$AC$23+O231*$AC$24+P231*$AC$25+Q231*$AC$26+R231*$AC$27+S231*$AC$28+T231*$AC$29+U231*$AC$30</f>
        <v/>
      </c>
      <c r="W231" s="8">
        <f>1/(1+EXP(-V231))</f>
        <v/>
      </c>
      <c r="X231" s="9">
        <f>-IF(C231=1,LN(W231),LN(1-W231))</f>
        <v/>
      </c>
      <c r="Y231" s="10">
        <f>IF(W231&gt;$AC$33,1,0)</f>
        <v/>
      </c>
      <c r="Z231">
        <f>IF(Y231=C231,1,0)</f>
        <v/>
      </c>
    </row>
    <row r="232">
      <c r="A232">
        <f>'1 prepared data'!A225</f>
        <v/>
      </c>
      <c r="B232" s="5">
        <f>'1 prepared data'!U225</f>
        <v/>
      </c>
      <c r="C232">
        <f>'1 prepared data'!B225</f>
        <v/>
      </c>
      <c r="D232" s="7">
        <f>'1 prepared data'!C225</f>
        <v/>
      </c>
      <c r="E232" s="7">
        <f>'1 prepared data'!D225</f>
        <v/>
      </c>
      <c r="F232" s="7">
        <f>'1 prepared data'!E225</f>
        <v/>
      </c>
      <c r="G232" s="7">
        <f>'1 prepared data'!F225</f>
        <v/>
      </c>
      <c r="H232" s="7">
        <f>'1 prepared data'!G225</f>
        <v/>
      </c>
      <c r="I232" s="7">
        <f>'1 prepared data'!H225</f>
        <v/>
      </c>
      <c r="J232" s="7">
        <f>'1 prepared data'!I225</f>
        <v/>
      </c>
      <c r="K232" s="7">
        <f>'1 prepared data'!J225</f>
        <v/>
      </c>
      <c r="L232" s="7">
        <f>'1 prepared data'!K225</f>
        <v/>
      </c>
      <c r="M232" s="7">
        <f>'1 prepared data'!L225</f>
        <v/>
      </c>
      <c r="N232" s="7">
        <f>'1 prepared data'!M225</f>
        <v/>
      </c>
      <c r="O232" s="7">
        <f>'1 prepared data'!N225</f>
        <v/>
      </c>
      <c r="P232" s="7">
        <f>'1 prepared data'!O225</f>
        <v/>
      </c>
      <c r="Q232" s="7">
        <f>'1 prepared data'!P225</f>
        <v/>
      </c>
      <c r="R232" s="7">
        <f>'1 prepared data'!Q225</f>
        <v/>
      </c>
      <c r="S232" s="7">
        <f>'1 prepared data'!R225</f>
        <v/>
      </c>
      <c r="T232" s="7">
        <f>'1 prepared data'!S225</f>
        <v/>
      </c>
      <c r="U232" s="7">
        <f>'1 prepared data'!T225</f>
        <v/>
      </c>
      <c r="V232" s="8">
        <f>$AC$12+D232*$AC$13+E232*$AC$14+F232*$AC$15+G232*$AC$16+H232*$AC$17+I232*$AC$18+J232*$AC$19+K232*$AC$20+L232*$AC$21+M232*$AC$22+N232*$AC$23+O232*$AC$24+P232*$AC$25+Q232*$AC$26+R232*$AC$27+S232*$AC$28+T232*$AC$29+U232*$AC$30</f>
        <v/>
      </c>
      <c r="W232" s="8">
        <f>1/(1+EXP(-V232))</f>
        <v/>
      </c>
      <c r="X232" s="9">
        <f>-IF(C232=1,LN(W232),LN(1-W232))</f>
        <v/>
      </c>
      <c r="Y232" s="10">
        <f>IF(W232&gt;$AC$33,1,0)</f>
        <v/>
      </c>
      <c r="Z232">
        <f>IF(Y232=C232,1,0)</f>
        <v/>
      </c>
    </row>
    <row r="233">
      <c r="A233">
        <f>'1 prepared data'!A226</f>
        <v/>
      </c>
      <c r="B233" s="5">
        <f>'1 prepared data'!U226</f>
        <v/>
      </c>
      <c r="C233">
        <f>'1 prepared data'!B226</f>
        <v/>
      </c>
      <c r="D233" s="7">
        <f>'1 prepared data'!C226</f>
        <v/>
      </c>
      <c r="E233" s="7">
        <f>'1 prepared data'!D226</f>
        <v/>
      </c>
      <c r="F233" s="7">
        <f>'1 prepared data'!E226</f>
        <v/>
      </c>
      <c r="G233" s="7">
        <f>'1 prepared data'!F226</f>
        <v/>
      </c>
      <c r="H233" s="7">
        <f>'1 prepared data'!G226</f>
        <v/>
      </c>
      <c r="I233" s="7">
        <f>'1 prepared data'!H226</f>
        <v/>
      </c>
      <c r="J233" s="7">
        <f>'1 prepared data'!I226</f>
        <v/>
      </c>
      <c r="K233" s="7">
        <f>'1 prepared data'!J226</f>
        <v/>
      </c>
      <c r="L233" s="7">
        <f>'1 prepared data'!K226</f>
        <v/>
      </c>
      <c r="M233" s="7">
        <f>'1 prepared data'!L226</f>
        <v/>
      </c>
      <c r="N233" s="7">
        <f>'1 prepared data'!M226</f>
        <v/>
      </c>
      <c r="O233" s="7">
        <f>'1 prepared data'!N226</f>
        <v/>
      </c>
      <c r="P233" s="7">
        <f>'1 prepared data'!O226</f>
        <v/>
      </c>
      <c r="Q233" s="7">
        <f>'1 prepared data'!P226</f>
        <v/>
      </c>
      <c r="R233" s="7">
        <f>'1 prepared data'!Q226</f>
        <v/>
      </c>
      <c r="S233" s="7">
        <f>'1 prepared data'!R226</f>
        <v/>
      </c>
      <c r="T233" s="7">
        <f>'1 prepared data'!S226</f>
        <v/>
      </c>
      <c r="U233" s="7">
        <f>'1 prepared data'!T226</f>
        <v/>
      </c>
      <c r="V233" s="8">
        <f>$AC$12+D233*$AC$13+E233*$AC$14+F233*$AC$15+G233*$AC$16+H233*$AC$17+I233*$AC$18+J233*$AC$19+K233*$AC$20+L233*$AC$21+M233*$AC$22+N233*$AC$23+O233*$AC$24+P233*$AC$25+Q233*$AC$26+R233*$AC$27+S233*$AC$28+T233*$AC$29+U233*$AC$30</f>
        <v/>
      </c>
      <c r="W233" s="8">
        <f>1/(1+EXP(-V233))</f>
        <v/>
      </c>
      <c r="X233" s="9">
        <f>-IF(C233=1,LN(W233),LN(1-W233))</f>
        <v/>
      </c>
      <c r="Y233" s="10">
        <f>IF(W233&gt;$AC$33,1,0)</f>
        <v/>
      </c>
      <c r="Z233">
        <f>IF(Y233=C233,1,0)</f>
        <v/>
      </c>
    </row>
    <row r="234">
      <c r="A234">
        <f>'1 prepared data'!A227</f>
        <v/>
      </c>
      <c r="B234" s="5">
        <f>'1 prepared data'!U227</f>
        <v/>
      </c>
      <c r="C234">
        <f>'1 prepared data'!B227</f>
        <v/>
      </c>
      <c r="D234" s="7">
        <f>'1 prepared data'!C227</f>
        <v/>
      </c>
      <c r="E234" s="7">
        <f>'1 prepared data'!D227</f>
        <v/>
      </c>
      <c r="F234" s="7">
        <f>'1 prepared data'!E227</f>
        <v/>
      </c>
      <c r="G234" s="7">
        <f>'1 prepared data'!F227</f>
        <v/>
      </c>
      <c r="H234" s="7">
        <f>'1 prepared data'!G227</f>
        <v/>
      </c>
      <c r="I234" s="7">
        <f>'1 prepared data'!H227</f>
        <v/>
      </c>
      <c r="J234" s="7">
        <f>'1 prepared data'!I227</f>
        <v/>
      </c>
      <c r="K234" s="7">
        <f>'1 prepared data'!J227</f>
        <v/>
      </c>
      <c r="L234" s="7">
        <f>'1 prepared data'!K227</f>
        <v/>
      </c>
      <c r="M234" s="7">
        <f>'1 prepared data'!L227</f>
        <v/>
      </c>
      <c r="N234" s="7">
        <f>'1 prepared data'!M227</f>
        <v/>
      </c>
      <c r="O234" s="7">
        <f>'1 prepared data'!N227</f>
        <v/>
      </c>
      <c r="P234" s="7">
        <f>'1 prepared data'!O227</f>
        <v/>
      </c>
      <c r="Q234" s="7">
        <f>'1 prepared data'!P227</f>
        <v/>
      </c>
      <c r="R234" s="7">
        <f>'1 prepared data'!Q227</f>
        <v/>
      </c>
      <c r="S234" s="7">
        <f>'1 prepared data'!R227</f>
        <v/>
      </c>
      <c r="T234" s="7">
        <f>'1 prepared data'!S227</f>
        <v/>
      </c>
      <c r="U234" s="7">
        <f>'1 prepared data'!T227</f>
        <v/>
      </c>
      <c r="V234" s="8">
        <f>$AC$12+D234*$AC$13+E234*$AC$14+F234*$AC$15+G234*$AC$16+H234*$AC$17+I234*$AC$18+J234*$AC$19+K234*$AC$20+L234*$AC$21+M234*$AC$22+N234*$AC$23+O234*$AC$24+P234*$AC$25+Q234*$AC$26+R234*$AC$27+S234*$AC$28+T234*$AC$29+U234*$AC$30</f>
        <v/>
      </c>
      <c r="W234" s="8">
        <f>1/(1+EXP(-V234))</f>
        <v/>
      </c>
      <c r="X234" s="9">
        <f>-IF(C234=1,LN(W234),LN(1-W234))</f>
        <v/>
      </c>
      <c r="Y234" s="10">
        <f>IF(W234&gt;$AC$33,1,0)</f>
        <v/>
      </c>
      <c r="Z234">
        <f>IF(Y234=C234,1,0)</f>
        <v/>
      </c>
    </row>
    <row r="235">
      <c r="A235">
        <f>'1 prepared data'!A228</f>
        <v/>
      </c>
      <c r="B235" s="5">
        <f>'1 prepared data'!U228</f>
        <v/>
      </c>
      <c r="C235">
        <f>'1 prepared data'!B228</f>
        <v/>
      </c>
      <c r="D235" s="7">
        <f>'1 prepared data'!C228</f>
        <v/>
      </c>
      <c r="E235" s="7">
        <f>'1 prepared data'!D228</f>
        <v/>
      </c>
      <c r="F235" s="7">
        <f>'1 prepared data'!E228</f>
        <v/>
      </c>
      <c r="G235" s="7">
        <f>'1 prepared data'!F228</f>
        <v/>
      </c>
      <c r="H235" s="7">
        <f>'1 prepared data'!G228</f>
        <v/>
      </c>
      <c r="I235" s="7">
        <f>'1 prepared data'!H228</f>
        <v/>
      </c>
      <c r="J235" s="7">
        <f>'1 prepared data'!I228</f>
        <v/>
      </c>
      <c r="K235" s="7">
        <f>'1 prepared data'!J228</f>
        <v/>
      </c>
      <c r="L235" s="7">
        <f>'1 prepared data'!K228</f>
        <v/>
      </c>
      <c r="M235" s="7">
        <f>'1 prepared data'!L228</f>
        <v/>
      </c>
      <c r="N235" s="7">
        <f>'1 prepared data'!M228</f>
        <v/>
      </c>
      <c r="O235" s="7">
        <f>'1 prepared data'!N228</f>
        <v/>
      </c>
      <c r="P235" s="7">
        <f>'1 prepared data'!O228</f>
        <v/>
      </c>
      <c r="Q235" s="7">
        <f>'1 prepared data'!P228</f>
        <v/>
      </c>
      <c r="R235" s="7">
        <f>'1 prepared data'!Q228</f>
        <v/>
      </c>
      <c r="S235" s="7">
        <f>'1 prepared data'!R228</f>
        <v/>
      </c>
      <c r="T235" s="7">
        <f>'1 prepared data'!S228</f>
        <v/>
      </c>
      <c r="U235" s="7">
        <f>'1 prepared data'!T228</f>
        <v/>
      </c>
      <c r="V235" s="8">
        <f>$AC$12+D235*$AC$13+E235*$AC$14+F235*$AC$15+G235*$AC$16+H235*$AC$17+I235*$AC$18+J235*$AC$19+K235*$AC$20+L235*$AC$21+M235*$AC$22+N235*$AC$23+O235*$AC$24+P235*$AC$25+Q235*$AC$26+R235*$AC$27+S235*$AC$28+T235*$AC$29+U235*$AC$30</f>
        <v/>
      </c>
      <c r="W235" s="8">
        <f>1/(1+EXP(-V235))</f>
        <v/>
      </c>
      <c r="X235" s="9">
        <f>-IF(C235=1,LN(W235),LN(1-W235))</f>
        <v/>
      </c>
      <c r="Y235" s="10">
        <f>IF(W235&gt;$AC$33,1,0)</f>
        <v/>
      </c>
      <c r="Z235">
        <f>IF(Y235=C235,1,0)</f>
        <v/>
      </c>
    </row>
    <row r="236">
      <c r="A236">
        <f>'1 prepared data'!A229</f>
        <v/>
      </c>
      <c r="B236" s="5">
        <f>'1 prepared data'!U229</f>
        <v/>
      </c>
      <c r="C236">
        <f>'1 prepared data'!B229</f>
        <v/>
      </c>
      <c r="D236" s="7">
        <f>'1 prepared data'!C229</f>
        <v/>
      </c>
      <c r="E236" s="7">
        <f>'1 prepared data'!D229</f>
        <v/>
      </c>
      <c r="F236" s="7">
        <f>'1 prepared data'!E229</f>
        <v/>
      </c>
      <c r="G236" s="7">
        <f>'1 prepared data'!F229</f>
        <v/>
      </c>
      <c r="H236" s="7">
        <f>'1 prepared data'!G229</f>
        <v/>
      </c>
      <c r="I236" s="7">
        <f>'1 prepared data'!H229</f>
        <v/>
      </c>
      <c r="J236" s="7">
        <f>'1 prepared data'!I229</f>
        <v/>
      </c>
      <c r="K236" s="7">
        <f>'1 prepared data'!J229</f>
        <v/>
      </c>
      <c r="L236" s="7">
        <f>'1 prepared data'!K229</f>
        <v/>
      </c>
      <c r="M236" s="7">
        <f>'1 prepared data'!L229</f>
        <v/>
      </c>
      <c r="N236" s="7">
        <f>'1 prepared data'!M229</f>
        <v/>
      </c>
      <c r="O236" s="7">
        <f>'1 prepared data'!N229</f>
        <v/>
      </c>
      <c r="P236" s="7">
        <f>'1 prepared data'!O229</f>
        <v/>
      </c>
      <c r="Q236" s="7">
        <f>'1 prepared data'!P229</f>
        <v/>
      </c>
      <c r="R236" s="7">
        <f>'1 prepared data'!Q229</f>
        <v/>
      </c>
      <c r="S236" s="7">
        <f>'1 prepared data'!R229</f>
        <v/>
      </c>
      <c r="T236" s="7">
        <f>'1 prepared data'!S229</f>
        <v/>
      </c>
      <c r="U236" s="7">
        <f>'1 prepared data'!T229</f>
        <v/>
      </c>
      <c r="V236" s="8">
        <f>$AC$12+D236*$AC$13+E236*$AC$14+F236*$AC$15+G236*$AC$16+H236*$AC$17+I236*$AC$18+J236*$AC$19+K236*$AC$20+L236*$AC$21+M236*$AC$22+N236*$AC$23+O236*$AC$24+P236*$AC$25+Q236*$AC$26+R236*$AC$27+S236*$AC$28+T236*$AC$29+U236*$AC$30</f>
        <v/>
      </c>
      <c r="W236" s="8">
        <f>1/(1+EXP(-V236))</f>
        <v/>
      </c>
      <c r="X236" s="9">
        <f>-IF(C236=1,LN(W236),LN(1-W236))</f>
        <v/>
      </c>
      <c r="Y236" s="10">
        <f>IF(W236&gt;$AC$33,1,0)</f>
        <v/>
      </c>
      <c r="Z236">
        <f>IF(Y236=C236,1,0)</f>
        <v/>
      </c>
    </row>
    <row r="237">
      <c r="A237">
        <f>'1 prepared data'!A230</f>
        <v/>
      </c>
      <c r="B237" s="5">
        <f>'1 prepared data'!U230</f>
        <v/>
      </c>
      <c r="C237">
        <f>'1 prepared data'!B230</f>
        <v/>
      </c>
      <c r="D237" s="7">
        <f>'1 prepared data'!C230</f>
        <v/>
      </c>
      <c r="E237" s="7">
        <f>'1 prepared data'!D230</f>
        <v/>
      </c>
      <c r="F237" s="7">
        <f>'1 prepared data'!E230</f>
        <v/>
      </c>
      <c r="G237" s="7">
        <f>'1 prepared data'!F230</f>
        <v/>
      </c>
      <c r="H237" s="7">
        <f>'1 prepared data'!G230</f>
        <v/>
      </c>
      <c r="I237" s="7">
        <f>'1 prepared data'!H230</f>
        <v/>
      </c>
      <c r="J237" s="7">
        <f>'1 prepared data'!I230</f>
        <v/>
      </c>
      <c r="K237" s="7">
        <f>'1 prepared data'!J230</f>
        <v/>
      </c>
      <c r="L237" s="7">
        <f>'1 prepared data'!K230</f>
        <v/>
      </c>
      <c r="M237" s="7">
        <f>'1 prepared data'!L230</f>
        <v/>
      </c>
      <c r="N237" s="7">
        <f>'1 prepared data'!M230</f>
        <v/>
      </c>
      <c r="O237" s="7">
        <f>'1 prepared data'!N230</f>
        <v/>
      </c>
      <c r="P237" s="7">
        <f>'1 prepared data'!O230</f>
        <v/>
      </c>
      <c r="Q237" s="7">
        <f>'1 prepared data'!P230</f>
        <v/>
      </c>
      <c r="R237" s="7">
        <f>'1 prepared data'!Q230</f>
        <v/>
      </c>
      <c r="S237" s="7">
        <f>'1 prepared data'!R230</f>
        <v/>
      </c>
      <c r="T237" s="7">
        <f>'1 prepared data'!S230</f>
        <v/>
      </c>
      <c r="U237" s="7">
        <f>'1 prepared data'!T230</f>
        <v/>
      </c>
      <c r="V237" s="8">
        <f>$AC$12+D237*$AC$13+E237*$AC$14+F237*$AC$15+G237*$AC$16+H237*$AC$17+I237*$AC$18+J237*$AC$19+K237*$AC$20+L237*$AC$21+M237*$AC$22+N237*$AC$23+O237*$AC$24+P237*$AC$25+Q237*$AC$26+R237*$AC$27+S237*$AC$28+T237*$AC$29+U237*$AC$30</f>
        <v/>
      </c>
      <c r="W237" s="8">
        <f>1/(1+EXP(-V237))</f>
        <v/>
      </c>
      <c r="X237" s="9">
        <f>-IF(C237=1,LN(W237),LN(1-W237))</f>
        <v/>
      </c>
      <c r="Y237" s="10">
        <f>IF(W237&gt;$AC$33,1,0)</f>
        <v/>
      </c>
      <c r="Z237">
        <f>IF(Y237=C237,1,0)</f>
        <v/>
      </c>
    </row>
    <row r="238">
      <c r="A238">
        <f>'1 prepared data'!A231</f>
        <v/>
      </c>
      <c r="B238" s="5">
        <f>'1 prepared data'!U231</f>
        <v/>
      </c>
      <c r="C238">
        <f>'1 prepared data'!B231</f>
        <v/>
      </c>
      <c r="D238" s="7">
        <f>'1 prepared data'!C231</f>
        <v/>
      </c>
      <c r="E238" s="7">
        <f>'1 prepared data'!D231</f>
        <v/>
      </c>
      <c r="F238" s="7">
        <f>'1 prepared data'!E231</f>
        <v/>
      </c>
      <c r="G238" s="7">
        <f>'1 prepared data'!F231</f>
        <v/>
      </c>
      <c r="H238" s="7">
        <f>'1 prepared data'!G231</f>
        <v/>
      </c>
      <c r="I238" s="7">
        <f>'1 prepared data'!H231</f>
        <v/>
      </c>
      <c r="J238" s="7">
        <f>'1 prepared data'!I231</f>
        <v/>
      </c>
      <c r="K238" s="7">
        <f>'1 prepared data'!J231</f>
        <v/>
      </c>
      <c r="L238" s="7">
        <f>'1 prepared data'!K231</f>
        <v/>
      </c>
      <c r="M238" s="7">
        <f>'1 prepared data'!L231</f>
        <v/>
      </c>
      <c r="N238" s="7">
        <f>'1 prepared data'!M231</f>
        <v/>
      </c>
      <c r="O238" s="7">
        <f>'1 prepared data'!N231</f>
        <v/>
      </c>
      <c r="P238" s="7">
        <f>'1 prepared data'!O231</f>
        <v/>
      </c>
      <c r="Q238" s="7">
        <f>'1 prepared data'!P231</f>
        <v/>
      </c>
      <c r="R238" s="7">
        <f>'1 prepared data'!Q231</f>
        <v/>
      </c>
      <c r="S238" s="7">
        <f>'1 prepared data'!R231</f>
        <v/>
      </c>
      <c r="T238" s="7">
        <f>'1 prepared data'!S231</f>
        <v/>
      </c>
      <c r="U238" s="7">
        <f>'1 prepared data'!T231</f>
        <v/>
      </c>
      <c r="V238" s="8">
        <f>$AC$12+D238*$AC$13+E238*$AC$14+F238*$AC$15+G238*$AC$16+H238*$AC$17+I238*$AC$18+J238*$AC$19+K238*$AC$20+L238*$AC$21+M238*$AC$22+N238*$AC$23+O238*$AC$24+P238*$AC$25+Q238*$AC$26+R238*$AC$27+S238*$AC$28+T238*$AC$29+U238*$AC$30</f>
        <v/>
      </c>
      <c r="W238" s="8">
        <f>1/(1+EXP(-V238))</f>
        <v/>
      </c>
      <c r="X238" s="9">
        <f>-IF(C238=1,LN(W238),LN(1-W238))</f>
        <v/>
      </c>
      <c r="Y238" s="10">
        <f>IF(W238&gt;$AC$33,1,0)</f>
        <v/>
      </c>
      <c r="Z238">
        <f>IF(Y238=C238,1,0)</f>
        <v/>
      </c>
    </row>
    <row r="239">
      <c r="A239">
        <f>'1 prepared data'!A232</f>
        <v/>
      </c>
      <c r="B239" s="5">
        <f>'1 prepared data'!U232</f>
        <v/>
      </c>
      <c r="C239">
        <f>'1 prepared data'!B232</f>
        <v/>
      </c>
      <c r="D239" s="7">
        <f>'1 prepared data'!C232</f>
        <v/>
      </c>
      <c r="E239" s="7">
        <f>'1 prepared data'!D232</f>
        <v/>
      </c>
      <c r="F239" s="7">
        <f>'1 prepared data'!E232</f>
        <v/>
      </c>
      <c r="G239" s="7">
        <f>'1 prepared data'!F232</f>
        <v/>
      </c>
      <c r="H239" s="7">
        <f>'1 prepared data'!G232</f>
        <v/>
      </c>
      <c r="I239" s="7">
        <f>'1 prepared data'!H232</f>
        <v/>
      </c>
      <c r="J239" s="7">
        <f>'1 prepared data'!I232</f>
        <v/>
      </c>
      <c r="K239" s="7">
        <f>'1 prepared data'!J232</f>
        <v/>
      </c>
      <c r="L239" s="7">
        <f>'1 prepared data'!K232</f>
        <v/>
      </c>
      <c r="M239" s="7">
        <f>'1 prepared data'!L232</f>
        <v/>
      </c>
      <c r="N239" s="7">
        <f>'1 prepared data'!M232</f>
        <v/>
      </c>
      <c r="O239" s="7">
        <f>'1 prepared data'!N232</f>
        <v/>
      </c>
      <c r="P239" s="7">
        <f>'1 prepared data'!O232</f>
        <v/>
      </c>
      <c r="Q239" s="7">
        <f>'1 prepared data'!P232</f>
        <v/>
      </c>
      <c r="R239" s="7">
        <f>'1 prepared data'!Q232</f>
        <v/>
      </c>
      <c r="S239" s="7">
        <f>'1 prepared data'!R232</f>
        <v/>
      </c>
      <c r="T239" s="7">
        <f>'1 prepared data'!S232</f>
        <v/>
      </c>
      <c r="U239" s="7">
        <f>'1 prepared data'!T232</f>
        <v/>
      </c>
      <c r="V239" s="8">
        <f>$AC$12+D239*$AC$13+E239*$AC$14+F239*$AC$15+G239*$AC$16+H239*$AC$17+I239*$AC$18+J239*$AC$19+K239*$AC$20+L239*$AC$21+M239*$AC$22+N239*$AC$23+O239*$AC$24+P239*$AC$25+Q239*$AC$26+R239*$AC$27+S239*$AC$28+T239*$AC$29+U239*$AC$30</f>
        <v/>
      </c>
      <c r="W239" s="8">
        <f>1/(1+EXP(-V239))</f>
        <v/>
      </c>
      <c r="X239" s="9">
        <f>-IF(C239=1,LN(W239),LN(1-W239))</f>
        <v/>
      </c>
      <c r="Y239" s="10">
        <f>IF(W239&gt;$AC$33,1,0)</f>
        <v/>
      </c>
      <c r="Z239">
        <f>IF(Y239=C239,1,0)</f>
        <v/>
      </c>
    </row>
    <row r="240">
      <c r="A240">
        <f>'1 prepared data'!A233</f>
        <v/>
      </c>
      <c r="B240" s="5">
        <f>'1 prepared data'!U233</f>
        <v/>
      </c>
      <c r="C240">
        <f>'1 prepared data'!B233</f>
        <v/>
      </c>
      <c r="D240" s="7">
        <f>'1 prepared data'!C233</f>
        <v/>
      </c>
      <c r="E240" s="7">
        <f>'1 prepared data'!D233</f>
        <v/>
      </c>
      <c r="F240" s="7">
        <f>'1 prepared data'!E233</f>
        <v/>
      </c>
      <c r="G240" s="7">
        <f>'1 prepared data'!F233</f>
        <v/>
      </c>
      <c r="H240" s="7">
        <f>'1 prepared data'!G233</f>
        <v/>
      </c>
      <c r="I240" s="7">
        <f>'1 prepared data'!H233</f>
        <v/>
      </c>
      <c r="J240" s="7">
        <f>'1 prepared data'!I233</f>
        <v/>
      </c>
      <c r="K240" s="7">
        <f>'1 prepared data'!J233</f>
        <v/>
      </c>
      <c r="L240" s="7">
        <f>'1 prepared data'!K233</f>
        <v/>
      </c>
      <c r="M240" s="7">
        <f>'1 prepared data'!L233</f>
        <v/>
      </c>
      <c r="N240" s="7">
        <f>'1 prepared data'!M233</f>
        <v/>
      </c>
      <c r="O240" s="7">
        <f>'1 prepared data'!N233</f>
        <v/>
      </c>
      <c r="P240" s="7">
        <f>'1 prepared data'!O233</f>
        <v/>
      </c>
      <c r="Q240" s="7">
        <f>'1 prepared data'!P233</f>
        <v/>
      </c>
      <c r="R240" s="7">
        <f>'1 prepared data'!Q233</f>
        <v/>
      </c>
      <c r="S240" s="7">
        <f>'1 prepared data'!R233</f>
        <v/>
      </c>
      <c r="T240" s="7">
        <f>'1 prepared data'!S233</f>
        <v/>
      </c>
      <c r="U240" s="7">
        <f>'1 prepared data'!T233</f>
        <v/>
      </c>
      <c r="V240" s="8">
        <f>$AC$12+D240*$AC$13+E240*$AC$14+F240*$AC$15+G240*$AC$16+H240*$AC$17+I240*$AC$18+J240*$AC$19+K240*$AC$20+L240*$AC$21+M240*$AC$22+N240*$AC$23+O240*$AC$24+P240*$AC$25+Q240*$AC$26+R240*$AC$27+S240*$AC$28+T240*$AC$29+U240*$AC$30</f>
        <v/>
      </c>
      <c r="W240" s="8">
        <f>1/(1+EXP(-V240))</f>
        <v/>
      </c>
      <c r="X240" s="9">
        <f>-IF(C240=1,LN(W240),LN(1-W240))</f>
        <v/>
      </c>
      <c r="Y240" s="10">
        <f>IF(W240&gt;$AC$33,1,0)</f>
        <v/>
      </c>
      <c r="Z240">
        <f>IF(Y240=C240,1,0)</f>
        <v/>
      </c>
    </row>
    <row r="241">
      <c r="A241">
        <f>'1 prepared data'!A234</f>
        <v/>
      </c>
      <c r="B241" s="5">
        <f>'1 prepared data'!U234</f>
        <v/>
      </c>
      <c r="C241">
        <f>'1 prepared data'!B234</f>
        <v/>
      </c>
      <c r="D241" s="7">
        <f>'1 prepared data'!C234</f>
        <v/>
      </c>
      <c r="E241" s="7">
        <f>'1 prepared data'!D234</f>
        <v/>
      </c>
      <c r="F241" s="7">
        <f>'1 prepared data'!E234</f>
        <v/>
      </c>
      <c r="G241" s="7">
        <f>'1 prepared data'!F234</f>
        <v/>
      </c>
      <c r="H241" s="7">
        <f>'1 prepared data'!G234</f>
        <v/>
      </c>
      <c r="I241" s="7">
        <f>'1 prepared data'!H234</f>
        <v/>
      </c>
      <c r="J241" s="7">
        <f>'1 prepared data'!I234</f>
        <v/>
      </c>
      <c r="K241" s="7">
        <f>'1 prepared data'!J234</f>
        <v/>
      </c>
      <c r="L241" s="7">
        <f>'1 prepared data'!K234</f>
        <v/>
      </c>
      <c r="M241" s="7">
        <f>'1 prepared data'!L234</f>
        <v/>
      </c>
      <c r="N241" s="7">
        <f>'1 prepared data'!M234</f>
        <v/>
      </c>
      <c r="O241" s="7">
        <f>'1 prepared data'!N234</f>
        <v/>
      </c>
      <c r="P241" s="7">
        <f>'1 prepared data'!O234</f>
        <v/>
      </c>
      <c r="Q241" s="7">
        <f>'1 prepared data'!P234</f>
        <v/>
      </c>
      <c r="R241" s="7">
        <f>'1 prepared data'!Q234</f>
        <v/>
      </c>
      <c r="S241" s="7">
        <f>'1 prepared data'!R234</f>
        <v/>
      </c>
      <c r="T241" s="7">
        <f>'1 prepared data'!S234</f>
        <v/>
      </c>
      <c r="U241" s="7">
        <f>'1 prepared data'!T234</f>
        <v/>
      </c>
      <c r="V241" s="8">
        <f>$AC$12+D241*$AC$13+E241*$AC$14+F241*$AC$15+G241*$AC$16+H241*$AC$17+I241*$AC$18+J241*$AC$19+K241*$AC$20+L241*$AC$21+M241*$AC$22+N241*$AC$23+O241*$AC$24+P241*$AC$25+Q241*$AC$26+R241*$AC$27+S241*$AC$28+T241*$AC$29+U241*$AC$30</f>
        <v/>
      </c>
      <c r="W241" s="8">
        <f>1/(1+EXP(-V241))</f>
        <v/>
      </c>
      <c r="X241" s="9">
        <f>-IF(C241=1,LN(W241),LN(1-W241))</f>
        <v/>
      </c>
      <c r="Y241" s="10">
        <f>IF(W241&gt;$AC$33,1,0)</f>
        <v/>
      </c>
      <c r="Z241">
        <f>IF(Y241=C241,1,0)</f>
        <v/>
      </c>
    </row>
    <row r="242">
      <c r="A242">
        <f>'1 prepared data'!A235</f>
        <v/>
      </c>
      <c r="B242" s="5">
        <f>'1 prepared data'!U235</f>
        <v/>
      </c>
      <c r="C242">
        <f>'1 prepared data'!B235</f>
        <v/>
      </c>
      <c r="D242" s="7">
        <f>'1 prepared data'!C235</f>
        <v/>
      </c>
      <c r="E242" s="7">
        <f>'1 prepared data'!D235</f>
        <v/>
      </c>
      <c r="F242" s="7">
        <f>'1 prepared data'!E235</f>
        <v/>
      </c>
      <c r="G242" s="7">
        <f>'1 prepared data'!F235</f>
        <v/>
      </c>
      <c r="H242" s="7">
        <f>'1 prepared data'!G235</f>
        <v/>
      </c>
      <c r="I242" s="7">
        <f>'1 prepared data'!H235</f>
        <v/>
      </c>
      <c r="J242" s="7">
        <f>'1 prepared data'!I235</f>
        <v/>
      </c>
      <c r="K242" s="7">
        <f>'1 prepared data'!J235</f>
        <v/>
      </c>
      <c r="L242" s="7">
        <f>'1 prepared data'!K235</f>
        <v/>
      </c>
      <c r="M242" s="7">
        <f>'1 prepared data'!L235</f>
        <v/>
      </c>
      <c r="N242" s="7">
        <f>'1 prepared data'!M235</f>
        <v/>
      </c>
      <c r="O242" s="7">
        <f>'1 prepared data'!N235</f>
        <v/>
      </c>
      <c r="P242" s="7">
        <f>'1 prepared data'!O235</f>
        <v/>
      </c>
      <c r="Q242" s="7">
        <f>'1 prepared data'!P235</f>
        <v/>
      </c>
      <c r="R242" s="7">
        <f>'1 prepared data'!Q235</f>
        <v/>
      </c>
      <c r="S242" s="7">
        <f>'1 prepared data'!R235</f>
        <v/>
      </c>
      <c r="T242" s="7">
        <f>'1 prepared data'!S235</f>
        <v/>
      </c>
      <c r="U242" s="7">
        <f>'1 prepared data'!T235</f>
        <v/>
      </c>
      <c r="V242" s="8">
        <f>$AC$12+D242*$AC$13+E242*$AC$14+F242*$AC$15+G242*$AC$16+H242*$AC$17+I242*$AC$18+J242*$AC$19+K242*$AC$20+L242*$AC$21+M242*$AC$22+N242*$AC$23+O242*$AC$24+P242*$AC$25+Q242*$AC$26+R242*$AC$27+S242*$AC$28+T242*$AC$29+U242*$AC$30</f>
        <v/>
      </c>
      <c r="W242" s="8">
        <f>1/(1+EXP(-V242))</f>
        <v/>
      </c>
      <c r="X242" s="9">
        <f>-IF(C242=1,LN(W242),LN(1-W242))</f>
        <v/>
      </c>
      <c r="Y242" s="10">
        <f>IF(W242&gt;$AC$33,1,0)</f>
        <v/>
      </c>
      <c r="Z242">
        <f>IF(Y242=C242,1,0)</f>
        <v/>
      </c>
    </row>
    <row r="243">
      <c r="A243">
        <f>'1 prepared data'!A236</f>
        <v/>
      </c>
      <c r="B243" s="5">
        <f>'1 prepared data'!U236</f>
        <v/>
      </c>
      <c r="C243">
        <f>'1 prepared data'!B236</f>
        <v/>
      </c>
      <c r="D243" s="7">
        <f>'1 prepared data'!C236</f>
        <v/>
      </c>
      <c r="E243" s="7">
        <f>'1 prepared data'!D236</f>
        <v/>
      </c>
      <c r="F243" s="7">
        <f>'1 prepared data'!E236</f>
        <v/>
      </c>
      <c r="G243" s="7">
        <f>'1 prepared data'!F236</f>
        <v/>
      </c>
      <c r="H243" s="7">
        <f>'1 prepared data'!G236</f>
        <v/>
      </c>
      <c r="I243" s="7">
        <f>'1 prepared data'!H236</f>
        <v/>
      </c>
      <c r="J243" s="7">
        <f>'1 prepared data'!I236</f>
        <v/>
      </c>
      <c r="K243" s="7">
        <f>'1 prepared data'!J236</f>
        <v/>
      </c>
      <c r="L243" s="7">
        <f>'1 prepared data'!K236</f>
        <v/>
      </c>
      <c r="M243" s="7">
        <f>'1 prepared data'!L236</f>
        <v/>
      </c>
      <c r="N243" s="7">
        <f>'1 prepared data'!M236</f>
        <v/>
      </c>
      <c r="O243" s="7">
        <f>'1 prepared data'!N236</f>
        <v/>
      </c>
      <c r="P243" s="7">
        <f>'1 prepared data'!O236</f>
        <v/>
      </c>
      <c r="Q243" s="7">
        <f>'1 prepared data'!P236</f>
        <v/>
      </c>
      <c r="R243" s="7">
        <f>'1 prepared data'!Q236</f>
        <v/>
      </c>
      <c r="S243" s="7">
        <f>'1 prepared data'!R236</f>
        <v/>
      </c>
      <c r="T243" s="7">
        <f>'1 prepared data'!S236</f>
        <v/>
      </c>
      <c r="U243" s="7">
        <f>'1 prepared data'!T236</f>
        <v/>
      </c>
      <c r="V243" s="8">
        <f>$AC$12+D243*$AC$13+E243*$AC$14+F243*$AC$15+G243*$AC$16+H243*$AC$17+I243*$AC$18+J243*$AC$19+K243*$AC$20+L243*$AC$21+M243*$AC$22+N243*$AC$23+O243*$AC$24+P243*$AC$25+Q243*$AC$26+R243*$AC$27+S243*$AC$28+T243*$AC$29+U243*$AC$30</f>
        <v/>
      </c>
      <c r="W243" s="8">
        <f>1/(1+EXP(-V243))</f>
        <v/>
      </c>
      <c r="X243" s="9">
        <f>-IF(C243=1,LN(W243),LN(1-W243))</f>
        <v/>
      </c>
      <c r="Y243" s="10">
        <f>IF(W243&gt;$AC$33,1,0)</f>
        <v/>
      </c>
      <c r="Z243">
        <f>IF(Y243=C243,1,0)</f>
        <v/>
      </c>
    </row>
    <row r="244">
      <c r="A244">
        <f>'1 prepared data'!A237</f>
        <v/>
      </c>
      <c r="B244" s="5">
        <f>'1 prepared data'!U237</f>
        <v/>
      </c>
      <c r="C244">
        <f>'1 prepared data'!B237</f>
        <v/>
      </c>
      <c r="D244" s="7">
        <f>'1 prepared data'!C237</f>
        <v/>
      </c>
      <c r="E244" s="7">
        <f>'1 prepared data'!D237</f>
        <v/>
      </c>
      <c r="F244" s="7">
        <f>'1 prepared data'!E237</f>
        <v/>
      </c>
      <c r="G244" s="7">
        <f>'1 prepared data'!F237</f>
        <v/>
      </c>
      <c r="H244" s="7">
        <f>'1 prepared data'!G237</f>
        <v/>
      </c>
      <c r="I244" s="7">
        <f>'1 prepared data'!H237</f>
        <v/>
      </c>
      <c r="J244" s="7">
        <f>'1 prepared data'!I237</f>
        <v/>
      </c>
      <c r="K244" s="7">
        <f>'1 prepared data'!J237</f>
        <v/>
      </c>
      <c r="L244" s="7">
        <f>'1 prepared data'!K237</f>
        <v/>
      </c>
      <c r="M244" s="7">
        <f>'1 prepared data'!L237</f>
        <v/>
      </c>
      <c r="N244" s="7">
        <f>'1 prepared data'!M237</f>
        <v/>
      </c>
      <c r="O244" s="7">
        <f>'1 prepared data'!N237</f>
        <v/>
      </c>
      <c r="P244" s="7">
        <f>'1 prepared data'!O237</f>
        <v/>
      </c>
      <c r="Q244" s="7">
        <f>'1 prepared data'!P237</f>
        <v/>
      </c>
      <c r="R244" s="7">
        <f>'1 prepared data'!Q237</f>
        <v/>
      </c>
      <c r="S244" s="7">
        <f>'1 prepared data'!R237</f>
        <v/>
      </c>
      <c r="T244" s="7">
        <f>'1 prepared data'!S237</f>
        <v/>
      </c>
      <c r="U244" s="7">
        <f>'1 prepared data'!T237</f>
        <v/>
      </c>
      <c r="V244" s="8">
        <f>$AC$12+D244*$AC$13+E244*$AC$14+F244*$AC$15+G244*$AC$16+H244*$AC$17+I244*$AC$18+J244*$AC$19+K244*$AC$20+L244*$AC$21+M244*$AC$22+N244*$AC$23+O244*$AC$24+P244*$AC$25+Q244*$AC$26+R244*$AC$27+S244*$AC$28+T244*$AC$29+U244*$AC$30</f>
        <v/>
      </c>
      <c r="W244" s="8">
        <f>1/(1+EXP(-V244))</f>
        <v/>
      </c>
      <c r="X244" s="9">
        <f>-IF(C244=1,LN(W244),LN(1-W244))</f>
        <v/>
      </c>
      <c r="Y244" s="10">
        <f>IF(W244&gt;$AC$33,1,0)</f>
        <v/>
      </c>
      <c r="Z244">
        <f>IF(Y244=C244,1,0)</f>
        <v/>
      </c>
    </row>
    <row r="245">
      <c r="A245">
        <f>'1 prepared data'!A238</f>
        <v/>
      </c>
      <c r="B245" s="5">
        <f>'1 prepared data'!U238</f>
        <v/>
      </c>
      <c r="C245">
        <f>'1 prepared data'!B238</f>
        <v/>
      </c>
      <c r="D245" s="7">
        <f>'1 prepared data'!C238</f>
        <v/>
      </c>
      <c r="E245" s="7">
        <f>'1 prepared data'!D238</f>
        <v/>
      </c>
      <c r="F245" s="7">
        <f>'1 prepared data'!E238</f>
        <v/>
      </c>
      <c r="G245" s="7">
        <f>'1 prepared data'!F238</f>
        <v/>
      </c>
      <c r="H245" s="7">
        <f>'1 prepared data'!G238</f>
        <v/>
      </c>
      <c r="I245" s="7">
        <f>'1 prepared data'!H238</f>
        <v/>
      </c>
      <c r="J245" s="7">
        <f>'1 prepared data'!I238</f>
        <v/>
      </c>
      <c r="K245" s="7">
        <f>'1 prepared data'!J238</f>
        <v/>
      </c>
      <c r="L245" s="7">
        <f>'1 prepared data'!K238</f>
        <v/>
      </c>
      <c r="M245" s="7">
        <f>'1 prepared data'!L238</f>
        <v/>
      </c>
      <c r="N245" s="7">
        <f>'1 prepared data'!M238</f>
        <v/>
      </c>
      <c r="O245" s="7">
        <f>'1 prepared data'!N238</f>
        <v/>
      </c>
      <c r="P245" s="7">
        <f>'1 prepared data'!O238</f>
        <v/>
      </c>
      <c r="Q245" s="7">
        <f>'1 prepared data'!P238</f>
        <v/>
      </c>
      <c r="R245" s="7">
        <f>'1 prepared data'!Q238</f>
        <v/>
      </c>
      <c r="S245" s="7">
        <f>'1 prepared data'!R238</f>
        <v/>
      </c>
      <c r="T245" s="7">
        <f>'1 prepared data'!S238</f>
        <v/>
      </c>
      <c r="U245" s="7">
        <f>'1 prepared data'!T238</f>
        <v/>
      </c>
      <c r="V245" s="8">
        <f>$AC$12+D245*$AC$13+E245*$AC$14+F245*$AC$15+G245*$AC$16+H245*$AC$17+I245*$AC$18+J245*$AC$19+K245*$AC$20+L245*$AC$21+M245*$AC$22+N245*$AC$23+O245*$AC$24+P245*$AC$25+Q245*$AC$26+R245*$AC$27+S245*$AC$28+T245*$AC$29+U245*$AC$30</f>
        <v/>
      </c>
      <c r="W245" s="8">
        <f>1/(1+EXP(-V245))</f>
        <v/>
      </c>
      <c r="X245" s="9">
        <f>-IF(C245=1,LN(W245),LN(1-W245))</f>
        <v/>
      </c>
      <c r="Y245" s="10">
        <f>IF(W245&gt;$AC$33,1,0)</f>
        <v/>
      </c>
      <c r="Z245">
        <f>IF(Y245=C245,1,0)</f>
        <v/>
      </c>
    </row>
    <row r="246">
      <c r="A246">
        <f>'1 prepared data'!A239</f>
        <v/>
      </c>
      <c r="B246" s="5">
        <f>'1 prepared data'!U239</f>
        <v/>
      </c>
      <c r="C246">
        <f>'1 prepared data'!B239</f>
        <v/>
      </c>
      <c r="D246" s="7">
        <f>'1 prepared data'!C239</f>
        <v/>
      </c>
      <c r="E246" s="7">
        <f>'1 prepared data'!D239</f>
        <v/>
      </c>
      <c r="F246" s="7">
        <f>'1 prepared data'!E239</f>
        <v/>
      </c>
      <c r="G246" s="7">
        <f>'1 prepared data'!F239</f>
        <v/>
      </c>
      <c r="H246" s="7">
        <f>'1 prepared data'!G239</f>
        <v/>
      </c>
      <c r="I246" s="7">
        <f>'1 prepared data'!H239</f>
        <v/>
      </c>
      <c r="J246" s="7">
        <f>'1 prepared data'!I239</f>
        <v/>
      </c>
      <c r="K246" s="7">
        <f>'1 prepared data'!J239</f>
        <v/>
      </c>
      <c r="L246" s="7">
        <f>'1 prepared data'!K239</f>
        <v/>
      </c>
      <c r="M246" s="7">
        <f>'1 prepared data'!L239</f>
        <v/>
      </c>
      <c r="N246" s="7">
        <f>'1 prepared data'!M239</f>
        <v/>
      </c>
      <c r="O246" s="7">
        <f>'1 prepared data'!N239</f>
        <v/>
      </c>
      <c r="P246" s="7">
        <f>'1 prepared data'!O239</f>
        <v/>
      </c>
      <c r="Q246" s="7">
        <f>'1 prepared data'!P239</f>
        <v/>
      </c>
      <c r="R246" s="7">
        <f>'1 prepared data'!Q239</f>
        <v/>
      </c>
      <c r="S246" s="7">
        <f>'1 prepared data'!R239</f>
        <v/>
      </c>
      <c r="T246" s="7">
        <f>'1 prepared data'!S239</f>
        <v/>
      </c>
      <c r="U246" s="7">
        <f>'1 prepared data'!T239</f>
        <v/>
      </c>
      <c r="V246" s="8">
        <f>$AC$12+D246*$AC$13+E246*$AC$14+F246*$AC$15+G246*$AC$16+H246*$AC$17+I246*$AC$18+J246*$AC$19+K246*$AC$20+L246*$AC$21+M246*$AC$22+N246*$AC$23+O246*$AC$24+P246*$AC$25+Q246*$AC$26+R246*$AC$27+S246*$AC$28+T246*$AC$29+U246*$AC$30</f>
        <v/>
      </c>
      <c r="W246" s="8">
        <f>1/(1+EXP(-V246))</f>
        <v/>
      </c>
      <c r="X246" s="9">
        <f>-IF(C246=1,LN(W246),LN(1-W246))</f>
        <v/>
      </c>
      <c r="Y246" s="10">
        <f>IF(W246&gt;$AC$33,1,0)</f>
        <v/>
      </c>
      <c r="Z246">
        <f>IF(Y246=C246,1,0)</f>
        <v/>
      </c>
    </row>
    <row r="247">
      <c r="A247">
        <f>'1 prepared data'!A240</f>
        <v/>
      </c>
      <c r="B247" s="5">
        <f>'1 prepared data'!U240</f>
        <v/>
      </c>
      <c r="C247">
        <f>'1 prepared data'!B240</f>
        <v/>
      </c>
      <c r="D247" s="7">
        <f>'1 prepared data'!C240</f>
        <v/>
      </c>
      <c r="E247" s="7">
        <f>'1 prepared data'!D240</f>
        <v/>
      </c>
      <c r="F247" s="7">
        <f>'1 prepared data'!E240</f>
        <v/>
      </c>
      <c r="G247" s="7">
        <f>'1 prepared data'!F240</f>
        <v/>
      </c>
      <c r="H247" s="7">
        <f>'1 prepared data'!G240</f>
        <v/>
      </c>
      <c r="I247" s="7">
        <f>'1 prepared data'!H240</f>
        <v/>
      </c>
      <c r="J247" s="7">
        <f>'1 prepared data'!I240</f>
        <v/>
      </c>
      <c r="K247" s="7">
        <f>'1 prepared data'!J240</f>
        <v/>
      </c>
      <c r="L247" s="7">
        <f>'1 prepared data'!K240</f>
        <v/>
      </c>
      <c r="M247" s="7">
        <f>'1 prepared data'!L240</f>
        <v/>
      </c>
      <c r="N247" s="7">
        <f>'1 prepared data'!M240</f>
        <v/>
      </c>
      <c r="O247" s="7">
        <f>'1 prepared data'!N240</f>
        <v/>
      </c>
      <c r="P247" s="7">
        <f>'1 prepared data'!O240</f>
        <v/>
      </c>
      <c r="Q247" s="7">
        <f>'1 prepared data'!P240</f>
        <v/>
      </c>
      <c r="R247" s="7">
        <f>'1 prepared data'!Q240</f>
        <v/>
      </c>
      <c r="S247" s="7">
        <f>'1 prepared data'!R240</f>
        <v/>
      </c>
      <c r="T247" s="7">
        <f>'1 prepared data'!S240</f>
        <v/>
      </c>
      <c r="U247" s="7">
        <f>'1 prepared data'!T240</f>
        <v/>
      </c>
      <c r="V247" s="8">
        <f>$AC$12+D247*$AC$13+E247*$AC$14+F247*$AC$15+G247*$AC$16+H247*$AC$17+I247*$AC$18+J247*$AC$19+K247*$AC$20+L247*$AC$21+M247*$AC$22+N247*$AC$23+O247*$AC$24+P247*$AC$25+Q247*$AC$26+R247*$AC$27+S247*$AC$28+T247*$AC$29+U247*$AC$30</f>
        <v/>
      </c>
      <c r="W247" s="8">
        <f>1/(1+EXP(-V247))</f>
        <v/>
      </c>
      <c r="X247" s="9">
        <f>-IF(C247=1,LN(W247),LN(1-W247))</f>
        <v/>
      </c>
      <c r="Y247" s="10">
        <f>IF(W247&gt;$AC$33,1,0)</f>
        <v/>
      </c>
      <c r="Z247">
        <f>IF(Y247=C247,1,0)</f>
        <v/>
      </c>
    </row>
    <row r="248">
      <c r="A248">
        <f>'1 prepared data'!A241</f>
        <v/>
      </c>
      <c r="B248" s="5">
        <f>'1 prepared data'!U241</f>
        <v/>
      </c>
      <c r="C248">
        <f>'1 prepared data'!B241</f>
        <v/>
      </c>
      <c r="D248" s="7">
        <f>'1 prepared data'!C241</f>
        <v/>
      </c>
      <c r="E248" s="7">
        <f>'1 prepared data'!D241</f>
        <v/>
      </c>
      <c r="F248" s="7">
        <f>'1 prepared data'!E241</f>
        <v/>
      </c>
      <c r="G248" s="7">
        <f>'1 prepared data'!F241</f>
        <v/>
      </c>
      <c r="H248" s="7">
        <f>'1 prepared data'!G241</f>
        <v/>
      </c>
      <c r="I248" s="7">
        <f>'1 prepared data'!H241</f>
        <v/>
      </c>
      <c r="J248" s="7">
        <f>'1 prepared data'!I241</f>
        <v/>
      </c>
      <c r="K248" s="7">
        <f>'1 prepared data'!J241</f>
        <v/>
      </c>
      <c r="L248" s="7">
        <f>'1 prepared data'!K241</f>
        <v/>
      </c>
      <c r="M248" s="7">
        <f>'1 prepared data'!L241</f>
        <v/>
      </c>
      <c r="N248" s="7">
        <f>'1 prepared data'!M241</f>
        <v/>
      </c>
      <c r="O248" s="7">
        <f>'1 prepared data'!N241</f>
        <v/>
      </c>
      <c r="P248" s="7">
        <f>'1 prepared data'!O241</f>
        <v/>
      </c>
      <c r="Q248" s="7">
        <f>'1 prepared data'!P241</f>
        <v/>
      </c>
      <c r="R248" s="7">
        <f>'1 prepared data'!Q241</f>
        <v/>
      </c>
      <c r="S248" s="7">
        <f>'1 prepared data'!R241</f>
        <v/>
      </c>
      <c r="T248" s="7">
        <f>'1 prepared data'!S241</f>
        <v/>
      </c>
      <c r="U248" s="7">
        <f>'1 prepared data'!T241</f>
        <v/>
      </c>
      <c r="V248" s="8">
        <f>$AC$12+D248*$AC$13+E248*$AC$14+F248*$AC$15+G248*$AC$16+H248*$AC$17+I248*$AC$18+J248*$AC$19+K248*$AC$20+L248*$AC$21+M248*$AC$22+N248*$AC$23+O248*$AC$24+P248*$AC$25+Q248*$AC$26+R248*$AC$27+S248*$AC$28+T248*$AC$29+U248*$AC$30</f>
        <v/>
      </c>
      <c r="W248" s="8">
        <f>1/(1+EXP(-V248))</f>
        <v/>
      </c>
      <c r="X248" s="9">
        <f>-IF(C248=1,LN(W248),LN(1-W248))</f>
        <v/>
      </c>
      <c r="Y248" s="10">
        <f>IF(W248&gt;$AC$33,1,0)</f>
        <v/>
      </c>
      <c r="Z248">
        <f>IF(Y248=C248,1,0)</f>
        <v/>
      </c>
    </row>
    <row r="249">
      <c r="A249">
        <f>'1 prepared data'!A242</f>
        <v/>
      </c>
      <c r="B249" s="5">
        <f>'1 prepared data'!U242</f>
        <v/>
      </c>
      <c r="C249">
        <f>'1 prepared data'!B242</f>
        <v/>
      </c>
      <c r="D249" s="7">
        <f>'1 prepared data'!C242</f>
        <v/>
      </c>
      <c r="E249" s="7">
        <f>'1 prepared data'!D242</f>
        <v/>
      </c>
      <c r="F249" s="7">
        <f>'1 prepared data'!E242</f>
        <v/>
      </c>
      <c r="G249" s="7">
        <f>'1 prepared data'!F242</f>
        <v/>
      </c>
      <c r="H249" s="7">
        <f>'1 prepared data'!G242</f>
        <v/>
      </c>
      <c r="I249" s="7">
        <f>'1 prepared data'!H242</f>
        <v/>
      </c>
      <c r="J249" s="7">
        <f>'1 prepared data'!I242</f>
        <v/>
      </c>
      <c r="K249" s="7">
        <f>'1 prepared data'!J242</f>
        <v/>
      </c>
      <c r="L249" s="7">
        <f>'1 prepared data'!K242</f>
        <v/>
      </c>
      <c r="M249" s="7">
        <f>'1 prepared data'!L242</f>
        <v/>
      </c>
      <c r="N249" s="7">
        <f>'1 prepared data'!M242</f>
        <v/>
      </c>
      <c r="O249" s="7">
        <f>'1 prepared data'!N242</f>
        <v/>
      </c>
      <c r="P249" s="7">
        <f>'1 prepared data'!O242</f>
        <v/>
      </c>
      <c r="Q249" s="7">
        <f>'1 prepared data'!P242</f>
        <v/>
      </c>
      <c r="R249" s="7">
        <f>'1 prepared data'!Q242</f>
        <v/>
      </c>
      <c r="S249" s="7">
        <f>'1 prepared data'!R242</f>
        <v/>
      </c>
      <c r="T249" s="7">
        <f>'1 prepared data'!S242</f>
        <v/>
      </c>
      <c r="U249" s="7">
        <f>'1 prepared data'!T242</f>
        <v/>
      </c>
      <c r="V249" s="8">
        <f>$AC$12+D249*$AC$13+E249*$AC$14+F249*$AC$15+G249*$AC$16+H249*$AC$17+I249*$AC$18+J249*$AC$19+K249*$AC$20+L249*$AC$21+M249*$AC$22+N249*$AC$23+O249*$AC$24+P249*$AC$25+Q249*$AC$26+R249*$AC$27+S249*$AC$28+T249*$AC$29+U249*$AC$30</f>
        <v/>
      </c>
      <c r="W249" s="8">
        <f>1/(1+EXP(-V249))</f>
        <v/>
      </c>
      <c r="X249" s="9">
        <f>-IF(C249=1,LN(W249),LN(1-W249))</f>
        <v/>
      </c>
      <c r="Y249" s="10">
        <f>IF(W249&gt;$AC$33,1,0)</f>
        <v/>
      </c>
      <c r="Z249">
        <f>IF(Y249=C249,1,0)</f>
        <v/>
      </c>
    </row>
    <row r="250">
      <c r="A250">
        <f>'1 prepared data'!A243</f>
        <v/>
      </c>
      <c r="B250" s="5">
        <f>'1 prepared data'!U243</f>
        <v/>
      </c>
      <c r="C250">
        <f>'1 prepared data'!B243</f>
        <v/>
      </c>
      <c r="D250" s="7">
        <f>'1 prepared data'!C243</f>
        <v/>
      </c>
      <c r="E250" s="7">
        <f>'1 prepared data'!D243</f>
        <v/>
      </c>
      <c r="F250" s="7">
        <f>'1 prepared data'!E243</f>
        <v/>
      </c>
      <c r="G250" s="7">
        <f>'1 prepared data'!F243</f>
        <v/>
      </c>
      <c r="H250" s="7">
        <f>'1 prepared data'!G243</f>
        <v/>
      </c>
      <c r="I250" s="7">
        <f>'1 prepared data'!H243</f>
        <v/>
      </c>
      <c r="J250" s="7">
        <f>'1 prepared data'!I243</f>
        <v/>
      </c>
      <c r="K250" s="7">
        <f>'1 prepared data'!J243</f>
        <v/>
      </c>
      <c r="L250" s="7">
        <f>'1 prepared data'!K243</f>
        <v/>
      </c>
      <c r="M250" s="7">
        <f>'1 prepared data'!L243</f>
        <v/>
      </c>
      <c r="N250" s="7">
        <f>'1 prepared data'!M243</f>
        <v/>
      </c>
      <c r="O250" s="7">
        <f>'1 prepared data'!N243</f>
        <v/>
      </c>
      <c r="P250" s="7">
        <f>'1 prepared data'!O243</f>
        <v/>
      </c>
      <c r="Q250" s="7">
        <f>'1 prepared data'!P243</f>
        <v/>
      </c>
      <c r="R250" s="7">
        <f>'1 prepared data'!Q243</f>
        <v/>
      </c>
      <c r="S250" s="7">
        <f>'1 prepared data'!R243</f>
        <v/>
      </c>
      <c r="T250" s="7">
        <f>'1 prepared data'!S243</f>
        <v/>
      </c>
      <c r="U250" s="7">
        <f>'1 prepared data'!T243</f>
        <v/>
      </c>
      <c r="V250" s="8">
        <f>$AC$12+D250*$AC$13+E250*$AC$14+F250*$AC$15+G250*$AC$16+H250*$AC$17+I250*$AC$18+J250*$AC$19+K250*$AC$20+L250*$AC$21+M250*$AC$22+N250*$AC$23+O250*$AC$24+P250*$AC$25+Q250*$AC$26+R250*$AC$27+S250*$AC$28+T250*$AC$29+U250*$AC$30</f>
        <v/>
      </c>
      <c r="W250" s="8">
        <f>1/(1+EXP(-V250))</f>
        <v/>
      </c>
      <c r="X250" s="9">
        <f>-IF(C250=1,LN(W250),LN(1-W250))</f>
        <v/>
      </c>
      <c r="Y250" s="10">
        <f>IF(W250&gt;$AC$33,1,0)</f>
        <v/>
      </c>
      <c r="Z250">
        <f>IF(Y250=C250,1,0)</f>
        <v/>
      </c>
    </row>
    <row r="251">
      <c r="A251">
        <f>'1 prepared data'!A244</f>
        <v/>
      </c>
      <c r="B251" s="5">
        <f>'1 prepared data'!U244</f>
        <v/>
      </c>
      <c r="C251">
        <f>'1 prepared data'!B244</f>
        <v/>
      </c>
      <c r="D251" s="7">
        <f>'1 prepared data'!C244</f>
        <v/>
      </c>
      <c r="E251" s="7">
        <f>'1 prepared data'!D244</f>
        <v/>
      </c>
      <c r="F251" s="7">
        <f>'1 prepared data'!E244</f>
        <v/>
      </c>
      <c r="G251" s="7">
        <f>'1 prepared data'!F244</f>
        <v/>
      </c>
      <c r="H251" s="7">
        <f>'1 prepared data'!G244</f>
        <v/>
      </c>
      <c r="I251" s="7">
        <f>'1 prepared data'!H244</f>
        <v/>
      </c>
      <c r="J251" s="7">
        <f>'1 prepared data'!I244</f>
        <v/>
      </c>
      <c r="K251" s="7">
        <f>'1 prepared data'!J244</f>
        <v/>
      </c>
      <c r="L251" s="7">
        <f>'1 prepared data'!K244</f>
        <v/>
      </c>
      <c r="M251" s="7">
        <f>'1 prepared data'!L244</f>
        <v/>
      </c>
      <c r="N251" s="7">
        <f>'1 prepared data'!M244</f>
        <v/>
      </c>
      <c r="O251" s="7">
        <f>'1 prepared data'!N244</f>
        <v/>
      </c>
      <c r="P251" s="7">
        <f>'1 prepared data'!O244</f>
        <v/>
      </c>
      <c r="Q251" s="7">
        <f>'1 prepared data'!P244</f>
        <v/>
      </c>
      <c r="R251" s="7">
        <f>'1 prepared data'!Q244</f>
        <v/>
      </c>
      <c r="S251" s="7">
        <f>'1 prepared data'!R244</f>
        <v/>
      </c>
      <c r="T251" s="7">
        <f>'1 prepared data'!S244</f>
        <v/>
      </c>
      <c r="U251" s="7">
        <f>'1 prepared data'!T244</f>
        <v/>
      </c>
      <c r="V251" s="8">
        <f>$AC$12+D251*$AC$13+E251*$AC$14+F251*$AC$15+G251*$AC$16+H251*$AC$17+I251*$AC$18+J251*$AC$19+K251*$AC$20+L251*$AC$21+M251*$AC$22+N251*$AC$23+O251*$AC$24+P251*$AC$25+Q251*$AC$26+R251*$AC$27+S251*$AC$28+T251*$AC$29+U251*$AC$30</f>
        <v/>
      </c>
      <c r="W251" s="8">
        <f>1/(1+EXP(-V251))</f>
        <v/>
      </c>
      <c r="X251" s="9">
        <f>-IF(C251=1,LN(W251),LN(1-W251))</f>
        <v/>
      </c>
      <c r="Y251" s="10">
        <f>IF(W251&gt;$AC$33,1,0)</f>
        <v/>
      </c>
      <c r="Z251">
        <f>IF(Y251=C251,1,0)</f>
        <v/>
      </c>
    </row>
    <row r="252">
      <c r="A252">
        <f>'1 prepared data'!A245</f>
        <v/>
      </c>
      <c r="B252" s="5">
        <f>'1 prepared data'!U245</f>
        <v/>
      </c>
      <c r="C252">
        <f>'1 prepared data'!B245</f>
        <v/>
      </c>
      <c r="D252" s="7">
        <f>'1 prepared data'!C245</f>
        <v/>
      </c>
      <c r="E252" s="7">
        <f>'1 prepared data'!D245</f>
        <v/>
      </c>
      <c r="F252" s="7">
        <f>'1 prepared data'!E245</f>
        <v/>
      </c>
      <c r="G252" s="7">
        <f>'1 prepared data'!F245</f>
        <v/>
      </c>
      <c r="H252" s="7">
        <f>'1 prepared data'!G245</f>
        <v/>
      </c>
      <c r="I252" s="7">
        <f>'1 prepared data'!H245</f>
        <v/>
      </c>
      <c r="J252" s="7">
        <f>'1 prepared data'!I245</f>
        <v/>
      </c>
      <c r="K252" s="7">
        <f>'1 prepared data'!J245</f>
        <v/>
      </c>
      <c r="L252" s="7">
        <f>'1 prepared data'!K245</f>
        <v/>
      </c>
      <c r="M252" s="7">
        <f>'1 prepared data'!L245</f>
        <v/>
      </c>
      <c r="N252" s="7">
        <f>'1 prepared data'!M245</f>
        <v/>
      </c>
      <c r="O252" s="7">
        <f>'1 prepared data'!N245</f>
        <v/>
      </c>
      <c r="P252" s="7">
        <f>'1 prepared data'!O245</f>
        <v/>
      </c>
      <c r="Q252" s="7">
        <f>'1 prepared data'!P245</f>
        <v/>
      </c>
      <c r="R252" s="7">
        <f>'1 prepared data'!Q245</f>
        <v/>
      </c>
      <c r="S252" s="7">
        <f>'1 prepared data'!R245</f>
        <v/>
      </c>
      <c r="T252" s="7">
        <f>'1 prepared data'!S245</f>
        <v/>
      </c>
      <c r="U252" s="7">
        <f>'1 prepared data'!T245</f>
        <v/>
      </c>
      <c r="V252" s="8">
        <f>$AC$12+D252*$AC$13+E252*$AC$14+F252*$AC$15+G252*$AC$16+H252*$AC$17+I252*$AC$18+J252*$AC$19+K252*$AC$20+L252*$AC$21+M252*$AC$22+N252*$AC$23+O252*$AC$24+P252*$AC$25+Q252*$AC$26+R252*$AC$27+S252*$AC$28+T252*$AC$29+U252*$AC$30</f>
        <v/>
      </c>
      <c r="W252" s="8">
        <f>1/(1+EXP(-V252))</f>
        <v/>
      </c>
      <c r="X252" s="9">
        <f>-IF(C252=1,LN(W252),LN(1-W252))</f>
        <v/>
      </c>
      <c r="Y252" s="10">
        <f>IF(W252&gt;$AC$33,1,0)</f>
        <v/>
      </c>
      <c r="Z252">
        <f>IF(Y252=C252,1,0)</f>
        <v/>
      </c>
    </row>
    <row r="253">
      <c r="A253">
        <f>'1 prepared data'!A246</f>
        <v/>
      </c>
      <c r="B253" s="5">
        <f>'1 prepared data'!U246</f>
        <v/>
      </c>
      <c r="C253">
        <f>'1 prepared data'!B246</f>
        <v/>
      </c>
      <c r="D253" s="7">
        <f>'1 prepared data'!C246</f>
        <v/>
      </c>
      <c r="E253" s="7">
        <f>'1 prepared data'!D246</f>
        <v/>
      </c>
      <c r="F253" s="7">
        <f>'1 prepared data'!E246</f>
        <v/>
      </c>
      <c r="G253" s="7">
        <f>'1 prepared data'!F246</f>
        <v/>
      </c>
      <c r="H253" s="7">
        <f>'1 prepared data'!G246</f>
        <v/>
      </c>
      <c r="I253" s="7">
        <f>'1 prepared data'!H246</f>
        <v/>
      </c>
      <c r="J253" s="7">
        <f>'1 prepared data'!I246</f>
        <v/>
      </c>
      <c r="K253" s="7">
        <f>'1 prepared data'!J246</f>
        <v/>
      </c>
      <c r="L253" s="7">
        <f>'1 prepared data'!K246</f>
        <v/>
      </c>
      <c r="M253" s="7">
        <f>'1 prepared data'!L246</f>
        <v/>
      </c>
      <c r="N253" s="7">
        <f>'1 prepared data'!M246</f>
        <v/>
      </c>
      <c r="O253" s="7">
        <f>'1 prepared data'!N246</f>
        <v/>
      </c>
      <c r="P253" s="7">
        <f>'1 prepared data'!O246</f>
        <v/>
      </c>
      <c r="Q253" s="7">
        <f>'1 prepared data'!P246</f>
        <v/>
      </c>
      <c r="R253" s="7">
        <f>'1 prepared data'!Q246</f>
        <v/>
      </c>
      <c r="S253" s="7">
        <f>'1 prepared data'!R246</f>
        <v/>
      </c>
      <c r="T253" s="7">
        <f>'1 prepared data'!S246</f>
        <v/>
      </c>
      <c r="U253" s="7">
        <f>'1 prepared data'!T246</f>
        <v/>
      </c>
      <c r="V253" s="8">
        <f>$AC$12+D253*$AC$13+E253*$AC$14+F253*$AC$15+G253*$AC$16+H253*$AC$17+I253*$AC$18+J253*$AC$19+K253*$AC$20+L253*$AC$21+M253*$AC$22+N253*$AC$23+O253*$AC$24+P253*$AC$25+Q253*$AC$26+R253*$AC$27+S253*$AC$28+T253*$AC$29+U253*$AC$30</f>
        <v/>
      </c>
      <c r="W253" s="8">
        <f>1/(1+EXP(-V253))</f>
        <v/>
      </c>
      <c r="X253" s="9">
        <f>-IF(C253=1,LN(W253),LN(1-W253))</f>
        <v/>
      </c>
      <c r="Y253" s="10">
        <f>IF(W253&gt;$AC$33,1,0)</f>
        <v/>
      </c>
      <c r="Z253">
        <f>IF(Y253=C253,1,0)</f>
        <v/>
      </c>
    </row>
    <row r="254">
      <c r="A254">
        <f>'1 prepared data'!A247</f>
        <v/>
      </c>
      <c r="B254" s="5">
        <f>'1 prepared data'!U247</f>
        <v/>
      </c>
      <c r="C254">
        <f>'1 prepared data'!B247</f>
        <v/>
      </c>
      <c r="D254" s="7">
        <f>'1 prepared data'!C247</f>
        <v/>
      </c>
      <c r="E254" s="7">
        <f>'1 prepared data'!D247</f>
        <v/>
      </c>
      <c r="F254" s="7">
        <f>'1 prepared data'!E247</f>
        <v/>
      </c>
      <c r="G254" s="7">
        <f>'1 prepared data'!F247</f>
        <v/>
      </c>
      <c r="H254" s="7">
        <f>'1 prepared data'!G247</f>
        <v/>
      </c>
      <c r="I254" s="7">
        <f>'1 prepared data'!H247</f>
        <v/>
      </c>
      <c r="J254" s="7">
        <f>'1 prepared data'!I247</f>
        <v/>
      </c>
      <c r="K254" s="7">
        <f>'1 prepared data'!J247</f>
        <v/>
      </c>
      <c r="L254" s="7">
        <f>'1 prepared data'!K247</f>
        <v/>
      </c>
      <c r="M254" s="7">
        <f>'1 prepared data'!L247</f>
        <v/>
      </c>
      <c r="N254" s="7">
        <f>'1 prepared data'!M247</f>
        <v/>
      </c>
      <c r="O254" s="7">
        <f>'1 prepared data'!N247</f>
        <v/>
      </c>
      <c r="P254" s="7">
        <f>'1 prepared data'!O247</f>
        <v/>
      </c>
      <c r="Q254" s="7">
        <f>'1 prepared data'!P247</f>
        <v/>
      </c>
      <c r="R254" s="7">
        <f>'1 prepared data'!Q247</f>
        <v/>
      </c>
      <c r="S254" s="7">
        <f>'1 prepared data'!R247</f>
        <v/>
      </c>
      <c r="T254" s="7">
        <f>'1 prepared data'!S247</f>
        <v/>
      </c>
      <c r="U254" s="7">
        <f>'1 prepared data'!T247</f>
        <v/>
      </c>
      <c r="V254" s="8">
        <f>$AC$12+D254*$AC$13+E254*$AC$14+F254*$AC$15+G254*$AC$16+H254*$AC$17+I254*$AC$18+J254*$AC$19+K254*$AC$20+L254*$AC$21+M254*$AC$22+N254*$AC$23+O254*$AC$24+P254*$AC$25+Q254*$AC$26+R254*$AC$27+S254*$AC$28+T254*$AC$29+U254*$AC$30</f>
        <v/>
      </c>
      <c r="W254" s="8">
        <f>1/(1+EXP(-V254))</f>
        <v/>
      </c>
      <c r="X254" s="9">
        <f>-IF(C254=1,LN(W254),LN(1-W254))</f>
        <v/>
      </c>
      <c r="Y254" s="10">
        <f>IF(W254&gt;$AC$33,1,0)</f>
        <v/>
      </c>
      <c r="Z254">
        <f>IF(Y254=C254,1,0)</f>
        <v/>
      </c>
    </row>
    <row r="255">
      <c r="A255">
        <f>'1 prepared data'!A248</f>
        <v/>
      </c>
      <c r="B255" s="5">
        <f>'1 prepared data'!U248</f>
        <v/>
      </c>
      <c r="C255">
        <f>'1 prepared data'!B248</f>
        <v/>
      </c>
      <c r="D255" s="7">
        <f>'1 prepared data'!C248</f>
        <v/>
      </c>
      <c r="E255" s="7">
        <f>'1 prepared data'!D248</f>
        <v/>
      </c>
      <c r="F255" s="7">
        <f>'1 prepared data'!E248</f>
        <v/>
      </c>
      <c r="G255" s="7">
        <f>'1 prepared data'!F248</f>
        <v/>
      </c>
      <c r="H255" s="7">
        <f>'1 prepared data'!G248</f>
        <v/>
      </c>
      <c r="I255" s="7">
        <f>'1 prepared data'!H248</f>
        <v/>
      </c>
      <c r="J255" s="7">
        <f>'1 prepared data'!I248</f>
        <v/>
      </c>
      <c r="K255" s="7">
        <f>'1 prepared data'!J248</f>
        <v/>
      </c>
      <c r="L255" s="7">
        <f>'1 prepared data'!K248</f>
        <v/>
      </c>
      <c r="M255" s="7">
        <f>'1 prepared data'!L248</f>
        <v/>
      </c>
      <c r="N255" s="7">
        <f>'1 prepared data'!M248</f>
        <v/>
      </c>
      <c r="O255" s="7">
        <f>'1 prepared data'!N248</f>
        <v/>
      </c>
      <c r="P255" s="7">
        <f>'1 prepared data'!O248</f>
        <v/>
      </c>
      <c r="Q255" s="7">
        <f>'1 prepared data'!P248</f>
        <v/>
      </c>
      <c r="R255" s="7">
        <f>'1 prepared data'!Q248</f>
        <v/>
      </c>
      <c r="S255" s="7">
        <f>'1 prepared data'!R248</f>
        <v/>
      </c>
      <c r="T255" s="7">
        <f>'1 prepared data'!S248</f>
        <v/>
      </c>
      <c r="U255" s="7">
        <f>'1 prepared data'!T248</f>
        <v/>
      </c>
      <c r="V255" s="8">
        <f>$AC$12+D255*$AC$13+E255*$AC$14+F255*$AC$15+G255*$AC$16+H255*$AC$17+I255*$AC$18+J255*$AC$19+K255*$AC$20+L255*$AC$21+M255*$AC$22+N255*$AC$23+O255*$AC$24+P255*$AC$25+Q255*$AC$26+R255*$AC$27+S255*$AC$28+T255*$AC$29+U255*$AC$30</f>
        <v/>
      </c>
      <c r="W255" s="8">
        <f>1/(1+EXP(-V255))</f>
        <v/>
      </c>
      <c r="X255" s="9">
        <f>-IF(C255=1,LN(W255),LN(1-W255))</f>
        <v/>
      </c>
      <c r="Y255" s="10">
        <f>IF(W255&gt;$AC$33,1,0)</f>
        <v/>
      </c>
      <c r="Z255">
        <f>IF(Y255=C255,1,0)</f>
        <v/>
      </c>
    </row>
    <row r="256">
      <c r="A256">
        <f>'1 prepared data'!A249</f>
        <v/>
      </c>
      <c r="B256" s="5">
        <f>'1 prepared data'!U249</f>
        <v/>
      </c>
      <c r="C256">
        <f>'1 prepared data'!B249</f>
        <v/>
      </c>
      <c r="D256" s="7">
        <f>'1 prepared data'!C249</f>
        <v/>
      </c>
      <c r="E256" s="7">
        <f>'1 prepared data'!D249</f>
        <v/>
      </c>
      <c r="F256" s="7">
        <f>'1 prepared data'!E249</f>
        <v/>
      </c>
      <c r="G256" s="7">
        <f>'1 prepared data'!F249</f>
        <v/>
      </c>
      <c r="H256" s="7">
        <f>'1 prepared data'!G249</f>
        <v/>
      </c>
      <c r="I256" s="7">
        <f>'1 prepared data'!H249</f>
        <v/>
      </c>
      <c r="J256" s="7">
        <f>'1 prepared data'!I249</f>
        <v/>
      </c>
      <c r="K256" s="7">
        <f>'1 prepared data'!J249</f>
        <v/>
      </c>
      <c r="L256" s="7">
        <f>'1 prepared data'!K249</f>
        <v/>
      </c>
      <c r="M256" s="7">
        <f>'1 prepared data'!L249</f>
        <v/>
      </c>
      <c r="N256" s="7">
        <f>'1 prepared data'!M249</f>
        <v/>
      </c>
      <c r="O256" s="7">
        <f>'1 prepared data'!N249</f>
        <v/>
      </c>
      <c r="P256" s="7">
        <f>'1 prepared data'!O249</f>
        <v/>
      </c>
      <c r="Q256" s="7">
        <f>'1 prepared data'!P249</f>
        <v/>
      </c>
      <c r="R256" s="7">
        <f>'1 prepared data'!Q249</f>
        <v/>
      </c>
      <c r="S256" s="7">
        <f>'1 prepared data'!R249</f>
        <v/>
      </c>
      <c r="T256" s="7">
        <f>'1 prepared data'!S249</f>
        <v/>
      </c>
      <c r="U256" s="7">
        <f>'1 prepared data'!T249</f>
        <v/>
      </c>
      <c r="V256" s="8">
        <f>$AC$12+D256*$AC$13+E256*$AC$14+F256*$AC$15+G256*$AC$16+H256*$AC$17+I256*$AC$18+J256*$AC$19+K256*$AC$20+L256*$AC$21+M256*$AC$22+N256*$AC$23+O256*$AC$24+P256*$AC$25+Q256*$AC$26+R256*$AC$27+S256*$AC$28+T256*$AC$29+U256*$AC$30</f>
        <v/>
      </c>
      <c r="W256" s="8">
        <f>1/(1+EXP(-V256))</f>
        <v/>
      </c>
      <c r="X256" s="9">
        <f>-IF(C256=1,LN(W256),LN(1-W256))</f>
        <v/>
      </c>
      <c r="Y256" s="10">
        <f>IF(W256&gt;$AC$33,1,0)</f>
        <v/>
      </c>
      <c r="Z256">
        <f>IF(Y256=C256,1,0)</f>
        <v/>
      </c>
    </row>
    <row r="257">
      <c r="A257">
        <f>'1 prepared data'!A250</f>
        <v/>
      </c>
      <c r="B257" s="5">
        <f>'1 prepared data'!U250</f>
        <v/>
      </c>
      <c r="C257">
        <f>'1 prepared data'!B250</f>
        <v/>
      </c>
      <c r="D257" s="7">
        <f>'1 prepared data'!C250</f>
        <v/>
      </c>
      <c r="E257" s="7">
        <f>'1 prepared data'!D250</f>
        <v/>
      </c>
      <c r="F257" s="7">
        <f>'1 prepared data'!E250</f>
        <v/>
      </c>
      <c r="G257" s="7">
        <f>'1 prepared data'!F250</f>
        <v/>
      </c>
      <c r="H257" s="7">
        <f>'1 prepared data'!G250</f>
        <v/>
      </c>
      <c r="I257" s="7">
        <f>'1 prepared data'!H250</f>
        <v/>
      </c>
      <c r="J257" s="7">
        <f>'1 prepared data'!I250</f>
        <v/>
      </c>
      <c r="K257" s="7">
        <f>'1 prepared data'!J250</f>
        <v/>
      </c>
      <c r="L257" s="7">
        <f>'1 prepared data'!K250</f>
        <v/>
      </c>
      <c r="M257" s="7">
        <f>'1 prepared data'!L250</f>
        <v/>
      </c>
      <c r="N257" s="7">
        <f>'1 prepared data'!M250</f>
        <v/>
      </c>
      <c r="O257" s="7">
        <f>'1 prepared data'!N250</f>
        <v/>
      </c>
      <c r="P257" s="7">
        <f>'1 prepared data'!O250</f>
        <v/>
      </c>
      <c r="Q257" s="7">
        <f>'1 prepared data'!P250</f>
        <v/>
      </c>
      <c r="R257" s="7">
        <f>'1 prepared data'!Q250</f>
        <v/>
      </c>
      <c r="S257" s="7">
        <f>'1 prepared data'!R250</f>
        <v/>
      </c>
      <c r="T257" s="7">
        <f>'1 prepared data'!S250</f>
        <v/>
      </c>
      <c r="U257" s="7">
        <f>'1 prepared data'!T250</f>
        <v/>
      </c>
      <c r="V257" s="8">
        <f>$AC$12+D257*$AC$13+E257*$AC$14+F257*$AC$15+G257*$AC$16+H257*$AC$17+I257*$AC$18+J257*$AC$19+K257*$AC$20+L257*$AC$21+M257*$AC$22+N257*$AC$23+O257*$AC$24+P257*$AC$25+Q257*$AC$26+R257*$AC$27+S257*$AC$28+T257*$AC$29+U257*$AC$30</f>
        <v/>
      </c>
      <c r="W257" s="8">
        <f>1/(1+EXP(-V257))</f>
        <v/>
      </c>
      <c r="X257" s="9">
        <f>-IF(C257=1,LN(W257),LN(1-W257))</f>
        <v/>
      </c>
      <c r="Y257" s="10">
        <f>IF(W257&gt;$AC$33,1,0)</f>
        <v/>
      </c>
      <c r="Z257">
        <f>IF(Y257=C257,1,0)</f>
        <v/>
      </c>
    </row>
    <row r="258">
      <c r="A258">
        <f>'1 prepared data'!A251</f>
        <v/>
      </c>
      <c r="B258" s="5">
        <f>'1 prepared data'!U251</f>
        <v/>
      </c>
      <c r="C258">
        <f>'1 prepared data'!B251</f>
        <v/>
      </c>
      <c r="D258" s="7">
        <f>'1 prepared data'!C251</f>
        <v/>
      </c>
      <c r="E258" s="7">
        <f>'1 prepared data'!D251</f>
        <v/>
      </c>
      <c r="F258" s="7">
        <f>'1 prepared data'!E251</f>
        <v/>
      </c>
      <c r="G258" s="7">
        <f>'1 prepared data'!F251</f>
        <v/>
      </c>
      <c r="H258" s="7">
        <f>'1 prepared data'!G251</f>
        <v/>
      </c>
      <c r="I258" s="7">
        <f>'1 prepared data'!H251</f>
        <v/>
      </c>
      <c r="J258" s="7">
        <f>'1 prepared data'!I251</f>
        <v/>
      </c>
      <c r="K258" s="7">
        <f>'1 prepared data'!J251</f>
        <v/>
      </c>
      <c r="L258" s="7">
        <f>'1 prepared data'!K251</f>
        <v/>
      </c>
      <c r="M258" s="7">
        <f>'1 prepared data'!L251</f>
        <v/>
      </c>
      <c r="N258" s="7">
        <f>'1 prepared data'!M251</f>
        <v/>
      </c>
      <c r="O258" s="7">
        <f>'1 prepared data'!N251</f>
        <v/>
      </c>
      <c r="P258" s="7">
        <f>'1 prepared data'!O251</f>
        <v/>
      </c>
      <c r="Q258" s="7">
        <f>'1 prepared data'!P251</f>
        <v/>
      </c>
      <c r="R258" s="7">
        <f>'1 prepared data'!Q251</f>
        <v/>
      </c>
      <c r="S258" s="7">
        <f>'1 prepared data'!R251</f>
        <v/>
      </c>
      <c r="T258" s="7">
        <f>'1 prepared data'!S251</f>
        <v/>
      </c>
      <c r="U258" s="7">
        <f>'1 prepared data'!T251</f>
        <v/>
      </c>
      <c r="V258" s="8">
        <f>$AC$12+D258*$AC$13+E258*$AC$14+F258*$AC$15+G258*$AC$16+H258*$AC$17+I258*$AC$18+J258*$AC$19+K258*$AC$20+L258*$AC$21+M258*$AC$22+N258*$AC$23+O258*$AC$24+P258*$AC$25+Q258*$AC$26+R258*$AC$27+S258*$AC$28+T258*$AC$29+U258*$AC$30</f>
        <v/>
      </c>
      <c r="W258" s="8">
        <f>1/(1+EXP(-V258))</f>
        <v/>
      </c>
      <c r="X258" s="9">
        <f>-IF(C258=1,LN(W258),LN(1-W258))</f>
        <v/>
      </c>
      <c r="Y258" s="10">
        <f>IF(W258&gt;$AC$33,1,0)</f>
        <v/>
      </c>
      <c r="Z258">
        <f>IF(Y258=C258,1,0)</f>
        <v/>
      </c>
    </row>
    <row r="259">
      <c r="A259">
        <f>'1 prepared data'!A252</f>
        <v/>
      </c>
      <c r="B259" s="5">
        <f>'1 prepared data'!U252</f>
        <v/>
      </c>
      <c r="C259">
        <f>'1 prepared data'!B252</f>
        <v/>
      </c>
      <c r="D259" s="7">
        <f>'1 prepared data'!C252</f>
        <v/>
      </c>
      <c r="E259" s="7">
        <f>'1 prepared data'!D252</f>
        <v/>
      </c>
      <c r="F259" s="7">
        <f>'1 prepared data'!E252</f>
        <v/>
      </c>
      <c r="G259" s="7">
        <f>'1 prepared data'!F252</f>
        <v/>
      </c>
      <c r="H259" s="7">
        <f>'1 prepared data'!G252</f>
        <v/>
      </c>
      <c r="I259" s="7">
        <f>'1 prepared data'!H252</f>
        <v/>
      </c>
      <c r="J259" s="7">
        <f>'1 prepared data'!I252</f>
        <v/>
      </c>
      <c r="K259" s="7">
        <f>'1 prepared data'!J252</f>
        <v/>
      </c>
      <c r="L259" s="7">
        <f>'1 prepared data'!K252</f>
        <v/>
      </c>
      <c r="M259" s="7">
        <f>'1 prepared data'!L252</f>
        <v/>
      </c>
      <c r="N259" s="7">
        <f>'1 prepared data'!M252</f>
        <v/>
      </c>
      <c r="O259" s="7">
        <f>'1 prepared data'!N252</f>
        <v/>
      </c>
      <c r="P259" s="7">
        <f>'1 prepared data'!O252</f>
        <v/>
      </c>
      <c r="Q259" s="7">
        <f>'1 prepared data'!P252</f>
        <v/>
      </c>
      <c r="R259" s="7">
        <f>'1 prepared data'!Q252</f>
        <v/>
      </c>
      <c r="S259" s="7">
        <f>'1 prepared data'!R252</f>
        <v/>
      </c>
      <c r="T259" s="7">
        <f>'1 prepared data'!S252</f>
        <v/>
      </c>
      <c r="U259" s="7">
        <f>'1 prepared data'!T252</f>
        <v/>
      </c>
      <c r="V259" s="8">
        <f>$AC$12+D259*$AC$13+E259*$AC$14+F259*$AC$15+G259*$AC$16+H259*$AC$17+I259*$AC$18+J259*$AC$19+K259*$AC$20+L259*$AC$21+M259*$AC$22+N259*$AC$23+O259*$AC$24+P259*$AC$25+Q259*$AC$26+R259*$AC$27+S259*$AC$28+T259*$AC$29+U259*$AC$30</f>
        <v/>
      </c>
      <c r="W259" s="8">
        <f>1/(1+EXP(-V259))</f>
        <v/>
      </c>
      <c r="X259" s="9">
        <f>-IF(C259=1,LN(W259),LN(1-W259))</f>
        <v/>
      </c>
      <c r="Y259" s="10">
        <f>IF(W259&gt;$AC$33,1,0)</f>
        <v/>
      </c>
      <c r="Z259">
        <f>IF(Y259=C259,1,0)</f>
        <v/>
      </c>
    </row>
    <row r="260">
      <c r="A260">
        <f>'1 prepared data'!A253</f>
        <v/>
      </c>
      <c r="B260" s="5">
        <f>'1 prepared data'!U253</f>
        <v/>
      </c>
      <c r="C260">
        <f>'1 prepared data'!B253</f>
        <v/>
      </c>
      <c r="D260" s="7">
        <f>'1 prepared data'!C253</f>
        <v/>
      </c>
      <c r="E260" s="7">
        <f>'1 prepared data'!D253</f>
        <v/>
      </c>
      <c r="F260" s="7">
        <f>'1 prepared data'!E253</f>
        <v/>
      </c>
      <c r="G260" s="7">
        <f>'1 prepared data'!F253</f>
        <v/>
      </c>
      <c r="H260" s="7">
        <f>'1 prepared data'!G253</f>
        <v/>
      </c>
      <c r="I260" s="7">
        <f>'1 prepared data'!H253</f>
        <v/>
      </c>
      <c r="J260" s="7">
        <f>'1 prepared data'!I253</f>
        <v/>
      </c>
      <c r="K260" s="7">
        <f>'1 prepared data'!J253</f>
        <v/>
      </c>
      <c r="L260" s="7">
        <f>'1 prepared data'!K253</f>
        <v/>
      </c>
      <c r="M260" s="7">
        <f>'1 prepared data'!L253</f>
        <v/>
      </c>
      <c r="N260" s="7">
        <f>'1 prepared data'!M253</f>
        <v/>
      </c>
      <c r="O260" s="7">
        <f>'1 prepared data'!N253</f>
        <v/>
      </c>
      <c r="P260" s="7">
        <f>'1 prepared data'!O253</f>
        <v/>
      </c>
      <c r="Q260" s="7">
        <f>'1 prepared data'!P253</f>
        <v/>
      </c>
      <c r="R260" s="7">
        <f>'1 prepared data'!Q253</f>
        <v/>
      </c>
      <c r="S260" s="7">
        <f>'1 prepared data'!R253</f>
        <v/>
      </c>
      <c r="T260" s="7">
        <f>'1 prepared data'!S253</f>
        <v/>
      </c>
      <c r="U260" s="7">
        <f>'1 prepared data'!T253</f>
        <v/>
      </c>
      <c r="V260" s="8">
        <f>$AC$12+D260*$AC$13+E260*$AC$14+F260*$AC$15+G260*$AC$16+H260*$AC$17+I260*$AC$18+J260*$AC$19+K260*$AC$20+L260*$AC$21+M260*$AC$22+N260*$AC$23+O260*$AC$24+P260*$AC$25+Q260*$AC$26+R260*$AC$27+S260*$AC$28+T260*$AC$29+U260*$AC$30</f>
        <v/>
      </c>
      <c r="W260" s="8">
        <f>1/(1+EXP(-V260))</f>
        <v/>
      </c>
      <c r="X260" s="9">
        <f>-IF(C260=1,LN(W260),LN(1-W260))</f>
        <v/>
      </c>
      <c r="Y260" s="10">
        <f>IF(W260&gt;$AC$33,1,0)</f>
        <v/>
      </c>
      <c r="Z260">
        <f>IF(Y260=C260,1,0)</f>
        <v/>
      </c>
    </row>
    <row r="261">
      <c r="A261">
        <f>'1 prepared data'!A254</f>
        <v/>
      </c>
      <c r="B261" s="5">
        <f>'1 prepared data'!U254</f>
        <v/>
      </c>
      <c r="C261">
        <f>'1 prepared data'!B254</f>
        <v/>
      </c>
      <c r="D261" s="7">
        <f>'1 prepared data'!C254</f>
        <v/>
      </c>
      <c r="E261" s="7">
        <f>'1 prepared data'!D254</f>
        <v/>
      </c>
      <c r="F261" s="7">
        <f>'1 prepared data'!E254</f>
        <v/>
      </c>
      <c r="G261" s="7">
        <f>'1 prepared data'!F254</f>
        <v/>
      </c>
      <c r="H261" s="7">
        <f>'1 prepared data'!G254</f>
        <v/>
      </c>
      <c r="I261" s="7">
        <f>'1 prepared data'!H254</f>
        <v/>
      </c>
      <c r="J261" s="7">
        <f>'1 prepared data'!I254</f>
        <v/>
      </c>
      <c r="K261" s="7">
        <f>'1 prepared data'!J254</f>
        <v/>
      </c>
      <c r="L261" s="7">
        <f>'1 prepared data'!K254</f>
        <v/>
      </c>
      <c r="M261" s="7">
        <f>'1 prepared data'!L254</f>
        <v/>
      </c>
      <c r="N261" s="7">
        <f>'1 prepared data'!M254</f>
        <v/>
      </c>
      <c r="O261" s="7">
        <f>'1 prepared data'!N254</f>
        <v/>
      </c>
      <c r="P261" s="7">
        <f>'1 prepared data'!O254</f>
        <v/>
      </c>
      <c r="Q261" s="7">
        <f>'1 prepared data'!P254</f>
        <v/>
      </c>
      <c r="R261" s="7">
        <f>'1 prepared data'!Q254</f>
        <v/>
      </c>
      <c r="S261" s="7">
        <f>'1 prepared data'!R254</f>
        <v/>
      </c>
      <c r="T261" s="7">
        <f>'1 prepared data'!S254</f>
        <v/>
      </c>
      <c r="U261" s="7">
        <f>'1 prepared data'!T254</f>
        <v/>
      </c>
      <c r="V261" s="8">
        <f>$AC$12+D261*$AC$13+E261*$AC$14+F261*$AC$15+G261*$AC$16+H261*$AC$17+I261*$AC$18+J261*$AC$19+K261*$AC$20+L261*$AC$21+M261*$AC$22+N261*$AC$23+O261*$AC$24+P261*$AC$25+Q261*$AC$26+R261*$AC$27+S261*$AC$28+T261*$AC$29+U261*$AC$30</f>
        <v/>
      </c>
      <c r="W261" s="8">
        <f>1/(1+EXP(-V261))</f>
        <v/>
      </c>
      <c r="X261" s="9">
        <f>-IF(C261=1,LN(W261),LN(1-W261))</f>
        <v/>
      </c>
      <c r="Y261" s="10">
        <f>IF(W261&gt;$AC$33,1,0)</f>
        <v/>
      </c>
      <c r="Z261">
        <f>IF(Y261=C261,1,0)</f>
        <v/>
      </c>
    </row>
    <row r="262">
      <c r="A262">
        <f>'1 prepared data'!A255</f>
        <v/>
      </c>
      <c r="B262" s="5">
        <f>'1 prepared data'!U255</f>
        <v/>
      </c>
      <c r="C262">
        <f>'1 prepared data'!B255</f>
        <v/>
      </c>
      <c r="D262" s="7">
        <f>'1 prepared data'!C255</f>
        <v/>
      </c>
      <c r="E262" s="7">
        <f>'1 prepared data'!D255</f>
        <v/>
      </c>
      <c r="F262" s="7">
        <f>'1 prepared data'!E255</f>
        <v/>
      </c>
      <c r="G262" s="7">
        <f>'1 prepared data'!F255</f>
        <v/>
      </c>
      <c r="H262" s="7">
        <f>'1 prepared data'!G255</f>
        <v/>
      </c>
      <c r="I262" s="7">
        <f>'1 prepared data'!H255</f>
        <v/>
      </c>
      <c r="J262" s="7">
        <f>'1 prepared data'!I255</f>
        <v/>
      </c>
      <c r="K262" s="7">
        <f>'1 prepared data'!J255</f>
        <v/>
      </c>
      <c r="L262" s="7">
        <f>'1 prepared data'!K255</f>
        <v/>
      </c>
      <c r="M262" s="7">
        <f>'1 prepared data'!L255</f>
        <v/>
      </c>
      <c r="N262" s="7">
        <f>'1 prepared data'!M255</f>
        <v/>
      </c>
      <c r="O262" s="7">
        <f>'1 prepared data'!N255</f>
        <v/>
      </c>
      <c r="P262" s="7">
        <f>'1 prepared data'!O255</f>
        <v/>
      </c>
      <c r="Q262" s="7">
        <f>'1 prepared data'!P255</f>
        <v/>
      </c>
      <c r="R262" s="7">
        <f>'1 prepared data'!Q255</f>
        <v/>
      </c>
      <c r="S262" s="7">
        <f>'1 prepared data'!R255</f>
        <v/>
      </c>
      <c r="T262" s="7">
        <f>'1 prepared data'!S255</f>
        <v/>
      </c>
      <c r="U262" s="7">
        <f>'1 prepared data'!T255</f>
        <v/>
      </c>
      <c r="V262" s="8">
        <f>$AC$12+D262*$AC$13+E262*$AC$14+F262*$AC$15+G262*$AC$16+H262*$AC$17+I262*$AC$18+J262*$AC$19+K262*$AC$20+L262*$AC$21+M262*$AC$22+N262*$AC$23+O262*$AC$24+P262*$AC$25+Q262*$AC$26+R262*$AC$27+S262*$AC$28+T262*$AC$29+U262*$AC$30</f>
        <v/>
      </c>
      <c r="W262" s="8">
        <f>1/(1+EXP(-V262))</f>
        <v/>
      </c>
      <c r="X262" s="9">
        <f>-IF(C262=1,LN(W262),LN(1-W262))</f>
        <v/>
      </c>
      <c r="Y262" s="10">
        <f>IF(W262&gt;$AC$33,1,0)</f>
        <v/>
      </c>
      <c r="Z262">
        <f>IF(Y262=C262,1,0)</f>
        <v/>
      </c>
    </row>
    <row r="263">
      <c r="A263">
        <f>'1 prepared data'!A256</f>
        <v/>
      </c>
      <c r="B263" s="5">
        <f>'1 prepared data'!U256</f>
        <v/>
      </c>
      <c r="C263">
        <f>'1 prepared data'!B256</f>
        <v/>
      </c>
      <c r="D263" s="7">
        <f>'1 prepared data'!C256</f>
        <v/>
      </c>
      <c r="E263" s="7">
        <f>'1 prepared data'!D256</f>
        <v/>
      </c>
      <c r="F263" s="7">
        <f>'1 prepared data'!E256</f>
        <v/>
      </c>
      <c r="G263" s="7">
        <f>'1 prepared data'!F256</f>
        <v/>
      </c>
      <c r="H263" s="7">
        <f>'1 prepared data'!G256</f>
        <v/>
      </c>
      <c r="I263" s="7">
        <f>'1 prepared data'!H256</f>
        <v/>
      </c>
      <c r="J263" s="7">
        <f>'1 prepared data'!I256</f>
        <v/>
      </c>
      <c r="K263" s="7">
        <f>'1 prepared data'!J256</f>
        <v/>
      </c>
      <c r="L263" s="7">
        <f>'1 prepared data'!K256</f>
        <v/>
      </c>
      <c r="M263" s="7">
        <f>'1 prepared data'!L256</f>
        <v/>
      </c>
      <c r="N263" s="7">
        <f>'1 prepared data'!M256</f>
        <v/>
      </c>
      <c r="O263" s="7">
        <f>'1 prepared data'!N256</f>
        <v/>
      </c>
      <c r="P263" s="7">
        <f>'1 prepared data'!O256</f>
        <v/>
      </c>
      <c r="Q263" s="7">
        <f>'1 prepared data'!P256</f>
        <v/>
      </c>
      <c r="R263" s="7">
        <f>'1 prepared data'!Q256</f>
        <v/>
      </c>
      <c r="S263" s="7">
        <f>'1 prepared data'!R256</f>
        <v/>
      </c>
      <c r="T263" s="7">
        <f>'1 prepared data'!S256</f>
        <v/>
      </c>
      <c r="U263" s="7">
        <f>'1 prepared data'!T256</f>
        <v/>
      </c>
      <c r="V263" s="8">
        <f>$AC$12+D263*$AC$13+E263*$AC$14+F263*$AC$15+G263*$AC$16+H263*$AC$17+I263*$AC$18+J263*$AC$19+K263*$AC$20+L263*$AC$21+M263*$AC$22+N263*$AC$23+O263*$AC$24+P263*$AC$25+Q263*$AC$26+R263*$AC$27+S263*$AC$28+T263*$AC$29+U263*$AC$30</f>
        <v/>
      </c>
      <c r="W263" s="8">
        <f>1/(1+EXP(-V263))</f>
        <v/>
      </c>
      <c r="X263" s="9">
        <f>-IF(C263=1,LN(W263),LN(1-W263))</f>
        <v/>
      </c>
      <c r="Y263" s="10">
        <f>IF(W263&gt;$AC$33,1,0)</f>
        <v/>
      </c>
      <c r="Z263">
        <f>IF(Y263=C263,1,0)</f>
        <v/>
      </c>
    </row>
    <row r="264">
      <c r="A264">
        <f>'1 prepared data'!A257</f>
        <v/>
      </c>
      <c r="B264" s="5">
        <f>'1 prepared data'!U257</f>
        <v/>
      </c>
      <c r="C264">
        <f>'1 prepared data'!B257</f>
        <v/>
      </c>
      <c r="D264" s="7">
        <f>'1 prepared data'!C257</f>
        <v/>
      </c>
      <c r="E264" s="7">
        <f>'1 prepared data'!D257</f>
        <v/>
      </c>
      <c r="F264" s="7">
        <f>'1 prepared data'!E257</f>
        <v/>
      </c>
      <c r="G264" s="7">
        <f>'1 prepared data'!F257</f>
        <v/>
      </c>
      <c r="H264" s="7">
        <f>'1 prepared data'!G257</f>
        <v/>
      </c>
      <c r="I264" s="7">
        <f>'1 prepared data'!H257</f>
        <v/>
      </c>
      <c r="J264" s="7">
        <f>'1 prepared data'!I257</f>
        <v/>
      </c>
      <c r="K264" s="7">
        <f>'1 prepared data'!J257</f>
        <v/>
      </c>
      <c r="L264" s="7">
        <f>'1 prepared data'!K257</f>
        <v/>
      </c>
      <c r="M264" s="7">
        <f>'1 prepared data'!L257</f>
        <v/>
      </c>
      <c r="N264" s="7">
        <f>'1 prepared data'!M257</f>
        <v/>
      </c>
      <c r="O264" s="7">
        <f>'1 prepared data'!N257</f>
        <v/>
      </c>
      <c r="P264" s="7">
        <f>'1 prepared data'!O257</f>
        <v/>
      </c>
      <c r="Q264" s="7">
        <f>'1 prepared data'!P257</f>
        <v/>
      </c>
      <c r="R264" s="7">
        <f>'1 prepared data'!Q257</f>
        <v/>
      </c>
      <c r="S264" s="7">
        <f>'1 prepared data'!R257</f>
        <v/>
      </c>
      <c r="T264" s="7">
        <f>'1 prepared data'!S257</f>
        <v/>
      </c>
      <c r="U264" s="7">
        <f>'1 prepared data'!T257</f>
        <v/>
      </c>
      <c r="V264" s="8">
        <f>$AC$12+D264*$AC$13+E264*$AC$14+F264*$AC$15+G264*$AC$16+H264*$AC$17+I264*$AC$18+J264*$AC$19+K264*$AC$20+L264*$AC$21+M264*$AC$22+N264*$AC$23+O264*$AC$24+P264*$AC$25+Q264*$AC$26+R264*$AC$27+S264*$AC$28+T264*$AC$29+U264*$AC$30</f>
        <v/>
      </c>
      <c r="W264" s="8">
        <f>1/(1+EXP(-V264))</f>
        <v/>
      </c>
      <c r="X264" s="9">
        <f>-IF(C264=1,LN(W264),LN(1-W264))</f>
        <v/>
      </c>
      <c r="Y264" s="10">
        <f>IF(W264&gt;$AC$33,1,0)</f>
        <v/>
      </c>
      <c r="Z264">
        <f>IF(Y264=C264,1,0)</f>
        <v/>
      </c>
    </row>
    <row r="265">
      <c r="A265">
        <f>'1 prepared data'!A258</f>
        <v/>
      </c>
      <c r="B265" s="5">
        <f>'1 prepared data'!U258</f>
        <v/>
      </c>
      <c r="C265">
        <f>'1 prepared data'!B258</f>
        <v/>
      </c>
      <c r="D265" s="7">
        <f>'1 prepared data'!C258</f>
        <v/>
      </c>
      <c r="E265" s="7">
        <f>'1 prepared data'!D258</f>
        <v/>
      </c>
      <c r="F265" s="7">
        <f>'1 prepared data'!E258</f>
        <v/>
      </c>
      <c r="G265" s="7">
        <f>'1 prepared data'!F258</f>
        <v/>
      </c>
      <c r="H265" s="7">
        <f>'1 prepared data'!G258</f>
        <v/>
      </c>
      <c r="I265" s="7">
        <f>'1 prepared data'!H258</f>
        <v/>
      </c>
      <c r="J265" s="7">
        <f>'1 prepared data'!I258</f>
        <v/>
      </c>
      <c r="K265" s="7">
        <f>'1 prepared data'!J258</f>
        <v/>
      </c>
      <c r="L265" s="7">
        <f>'1 prepared data'!K258</f>
        <v/>
      </c>
      <c r="M265" s="7">
        <f>'1 prepared data'!L258</f>
        <v/>
      </c>
      <c r="N265" s="7">
        <f>'1 prepared data'!M258</f>
        <v/>
      </c>
      <c r="O265" s="7">
        <f>'1 prepared data'!N258</f>
        <v/>
      </c>
      <c r="P265" s="7">
        <f>'1 prepared data'!O258</f>
        <v/>
      </c>
      <c r="Q265" s="7">
        <f>'1 prepared data'!P258</f>
        <v/>
      </c>
      <c r="R265" s="7">
        <f>'1 prepared data'!Q258</f>
        <v/>
      </c>
      <c r="S265" s="7">
        <f>'1 prepared data'!R258</f>
        <v/>
      </c>
      <c r="T265" s="7">
        <f>'1 prepared data'!S258</f>
        <v/>
      </c>
      <c r="U265" s="7">
        <f>'1 prepared data'!T258</f>
        <v/>
      </c>
      <c r="V265" s="8">
        <f>$AC$12+D265*$AC$13+E265*$AC$14+F265*$AC$15+G265*$AC$16+H265*$AC$17+I265*$AC$18+J265*$AC$19+K265*$AC$20+L265*$AC$21+M265*$AC$22+N265*$AC$23+O265*$AC$24+P265*$AC$25+Q265*$AC$26+R265*$AC$27+S265*$AC$28+T265*$AC$29+U265*$AC$30</f>
        <v/>
      </c>
      <c r="W265" s="8">
        <f>1/(1+EXP(-V265))</f>
        <v/>
      </c>
      <c r="X265" s="9">
        <f>-IF(C265=1,LN(W265),LN(1-W265))</f>
        <v/>
      </c>
      <c r="Y265" s="10">
        <f>IF(W265&gt;$AC$33,1,0)</f>
        <v/>
      </c>
      <c r="Z265">
        <f>IF(Y265=C265,1,0)</f>
        <v/>
      </c>
    </row>
    <row r="266">
      <c r="A266">
        <f>'1 prepared data'!A259</f>
        <v/>
      </c>
      <c r="B266" s="5">
        <f>'1 prepared data'!U259</f>
        <v/>
      </c>
      <c r="C266">
        <f>'1 prepared data'!B259</f>
        <v/>
      </c>
      <c r="D266" s="7">
        <f>'1 prepared data'!C259</f>
        <v/>
      </c>
      <c r="E266" s="7">
        <f>'1 prepared data'!D259</f>
        <v/>
      </c>
      <c r="F266" s="7">
        <f>'1 prepared data'!E259</f>
        <v/>
      </c>
      <c r="G266" s="7">
        <f>'1 prepared data'!F259</f>
        <v/>
      </c>
      <c r="H266" s="7">
        <f>'1 prepared data'!G259</f>
        <v/>
      </c>
      <c r="I266" s="7">
        <f>'1 prepared data'!H259</f>
        <v/>
      </c>
      <c r="J266" s="7">
        <f>'1 prepared data'!I259</f>
        <v/>
      </c>
      <c r="K266" s="7">
        <f>'1 prepared data'!J259</f>
        <v/>
      </c>
      <c r="L266" s="7">
        <f>'1 prepared data'!K259</f>
        <v/>
      </c>
      <c r="M266" s="7">
        <f>'1 prepared data'!L259</f>
        <v/>
      </c>
      <c r="N266" s="7">
        <f>'1 prepared data'!M259</f>
        <v/>
      </c>
      <c r="O266" s="7">
        <f>'1 prepared data'!N259</f>
        <v/>
      </c>
      <c r="P266" s="7">
        <f>'1 prepared data'!O259</f>
        <v/>
      </c>
      <c r="Q266" s="7">
        <f>'1 prepared data'!P259</f>
        <v/>
      </c>
      <c r="R266" s="7">
        <f>'1 prepared data'!Q259</f>
        <v/>
      </c>
      <c r="S266" s="7">
        <f>'1 prepared data'!R259</f>
        <v/>
      </c>
      <c r="T266" s="7">
        <f>'1 prepared data'!S259</f>
        <v/>
      </c>
      <c r="U266" s="7">
        <f>'1 prepared data'!T259</f>
        <v/>
      </c>
      <c r="V266" s="8">
        <f>$AC$12+D266*$AC$13+E266*$AC$14+F266*$AC$15+G266*$AC$16+H266*$AC$17+I266*$AC$18+J266*$AC$19+K266*$AC$20+L266*$AC$21+M266*$AC$22+N266*$AC$23+O266*$AC$24+P266*$AC$25+Q266*$AC$26+R266*$AC$27+S266*$AC$28+T266*$AC$29+U266*$AC$30</f>
        <v/>
      </c>
      <c r="W266" s="8">
        <f>1/(1+EXP(-V266))</f>
        <v/>
      </c>
      <c r="X266" s="9">
        <f>-IF(C266=1,LN(W266),LN(1-W266))</f>
        <v/>
      </c>
      <c r="Y266" s="10">
        <f>IF(W266&gt;$AC$33,1,0)</f>
        <v/>
      </c>
      <c r="Z266">
        <f>IF(Y266=C266,1,0)</f>
        <v/>
      </c>
    </row>
    <row r="267">
      <c r="A267">
        <f>'1 prepared data'!A260</f>
        <v/>
      </c>
      <c r="B267" s="5">
        <f>'1 prepared data'!U260</f>
        <v/>
      </c>
      <c r="C267">
        <f>'1 prepared data'!B260</f>
        <v/>
      </c>
      <c r="D267" s="7">
        <f>'1 prepared data'!C260</f>
        <v/>
      </c>
      <c r="E267" s="7">
        <f>'1 prepared data'!D260</f>
        <v/>
      </c>
      <c r="F267" s="7">
        <f>'1 prepared data'!E260</f>
        <v/>
      </c>
      <c r="G267" s="7">
        <f>'1 prepared data'!F260</f>
        <v/>
      </c>
      <c r="H267" s="7">
        <f>'1 prepared data'!G260</f>
        <v/>
      </c>
      <c r="I267" s="7">
        <f>'1 prepared data'!H260</f>
        <v/>
      </c>
      <c r="J267" s="7">
        <f>'1 prepared data'!I260</f>
        <v/>
      </c>
      <c r="K267" s="7">
        <f>'1 prepared data'!J260</f>
        <v/>
      </c>
      <c r="L267" s="7">
        <f>'1 prepared data'!K260</f>
        <v/>
      </c>
      <c r="M267" s="7">
        <f>'1 prepared data'!L260</f>
        <v/>
      </c>
      <c r="N267" s="7">
        <f>'1 prepared data'!M260</f>
        <v/>
      </c>
      <c r="O267" s="7">
        <f>'1 prepared data'!N260</f>
        <v/>
      </c>
      <c r="P267" s="7">
        <f>'1 prepared data'!O260</f>
        <v/>
      </c>
      <c r="Q267" s="7">
        <f>'1 prepared data'!P260</f>
        <v/>
      </c>
      <c r="R267" s="7">
        <f>'1 prepared data'!Q260</f>
        <v/>
      </c>
      <c r="S267" s="7">
        <f>'1 prepared data'!R260</f>
        <v/>
      </c>
      <c r="T267" s="7">
        <f>'1 prepared data'!S260</f>
        <v/>
      </c>
      <c r="U267" s="7">
        <f>'1 prepared data'!T260</f>
        <v/>
      </c>
      <c r="V267" s="8">
        <f>$AC$12+D267*$AC$13+E267*$AC$14+F267*$AC$15+G267*$AC$16+H267*$AC$17+I267*$AC$18+J267*$AC$19+K267*$AC$20+L267*$AC$21+M267*$AC$22+N267*$AC$23+O267*$AC$24+P267*$AC$25+Q267*$AC$26+R267*$AC$27+S267*$AC$28+T267*$AC$29+U267*$AC$30</f>
        <v/>
      </c>
      <c r="W267" s="8">
        <f>1/(1+EXP(-V267))</f>
        <v/>
      </c>
      <c r="X267" s="9">
        <f>-IF(C267=1,LN(W267),LN(1-W267))</f>
        <v/>
      </c>
      <c r="Y267" s="10">
        <f>IF(W267&gt;$AC$33,1,0)</f>
        <v/>
      </c>
      <c r="Z267">
        <f>IF(Y267=C267,1,0)</f>
        <v/>
      </c>
    </row>
    <row r="268">
      <c r="A268">
        <f>'1 prepared data'!A261</f>
        <v/>
      </c>
      <c r="B268" s="5">
        <f>'1 prepared data'!U261</f>
        <v/>
      </c>
      <c r="C268">
        <f>'1 prepared data'!B261</f>
        <v/>
      </c>
      <c r="D268" s="7">
        <f>'1 prepared data'!C261</f>
        <v/>
      </c>
      <c r="E268" s="7">
        <f>'1 prepared data'!D261</f>
        <v/>
      </c>
      <c r="F268" s="7">
        <f>'1 prepared data'!E261</f>
        <v/>
      </c>
      <c r="G268" s="7">
        <f>'1 prepared data'!F261</f>
        <v/>
      </c>
      <c r="H268" s="7">
        <f>'1 prepared data'!G261</f>
        <v/>
      </c>
      <c r="I268" s="7">
        <f>'1 prepared data'!H261</f>
        <v/>
      </c>
      <c r="J268" s="7">
        <f>'1 prepared data'!I261</f>
        <v/>
      </c>
      <c r="K268" s="7">
        <f>'1 prepared data'!J261</f>
        <v/>
      </c>
      <c r="L268" s="7">
        <f>'1 prepared data'!K261</f>
        <v/>
      </c>
      <c r="M268" s="7">
        <f>'1 prepared data'!L261</f>
        <v/>
      </c>
      <c r="N268" s="7">
        <f>'1 prepared data'!M261</f>
        <v/>
      </c>
      <c r="O268" s="7">
        <f>'1 prepared data'!N261</f>
        <v/>
      </c>
      <c r="P268" s="7">
        <f>'1 prepared data'!O261</f>
        <v/>
      </c>
      <c r="Q268" s="7">
        <f>'1 prepared data'!P261</f>
        <v/>
      </c>
      <c r="R268" s="7">
        <f>'1 prepared data'!Q261</f>
        <v/>
      </c>
      <c r="S268" s="7">
        <f>'1 prepared data'!R261</f>
        <v/>
      </c>
      <c r="T268" s="7">
        <f>'1 prepared data'!S261</f>
        <v/>
      </c>
      <c r="U268" s="7">
        <f>'1 prepared data'!T261</f>
        <v/>
      </c>
      <c r="V268" s="8">
        <f>$AC$12+D268*$AC$13+E268*$AC$14+F268*$AC$15+G268*$AC$16+H268*$AC$17+I268*$AC$18+J268*$AC$19+K268*$AC$20+L268*$AC$21+M268*$AC$22+N268*$AC$23+O268*$AC$24+P268*$AC$25+Q268*$AC$26+R268*$AC$27+S268*$AC$28+T268*$AC$29+U268*$AC$30</f>
        <v/>
      </c>
      <c r="W268" s="8">
        <f>1/(1+EXP(-V268))</f>
        <v/>
      </c>
      <c r="X268" s="9">
        <f>-IF(C268=1,LN(W268),LN(1-W268))</f>
        <v/>
      </c>
      <c r="Y268" s="10">
        <f>IF(W268&gt;$AC$33,1,0)</f>
        <v/>
      </c>
      <c r="Z268">
        <f>IF(Y268=C268,1,0)</f>
        <v/>
      </c>
    </row>
    <row r="269">
      <c r="A269">
        <f>'1 prepared data'!A262</f>
        <v/>
      </c>
      <c r="B269" s="5">
        <f>'1 prepared data'!U262</f>
        <v/>
      </c>
      <c r="C269">
        <f>'1 prepared data'!B262</f>
        <v/>
      </c>
      <c r="D269" s="7">
        <f>'1 prepared data'!C262</f>
        <v/>
      </c>
      <c r="E269" s="7">
        <f>'1 prepared data'!D262</f>
        <v/>
      </c>
      <c r="F269" s="7">
        <f>'1 prepared data'!E262</f>
        <v/>
      </c>
      <c r="G269" s="7">
        <f>'1 prepared data'!F262</f>
        <v/>
      </c>
      <c r="H269" s="7">
        <f>'1 prepared data'!G262</f>
        <v/>
      </c>
      <c r="I269" s="7">
        <f>'1 prepared data'!H262</f>
        <v/>
      </c>
      <c r="J269" s="7">
        <f>'1 prepared data'!I262</f>
        <v/>
      </c>
      <c r="K269" s="7">
        <f>'1 prepared data'!J262</f>
        <v/>
      </c>
      <c r="L269" s="7">
        <f>'1 prepared data'!K262</f>
        <v/>
      </c>
      <c r="M269" s="7">
        <f>'1 prepared data'!L262</f>
        <v/>
      </c>
      <c r="N269" s="7">
        <f>'1 prepared data'!M262</f>
        <v/>
      </c>
      <c r="O269" s="7">
        <f>'1 prepared data'!N262</f>
        <v/>
      </c>
      <c r="P269" s="7">
        <f>'1 prepared data'!O262</f>
        <v/>
      </c>
      <c r="Q269" s="7">
        <f>'1 prepared data'!P262</f>
        <v/>
      </c>
      <c r="R269" s="7">
        <f>'1 prepared data'!Q262</f>
        <v/>
      </c>
      <c r="S269" s="7">
        <f>'1 prepared data'!R262</f>
        <v/>
      </c>
      <c r="T269" s="7">
        <f>'1 prepared data'!S262</f>
        <v/>
      </c>
      <c r="U269" s="7">
        <f>'1 prepared data'!T262</f>
        <v/>
      </c>
      <c r="V269" s="8">
        <f>$AC$12+D269*$AC$13+E269*$AC$14+F269*$AC$15+G269*$AC$16+H269*$AC$17+I269*$AC$18+J269*$AC$19+K269*$AC$20+L269*$AC$21+M269*$AC$22+N269*$AC$23+O269*$AC$24+P269*$AC$25+Q269*$AC$26+R269*$AC$27+S269*$AC$28+T269*$AC$29+U269*$AC$30</f>
        <v/>
      </c>
      <c r="W269" s="8">
        <f>1/(1+EXP(-V269))</f>
        <v/>
      </c>
      <c r="X269" s="9">
        <f>-IF(C269=1,LN(W269),LN(1-W269))</f>
        <v/>
      </c>
      <c r="Y269" s="10">
        <f>IF(W269&gt;$AC$33,1,0)</f>
        <v/>
      </c>
      <c r="Z269">
        <f>IF(Y269=C269,1,0)</f>
        <v/>
      </c>
    </row>
    <row r="270">
      <c r="A270">
        <f>'1 prepared data'!A263</f>
        <v/>
      </c>
      <c r="B270" s="5">
        <f>'1 prepared data'!U263</f>
        <v/>
      </c>
      <c r="C270">
        <f>'1 prepared data'!B263</f>
        <v/>
      </c>
      <c r="D270" s="7">
        <f>'1 prepared data'!C263</f>
        <v/>
      </c>
      <c r="E270" s="7">
        <f>'1 prepared data'!D263</f>
        <v/>
      </c>
      <c r="F270" s="7">
        <f>'1 prepared data'!E263</f>
        <v/>
      </c>
      <c r="G270" s="7">
        <f>'1 prepared data'!F263</f>
        <v/>
      </c>
      <c r="H270" s="7">
        <f>'1 prepared data'!G263</f>
        <v/>
      </c>
      <c r="I270" s="7">
        <f>'1 prepared data'!H263</f>
        <v/>
      </c>
      <c r="J270" s="7">
        <f>'1 prepared data'!I263</f>
        <v/>
      </c>
      <c r="K270" s="7">
        <f>'1 prepared data'!J263</f>
        <v/>
      </c>
      <c r="L270" s="7">
        <f>'1 prepared data'!K263</f>
        <v/>
      </c>
      <c r="M270" s="7">
        <f>'1 prepared data'!L263</f>
        <v/>
      </c>
      <c r="N270" s="7">
        <f>'1 prepared data'!M263</f>
        <v/>
      </c>
      <c r="O270" s="7">
        <f>'1 prepared data'!N263</f>
        <v/>
      </c>
      <c r="P270" s="7">
        <f>'1 prepared data'!O263</f>
        <v/>
      </c>
      <c r="Q270" s="7">
        <f>'1 prepared data'!P263</f>
        <v/>
      </c>
      <c r="R270" s="7">
        <f>'1 prepared data'!Q263</f>
        <v/>
      </c>
      <c r="S270" s="7">
        <f>'1 prepared data'!R263</f>
        <v/>
      </c>
      <c r="T270" s="7">
        <f>'1 prepared data'!S263</f>
        <v/>
      </c>
      <c r="U270" s="7">
        <f>'1 prepared data'!T263</f>
        <v/>
      </c>
      <c r="V270" s="8">
        <f>$AC$12+D270*$AC$13+E270*$AC$14+F270*$AC$15+G270*$AC$16+H270*$AC$17+I270*$AC$18+J270*$AC$19+K270*$AC$20+L270*$AC$21+M270*$AC$22+N270*$AC$23+O270*$AC$24+P270*$AC$25+Q270*$AC$26+R270*$AC$27+S270*$AC$28+T270*$AC$29+U270*$AC$30</f>
        <v/>
      </c>
      <c r="W270" s="8">
        <f>1/(1+EXP(-V270))</f>
        <v/>
      </c>
      <c r="X270" s="9">
        <f>-IF(C270=1,LN(W270),LN(1-W270))</f>
        <v/>
      </c>
      <c r="Y270" s="10">
        <f>IF(W270&gt;$AC$33,1,0)</f>
        <v/>
      </c>
      <c r="Z270">
        <f>IF(Y270=C270,1,0)</f>
        <v/>
      </c>
    </row>
    <row r="271">
      <c r="A271">
        <f>'1 prepared data'!A264</f>
        <v/>
      </c>
      <c r="B271" s="5">
        <f>'1 prepared data'!U264</f>
        <v/>
      </c>
      <c r="C271">
        <f>'1 prepared data'!B264</f>
        <v/>
      </c>
      <c r="D271" s="7">
        <f>'1 prepared data'!C264</f>
        <v/>
      </c>
      <c r="E271" s="7">
        <f>'1 prepared data'!D264</f>
        <v/>
      </c>
      <c r="F271" s="7">
        <f>'1 prepared data'!E264</f>
        <v/>
      </c>
      <c r="G271" s="7">
        <f>'1 prepared data'!F264</f>
        <v/>
      </c>
      <c r="H271" s="7">
        <f>'1 prepared data'!G264</f>
        <v/>
      </c>
      <c r="I271" s="7">
        <f>'1 prepared data'!H264</f>
        <v/>
      </c>
      <c r="J271" s="7">
        <f>'1 prepared data'!I264</f>
        <v/>
      </c>
      <c r="K271" s="7">
        <f>'1 prepared data'!J264</f>
        <v/>
      </c>
      <c r="L271" s="7">
        <f>'1 prepared data'!K264</f>
        <v/>
      </c>
      <c r="M271" s="7">
        <f>'1 prepared data'!L264</f>
        <v/>
      </c>
      <c r="N271" s="7">
        <f>'1 prepared data'!M264</f>
        <v/>
      </c>
      <c r="O271" s="7">
        <f>'1 prepared data'!N264</f>
        <v/>
      </c>
      <c r="P271" s="7">
        <f>'1 prepared data'!O264</f>
        <v/>
      </c>
      <c r="Q271" s="7">
        <f>'1 prepared data'!P264</f>
        <v/>
      </c>
      <c r="R271" s="7">
        <f>'1 prepared data'!Q264</f>
        <v/>
      </c>
      <c r="S271" s="7">
        <f>'1 prepared data'!R264</f>
        <v/>
      </c>
      <c r="T271" s="7">
        <f>'1 prepared data'!S264</f>
        <v/>
      </c>
      <c r="U271" s="7">
        <f>'1 prepared data'!T264</f>
        <v/>
      </c>
      <c r="V271" s="8">
        <f>$AC$12+D271*$AC$13+E271*$AC$14+F271*$AC$15+G271*$AC$16+H271*$AC$17+I271*$AC$18+J271*$AC$19+K271*$AC$20+L271*$AC$21+M271*$AC$22+N271*$AC$23+O271*$AC$24+P271*$AC$25+Q271*$AC$26+R271*$AC$27+S271*$AC$28+T271*$AC$29+U271*$AC$30</f>
        <v/>
      </c>
      <c r="W271" s="8">
        <f>1/(1+EXP(-V271))</f>
        <v/>
      </c>
      <c r="X271" s="9">
        <f>-IF(C271=1,LN(W271),LN(1-W271))</f>
        <v/>
      </c>
      <c r="Y271" s="10">
        <f>IF(W271&gt;$AC$33,1,0)</f>
        <v/>
      </c>
      <c r="Z271">
        <f>IF(Y271=C271,1,0)</f>
        <v/>
      </c>
    </row>
    <row r="272">
      <c r="A272">
        <f>'1 prepared data'!A265</f>
        <v/>
      </c>
      <c r="B272" s="5">
        <f>'1 prepared data'!U265</f>
        <v/>
      </c>
      <c r="C272">
        <f>'1 prepared data'!B265</f>
        <v/>
      </c>
      <c r="D272" s="7">
        <f>'1 prepared data'!C265</f>
        <v/>
      </c>
      <c r="E272" s="7">
        <f>'1 prepared data'!D265</f>
        <v/>
      </c>
      <c r="F272" s="7">
        <f>'1 prepared data'!E265</f>
        <v/>
      </c>
      <c r="G272" s="7">
        <f>'1 prepared data'!F265</f>
        <v/>
      </c>
      <c r="H272" s="7">
        <f>'1 prepared data'!G265</f>
        <v/>
      </c>
      <c r="I272" s="7">
        <f>'1 prepared data'!H265</f>
        <v/>
      </c>
      <c r="J272" s="7">
        <f>'1 prepared data'!I265</f>
        <v/>
      </c>
      <c r="K272" s="7">
        <f>'1 prepared data'!J265</f>
        <v/>
      </c>
      <c r="L272" s="7">
        <f>'1 prepared data'!K265</f>
        <v/>
      </c>
      <c r="M272" s="7">
        <f>'1 prepared data'!L265</f>
        <v/>
      </c>
      <c r="N272" s="7">
        <f>'1 prepared data'!M265</f>
        <v/>
      </c>
      <c r="O272" s="7">
        <f>'1 prepared data'!N265</f>
        <v/>
      </c>
      <c r="P272" s="7">
        <f>'1 prepared data'!O265</f>
        <v/>
      </c>
      <c r="Q272" s="7">
        <f>'1 prepared data'!P265</f>
        <v/>
      </c>
      <c r="R272" s="7">
        <f>'1 prepared data'!Q265</f>
        <v/>
      </c>
      <c r="S272" s="7">
        <f>'1 prepared data'!R265</f>
        <v/>
      </c>
      <c r="T272" s="7">
        <f>'1 prepared data'!S265</f>
        <v/>
      </c>
      <c r="U272" s="7">
        <f>'1 prepared data'!T265</f>
        <v/>
      </c>
      <c r="V272" s="8">
        <f>$AC$12+D272*$AC$13+E272*$AC$14+F272*$AC$15+G272*$AC$16+H272*$AC$17+I272*$AC$18+J272*$AC$19+K272*$AC$20+L272*$AC$21+M272*$AC$22+N272*$AC$23+O272*$AC$24+P272*$AC$25+Q272*$AC$26+R272*$AC$27+S272*$AC$28+T272*$AC$29+U272*$AC$30</f>
        <v/>
      </c>
      <c r="W272" s="8">
        <f>1/(1+EXP(-V272))</f>
        <v/>
      </c>
      <c r="X272" s="9">
        <f>-IF(C272=1,LN(W272),LN(1-W272))</f>
        <v/>
      </c>
      <c r="Y272" s="10">
        <f>IF(W272&gt;$AC$33,1,0)</f>
        <v/>
      </c>
      <c r="Z272">
        <f>IF(Y272=C272,1,0)</f>
        <v/>
      </c>
    </row>
    <row r="273">
      <c r="A273">
        <f>'1 prepared data'!A266</f>
        <v/>
      </c>
      <c r="B273" s="5">
        <f>'1 prepared data'!U266</f>
        <v/>
      </c>
      <c r="C273">
        <f>'1 prepared data'!B266</f>
        <v/>
      </c>
      <c r="D273" s="7">
        <f>'1 prepared data'!C266</f>
        <v/>
      </c>
      <c r="E273" s="7">
        <f>'1 prepared data'!D266</f>
        <v/>
      </c>
      <c r="F273" s="7">
        <f>'1 prepared data'!E266</f>
        <v/>
      </c>
      <c r="G273" s="7">
        <f>'1 prepared data'!F266</f>
        <v/>
      </c>
      <c r="H273" s="7">
        <f>'1 prepared data'!G266</f>
        <v/>
      </c>
      <c r="I273" s="7">
        <f>'1 prepared data'!H266</f>
        <v/>
      </c>
      <c r="J273" s="7">
        <f>'1 prepared data'!I266</f>
        <v/>
      </c>
      <c r="K273" s="7">
        <f>'1 prepared data'!J266</f>
        <v/>
      </c>
      <c r="L273" s="7">
        <f>'1 prepared data'!K266</f>
        <v/>
      </c>
      <c r="M273" s="7">
        <f>'1 prepared data'!L266</f>
        <v/>
      </c>
      <c r="N273" s="7">
        <f>'1 prepared data'!M266</f>
        <v/>
      </c>
      <c r="O273" s="7">
        <f>'1 prepared data'!N266</f>
        <v/>
      </c>
      <c r="P273" s="7">
        <f>'1 prepared data'!O266</f>
        <v/>
      </c>
      <c r="Q273" s="7">
        <f>'1 prepared data'!P266</f>
        <v/>
      </c>
      <c r="R273" s="7">
        <f>'1 prepared data'!Q266</f>
        <v/>
      </c>
      <c r="S273" s="7">
        <f>'1 prepared data'!R266</f>
        <v/>
      </c>
      <c r="T273" s="7">
        <f>'1 prepared data'!S266</f>
        <v/>
      </c>
      <c r="U273" s="7">
        <f>'1 prepared data'!T266</f>
        <v/>
      </c>
      <c r="V273" s="8">
        <f>$AC$12+D273*$AC$13+E273*$AC$14+F273*$AC$15+G273*$AC$16+H273*$AC$17+I273*$AC$18+J273*$AC$19+K273*$AC$20+L273*$AC$21+M273*$AC$22+N273*$AC$23+O273*$AC$24+P273*$AC$25+Q273*$AC$26+R273*$AC$27+S273*$AC$28+T273*$AC$29+U273*$AC$30</f>
        <v/>
      </c>
      <c r="W273" s="8">
        <f>1/(1+EXP(-V273))</f>
        <v/>
      </c>
      <c r="X273" s="9">
        <f>-IF(C273=1,LN(W273),LN(1-W273))</f>
        <v/>
      </c>
      <c r="Y273" s="10">
        <f>IF(W273&gt;$AC$33,1,0)</f>
        <v/>
      </c>
      <c r="Z273">
        <f>IF(Y273=C273,1,0)</f>
        <v/>
      </c>
    </row>
    <row r="274">
      <c r="A274">
        <f>'1 prepared data'!A267</f>
        <v/>
      </c>
      <c r="B274" s="5">
        <f>'1 prepared data'!U267</f>
        <v/>
      </c>
      <c r="C274">
        <f>'1 prepared data'!B267</f>
        <v/>
      </c>
      <c r="D274" s="7">
        <f>'1 prepared data'!C267</f>
        <v/>
      </c>
      <c r="E274" s="7">
        <f>'1 prepared data'!D267</f>
        <v/>
      </c>
      <c r="F274" s="7">
        <f>'1 prepared data'!E267</f>
        <v/>
      </c>
      <c r="G274" s="7">
        <f>'1 prepared data'!F267</f>
        <v/>
      </c>
      <c r="H274" s="7">
        <f>'1 prepared data'!G267</f>
        <v/>
      </c>
      <c r="I274" s="7">
        <f>'1 prepared data'!H267</f>
        <v/>
      </c>
      <c r="J274" s="7">
        <f>'1 prepared data'!I267</f>
        <v/>
      </c>
      <c r="K274" s="7">
        <f>'1 prepared data'!J267</f>
        <v/>
      </c>
      <c r="L274" s="7">
        <f>'1 prepared data'!K267</f>
        <v/>
      </c>
      <c r="M274" s="7">
        <f>'1 prepared data'!L267</f>
        <v/>
      </c>
      <c r="N274" s="7">
        <f>'1 prepared data'!M267</f>
        <v/>
      </c>
      <c r="O274" s="7">
        <f>'1 prepared data'!N267</f>
        <v/>
      </c>
      <c r="P274" s="7">
        <f>'1 prepared data'!O267</f>
        <v/>
      </c>
      <c r="Q274" s="7">
        <f>'1 prepared data'!P267</f>
        <v/>
      </c>
      <c r="R274" s="7">
        <f>'1 prepared data'!Q267</f>
        <v/>
      </c>
      <c r="S274" s="7">
        <f>'1 prepared data'!R267</f>
        <v/>
      </c>
      <c r="T274" s="7">
        <f>'1 prepared data'!S267</f>
        <v/>
      </c>
      <c r="U274" s="7">
        <f>'1 prepared data'!T267</f>
        <v/>
      </c>
      <c r="V274" s="8">
        <f>$AC$12+D274*$AC$13+E274*$AC$14+F274*$AC$15+G274*$AC$16+H274*$AC$17+I274*$AC$18+J274*$AC$19+K274*$AC$20+L274*$AC$21+M274*$AC$22+N274*$AC$23+O274*$AC$24+P274*$AC$25+Q274*$AC$26+R274*$AC$27+S274*$AC$28+T274*$AC$29+U274*$AC$30</f>
        <v/>
      </c>
      <c r="W274" s="8">
        <f>1/(1+EXP(-V274))</f>
        <v/>
      </c>
      <c r="X274" s="9">
        <f>-IF(C274=1,LN(W274),LN(1-W274))</f>
        <v/>
      </c>
      <c r="Y274" s="10">
        <f>IF(W274&gt;$AC$33,1,0)</f>
        <v/>
      </c>
      <c r="Z274">
        <f>IF(Y274=C274,1,0)</f>
        <v/>
      </c>
    </row>
    <row r="275">
      <c r="A275">
        <f>'1 prepared data'!A268</f>
        <v/>
      </c>
      <c r="B275" s="5">
        <f>'1 prepared data'!U268</f>
        <v/>
      </c>
      <c r="C275">
        <f>'1 prepared data'!B268</f>
        <v/>
      </c>
      <c r="D275" s="7">
        <f>'1 prepared data'!C268</f>
        <v/>
      </c>
      <c r="E275" s="7">
        <f>'1 prepared data'!D268</f>
        <v/>
      </c>
      <c r="F275" s="7">
        <f>'1 prepared data'!E268</f>
        <v/>
      </c>
      <c r="G275" s="7">
        <f>'1 prepared data'!F268</f>
        <v/>
      </c>
      <c r="H275" s="7">
        <f>'1 prepared data'!G268</f>
        <v/>
      </c>
      <c r="I275" s="7">
        <f>'1 prepared data'!H268</f>
        <v/>
      </c>
      <c r="J275" s="7">
        <f>'1 prepared data'!I268</f>
        <v/>
      </c>
      <c r="K275" s="7">
        <f>'1 prepared data'!J268</f>
        <v/>
      </c>
      <c r="L275" s="7">
        <f>'1 prepared data'!K268</f>
        <v/>
      </c>
      <c r="M275" s="7">
        <f>'1 prepared data'!L268</f>
        <v/>
      </c>
      <c r="N275" s="7">
        <f>'1 prepared data'!M268</f>
        <v/>
      </c>
      <c r="O275" s="7">
        <f>'1 prepared data'!N268</f>
        <v/>
      </c>
      <c r="P275" s="7">
        <f>'1 prepared data'!O268</f>
        <v/>
      </c>
      <c r="Q275" s="7">
        <f>'1 prepared data'!P268</f>
        <v/>
      </c>
      <c r="R275" s="7">
        <f>'1 prepared data'!Q268</f>
        <v/>
      </c>
      <c r="S275" s="7">
        <f>'1 prepared data'!R268</f>
        <v/>
      </c>
      <c r="T275" s="7">
        <f>'1 prepared data'!S268</f>
        <v/>
      </c>
      <c r="U275" s="7">
        <f>'1 prepared data'!T268</f>
        <v/>
      </c>
      <c r="V275" s="8">
        <f>$AC$12+D275*$AC$13+E275*$AC$14+F275*$AC$15+G275*$AC$16+H275*$AC$17+I275*$AC$18+J275*$AC$19+K275*$AC$20+L275*$AC$21+M275*$AC$22+N275*$AC$23+O275*$AC$24+P275*$AC$25+Q275*$AC$26+R275*$AC$27+S275*$AC$28+T275*$AC$29+U275*$AC$30</f>
        <v/>
      </c>
      <c r="W275" s="8">
        <f>1/(1+EXP(-V275))</f>
        <v/>
      </c>
      <c r="X275" s="9">
        <f>-IF(C275=1,LN(W275),LN(1-W275))</f>
        <v/>
      </c>
      <c r="Y275" s="10">
        <f>IF(W275&gt;$AC$33,1,0)</f>
        <v/>
      </c>
      <c r="Z275">
        <f>IF(Y275=C275,1,0)</f>
        <v/>
      </c>
    </row>
    <row r="276">
      <c r="A276">
        <f>'1 prepared data'!A269</f>
        <v/>
      </c>
      <c r="B276" s="5">
        <f>'1 prepared data'!U269</f>
        <v/>
      </c>
      <c r="C276">
        <f>'1 prepared data'!B269</f>
        <v/>
      </c>
      <c r="D276" s="7">
        <f>'1 prepared data'!C269</f>
        <v/>
      </c>
      <c r="E276" s="7">
        <f>'1 prepared data'!D269</f>
        <v/>
      </c>
      <c r="F276" s="7">
        <f>'1 prepared data'!E269</f>
        <v/>
      </c>
      <c r="G276" s="7">
        <f>'1 prepared data'!F269</f>
        <v/>
      </c>
      <c r="H276" s="7">
        <f>'1 prepared data'!G269</f>
        <v/>
      </c>
      <c r="I276" s="7">
        <f>'1 prepared data'!H269</f>
        <v/>
      </c>
      <c r="J276" s="7">
        <f>'1 prepared data'!I269</f>
        <v/>
      </c>
      <c r="K276" s="7">
        <f>'1 prepared data'!J269</f>
        <v/>
      </c>
      <c r="L276" s="7">
        <f>'1 prepared data'!K269</f>
        <v/>
      </c>
      <c r="M276" s="7">
        <f>'1 prepared data'!L269</f>
        <v/>
      </c>
      <c r="N276" s="7">
        <f>'1 prepared data'!M269</f>
        <v/>
      </c>
      <c r="O276" s="7">
        <f>'1 prepared data'!N269</f>
        <v/>
      </c>
      <c r="P276" s="7">
        <f>'1 prepared data'!O269</f>
        <v/>
      </c>
      <c r="Q276" s="7">
        <f>'1 prepared data'!P269</f>
        <v/>
      </c>
      <c r="R276" s="7">
        <f>'1 prepared data'!Q269</f>
        <v/>
      </c>
      <c r="S276" s="7">
        <f>'1 prepared data'!R269</f>
        <v/>
      </c>
      <c r="T276" s="7">
        <f>'1 prepared data'!S269</f>
        <v/>
      </c>
      <c r="U276" s="7">
        <f>'1 prepared data'!T269</f>
        <v/>
      </c>
      <c r="V276" s="8">
        <f>$AC$12+D276*$AC$13+E276*$AC$14+F276*$AC$15+G276*$AC$16+H276*$AC$17+I276*$AC$18+J276*$AC$19+K276*$AC$20+L276*$AC$21+M276*$AC$22+N276*$AC$23+O276*$AC$24+P276*$AC$25+Q276*$AC$26+R276*$AC$27+S276*$AC$28+T276*$AC$29+U276*$AC$30</f>
        <v/>
      </c>
      <c r="W276" s="8">
        <f>1/(1+EXP(-V276))</f>
        <v/>
      </c>
      <c r="X276" s="9">
        <f>-IF(C276=1,LN(W276),LN(1-W276))</f>
        <v/>
      </c>
      <c r="Y276" s="10">
        <f>IF(W276&gt;$AC$33,1,0)</f>
        <v/>
      </c>
      <c r="Z276">
        <f>IF(Y276=C276,1,0)</f>
        <v/>
      </c>
    </row>
    <row r="277">
      <c r="A277">
        <f>'1 prepared data'!A270</f>
        <v/>
      </c>
      <c r="B277" s="5">
        <f>'1 prepared data'!U270</f>
        <v/>
      </c>
      <c r="C277">
        <f>'1 prepared data'!B270</f>
        <v/>
      </c>
      <c r="D277" s="7">
        <f>'1 prepared data'!C270</f>
        <v/>
      </c>
      <c r="E277" s="7">
        <f>'1 prepared data'!D270</f>
        <v/>
      </c>
      <c r="F277" s="7">
        <f>'1 prepared data'!E270</f>
        <v/>
      </c>
      <c r="G277" s="7">
        <f>'1 prepared data'!F270</f>
        <v/>
      </c>
      <c r="H277" s="7">
        <f>'1 prepared data'!G270</f>
        <v/>
      </c>
      <c r="I277" s="7">
        <f>'1 prepared data'!H270</f>
        <v/>
      </c>
      <c r="J277" s="7">
        <f>'1 prepared data'!I270</f>
        <v/>
      </c>
      <c r="K277" s="7">
        <f>'1 prepared data'!J270</f>
        <v/>
      </c>
      <c r="L277" s="7">
        <f>'1 prepared data'!K270</f>
        <v/>
      </c>
      <c r="M277" s="7">
        <f>'1 prepared data'!L270</f>
        <v/>
      </c>
      <c r="N277" s="7">
        <f>'1 prepared data'!M270</f>
        <v/>
      </c>
      <c r="O277" s="7">
        <f>'1 prepared data'!N270</f>
        <v/>
      </c>
      <c r="P277" s="7">
        <f>'1 prepared data'!O270</f>
        <v/>
      </c>
      <c r="Q277" s="7">
        <f>'1 prepared data'!P270</f>
        <v/>
      </c>
      <c r="R277" s="7">
        <f>'1 prepared data'!Q270</f>
        <v/>
      </c>
      <c r="S277" s="7">
        <f>'1 prepared data'!R270</f>
        <v/>
      </c>
      <c r="T277" s="7">
        <f>'1 prepared data'!S270</f>
        <v/>
      </c>
      <c r="U277" s="7">
        <f>'1 prepared data'!T270</f>
        <v/>
      </c>
      <c r="V277" s="8">
        <f>$AC$12+D277*$AC$13+E277*$AC$14+F277*$AC$15+G277*$AC$16+H277*$AC$17+I277*$AC$18+J277*$AC$19+K277*$AC$20+L277*$AC$21+M277*$AC$22+N277*$AC$23+O277*$AC$24+P277*$AC$25+Q277*$AC$26+R277*$AC$27+S277*$AC$28+T277*$AC$29+U277*$AC$30</f>
        <v/>
      </c>
      <c r="W277" s="8">
        <f>1/(1+EXP(-V277))</f>
        <v/>
      </c>
      <c r="X277" s="9">
        <f>-IF(C277=1,LN(W277),LN(1-W277))</f>
        <v/>
      </c>
      <c r="Y277" s="10">
        <f>IF(W277&gt;$AC$33,1,0)</f>
        <v/>
      </c>
      <c r="Z277">
        <f>IF(Y277=C277,1,0)</f>
        <v/>
      </c>
    </row>
    <row r="278">
      <c r="A278">
        <f>'1 prepared data'!A271</f>
        <v/>
      </c>
      <c r="B278" s="5">
        <f>'1 prepared data'!U271</f>
        <v/>
      </c>
      <c r="C278">
        <f>'1 prepared data'!B271</f>
        <v/>
      </c>
      <c r="D278" s="7">
        <f>'1 prepared data'!C271</f>
        <v/>
      </c>
      <c r="E278" s="7">
        <f>'1 prepared data'!D271</f>
        <v/>
      </c>
      <c r="F278" s="7">
        <f>'1 prepared data'!E271</f>
        <v/>
      </c>
      <c r="G278" s="7">
        <f>'1 prepared data'!F271</f>
        <v/>
      </c>
      <c r="H278" s="7">
        <f>'1 prepared data'!G271</f>
        <v/>
      </c>
      <c r="I278" s="7">
        <f>'1 prepared data'!H271</f>
        <v/>
      </c>
      <c r="J278" s="7">
        <f>'1 prepared data'!I271</f>
        <v/>
      </c>
      <c r="K278" s="7">
        <f>'1 prepared data'!J271</f>
        <v/>
      </c>
      <c r="L278" s="7">
        <f>'1 prepared data'!K271</f>
        <v/>
      </c>
      <c r="M278" s="7">
        <f>'1 prepared data'!L271</f>
        <v/>
      </c>
      <c r="N278" s="7">
        <f>'1 prepared data'!M271</f>
        <v/>
      </c>
      <c r="O278" s="7">
        <f>'1 prepared data'!N271</f>
        <v/>
      </c>
      <c r="P278" s="7">
        <f>'1 prepared data'!O271</f>
        <v/>
      </c>
      <c r="Q278" s="7">
        <f>'1 prepared data'!P271</f>
        <v/>
      </c>
      <c r="R278" s="7">
        <f>'1 prepared data'!Q271</f>
        <v/>
      </c>
      <c r="S278" s="7">
        <f>'1 prepared data'!R271</f>
        <v/>
      </c>
      <c r="T278" s="7">
        <f>'1 prepared data'!S271</f>
        <v/>
      </c>
      <c r="U278" s="7">
        <f>'1 prepared data'!T271</f>
        <v/>
      </c>
      <c r="V278" s="8">
        <f>$AC$12+D278*$AC$13+E278*$AC$14+F278*$AC$15+G278*$AC$16+H278*$AC$17+I278*$AC$18+J278*$AC$19+K278*$AC$20+L278*$AC$21+M278*$AC$22+N278*$AC$23+O278*$AC$24+P278*$AC$25+Q278*$AC$26+R278*$AC$27+S278*$AC$28+T278*$AC$29+U278*$AC$30</f>
        <v/>
      </c>
      <c r="W278" s="8">
        <f>1/(1+EXP(-V278))</f>
        <v/>
      </c>
      <c r="X278" s="9">
        <f>-IF(C278=1,LN(W278),LN(1-W278))</f>
        <v/>
      </c>
      <c r="Y278" s="10">
        <f>IF(W278&gt;$AC$33,1,0)</f>
        <v/>
      </c>
      <c r="Z278">
        <f>IF(Y278=C278,1,0)</f>
        <v/>
      </c>
    </row>
    <row r="279">
      <c r="A279">
        <f>'1 prepared data'!A272</f>
        <v/>
      </c>
      <c r="B279" s="5">
        <f>'1 prepared data'!U272</f>
        <v/>
      </c>
      <c r="C279">
        <f>'1 prepared data'!B272</f>
        <v/>
      </c>
      <c r="D279" s="7">
        <f>'1 prepared data'!C272</f>
        <v/>
      </c>
      <c r="E279" s="7">
        <f>'1 prepared data'!D272</f>
        <v/>
      </c>
      <c r="F279" s="7">
        <f>'1 prepared data'!E272</f>
        <v/>
      </c>
      <c r="G279" s="7">
        <f>'1 prepared data'!F272</f>
        <v/>
      </c>
      <c r="H279" s="7">
        <f>'1 prepared data'!G272</f>
        <v/>
      </c>
      <c r="I279" s="7">
        <f>'1 prepared data'!H272</f>
        <v/>
      </c>
      <c r="J279" s="7">
        <f>'1 prepared data'!I272</f>
        <v/>
      </c>
      <c r="K279" s="7">
        <f>'1 prepared data'!J272</f>
        <v/>
      </c>
      <c r="L279" s="7">
        <f>'1 prepared data'!K272</f>
        <v/>
      </c>
      <c r="M279" s="7">
        <f>'1 prepared data'!L272</f>
        <v/>
      </c>
      <c r="N279" s="7">
        <f>'1 prepared data'!M272</f>
        <v/>
      </c>
      <c r="O279" s="7">
        <f>'1 prepared data'!N272</f>
        <v/>
      </c>
      <c r="P279" s="7">
        <f>'1 prepared data'!O272</f>
        <v/>
      </c>
      <c r="Q279" s="7">
        <f>'1 prepared data'!P272</f>
        <v/>
      </c>
      <c r="R279" s="7">
        <f>'1 prepared data'!Q272</f>
        <v/>
      </c>
      <c r="S279" s="7">
        <f>'1 prepared data'!R272</f>
        <v/>
      </c>
      <c r="T279" s="7">
        <f>'1 prepared data'!S272</f>
        <v/>
      </c>
      <c r="U279" s="7">
        <f>'1 prepared data'!T272</f>
        <v/>
      </c>
      <c r="V279" s="8">
        <f>$AC$12+D279*$AC$13+E279*$AC$14+F279*$AC$15+G279*$AC$16+H279*$AC$17+I279*$AC$18+J279*$AC$19+K279*$AC$20+L279*$AC$21+M279*$AC$22+N279*$AC$23+O279*$AC$24+P279*$AC$25+Q279*$AC$26+R279*$AC$27+S279*$AC$28+T279*$AC$29+U279*$AC$30</f>
        <v/>
      </c>
      <c r="W279" s="8">
        <f>1/(1+EXP(-V279))</f>
        <v/>
      </c>
      <c r="X279" s="9">
        <f>-IF(C279=1,LN(W279),LN(1-W279))</f>
        <v/>
      </c>
      <c r="Y279" s="10">
        <f>IF(W279&gt;$AC$33,1,0)</f>
        <v/>
      </c>
      <c r="Z279">
        <f>IF(Y279=C279,1,0)</f>
        <v/>
      </c>
    </row>
    <row r="280">
      <c r="A280">
        <f>'1 prepared data'!A273</f>
        <v/>
      </c>
      <c r="B280" s="5">
        <f>'1 prepared data'!U273</f>
        <v/>
      </c>
      <c r="C280">
        <f>'1 prepared data'!B273</f>
        <v/>
      </c>
      <c r="D280" s="7">
        <f>'1 prepared data'!C273</f>
        <v/>
      </c>
      <c r="E280" s="7">
        <f>'1 prepared data'!D273</f>
        <v/>
      </c>
      <c r="F280" s="7">
        <f>'1 prepared data'!E273</f>
        <v/>
      </c>
      <c r="G280" s="7">
        <f>'1 prepared data'!F273</f>
        <v/>
      </c>
      <c r="H280" s="7">
        <f>'1 prepared data'!G273</f>
        <v/>
      </c>
      <c r="I280" s="7">
        <f>'1 prepared data'!H273</f>
        <v/>
      </c>
      <c r="J280" s="7">
        <f>'1 prepared data'!I273</f>
        <v/>
      </c>
      <c r="K280" s="7">
        <f>'1 prepared data'!J273</f>
        <v/>
      </c>
      <c r="L280" s="7">
        <f>'1 prepared data'!K273</f>
        <v/>
      </c>
      <c r="M280" s="7">
        <f>'1 prepared data'!L273</f>
        <v/>
      </c>
      <c r="N280" s="7">
        <f>'1 prepared data'!M273</f>
        <v/>
      </c>
      <c r="O280" s="7">
        <f>'1 prepared data'!N273</f>
        <v/>
      </c>
      <c r="P280" s="7">
        <f>'1 prepared data'!O273</f>
        <v/>
      </c>
      <c r="Q280" s="7">
        <f>'1 prepared data'!P273</f>
        <v/>
      </c>
      <c r="R280" s="7">
        <f>'1 prepared data'!Q273</f>
        <v/>
      </c>
      <c r="S280" s="7">
        <f>'1 prepared data'!R273</f>
        <v/>
      </c>
      <c r="T280" s="7">
        <f>'1 prepared data'!S273</f>
        <v/>
      </c>
      <c r="U280" s="7">
        <f>'1 prepared data'!T273</f>
        <v/>
      </c>
      <c r="V280" s="8">
        <f>$AC$12+D280*$AC$13+E280*$AC$14+F280*$AC$15+G280*$AC$16+H280*$AC$17+I280*$AC$18+J280*$AC$19+K280*$AC$20+L280*$AC$21+M280*$AC$22+N280*$AC$23+O280*$AC$24+P280*$AC$25+Q280*$AC$26+R280*$AC$27+S280*$AC$28+T280*$AC$29+U280*$AC$30</f>
        <v/>
      </c>
      <c r="W280" s="8">
        <f>1/(1+EXP(-V280))</f>
        <v/>
      </c>
      <c r="X280" s="9">
        <f>-IF(C280=1,LN(W280),LN(1-W280))</f>
        <v/>
      </c>
      <c r="Y280" s="10">
        <f>IF(W280&gt;$AC$33,1,0)</f>
        <v/>
      </c>
      <c r="Z280">
        <f>IF(Y280=C280,1,0)</f>
        <v/>
      </c>
    </row>
    <row r="281">
      <c r="A281">
        <f>'1 prepared data'!A274</f>
        <v/>
      </c>
      <c r="B281" s="5">
        <f>'1 prepared data'!U274</f>
        <v/>
      </c>
      <c r="C281">
        <f>'1 prepared data'!B274</f>
        <v/>
      </c>
      <c r="D281" s="7">
        <f>'1 prepared data'!C274</f>
        <v/>
      </c>
      <c r="E281" s="7">
        <f>'1 prepared data'!D274</f>
        <v/>
      </c>
      <c r="F281" s="7">
        <f>'1 prepared data'!E274</f>
        <v/>
      </c>
      <c r="G281" s="7">
        <f>'1 prepared data'!F274</f>
        <v/>
      </c>
      <c r="H281" s="7">
        <f>'1 prepared data'!G274</f>
        <v/>
      </c>
      <c r="I281" s="7">
        <f>'1 prepared data'!H274</f>
        <v/>
      </c>
      <c r="J281" s="7">
        <f>'1 prepared data'!I274</f>
        <v/>
      </c>
      <c r="K281" s="7">
        <f>'1 prepared data'!J274</f>
        <v/>
      </c>
      <c r="L281" s="7">
        <f>'1 prepared data'!K274</f>
        <v/>
      </c>
      <c r="M281" s="7">
        <f>'1 prepared data'!L274</f>
        <v/>
      </c>
      <c r="N281" s="7">
        <f>'1 prepared data'!M274</f>
        <v/>
      </c>
      <c r="O281" s="7">
        <f>'1 prepared data'!N274</f>
        <v/>
      </c>
      <c r="P281" s="7">
        <f>'1 prepared data'!O274</f>
        <v/>
      </c>
      <c r="Q281" s="7">
        <f>'1 prepared data'!P274</f>
        <v/>
      </c>
      <c r="R281" s="7">
        <f>'1 prepared data'!Q274</f>
        <v/>
      </c>
      <c r="S281" s="7">
        <f>'1 prepared data'!R274</f>
        <v/>
      </c>
      <c r="T281" s="7">
        <f>'1 prepared data'!S274</f>
        <v/>
      </c>
      <c r="U281" s="7">
        <f>'1 prepared data'!T274</f>
        <v/>
      </c>
      <c r="V281" s="8">
        <f>$AC$12+D281*$AC$13+E281*$AC$14+F281*$AC$15+G281*$AC$16+H281*$AC$17+I281*$AC$18+J281*$AC$19+K281*$AC$20+L281*$AC$21+M281*$AC$22+N281*$AC$23+O281*$AC$24+P281*$AC$25+Q281*$AC$26+R281*$AC$27+S281*$AC$28+T281*$AC$29+U281*$AC$30</f>
        <v/>
      </c>
      <c r="W281" s="8">
        <f>1/(1+EXP(-V281))</f>
        <v/>
      </c>
      <c r="X281" s="9">
        <f>-IF(C281=1,LN(W281),LN(1-W281))</f>
        <v/>
      </c>
      <c r="Y281" s="10">
        <f>IF(W281&gt;$AC$33,1,0)</f>
        <v/>
      </c>
      <c r="Z281">
        <f>IF(Y281=C281,1,0)</f>
        <v/>
      </c>
    </row>
    <row r="282">
      <c r="A282">
        <f>'1 prepared data'!A275</f>
        <v/>
      </c>
      <c r="B282" s="5">
        <f>'1 prepared data'!U275</f>
        <v/>
      </c>
      <c r="C282">
        <f>'1 prepared data'!B275</f>
        <v/>
      </c>
      <c r="D282" s="7">
        <f>'1 prepared data'!C275</f>
        <v/>
      </c>
      <c r="E282" s="7">
        <f>'1 prepared data'!D275</f>
        <v/>
      </c>
      <c r="F282" s="7">
        <f>'1 prepared data'!E275</f>
        <v/>
      </c>
      <c r="G282" s="7">
        <f>'1 prepared data'!F275</f>
        <v/>
      </c>
      <c r="H282" s="7">
        <f>'1 prepared data'!G275</f>
        <v/>
      </c>
      <c r="I282" s="7">
        <f>'1 prepared data'!H275</f>
        <v/>
      </c>
      <c r="J282" s="7">
        <f>'1 prepared data'!I275</f>
        <v/>
      </c>
      <c r="K282" s="7">
        <f>'1 prepared data'!J275</f>
        <v/>
      </c>
      <c r="L282" s="7">
        <f>'1 prepared data'!K275</f>
        <v/>
      </c>
      <c r="M282" s="7">
        <f>'1 prepared data'!L275</f>
        <v/>
      </c>
      <c r="N282" s="7">
        <f>'1 prepared data'!M275</f>
        <v/>
      </c>
      <c r="O282" s="7">
        <f>'1 prepared data'!N275</f>
        <v/>
      </c>
      <c r="P282" s="7">
        <f>'1 prepared data'!O275</f>
        <v/>
      </c>
      <c r="Q282" s="7">
        <f>'1 prepared data'!P275</f>
        <v/>
      </c>
      <c r="R282" s="7">
        <f>'1 prepared data'!Q275</f>
        <v/>
      </c>
      <c r="S282" s="7">
        <f>'1 prepared data'!R275</f>
        <v/>
      </c>
      <c r="T282" s="7">
        <f>'1 prepared data'!S275</f>
        <v/>
      </c>
      <c r="U282" s="7">
        <f>'1 prepared data'!T275</f>
        <v/>
      </c>
      <c r="V282" s="8">
        <f>$AC$12+D282*$AC$13+E282*$AC$14+F282*$AC$15+G282*$AC$16+H282*$AC$17+I282*$AC$18+J282*$AC$19+K282*$AC$20+L282*$AC$21+M282*$AC$22+N282*$AC$23+O282*$AC$24+P282*$AC$25+Q282*$AC$26+R282*$AC$27+S282*$AC$28+T282*$AC$29+U282*$AC$30</f>
        <v/>
      </c>
      <c r="W282" s="8">
        <f>1/(1+EXP(-V282))</f>
        <v/>
      </c>
      <c r="X282" s="9">
        <f>-IF(C282=1,LN(W282),LN(1-W282))</f>
        <v/>
      </c>
      <c r="Y282" s="10">
        <f>IF(W282&gt;$AC$33,1,0)</f>
        <v/>
      </c>
      <c r="Z282">
        <f>IF(Y282=C282,1,0)</f>
        <v/>
      </c>
    </row>
    <row r="283">
      <c r="A283">
        <f>'1 prepared data'!A276</f>
        <v/>
      </c>
      <c r="B283" s="5">
        <f>'1 prepared data'!U276</f>
        <v/>
      </c>
      <c r="C283">
        <f>'1 prepared data'!B276</f>
        <v/>
      </c>
      <c r="D283" s="7">
        <f>'1 prepared data'!C276</f>
        <v/>
      </c>
      <c r="E283" s="7">
        <f>'1 prepared data'!D276</f>
        <v/>
      </c>
      <c r="F283" s="7">
        <f>'1 prepared data'!E276</f>
        <v/>
      </c>
      <c r="G283" s="7">
        <f>'1 prepared data'!F276</f>
        <v/>
      </c>
      <c r="H283" s="7">
        <f>'1 prepared data'!G276</f>
        <v/>
      </c>
      <c r="I283" s="7">
        <f>'1 prepared data'!H276</f>
        <v/>
      </c>
      <c r="J283" s="7">
        <f>'1 prepared data'!I276</f>
        <v/>
      </c>
      <c r="K283" s="7">
        <f>'1 prepared data'!J276</f>
        <v/>
      </c>
      <c r="L283" s="7">
        <f>'1 prepared data'!K276</f>
        <v/>
      </c>
      <c r="M283" s="7">
        <f>'1 prepared data'!L276</f>
        <v/>
      </c>
      <c r="N283" s="7">
        <f>'1 prepared data'!M276</f>
        <v/>
      </c>
      <c r="O283" s="7">
        <f>'1 prepared data'!N276</f>
        <v/>
      </c>
      <c r="P283" s="7">
        <f>'1 prepared data'!O276</f>
        <v/>
      </c>
      <c r="Q283" s="7">
        <f>'1 prepared data'!P276</f>
        <v/>
      </c>
      <c r="R283" s="7">
        <f>'1 prepared data'!Q276</f>
        <v/>
      </c>
      <c r="S283" s="7">
        <f>'1 prepared data'!R276</f>
        <v/>
      </c>
      <c r="T283" s="7">
        <f>'1 prepared data'!S276</f>
        <v/>
      </c>
      <c r="U283" s="7">
        <f>'1 prepared data'!T276</f>
        <v/>
      </c>
      <c r="V283" s="8">
        <f>$AC$12+D283*$AC$13+E283*$AC$14+F283*$AC$15+G283*$AC$16+H283*$AC$17+I283*$AC$18+J283*$AC$19+K283*$AC$20+L283*$AC$21+M283*$AC$22+N283*$AC$23+O283*$AC$24+P283*$AC$25+Q283*$AC$26+R283*$AC$27+S283*$AC$28+T283*$AC$29+U283*$AC$30</f>
        <v/>
      </c>
      <c r="W283" s="8">
        <f>1/(1+EXP(-V283))</f>
        <v/>
      </c>
      <c r="X283" s="9">
        <f>-IF(C283=1,LN(W283),LN(1-W283))</f>
        <v/>
      </c>
      <c r="Y283" s="10">
        <f>IF(W283&gt;$AC$33,1,0)</f>
        <v/>
      </c>
      <c r="Z283">
        <f>IF(Y283=C283,1,0)</f>
        <v/>
      </c>
    </row>
    <row r="284">
      <c r="A284">
        <f>'1 prepared data'!A277</f>
        <v/>
      </c>
      <c r="B284" s="5">
        <f>'1 prepared data'!U277</f>
        <v/>
      </c>
      <c r="C284">
        <f>'1 prepared data'!B277</f>
        <v/>
      </c>
      <c r="D284" s="7">
        <f>'1 prepared data'!C277</f>
        <v/>
      </c>
      <c r="E284" s="7">
        <f>'1 prepared data'!D277</f>
        <v/>
      </c>
      <c r="F284" s="7">
        <f>'1 prepared data'!E277</f>
        <v/>
      </c>
      <c r="G284" s="7">
        <f>'1 prepared data'!F277</f>
        <v/>
      </c>
      <c r="H284" s="7">
        <f>'1 prepared data'!G277</f>
        <v/>
      </c>
      <c r="I284" s="7">
        <f>'1 prepared data'!H277</f>
        <v/>
      </c>
      <c r="J284" s="7">
        <f>'1 prepared data'!I277</f>
        <v/>
      </c>
      <c r="K284" s="7">
        <f>'1 prepared data'!J277</f>
        <v/>
      </c>
      <c r="L284" s="7">
        <f>'1 prepared data'!K277</f>
        <v/>
      </c>
      <c r="M284" s="7">
        <f>'1 prepared data'!L277</f>
        <v/>
      </c>
      <c r="N284" s="7">
        <f>'1 prepared data'!M277</f>
        <v/>
      </c>
      <c r="O284" s="7">
        <f>'1 prepared data'!N277</f>
        <v/>
      </c>
      <c r="P284" s="7">
        <f>'1 prepared data'!O277</f>
        <v/>
      </c>
      <c r="Q284" s="7">
        <f>'1 prepared data'!P277</f>
        <v/>
      </c>
      <c r="R284" s="7">
        <f>'1 prepared data'!Q277</f>
        <v/>
      </c>
      <c r="S284" s="7">
        <f>'1 prepared data'!R277</f>
        <v/>
      </c>
      <c r="T284" s="7">
        <f>'1 prepared data'!S277</f>
        <v/>
      </c>
      <c r="U284" s="7">
        <f>'1 prepared data'!T277</f>
        <v/>
      </c>
      <c r="V284" s="8">
        <f>$AC$12+D284*$AC$13+E284*$AC$14+F284*$AC$15+G284*$AC$16+H284*$AC$17+I284*$AC$18+J284*$AC$19+K284*$AC$20+L284*$AC$21+M284*$AC$22+N284*$AC$23+O284*$AC$24+P284*$AC$25+Q284*$AC$26+R284*$AC$27+S284*$AC$28+T284*$AC$29+U284*$AC$30</f>
        <v/>
      </c>
      <c r="W284" s="8">
        <f>1/(1+EXP(-V284))</f>
        <v/>
      </c>
      <c r="X284" s="9">
        <f>-IF(C284=1,LN(W284),LN(1-W284))</f>
        <v/>
      </c>
      <c r="Y284" s="10">
        <f>IF(W284&gt;$AC$33,1,0)</f>
        <v/>
      </c>
      <c r="Z284">
        <f>IF(Y284=C284,1,0)</f>
        <v/>
      </c>
    </row>
    <row r="285">
      <c r="A285">
        <f>'1 prepared data'!A278</f>
        <v/>
      </c>
      <c r="B285" s="5">
        <f>'1 prepared data'!U278</f>
        <v/>
      </c>
      <c r="C285">
        <f>'1 prepared data'!B278</f>
        <v/>
      </c>
      <c r="D285" s="7">
        <f>'1 prepared data'!C278</f>
        <v/>
      </c>
      <c r="E285" s="7">
        <f>'1 prepared data'!D278</f>
        <v/>
      </c>
      <c r="F285" s="7">
        <f>'1 prepared data'!E278</f>
        <v/>
      </c>
      <c r="G285" s="7">
        <f>'1 prepared data'!F278</f>
        <v/>
      </c>
      <c r="H285" s="7">
        <f>'1 prepared data'!G278</f>
        <v/>
      </c>
      <c r="I285" s="7">
        <f>'1 prepared data'!H278</f>
        <v/>
      </c>
      <c r="J285" s="7">
        <f>'1 prepared data'!I278</f>
        <v/>
      </c>
      <c r="K285" s="7">
        <f>'1 prepared data'!J278</f>
        <v/>
      </c>
      <c r="L285" s="7">
        <f>'1 prepared data'!K278</f>
        <v/>
      </c>
      <c r="M285" s="7">
        <f>'1 prepared data'!L278</f>
        <v/>
      </c>
      <c r="N285" s="7">
        <f>'1 prepared data'!M278</f>
        <v/>
      </c>
      <c r="O285" s="7">
        <f>'1 prepared data'!N278</f>
        <v/>
      </c>
      <c r="P285" s="7">
        <f>'1 prepared data'!O278</f>
        <v/>
      </c>
      <c r="Q285" s="7">
        <f>'1 prepared data'!P278</f>
        <v/>
      </c>
      <c r="R285" s="7">
        <f>'1 prepared data'!Q278</f>
        <v/>
      </c>
      <c r="S285" s="7">
        <f>'1 prepared data'!R278</f>
        <v/>
      </c>
      <c r="T285" s="7">
        <f>'1 prepared data'!S278</f>
        <v/>
      </c>
      <c r="U285" s="7">
        <f>'1 prepared data'!T278</f>
        <v/>
      </c>
      <c r="V285" s="8">
        <f>$AC$12+D285*$AC$13+E285*$AC$14+F285*$AC$15+G285*$AC$16+H285*$AC$17+I285*$AC$18+J285*$AC$19+K285*$AC$20+L285*$AC$21+M285*$AC$22+N285*$AC$23+O285*$AC$24+P285*$AC$25+Q285*$AC$26+R285*$AC$27+S285*$AC$28+T285*$AC$29+U285*$AC$30</f>
        <v/>
      </c>
      <c r="W285" s="8">
        <f>1/(1+EXP(-V285))</f>
        <v/>
      </c>
      <c r="X285" s="9">
        <f>-IF(C285=1,LN(W285),LN(1-W285))</f>
        <v/>
      </c>
      <c r="Y285" s="10">
        <f>IF(W285&gt;$AC$33,1,0)</f>
        <v/>
      </c>
      <c r="Z285">
        <f>IF(Y285=C285,1,0)</f>
        <v/>
      </c>
    </row>
    <row r="286">
      <c r="A286">
        <f>'1 prepared data'!A279</f>
        <v/>
      </c>
      <c r="B286" s="5">
        <f>'1 prepared data'!U279</f>
        <v/>
      </c>
      <c r="C286">
        <f>'1 prepared data'!B279</f>
        <v/>
      </c>
      <c r="D286" s="7">
        <f>'1 prepared data'!C279</f>
        <v/>
      </c>
      <c r="E286" s="7">
        <f>'1 prepared data'!D279</f>
        <v/>
      </c>
      <c r="F286" s="7">
        <f>'1 prepared data'!E279</f>
        <v/>
      </c>
      <c r="G286" s="7">
        <f>'1 prepared data'!F279</f>
        <v/>
      </c>
      <c r="H286" s="7">
        <f>'1 prepared data'!G279</f>
        <v/>
      </c>
      <c r="I286" s="7">
        <f>'1 prepared data'!H279</f>
        <v/>
      </c>
      <c r="J286" s="7">
        <f>'1 prepared data'!I279</f>
        <v/>
      </c>
      <c r="K286" s="7">
        <f>'1 prepared data'!J279</f>
        <v/>
      </c>
      <c r="L286" s="7">
        <f>'1 prepared data'!K279</f>
        <v/>
      </c>
      <c r="M286" s="7">
        <f>'1 prepared data'!L279</f>
        <v/>
      </c>
      <c r="N286" s="7">
        <f>'1 prepared data'!M279</f>
        <v/>
      </c>
      <c r="O286" s="7">
        <f>'1 prepared data'!N279</f>
        <v/>
      </c>
      <c r="P286" s="7">
        <f>'1 prepared data'!O279</f>
        <v/>
      </c>
      <c r="Q286" s="7">
        <f>'1 prepared data'!P279</f>
        <v/>
      </c>
      <c r="R286" s="7">
        <f>'1 prepared data'!Q279</f>
        <v/>
      </c>
      <c r="S286" s="7">
        <f>'1 prepared data'!R279</f>
        <v/>
      </c>
      <c r="T286" s="7">
        <f>'1 prepared data'!S279</f>
        <v/>
      </c>
      <c r="U286" s="7">
        <f>'1 prepared data'!T279</f>
        <v/>
      </c>
      <c r="V286" s="8">
        <f>$AC$12+D286*$AC$13+E286*$AC$14+F286*$AC$15+G286*$AC$16+H286*$AC$17+I286*$AC$18+J286*$AC$19+K286*$AC$20+L286*$AC$21+M286*$AC$22+N286*$AC$23+O286*$AC$24+P286*$AC$25+Q286*$AC$26+R286*$AC$27+S286*$AC$28+T286*$AC$29+U286*$AC$30</f>
        <v/>
      </c>
      <c r="W286" s="8">
        <f>1/(1+EXP(-V286))</f>
        <v/>
      </c>
      <c r="X286" s="9">
        <f>-IF(C286=1,LN(W286),LN(1-W286))</f>
        <v/>
      </c>
      <c r="Y286" s="10">
        <f>IF(W286&gt;$AC$33,1,0)</f>
        <v/>
      </c>
      <c r="Z286">
        <f>IF(Y286=C286,1,0)</f>
        <v/>
      </c>
    </row>
    <row r="287">
      <c r="A287">
        <f>'1 prepared data'!A280</f>
        <v/>
      </c>
      <c r="B287" s="5">
        <f>'1 prepared data'!U280</f>
        <v/>
      </c>
      <c r="C287">
        <f>'1 prepared data'!B280</f>
        <v/>
      </c>
      <c r="D287" s="7">
        <f>'1 prepared data'!C280</f>
        <v/>
      </c>
      <c r="E287" s="7">
        <f>'1 prepared data'!D280</f>
        <v/>
      </c>
      <c r="F287" s="7">
        <f>'1 prepared data'!E280</f>
        <v/>
      </c>
      <c r="G287" s="7">
        <f>'1 prepared data'!F280</f>
        <v/>
      </c>
      <c r="H287" s="7">
        <f>'1 prepared data'!G280</f>
        <v/>
      </c>
      <c r="I287" s="7">
        <f>'1 prepared data'!H280</f>
        <v/>
      </c>
      <c r="J287" s="7">
        <f>'1 prepared data'!I280</f>
        <v/>
      </c>
      <c r="K287" s="7">
        <f>'1 prepared data'!J280</f>
        <v/>
      </c>
      <c r="L287" s="7">
        <f>'1 prepared data'!K280</f>
        <v/>
      </c>
      <c r="M287" s="7">
        <f>'1 prepared data'!L280</f>
        <v/>
      </c>
      <c r="N287" s="7">
        <f>'1 prepared data'!M280</f>
        <v/>
      </c>
      <c r="O287" s="7">
        <f>'1 prepared data'!N280</f>
        <v/>
      </c>
      <c r="P287" s="7">
        <f>'1 prepared data'!O280</f>
        <v/>
      </c>
      <c r="Q287" s="7">
        <f>'1 prepared data'!P280</f>
        <v/>
      </c>
      <c r="R287" s="7">
        <f>'1 prepared data'!Q280</f>
        <v/>
      </c>
      <c r="S287" s="7">
        <f>'1 prepared data'!R280</f>
        <v/>
      </c>
      <c r="T287" s="7">
        <f>'1 prepared data'!S280</f>
        <v/>
      </c>
      <c r="U287" s="7">
        <f>'1 prepared data'!T280</f>
        <v/>
      </c>
      <c r="V287" s="8">
        <f>$AC$12+D287*$AC$13+E287*$AC$14+F287*$AC$15+G287*$AC$16+H287*$AC$17+I287*$AC$18+J287*$AC$19+K287*$AC$20+L287*$AC$21+M287*$AC$22+N287*$AC$23+O287*$AC$24+P287*$AC$25+Q287*$AC$26+R287*$AC$27+S287*$AC$28+T287*$AC$29+U287*$AC$30</f>
        <v/>
      </c>
      <c r="W287" s="8">
        <f>1/(1+EXP(-V287))</f>
        <v/>
      </c>
      <c r="X287" s="9">
        <f>-IF(C287=1,LN(W287),LN(1-W287))</f>
        <v/>
      </c>
      <c r="Y287" s="10">
        <f>IF(W287&gt;$AC$33,1,0)</f>
        <v/>
      </c>
      <c r="Z287">
        <f>IF(Y287=C287,1,0)</f>
        <v/>
      </c>
    </row>
    <row r="288">
      <c r="A288">
        <f>'1 prepared data'!A281</f>
        <v/>
      </c>
      <c r="B288" s="5">
        <f>'1 prepared data'!U281</f>
        <v/>
      </c>
      <c r="C288">
        <f>'1 prepared data'!B281</f>
        <v/>
      </c>
      <c r="D288" s="7">
        <f>'1 prepared data'!C281</f>
        <v/>
      </c>
      <c r="E288" s="7">
        <f>'1 prepared data'!D281</f>
        <v/>
      </c>
      <c r="F288" s="7">
        <f>'1 prepared data'!E281</f>
        <v/>
      </c>
      <c r="G288" s="7">
        <f>'1 prepared data'!F281</f>
        <v/>
      </c>
      <c r="H288" s="7">
        <f>'1 prepared data'!G281</f>
        <v/>
      </c>
      <c r="I288" s="7">
        <f>'1 prepared data'!H281</f>
        <v/>
      </c>
      <c r="J288" s="7">
        <f>'1 prepared data'!I281</f>
        <v/>
      </c>
      <c r="K288" s="7">
        <f>'1 prepared data'!J281</f>
        <v/>
      </c>
      <c r="L288" s="7">
        <f>'1 prepared data'!K281</f>
        <v/>
      </c>
      <c r="M288" s="7">
        <f>'1 prepared data'!L281</f>
        <v/>
      </c>
      <c r="N288" s="7">
        <f>'1 prepared data'!M281</f>
        <v/>
      </c>
      <c r="O288" s="7">
        <f>'1 prepared data'!N281</f>
        <v/>
      </c>
      <c r="P288" s="7">
        <f>'1 prepared data'!O281</f>
        <v/>
      </c>
      <c r="Q288" s="7">
        <f>'1 prepared data'!P281</f>
        <v/>
      </c>
      <c r="R288" s="7">
        <f>'1 prepared data'!Q281</f>
        <v/>
      </c>
      <c r="S288" s="7">
        <f>'1 prepared data'!R281</f>
        <v/>
      </c>
      <c r="T288" s="7">
        <f>'1 prepared data'!S281</f>
        <v/>
      </c>
      <c r="U288" s="7">
        <f>'1 prepared data'!T281</f>
        <v/>
      </c>
      <c r="V288" s="8">
        <f>$AC$12+D288*$AC$13+E288*$AC$14+F288*$AC$15+G288*$AC$16+H288*$AC$17+I288*$AC$18+J288*$AC$19+K288*$AC$20+L288*$AC$21+M288*$AC$22+N288*$AC$23+O288*$AC$24+P288*$AC$25+Q288*$AC$26+R288*$AC$27+S288*$AC$28+T288*$AC$29+U288*$AC$30</f>
        <v/>
      </c>
      <c r="W288" s="8">
        <f>1/(1+EXP(-V288))</f>
        <v/>
      </c>
      <c r="X288" s="9">
        <f>-IF(C288=1,LN(W288),LN(1-W288))</f>
        <v/>
      </c>
      <c r="Y288" s="10">
        <f>IF(W288&gt;$AC$33,1,0)</f>
        <v/>
      </c>
      <c r="Z288">
        <f>IF(Y288=C288,1,0)</f>
        <v/>
      </c>
    </row>
    <row r="289">
      <c r="A289">
        <f>'1 prepared data'!A282</f>
        <v/>
      </c>
      <c r="B289" s="5">
        <f>'1 prepared data'!U282</f>
        <v/>
      </c>
      <c r="C289">
        <f>'1 prepared data'!B282</f>
        <v/>
      </c>
      <c r="D289" s="7">
        <f>'1 prepared data'!C282</f>
        <v/>
      </c>
      <c r="E289" s="7">
        <f>'1 prepared data'!D282</f>
        <v/>
      </c>
      <c r="F289" s="7">
        <f>'1 prepared data'!E282</f>
        <v/>
      </c>
      <c r="G289" s="7">
        <f>'1 prepared data'!F282</f>
        <v/>
      </c>
      <c r="H289" s="7">
        <f>'1 prepared data'!G282</f>
        <v/>
      </c>
      <c r="I289" s="7">
        <f>'1 prepared data'!H282</f>
        <v/>
      </c>
      <c r="J289" s="7">
        <f>'1 prepared data'!I282</f>
        <v/>
      </c>
      <c r="K289" s="7">
        <f>'1 prepared data'!J282</f>
        <v/>
      </c>
      <c r="L289" s="7">
        <f>'1 prepared data'!K282</f>
        <v/>
      </c>
      <c r="M289" s="7">
        <f>'1 prepared data'!L282</f>
        <v/>
      </c>
      <c r="N289" s="7">
        <f>'1 prepared data'!M282</f>
        <v/>
      </c>
      <c r="O289" s="7">
        <f>'1 prepared data'!N282</f>
        <v/>
      </c>
      <c r="P289" s="7">
        <f>'1 prepared data'!O282</f>
        <v/>
      </c>
      <c r="Q289" s="7">
        <f>'1 prepared data'!P282</f>
        <v/>
      </c>
      <c r="R289" s="7">
        <f>'1 prepared data'!Q282</f>
        <v/>
      </c>
      <c r="S289" s="7">
        <f>'1 prepared data'!R282</f>
        <v/>
      </c>
      <c r="T289" s="7">
        <f>'1 prepared data'!S282</f>
        <v/>
      </c>
      <c r="U289" s="7">
        <f>'1 prepared data'!T282</f>
        <v/>
      </c>
      <c r="V289" s="8">
        <f>$AC$12+D289*$AC$13+E289*$AC$14+F289*$AC$15+G289*$AC$16+H289*$AC$17+I289*$AC$18+J289*$AC$19+K289*$AC$20+L289*$AC$21+M289*$AC$22+N289*$AC$23+O289*$AC$24+P289*$AC$25+Q289*$AC$26+R289*$AC$27+S289*$AC$28+T289*$AC$29+U289*$AC$30</f>
        <v/>
      </c>
      <c r="W289" s="8">
        <f>1/(1+EXP(-V289))</f>
        <v/>
      </c>
      <c r="X289" s="9">
        <f>-IF(C289=1,LN(W289),LN(1-W289))</f>
        <v/>
      </c>
      <c r="Y289" s="10">
        <f>IF(W289&gt;$AC$33,1,0)</f>
        <v/>
      </c>
      <c r="Z289">
        <f>IF(Y289=C289,1,0)</f>
        <v/>
      </c>
    </row>
    <row r="290">
      <c r="A290">
        <f>'1 prepared data'!A283</f>
        <v/>
      </c>
      <c r="B290" s="5">
        <f>'1 prepared data'!U283</f>
        <v/>
      </c>
      <c r="C290">
        <f>'1 prepared data'!B283</f>
        <v/>
      </c>
      <c r="D290" s="7">
        <f>'1 prepared data'!C283</f>
        <v/>
      </c>
      <c r="E290" s="7">
        <f>'1 prepared data'!D283</f>
        <v/>
      </c>
      <c r="F290" s="7">
        <f>'1 prepared data'!E283</f>
        <v/>
      </c>
      <c r="G290" s="7">
        <f>'1 prepared data'!F283</f>
        <v/>
      </c>
      <c r="H290" s="7">
        <f>'1 prepared data'!G283</f>
        <v/>
      </c>
      <c r="I290" s="7">
        <f>'1 prepared data'!H283</f>
        <v/>
      </c>
      <c r="J290" s="7">
        <f>'1 prepared data'!I283</f>
        <v/>
      </c>
      <c r="K290" s="7">
        <f>'1 prepared data'!J283</f>
        <v/>
      </c>
      <c r="L290" s="7">
        <f>'1 prepared data'!K283</f>
        <v/>
      </c>
      <c r="M290" s="7">
        <f>'1 prepared data'!L283</f>
        <v/>
      </c>
      <c r="N290" s="7">
        <f>'1 prepared data'!M283</f>
        <v/>
      </c>
      <c r="O290" s="7">
        <f>'1 prepared data'!N283</f>
        <v/>
      </c>
      <c r="P290" s="7">
        <f>'1 prepared data'!O283</f>
        <v/>
      </c>
      <c r="Q290" s="7">
        <f>'1 prepared data'!P283</f>
        <v/>
      </c>
      <c r="R290" s="7">
        <f>'1 prepared data'!Q283</f>
        <v/>
      </c>
      <c r="S290" s="7">
        <f>'1 prepared data'!R283</f>
        <v/>
      </c>
      <c r="T290" s="7">
        <f>'1 prepared data'!S283</f>
        <v/>
      </c>
      <c r="U290" s="7">
        <f>'1 prepared data'!T283</f>
        <v/>
      </c>
      <c r="V290" s="8">
        <f>$AC$12+D290*$AC$13+E290*$AC$14+F290*$AC$15+G290*$AC$16+H290*$AC$17+I290*$AC$18+J290*$AC$19+K290*$AC$20+L290*$AC$21+M290*$AC$22+N290*$AC$23+O290*$AC$24+P290*$AC$25+Q290*$AC$26+R290*$AC$27+S290*$AC$28+T290*$AC$29+U290*$AC$30</f>
        <v/>
      </c>
      <c r="W290" s="8">
        <f>1/(1+EXP(-V290))</f>
        <v/>
      </c>
      <c r="X290" s="9">
        <f>-IF(C290=1,LN(W290),LN(1-W290))</f>
        <v/>
      </c>
      <c r="Y290" s="10">
        <f>IF(W290&gt;$AC$33,1,0)</f>
        <v/>
      </c>
      <c r="Z290">
        <f>IF(Y290=C290,1,0)</f>
        <v/>
      </c>
    </row>
    <row r="291">
      <c r="A291">
        <f>'1 prepared data'!A284</f>
        <v/>
      </c>
      <c r="B291" s="5">
        <f>'1 prepared data'!U284</f>
        <v/>
      </c>
      <c r="C291">
        <f>'1 prepared data'!B284</f>
        <v/>
      </c>
      <c r="D291" s="7">
        <f>'1 prepared data'!C284</f>
        <v/>
      </c>
      <c r="E291" s="7">
        <f>'1 prepared data'!D284</f>
        <v/>
      </c>
      <c r="F291" s="7">
        <f>'1 prepared data'!E284</f>
        <v/>
      </c>
      <c r="G291" s="7">
        <f>'1 prepared data'!F284</f>
        <v/>
      </c>
      <c r="H291" s="7">
        <f>'1 prepared data'!G284</f>
        <v/>
      </c>
      <c r="I291" s="7">
        <f>'1 prepared data'!H284</f>
        <v/>
      </c>
      <c r="J291" s="7">
        <f>'1 prepared data'!I284</f>
        <v/>
      </c>
      <c r="K291" s="7">
        <f>'1 prepared data'!J284</f>
        <v/>
      </c>
      <c r="L291" s="7">
        <f>'1 prepared data'!K284</f>
        <v/>
      </c>
      <c r="M291" s="7">
        <f>'1 prepared data'!L284</f>
        <v/>
      </c>
      <c r="N291" s="7">
        <f>'1 prepared data'!M284</f>
        <v/>
      </c>
      <c r="O291" s="7">
        <f>'1 prepared data'!N284</f>
        <v/>
      </c>
      <c r="P291" s="7">
        <f>'1 prepared data'!O284</f>
        <v/>
      </c>
      <c r="Q291" s="7">
        <f>'1 prepared data'!P284</f>
        <v/>
      </c>
      <c r="R291" s="7">
        <f>'1 prepared data'!Q284</f>
        <v/>
      </c>
      <c r="S291" s="7">
        <f>'1 prepared data'!R284</f>
        <v/>
      </c>
      <c r="T291" s="7">
        <f>'1 prepared data'!S284</f>
        <v/>
      </c>
      <c r="U291" s="7">
        <f>'1 prepared data'!T284</f>
        <v/>
      </c>
      <c r="V291" s="8">
        <f>$AC$12+D291*$AC$13+E291*$AC$14+F291*$AC$15+G291*$AC$16+H291*$AC$17+I291*$AC$18+J291*$AC$19+K291*$AC$20+L291*$AC$21+M291*$AC$22+N291*$AC$23+O291*$AC$24+P291*$AC$25+Q291*$AC$26+R291*$AC$27+S291*$AC$28+T291*$AC$29+U291*$AC$30</f>
        <v/>
      </c>
      <c r="W291" s="8">
        <f>1/(1+EXP(-V291))</f>
        <v/>
      </c>
      <c r="X291" s="9">
        <f>-IF(C291=1,LN(W291),LN(1-W291))</f>
        <v/>
      </c>
      <c r="Y291" s="10">
        <f>IF(W291&gt;$AC$33,1,0)</f>
        <v/>
      </c>
      <c r="Z291">
        <f>IF(Y291=C291,1,0)</f>
        <v/>
      </c>
    </row>
    <row r="292">
      <c r="A292">
        <f>'1 prepared data'!A285</f>
        <v/>
      </c>
      <c r="B292" s="5">
        <f>'1 prepared data'!U285</f>
        <v/>
      </c>
      <c r="C292">
        <f>'1 prepared data'!B285</f>
        <v/>
      </c>
      <c r="D292" s="7">
        <f>'1 prepared data'!C285</f>
        <v/>
      </c>
      <c r="E292" s="7">
        <f>'1 prepared data'!D285</f>
        <v/>
      </c>
      <c r="F292" s="7">
        <f>'1 prepared data'!E285</f>
        <v/>
      </c>
      <c r="G292" s="7">
        <f>'1 prepared data'!F285</f>
        <v/>
      </c>
      <c r="H292" s="7">
        <f>'1 prepared data'!G285</f>
        <v/>
      </c>
      <c r="I292" s="7">
        <f>'1 prepared data'!H285</f>
        <v/>
      </c>
      <c r="J292" s="7">
        <f>'1 prepared data'!I285</f>
        <v/>
      </c>
      <c r="K292" s="7">
        <f>'1 prepared data'!J285</f>
        <v/>
      </c>
      <c r="L292" s="7">
        <f>'1 prepared data'!K285</f>
        <v/>
      </c>
      <c r="M292" s="7">
        <f>'1 prepared data'!L285</f>
        <v/>
      </c>
      <c r="N292" s="7">
        <f>'1 prepared data'!M285</f>
        <v/>
      </c>
      <c r="O292" s="7">
        <f>'1 prepared data'!N285</f>
        <v/>
      </c>
      <c r="P292" s="7">
        <f>'1 prepared data'!O285</f>
        <v/>
      </c>
      <c r="Q292" s="7">
        <f>'1 prepared data'!P285</f>
        <v/>
      </c>
      <c r="R292" s="7">
        <f>'1 prepared data'!Q285</f>
        <v/>
      </c>
      <c r="S292" s="7">
        <f>'1 prepared data'!R285</f>
        <v/>
      </c>
      <c r="T292" s="7">
        <f>'1 prepared data'!S285</f>
        <v/>
      </c>
      <c r="U292" s="7">
        <f>'1 prepared data'!T285</f>
        <v/>
      </c>
      <c r="V292" s="8">
        <f>$AC$12+D292*$AC$13+E292*$AC$14+F292*$AC$15+G292*$AC$16+H292*$AC$17+I292*$AC$18+J292*$AC$19+K292*$AC$20+L292*$AC$21+M292*$AC$22+N292*$AC$23+O292*$AC$24+P292*$AC$25+Q292*$AC$26+R292*$AC$27+S292*$AC$28+T292*$AC$29+U292*$AC$30</f>
        <v/>
      </c>
      <c r="W292" s="8">
        <f>1/(1+EXP(-V292))</f>
        <v/>
      </c>
      <c r="X292" s="9">
        <f>-IF(C292=1,LN(W292),LN(1-W292))</f>
        <v/>
      </c>
      <c r="Y292" s="10">
        <f>IF(W292&gt;$AC$33,1,0)</f>
        <v/>
      </c>
      <c r="Z292">
        <f>IF(Y292=C292,1,0)</f>
        <v/>
      </c>
    </row>
    <row r="293">
      <c r="A293">
        <f>'1 prepared data'!A286</f>
        <v/>
      </c>
      <c r="B293" s="5">
        <f>'1 prepared data'!U286</f>
        <v/>
      </c>
      <c r="C293">
        <f>'1 prepared data'!B286</f>
        <v/>
      </c>
      <c r="D293" s="7">
        <f>'1 prepared data'!C286</f>
        <v/>
      </c>
      <c r="E293" s="7">
        <f>'1 prepared data'!D286</f>
        <v/>
      </c>
      <c r="F293" s="7">
        <f>'1 prepared data'!E286</f>
        <v/>
      </c>
      <c r="G293" s="7">
        <f>'1 prepared data'!F286</f>
        <v/>
      </c>
      <c r="H293" s="7">
        <f>'1 prepared data'!G286</f>
        <v/>
      </c>
      <c r="I293" s="7">
        <f>'1 prepared data'!H286</f>
        <v/>
      </c>
      <c r="J293" s="7">
        <f>'1 prepared data'!I286</f>
        <v/>
      </c>
      <c r="K293" s="7">
        <f>'1 prepared data'!J286</f>
        <v/>
      </c>
      <c r="L293" s="7">
        <f>'1 prepared data'!K286</f>
        <v/>
      </c>
      <c r="M293" s="7">
        <f>'1 prepared data'!L286</f>
        <v/>
      </c>
      <c r="N293" s="7">
        <f>'1 prepared data'!M286</f>
        <v/>
      </c>
      <c r="O293" s="7">
        <f>'1 prepared data'!N286</f>
        <v/>
      </c>
      <c r="P293" s="7">
        <f>'1 prepared data'!O286</f>
        <v/>
      </c>
      <c r="Q293" s="7">
        <f>'1 prepared data'!P286</f>
        <v/>
      </c>
      <c r="R293" s="7">
        <f>'1 prepared data'!Q286</f>
        <v/>
      </c>
      <c r="S293" s="7">
        <f>'1 prepared data'!R286</f>
        <v/>
      </c>
      <c r="T293" s="7">
        <f>'1 prepared data'!S286</f>
        <v/>
      </c>
      <c r="U293" s="7">
        <f>'1 prepared data'!T286</f>
        <v/>
      </c>
      <c r="V293" s="8">
        <f>$AC$12+D293*$AC$13+E293*$AC$14+F293*$AC$15+G293*$AC$16+H293*$AC$17+I293*$AC$18+J293*$AC$19+K293*$AC$20+L293*$AC$21+M293*$AC$22+N293*$AC$23+O293*$AC$24+P293*$AC$25+Q293*$AC$26+R293*$AC$27+S293*$AC$28+T293*$AC$29+U293*$AC$30</f>
        <v/>
      </c>
      <c r="W293" s="8">
        <f>1/(1+EXP(-V293))</f>
        <v/>
      </c>
      <c r="X293" s="9">
        <f>-IF(C293=1,LN(W293),LN(1-W293))</f>
        <v/>
      </c>
      <c r="Y293" s="10">
        <f>IF(W293&gt;$AC$33,1,0)</f>
        <v/>
      </c>
      <c r="Z293">
        <f>IF(Y293=C293,1,0)</f>
        <v/>
      </c>
    </row>
    <row r="294">
      <c r="A294">
        <f>'1 prepared data'!A287</f>
        <v/>
      </c>
      <c r="B294" s="5">
        <f>'1 prepared data'!U287</f>
        <v/>
      </c>
      <c r="C294">
        <f>'1 prepared data'!B287</f>
        <v/>
      </c>
      <c r="D294" s="7">
        <f>'1 prepared data'!C287</f>
        <v/>
      </c>
      <c r="E294" s="7">
        <f>'1 prepared data'!D287</f>
        <v/>
      </c>
      <c r="F294" s="7">
        <f>'1 prepared data'!E287</f>
        <v/>
      </c>
      <c r="G294" s="7">
        <f>'1 prepared data'!F287</f>
        <v/>
      </c>
      <c r="H294" s="7">
        <f>'1 prepared data'!G287</f>
        <v/>
      </c>
      <c r="I294" s="7">
        <f>'1 prepared data'!H287</f>
        <v/>
      </c>
      <c r="J294" s="7">
        <f>'1 prepared data'!I287</f>
        <v/>
      </c>
      <c r="K294" s="7">
        <f>'1 prepared data'!J287</f>
        <v/>
      </c>
      <c r="L294" s="7">
        <f>'1 prepared data'!K287</f>
        <v/>
      </c>
      <c r="M294" s="7">
        <f>'1 prepared data'!L287</f>
        <v/>
      </c>
      <c r="N294" s="7">
        <f>'1 prepared data'!M287</f>
        <v/>
      </c>
      <c r="O294" s="7">
        <f>'1 prepared data'!N287</f>
        <v/>
      </c>
      <c r="P294" s="7">
        <f>'1 prepared data'!O287</f>
        <v/>
      </c>
      <c r="Q294" s="7">
        <f>'1 prepared data'!P287</f>
        <v/>
      </c>
      <c r="R294" s="7">
        <f>'1 prepared data'!Q287</f>
        <v/>
      </c>
      <c r="S294" s="7">
        <f>'1 prepared data'!R287</f>
        <v/>
      </c>
      <c r="T294" s="7">
        <f>'1 prepared data'!S287</f>
        <v/>
      </c>
      <c r="U294" s="7">
        <f>'1 prepared data'!T287</f>
        <v/>
      </c>
      <c r="V294" s="8">
        <f>$AC$12+D294*$AC$13+E294*$AC$14+F294*$AC$15+G294*$AC$16+H294*$AC$17+I294*$AC$18+J294*$AC$19+K294*$AC$20+L294*$AC$21+M294*$AC$22+N294*$AC$23+O294*$AC$24+P294*$AC$25+Q294*$AC$26+R294*$AC$27+S294*$AC$28+T294*$AC$29+U294*$AC$30</f>
        <v/>
      </c>
      <c r="W294" s="8">
        <f>1/(1+EXP(-V294))</f>
        <v/>
      </c>
      <c r="X294" s="9">
        <f>-IF(C294=1,LN(W294),LN(1-W294))</f>
        <v/>
      </c>
      <c r="Y294" s="10">
        <f>IF(W294&gt;$AC$33,1,0)</f>
        <v/>
      </c>
      <c r="Z294">
        <f>IF(Y294=C294,1,0)</f>
        <v/>
      </c>
    </row>
    <row r="295">
      <c r="A295">
        <f>'1 prepared data'!A288</f>
        <v/>
      </c>
      <c r="B295" s="5">
        <f>'1 prepared data'!U288</f>
        <v/>
      </c>
      <c r="C295">
        <f>'1 prepared data'!B288</f>
        <v/>
      </c>
      <c r="D295" s="7">
        <f>'1 prepared data'!C288</f>
        <v/>
      </c>
      <c r="E295" s="7">
        <f>'1 prepared data'!D288</f>
        <v/>
      </c>
      <c r="F295" s="7">
        <f>'1 prepared data'!E288</f>
        <v/>
      </c>
      <c r="G295" s="7">
        <f>'1 prepared data'!F288</f>
        <v/>
      </c>
      <c r="H295" s="7">
        <f>'1 prepared data'!G288</f>
        <v/>
      </c>
      <c r="I295" s="7">
        <f>'1 prepared data'!H288</f>
        <v/>
      </c>
      <c r="J295" s="7">
        <f>'1 prepared data'!I288</f>
        <v/>
      </c>
      <c r="K295" s="7">
        <f>'1 prepared data'!J288</f>
        <v/>
      </c>
      <c r="L295" s="7">
        <f>'1 prepared data'!K288</f>
        <v/>
      </c>
      <c r="M295" s="7">
        <f>'1 prepared data'!L288</f>
        <v/>
      </c>
      <c r="N295" s="7">
        <f>'1 prepared data'!M288</f>
        <v/>
      </c>
      <c r="O295" s="7">
        <f>'1 prepared data'!N288</f>
        <v/>
      </c>
      <c r="P295" s="7">
        <f>'1 prepared data'!O288</f>
        <v/>
      </c>
      <c r="Q295" s="7">
        <f>'1 prepared data'!P288</f>
        <v/>
      </c>
      <c r="R295" s="7">
        <f>'1 prepared data'!Q288</f>
        <v/>
      </c>
      <c r="S295" s="7">
        <f>'1 prepared data'!R288</f>
        <v/>
      </c>
      <c r="T295" s="7">
        <f>'1 prepared data'!S288</f>
        <v/>
      </c>
      <c r="U295" s="7">
        <f>'1 prepared data'!T288</f>
        <v/>
      </c>
      <c r="V295" s="8">
        <f>$AC$12+D295*$AC$13+E295*$AC$14+F295*$AC$15+G295*$AC$16+H295*$AC$17+I295*$AC$18+J295*$AC$19+K295*$AC$20+L295*$AC$21+M295*$AC$22+N295*$AC$23+O295*$AC$24+P295*$AC$25+Q295*$AC$26+R295*$AC$27+S295*$AC$28+T295*$AC$29+U295*$AC$30</f>
        <v/>
      </c>
      <c r="W295" s="8">
        <f>1/(1+EXP(-V295))</f>
        <v/>
      </c>
      <c r="X295" s="9">
        <f>-IF(C295=1,LN(W295),LN(1-W295))</f>
        <v/>
      </c>
      <c r="Y295" s="10">
        <f>IF(W295&gt;$AC$33,1,0)</f>
        <v/>
      </c>
      <c r="Z295">
        <f>IF(Y295=C295,1,0)</f>
        <v/>
      </c>
    </row>
    <row r="296">
      <c r="A296">
        <f>'1 prepared data'!A289</f>
        <v/>
      </c>
      <c r="B296" s="5">
        <f>'1 prepared data'!U289</f>
        <v/>
      </c>
      <c r="C296">
        <f>'1 prepared data'!B289</f>
        <v/>
      </c>
      <c r="D296" s="7">
        <f>'1 prepared data'!C289</f>
        <v/>
      </c>
      <c r="E296" s="7">
        <f>'1 prepared data'!D289</f>
        <v/>
      </c>
      <c r="F296" s="7">
        <f>'1 prepared data'!E289</f>
        <v/>
      </c>
      <c r="G296" s="7">
        <f>'1 prepared data'!F289</f>
        <v/>
      </c>
      <c r="H296" s="7">
        <f>'1 prepared data'!G289</f>
        <v/>
      </c>
      <c r="I296" s="7">
        <f>'1 prepared data'!H289</f>
        <v/>
      </c>
      <c r="J296" s="7">
        <f>'1 prepared data'!I289</f>
        <v/>
      </c>
      <c r="K296" s="7">
        <f>'1 prepared data'!J289</f>
        <v/>
      </c>
      <c r="L296" s="7">
        <f>'1 prepared data'!K289</f>
        <v/>
      </c>
      <c r="M296" s="7">
        <f>'1 prepared data'!L289</f>
        <v/>
      </c>
      <c r="N296" s="7">
        <f>'1 prepared data'!M289</f>
        <v/>
      </c>
      <c r="O296" s="7">
        <f>'1 prepared data'!N289</f>
        <v/>
      </c>
      <c r="P296" s="7">
        <f>'1 prepared data'!O289</f>
        <v/>
      </c>
      <c r="Q296" s="7">
        <f>'1 prepared data'!P289</f>
        <v/>
      </c>
      <c r="R296" s="7">
        <f>'1 prepared data'!Q289</f>
        <v/>
      </c>
      <c r="S296" s="7">
        <f>'1 prepared data'!R289</f>
        <v/>
      </c>
      <c r="T296" s="7">
        <f>'1 prepared data'!S289</f>
        <v/>
      </c>
      <c r="U296" s="7">
        <f>'1 prepared data'!T289</f>
        <v/>
      </c>
      <c r="V296" s="8">
        <f>$AC$12+D296*$AC$13+E296*$AC$14+F296*$AC$15+G296*$AC$16+H296*$AC$17+I296*$AC$18+J296*$AC$19+K296*$AC$20+L296*$AC$21+M296*$AC$22+N296*$AC$23+O296*$AC$24+P296*$AC$25+Q296*$AC$26+R296*$AC$27+S296*$AC$28+T296*$AC$29+U296*$AC$30</f>
        <v/>
      </c>
      <c r="W296" s="8">
        <f>1/(1+EXP(-V296))</f>
        <v/>
      </c>
      <c r="X296" s="9">
        <f>-IF(C296=1,LN(W296),LN(1-W296))</f>
        <v/>
      </c>
      <c r="Y296" s="10">
        <f>IF(W296&gt;$AC$33,1,0)</f>
        <v/>
      </c>
      <c r="Z296">
        <f>IF(Y296=C296,1,0)</f>
        <v/>
      </c>
    </row>
    <row r="297">
      <c r="A297">
        <f>'1 prepared data'!A290</f>
        <v/>
      </c>
      <c r="B297" s="5">
        <f>'1 prepared data'!U290</f>
        <v/>
      </c>
      <c r="C297">
        <f>'1 prepared data'!B290</f>
        <v/>
      </c>
      <c r="D297" s="7">
        <f>'1 prepared data'!C290</f>
        <v/>
      </c>
      <c r="E297" s="7">
        <f>'1 prepared data'!D290</f>
        <v/>
      </c>
      <c r="F297" s="7">
        <f>'1 prepared data'!E290</f>
        <v/>
      </c>
      <c r="G297" s="7">
        <f>'1 prepared data'!F290</f>
        <v/>
      </c>
      <c r="H297" s="7">
        <f>'1 prepared data'!G290</f>
        <v/>
      </c>
      <c r="I297" s="7">
        <f>'1 prepared data'!H290</f>
        <v/>
      </c>
      <c r="J297" s="7">
        <f>'1 prepared data'!I290</f>
        <v/>
      </c>
      <c r="K297" s="7">
        <f>'1 prepared data'!J290</f>
        <v/>
      </c>
      <c r="L297" s="7">
        <f>'1 prepared data'!K290</f>
        <v/>
      </c>
      <c r="M297" s="7">
        <f>'1 prepared data'!L290</f>
        <v/>
      </c>
      <c r="N297" s="7">
        <f>'1 prepared data'!M290</f>
        <v/>
      </c>
      <c r="O297" s="7">
        <f>'1 prepared data'!N290</f>
        <v/>
      </c>
      <c r="P297" s="7">
        <f>'1 prepared data'!O290</f>
        <v/>
      </c>
      <c r="Q297" s="7">
        <f>'1 prepared data'!P290</f>
        <v/>
      </c>
      <c r="R297" s="7">
        <f>'1 prepared data'!Q290</f>
        <v/>
      </c>
      <c r="S297" s="7">
        <f>'1 prepared data'!R290</f>
        <v/>
      </c>
      <c r="T297" s="7">
        <f>'1 prepared data'!S290</f>
        <v/>
      </c>
      <c r="U297" s="7">
        <f>'1 prepared data'!T290</f>
        <v/>
      </c>
      <c r="V297" s="8">
        <f>$AC$12+D297*$AC$13+E297*$AC$14+F297*$AC$15+G297*$AC$16+H297*$AC$17+I297*$AC$18+J297*$AC$19+K297*$AC$20+L297*$AC$21+M297*$AC$22+N297*$AC$23+O297*$AC$24+P297*$AC$25+Q297*$AC$26+R297*$AC$27+S297*$AC$28+T297*$AC$29+U297*$AC$30</f>
        <v/>
      </c>
      <c r="W297" s="8">
        <f>1/(1+EXP(-V297))</f>
        <v/>
      </c>
      <c r="X297" s="9">
        <f>-IF(C297=1,LN(W297),LN(1-W297))</f>
        <v/>
      </c>
      <c r="Y297" s="10">
        <f>IF(W297&gt;$AC$33,1,0)</f>
        <v/>
      </c>
      <c r="Z297">
        <f>IF(Y297=C297,1,0)</f>
        <v/>
      </c>
    </row>
    <row r="298">
      <c r="A298">
        <f>'1 prepared data'!A291</f>
        <v/>
      </c>
      <c r="B298" s="5">
        <f>'1 prepared data'!U291</f>
        <v/>
      </c>
      <c r="C298">
        <f>'1 prepared data'!B291</f>
        <v/>
      </c>
      <c r="D298" s="7">
        <f>'1 prepared data'!C291</f>
        <v/>
      </c>
      <c r="E298" s="7">
        <f>'1 prepared data'!D291</f>
        <v/>
      </c>
      <c r="F298" s="7">
        <f>'1 prepared data'!E291</f>
        <v/>
      </c>
      <c r="G298" s="7">
        <f>'1 prepared data'!F291</f>
        <v/>
      </c>
      <c r="H298" s="7">
        <f>'1 prepared data'!G291</f>
        <v/>
      </c>
      <c r="I298" s="7">
        <f>'1 prepared data'!H291</f>
        <v/>
      </c>
      <c r="J298" s="7">
        <f>'1 prepared data'!I291</f>
        <v/>
      </c>
      <c r="K298" s="7">
        <f>'1 prepared data'!J291</f>
        <v/>
      </c>
      <c r="L298" s="7">
        <f>'1 prepared data'!K291</f>
        <v/>
      </c>
      <c r="M298" s="7">
        <f>'1 prepared data'!L291</f>
        <v/>
      </c>
      <c r="N298" s="7">
        <f>'1 prepared data'!M291</f>
        <v/>
      </c>
      <c r="O298" s="7">
        <f>'1 prepared data'!N291</f>
        <v/>
      </c>
      <c r="P298" s="7">
        <f>'1 prepared data'!O291</f>
        <v/>
      </c>
      <c r="Q298" s="7">
        <f>'1 prepared data'!P291</f>
        <v/>
      </c>
      <c r="R298" s="7">
        <f>'1 prepared data'!Q291</f>
        <v/>
      </c>
      <c r="S298" s="7">
        <f>'1 prepared data'!R291</f>
        <v/>
      </c>
      <c r="T298" s="7">
        <f>'1 prepared data'!S291</f>
        <v/>
      </c>
      <c r="U298" s="7">
        <f>'1 prepared data'!T291</f>
        <v/>
      </c>
      <c r="V298" s="8">
        <f>$AC$12+D298*$AC$13+E298*$AC$14+F298*$AC$15+G298*$AC$16+H298*$AC$17+I298*$AC$18+J298*$AC$19+K298*$AC$20+L298*$AC$21+M298*$AC$22+N298*$AC$23+O298*$AC$24+P298*$AC$25+Q298*$AC$26+R298*$AC$27+S298*$AC$28+T298*$AC$29+U298*$AC$30</f>
        <v/>
      </c>
      <c r="W298" s="8">
        <f>1/(1+EXP(-V298))</f>
        <v/>
      </c>
      <c r="X298" s="9">
        <f>-IF(C298=1,LN(W298),LN(1-W298))</f>
        <v/>
      </c>
      <c r="Y298" s="10">
        <f>IF(W298&gt;$AC$33,1,0)</f>
        <v/>
      </c>
      <c r="Z298">
        <f>IF(Y298=C298,1,0)</f>
        <v/>
      </c>
    </row>
    <row r="299">
      <c r="A299">
        <f>'1 prepared data'!A292</f>
        <v/>
      </c>
      <c r="B299" s="5">
        <f>'1 prepared data'!U292</f>
        <v/>
      </c>
      <c r="C299">
        <f>'1 prepared data'!B292</f>
        <v/>
      </c>
      <c r="D299" s="7">
        <f>'1 prepared data'!C292</f>
        <v/>
      </c>
      <c r="E299" s="7">
        <f>'1 prepared data'!D292</f>
        <v/>
      </c>
      <c r="F299" s="7">
        <f>'1 prepared data'!E292</f>
        <v/>
      </c>
      <c r="G299" s="7">
        <f>'1 prepared data'!F292</f>
        <v/>
      </c>
      <c r="H299" s="7">
        <f>'1 prepared data'!G292</f>
        <v/>
      </c>
      <c r="I299" s="7">
        <f>'1 prepared data'!H292</f>
        <v/>
      </c>
      <c r="J299" s="7">
        <f>'1 prepared data'!I292</f>
        <v/>
      </c>
      <c r="K299" s="7">
        <f>'1 prepared data'!J292</f>
        <v/>
      </c>
      <c r="L299" s="7">
        <f>'1 prepared data'!K292</f>
        <v/>
      </c>
      <c r="M299" s="7">
        <f>'1 prepared data'!L292</f>
        <v/>
      </c>
      <c r="N299" s="7">
        <f>'1 prepared data'!M292</f>
        <v/>
      </c>
      <c r="O299" s="7">
        <f>'1 prepared data'!N292</f>
        <v/>
      </c>
      <c r="P299" s="7">
        <f>'1 prepared data'!O292</f>
        <v/>
      </c>
      <c r="Q299" s="7">
        <f>'1 prepared data'!P292</f>
        <v/>
      </c>
      <c r="R299" s="7">
        <f>'1 prepared data'!Q292</f>
        <v/>
      </c>
      <c r="S299" s="7">
        <f>'1 prepared data'!R292</f>
        <v/>
      </c>
      <c r="T299" s="7">
        <f>'1 prepared data'!S292</f>
        <v/>
      </c>
      <c r="U299" s="7">
        <f>'1 prepared data'!T292</f>
        <v/>
      </c>
      <c r="V299" s="8">
        <f>$AC$12+D299*$AC$13+E299*$AC$14+F299*$AC$15+G299*$AC$16+H299*$AC$17+I299*$AC$18+J299*$AC$19+K299*$AC$20+L299*$AC$21+M299*$AC$22+N299*$AC$23+O299*$AC$24+P299*$AC$25+Q299*$AC$26+R299*$AC$27+S299*$AC$28+T299*$AC$29+U299*$AC$30</f>
        <v/>
      </c>
      <c r="W299" s="8">
        <f>1/(1+EXP(-V299))</f>
        <v/>
      </c>
      <c r="X299" s="9">
        <f>-IF(C299=1,LN(W299),LN(1-W299))</f>
        <v/>
      </c>
      <c r="Y299" s="10">
        <f>IF(W299&gt;$AC$33,1,0)</f>
        <v/>
      </c>
      <c r="Z299">
        <f>IF(Y299=C299,1,0)</f>
        <v/>
      </c>
    </row>
    <row r="300">
      <c r="A300">
        <f>'1 prepared data'!A293</f>
        <v/>
      </c>
      <c r="B300" s="5">
        <f>'1 prepared data'!U293</f>
        <v/>
      </c>
      <c r="C300">
        <f>'1 prepared data'!B293</f>
        <v/>
      </c>
      <c r="D300" s="7">
        <f>'1 prepared data'!C293</f>
        <v/>
      </c>
      <c r="E300" s="7">
        <f>'1 prepared data'!D293</f>
        <v/>
      </c>
      <c r="F300" s="7">
        <f>'1 prepared data'!E293</f>
        <v/>
      </c>
      <c r="G300" s="7">
        <f>'1 prepared data'!F293</f>
        <v/>
      </c>
      <c r="H300" s="7">
        <f>'1 prepared data'!G293</f>
        <v/>
      </c>
      <c r="I300" s="7">
        <f>'1 prepared data'!H293</f>
        <v/>
      </c>
      <c r="J300" s="7">
        <f>'1 prepared data'!I293</f>
        <v/>
      </c>
      <c r="K300" s="7">
        <f>'1 prepared data'!J293</f>
        <v/>
      </c>
      <c r="L300" s="7">
        <f>'1 prepared data'!K293</f>
        <v/>
      </c>
      <c r="M300" s="7">
        <f>'1 prepared data'!L293</f>
        <v/>
      </c>
      <c r="N300" s="7">
        <f>'1 prepared data'!M293</f>
        <v/>
      </c>
      <c r="O300" s="7">
        <f>'1 prepared data'!N293</f>
        <v/>
      </c>
      <c r="P300" s="7">
        <f>'1 prepared data'!O293</f>
        <v/>
      </c>
      <c r="Q300" s="7">
        <f>'1 prepared data'!P293</f>
        <v/>
      </c>
      <c r="R300" s="7">
        <f>'1 prepared data'!Q293</f>
        <v/>
      </c>
      <c r="S300" s="7">
        <f>'1 prepared data'!R293</f>
        <v/>
      </c>
      <c r="T300" s="7">
        <f>'1 prepared data'!S293</f>
        <v/>
      </c>
      <c r="U300" s="7">
        <f>'1 prepared data'!T293</f>
        <v/>
      </c>
      <c r="V300" s="8">
        <f>$AC$12+D300*$AC$13+E300*$AC$14+F300*$AC$15+G300*$AC$16+H300*$AC$17+I300*$AC$18+J300*$AC$19+K300*$AC$20+L300*$AC$21+M300*$AC$22+N300*$AC$23+O300*$AC$24+P300*$AC$25+Q300*$AC$26+R300*$AC$27+S300*$AC$28+T300*$AC$29+U300*$AC$30</f>
        <v/>
      </c>
      <c r="W300" s="8">
        <f>1/(1+EXP(-V300))</f>
        <v/>
      </c>
      <c r="X300" s="9">
        <f>-IF(C300=1,LN(W300),LN(1-W300))</f>
        <v/>
      </c>
      <c r="Y300" s="10">
        <f>IF(W300&gt;$AC$33,1,0)</f>
        <v/>
      </c>
      <c r="Z300">
        <f>IF(Y300=C300,1,0)</f>
        <v/>
      </c>
    </row>
    <row r="301">
      <c r="A301">
        <f>'1 prepared data'!A294</f>
        <v/>
      </c>
      <c r="B301" s="5">
        <f>'1 prepared data'!U294</f>
        <v/>
      </c>
      <c r="C301">
        <f>'1 prepared data'!B294</f>
        <v/>
      </c>
      <c r="D301" s="7">
        <f>'1 prepared data'!C294</f>
        <v/>
      </c>
      <c r="E301" s="7">
        <f>'1 prepared data'!D294</f>
        <v/>
      </c>
      <c r="F301" s="7">
        <f>'1 prepared data'!E294</f>
        <v/>
      </c>
      <c r="G301" s="7">
        <f>'1 prepared data'!F294</f>
        <v/>
      </c>
      <c r="H301" s="7">
        <f>'1 prepared data'!G294</f>
        <v/>
      </c>
      <c r="I301" s="7">
        <f>'1 prepared data'!H294</f>
        <v/>
      </c>
      <c r="J301" s="7">
        <f>'1 prepared data'!I294</f>
        <v/>
      </c>
      <c r="K301" s="7">
        <f>'1 prepared data'!J294</f>
        <v/>
      </c>
      <c r="L301" s="7">
        <f>'1 prepared data'!K294</f>
        <v/>
      </c>
      <c r="M301" s="7">
        <f>'1 prepared data'!L294</f>
        <v/>
      </c>
      <c r="N301" s="7">
        <f>'1 prepared data'!M294</f>
        <v/>
      </c>
      <c r="O301" s="7">
        <f>'1 prepared data'!N294</f>
        <v/>
      </c>
      <c r="P301" s="7">
        <f>'1 prepared data'!O294</f>
        <v/>
      </c>
      <c r="Q301" s="7">
        <f>'1 prepared data'!P294</f>
        <v/>
      </c>
      <c r="R301" s="7">
        <f>'1 prepared data'!Q294</f>
        <v/>
      </c>
      <c r="S301" s="7">
        <f>'1 prepared data'!R294</f>
        <v/>
      </c>
      <c r="T301" s="7">
        <f>'1 prepared data'!S294</f>
        <v/>
      </c>
      <c r="U301" s="7">
        <f>'1 prepared data'!T294</f>
        <v/>
      </c>
      <c r="V301" s="8">
        <f>$AC$12+D301*$AC$13+E301*$AC$14+F301*$AC$15+G301*$AC$16+H301*$AC$17+I301*$AC$18+J301*$AC$19+K301*$AC$20+L301*$AC$21+M301*$AC$22+N301*$AC$23+O301*$AC$24+P301*$AC$25+Q301*$AC$26+R301*$AC$27+S301*$AC$28+T301*$AC$29+U301*$AC$30</f>
        <v/>
      </c>
      <c r="W301" s="8">
        <f>1/(1+EXP(-V301))</f>
        <v/>
      </c>
      <c r="X301" s="9">
        <f>-IF(C301=1,LN(W301),LN(1-W301))</f>
        <v/>
      </c>
      <c r="Y301" s="10">
        <f>IF(W301&gt;$AC$33,1,0)</f>
        <v/>
      </c>
      <c r="Z301">
        <f>IF(Y301=C301,1,0)</f>
        <v/>
      </c>
    </row>
    <row r="302">
      <c r="A302">
        <f>'1 prepared data'!A295</f>
        <v/>
      </c>
      <c r="B302" s="5">
        <f>'1 prepared data'!U295</f>
        <v/>
      </c>
      <c r="C302">
        <f>'1 prepared data'!B295</f>
        <v/>
      </c>
      <c r="D302" s="7">
        <f>'1 prepared data'!C295</f>
        <v/>
      </c>
      <c r="E302" s="7">
        <f>'1 prepared data'!D295</f>
        <v/>
      </c>
      <c r="F302" s="7">
        <f>'1 prepared data'!E295</f>
        <v/>
      </c>
      <c r="G302" s="7">
        <f>'1 prepared data'!F295</f>
        <v/>
      </c>
      <c r="H302" s="7">
        <f>'1 prepared data'!G295</f>
        <v/>
      </c>
      <c r="I302" s="7">
        <f>'1 prepared data'!H295</f>
        <v/>
      </c>
      <c r="J302" s="7">
        <f>'1 prepared data'!I295</f>
        <v/>
      </c>
      <c r="K302" s="7">
        <f>'1 prepared data'!J295</f>
        <v/>
      </c>
      <c r="L302" s="7">
        <f>'1 prepared data'!K295</f>
        <v/>
      </c>
      <c r="M302" s="7">
        <f>'1 prepared data'!L295</f>
        <v/>
      </c>
      <c r="N302" s="7">
        <f>'1 prepared data'!M295</f>
        <v/>
      </c>
      <c r="O302" s="7">
        <f>'1 prepared data'!N295</f>
        <v/>
      </c>
      <c r="P302" s="7">
        <f>'1 prepared data'!O295</f>
        <v/>
      </c>
      <c r="Q302" s="7">
        <f>'1 prepared data'!P295</f>
        <v/>
      </c>
      <c r="R302" s="7">
        <f>'1 prepared data'!Q295</f>
        <v/>
      </c>
      <c r="S302" s="7">
        <f>'1 prepared data'!R295</f>
        <v/>
      </c>
      <c r="T302" s="7">
        <f>'1 prepared data'!S295</f>
        <v/>
      </c>
      <c r="U302" s="7">
        <f>'1 prepared data'!T295</f>
        <v/>
      </c>
      <c r="V302" s="8">
        <f>$AC$12+D302*$AC$13+E302*$AC$14+F302*$AC$15+G302*$AC$16+H302*$AC$17+I302*$AC$18+J302*$AC$19+K302*$AC$20+L302*$AC$21+M302*$AC$22+N302*$AC$23+O302*$AC$24+P302*$AC$25+Q302*$AC$26+R302*$AC$27+S302*$AC$28+T302*$AC$29+U302*$AC$30</f>
        <v/>
      </c>
      <c r="W302" s="8">
        <f>1/(1+EXP(-V302))</f>
        <v/>
      </c>
      <c r="X302" s="9">
        <f>-IF(C302=1,LN(W302),LN(1-W302))</f>
        <v/>
      </c>
      <c r="Y302" s="10">
        <f>IF(W302&gt;$AC$33,1,0)</f>
        <v/>
      </c>
      <c r="Z302">
        <f>IF(Y302=C302,1,0)</f>
        <v/>
      </c>
    </row>
    <row r="303">
      <c r="A303">
        <f>'1 prepared data'!A296</f>
        <v/>
      </c>
      <c r="B303" s="5">
        <f>'1 prepared data'!U296</f>
        <v/>
      </c>
      <c r="C303">
        <f>'1 prepared data'!B296</f>
        <v/>
      </c>
      <c r="D303" s="7">
        <f>'1 prepared data'!C296</f>
        <v/>
      </c>
      <c r="E303" s="7">
        <f>'1 prepared data'!D296</f>
        <v/>
      </c>
      <c r="F303" s="7">
        <f>'1 prepared data'!E296</f>
        <v/>
      </c>
      <c r="G303" s="7">
        <f>'1 prepared data'!F296</f>
        <v/>
      </c>
      <c r="H303" s="7">
        <f>'1 prepared data'!G296</f>
        <v/>
      </c>
      <c r="I303" s="7">
        <f>'1 prepared data'!H296</f>
        <v/>
      </c>
      <c r="J303" s="7">
        <f>'1 prepared data'!I296</f>
        <v/>
      </c>
      <c r="K303" s="7">
        <f>'1 prepared data'!J296</f>
        <v/>
      </c>
      <c r="L303" s="7">
        <f>'1 prepared data'!K296</f>
        <v/>
      </c>
      <c r="M303" s="7">
        <f>'1 prepared data'!L296</f>
        <v/>
      </c>
      <c r="N303" s="7">
        <f>'1 prepared data'!M296</f>
        <v/>
      </c>
      <c r="O303" s="7">
        <f>'1 prepared data'!N296</f>
        <v/>
      </c>
      <c r="P303" s="7">
        <f>'1 prepared data'!O296</f>
        <v/>
      </c>
      <c r="Q303" s="7">
        <f>'1 prepared data'!P296</f>
        <v/>
      </c>
      <c r="R303" s="7">
        <f>'1 prepared data'!Q296</f>
        <v/>
      </c>
      <c r="S303" s="7">
        <f>'1 prepared data'!R296</f>
        <v/>
      </c>
      <c r="T303" s="7">
        <f>'1 prepared data'!S296</f>
        <v/>
      </c>
      <c r="U303" s="7">
        <f>'1 prepared data'!T296</f>
        <v/>
      </c>
      <c r="V303" s="8">
        <f>$AC$12+D303*$AC$13+E303*$AC$14+F303*$AC$15+G303*$AC$16+H303*$AC$17+I303*$AC$18+J303*$AC$19+K303*$AC$20+L303*$AC$21+M303*$AC$22+N303*$AC$23+O303*$AC$24+P303*$AC$25+Q303*$AC$26+R303*$AC$27+S303*$AC$28+T303*$AC$29+U303*$AC$30</f>
        <v/>
      </c>
      <c r="W303" s="8">
        <f>1/(1+EXP(-V303))</f>
        <v/>
      </c>
      <c r="X303" s="9">
        <f>-IF(C303=1,LN(W303),LN(1-W303))</f>
        <v/>
      </c>
      <c r="Y303" s="10">
        <f>IF(W303&gt;$AC$33,1,0)</f>
        <v/>
      </c>
      <c r="Z303">
        <f>IF(Y303=C303,1,0)</f>
        <v/>
      </c>
    </row>
    <row r="304">
      <c r="A304">
        <f>'1 prepared data'!A297</f>
        <v/>
      </c>
      <c r="B304" s="5">
        <f>'1 prepared data'!U297</f>
        <v/>
      </c>
      <c r="C304">
        <f>'1 prepared data'!B297</f>
        <v/>
      </c>
      <c r="D304" s="7">
        <f>'1 prepared data'!C297</f>
        <v/>
      </c>
      <c r="E304" s="7">
        <f>'1 prepared data'!D297</f>
        <v/>
      </c>
      <c r="F304" s="7">
        <f>'1 prepared data'!E297</f>
        <v/>
      </c>
      <c r="G304" s="7">
        <f>'1 prepared data'!F297</f>
        <v/>
      </c>
      <c r="H304" s="7">
        <f>'1 prepared data'!G297</f>
        <v/>
      </c>
      <c r="I304" s="7">
        <f>'1 prepared data'!H297</f>
        <v/>
      </c>
      <c r="J304" s="7">
        <f>'1 prepared data'!I297</f>
        <v/>
      </c>
      <c r="K304" s="7">
        <f>'1 prepared data'!J297</f>
        <v/>
      </c>
      <c r="L304" s="7">
        <f>'1 prepared data'!K297</f>
        <v/>
      </c>
      <c r="M304" s="7">
        <f>'1 prepared data'!L297</f>
        <v/>
      </c>
      <c r="N304" s="7">
        <f>'1 prepared data'!M297</f>
        <v/>
      </c>
      <c r="O304" s="7">
        <f>'1 prepared data'!N297</f>
        <v/>
      </c>
      <c r="P304" s="7">
        <f>'1 prepared data'!O297</f>
        <v/>
      </c>
      <c r="Q304" s="7">
        <f>'1 prepared data'!P297</f>
        <v/>
      </c>
      <c r="R304" s="7">
        <f>'1 prepared data'!Q297</f>
        <v/>
      </c>
      <c r="S304" s="7">
        <f>'1 prepared data'!R297</f>
        <v/>
      </c>
      <c r="T304" s="7">
        <f>'1 prepared data'!S297</f>
        <v/>
      </c>
      <c r="U304" s="7">
        <f>'1 prepared data'!T297</f>
        <v/>
      </c>
      <c r="V304" s="8">
        <f>$AC$12+D304*$AC$13+E304*$AC$14+F304*$AC$15+G304*$AC$16+H304*$AC$17+I304*$AC$18+J304*$AC$19+K304*$AC$20+L304*$AC$21+M304*$AC$22+N304*$AC$23+O304*$AC$24+P304*$AC$25+Q304*$AC$26+R304*$AC$27+S304*$AC$28+T304*$AC$29+U304*$AC$30</f>
        <v/>
      </c>
      <c r="W304" s="8">
        <f>1/(1+EXP(-V304))</f>
        <v/>
      </c>
      <c r="X304" s="9">
        <f>-IF(C304=1,LN(W304),LN(1-W304))</f>
        <v/>
      </c>
      <c r="Y304" s="10">
        <f>IF(W304&gt;$AC$33,1,0)</f>
        <v/>
      </c>
      <c r="Z304">
        <f>IF(Y304=C304,1,0)</f>
        <v/>
      </c>
    </row>
    <row r="305">
      <c r="A305">
        <f>'1 prepared data'!A298</f>
        <v/>
      </c>
      <c r="B305" s="5">
        <f>'1 prepared data'!U298</f>
        <v/>
      </c>
      <c r="C305">
        <f>'1 prepared data'!B298</f>
        <v/>
      </c>
      <c r="D305" s="7">
        <f>'1 prepared data'!C298</f>
        <v/>
      </c>
      <c r="E305" s="7">
        <f>'1 prepared data'!D298</f>
        <v/>
      </c>
      <c r="F305" s="7">
        <f>'1 prepared data'!E298</f>
        <v/>
      </c>
      <c r="G305" s="7">
        <f>'1 prepared data'!F298</f>
        <v/>
      </c>
      <c r="H305" s="7">
        <f>'1 prepared data'!G298</f>
        <v/>
      </c>
      <c r="I305" s="7">
        <f>'1 prepared data'!H298</f>
        <v/>
      </c>
      <c r="J305" s="7">
        <f>'1 prepared data'!I298</f>
        <v/>
      </c>
      <c r="K305" s="7">
        <f>'1 prepared data'!J298</f>
        <v/>
      </c>
      <c r="L305" s="7">
        <f>'1 prepared data'!K298</f>
        <v/>
      </c>
      <c r="M305" s="7">
        <f>'1 prepared data'!L298</f>
        <v/>
      </c>
      <c r="N305" s="7">
        <f>'1 prepared data'!M298</f>
        <v/>
      </c>
      <c r="O305" s="7">
        <f>'1 prepared data'!N298</f>
        <v/>
      </c>
      <c r="P305" s="7">
        <f>'1 prepared data'!O298</f>
        <v/>
      </c>
      <c r="Q305" s="7">
        <f>'1 prepared data'!P298</f>
        <v/>
      </c>
      <c r="R305" s="7">
        <f>'1 prepared data'!Q298</f>
        <v/>
      </c>
      <c r="S305" s="7">
        <f>'1 prepared data'!R298</f>
        <v/>
      </c>
      <c r="T305" s="7">
        <f>'1 prepared data'!S298</f>
        <v/>
      </c>
      <c r="U305" s="7">
        <f>'1 prepared data'!T298</f>
        <v/>
      </c>
      <c r="V305" s="8">
        <f>$AC$12+D305*$AC$13+E305*$AC$14+F305*$AC$15+G305*$AC$16+H305*$AC$17+I305*$AC$18+J305*$AC$19+K305*$AC$20+L305*$AC$21+M305*$AC$22+N305*$AC$23+O305*$AC$24+P305*$AC$25+Q305*$AC$26+R305*$AC$27+S305*$AC$28+T305*$AC$29+U305*$AC$30</f>
        <v/>
      </c>
      <c r="W305" s="8">
        <f>1/(1+EXP(-V305))</f>
        <v/>
      </c>
      <c r="X305" s="9">
        <f>-IF(C305=1,LN(W305),LN(1-W305))</f>
        <v/>
      </c>
      <c r="Y305" s="10">
        <f>IF(W305&gt;$AC$33,1,0)</f>
        <v/>
      </c>
      <c r="Z305">
        <f>IF(Y305=C305,1,0)</f>
        <v/>
      </c>
    </row>
    <row r="306">
      <c r="A306">
        <f>'1 prepared data'!A299</f>
        <v/>
      </c>
      <c r="B306" s="5">
        <f>'1 prepared data'!U299</f>
        <v/>
      </c>
      <c r="C306">
        <f>'1 prepared data'!B299</f>
        <v/>
      </c>
      <c r="D306" s="7">
        <f>'1 prepared data'!C299</f>
        <v/>
      </c>
      <c r="E306" s="7">
        <f>'1 prepared data'!D299</f>
        <v/>
      </c>
      <c r="F306" s="7">
        <f>'1 prepared data'!E299</f>
        <v/>
      </c>
      <c r="G306" s="7">
        <f>'1 prepared data'!F299</f>
        <v/>
      </c>
      <c r="H306" s="7">
        <f>'1 prepared data'!G299</f>
        <v/>
      </c>
      <c r="I306" s="7">
        <f>'1 prepared data'!H299</f>
        <v/>
      </c>
      <c r="J306" s="7">
        <f>'1 prepared data'!I299</f>
        <v/>
      </c>
      <c r="K306" s="7">
        <f>'1 prepared data'!J299</f>
        <v/>
      </c>
      <c r="L306" s="7">
        <f>'1 prepared data'!K299</f>
        <v/>
      </c>
      <c r="M306" s="7">
        <f>'1 prepared data'!L299</f>
        <v/>
      </c>
      <c r="N306" s="7">
        <f>'1 prepared data'!M299</f>
        <v/>
      </c>
      <c r="O306" s="7">
        <f>'1 prepared data'!N299</f>
        <v/>
      </c>
      <c r="P306" s="7">
        <f>'1 prepared data'!O299</f>
        <v/>
      </c>
      <c r="Q306" s="7">
        <f>'1 prepared data'!P299</f>
        <v/>
      </c>
      <c r="R306" s="7">
        <f>'1 prepared data'!Q299</f>
        <v/>
      </c>
      <c r="S306" s="7">
        <f>'1 prepared data'!R299</f>
        <v/>
      </c>
      <c r="T306" s="7">
        <f>'1 prepared data'!S299</f>
        <v/>
      </c>
      <c r="U306" s="7">
        <f>'1 prepared data'!T299</f>
        <v/>
      </c>
      <c r="V306" s="8">
        <f>$AC$12+D306*$AC$13+E306*$AC$14+F306*$AC$15+G306*$AC$16+H306*$AC$17+I306*$AC$18+J306*$AC$19+K306*$AC$20+L306*$AC$21+M306*$AC$22+N306*$AC$23+O306*$AC$24+P306*$AC$25+Q306*$AC$26+R306*$AC$27+S306*$AC$28+T306*$AC$29+U306*$AC$30</f>
        <v/>
      </c>
      <c r="W306" s="8">
        <f>1/(1+EXP(-V306))</f>
        <v/>
      </c>
      <c r="X306" s="9">
        <f>-IF(C306=1,LN(W306),LN(1-W306))</f>
        <v/>
      </c>
      <c r="Y306" s="10">
        <f>IF(W306&gt;$AC$33,1,0)</f>
        <v/>
      </c>
      <c r="Z306">
        <f>IF(Y306=C306,1,0)</f>
        <v/>
      </c>
    </row>
    <row r="307">
      <c r="A307">
        <f>'1 prepared data'!A300</f>
        <v/>
      </c>
      <c r="B307" s="5">
        <f>'1 prepared data'!U300</f>
        <v/>
      </c>
      <c r="C307">
        <f>'1 prepared data'!B300</f>
        <v/>
      </c>
      <c r="D307" s="7">
        <f>'1 prepared data'!C300</f>
        <v/>
      </c>
      <c r="E307" s="7">
        <f>'1 prepared data'!D300</f>
        <v/>
      </c>
      <c r="F307" s="7">
        <f>'1 prepared data'!E300</f>
        <v/>
      </c>
      <c r="G307" s="7">
        <f>'1 prepared data'!F300</f>
        <v/>
      </c>
      <c r="H307" s="7">
        <f>'1 prepared data'!G300</f>
        <v/>
      </c>
      <c r="I307" s="7">
        <f>'1 prepared data'!H300</f>
        <v/>
      </c>
      <c r="J307" s="7">
        <f>'1 prepared data'!I300</f>
        <v/>
      </c>
      <c r="K307" s="7">
        <f>'1 prepared data'!J300</f>
        <v/>
      </c>
      <c r="L307" s="7">
        <f>'1 prepared data'!K300</f>
        <v/>
      </c>
      <c r="M307" s="7">
        <f>'1 prepared data'!L300</f>
        <v/>
      </c>
      <c r="N307" s="7">
        <f>'1 prepared data'!M300</f>
        <v/>
      </c>
      <c r="O307" s="7">
        <f>'1 prepared data'!N300</f>
        <v/>
      </c>
      <c r="P307" s="7">
        <f>'1 prepared data'!O300</f>
        <v/>
      </c>
      <c r="Q307" s="7">
        <f>'1 prepared data'!P300</f>
        <v/>
      </c>
      <c r="R307" s="7">
        <f>'1 prepared data'!Q300</f>
        <v/>
      </c>
      <c r="S307" s="7">
        <f>'1 prepared data'!R300</f>
        <v/>
      </c>
      <c r="T307" s="7">
        <f>'1 prepared data'!S300</f>
        <v/>
      </c>
      <c r="U307" s="7">
        <f>'1 prepared data'!T300</f>
        <v/>
      </c>
      <c r="V307" s="8">
        <f>$AC$12+D307*$AC$13+E307*$AC$14+F307*$AC$15+G307*$AC$16+H307*$AC$17+I307*$AC$18+J307*$AC$19+K307*$AC$20+L307*$AC$21+M307*$AC$22+N307*$AC$23+O307*$AC$24+P307*$AC$25+Q307*$AC$26+R307*$AC$27+S307*$AC$28+T307*$AC$29+U307*$AC$30</f>
        <v/>
      </c>
      <c r="W307" s="8">
        <f>1/(1+EXP(-V307))</f>
        <v/>
      </c>
      <c r="X307" s="9">
        <f>-IF(C307=1,LN(W307),LN(1-W307))</f>
        <v/>
      </c>
      <c r="Y307" s="10">
        <f>IF(W307&gt;$AC$33,1,0)</f>
        <v/>
      </c>
      <c r="Z307">
        <f>IF(Y307=C307,1,0)</f>
        <v/>
      </c>
    </row>
    <row r="308">
      <c r="A308">
        <f>'1 prepared data'!A301</f>
        <v/>
      </c>
      <c r="B308" s="5">
        <f>'1 prepared data'!U301</f>
        <v/>
      </c>
      <c r="C308">
        <f>'1 prepared data'!B301</f>
        <v/>
      </c>
      <c r="D308" s="7">
        <f>'1 prepared data'!C301</f>
        <v/>
      </c>
      <c r="E308" s="7">
        <f>'1 prepared data'!D301</f>
        <v/>
      </c>
      <c r="F308" s="7">
        <f>'1 prepared data'!E301</f>
        <v/>
      </c>
      <c r="G308" s="7">
        <f>'1 prepared data'!F301</f>
        <v/>
      </c>
      <c r="H308" s="7">
        <f>'1 prepared data'!G301</f>
        <v/>
      </c>
      <c r="I308" s="7">
        <f>'1 prepared data'!H301</f>
        <v/>
      </c>
      <c r="J308" s="7">
        <f>'1 prepared data'!I301</f>
        <v/>
      </c>
      <c r="K308" s="7">
        <f>'1 prepared data'!J301</f>
        <v/>
      </c>
      <c r="L308" s="7">
        <f>'1 prepared data'!K301</f>
        <v/>
      </c>
      <c r="M308" s="7">
        <f>'1 prepared data'!L301</f>
        <v/>
      </c>
      <c r="N308" s="7">
        <f>'1 prepared data'!M301</f>
        <v/>
      </c>
      <c r="O308" s="7">
        <f>'1 prepared data'!N301</f>
        <v/>
      </c>
      <c r="P308" s="7">
        <f>'1 prepared data'!O301</f>
        <v/>
      </c>
      <c r="Q308" s="7">
        <f>'1 prepared data'!P301</f>
        <v/>
      </c>
      <c r="R308" s="7">
        <f>'1 prepared data'!Q301</f>
        <v/>
      </c>
      <c r="S308" s="7">
        <f>'1 prepared data'!R301</f>
        <v/>
      </c>
      <c r="T308" s="7">
        <f>'1 prepared data'!S301</f>
        <v/>
      </c>
      <c r="U308" s="7">
        <f>'1 prepared data'!T301</f>
        <v/>
      </c>
      <c r="V308" s="8">
        <f>$AC$12+D308*$AC$13+E308*$AC$14+F308*$AC$15+G308*$AC$16+H308*$AC$17+I308*$AC$18+J308*$AC$19+K308*$AC$20+L308*$AC$21+M308*$AC$22+N308*$AC$23+O308*$AC$24+P308*$AC$25+Q308*$AC$26+R308*$AC$27+S308*$AC$28+T308*$AC$29+U308*$AC$30</f>
        <v/>
      </c>
      <c r="W308" s="8">
        <f>1/(1+EXP(-V308))</f>
        <v/>
      </c>
      <c r="X308" s="9">
        <f>-IF(C308=1,LN(W308),LN(1-W308))</f>
        <v/>
      </c>
      <c r="Y308" s="10">
        <f>IF(W308&gt;$AC$33,1,0)</f>
        <v/>
      </c>
      <c r="Z308">
        <f>IF(Y308=C308,1,0)</f>
        <v/>
      </c>
    </row>
    <row r="309">
      <c r="A309">
        <f>'1 prepared data'!A302</f>
        <v/>
      </c>
      <c r="B309" s="5">
        <f>'1 prepared data'!U302</f>
        <v/>
      </c>
      <c r="C309">
        <f>'1 prepared data'!B302</f>
        <v/>
      </c>
      <c r="D309" s="7">
        <f>'1 prepared data'!C302</f>
        <v/>
      </c>
      <c r="E309" s="7">
        <f>'1 prepared data'!D302</f>
        <v/>
      </c>
      <c r="F309" s="7">
        <f>'1 prepared data'!E302</f>
        <v/>
      </c>
      <c r="G309" s="7">
        <f>'1 prepared data'!F302</f>
        <v/>
      </c>
      <c r="H309" s="7">
        <f>'1 prepared data'!G302</f>
        <v/>
      </c>
      <c r="I309" s="7">
        <f>'1 prepared data'!H302</f>
        <v/>
      </c>
      <c r="J309" s="7">
        <f>'1 prepared data'!I302</f>
        <v/>
      </c>
      <c r="K309" s="7">
        <f>'1 prepared data'!J302</f>
        <v/>
      </c>
      <c r="L309" s="7">
        <f>'1 prepared data'!K302</f>
        <v/>
      </c>
      <c r="M309" s="7">
        <f>'1 prepared data'!L302</f>
        <v/>
      </c>
      <c r="N309" s="7">
        <f>'1 prepared data'!M302</f>
        <v/>
      </c>
      <c r="O309" s="7">
        <f>'1 prepared data'!N302</f>
        <v/>
      </c>
      <c r="P309" s="7">
        <f>'1 prepared data'!O302</f>
        <v/>
      </c>
      <c r="Q309" s="7">
        <f>'1 prepared data'!P302</f>
        <v/>
      </c>
      <c r="R309" s="7">
        <f>'1 prepared data'!Q302</f>
        <v/>
      </c>
      <c r="S309" s="7">
        <f>'1 prepared data'!R302</f>
        <v/>
      </c>
      <c r="T309" s="7">
        <f>'1 prepared data'!S302</f>
        <v/>
      </c>
      <c r="U309" s="7">
        <f>'1 prepared data'!T302</f>
        <v/>
      </c>
      <c r="V309" s="8">
        <f>$AC$12+D309*$AC$13+E309*$AC$14+F309*$AC$15+G309*$AC$16+H309*$AC$17+I309*$AC$18+J309*$AC$19+K309*$AC$20+L309*$AC$21+M309*$AC$22+N309*$AC$23+O309*$AC$24+P309*$AC$25+Q309*$AC$26+R309*$AC$27+S309*$AC$28+T309*$AC$29+U309*$AC$30</f>
        <v/>
      </c>
      <c r="W309" s="8">
        <f>1/(1+EXP(-V309))</f>
        <v/>
      </c>
      <c r="X309" s="9">
        <f>-IF(C309=1,LN(W309),LN(1-W309))</f>
        <v/>
      </c>
      <c r="Y309" s="10">
        <f>IF(W309&gt;$AC$33,1,0)</f>
        <v/>
      </c>
      <c r="Z309">
        <f>IF(Y309=C309,1,0)</f>
        <v/>
      </c>
    </row>
    <row r="310">
      <c r="A310">
        <f>'1 prepared data'!A303</f>
        <v/>
      </c>
      <c r="B310" s="5">
        <f>'1 prepared data'!U303</f>
        <v/>
      </c>
      <c r="C310">
        <f>'1 prepared data'!B303</f>
        <v/>
      </c>
      <c r="D310" s="7">
        <f>'1 prepared data'!C303</f>
        <v/>
      </c>
      <c r="E310" s="7">
        <f>'1 prepared data'!D303</f>
        <v/>
      </c>
      <c r="F310" s="7">
        <f>'1 prepared data'!E303</f>
        <v/>
      </c>
      <c r="G310" s="7">
        <f>'1 prepared data'!F303</f>
        <v/>
      </c>
      <c r="H310" s="7">
        <f>'1 prepared data'!G303</f>
        <v/>
      </c>
      <c r="I310" s="7">
        <f>'1 prepared data'!H303</f>
        <v/>
      </c>
      <c r="J310" s="7">
        <f>'1 prepared data'!I303</f>
        <v/>
      </c>
      <c r="K310" s="7">
        <f>'1 prepared data'!J303</f>
        <v/>
      </c>
      <c r="L310" s="7">
        <f>'1 prepared data'!K303</f>
        <v/>
      </c>
      <c r="M310" s="7">
        <f>'1 prepared data'!L303</f>
        <v/>
      </c>
      <c r="N310" s="7">
        <f>'1 prepared data'!M303</f>
        <v/>
      </c>
      <c r="O310" s="7">
        <f>'1 prepared data'!N303</f>
        <v/>
      </c>
      <c r="P310" s="7">
        <f>'1 prepared data'!O303</f>
        <v/>
      </c>
      <c r="Q310" s="7">
        <f>'1 prepared data'!P303</f>
        <v/>
      </c>
      <c r="R310" s="7">
        <f>'1 prepared data'!Q303</f>
        <v/>
      </c>
      <c r="S310" s="7">
        <f>'1 prepared data'!R303</f>
        <v/>
      </c>
      <c r="T310" s="7">
        <f>'1 prepared data'!S303</f>
        <v/>
      </c>
      <c r="U310" s="7">
        <f>'1 prepared data'!T303</f>
        <v/>
      </c>
      <c r="V310" s="8">
        <f>$AC$12+D310*$AC$13+E310*$AC$14+F310*$AC$15+G310*$AC$16+H310*$AC$17+I310*$AC$18+J310*$AC$19+K310*$AC$20+L310*$AC$21+M310*$AC$22+N310*$AC$23+O310*$AC$24+P310*$AC$25+Q310*$AC$26+R310*$AC$27+S310*$AC$28+T310*$AC$29+U310*$AC$30</f>
        <v/>
      </c>
      <c r="W310" s="8">
        <f>1/(1+EXP(-V310))</f>
        <v/>
      </c>
      <c r="X310" s="9">
        <f>-IF(C310=1,LN(W310),LN(1-W310))</f>
        <v/>
      </c>
      <c r="Y310" s="10">
        <f>IF(W310&gt;$AC$33,1,0)</f>
        <v/>
      </c>
      <c r="Z310">
        <f>IF(Y310=C310,1,0)</f>
        <v/>
      </c>
    </row>
    <row r="311">
      <c r="A311">
        <f>'1 prepared data'!A304</f>
        <v/>
      </c>
      <c r="B311" s="5">
        <f>'1 prepared data'!U304</f>
        <v/>
      </c>
      <c r="C311">
        <f>'1 prepared data'!B304</f>
        <v/>
      </c>
      <c r="D311" s="7">
        <f>'1 prepared data'!C304</f>
        <v/>
      </c>
      <c r="E311" s="7">
        <f>'1 prepared data'!D304</f>
        <v/>
      </c>
      <c r="F311" s="7">
        <f>'1 prepared data'!E304</f>
        <v/>
      </c>
      <c r="G311" s="7">
        <f>'1 prepared data'!F304</f>
        <v/>
      </c>
      <c r="H311" s="7">
        <f>'1 prepared data'!G304</f>
        <v/>
      </c>
      <c r="I311" s="7">
        <f>'1 prepared data'!H304</f>
        <v/>
      </c>
      <c r="J311" s="7">
        <f>'1 prepared data'!I304</f>
        <v/>
      </c>
      <c r="K311" s="7">
        <f>'1 prepared data'!J304</f>
        <v/>
      </c>
      <c r="L311" s="7">
        <f>'1 prepared data'!K304</f>
        <v/>
      </c>
      <c r="M311" s="7">
        <f>'1 prepared data'!L304</f>
        <v/>
      </c>
      <c r="N311" s="7">
        <f>'1 prepared data'!M304</f>
        <v/>
      </c>
      <c r="O311" s="7">
        <f>'1 prepared data'!N304</f>
        <v/>
      </c>
      <c r="P311" s="7">
        <f>'1 prepared data'!O304</f>
        <v/>
      </c>
      <c r="Q311" s="7">
        <f>'1 prepared data'!P304</f>
        <v/>
      </c>
      <c r="R311" s="7">
        <f>'1 prepared data'!Q304</f>
        <v/>
      </c>
      <c r="S311" s="7">
        <f>'1 prepared data'!R304</f>
        <v/>
      </c>
      <c r="T311" s="7">
        <f>'1 prepared data'!S304</f>
        <v/>
      </c>
      <c r="U311" s="7">
        <f>'1 prepared data'!T304</f>
        <v/>
      </c>
      <c r="V311" s="8">
        <f>$AC$12+D311*$AC$13+E311*$AC$14+F311*$AC$15+G311*$AC$16+H311*$AC$17+I311*$AC$18+J311*$AC$19+K311*$AC$20+L311*$AC$21+M311*$AC$22+N311*$AC$23+O311*$AC$24+P311*$AC$25+Q311*$AC$26+R311*$AC$27+S311*$AC$28+T311*$AC$29+U311*$AC$30</f>
        <v/>
      </c>
      <c r="W311" s="8">
        <f>1/(1+EXP(-V311))</f>
        <v/>
      </c>
      <c r="X311" s="9">
        <f>-IF(C311=1,LN(W311),LN(1-W311))</f>
        <v/>
      </c>
      <c r="Y311" s="10">
        <f>IF(W311&gt;$AC$33,1,0)</f>
        <v/>
      </c>
      <c r="Z311">
        <f>IF(Y311=C311,1,0)</f>
        <v/>
      </c>
    </row>
    <row r="312">
      <c r="A312">
        <f>'1 prepared data'!A305</f>
        <v/>
      </c>
      <c r="B312" s="5">
        <f>'1 prepared data'!U305</f>
        <v/>
      </c>
      <c r="C312">
        <f>'1 prepared data'!B305</f>
        <v/>
      </c>
      <c r="D312" s="7">
        <f>'1 prepared data'!C305</f>
        <v/>
      </c>
      <c r="E312" s="7">
        <f>'1 prepared data'!D305</f>
        <v/>
      </c>
      <c r="F312" s="7">
        <f>'1 prepared data'!E305</f>
        <v/>
      </c>
      <c r="G312" s="7">
        <f>'1 prepared data'!F305</f>
        <v/>
      </c>
      <c r="H312" s="7">
        <f>'1 prepared data'!G305</f>
        <v/>
      </c>
      <c r="I312" s="7">
        <f>'1 prepared data'!H305</f>
        <v/>
      </c>
      <c r="J312" s="7">
        <f>'1 prepared data'!I305</f>
        <v/>
      </c>
      <c r="K312" s="7">
        <f>'1 prepared data'!J305</f>
        <v/>
      </c>
      <c r="L312" s="7">
        <f>'1 prepared data'!K305</f>
        <v/>
      </c>
      <c r="M312" s="7">
        <f>'1 prepared data'!L305</f>
        <v/>
      </c>
      <c r="N312" s="7">
        <f>'1 prepared data'!M305</f>
        <v/>
      </c>
      <c r="O312" s="7">
        <f>'1 prepared data'!N305</f>
        <v/>
      </c>
      <c r="P312" s="7">
        <f>'1 prepared data'!O305</f>
        <v/>
      </c>
      <c r="Q312" s="7">
        <f>'1 prepared data'!P305</f>
        <v/>
      </c>
      <c r="R312" s="7">
        <f>'1 prepared data'!Q305</f>
        <v/>
      </c>
      <c r="S312" s="7">
        <f>'1 prepared data'!R305</f>
        <v/>
      </c>
      <c r="T312" s="7">
        <f>'1 prepared data'!S305</f>
        <v/>
      </c>
      <c r="U312" s="7">
        <f>'1 prepared data'!T305</f>
        <v/>
      </c>
      <c r="V312" s="8">
        <f>$AC$12+D312*$AC$13+E312*$AC$14+F312*$AC$15+G312*$AC$16+H312*$AC$17+I312*$AC$18+J312*$AC$19+K312*$AC$20+L312*$AC$21+M312*$AC$22+N312*$AC$23+O312*$AC$24+P312*$AC$25+Q312*$AC$26+R312*$AC$27+S312*$AC$28+T312*$AC$29+U312*$AC$30</f>
        <v/>
      </c>
      <c r="W312" s="8">
        <f>1/(1+EXP(-V312))</f>
        <v/>
      </c>
      <c r="X312" s="9">
        <f>-IF(C312=1,LN(W312),LN(1-W312))</f>
        <v/>
      </c>
      <c r="Y312" s="10">
        <f>IF(W312&gt;$AC$33,1,0)</f>
        <v/>
      </c>
      <c r="Z312">
        <f>IF(Y312=C312,1,0)</f>
        <v/>
      </c>
    </row>
    <row r="313">
      <c r="A313">
        <f>'1 prepared data'!A306</f>
        <v/>
      </c>
      <c r="B313" s="5">
        <f>'1 prepared data'!U306</f>
        <v/>
      </c>
      <c r="C313">
        <f>'1 prepared data'!B306</f>
        <v/>
      </c>
      <c r="D313" s="7">
        <f>'1 prepared data'!C306</f>
        <v/>
      </c>
      <c r="E313" s="7">
        <f>'1 prepared data'!D306</f>
        <v/>
      </c>
      <c r="F313" s="7">
        <f>'1 prepared data'!E306</f>
        <v/>
      </c>
      <c r="G313" s="7">
        <f>'1 prepared data'!F306</f>
        <v/>
      </c>
      <c r="H313" s="7">
        <f>'1 prepared data'!G306</f>
        <v/>
      </c>
      <c r="I313" s="7">
        <f>'1 prepared data'!H306</f>
        <v/>
      </c>
      <c r="J313" s="7">
        <f>'1 prepared data'!I306</f>
        <v/>
      </c>
      <c r="K313" s="7">
        <f>'1 prepared data'!J306</f>
        <v/>
      </c>
      <c r="L313" s="7">
        <f>'1 prepared data'!K306</f>
        <v/>
      </c>
      <c r="M313" s="7">
        <f>'1 prepared data'!L306</f>
        <v/>
      </c>
      <c r="N313" s="7">
        <f>'1 prepared data'!M306</f>
        <v/>
      </c>
      <c r="O313" s="7">
        <f>'1 prepared data'!N306</f>
        <v/>
      </c>
      <c r="P313" s="7">
        <f>'1 prepared data'!O306</f>
        <v/>
      </c>
      <c r="Q313" s="7">
        <f>'1 prepared data'!P306</f>
        <v/>
      </c>
      <c r="R313" s="7">
        <f>'1 prepared data'!Q306</f>
        <v/>
      </c>
      <c r="S313" s="7">
        <f>'1 prepared data'!R306</f>
        <v/>
      </c>
      <c r="T313" s="7">
        <f>'1 prepared data'!S306</f>
        <v/>
      </c>
      <c r="U313" s="7">
        <f>'1 prepared data'!T306</f>
        <v/>
      </c>
      <c r="V313" s="8">
        <f>$AC$12+D313*$AC$13+E313*$AC$14+F313*$AC$15+G313*$AC$16+H313*$AC$17+I313*$AC$18+J313*$AC$19+K313*$AC$20+L313*$AC$21+M313*$AC$22+N313*$AC$23+O313*$AC$24+P313*$AC$25+Q313*$AC$26+R313*$AC$27+S313*$AC$28+T313*$AC$29+U313*$AC$30</f>
        <v/>
      </c>
      <c r="W313" s="8">
        <f>1/(1+EXP(-V313))</f>
        <v/>
      </c>
      <c r="X313" s="9">
        <f>-IF(C313=1,LN(W313),LN(1-W313))</f>
        <v/>
      </c>
      <c r="Y313" s="10">
        <f>IF(W313&gt;$AC$33,1,0)</f>
        <v/>
      </c>
      <c r="Z313">
        <f>IF(Y313=C313,1,0)</f>
        <v/>
      </c>
    </row>
    <row r="314">
      <c r="A314">
        <f>'1 prepared data'!A307</f>
        <v/>
      </c>
      <c r="B314" s="5">
        <f>'1 prepared data'!U307</f>
        <v/>
      </c>
      <c r="C314">
        <f>'1 prepared data'!B307</f>
        <v/>
      </c>
      <c r="D314" s="7">
        <f>'1 prepared data'!C307</f>
        <v/>
      </c>
      <c r="E314" s="7">
        <f>'1 prepared data'!D307</f>
        <v/>
      </c>
      <c r="F314" s="7">
        <f>'1 prepared data'!E307</f>
        <v/>
      </c>
      <c r="G314" s="7">
        <f>'1 prepared data'!F307</f>
        <v/>
      </c>
      <c r="H314" s="7">
        <f>'1 prepared data'!G307</f>
        <v/>
      </c>
      <c r="I314" s="7">
        <f>'1 prepared data'!H307</f>
        <v/>
      </c>
      <c r="J314" s="7">
        <f>'1 prepared data'!I307</f>
        <v/>
      </c>
      <c r="K314" s="7">
        <f>'1 prepared data'!J307</f>
        <v/>
      </c>
      <c r="L314" s="7">
        <f>'1 prepared data'!K307</f>
        <v/>
      </c>
      <c r="M314" s="7">
        <f>'1 prepared data'!L307</f>
        <v/>
      </c>
      <c r="N314" s="7">
        <f>'1 prepared data'!M307</f>
        <v/>
      </c>
      <c r="O314" s="7">
        <f>'1 prepared data'!N307</f>
        <v/>
      </c>
      <c r="P314" s="7">
        <f>'1 prepared data'!O307</f>
        <v/>
      </c>
      <c r="Q314" s="7">
        <f>'1 prepared data'!P307</f>
        <v/>
      </c>
      <c r="R314" s="7">
        <f>'1 prepared data'!Q307</f>
        <v/>
      </c>
      <c r="S314" s="7">
        <f>'1 prepared data'!R307</f>
        <v/>
      </c>
      <c r="T314" s="7">
        <f>'1 prepared data'!S307</f>
        <v/>
      </c>
      <c r="U314" s="7">
        <f>'1 prepared data'!T307</f>
        <v/>
      </c>
      <c r="V314" s="8">
        <f>$AC$12+D314*$AC$13+E314*$AC$14+F314*$AC$15+G314*$AC$16+H314*$AC$17+I314*$AC$18+J314*$AC$19+K314*$AC$20+L314*$AC$21+M314*$AC$22+N314*$AC$23+O314*$AC$24+P314*$AC$25+Q314*$AC$26+R314*$AC$27+S314*$AC$28+T314*$AC$29+U314*$AC$30</f>
        <v/>
      </c>
      <c r="W314" s="8">
        <f>1/(1+EXP(-V314))</f>
        <v/>
      </c>
      <c r="X314" s="9">
        <f>-IF(C314=1,LN(W314),LN(1-W314))</f>
        <v/>
      </c>
      <c r="Y314" s="10">
        <f>IF(W314&gt;$AC$33,1,0)</f>
        <v/>
      </c>
      <c r="Z314">
        <f>IF(Y314=C314,1,0)</f>
        <v/>
      </c>
    </row>
    <row r="315">
      <c r="A315">
        <f>'1 prepared data'!A308</f>
        <v/>
      </c>
      <c r="B315" s="5">
        <f>'1 prepared data'!U308</f>
        <v/>
      </c>
      <c r="C315">
        <f>'1 prepared data'!B308</f>
        <v/>
      </c>
      <c r="D315" s="7">
        <f>'1 prepared data'!C308</f>
        <v/>
      </c>
      <c r="E315" s="7">
        <f>'1 prepared data'!D308</f>
        <v/>
      </c>
      <c r="F315" s="7">
        <f>'1 prepared data'!E308</f>
        <v/>
      </c>
      <c r="G315" s="7">
        <f>'1 prepared data'!F308</f>
        <v/>
      </c>
      <c r="H315" s="7">
        <f>'1 prepared data'!G308</f>
        <v/>
      </c>
      <c r="I315" s="7">
        <f>'1 prepared data'!H308</f>
        <v/>
      </c>
      <c r="J315" s="7">
        <f>'1 prepared data'!I308</f>
        <v/>
      </c>
      <c r="K315" s="7">
        <f>'1 prepared data'!J308</f>
        <v/>
      </c>
      <c r="L315" s="7">
        <f>'1 prepared data'!K308</f>
        <v/>
      </c>
      <c r="M315" s="7">
        <f>'1 prepared data'!L308</f>
        <v/>
      </c>
      <c r="N315" s="7">
        <f>'1 prepared data'!M308</f>
        <v/>
      </c>
      <c r="O315" s="7">
        <f>'1 prepared data'!N308</f>
        <v/>
      </c>
      <c r="P315" s="7">
        <f>'1 prepared data'!O308</f>
        <v/>
      </c>
      <c r="Q315" s="7">
        <f>'1 prepared data'!P308</f>
        <v/>
      </c>
      <c r="R315" s="7">
        <f>'1 prepared data'!Q308</f>
        <v/>
      </c>
      <c r="S315" s="7">
        <f>'1 prepared data'!R308</f>
        <v/>
      </c>
      <c r="T315" s="7">
        <f>'1 prepared data'!S308</f>
        <v/>
      </c>
      <c r="U315" s="7">
        <f>'1 prepared data'!T308</f>
        <v/>
      </c>
      <c r="V315" s="8">
        <f>$AC$12+D315*$AC$13+E315*$AC$14+F315*$AC$15+G315*$AC$16+H315*$AC$17+I315*$AC$18+J315*$AC$19+K315*$AC$20+L315*$AC$21+M315*$AC$22+N315*$AC$23+O315*$AC$24+P315*$AC$25+Q315*$AC$26+R315*$AC$27+S315*$AC$28+T315*$AC$29+U315*$AC$30</f>
        <v/>
      </c>
      <c r="W315" s="8">
        <f>1/(1+EXP(-V315))</f>
        <v/>
      </c>
      <c r="X315" s="9">
        <f>-IF(C315=1,LN(W315),LN(1-W315))</f>
        <v/>
      </c>
      <c r="Y315" s="10">
        <f>IF(W315&gt;$AC$33,1,0)</f>
        <v/>
      </c>
      <c r="Z315">
        <f>IF(Y315=C315,1,0)</f>
        <v/>
      </c>
    </row>
    <row r="316">
      <c r="A316">
        <f>'1 prepared data'!A309</f>
        <v/>
      </c>
      <c r="B316" s="5">
        <f>'1 prepared data'!U309</f>
        <v/>
      </c>
      <c r="C316">
        <f>'1 prepared data'!B309</f>
        <v/>
      </c>
      <c r="D316" s="7">
        <f>'1 prepared data'!C309</f>
        <v/>
      </c>
      <c r="E316" s="7">
        <f>'1 prepared data'!D309</f>
        <v/>
      </c>
      <c r="F316" s="7">
        <f>'1 prepared data'!E309</f>
        <v/>
      </c>
      <c r="G316" s="7">
        <f>'1 prepared data'!F309</f>
        <v/>
      </c>
      <c r="H316" s="7">
        <f>'1 prepared data'!G309</f>
        <v/>
      </c>
      <c r="I316" s="7">
        <f>'1 prepared data'!H309</f>
        <v/>
      </c>
      <c r="J316" s="7">
        <f>'1 prepared data'!I309</f>
        <v/>
      </c>
      <c r="K316" s="7">
        <f>'1 prepared data'!J309</f>
        <v/>
      </c>
      <c r="L316" s="7">
        <f>'1 prepared data'!K309</f>
        <v/>
      </c>
      <c r="M316" s="7">
        <f>'1 prepared data'!L309</f>
        <v/>
      </c>
      <c r="N316" s="7">
        <f>'1 prepared data'!M309</f>
        <v/>
      </c>
      <c r="O316" s="7">
        <f>'1 prepared data'!N309</f>
        <v/>
      </c>
      <c r="P316" s="7">
        <f>'1 prepared data'!O309</f>
        <v/>
      </c>
      <c r="Q316" s="7">
        <f>'1 prepared data'!P309</f>
        <v/>
      </c>
      <c r="R316" s="7">
        <f>'1 prepared data'!Q309</f>
        <v/>
      </c>
      <c r="S316" s="7">
        <f>'1 prepared data'!R309</f>
        <v/>
      </c>
      <c r="T316" s="7">
        <f>'1 prepared data'!S309</f>
        <v/>
      </c>
      <c r="U316" s="7">
        <f>'1 prepared data'!T309</f>
        <v/>
      </c>
      <c r="V316" s="8">
        <f>$AC$12+D316*$AC$13+E316*$AC$14+F316*$AC$15+G316*$AC$16+H316*$AC$17+I316*$AC$18+J316*$AC$19+K316*$AC$20+L316*$AC$21+M316*$AC$22+N316*$AC$23+O316*$AC$24+P316*$AC$25+Q316*$AC$26+R316*$AC$27+S316*$AC$28+T316*$AC$29+U316*$AC$30</f>
        <v/>
      </c>
      <c r="W316" s="8">
        <f>1/(1+EXP(-V316))</f>
        <v/>
      </c>
      <c r="X316" s="9">
        <f>-IF(C316=1,LN(W316),LN(1-W316))</f>
        <v/>
      </c>
      <c r="Y316" s="10">
        <f>IF(W316&gt;$AC$33,1,0)</f>
        <v/>
      </c>
      <c r="Z316">
        <f>IF(Y316=C316,1,0)</f>
        <v/>
      </c>
    </row>
    <row r="317">
      <c r="A317">
        <f>'1 prepared data'!A310</f>
        <v/>
      </c>
      <c r="B317" s="5">
        <f>'1 prepared data'!U310</f>
        <v/>
      </c>
      <c r="C317">
        <f>'1 prepared data'!B310</f>
        <v/>
      </c>
      <c r="D317" s="7">
        <f>'1 prepared data'!C310</f>
        <v/>
      </c>
      <c r="E317" s="7">
        <f>'1 prepared data'!D310</f>
        <v/>
      </c>
      <c r="F317" s="7">
        <f>'1 prepared data'!E310</f>
        <v/>
      </c>
      <c r="G317" s="7">
        <f>'1 prepared data'!F310</f>
        <v/>
      </c>
      <c r="H317" s="7">
        <f>'1 prepared data'!G310</f>
        <v/>
      </c>
      <c r="I317" s="7">
        <f>'1 prepared data'!H310</f>
        <v/>
      </c>
      <c r="J317" s="7">
        <f>'1 prepared data'!I310</f>
        <v/>
      </c>
      <c r="K317" s="7">
        <f>'1 prepared data'!J310</f>
        <v/>
      </c>
      <c r="L317" s="7">
        <f>'1 prepared data'!K310</f>
        <v/>
      </c>
      <c r="M317" s="7">
        <f>'1 prepared data'!L310</f>
        <v/>
      </c>
      <c r="N317" s="7">
        <f>'1 prepared data'!M310</f>
        <v/>
      </c>
      <c r="O317" s="7">
        <f>'1 prepared data'!N310</f>
        <v/>
      </c>
      <c r="P317" s="7">
        <f>'1 prepared data'!O310</f>
        <v/>
      </c>
      <c r="Q317" s="7">
        <f>'1 prepared data'!P310</f>
        <v/>
      </c>
      <c r="R317" s="7">
        <f>'1 prepared data'!Q310</f>
        <v/>
      </c>
      <c r="S317" s="7">
        <f>'1 prepared data'!R310</f>
        <v/>
      </c>
      <c r="T317" s="7">
        <f>'1 prepared data'!S310</f>
        <v/>
      </c>
      <c r="U317" s="7">
        <f>'1 prepared data'!T310</f>
        <v/>
      </c>
      <c r="V317" s="8">
        <f>$AC$12+D317*$AC$13+E317*$AC$14+F317*$AC$15+G317*$AC$16+H317*$AC$17+I317*$AC$18+J317*$AC$19+K317*$AC$20+L317*$AC$21+M317*$AC$22+N317*$AC$23+O317*$AC$24+P317*$AC$25+Q317*$AC$26+R317*$AC$27+S317*$AC$28+T317*$AC$29+U317*$AC$30</f>
        <v/>
      </c>
      <c r="W317" s="8">
        <f>1/(1+EXP(-V317))</f>
        <v/>
      </c>
      <c r="X317" s="9">
        <f>-IF(C317=1,LN(W317),LN(1-W317))</f>
        <v/>
      </c>
      <c r="Y317" s="10">
        <f>IF(W317&gt;$AC$33,1,0)</f>
        <v/>
      </c>
      <c r="Z317">
        <f>IF(Y317=C317,1,0)</f>
        <v/>
      </c>
    </row>
    <row r="318">
      <c r="A318">
        <f>'1 prepared data'!A311</f>
        <v/>
      </c>
      <c r="B318" s="5">
        <f>'1 prepared data'!U311</f>
        <v/>
      </c>
      <c r="C318">
        <f>'1 prepared data'!B311</f>
        <v/>
      </c>
      <c r="D318" s="7">
        <f>'1 prepared data'!C311</f>
        <v/>
      </c>
      <c r="E318" s="7">
        <f>'1 prepared data'!D311</f>
        <v/>
      </c>
      <c r="F318" s="7">
        <f>'1 prepared data'!E311</f>
        <v/>
      </c>
      <c r="G318" s="7">
        <f>'1 prepared data'!F311</f>
        <v/>
      </c>
      <c r="H318" s="7">
        <f>'1 prepared data'!G311</f>
        <v/>
      </c>
      <c r="I318" s="7">
        <f>'1 prepared data'!H311</f>
        <v/>
      </c>
      <c r="J318" s="7">
        <f>'1 prepared data'!I311</f>
        <v/>
      </c>
      <c r="K318" s="7">
        <f>'1 prepared data'!J311</f>
        <v/>
      </c>
      <c r="L318" s="7">
        <f>'1 prepared data'!K311</f>
        <v/>
      </c>
      <c r="M318" s="7">
        <f>'1 prepared data'!L311</f>
        <v/>
      </c>
      <c r="N318" s="7">
        <f>'1 prepared data'!M311</f>
        <v/>
      </c>
      <c r="O318" s="7">
        <f>'1 prepared data'!N311</f>
        <v/>
      </c>
      <c r="P318" s="7">
        <f>'1 prepared data'!O311</f>
        <v/>
      </c>
      <c r="Q318" s="7">
        <f>'1 prepared data'!P311</f>
        <v/>
      </c>
      <c r="R318" s="7">
        <f>'1 prepared data'!Q311</f>
        <v/>
      </c>
      <c r="S318" s="7">
        <f>'1 prepared data'!R311</f>
        <v/>
      </c>
      <c r="T318" s="7">
        <f>'1 prepared data'!S311</f>
        <v/>
      </c>
      <c r="U318" s="7">
        <f>'1 prepared data'!T311</f>
        <v/>
      </c>
      <c r="V318" s="8">
        <f>$AC$12+D318*$AC$13+E318*$AC$14+F318*$AC$15+G318*$AC$16+H318*$AC$17+I318*$AC$18+J318*$AC$19+K318*$AC$20+L318*$AC$21+M318*$AC$22+N318*$AC$23+O318*$AC$24+P318*$AC$25+Q318*$AC$26+R318*$AC$27+S318*$AC$28+T318*$AC$29+U318*$AC$30</f>
        <v/>
      </c>
      <c r="W318" s="8">
        <f>1/(1+EXP(-V318))</f>
        <v/>
      </c>
      <c r="X318" s="9">
        <f>-IF(C318=1,LN(W318),LN(1-W318))</f>
        <v/>
      </c>
      <c r="Y318" s="10">
        <f>IF(W318&gt;$AC$33,1,0)</f>
        <v/>
      </c>
      <c r="Z318">
        <f>IF(Y318=C318,1,0)</f>
        <v/>
      </c>
    </row>
    <row r="319">
      <c r="A319">
        <f>'1 prepared data'!A312</f>
        <v/>
      </c>
      <c r="B319" s="5">
        <f>'1 prepared data'!U312</f>
        <v/>
      </c>
      <c r="C319">
        <f>'1 prepared data'!B312</f>
        <v/>
      </c>
      <c r="D319" s="7">
        <f>'1 prepared data'!C312</f>
        <v/>
      </c>
      <c r="E319" s="7">
        <f>'1 prepared data'!D312</f>
        <v/>
      </c>
      <c r="F319" s="7">
        <f>'1 prepared data'!E312</f>
        <v/>
      </c>
      <c r="G319" s="7">
        <f>'1 prepared data'!F312</f>
        <v/>
      </c>
      <c r="H319" s="7">
        <f>'1 prepared data'!G312</f>
        <v/>
      </c>
      <c r="I319" s="7">
        <f>'1 prepared data'!H312</f>
        <v/>
      </c>
      <c r="J319" s="7">
        <f>'1 prepared data'!I312</f>
        <v/>
      </c>
      <c r="K319" s="7">
        <f>'1 prepared data'!J312</f>
        <v/>
      </c>
      <c r="L319" s="7">
        <f>'1 prepared data'!K312</f>
        <v/>
      </c>
      <c r="M319" s="7">
        <f>'1 prepared data'!L312</f>
        <v/>
      </c>
      <c r="N319" s="7">
        <f>'1 prepared data'!M312</f>
        <v/>
      </c>
      <c r="O319" s="7">
        <f>'1 prepared data'!N312</f>
        <v/>
      </c>
      <c r="P319" s="7">
        <f>'1 prepared data'!O312</f>
        <v/>
      </c>
      <c r="Q319" s="7">
        <f>'1 prepared data'!P312</f>
        <v/>
      </c>
      <c r="R319" s="7">
        <f>'1 prepared data'!Q312</f>
        <v/>
      </c>
      <c r="S319" s="7">
        <f>'1 prepared data'!R312</f>
        <v/>
      </c>
      <c r="T319" s="7">
        <f>'1 prepared data'!S312</f>
        <v/>
      </c>
      <c r="U319" s="7">
        <f>'1 prepared data'!T312</f>
        <v/>
      </c>
      <c r="V319" s="8">
        <f>$AC$12+D319*$AC$13+E319*$AC$14+F319*$AC$15+G319*$AC$16+H319*$AC$17+I319*$AC$18+J319*$AC$19+K319*$AC$20+L319*$AC$21+M319*$AC$22+N319*$AC$23+O319*$AC$24+P319*$AC$25+Q319*$AC$26+R319*$AC$27+S319*$AC$28+T319*$AC$29+U319*$AC$30</f>
        <v/>
      </c>
      <c r="W319" s="8">
        <f>1/(1+EXP(-V319))</f>
        <v/>
      </c>
      <c r="X319" s="9">
        <f>-IF(C319=1,LN(W319),LN(1-W319))</f>
        <v/>
      </c>
      <c r="Y319" s="10">
        <f>IF(W319&gt;$AC$33,1,0)</f>
        <v/>
      </c>
      <c r="Z319">
        <f>IF(Y319=C319,1,0)</f>
        <v/>
      </c>
    </row>
    <row r="320">
      <c r="A320">
        <f>'1 prepared data'!A313</f>
        <v/>
      </c>
      <c r="B320" s="5">
        <f>'1 prepared data'!U313</f>
        <v/>
      </c>
      <c r="C320">
        <f>'1 prepared data'!B313</f>
        <v/>
      </c>
      <c r="D320" s="7">
        <f>'1 prepared data'!C313</f>
        <v/>
      </c>
      <c r="E320" s="7">
        <f>'1 prepared data'!D313</f>
        <v/>
      </c>
      <c r="F320" s="7">
        <f>'1 prepared data'!E313</f>
        <v/>
      </c>
      <c r="G320" s="7">
        <f>'1 prepared data'!F313</f>
        <v/>
      </c>
      <c r="H320" s="7">
        <f>'1 prepared data'!G313</f>
        <v/>
      </c>
      <c r="I320" s="7">
        <f>'1 prepared data'!H313</f>
        <v/>
      </c>
      <c r="J320" s="7">
        <f>'1 prepared data'!I313</f>
        <v/>
      </c>
      <c r="K320" s="7">
        <f>'1 prepared data'!J313</f>
        <v/>
      </c>
      <c r="L320" s="7">
        <f>'1 prepared data'!K313</f>
        <v/>
      </c>
      <c r="M320" s="7">
        <f>'1 prepared data'!L313</f>
        <v/>
      </c>
      <c r="N320" s="7">
        <f>'1 prepared data'!M313</f>
        <v/>
      </c>
      <c r="O320" s="7">
        <f>'1 prepared data'!N313</f>
        <v/>
      </c>
      <c r="P320" s="7">
        <f>'1 prepared data'!O313</f>
        <v/>
      </c>
      <c r="Q320" s="7">
        <f>'1 prepared data'!P313</f>
        <v/>
      </c>
      <c r="R320" s="7">
        <f>'1 prepared data'!Q313</f>
        <v/>
      </c>
      <c r="S320" s="7">
        <f>'1 prepared data'!R313</f>
        <v/>
      </c>
      <c r="T320" s="7">
        <f>'1 prepared data'!S313</f>
        <v/>
      </c>
      <c r="U320" s="7">
        <f>'1 prepared data'!T313</f>
        <v/>
      </c>
      <c r="V320" s="8">
        <f>$AC$12+D320*$AC$13+E320*$AC$14+F320*$AC$15+G320*$AC$16+H320*$AC$17+I320*$AC$18+J320*$AC$19+K320*$AC$20+L320*$AC$21+M320*$AC$22+N320*$AC$23+O320*$AC$24+P320*$AC$25+Q320*$AC$26+R320*$AC$27+S320*$AC$28+T320*$AC$29+U320*$AC$30</f>
        <v/>
      </c>
      <c r="W320" s="8">
        <f>1/(1+EXP(-V320))</f>
        <v/>
      </c>
      <c r="X320" s="9">
        <f>-IF(C320=1,LN(W320),LN(1-W320))</f>
        <v/>
      </c>
      <c r="Y320" s="10">
        <f>IF(W320&gt;$AC$33,1,0)</f>
        <v/>
      </c>
      <c r="Z320">
        <f>IF(Y320=C320,1,0)</f>
        <v/>
      </c>
    </row>
    <row r="321">
      <c r="A321">
        <f>'1 prepared data'!A314</f>
        <v/>
      </c>
      <c r="B321" s="5">
        <f>'1 prepared data'!U314</f>
        <v/>
      </c>
      <c r="C321">
        <f>'1 prepared data'!B314</f>
        <v/>
      </c>
      <c r="D321" s="7">
        <f>'1 prepared data'!C314</f>
        <v/>
      </c>
      <c r="E321" s="7">
        <f>'1 prepared data'!D314</f>
        <v/>
      </c>
      <c r="F321" s="7">
        <f>'1 prepared data'!E314</f>
        <v/>
      </c>
      <c r="G321" s="7">
        <f>'1 prepared data'!F314</f>
        <v/>
      </c>
      <c r="H321" s="7">
        <f>'1 prepared data'!G314</f>
        <v/>
      </c>
      <c r="I321" s="7">
        <f>'1 prepared data'!H314</f>
        <v/>
      </c>
      <c r="J321" s="7">
        <f>'1 prepared data'!I314</f>
        <v/>
      </c>
      <c r="K321" s="7">
        <f>'1 prepared data'!J314</f>
        <v/>
      </c>
      <c r="L321" s="7">
        <f>'1 prepared data'!K314</f>
        <v/>
      </c>
      <c r="M321" s="7">
        <f>'1 prepared data'!L314</f>
        <v/>
      </c>
      <c r="N321" s="7">
        <f>'1 prepared data'!M314</f>
        <v/>
      </c>
      <c r="O321" s="7">
        <f>'1 prepared data'!N314</f>
        <v/>
      </c>
      <c r="P321" s="7">
        <f>'1 prepared data'!O314</f>
        <v/>
      </c>
      <c r="Q321" s="7">
        <f>'1 prepared data'!P314</f>
        <v/>
      </c>
      <c r="R321" s="7">
        <f>'1 prepared data'!Q314</f>
        <v/>
      </c>
      <c r="S321" s="7">
        <f>'1 prepared data'!R314</f>
        <v/>
      </c>
      <c r="T321" s="7">
        <f>'1 prepared data'!S314</f>
        <v/>
      </c>
      <c r="U321" s="7">
        <f>'1 prepared data'!T314</f>
        <v/>
      </c>
      <c r="V321" s="8">
        <f>$AC$12+D321*$AC$13+E321*$AC$14+F321*$AC$15+G321*$AC$16+H321*$AC$17+I321*$AC$18+J321*$AC$19+K321*$AC$20+L321*$AC$21+M321*$AC$22+N321*$AC$23+O321*$AC$24+P321*$AC$25+Q321*$AC$26+R321*$AC$27+S321*$AC$28+T321*$AC$29+U321*$AC$30</f>
        <v/>
      </c>
      <c r="W321" s="8">
        <f>1/(1+EXP(-V321))</f>
        <v/>
      </c>
      <c r="X321" s="9">
        <f>-IF(C321=1,LN(W321),LN(1-W321))</f>
        <v/>
      </c>
      <c r="Y321" s="10">
        <f>IF(W321&gt;$AC$33,1,0)</f>
        <v/>
      </c>
      <c r="Z321">
        <f>IF(Y321=C321,1,0)</f>
        <v/>
      </c>
    </row>
    <row r="322">
      <c r="A322">
        <f>'1 prepared data'!A315</f>
        <v/>
      </c>
      <c r="B322" s="5">
        <f>'1 prepared data'!U315</f>
        <v/>
      </c>
      <c r="C322">
        <f>'1 prepared data'!B315</f>
        <v/>
      </c>
      <c r="D322" s="7">
        <f>'1 prepared data'!C315</f>
        <v/>
      </c>
      <c r="E322" s="7">
        <f>'1 prepared data'!D315</f>
        <v/>
      </c>
      <c r="F322" s="7">
        <f>'1 prepared data'!E315</f>
        <v/>
      </c>
      <c r="G322" s="7">
        <f>'1 prepared data'!F315</f>
        <v/>
      </c>
      <c r="H322" s="7">
        <f>'1 prepared data'!G315</f>
        <v/>
      </c>
      <c r="I322" s="7">
        <f>'1 prepared data'!H315</f>
        <v/>
      </c>
      <c r="J322" s="7">
        <f>'1 prepared data'!I315</f>
        <v/>
      </c>
      <c r="K322" s="7">
        <f>'1 prepared data'!J315</f>
        <v/>
      </c>
      <c r="L322" s="7">
        <f>'1 prepared data'!K315</f>
        <v/>
      </c>
      <c r="M322" s="7">
        <f>'1 prepared data'!L315</f>
        <v/>
      </c>
      <c r="N322" s="7">
        <f>'1 prepared data'!M315</f>
        <v/>
      </c>
      <c r="O322" s="7">
        <f>'1 prepared data'!N315</f>
        <v/>
      </c>
      <c r="P322" s="7">
        <f>'1 prepared data'!O315</f>
        <v/>
      </c>
      <c r="Q322" s="7">
        <f>'1 prepared data'!P315</f>
        <v/>
      </c>
      <c r="R322" s="7">
        <f>'1 prepared data'!Q315</f>
        <v/>
      </c>
      <c r="S322" s="7">
        <f>'1 prepared data'!R315</f>
        <v/>
      </c>
      <c r="T322" s="7">
        <f>'1 prepared data'!S315</f>
        <v/>
      </c>
      <c r="U322" s="7">
        <f>'1 prepared data'!T315</f>
        <v/>
      </c>
      <c r="V322" s="8">
        <f>$AC$12+D322*$AC$13+E322*$AC$14+F322*$AC$15+G322*$AC$16+H322*$AC$17+I322*$AC$18+J322*$AC$19+K322*$AC$20+L322*$AC$21+M322*$AC$22+N322*$AC$23+O322*$AC$24+P322*$AC$25+Q322*$AC$26+R322*$AC$27+S322*$AC$28+T322*$AC$29+U322*$AC$30</f>
        <v/>
      </c>
      <c r="W322" s="8">
        <f>1/(1+EXP(-V322))</f>
        <v/>
      </c>
      <c r="X322" s="9">
        <f>-IF(C322=1,LN(W322),LN(1-W322))</f>
        <v/>
      </c>
      <c r="Y322" s="10">
        <f>IF(W322&gt;$AC$33,1,0)</f>
        <v/>
      </c>
      <c r="Z322">
        <f>IF(Y322=C322,1,0)</f>
        <v/>
      </c>
    </row>
    <row r="323">
      <c r="A323">
        <f>'1 prepared data'!A316</f>
        <v/>
      </c>
      <c r="B323" s="5">
        <f>'1 prepared data'!U316</f>
        <v/>
      </c>
      <c r="C323">
        <f>'1 prepared data'!B316</f>
        <v/>
      </c>
      <c r="D323" s="7">
        <f>'1 prepared data'!C316</f>
        <v/>
      </c>
      <c r="E323" s="7">
        <f>'1 prepared data'!D316</f>
        <v/>
      </c>
      <c r="F323" s="7">
        <f>'1 prepared data'!E316</f>
        <v/>
      </c>
      <c r="G323" s="7">
        <f>'1 prepared data'!F316</f>
        <v/>
      </c>
      <c r="H323" s="7">
        <f>'1 prepared data'!G316</f>
        <v/>
      </c>
      <c r="I323" s="7">
        <f>'1 prepared data'!H316</f>
        <v/>
      </c>
      <c r="J323" s="7">
        <f>'1 prepared data'!I316</f>
        <v/>
      </c>
      <c r="K323" s="7">
        <f>'1 prepared data'!J316</f>
        <v/>
      </c>
      <c r="L323" s="7">
        <f>'1 prepared data'!K316</f>
        <v/>
      </c>
      <c r="M323" s="7">
        <f>'1 prepared data'!L316</f>
        <v/>
      </c>
      <c r="N323" s="7">
        <f>'1 prepared data'!M316</f>
        <v/>
      </c>
      <c r="O323" s="7">
        <f>'1 prepared data'!N316</f>
        <v/>
      </c>
      <c r="P323" s="7">
        <f>'1 prepared data'!O316</f>
        <v/>
      </c>
      <c r="Q323" s="7">
        <f>'1 prepared data'!P316</f>
        <v/>
      </c>
      <c r="R323" s="7">
        <f>'1 prepared data'!Q316</f>
        <v/>
      </c>
      <c r="S323" s="7">
        <f>'1 prepared data'!R316</f>
        <v/>
      </c>
      <c r="T323" s="7">
        <f>'1 prepared data'!S316</f>
        <v/>
      </c>
      <c r="U323" s="7">
        <f>'1 prepared data'!T316</f>
        <v/>
      </c>
      <c r="V323" s="8">
        <f>$AC$12+D323*$AC$13+E323*$AC$14+F323*$AC$15+G323*$AC$16+H323*$AC$17+I323*$AC$18+J323*$AC$19+K323*$AC$20+L323*$AC$21+M323*$AC$22+N323*$AC$23+O323*$AC$24+P323*$AC$25+Q323*$AC$26+R323*$AC$27+S323*$AC$28+T323*$AC$29+U323*$AC$30</f>
        <v/>
      </c>
      <c r="W323" s="8">
        <f>1/(1+EXP(-V323))</f>
        <v/>
      </c>
      <c r="X323" s="9">
        <f>-IF(C323=1,LN(W323),LN(1-W323))</f>
        <v/>
      </c>
      <c r="Y323" s="10">
        <f>IF(W323&gt;$AC$33,1,0)</f>
        <v/>
      </c>
      <c r="Z323">
        <f>IF(Y323=C323,1,0)</f>
        <v/>
      </c>
    </row>
    <row r="324">
      <c r="A324">
        <f>'1 prepared data'!A317</f>
        <v/>
      </c>
      <c r="B324" s="5">
        <f>'1 prepared data'!U317</f>
        <v/>
      </c>
      <c r="C324">
        <f>'1 prepared data'!B317</f>
        <v/>
      </c>
      <c r="D324" s="7">
        <f>'1 prepared data'!C317</f>
        <v/>
      </c>
      <c r="E324" s="7">
        <f>'1 prepared data'!D317</f>
        <v/>
      </c>
      <c r="F324" s="7">
        <f>'1 prepared data'!E317</f>
        <v/>
      </c>
      <c r="G324" s="7">
        <f>'1 prepared data'!F317</f>
        <v/>
      </c>
      <c r="H324" s="7">
        <f>'1 prepared data'!G317</f>
        <v/>
      </c>
      <c r="I324" s="7">
        <f>'1 prepared data'!H317</f>
        <v/>
      </c>
      <c r="J324" s="7">
        <f>'1 prepared data'!I317</f>
        <v/>
      </c>
      <c r="K324" s="7">
        <f>'1 prepared data'!J317</f>
        <v/>
      </c>
      <c r="L324" s="7">
        <f>'1 prepared data'!K317</f>
        <v/>
      </c>
      <c r="M324" s="7">
        <f>'1 prepared data'!L317</f>
        <v/>
      </c>
      <c r="N324" s="7">
        <f>'1 prepared data'!M317</f>
        <v/>
      </c>
      <c r="O324" s="7">
        <f>'1 prepared data'!N317</f>
        <v/>
      </c>
      <c r="P324" s="7">
        <f>'1 prepared data'!O317</f>
        <v/>
      </c>
      <c r="Q324" s="7">
        <f>'1 prepared data'!P317</f>
        <v/>
      </c>
      <c r="R324" s="7">
        <f>'1 prepared data'!Q317</f>
        <v/>
      </c>
      <c r="S324" s="7">
        <f>'1 prepared data'!R317</f>
        <v/>
      </c>
      <c r="T324" s="7">
        <f>'1 prepared data'!S317</f>
        <v/>
      </c>
      <c r="U324" s="7">
        <f>'1 prepared data'!T317</f>
        <v/>
      </c>
      <c r="V324" s="8">
        <f>$AC$12+D324*$AC$13+E324*$AC$14+F324*$AC$15+G324*$AC$16+H324*$AC$17+I324*$AC$18+J324*$AC$19+K324*$AC$20+L324*$AC$21+M324*$AC$22+N324*$AC$23+O324*$AC$24+P324*$AC$25+Q324*$AC$26+R324*$AC$27+S324*$AC$28+T324*$AC$29+U324*$AC$30</f>
        <v/>
      </c>
      <c r="W324" s="8">
        <f>1/(1+EXP(-V324))</f>
        <v/>
      </c>
      <c r="X324" s="9">
        <f>-IF(C324=1,LN(W324),LN(1-W324))</f>
        <v/>
      </c>
      <c r="Y324" s="10">
        <f>IF(W324&gt;$AC$33,1,0)</f>
        <v/>
      </c>
      <c r="Z324">
        <f>IF(Y324=C324,1,0)</f>
        <v/>
      </c>
    </row>
    <row r="325">
      <c r="A325">
        <f>'1 prepared data'!A318</f>
        <v/>
      </c>
      <c r="B325" s="5">
        <f>'1 prepared data'!U318</f>
        <v/>
      </c>
      <c r="C325">
        <f>'1 prepared data'!B318</f>
        <v/>
      </c>
      <c r="D325" s="7">
        <f>'1 prepared data'!C318</f>
        <v/>
      </c>
      <c r="E325" s="7">
        <f>'1 prepared data'!D318</f>
        <v/>
      </c>
      <c r="F325" s="7">
        <f>'1 prepared data'!E318</f>
        <v/>
      </c>
      <c r="G325" s="7">
        <f>'1 prepared data'!F318</f>
        <v/>
      </c>
      <c r="H325" s="7">
        <f>'1 prepared data'!G318</f>
        <v/>
      </c>
      <c r="I325" s="7">
        <f>'1 prepared data'!H318</f>
        <v/>
      </c>
      <c r="J325" s="7">
        <f>'1 prepared data'!I318</f>
        <v/>
      </c>
      <c r="K325" s="7">
        <f>'1 prepared data'!J318</f>
        <v/>
      </c>
      <c r="L325" s="7">
        <f>'1 prepared data'!K318</f>
        <v/>
      </c>
      <c r="M325" s="7">
        <f>'1 prepared data'!L318</f>
        <v/>
      </c>
      <c r="N325" s="7">
        <f>'1 prepared data'!M318</f>
        <v/>
      </c>
      <c r="O325" s="7">
        <f>'1 prepared data'!N318</f>
        <v/>
      </c>
      <c r="P325" s="7">
        <f>'1 prepared data'!O318</f>
        <v/>
      </c>
      <c r="Q325" s="7">
        <f>'1 prepared data'!P318</f>
        <v/>
      </c>
      <c r="R325" s="7">
        <f>'1 prepared data'!Q318</f>
        <v/>
      </c>
      <c r="S325" s="7">
        <f>'1 prepared data'!R318</f>
        <v/>
      </c>
      <c r="T325" s="7">
        <f>'1 prepared data'!S318</f>
        <v/>
      </c>
      <c r="U325" s="7">
        <f>'1 prepared data'!T318</f>
        <v/>
      </c>
      <c r="V325" s="8">
        <f>$AC$12+D325*$AC$13+E325*$AC$14+F325*$AC$15+G325*$AC$16+H325*$AC$17+I325*$AC$18+J325*$AC$19+K325*$AC$20+L325*$AC$21+M325*$AC$22+N325*$AC$23+O325*$AC$24+P325*$AC$25+Q325*$AC$26+R325*$AC$27+S325*$AC$28+T325*$AC$29+U325*$AC$30</f>
        <v/>
      </c>
      <c r="W325" s="8">
        <f>1/(1+EXP(-V325))</f>
        <v/>
      </c>
      <c r="X325" s="9">
        <f>-IF(C325=1,LN(W325),LN(1-W325))</f>
        <v/>
      </c>
      <c r="Y325" s="10">
        <f>IF(W325&gt;$AC$33,1,0)</f>
        <v/>
      </c>
      <c r="Z325">
        <f>IF(Y325=C325,1,0)</f>
        <v/>
      </c>
    </row>
    <row r="326">
      <c r="A326">
        <f>'1 prepared data'!A319</f>
        <v/>
      </c>
      <c r="B326" s="5">
        <f>'1 prepared data'!U319</f>
        <v/>
      </c>
      <c r="C326">
        <f>'1 prepared data'!B319</f>
        <v/>
      </c>
      <c r="D326" s="7">
        <f>'1 prepared data'!C319</f>
        <v/>
      </c>
      <c r="E326" s="7">
        <f>'1 prepared data'!D319</f>
        <v/>
      </c>
      <c r="F326" s="7">
        <f>'1 prepared data'!E319</f>
        <v/>
      </c>
      <c r="G326" s="7">
        <f>'1 prepared data'!F319</f>
        <v/>
      </c>
      <c r="H326" s="7">
        <f>'1 prepared data'!G319</f>
        <v/>
      </c>
      <c r="I326" s="7">
        <f>'1 prepared data'!H319</f>
        <v/>
      </c>
      <c r="J326" s="7">
        <f>'1 prepared data'!I319</f>
        <v/>
      </c>
      <c r="K326" s="7">
        <f>'1 prepared data'!J319</f>
        <v/>
      </c>
      <c r="L326" s="7">
        <f>'1 prepared data'!K319</f>
        <v/>
      </c>
      <c r="M326" s="7">
        <f>'1 prepared data'!L319</f>
        <v/>
      </c>
      <c r="N326" s="7">
        <f>'1 prepared data'!M319</f>
        <v/>
      </c>
      <c r="O326" s="7">
        <f>'1 prepared data'!N319</f>
        <v/>
      </c>
      <c r="P326" s="7">
        <f>'1 prepared data'!O319</f>
        <v/>
      </c>
      <c r="Q326" s="7">
        <f>'1 prepared data'!P319</f>
        <v/>
      </c>
      <c r="R326" s="7">
        <f>'1 prepared data'!Q319</f>
        <v/>
      </c>
      <c r="S326" s="7">
        <f>'1 prepared data'!R319</f>
        <v/>
      </c>
      <c r="T326" s="7">
        <f>'1 prepared data'!S319</f>
        <v/>
      </c>
      <c r="U326" s="7">
        <f>'1 prepared data'!T319</f>
        <v/>
      </c>
      <c r="V326" s="8">
        <f>$AC$12+D326*$AC$13+E326*$AC$14+F326*$AC$15+G326*$AC$16+H326*$AC$17+I326*$AC$18+J326*$AC$19+K326*$AC$20+L326*$AC$21+M326*$AC$22+N326*$AC$23+O326*$AC$24+P326*$AC$25+Q326*$AC$26+R326*$AC$27+S326*$AC$28+T326*$AC$29+U326*$AC$30</f>
        <v/>
      </c>
      <c r="W326" s="8">
        <f>1/(1+EXP(-V326))</f>
        <v/>
      </c>
      <c r="X326" s="9">
        <f>-IF(C326=1,LN(W326),LN(1-W326))</f>
        <v/>
      </c>
      <c r="Y326" s="10">
        <f>IF(W326&gt;$AC$33,1,0)</f>
        <v/>
      </c>
      <c r="Z326">
        <f>IF(Y326=C326,1,0)</f>
        <v/>
      </c>
    </row>
    <row r="327">
      <c r="A327">
        <f>'1 prepared data'!A320</f>
        <v/>
      </c>
      <c r="B327" s="5">
        <f>'1 prepared data'!U320</f>
        <v/>
      </c>
      <c r="C327">
        <f>'1 prepared data'!B320</f>
        <v/>
      </c>
      <c r="D327" s="7">
        <f>'1 prepared data'!C320</f>
        <v/>
      </c>
      <c r="E327" s="7">
        <f>'1 prepared data'!D320</f>
        <v/>
      </c>
      <c r="F327" s="7">
        <f>'1 prepared data'!E320</f>
        <v/>
      </c>
      <c r="G327" s="7">
        <f>'1 prepared data'!F320</f>
        <v/>
      </c>
      <c r="H327" s="7">
        <f>'1 prepared data'!G320</f>
        <v/>
      </c>
      <c r="I327" s="7">
        <f>'1 prepared data'!H320</f>
        <v/>
      </c>
      <c r="J327" s="7">
        <f>'1 prepared data'!I320</f>
        <v/>
      </c>
      <c r="K327" s="7">
        <f>'1 prepared data'!J320</f>
        <v/>
      </c>
      <c r="L327" s="7">
        <f>'1 prepared data'!K320</f>
        <v/>
      </c>
      <c r="M327" s="7">
        <f>'1 prepared data'!L320</f>
        <v/>
      </c>
      <c r="N327" s="7">
        <f>'1 prepared data'!M320</f>
        <v/>
      </c>
      <c r="O327" s="7">
        <f>'1 prepared data'!N320</f>
        <v/>
      </c>
      <c r="P327" s="7">
        <f>'1 prepared data'!O320</f>
        <v/>
      </c>
      <c r="Q327" s="7">
        <f>'1 prepared data'!P320</f>
        <v/>
      </c>
      <c r="R327" s="7">
        <f>'1 prepared data'!Q320</f>
        <v/>
      </c>
      <c r="S327" s="7">
        <f>'1 prepared data'!R320</f>
        <v/>
      </c>
      <c r="T327" s="7">
        <f>'1 prepared data'!S320</f>
        <v/>
      </c>
      <c r="U327" s="7">
        <f>'1 prepared data'!T320</f>
        <v/>
      </c>
      <c r="V327" s="8">
        <f>$AC$12+D327*$AC$13+E327*$AC$14+F327*$AC$15+G327*$AC$16+H327*$AC$17+I327*$AC$18+J327*$AC$19+K327*$AC$20+L327*$AC$21+M327*$AC$22+N327*$AC$23+O327*$AC$24+P327*$AC$25+Q327*$AC$26+R327*$AC$27+S327*$AC$28+T327*$AC$29+U327*$AC$30</f>
        <v/>
      </c>
      <c r="W327" s="8">
        <f>1/(1+EXP(-V327))</f>
        <v/>
      </c>
      <c r="X327" s="9">
        <f>-IF(C327=1,LN(W327),LN(1-W327))</f>
        <v/>
      </c>
      <c r="Y327" s="10">
        <f>IF(W327&gt;$AC$33,1,0)</f>
        <v/>
      </c>
      <c r="Z327">
        <f>IF(Y327=C327,1,0)</f>
        <v/>
      </c>
    </row>
    <row r="328">
      <c r="A328">
        <f>'1 prepared data'!A321</f>
        <v/>
      </c>
      <c r="B328" s="5">
        <f>'1 prepared data'!U321</f>
        <v/>
      </c>
      <c r="C328">
        <f>'1 prepared data'!B321</f>
        <v/>
      </c>
      <c r="D328" s="7">
        <f>'1 prepared data'!C321</f>
        <v/>
      </c>
      <c r="E328" s="7">
        <f>'1 prepared data'!D321</f>
        <v/>
      </c>
      <c r="F328" s="7">
        <f>'1 prepared data'!E321</f>
        <v/>
      </c>
      <c r="G328" s="7">
        <f>'1 prepared data'!F321</f>
        <v/>
      </c>
      <c r="H328" s="7">
        <f>'1 prepared data'!G321</f>
        <v/>
      </c>
      <c r="I328" s="7">
        <f>'1 prepared data'!H321</f>
        <v/>
      </c>
      <c r="J328" s="7">
        <f>'1 prepared data'!I321</f>
        <v/>
      </c>
      <c r="K328" s="7">
        <f>'1 prepared data'!J321</f>
        <v/>
      </c>
      <c r="L328" s="7">
        <f>'1 prepared data'!K321</f>
        <v/>
      </c>
      <c r="M328" s="7">
        <f>'1 prepared data'!L321</f>
        <v/>
      </c>
      <c r="N328" s="7">
        <f>'1 prepared data'!M321</f>
        <v/>
      </c>
      <c r="O328" s="7">
        <f>'1 prepared data'!N321</f>
        <v/>
      </c>
      <c r="P328" s="7">
        <f>'1 prepared data'!O321</f>
        <v/>
      </c>
      <c r="Q328" s="7">
        <f>'1 prepared data'!P321</f>
        <v/>
      </c>
      <c r="R328" s="7">
        <f>'1 prepared data'!Q321</f>
        <v/>
      </c>
      <c r="S328" s="7">
        <f>'1 prepared data'!R321</f>
        <v/>
      </c>
      <c r="T328" s="7">
        <f>'1 prepared data'!S321</f>
        <v/>
      </c>
      <c r="U328" s="7">
        <f>'1 prepared data'!T321</f>
        <v/>
      </c>
      <c r="V328" s="8">
        <f>$AC$12+D328*$AC$13+E328*$AC$14+F328*$AC$15+G328*$AC$16+H328*$AC$17+I328*$AC$18+J328*$AC$19+K328*$AC$20+L328*$AC$21+M328*$AC$22+N328*$AC$23+O328*$AC$24+P328*$AC$25+Q328*$AC$26+R328*$AC$27+S328*$AC$28+T328*$AC$29+U328*$AC$30</f>
        <v/>
      </c>
      <c r="W328" s="8">
        <f>1/(1+EXP(-V328))</f>
        <v/>
      </c>
      <c r="X328" s="9">
        <f>-IF(C328=1,LN(W328),LN(1-W328))</f>
        <v/>
      </c>
      <c r="Y328" s="10">
        <f>IF(W328&gt;$AC$33,1,0)</f>
        <v/>
      </c>
      <c r="Z328">
        <f>IF(Y328=C328,1,0)</f>
        <v/>
      </c>
    </row>
    <row r="329">
      <c r="A329">
        <f>'1 prepared data'!A322</f>
        <v/>
      </c>
      <c r="B329" s="5">
        <f>'1 prepared data'!U322</f>
        <v/>
      </c>
      <c r="C329">
        <f>'1 prepared data'!B322</f>
        <v/>
      </c>
      <c r="D329" s="7">
        <f>'1 prepared data'!C322</f>
        <v/>
      </c>
      <c r="E329" s="7">
        <f>'1 prepared data'!D322</f>
        <v/>
      </c>
      <c r="F329" s="7">
        <f>'1 prepared data'!E322</f>
        <v/>
      </c>
      <c r="G329" s="7">
        <f>'1 prepared data'!F322</f>
        <v/>
      </c>
      <c r="H329" s="7">
        <f>'1 prepared data'!G322</f>
        <v/>
      </c>
      <c r="I329" s="7">
        <f>'1 prepared data'!H322</f>
        <v/>
      </c>
      <c r="J329" s="7">
        <f>'1 prepared data'!I322</f>
        <v/>
      </c>
      <c r="K329" s="7">
        <f>'1 prepared data'!J322</f>
        <v/>
      </c>
      <c r="L329" s="7">
        <f>'1 prepared data'!K322</f>
        <v/>
      </c>
      <c r="M329" s="7">
        <f>'1 prepared data'!L322</f>
        <v/>
      </c>
      <c r="N329" s="7">
        <f>'1 prepared data'!M322</f>
        <v/>
      </c>
      <c r="O329" s="7">
        <f>'1 prepared data'!N322</f>
        <v/>
      </c>
      <c r="P329" s="7">
        <f>'1 prepared data'!O322</f>
        <v/>
      </c>
      <c r="Q329" s="7">
        <f>'1 prepared data'!P322</f>
        <v/>
      </c>
      <c r="R329" s="7">
        <f>'1 prepared data'!Q322</f>
        <v/>
      </c>
      <c r="S329" s="7">
        <f>'1 prepared data'!R322</f>
        <v/>
      </c>
      <c r="T329" s="7">
        <f>'1 prepared data'!S322</f>
        <v/>
      </c>
      <c r="U329" s="7">
        <f>'1 prepared data'!T322</f>
        <v/>
      </c>
      <c r="V329" s="8">
        <f>$AC$12+D329*$AC$13+E329*$AC$14+F329*$AC$15+G329*$AC$16+H329*$AC$17+I329*$AC$18+J329*$AC$19+K329*$AC$20+L329*$AC$21+M329*$AC$22+N329*$AC$23+O329*$AC$24+P329*$AC$25+Q329*$AC$26+R329*$AC$27+S329*$AC$28+T329*$AC$29+U329*$AC$30</f>
        <v/>
      </c>
      <c r="W329" s="8">
        <f>1/(1+EXP(-V329))</f>
        <v/>
      </c>
      <c r="X329" s="9">
        <f>-IF(C329=1,LN(W329),LN(1-W329))</f>
        <v/>
      </c>
      <c r="Y329" s="10">
        <f>IF(W329&gt;$AC$33,1,0)</f>
        <v/>
      </c>
      <c r="Z329">
        <f>IF(Y329=C329,1,0)</f>
        <v/>
      </c>
    </row>
    <row r="330">
      <c r="A330">
        <f>'1 prepared data'!A323</f>
        <v/>
      </c>
      <c r="B330" s="5">
        <f>'1 prepared data'!U323</f>
        <v/>
      </c>
      <c r="C330">
        <f>'1 prepared data'!B323</f>
        <v/>
      </c>
      <c r="D330" s="7">
        <f>'1 prepared data'!C323</f>
        <v/>
      </c>
      <c r="E330" s="7">
        <f>'1 prepared data'!D323</f>
        <v/>
      </c>
      <c r="F330" s="7">
        <f>'1 prepared data'!E323</f>
        <v/>
      </c>
      <c r="G330" s="7">
        <f>'1 prepared data'!F323</f>
        <v/>
      </c>
      <c r="H330" s="7">
        <f>'1 prepared data'!G323</f>
        <v/>
      </c>
      <c r="I330" s="7">
        <f>'1 prepared data'!H323</f>
        <v/>
      </c>
      <c r="J330" s="7">
        <f>'1 prepared data'!I323</f>
        <v/>
      </c>
      <c r="K330" s="7">
        <f>'1 prepared data'!J323</f>
        <v/>
      </c>
      <c r="L330" s="7">
        <f>'1 prepared data'!K323</f>
        <v/>
      </c>
      <c r="M330" s="7">
        <f>'1 prepared data'!L323</f>
        <v/>
      </c>
      <c r="N330" s="7">
        <f>'1 prepared data'!M323</f>
        <v/>
      </c>
      <c r="O330" s="7">
        <f>'1 prepared data'!N323</f>
        <v/>
      </c>
      <c r="P330" s="7">
        <f>'1 prepared data'!O323</f>
        <v/>
      </c>
      <c r="Q330" s="7">
        <f>'1 prepared data'!P323</f>
        <v/>
      </c>
      <c r="R330" s="7">
        <f>'1 prepared data'!Q323</f>
        <v/>
      </c>
      <c r="S330" s="7">
        <f>'1 prepared data'!R323</f>
        <v/>
      </c>
      <c r="T330" s="7">
        <f>'1 prepared data'!S323</f>
        <v/>
      </c>
      <c r="U330" s="7">
        <f>'1 prepared data'!T323</f>
        <v/>
      </c>
      <c r="V330" s="8">
        <f>$AC$12+D330*$AC$13+E330*$AC$14+F330*$AC$15+G330*$AC$16+H330*$AC$17+I330*$AC$18+J330*$AC$19+K330*$AC$20+L330*$AC$21+M330*$AC$22+N330*$AC$23+O330*$AC$24+P330*$AC$25+Q330*$AC$26+R330*$AC$27+S330*$AC$28+T330*$AC$29+U330*$AC$30</f>
        <v/>
      </c>
      <c r="W330" s="8">
        <f>1/(1+EXP(-V330))</f>
        <v/>
      </c>
      <c r="X330" s="9">
        <f>-IF(C330=1,LN(W330),LN(1-W330))</f>
        <v/>
      </c>
      <c r="Y330" s="10">
        <f>IF(W330&gt;$AC$33,1,0)</f>
        <v/>
      </c>
      <c r="Z330">
        <f>IF(Y330=C330,1,0)</f>
        <v/>
      </c>
    </row>
    <row r="331">
      <c r="A331">
        <f>'1 prepared data'!A324</f>
        <v/>
      </c>
      <c r="B331" s="5">
        <f>'1 prepared data'!U324</f>
        <v/>
      </c>
      <c r="C331">
        <f>'1 prepared data'!B324</f>
        <v/>
      </c>
      <c r="D331" s="7">
        <f>'1 prepared data'!C324</f>
        <v/>
      </c>
      <c r="E331" s="7">
        <f>'1 prepared data'!D324</f>
        <v/>
      </c>
      <c r="F331" s="7">
        <f>'1 prepared data'!E324</f>
        <v/>
      </c>
      <c r="G331" s="7">
        <f>'1 prepared data'!F324</f>
        <v/>
      </c>
      <c r="H331" s="7">
        <f>'1 prepared data'!G324</f>
        <v/>
      </c>
      <c r="I331" s="7">
        <f>'1 prepared data'!H324</f>
        <v/>
      </c>
      <c r="J331" s="7">
        <f>'1 prepared data'!I324</f>
        <v/>
      </c>
      <c r="K331" s="7">
        <f>'1 prepared data'!J324</f>
        <v/>
      </c>
      <c r="L331" s="7">
        <f>'1 prepared data'!K324</f>
        <v/>
      </c>
      <c r="M331" s="7">
        <f>'1 prepared data'!L324</f>
        <v/>
      </c>
      <c r="N331" s="7">
        <f>'1 prepared data'!M324</f>
        <v/>
      </c>
      <c r="O331" s="7">
        <f>'1 prepared data'!N324</f>
        <v/>
      </c>
      <c r="P331" s="7">
        <f>'1 prepared data'!O324</f>
        <v/>
      </c>
      <c r="Q331" s="7">
        <f>'1 prepared data'!P324</f>
        <v/>
      </c>
      <c r="R331" s="7">
        <f>'1 prepared data'!Q324</f>
        <v/>
      </c>
      <c r="S331" s="7">
        <f>'1 prepared data'!R324</f>
        <v/>
      </c>
      <c r="T331" s="7">
        <f>'1 prepared data'!S324</f>
        <v/>
      </c>
      <c r="U331" s="7">
        <f>'1 prepared data'!T324</f>
        <v/>
      </c>
      <c r="V331" s="8">
        <f>$AC$12+D331*$AC$13+E331*$AC$14+F331*$AC$15+G331*$AC$16+H331*$AC$17+I331*$AC$18+J331*$AC$19+K331*$AC$20+L331*$AC$21+M331*$AC$22+N331*$AC$23+O331*$AC$24+P331*$AC$25+Q331*$AC$26+R331*$AC$27+S331*$AC$28+T331*$AC$29+U331*$AC$30</f>
        <v/>
      </c>
      <c r="W331" s="8">
        <f>1/(1+EXP(-V331))</f>
        <v/>
      </c>
      <c r="X331" s="9">
        <f>-IF(C331=1,LN(W331),LN(1-W331))</f>
        <v/>
      </c>
      <c r="Y331" s="10">
        <f>IF(W331&gt;$AC$33,1,0)</f>
        <v/>
      </c>
      <c r="Z331">
        <f>IF(Y331=C331,1,0)</f>
        <v/>
      </c>
    </row>
    <row r="332">
      <c r="A332">
        <f>'1 prepared data'!A325</f>
        <v/>
      </c>
      <c r="B332" s="5">
        <f>'1 prepared data'!U325</f>
        <v/>
      </c>
      <c r="C332">
        <f>'1 prepared data'!B325</f>
        <v/>
      </c>
      <c r="D332" s="7">
        <f>'1 prepared data'!C325</f>
        <v/>
      </c>
      <c r="E332" s="7">
        <f>'1 prepared data'!D325</f>
        <v/>
      </c>
      <c r="F332" s="7">
        <f>'1 prepared data'!E325</f>
        <v/>
      </c>
      <c r="G332" s="7">
        <f>'1 prepared data'!F325</f>
        <v/>
      </c>
      <c r="H332" s="7">
        <f>'1 prepared data'!G325</f>
        <v/>
      </c>
      <c r="I332" s="7">
        <f>'1 prepared data'!H325</f>
        <v/>
      </c>
      <c r="J332" s="7">
        <f>'1 prepared data'!I325</f>
        <v/>
      </c>
      <c r="K332" s="7">
        <f>'1 prepared data'!J325</f>
        <v/>
      </c>
      <c r="L332" s="7">
        <f>'1 prepared data'!K325</f>
        <v/>
      </c>
      <c r="M332" s="7">
        <f>'1 prepared data'!L325</f>
        <v/>
      </c>
      <c r="N332" s="7">
        <f>'1 prepared data'!M325</f>
        <v/>
      </c>
      <c r="O332" s="7">
        <f>'1 prepared data'!N325</f>
        <v/>
      </c>
      <c r="P332" s="7">
        <f>'1 prepared data'!O325</f>
        <v/>
      </c>
      <c r="Q332" s="7">
        <f>'1 prepared data'!P325</f>
        <v/>
      </c>
      <c r="R332" s="7">
        <f>'1 prepared data'!Q325</f>
        <v/>
      </c>
      <c r="S332" s="7">
        <f>'1 prepared data'!R325</f>
        <v/>
      </c>
      <c r="T332" s="7">
        <f>'1 prepared data'!S325</f>
        <v/>
      </c>
      <c r="U332" s="7">
        <f>'1 prepared data'!T325</f>
        <v/>
      </c>
      <c r="V332" s="8">
        <f>$AC$12+D332*$AC$13+E332*$AC$14+F332*$AC$15+G332*$AC$16+H332*$AC$17+I332*$AC$18+J332*$AC$19+K332*$AC$20+L332*$AC$21+M332*$AC$22+N332*$AC$23+O332*$AC$24+P332*$AC$25+Q332*$AC$26+R332*$AC$27+S332*$AC$28+T332*$AC$29+U332*$AC$30</f>
        <v/>
      </c>
      <c r="W332" s="8">
        <f>1/(1+EXP(-V332))</f>
        <v/>
      </c>
      <c r="X332" s="9">
        <f>-IF(C332=1,LN(W332),LN(1-W332))</f>
        <v/>
      </c>
      <c r="Y332" s="10">
        <f>IF(W332&gt;$AC$33,1,0)</f>
        <v/>
      </c>
      <c r="Z332">
        <f>IF(Y332=C332,1,0)</f>
        <v/>
      </c>
    </row>
    <row r="333">
      <c r="A333">
        <f>'1 prepared data'!A326</f>
        <v/>
      </c>
      <c r="B333" s="5">
        <f>'1 prepared data'!U326</f>
        <v/>
      </c>
      <c r="C333">
        <f>'1 prepared data'!B326</f>
        <v/>
      </c>
      <c r="D333" s="7">
        <f>'1 prepared data'!C326</f>
        <v/>
      </c>
      <c r="E333" s="7">
        <f>'1 prepared data'!D326</f>
        <v/>
      </c>
      <c r="F333" s="7">
        <f>'1 prepared data'!E326</f>
        <v/>
      </c>
      <c r="G333" s="7">
        <f>'1 prepared data'!F326</f>
        <v/>
      </c>
      <c r="H333" s="7">
        <f>'1 prepared data'!G326</f>
        <v/>
      </c>
      <c r="I333" s="7">
        <f>'1 prepared data'!H326</f>
        <v/>
      </c>
      <c r="J333" s="7">
        <f>'1 prepared data'!I326</f>
        <v/>
      </c>
      <c r="K333" s="7">
        <f>'1 prepared data'!J326</f>
        <v/>
      </c>
      <c r="L333" s="7">
        <f>'1 prepared data'!K326</f>
        <v/>
      </c>
      <c r="M333" s="7">
        <f>'1 prepared data'!L326</f>
        <v/>
      </c>
      <c r="N333" s="7">
        <f>'1 prepared data'!M326</f>
        <v/>
      </c>
      <c r="O333" s="7">
        <f>'1 prepared data'!N326</f>
        <v/>
      </c>
      <c r="P333" s="7">
        <f>'1 prepared data'!O326</f>
        <v/>
      </c>
      <c r="Q333" s="7">
        <f>'1 prepared data'!P326</f>
        <v/>
      </c>
      <c r="R333" s="7">
        <f>'1 prepared data'!Q326</f>
        <v/>
      </c>
      <c r="S333" s="7">
        <f>'1 prepared data'!R326</f>
        <v/>
      </c>
      <c r="T333" s="7">
        <f>'1 prepared data'!S326</f>
        <v/>
      </c>
      <c r="U333" s="7">
        <f>'1 prepared data'!T326</f>
        <v/>
      </c>
      <c r="V333" s="8">
        <f>$AC$12+D333*$AC$13+E333*$AC$14+F333*$AC$15+G333*$AC$16+H333*$AC$17+I333*$AC$18+J333*$AC$19+K333*$AC$20+L333*$AC$21+M333*$AC$22+N333*$AC$23+O333*$AC$24+P333*$AC$25+Q333*$AC$26+R333*$AC$27+S333*$AC$28+T333*$AC$29+U333*$AC$30</f>
        <v/>
      </c>
      <c r="W333" s="8">
        <f>1/(1+EXP(-V333))</f>
        <v/>
      </c>
      <c r="X333" s="9">
        <f>-IF(C333=1,LN(W333),LN(1-W333))</f>
        <v/>
      </c>
      <c r="Y333" s="10">
        <f>IF(W333&gt;$AC$33,1,0)</f>
        <v/>
      </c>
      <c r="Z333">
        <f>IF(Y333=C333,1,0)</f>
        <v/>
      </c>
    </row>
    <row r="334">
      <c r="A334">
        <f>'1 prepared data'!A327</f>
        <v/>
      </c>
      <c r="B334" s="5">
        <f>'1 prepared data'!U327</f>
        <v/>
      </c>
      <c r="C334">
        <f>'1 prepared data'!B327</f>
        <v/>
      </c>
      <c r="D334" s="7">
        <f>'1 prepared data'!C327</f>
        <v/>
      </c>
      <c r="E334" s="7">
        <f>'1 prepared data'!D327</f>
        <v/>
      </c>
      <c r="F334" s="7">
        <f>'1 prepared data'!E327</f>
        <v/>
      </c>
      <c r="G334" s="7">
        <f>'1 prepared data'!F327</f>
        <v/>
      </c>
      <c r="H334" s="7">
        <f>'1 prepared data'!G327</f>
        <v/>
      </c>
      <c r="I334" s="7">
        <f>'1 prepared data'!H327</f>
        <v/>
      </c>
      <c r="J334" s="7">
        <f>'1 prepared data'!I327</f>
        <v/>
      </c>
      <c r="K334" s="7">
        <f>'1 prepared data'!J327</f>
        <v/>
      </c>
      <c r="L334" s="7">
        <f>'1 prepared data'!K327</f>
        <v/>
      </c>
      <c r="M334" s="7">
        <f>'1 prepared data'!L327</f>
        <v/>
      </c>
      <c r="N334" s="7">
        <f>'1 prepared data'!M327</f>
        <v/>
      </c>
      <c r="O334" s="7">
        <f>'1 prepared data'!N327</f>
        <v/>
      </c>
      <c r="P334" s="7">
        <f>'1 prepared data'!O327</f>
        <v/>
      </c>
      <c r="Q334" s="7">
        <f>'1 prepared data'!P327</f>
        <v/>
      </c>
      <c r="R334" s="7">
        <f>'1 prepared data'!Q327</f>
        <v/>
      </c>
      <c r="S334" s="7">
        <f>'1 prepared data'!R327</f>
        <v/>
      </c>
      <c r="T334" s="7">
        <f>'1 prepared data'!S327</f>
        <v/>
      </c>
      <c r="U334" s="7">
        <f>'1 prepared data'!T327</f>
        <v/>
      </c>
      <c r="V334" s="8">
        <f>$AC$12+D334*$AC$13+E334*$AC$14+F334*$AC$15+G334*$AC$16+H334*$AC$17+I334*$AC$18+J334*$AC$19+K334*$AC$20+L334*$AC$21+M334*$AC$22+N334*$AC$23+O334*$AC$24+P334*$AC$25+Q334*$AC$26+R334*$AC$27+S334*$AC$28+T334*$AC$29+U334*$AC$30</f>
        <v/>
      </c>
      <c r="W334" s="8">
        <f>1/(1+EXP(-V334))</f>
        <v/>
      </c>
      <c r="X334" s="9">
        <f>-IF(C334=1,LN(W334),LN(1-W334))</f>
        <v/>
      </c>
      <c r="Y334" s="10">
        <f>IF(W334&gt;$AC$33,1,0)</f>
        <v/>
      </c>
      <c r="Z334">
        <f>IF(Y334=C334,1,0)</f>
        <v/>
      </c>
    </row>
    <row r="335">
      <c r="A335">
        <f>'1 prepared data'!A328</f>
        <v/>
      </c>
      <c r="B335" s="5">
        <f>'1 prepared data'!U328</f>
        <v/>
      </c>
      <c r="C335">
        <f>'1 prepared data'!B328</f>
        <v/>
      </c>
      <c r="D335" s="7">
        <f>'1 prepared data'!C328</f>
        <v/>
      </c>
      <c r="E335" s="7">
        <f>'1 prepared data'!D328</f>
        <v/>
      </c>
      <c r="F335" s="7">
        <f>'1 prepared data'!E328</f>
        <v/>
      </c>
      <c r="G335" s="7">
        <f>'1 prepared data'!F328</f>
        <v/>
      </c>
      <c r="H335" s="7">
        <f>'1 prepared data'!G328</f>
        <v/>
      </c>
      <c r="I335" s="7">
        <f>'1 prepared data'!H328</f>
        <v/>
      </c>
      <c r="J335" s="7">
        <f>'1 prepared data'!I328</f>
        <v/>
      </c>
      <c r="K335" s="7">
        <f>'1 prepared data'!J328</f>
        <v/>
      </c>
      <c r="L335" s="7">
        <f>'1 prepared data'!K328</f>
        <v/>
      </c>
      <c r="M335" s="7">
        <f>'1 prepared data'!L328</f>
        <v/>
      </c>
      <c r="N335" s="7">
        <f>'1 prepared data'!M328</f>
        <v/>
      </c>
      <c r="O335" s="7">
        <f>'1 prepared data'!N328</f>
        <v/>
      </c>
      <c r="P335" s="7">
        <f>'1 prepared data'!O328</f>
        <v/>
      </c>
      <c r="Q335" s="7">
        <f>'1 prepared data'!P328</f>
        <v/>
      </c>
      <c r="R335" s="7">
        <f>'1 prepared data'!Q328</f>
        <v/>
      </c>
      <c r="S335" s="7">
        <f>'1 prepared data'!R328</f>
        <v/>
      </c>
      <c r="T335" s="7">
        <f>'1 prepared data'!S328</f>
        <v/>
      </c>
      <c r="U335" s="7">
        <f>'1 prepared data'!T328</f>
        <v/>
      </c>
      <c r="V335" s="8">
        <f>$AC$12+D335*$AC$13+E335*$AC$14+F335*$AC$15+G335*$AC$16+H335*$AC$17+I335*$AC$18+J335*$AC$19+K335*$AC$20+L335*$AC$21+M335*$AC$22+N335*$AC$23+O335*$AC$24+P335*$AC$25+Q335*$AC$26+R335*$AC$27+S335*$AC$28+T335*$AC$29+U335*$AC$30</f>
        <v/>
      </c>
      <c r="W335" s="8">
        <f>1/(1+EXP(-V335))</f>
        <v/>
      </c>
      <c r="X335" s="9">
        <f>-IF(C335=1,LN(W335),LN(1-W335))</f>
        <v/>
      </c>
      <c r="Y335" s="10">
        <f>IF(W335&gt;$AC$33,1,0)</f>
        <v/>
      </c>
      <c r="Z335">
        <f>IF(Y335=C335,1,0)</f>
        <v/>
      </c>
    </row>
    <row r="336">
      <c r="A336">
        <f>'1 prepared data'!A329</f>
        <v/>
      </c>
      <c r="B336" s="5">
        <f>'1 prepared data'!U329</f>
        <v/>
      </c>
      <c r="C336">
        <f>'1 prepared data'!B329</f>
        <v/>
      </c>
      <c r="D336" s="7">
        <f>'1 prepared data'!C329</f>
        <v/>
      </c>
      <c r="E336" s="7">
        <f>'1 prepared data'!D329</f>
        <v/>
      </c>
      <c r="F336" s="7">
        <f>'1 prepared data'!E329</f>
        <v/>
      </c>
      <c r="G336" s="7">
        <f>'1 prepared data'!F329</f>
        <v/>
      </c>
      <c r="H336" s="7">
        <f>'1 prepared data'!G329</f>
        <v/>
      </c>
      <c r="I336" s="7">
        <f>'1 prepared data'!H329</f>
        <v/>
      </c>
      <c r="J336" s="7">
        <f>'1 prepared data'!I329</f>
        <v/>
      </c>
      <c r="K336" s="7">
        <f>'1 prepared data'!J329</f>
        <v/>
      </c>
      <c r="L336" s="7">
        <f>'1 prepared data'!K329</f>
        <v/>
      </c>
      <c r="M336" s="7">
        <f>'1 prepared data'!L329</f>
        <v/>
      </c>
      <c r="N336" s="7">
        <f>'1 prepared data'!M329</f>
        <v/>
      </c>
      <c r="O336" s="7">
        <f>'1 prepared data'!N329</f>
        <v/>
      </c>
      <c r="P336" s="7">
        <f>'1 prepared data'!O329</f>
        <v/>
      </c>
      <c r="Q336" s="7">
        <f>'1 prepared data'!P329</f>
        <v/>
      </c>
      <c r="R336" s="7">
        <f>'1 prepared data'!Q329</f>
        <v/>
      </c>
      <c r="S336" s="7">
        <f>'1 prepared data'!R329</f>
        <v/>
      </c>
      <c r="T336" s="7">
        <f>'1 prepared data'!S329</f>
        <v/>
      </c>
      <c r="U336" s="7">
        <f>'1 prepared data'!T329</f>
        <v/>
      </c>
      <c r="V336" s="8">
        <f>$AC$12+D336*$AC$13+E336*$AC$14+F336*$AC$15+G336*$AC$16+H336*$AC$17+I336*$AC$18+J336*$AC$19+K336*$AC$20+L336*$AC$21+M336*$AC$22+N336*$AC$23+O336*$AC$24+P336*$AC$25+Q336*$AC$26+R336*$AC$27+S336*$AC$28+T336*$AC$29+U336*$AC$30</f>
        <v/>
      </c>
      <c r="W336" s="8">
        <f>1/(1+EXP(-V336))</f>
        <v/>
      </c>
      <c r="X336" s="9">
        <f>-IF(C336=1,LN(W336),LN(1-W336))</f>
        <v/>
      </c>
      <c r="Y336" s="10">
        <f>IF(W336&gt;$AC$33,1,0)</f>
        <v/>
      </c>
      <c r="Z336">
        <f>IF(Y336=C336,1,0)</f>
        <v/>
      </c>
    </row>
    <row r="337">
      <c r="A337">
        <f>'1 prepared data'!A330</f>
        <v/>
      </c>
      <c r="B337" s="5">
        <f>'1 prepared data'!U330</f>
        <v/>
      </c>
      <c r="C337">
        <f>'1 prepared data'!B330</f>
        <v/>
      </c>
      <c r="D337" s="7">
        <f>'1 prepared data'!C330</f>
        <v/>
      </c>
      <c r="E337" s="7">
        <f>'1 prepared data'!D330</f>
        <v/>
      </c>
      <c r="F337" s="7">
        <f>'1 prepared data'!E330</f>
        <v/>
      </c>
      <c r="G337" s="7">
        <f>'1 prepared data'!F330</f>
        <v/>
      </c>
      <c r="H337" s="7">
        <f>'1 prepared data'!G330</f>
        <v/>
      </c>
      <c r="I337" s="7">
        <f>'1 prepared data'!H330</f>
        <v/>
      </c>
      <c r="J337" s="7">
        <f>'1 prepared data'!I330</f>
        <v/>
      </c>
      <c r="K337" s="7">
        <f>'1 prepared data'!J330</f>
        <v/>
      </c>
      <c r="L337" s="7">
        <f>'1 prepared data'!K330</f>
        <v/>
      </c>
      <c r="M337" s="7">
        <f>'1 prepared data'!L330</f>
        <v/>
      </c>
      <c r="N337" s="7">
        <f>'1 prepared data'!M330</f>
        <v/>
      </c>
      <c r="O337" s="7">
        <f>'1 prepared data'!N330</f>
        <v/>
      </c>
      <c r="P337" s="7">
        <f>'1 prepared data'!O330</f>
        <v/>
      </c>
      <c r="Q337" s="7">
        <f>'1 prepared data'!P330</f>
        <v/>
      </c>
      <c r="R337" s="7">
        <f>'1 prepared data'!Q330</f>
        <v/>
      </c>
      <c r="S337" s="7">
        <f>'1 prepared data'!R330</f>
        <v/>
      </c>
      <c r="T337" s="7">
        <f>'1 prepared data'!S330</f>
        <v/>
      </c>
      <c r="U337" s="7">
        <f>'1 prepared data'!T330</f>
        <v/>
      </c>
      <c r="V337" s="8">
        <f>$AC$12+D337*$AC$13+E337*$AC$14+F337*$AC$15+G337*$AC$16+H337*$AC$17+I337*$AC$18+J337*$AC$19+K337*$AC$20+L337*$AC$21+M337*$AC$22+N337*$AC$23+O337*$AC$24+P337*$AC$25+Q337*$AC$26+R337*$AC$27+S337*$AC$28+T337*$AC$29+U337*$AC$30</f>
        <v/>
      </c>
      <c r="W337" s="8">
        <f>1/(1+EXP(-V337))</f>
        <v/>
      </c>
      <c r="X337" s="9">
        <f>-IF(C337=1,LN(W337),LN(1-W337))</f>
        <v/>
      </c>
      <c r="Y337" s="10">
        <f>IF(W337&gt;$AC$33,1,0)</f>
        <v/>
      </c>
      <c r="Z337">
        <f>IF(Y337=C337,1,0)</f>
        <v/>
      </c>
    </row>
    <row r="338">
      <c r="A338">
        <f>'1 prepared data'!A331</f>
        <v/>
      </c>
      <c r="B338" s="5">
        <f>'1 prepared data'!U331</f>
        <v/>
      </c>
      <c r="C338">
        <f>'1 prepared data'!B331</f>
        <v/>
      </c>
      <c r="D338" s="7">
        <f>'1 prepared data'!C331</f>
        <v/>
      </c>
      <c r="E338" s="7">
        <f>'1 prepared data'!D331</f>
        <v/>
      </c>
      <c r="F338" s="7">
        <f>'1 prepared data'!E331</f>
        <v/>
      </c>
      <c r="G338" s="7">
        <f>'1 prepared data'!F331</f>
        <v/>
      </c>
      <c r="H338" s="7">
        <f>'1 prepared data'!G331</f>
        <v/>
      </c>
      <c r="I338" s="7">
        <f>'1 prepared data'!H331</f>
        <v/>
      </c>
      <c r="J338" s="7">
        <f>'1 prepared data'!I331</f>
        <v/>
      </c>
      <c r="K338" s="7">
        <f>'1 prepared data'!J331</f>
        <v/>
      </c>
      <c r="L338" s="7">
        <f>'1 prepared data'!K331</f>
        <v/>
      </c>
      <c r="M338" s="7">
        <f>'1 prepared data'!L331</f>
        <v/>
      </c>
      <c r="N338" s="7">
        <f>'1 prepared data'!M331</f>
        <v/>
      </c>
      <c r="O338" s="7">
        <f>'1 prepared data'!N331</f>
        <v/>
      </c>
      <c r="P338" s="7">
        <f>'1 prepared data'!O331</f>
        <v/>
      </c>
      <c r="Q338" s="7">
        <f>'1 prepared data'!P331</f>
        <v/>
      </c>
      <c r="R338" s="7">
        <f>'1 prepared data'!Q331</f>
        <v/>
      </c>
      <c r="S338" s="7">
        <f>'1 prepared data'!R331</f>
        <v/>
      </c>
      <c r="T338" s="7">
        <f>'1 prepared data'!S331</f>
        <v/>
      </c>
      <c r="U338" s="7">
        <f>'1 prepared data'!T331</f>
        <v/>
      </c>
      <c r="V338" s="8">
        <f>$AC$12+D338*$AC$13+E338*$AC$14+F338*$AC$15+G338*$AC$16+H338*$AC$17+I338*$AC$18+J338*$AC$19+K338*$AC$20+L338*$AC$21+M338*$AC$22+N338*$AC$23+O338*$AC$24+P338*$AC$25+Q338*$AC$26+R338*$AC$27+S338*$AC$28+T338*$AC$29+U338*$AC$30</f>
        <v/>
      </c>
      <c r="W338" s="8">
        <f>1/(1+EXP(-V338))</f>
        <v/>
      </c>
      <c r="X338" s="9">
        <f>-IF(C338=1,LN(W338),LN(1-W338))</f>
        <v/>
      </c>
      <c r="Y338" s="10">
        <f>IF(W338&gt;$AC$33,1,0)</f>
        <v/>
      </c>
      <c r="Z338">
        <f>IF(Y338=C338,1,0)</f>
        <v/>
      </c>
    </row>
    <row r="339">
      <c r="A339">
        <f>'1 prepared data'!A332</f>
        <v/>
      </c>
      <c r="B339" s="5">
        <f>'1 prepared data'!U332</f>
        <v/>
      </c>
      <c r="C339">
        <f>'1 prepared data'!B332</f>
        <v/>
      </c>
      <c r="D339" s="7">
        <f>'1 prepared data'!C332</f>
        <v/>
      </c>
      <c r="E339" s="7">
        <f>'1 prepared data'!D332</f>
        <v/>
      </c>
      <c r="F339" s="7">
        <f>'1 prepared data'!E332</f>
        <v/>
      </c>
      <c r="G339" s="7">
        <f>'1 prepared data'!F332</f>
        <v/>
      </c>
      <c r="H339" s="7">
        <f>'1 prepared data'!G332</f>
        <v/>
      </c>
      <c r="I339" s="7">
        <f>'1 prepared data'!H332</f>
        <v/>
      </c>
      <c r="J339" s="7">
        <f>'1 prepared data'!I332</f>
        <v/>
      </c>
      <c r="K339" s="7">
        <f>'1 prepared data'!J332</f>
        <v/>
      </c>
      <c r="L339" s="7">
        <f>'1 prepared data'!K332</f>
        <v/>
      </c>
      <c r="M339" s="7">
        <f>'1 prepared data'!L332</f>
        <v/>
      </c>
      <c r="N339" s="7">
        <f>'1 prepared data'!M332</f>
        <v/>
      </c>
      <c r="O339" s="7">
        <f>'1 prepared data'!N332</f>
        <v/>
      </c>
      <c r="P339" s="7">
        <f>'1 prepared data'!O332</f>
        <v/>
      </c>
      <c r="Q339" s="7">
        <f>'1 prepared data'!P332</f>
        <v/>
      </c>
      <c r="R339" s="7">
        <f>'1 prepared data'!Q332</f>
        <v/>
      </c>
      <c r="S339" s="7">
        <f>'1 prepared data'!R332</f>
        <v/>
      </c>
      <c r="T339" s="7">
        <f>'1 prepared data'!S332</f>
        <v/>
      </c>
      <c r="U339" s="7">
        <f>'1 prepared data'!T332</f>
        <v/>
      </c>
      <c r="V339" s="8">
        <f>$AC$12+D339*$AC$13+E339*$AC$14+F339*$AC$15+G339*$AC$16+H339*$AC$17+I339*$AC$18+J339*$AC$19+K339*$AC$20+L339*$AC$21+M339*$AC$22+N339*$AC$23+O339*$AC$24+P339*$AC$25+Q339*$AC$26+R339*$AC$27+S339*$AC$28+T339*$AC$29+U339*$AC$30</f>
        <v/>
      </c>
      <c r="W339" s="8">
        <f>1/(1+EXP(-V339))</f>
        <v/>
      </c>
      <c r="X339" s="9">
        <f>-IF(C339=1,LN(W339),LN(1-W339))</f>
        <v/>
      </c>
      <c r="Y339" s="10">
        <f>IF(W339&gt;$AC$33,1,0)</f>
        <v/>
      </c>
      <c r="Z339">
        <f>IF(Y339=C339,1,0)</f>
        <v/>
      </c>
    </row>
    <row r="340">
      <c r="A340">
        <f>'1 prepared data'!A333</f>
        <v/>
      </c>
      <c r="B340" s="5">
        <f>'1 prepared data'!U333</f>
        <v/>
      </c>
      <c r="C340">
        <f>'1 prepared data'!B333</f>
        <v/>
      </c>
      <c r="D340" s="7">
        <f>'1 prepared data'!C333</f>
        <v/>
      </c>
      <c r="E340" s="7">
        <f>'1 prepared data'!D333</f>
        <v/>
      </c>
      <c r="F340" s="7">
        <f>'1 prepared data'!E333</f>
        <v/>
      </c>
      <c r="G340" s="7">
        <f>'1 prepared data'!F333</f>
        <v/>
      </c>
      <c r="H340" s="7">
        <f>'1 prepared data'!G333</f>
        <v/>
      </c>
      <c r="I340" s="7">
        <f>'1 prepared data'!H333</f>
        <v/>
      </c>
      <c r="J340" s="7">
        <f>'1 prepared data'!I333</f>
        <v/>
      </c>
      <c r="K340" s="7">
        <f>'1 prepared data'!J333</f>
        <v/>
      </c>
      <c r="L340" s="7">
        <f>'1 prepared data'!K333</f>
        <v/>
      </c>
      <c r="M340" s="7">
        <f>'1 prepared data'!L333</f>
        <v/>
      </c>
      <c r="N340" s="7">
        <f>'1 prepared data'!M333</f>
        <v/>
      </c>
      <c r="O340" s="7">
        <f>'1 prepared data'!N333</f>
        <v/>
      </c>
      <c r="P340" s="7">
        <f>'1 prepared data'!O333</f>
        <v/>
      </c>
      <c r="Q340" s="7">
        <f>'1 prepared data'!P333</f>
        <v/>
      </c>
      <c r="R340" s="7">
        <f>'1 prepared data'!Q333</f>
        <v/>
      </c>
      <c r="S340" s="7">
        <f>'1 prepared data'!R333</f>
        <v/>
      </c>
      <c r="T340" s="7">
        <f>'1 prepared data'!S333</f>
        <v/>
      </c>
      <c r="U340" s="7">
        <f>'1 prepared data'!T333</f>
        <v/>
      </c>
      <c r="V340" s="8">
        <f>$AC$12+D340*$AC$13+E340*$AC$14+F340*$AC$15+G340*$AC$16+H340*$AC$17+I340*$AC$18+J340*$AC$19+K340*$AC$20+L340*$AC$21+M340*$AC$22+N340*$AC$23+O340*$AC$24+P340*$AC$25+Q340*$AC$26+R340*$AC$27+S340*$AC$28+T340*$AC$29+U340*$AC$30</f>
        <v/>
      </c>
      <c r="W340" s="8">
        <f>1/(1+EXP(-V340))</f>
        <v/>
      </c>
      <c r="X340" s="9">
        <f>-IF(C340=1,LN(W340),LN(1-W340))</f>
        <v/>
      </c>
      <c r="Y340" s="10">
        <f>IF(W340&gt;$AC$33,1,0)</f>
        <v/>
      </c>
      <c r="Z340">
        <f>IF(Y340=C340,1,0)</f>
        <v/>
      </c>
    </row>
    <row r="341">
      <c r="A341">
        <f>'1 prepared data'!A334</f>
        <v/>
      </c>
      <c r="B341" s="5">
        <f>'1 prepared data'!U334</f>
        <v/>
      </c>
      <c r="C341">
        <f>'1 prepared data'!B334</f>
        <v/>
      </c>
      <c r="D341" s="7">
        <f>'1 prepared data'!C334</f>
        <v/>
      </c>
      <c r="E341" s="7">
        <f>'1 prepared data'!D334</f>
        <v/>
      </c>
      <c r="F341" s="7">
        <f>'1 prepared data'!E334</f>
        <v/>
      </c>
      <c r="G341" s="7">
        <f>'1 prepared data'!F334</f>
        <v/>
      </c>
      <c r="H341" s="7">
        <f>'1 prepared data'!G334</f>
        <v/>
      </c>
      <c r="I341" s="7">
        <f>'1 prepared data'!H334</f>
        <v/>
      </c>
      <c r="J341" s="7">
        <f>'1 prepared data'!I334</f>
        <v/>
      </c>
      <c r="K341" s="7">
        <f>'1 prepared data'!J334</f>
        <v/>
      </c>
      <c r="L341" s="7">
        <f>'1 prepared data'!K334</f>
        <v/>
      </c>
      <c r="M341" s="7">
        <f>'1 prepared data'!L334</f>
        <v/>
      </c>
      <c r="N341" s="7">
        <f>'1 prepared data'!M334</f>
        <v/>
      </c>
      <c r="O341" s="7">
        <f>'1 prepared data'!N334</f>
        <v/>
      </c>
      <c r="P341" s="7">
        <f>'1 prepared data'!O334</f>
        <v/>
      </c>
      <c r="Q341" s="7">
        <f>'1 prepared data'!P334</f>
        <v/>
      </c>
      <c r="R341" s="7">
        <f>'1 prepared data'!Q334</f>
        <v/>
      </c>
      <c r="S341" s="7">
        <f>'1 prepared data'!R334</f>
        <v/>
      </c>
      <c r="T341" s="7">
        <f>'1 prepared data'!S334</f>
        <v/>
      </c>
      <c r="U341" s="7">
        <f>'1 prepared data'!T334</f>
        <v/>
      </c>
      <c r="V341" s="8">
        <f>$AC$12+D341*$AC$13+E341*$AC$14+F341*$AC$15+G341*$AC$16+H341*$AC$17+I341*$AC$18+J341*$AC$19+K341*$AC$20+L341*$AC$21+M341*$AC$22+N341*$AC$23+O341*$AC$24+P341*$AC$25+Q341*$AC$26+R341*$AC$27+S341*$AC$28+T341*$AC$29+U341*$AC$30</f>
        <v/>
      </c>
      <c r="W341" s="8">
        <f>1/(1+EXP(-V341))</f>
        <v/>
      </c>
      <c r="X341" s="9">
        <f>-IF(C341=1,LN(W341),LN(1-W341))</f>
        <v/>
      </c>
      <c r="Y341" s="10">
        <f>IF(W341&gt;$AC$33,1,0)</f>
        <v/>
      </c>
      <c r="Z341">
        <f>IF(Y341=C341,1,0)</f>
        <v/>
      </c>
    </row>
    <row r="342">
      <c r="A342">
        <f>'1 prepared data'!A335</f>
        <v/>
      </c>
      <c r="B342" s="5">
        <f>'1 prepared data'!U335</f>
        <v/>
      </c>
      <c r="C342">
        <f>'1 prepared data'!B335</f>
        <v/>
      </c>
      <c r="D342" s="7">
        <f>'1 prepared data'!C335</f>
        <v/>
      </c>
      <c r="E342" s="7">
        <f>'1 prepared data'!D335</f>
        <v/>
      </c>
      <c r="F342" s="7">
        <f>'1 prepared data'!E335</f>
        <v/>
      </c>
      <c r="G342" s="7">
        <f>'1 prepared data'!F335</f>
        <v/>
      </c>
      <c r="H342" s="7">
        <f>'1 prepared data'!G335</f>
        <v/>
      </c>
      <c r="I342" s="7">
        <f>'1 prepared data'!H335</f>
        <v/>
      </c>
      <c r="J342" s="7">
        <f>'1 prepared data'!I335</f>
        <v/>
      </c>
      <c r="K342" s="7">
        <f>'1 prepared data'!J335</f>
        <v/>
      </c>
      <c r="L342" s="7">
        <f>'1 prepared data'!K335</f>
        <v/>
      </c>
      <c r="M342" s="7">
        <f>'1 prepared data'!L335</f>
        <v/>
      </c>
      <c r="N342" s="7">
        <f>'1 prepared data'!M335</f>
        <v/>
      </c>
      <c r="O342" s="7">
        <f>'1 prepared data'!N335</f>
        <v/>
      </c>
      <c r="P342" s="7">
        <f>'1 prepared data'!O335</f>
        <v/>
      </c>
      <c r="Q342" s="7">
        <f>'1 prepared data'!P335</f>
        <v/>
      </c>
      <c r="R342" s="7">
        <f>'1 prepared data'!Q335</f>
        <v/>
      </c>
      <c r="S342" s="7">
        <f>'1 prepared data'!R335</f>
        <v/>
      </c>
      <c r="T342" s="7">
        <f>'1 prepared data'!S335</f>
        <v/>
      </c>
      <c r="U342" s="7">
        <f>'1 prepared data'!T335</f>
        <v/>
      </c>
      <c r="V342" s="8">
        <f>$AC$12+D342*$AC$13+E342*$AC$14+F342*$AC$15+G342*$AC$16+H342*$AC$17+I342*$AC$18+J342*$AC$19+K342*$AC$20+L342*$AC$21+M342*$AC$22+N342*$AC$23+O342*$AC$24+P342*$AC$25+Q342*$AC$26+R342*$AC$27+S342*$AC$28+T342*$AC$29+U342*$AC$30</f>
        <v/>
      </c>
      <c r="W342" s="8">
        <f>1/(1+EXP(-V342))</f>
        <v/>
      </c>
      <c r="X342" s="9">
        <f>-IF(C342=1,LN(W342),LN(1-W342))</f>
        <v/>
      </c>
      <c r="Y342" s="10">
        <f>IF(W342&gt;$AC$33,1,0)</f>
        <v/>
      </c>
      <c r="Z342">
        <f>IF(Y342=C342,1,0)</f>
        <v/>
      </c>
    </row>
    <row r="343">
      <c r="A343">
        <f>'1 prepared data'!A336</f>
        <v/>
      </c>
      <c r="B343" s="5">
        <f>'1 prepared data'!U336</f>
        <v/>
      </c>
      <c r="C343">
        <f>'1 prepared data'!B336</f>
        <v/>
      </c>
      <c r="D343" s="7">
        <f>'1 prepared data'!C336</f>
        <v/>
      </c>
      <c r="E343" s="7">
        <f>'1 prepared data'!D336</f>
        <v/>
      </c>
      <c r="F343" s="7">
        <f>'1 prepared data'!E336</f>
        <v/>
      </c>
      <c r="G343" s="7">
        <f>'1 prepared data'!F336</f>
        <v/>
      </c>
      <c r="H343" s="7">
        <f>'1 prepared data'!G336</f>
        <v/>
      </c>
      <c r="I343" s="7">
        <f>'1 prepared data'!H336</f>
        <v/>
      </c>
      <c r="J343" s="7">
        <f>'1 prepared data'!I336</f>
        <v/>
      </c>
      <c r="K343" s="7">
        <f>'1 prepared data'!J336</f>
        <v/>
      </c>
      <c r="L343" s="7">
        <f>'1 prepared data'!K336</f>
        <v/>
      </c>
      <c r="M343" s="7">
        <f>'1 prepared data'!L336</f>
        <v/>
      </c>
      <c r="N343" s="7">
        <f>'1 prepared data'!M336</f>
        <v/>
      </c>
      <c r="O343" s="7">
        <f>'1 prepared data'!N336</f>
        <v/>
      </c>
      <c r="P343" s="7">
        <f>'1 prepared data'!O336</f>
        <v/>
      </c>
      <c r="Q343" s="7">
        <f>'1 prepared data'!P336</f>
        <v/>
      </c>
      <c r="R343" s="7">
        <f>'1 prepared data'!Q336</f>
        <v/>
      </c>
      <c r="S343" s="7">
        <f>'1 prepared data'!R336</f>
        <v/>
      </c>
      <c r="T343" s="7">
        <f>'1 prepared data'!S336</f>
        <v/>
      </c>
      <c r="U343" s="7">
        <f>'1 prepared data'!T336</f>
        <v/>
      </c>
      <c r="V343" s="8">
        <f>$AC$12+D343*$AC$13+E343*$AC$14+F343*$AC$15+G343*$AC$16+H343*$AC$17+I343*$AC$18+J343*$AC$19+K343*$AC$20+L343*$AC$21+M343*$AC$22+N343*$AC$23+O343*$AC$24+P343*$AC$25+Q343*$AC$26+R343*$AC$27+S343*$AC$28+T343*$AC$29+U343*$AC$30</f>
        <v/>
      </c>
      <c r="W343" s="8">
        <f>1/(1+EXP(-V343))</f>
        <v/>
      </c>
      <c r="X343" s="9">
        <f>-IF(C343=1,LN(W343),LN(1-W343))</f>
        <v/>
      </c>
      <c r="Y343" s="10">
        <f>IF(W343&gt;$AC$33,1,0)</f>
        <v/>
      </c>
      <c r="Z343">
        <f>IF(Y343=C343,1,0)</f>
        <v/>
      </c>
    </row>
    <row r="344">
      <c r="A344">
        <f>'1 prepared data'!A337</f>
        <v/>
      </c>
      <c r="B344" s="5">
        <f>'1 prepared data'!U337</f>
        <v/>
      </c>
      <c r="C344">
        <f>'1 prepared data'!B337</f>
        <v/>
      </c>
      <c r="D344" s="7">
        <f>'1 prepared data'!C337</f>
        <v/>
      </c>
      <c r="E344" s="7">
        <f>'1 prepared data'!D337</f>
        <v/>
      </c>
      <c r="F344" s="7">
        <f>'1 prepared data'!E337</f>
        <v/>
      </c>
      <c r="G344" s="7">
        <f>'1 prepared data'!F337</f>
        <v/>
      </c>
      <c r="H344" s="7">
        <f>'1 prepared data'!G337</f>
        <v/>
      </c>
      <c r="I344" s="7">
        <f>'1 prepared data'!H337</f>
        <v/>
      </c>
      <c r="J344" s="7">
        <f>'1 prepared data'!I337</f>
        <v/>
      </c>
      <c r="K344" s="7">
        <f>'1 prepared data'!J337</f>
        <v/>
      </c>
      <c r="L344" s="7">
        <f>'1 prepared data'!K337</f>
        <v/>
      </c>
      <c r="M344" s="7">
        <f>'1 prepared data'!L337</f>
        <v/>
      </c>
      <c r="N344" s="7">
        <f>'1 prepared data'!M337</f>
        <v/>
      </c>
      <c r="O344" s="7">
        <f>'1 prepared data'!N337</f>
        <v/>
      </c>
      <c r="P344" s="7">
        <f>'1 prepared data'!O337</f>
        <v/>
      </c>
      <c r="Q344" s="7">
        <f>'1 prepared data'!P337</f>
        <v/>
      </c>
      <c r="R344" s="7">
        <f>'1 prepared data'!Q337</f>
        <v/>
      </c>
      <c r="S344" s="7">
        <f>'1 prepared data'!R337</f>
        <v/>
      </c>
      <c r="T344" s="7">
        <f>'1 prepared data'!S337</f>
        <v/>
      </c>
      <c r="U344" s="7">
        <f>'1 prepared data'!T337</f>
        <v/>
      </c>
      <c r="V344" s="8">
        <f>$AC$12+D344*$AC$13+E344*$AC$14+F344*$AC$15+G344*$AC$16+H344*$AC$17+I344*$AC$18+J344*$AC$19+K344*$AC$20+L344*$AC$21+M344*$AC$22+N344*$AC$23+O344*$AC$24+P344*$AC$25+Q344*$AC$26+R344*$AC$27+S344*$AC$28+T344*$AC$29+U344*$AC$30</f>
        <v/>
      </c>
      <c r="W344" s="8">
        <f>1/(1+EXP(-V344))</f>
        <v/>
      </c>
      <c r="X344" s="9">
        <f>-IF(C344=1,LN(W344),LN(1-W344))</f>
        <v/>
      </c>
      <c r="Y344" s="10">
        <f>IF(W344&gt;$AC$33,1,0)</f>
        <v/>
      </c>
      <c r="Z344">
        <f>IF(Y344=C344,1,0)</f>
        <v/>
      </c>
    </row>
    <row r="345">
      <c r="A345">
        <f>'1 prepared data'!A338</f>
        <v/>
      </c>
      <c r="B345" s="5">
        <f>'1 prepared data'!U338</f>
        <v/>
      </c>
      <c r="C345">
        <f>'1 prepared data'!B338</f>
        <v/>
      </c>
      <c r="D345" s="7">
        <f>'1 prepared data'!C338</f>
        <v/>
      </c>
      <c r="E345" s="7">
        <f>'1 prepared data'!D338</f>
        <v/>
      </c>
      <c r="F345" s="7">
        <f>'1 prepared data'!E338</f>
        <v/>
      </c>
      <c r="G345" s="7">
        <f>'1 prepared data'!F338</f>
        <v/>
      </c>
      <c r="H345" s="7">
        <f>'1 prepared data'!G338</f>
        <v/>
      </c>
      <c r="I345" s="7">
        <f>'1 prepared data'!H338</f>
        <v/>
      </c>
      <c r="J345" s="7">
        <f>'1 prepared data'!I338</f>
        <v/>
      </c>
      <c r="K345" s="7">
        <f>'1 prepared data'!J338</f>
        <v/>
      </c>
      <c r="L345" s="7">
        <f>'1 prepared data'!K338</f>
        <v/>
      </c>
      <c r="M345" s="7">
        <f>'1 prepared data'!L338</f>
        <v/>
      </c>
      <c r="N345" s="7">
        <f>'1 prepared data'!M338</f>
        <v/>
      </c>
      <c r="O345" s="7">
        <f>'1 prepared data'!N338</f>
        <v/>
      </c>
      <c r="P345" s="7">
        <f>'1 prepared data'!O338</f>
        <v/>
      </c>
      <c r="Q345" s="7">
        <f>'1 prepared data'!P338</f>
        <v/>
      </c>
      <c r="R345" s="7">
        <f>'1 prepared data'!Q338</f>
        <v/>
      </c>
      <c r="S345" s="7">
        <f>'1 prepared data'!R338</f>
        <v/>
      </c>
      <c r="T345" s="7">
        <f>'1 prepared data'!S338</f>
        <v/>
      </c>
      <c r="U345" s="7">
        <f>'1 prepared data'!T338</f>
        <v/>
      </c>
      <c r="V345" s="8">
        <f>$AC$12+D345*$AC$13+E345*$AC$14+F345*$AC$15+G345*$AC$16+H345*$AC$17+I345*$AC$18+J345*$AC$19+K345*$AC$20+L345*$AC$21+M345*$AC$22+N345*$AC$23+O345*$AC$24+P345*$AC$25+Q345*$AC$26+R345*$AC$27+S345*$AC$28+T345*$AC$29+U345*$AC$30</f>
        <v/>
      </c>
      <c r="W345" s="8">
        <f>1/(1+EXP(-V345))</f>
        <v/>
      </c>
      <c r="X345" s="9">
        <f>-IF(C345=1,LN(W345),LN(1-W345))</f>
        <v/>
      </c>
      <c r="Y345" s="10">
        <f>IF(W345&gt;$AC$33,1,0)</f>
        <v/>
      </c>
      <c r="Z345">
        <f>IF(Y345=C345,1,0)</f>
        <v/>
      </c>
    </row>
    <row r="346">
      <c r="A346">
        <f>'1 prepared data'!A339</f>
        <v/>
      </c>
      <c r="B346" s="5">
        <f>'1 prepared data'!U339</f>
        <v/>
      </c>
      <c r="C346">
        <f>'1 prepared data'!B339</f>
        <v/>
      </c>
      <c r="D346" s="7">
        <f>'1 prepared data'!C339</f>
        <v/>
      </c>
      <c r="E346" s="7">
        <f>'1 prepared data'!D339</f>
        <v/>
      </c>
      <c r="F346" s="7">
        <f>'1 prepared data'!E339</f>
        <v/>
      </c>
      <c r="G346" s="7">
        <f>'1 prepared data'!F339</f>
        <v/>
      </c>
      <c r="H346" s="7">
        <f>'1 prepared data'!G339</f>
        <v/>
      </c>
      <c r="I346" s="7">
        <f>'1 prepared data'!H339</f>
        <v/>
      </c>
      <c r="J346" s="7">
        <f>'1 prepared data'!I339</f>
        <v/>
      </c>
      <c r="K346" s="7">
        <f>'1 prepared data'!J339</f>
        <v/>
      </c>
      <c r="L346" s="7">
        <f>'1 prepared data'!K339</f>
        <v/>
      </c>
      <c r="M346" s="7">
        <f>'1 prepared data'!L339</f>
        <v/>
      </c>
      <c r="N346" s="7">
        <f>'1 prepared data'!M339</f>
        <v/>
      </c>
      <c r="O346" s="7">
        <f>'1 prepared data'!N339</f>
        <v/>
      </c>
      <c r="P346" s="7">
        <f>'1 prepared data'!O339</f>
        <v/>
      </c>
      <c r="Q346" s="7">
        <f>'1 prepared data'!P339</f>
        <v/>
      </c>
      <c r="R346" s="7">
        <f>'1 prepared data'!Q339</f>
        <v/>
      </c>
      <c r="S346" s="7">
        <f>'1 prepared data'!R339</f>
        <v/>
      </c>
      <c r="T346" s="7">
        <f>'1 prepared data'!S339</f>
        <v/>
      </c>
      <c r="U346" s="7">
        <f>'1 prepared data'!T339</f>
        <v/>
      </c>
      <c r="V346" s="8">
        <f>$AC$12+D346*$AC$13+E346*$AC$14+F346*$AC$15+G346*$AC$16+H346*$AC$17+I346*$AC$18+J346*$AC$19+K346*$AC$20+L346*$AC$21+M346*$AC$22+N346*$AC$23+O346*$AC$24+P346*$AC$25+Q346*$AC$26+R346*$AC$27+S346*$AC$28+T346*$AC$29+U346*$AC$30</f>
        <v/>
      </c>
      <c r="W346" s="8">
        <f>1/(1+EXP(-V346))</f>
        <v/>
      </c>
      <c r="X346" s="9">
        <f>-IF(C346=1,LN(W346),LN(1-W346))</f>
        <v/>
      </c>
      <c r="Y346" s="10">
        <f>IF(W346&gt;$AC$33,1,0)</f>
        <v/>
      </c>
      <c r="Z346">
        <f>IF(Y346=C346,1,0)</f>
        <v/>
      </c>
    </row>
    <row r="347">
      <c r="A347">
        <f>'1 prepared data'!A340</f>
        <v/>
      </c>
      <c r="B347" s="5">
        <f>'1 prepared data'!U340</f>
        <v/>
      </c>
      <c r="C347">
        <f>'1 prepared data'!B340</f>
        <v/>
      </c>
      <c r="D347" s="7">
        <f>'1 prepared data'!C340</f>
        <v/>
      </c>
      <c r="E347" s="7">
        <f>'1 prepared data'!D340</f>
        <v/>
      </c>
      <c r="F347" s="7">
        <f>'1 prepared data'!E340</f>
        <v/>
      </c>
      <c r="G347" s="7">
        <f>'1 prepared data'!F340</f>
        <v/>
      </c>
      <c r="H347" s="7">
        <f>'1 prepared data'!G340</f>
        <v/>
      </c>
      <c r="I347" s="7">
        <f>'1 prepared data'!H340</f>
        <v/>
      </c>
      <c r="J347" s="7">
        <f>'1 prepared data'!I340</f>
        <v/>
      </c>
      <c r="K347" s="7">
        <f>'1 prepared data'!J340</f>
        <v/>
      </c>
      <c r="L347" s="7">
        <f>'1 prepared data'!K340</f>
        <v/>
      </c>
      <c r="M347" s="7">
        <f>'1 prepared data'!L340</f>
        <v/>
      </c>
      <c r="N347" s="7">
        <f>'1 prepared data'!M340</f>
        <v/>
      </c>
      <c r="O347" s="7">
        <f>'1 prepared data'!N340</f>
        <v/>
      </c>
      <c r="P347" s="7">
        <f>'1 prepared data'!O340</f>
        <v/>
      </c>
      <c r="Q347" s="7">
        <f>'1 prepared data'!P340</f>
        <v/>
      </c>
      <c r="R347" s="7">
        <f>'1 prepared data'!Q340</f>
        <v/>
      </c>
      <c r="S347" s="7">
        <f>'1 prepared data'!R340</f>
        <v/>
      </c>
      <c r="T347" s="7">
        <f>'1 prepared data'!S340</f>
        <v/>
      </c>
      <c r="U347" s="7">
        <f>'1 prepared data'!T340</f>
        <v/>
      </c>
      <c r="V347" s="8">
        <f>$AC$12+D347*$AC$13+E347*$AC$14+F347*$AC$15+G347*$AC$16+H347*$AC$17+I347*$AC$18+J347*$AC$19+K347*$AC$20+L347*$AC$21+M347*$AC$22+N347*$AC$23+O347*$AC$24+P347*$AC$25+Q347*$AC$26+R347*$AC$27+S347*$AC$28+T347*$AC$29+U347*$AC$30</f>
        <v/>
      </c>
      <c r="W347" s="8">
        <f>1/(1+EXP(-V347))</f>
        <v/>
      </c>
      <c r="X347" s="9">
        <f>-IF(C347=1,LN(W347),LN(1-W347))</f>
        <v/>
      </c>
      <c r="Y347" s="10">
        <f>IF(W347&gt;$AC$33,1,0)</f>
        <v/>
      </c>
      <c r="Z347">
        <f>IF(Y347=C347,1,0)</f>
        <v/>
      </c>
    </row>
    <row r="348">
      <c r="A348">
        <f>'1 prepared data'!A341</f>
        <v/>
      </c>
      <c r="B348" s="5">
        <f>'1 prepared data'!U341</f>
        <v/>
      </c>
      <c r="C348">
        <f>'1 prepared data'!B341</f>
        <v/>
      </c>
      <c r="D348" s="7">
        <f>'1 prepared data'!C341</f>
        <v/>
      </c>
      <c r="E348" s="7">
        <f>'1 prepared data'!D341</f>
        <v/>
      </c>
      <c r="F348" s="7">
        <f>'1 prepared data'!E341</f>
        <v/>
      </c>
      <c r="G348" s="7">
        <f>'1 prepared data'!F341</f>
        <v/>
      </c>
      <c r="H348" s="7">
        <f>'1 prepared data'!G341</f>
        <v/>
      </c>
      <c r="I348" s="7">
        <f>'1 prepared data'!H341</f>
        <v/>
      </c>
      <c r="J348" s="7">
        <f>'1 prepared data'!I341</f>
        <v/>
      </c>
      <c r="K348" s="7">
        <f>'1 prepared data'!J341</f>
        <v/>
      </c>
      <c r="L348" s="7">
        <f>'1 prepared data'!K341</f>
        <v/>
      </c>
      <c r="M348" s="7">
        <f>'1 prepared data'!L341</f>
        <v/>
      </c>
      <c r="N348" s="7">
        <f>'1 prepared data'!M341</f>
        <v/>
      </c>
      <c r="O348" s="7">
        <f>'1 prepared data'!N341</f>
        <v/>
      </c>
      <c r="P348" s="7">
        <f>'1 prepared data'!O341</f>
        <v/>
      </c>
      <c r="Q348" s="7">
        <f>'1 prepared data'!P341</f>
        <v/>
      </c>
      <c r="R348" s="7">
        <f>'1 prepared data'!Q341</f>
        <v/>
      </c>
      <c r="S348" s="7">
        <f>'1 prepared data'!R341</f>
        <v/>
      </c>
      <c r="T348" s="7">
        <f>'1 prepared data'!S341</f>
        <v/>
      </c>
      <c r="U348" s="7">
        <f>'1 prepared data'!T341</f>
        <v/>
      </c>
      <c r="V348" s="8">
        <f>$AC$12+D348*$AC$13+E348*$AC$14+F348*$AC$15+G348*$AC$16+H348*$AC$17+I348*$AC$18+J348*$AC$19+K348*$AC$20+L348*$AC$21+M348*$AC$22+N348*$AC$23+O348*$AC$24+P348*$AC$25+Q348*$AC$26+R348*$AC$27+S348*$AC$28+T348*$AC$29+U348*$AC$30</f>
        <v/>
      </c>
      <c r="W348" s="8">
        <f>1/(1+EXP(-V348))</f>
        <v/>
      </c>
      <c r="X348" s="9">
        <f>-IF(C348=1,LN(W348),LN(1-W348))</f>
        <v/>
      </c>
      <c r="Y348" s="10">
        <f>IF(W348&gt;$AC$33,1,0)</f>
        <v/>
      </c>
      <c r="Z348">
        <f>IF(Y348=C348,1,0)</f>
        <v/>
      </c>
    </row>
    <row r="349">
      <c r="A349">
        <f>'1 prepared data'!A342</f>
        <v/>
      </c>
      <c r="B349" s="5">
        <f>'1 prepared data'!U342</f>
        <v/>
      </c>
      <c r="C349">
        <f>'1 prepared data'!B342</f>
        <v/>
      </c>
      <c r="D349" s="7">
        <f>'1 prepared data'!C342</f>
        <v/>
      </c>
      <c r="E349" s="7">
        <f>'1 prepared data'!D342</f>
        <v/>
      </c>
      <c r="F349" s="7">
        <f>'1 prepared data'!E342</f>
        <v/>
      </c>
      <c r="G349" s="7">
        <f>'1 prepared data'!F342</f>
        <v/>
      </c>
      <c r="H349" s="7">
        <f>'1 prepared data'!G342</f>
        <v/>
      </c>
      <c r="I349" s="7">
        <f>'1 prepared data'!H342</f>
        <v/>
      </c>
      <c r="J349" s="7">
        <f>'1 prepared data'!I342</f>
        <v/>
      </c>
      <c r="K349" s="7">
        <f>'1 prepared data'!J342</f>
        <v/>
      </c>
      <c r="L349" s="7">
        <f>'1 prepared data'!K342</f>
        <v/>
      </c>
      <c r="M349" s="7">
        <f>'1 prepared data'!L342</f>
        <v/>
      </c>
      <c r="N349" s="7">
        <f>'1 prepared data'!M342</f>
        <v/>
      </c>
      <c r="O349" s="7">
        <f>'1 prepared data'!N342</f>
        <v/>
      </c>
      <c r="P349" s="7">
        <f>'1 prepared data'!O342</f>
        <v/>
      </c>
      <c r="Q349" s="7">
        <f>'1 prepared data'!P342</f>
        <v/>
      </c>
      <c r="R349" s="7">
        <f>'1 prepared data'!Q342</f>
        <v/>
      </c>
      <c r="S349" s="7">
        <f>'1 prepared data'!R342</f>
        <v/>
      </c>
      <c r="T349" s="7">
        <f>'1 prepared data'!S342</f>
        <v/>
      </c>
      <c r="U349" s="7">
        <f>'1 prepared data'!T342</f>
        <v/>
      </c>
      <c r="V349" s="8">
        <f>$AC$12+D349*$AC$13+E349*$AC$14+F349*$AC$15+G349*$AC$16+H349*$AC$17+I349*$AC$18+J349*$AC$19+K349*$AC$20+L349*$AC$21+M349*$AC$22+N349*$AC$23+O349*$AC$24+P349*$AC$25+Q349*$AC$26+R349*$AC$27+S349*$AC$28+T349*$AC$29+U349*$AC$30</f>
        <v/>
      </c>
      <c r="W349" s="8">
        <f>1/(1+EXP(-V349))</f>
        <v/>
      </c>
      <c r="X349" s="9">
        <f>-IF(C349=1,LN(W349),LN(1-W349))</f>
        <v/>
      </c>
      <c r="Y349" s="10">
        <f>IF(W349&gt;$AC$33,1,0)</f>
        <v/>
      </c>
      <c r="Z349">
        <f>IF(Y349=C349,1,0)</f>
        <v/>
      </c>
    </row>
    <row r="350">
      <c r="A350">
        <f>'1 prepared data'!A343</f>
        <v/>
      </c>
      <c r="B350" s="5">
        <f>'1 prepared data'!U343</f>
        <v/>
      </c>
      <c r="C350">
        <f>'1 prepared data'!B343</f>
        <v/>
      </c>
      <c r="D350" s="7">
        <f>'1 prepared data'!C343</f>
        <v/>
      </c>
      <c r="E350" s="7">
        <f>'1 prepared data'!D343</f>
        <v/>
      </c>
      <c r="F350" s="7">
        <f>'1 prepared data'!E343</f>
        <v/>
      </c>
      <c r="G350" s="7">
        <f>'1 prepared data'!F343</f>
        <v/>
      </c>
      <c r="H350" s="7">
        <f>'1 prepared data'!G343</f>
        <v/>
      </c>
      <c r="I350" s="7">
        <f>'1 prepared data'!H343</f>
        <v/>
      </c>
      <c r="J350" s="7">
        <f>'1 prepared data'!I343</f>
        <v/>
      </c>
      <c r="K350" s="7">
        <f>'1 prepared data'!J343</f>
        <v/>
      </c>
      <c r="L350" s="7">
        <f>'1 prepared data'!K343</f>
        <v/>
      </c>
      <c r="M350" s="7">
        <f>'1 prepared data'!L343</f>
        <v/>
      </c>
      <c r="N350" s="7">
        <f>'1 prepared data'!M343</f>
        <v/>
      </c>
      <c r="O350" s="7">
        <f>'1 prepared data'!N343</f>
        <v/>
      </c>
      <c r="P350" s="7">
        <f>'1 prepared data'!O343</f>
        <v/>
      </c>
      <c r="Q350" s="7">
        <f>'1 prepared data'!P343</f>
        <v/>
      </c>
      <c r="R350" s="7">
        <f>'1 prepared data'!Q343</f>
        <v/>
      </c>
      <c r="S350" s="7">
        <f>'1 prepared data'!R343</f>
        <v/>
      </c>
      <c r="T350" s="7">
        <f>'1 prepared data'!S343</f>
        <v/>
      </c>
      <c r="U350" s="7">
        <f>'1 prepared data'!T343</f>
        <v/>
      </c>
      <c r="V350" s="8">
        <f>$AC$12+D350*$AC$13+E350*$AC$14+F350*$AC$15+G350*$AC$16+H350*$AC$17+I350*$AC$18+J350*$AC$19+K350*$AC$20+L350*$AC$21+M350*$AC$22+N350*$AC$23+O350*$AC$24+P350*$AC$25+Q350*$AC$26+R350*$AC$27+S350*$AC$28+T350*$AC$29+U350*$AC$30</f>
        <v/>
      </c>
      <c r="W350" s="8">
        <f>1/(1+EXP(-V350))</f>
        <v/>
      </c>
      <c r="X350" s="9">
        <f>-IF(C350=1,LN(W350),LN(1-W350))</f>
        <v/>
      </c>
      <c r="Y350" s="10">
        <f>IF(W350&gt;$AC$33,1,0)</f>
        <v/>
      </c>
      <c r="Z350">
        <f>IF(Y350=C350,1,0)</f>
        <v/>
      </c>
    </row>
    <row r="351">
      <c r="A351">
        <f>'1 prepared data'!A344</f>
        <v/>
      </c>
      <c r="B351" s="5">
        <f>'1 prepared data'!U344</f>
        <v/>
      </c>
      <c r="C351">
        <f>'1 prepared data'!B344</f>
        <v/>
      </c>
      <c r="D351" s="7">
        <f>'1 prepared data'!C344</f>
        <v/>
      </c>
      <c r="E351" s="7">
        <f>'1 prepared data'!D344</f>
        <v/>
      </c>
      <c r="F351" s="7">
        <f>'1 prepared data'!E344</f>
        <v/>
      </c>
      <c r="G351" s="7">
        <f>'1 prepared data'!F344</f>
        <v/>
      </c>
      <c r="H351" s="7">
        <f>'1 prepared data'!G344</f>
        <v/>
      </c>
      <c r="I351" s="7">
        <f>'1 prepared data'!H344</f>
        <v/>
      </c>
      <c r="J351" s="7">
        <f>'1 prepared data'!I344</f>
        <v/>
      </c>
      <c r="K351" s="7">
        <f>'1 prepared data'!J344</f>
        <v/>
      </c>
      <c r="L351" s="7">
        <f>'1 prepared data'!K344</f>
        <v/>
      </c>
      <c r="M351" s="7">
        <f>'1 prepared data'!L344</f>
        <v/>
      </c>
      <c r="N351" s="7">
        <f>'1 prepared data'!M344</f>
        <v/>
      </c>
      <c r="O351" s="7">
        <f>'1 prepared data'!N344</f>
        <v/>
      </c>
      <c r="P351" s="7">
        <f>'1 prepared data'!O344</f>
        <v/>
      </c>
      <c r="Q351" s="7">
        <f>'1 prepared data'!P344</f>
        <v/>
      </c>
      <c r="R351" s="7">
        <f>'1 prepared data'!Q344</f>
        <v/>
      </c>
      <c r="S351" s="7">
        <f>'1 prepared data'!R344</f>
        <v/>
      </c>
      <c r="T351" s="7">
        <f>'1 prepared data'!S344</f>
        <v/>
      </c>
      <c r="U351" s="7">
        <f>'1 prepared data'!T344</f>
        <v/>
      </c>
      <c r="V351" s="8">
        <f>$AC$12+D351*$AC$13+E351*$AC$14+F351*$AC$15+G351*$AC$16+H351*$AC$17+I351*$AC$18+J351*$AC$19+K351*$AC$20+L351*$AC$21+M351*$AC$22+N351*$AC$23+O351*$AC$24+P351*$AC$25+Q351*$AC$26+R351*$AC$27+S351*$AC$28+T351*$AC$29+U351*$AC$30</f>
        <v/>
      </c>
      <c r="W351" s="8">
        <f>1/(1+EXP(-V351))</f>
        <v/>
      </c>
      <c r="X351" s="9">
        <f>-IF(C351=1,LN(W351),LN(1-W351))</f>
        <v/>
      </c>
      <c r="Y351" s="10">
        <f>IF(W351&gt;$AC$33,1,0)</f>
        <v/>
      </c>
      <c r="Z351">
        <f>IF(Y351=C351,1,0)</f>
        <v/>
      </c>
    </row>
    <row r="352">
      <c r="A352">
        <f>'1 prepared data'!A345</f>
        <v/>
      </c>
      <c r="B352" s="5">
        <f>'1 prepared data'!U345</f>
        <v/>
      </c>
      <c r="C352">
        <f>'1 prepared data'!B345</f>
        <v/>
      </c>
      <c r="D352" s="7">
        <f>'1 prepared data'!C345</f>
        <v/>
      </c>
      <c r="E352" s="7">
        <f>'1 prepared data'!D345</f>
        <v/>
      </c>
      <c r="F352" s="7">
        <f>'1 prepared data'!E345</f>
        <v/>
      </c>
      <c r="G352" s="7">
        <f>'1 prepared data'!F345</f>
        <v/>
      </c>
      <c r="H352" s="7">
        <f>'1 prepared data'!G345</f>
        <v/>
      </c>
      <c r="I352" s="7">
        <f>'1 prepared data'!H345</f>
        <v/>
      </c>
      <c r="J352" s="7">
        <f>'1 prepared data'!I345</f>
        <v/>
      </c>
      <c r="K352" s="7">
        <f>'1 prepared data'!J345</f>
        <v/>
      </c>
      <c r="L352" s="7">
        <f>'1 prepared data'!K345</f>
        <v/>
      </c>
      <c r="M352" s="7">
        <f>'1 prepared data'!L345</f>
        <v/>
      </c>
      <c r="N352" s="7">
        <f>'1 prepared data'!M345</f>
        <v/>
      </c>
      <c r="O352" s="7">
        <f>'1 prepared data'!N345</f>
        <v/>
      </c>
      <c r="P352" s="7">
        <f>'1 prepared data'!O345</f>
        <v/>
      </c>
      <c r="Q352" s="7">
        <f>'1 prepared data'!P345</f>
        <v/>
      </c>
      <c r="R352" s="7">
        <f>'1 prepared data'!Q345</f>
        <v/>
      </c>
      <c r="S352" s="7">
        <f>'1 prepared data'!R345</f>
        <v/>
      </c>
      <c r="T352" s="7">
        <f>'1 prepared data'!S345</f>
        <v/>
      </c>
      <c r="U352" s="7">
        <f>'1 prepared data'!T345</f>
        <v/>
      </c>
      <c r="V352" s="8">
        <f>$AC$12+D352*$AC$13+E352*$AC$14+F352*$AC$15+G352*$AC$16+H352*$AC$17+I352*$AC$18+J352*$AC$19+K352*$AC$20+L352*$AC$21+M352*$AC$22+N352*$AC$23+O352*$AC$24+P352*$AC$25+Q352*$AC$26+R352*$AC$27+S352*$AC$28+T352*$AC$29+U352*$AC$30</f>
        <v/>
      </c>
      <c r="W352" s="8">
        <f>1/(1+EXP(-V352))</f>
        <v/>
      </c>
      <c r="X352" s="9">
        <f>-IF(C352=1,LN(W352),LN(1-W352))</f>
        <v/>
      </c>
      <c r="Y352" s="10">
        <f>IF(W352&gt;$AC$33,1,0)</f>
        <v/>
      </c>
      <c r="Z352">
        <f>IF(Y352=C352,1,0)</f>
        <v/>
      </c>
    </row>
    <row r="353">
      <c r="A353">
        <f>'1 prepared data'!A346</f>
        <v/>
      </c>
      <c r="B353" s="5">
        <f>'1 prepared data'!U346</f>
        <v/>
      </c>
      <c r="C353">
        <f>'1 prepared data'!B346</f>
        <v/>
      </c>
      <c r="D353" s="7">
        <f>'1 prepared data'!C346</f>
        <v/>
      </c>
      <c r="E353" s="7">
        <f>'1 prepared data'!D346</f>
        <v/>
      </c>
      <c r="F353" s="7">
        <f>'1 prepared data'!E346</f>
        <v/>
      </c>
      <c r="G353" s="7">
        <f>'1 prepared data'!F346</f>
        <v/>
      </c>
      <c r="H353" s="7">
        <f>'1 prepared data'!G346</f>
        <v/>
      </c>
      <c r="I353" s="7">
        <f>'1 prepared data'!H346</f>
        <v/>
      </c>
      <c r="J353" s="7">
        <f>'1 prepared data'!I346</f>
        <v/>
      </c>
      <c r="K353" s="7">
        <f>'1 prepared data'!J346</f>
        <v/>
      </c>
      <c r="L353" s="7">
        <f>'1 prepared data'!K346</f>
        <v/>
      </c>
      <c r="M353" s="7">
        <f>'1 prepared data'!L346</f>
        <v/>
      </c>
      <c r="N353" s="7">
        <f>'1 prepared data'!M346</f>
        <v/>
      </c>
      <c r="O353" s="7">
        <f>'1 prepared data'!N346</f>
        <v/>
      </c>
      <c r="P353" s="7">
        <f>'1 prepared data'!O346</f>
        <v/>
      </c>
      <c r="Q353" s="7">
        <f>'1 prepared data'!P346</f>
        <v/>
      </c>
      <c r="R353" s="7">
        <f>'1 prepared data'!Q346</f>
        <v/>
      </c>
      <c r="S353" s="7">
        <f>'1 prepared data'!R346</f>
        <v/>
      </c>
      <c r="T353" s="7">
        <f>'1 prepared data'!S346</f>
        <v/>
      </c>
      <c r="U353" s="7">
        <f>'1 prepared data'!T346</f>
        <v/>
      </c>
      <c r="V353" s="8">
        <f>$AC$12+D353*$AC$13+E353*$AC$14+F353*$AC$15+G353*$AC$16+H353*$AC$17+I353*$AC$18+J353*$AC$19+K353*$AC$20+L353*$AC$21+M353*$AC$22+N353*$AC$23+O353*$AC$24+P353*$AC$25+Q353*$AC$26+R353*$AC$27+S353*$AC$28+T353*$AC$29+U353*$AC$30</f>
        <v/>
      </c>
      <c r="W353" s="8">
        <f>1/(1+EXP(-V353))</f>
        <v/>
      </c>
      <c r="X353" s="9">
        <f>-IF(C353=1,LN(W353),LN(1-W353))</f>
        <v/>
      </c>
      <c r="Y353" s="10">
        <f>IF(W353&gt;$AC$33,1,0)</f>
        <v/>
      </c>
      <c r="Z353">
        <f>IF(Y353=C353,1,0)</f>
        <v/>
      </c>
    </row>
    <row r="354">
      <c r="A354">
        <f>'1 prepared data'!A347</f>
        <v/>
      </c>
      <c r="B354" s="5">
        <f>'1 prepared data'!U347</f>
        <v/>
      </c>
      <c r="C354">
        <f>'1 prepared data'!B347</f>
        <v/>
      </c>
      <c r="D354" s="7">
        <f>'1 prepared data'!C347</f>
        <v/>
      </c>
      <c r="E354" s="7">
        <f>'1 prepared data'!D347</f>
        <v/>
      </c>
      <c r="F354" s="7">
        <f>'1 prepared data'!E347</f>
        <v/>
      </c>
      <c r="G354" s="7">
        <f>'1 prepared data'!F347</f>
        <v/>
      </c>
      <c r="H354" s="7">
        <f>'1 prepared data'!G347</f>
        <v/>
      </c>
      <c r="I354" s="7">
        <f>'1 prepared data'!H347</f>
        <v/>
      </c>
      <c r="J354" s="7">
        <f>'1 prepared data'!I347</f>
        <v/>
      </c>
      <c r="K354" s="7">
        <f>'1 prepared data'!J347</f>
        <v/>
      </c>
      <c r="L354" s="7">
        <f>'1 prepared data'!K347</f>
        <v/>
      </c>
      <c r="M354" s="7">
        <f>'1 prepared data'!L347</f>
        <v/>
      </c>
      <c r="N354" s="7">
        <f>'1 prepared data'!M347</f>
        <v/>
      </c>
      <c r="O354" s="7">
        <f>'1 prepared data'!N347</f>
        <v/>
      </c>
      <c r="P354" s="7">
        <f>'1 prepared data'!O347</f>
        <v/>
      </c>
      <c r="Q354" s="7">
        <f>'1 prepared data'!P347</f>
        <v/>
      </c>
      <c r="R354" s="7">
        <f>'1 prepared data'!Q347</f>
        <v/>
      </c>
      <c r="S354" s="7">
        <f>'1 prepared data'!R347</f>
        <v/>
      </c>
      <c r="T354" s="7">
        <f>'1 prepared data'!S347</f>
        <v/>
      </c>
      <c r="U354" s="7">
        <f>'1 prepared data'!T347</f>
        <v/>
      </c>
      <c r="V354" s="8">
        <f>$AC$12+D354*$AC$13+E354*$AC$14+F354*$AC$15+G354*$AC$16+H354*$AC$17+I354*$AC$18+J354*$AC$19+K354*$AC$20+L354*$AC$21+M354*$AC$22+N354*$AC$23+O354*$AC$24+P354*$AC$25+Q354*$AC$26+R354*$AC$27+S354*$AC$28+T354*$AC$29+U354*$AC$30</f>
        <v/>
      </c>
      <c r="W354" s="8">
        <f>1/(1+EXP(-V354))</f>
        <v/>
      </c>
      <c r="X354" s="9">
        <f>-IF(C354=1,LN(W354),LN(1-W354))</f>
        <v/>
      </c>
      <c r="Y354" s="10">
        <f>IF(W354&gt;$AC$33,1,0)</f>
        <v/>
      </c>
      <c r="Z354">
        <f>IF(Y354=C354,1,0)</f>
        <v/>
      </c>
    </row>
    <row r="355">
      <c r="A355">
        <f>'1 prepared data'!A348</f>
        <v/>
      </c>
      <c r="B355" s="5">
        <f>'1 prepared data'!U348</f>
        <v/>
      </c>
      <c r="C355">
        <f>'1 prepared data'!B348</f>
        <v/>
      </c>
      <c r="D355" s="7">
        <f>'1 prepared data'!C348</f>
        <v/>
      </c>
      <c r="E355" s="7">
        <f>'1 prepared data'!D348</f>
        <v/>
      </c>
      <c r="F355" s="7">
        <f>'1 prepared data'!E348</f>
        <v/>
      </c>
      <c r="G355" s="7">
        <f>'1 prepared data'!F348</f>
        <v/>
      </c>
      <c r="H355" s="7">
        <f>'1 prepared data'!G348</f>
        <v/>
      </c>
      <c r="I355" s="7">
        <f>'1 prepared data'!H348</f>
        <v/>
      </c>
      <c r="J355" s="7">
        <f>'1 prepared data'!I348</f>
        <v/>
      </c>
      <c r="K355" s="7">
        <f>'1 prepared data'!J348</f>
        <v/>
      </c>
      <c r="L355" s="7">
        <f>'1 prepared data'!K348</f>
        <v/>
      </c>
      <c r="M355" s="7">
        <f>'1 prepared data'!L348</f>
        <v/>
      </c>
      <c r="N355" s="7">
        <f>'1 prepared data'!M348</f>
        <v/>
      </c>
      <c r="O355" s="7">
        <f>'1 prepared data'!N348</f>
        <v/>
      </c>
      <c r="P355" s="7">
        <f>'1 prepared data'!O348</f>
        <v/>
      </c>
      <c r="Q355" s="7">
        <f>'1 prepared data'!P348</f>
        <v/>
      </c>
      <c r="R355" s="7">
        <f>'1 prepared data'!Q348</f>
        <v/>
      </c>
      <c r="S355" s="7">
        <f>'1 prepared data'!R348</f>
        <v/>
      </c>
      <c r="T355" s="7">
        <f>'1 prepared data'!S348</f>
        <v/>
      </c>
      <c r="U355" s="7">
        <f>'1 prepared data'!T348</f>
        <v/>
      </c>
      <c r="V355" s="8">
        <f>$AC$12+D355*$AC$13+E355*$AC$14+F355*$AC$15+G355*$AC$16+H355*$AC$17+I355*$AC$18+J355*$AC$19+K355*$AC$20+L355*$AC$21+M355*$AC$22+N355*$AC$23+O355*$AC$24+P355*$AC$25+Q355*$AC$26+R355*$AC$27+S355*$AC$28+T355*$AC$29+U355*$AC$30</f>
        <v/>
      </c>
      <c r="W355" s="8">
        <f>1/(1+EXP(-V355))</f>
        <v/>
      </c>
      <c r="X355" s="9">
        <f>-IF(C355=1,LN(W355),LN(1-W355))</f>
        <v/>
      </c>
      <c r="Y355" s="10">
        <f>IF(W355&gt;$AC$33,1,0)</f>
        <v/>
      </c>
      <c r="Z355">
        <f>IF(Y355=C355,1,0)</f>
        <v/>
      </c>
    </row>
    <row r="356">
      <c r="A356">
        <f>'1 prepared data'!A349</f>
        <v/>
      </c>
      <c r="B356" s="5">
        <f>'1 prepared data'!U349</f>
        <v/>
      </c>
      <c r="C356">
        <f>'1 prepared data'!B349</f>
        <v/>
      </c>
      <c r="D356" s="7">
        <f>'1 prepared data'!C349</f>
        <v/>
      </c>
      <c r="E356" s="7">
        <f>'1 prepared data'!D349</f>
        <v/>
      </c>
      <c r="F356" s="7">
        <f>'1 prepared data'!E349</f>
        <v/>
      </c>
      <c r="G356" s="7">
        <f>'1 prepared data'!F349</f>
        <v/>
      </c>
      <c r="H356" s="7">
        <f>'1 prepared data'!G349</f>
        <v/>
      </c>
      <c r="I356" s="7">
        <f>'1 prepared data'!H349</f>
        <v/>
      </c>
      <c r="J356" s="7">
        <f>'1 prepared data'!I349</f>
        <v/>
      </c>
      <c r="K356" s="7">
        <f>'1 prepared data'!J349</f>
        <v/>
      </c>
      <c r="L356" s="7">
        <f>'1 prepared data'!K349</f>
        <v/>
      </c>
      <c r="M356" s="7">
        <f>'1 prepared data'!L349</f>
        <v/>
      </c>
      <c r="N356" s="7">
        <f>'1 prepared data'!M349</f>
        <v/>
      </c>
      <c r="O356" s="7">
        <f>'1 prepared data'!N349</f>
        <v/>
      </c>
      <c r="P356" s="7">
        <f>'1 prepared data'!O349</f>
        <v/>
      </c>
      <c r="Q356" s="7">
        <f>'1 prepared data'!P349</f>
        <v/>
      </c>
      <c r="R356" s="7">
        <f>'1 prepared data'!Q349</f>
        <v/>
      </c>
      <c r="S356" s="7">
        <f>'1 prepared data'!R349</f>
        <v/>
      </c>
      <c r="T356" s="7">
        <f>'1 prepared data'!S349</f>
        <v/>
      </c>
      <c r="U356" s="7">
        <f>'1 prepared data'!T349</f>
        <v/>
      </c>
      <c r="V356" s="8">
        <f>$AC$12+D356*$AC$13+E356*$AC$14+F356*$AC$15+G356*$AC$16+H356*$AC$17+I356*$AC$18+J356*$AC$19+K356*$AC$20+L356*$AC$21+M356*$AC$22+N356*$AC$23+O356*$AC$24+P356*$AC$25+Q356*$AC$26+R356*$AC$27+S356*$AC$28+T356*$AC$29+U356*$AC$30</f>
        <v/>
      </c>
      <c r="W356" s="8">
        <f>1/(1+EXP(-V356))</f>
        <v/>
      </c>
      <c r="X356" s="9">
        <f>-IF(C356=1,LN(W356),LN(1-W356))</f>
        <v/>
      </c>
      <c r="Y356" s="10">
        <f>IF(W356&gt;$AC$33,1,0)</f>
        <v/>
      </c>
      <c r="Z356">
        <f>IF(Y356=C356,1,0)</f>
        <v/>
      </c>
    </row>
    <row r="357">
      <c r="A357">
        <f>'1 prepared data'!A350</f>
        <v/>
      </c>
      <c r="B357" s="5">
        <f>'1 prepared data'!U350</f>
        <v/>
      </c>
      <c r="C357">
        <f>'1 prepared data'!B350</f>
        <v/>
      </c>
      <c r="D357" s="7">
        <f>'1 prepared data'!C350</f>
        <v/>
      </c>
      <c r="E357" s="7">
        <f>'1 prepared data'!D350</f>
        <v/>
      </c>
      <c r="F357" s="7">
        <f>'1 prepared data'!E350</f>
        <v/>
      </c>
      <c r="G357" s="7">
        <f>'1 prepared data'!F350</f>
        <v/>
      </c>
      <c r="H357" s="7">
        <f>'1 prepared data'!G350</f>
        <v/>
      </c>
      <c r="I357" s="7">
        <f>'1 prepared data'!H350</f>
        <v/>
      </c>
      <c r="J357" s="7">
        <f>'1 prepared data'!I350</f>
        <v/>
      </c>
      <c r="K357" s="7">
        <f>'1 prepared data'!J350</f>
        <v/>
      </c>
      <c r="L357" s="7">
        <f>'1 prepared data'!K350</f>
        <v/>
      </c>
      <c r="M357" s="7">
        <f>'1 prepared data'!L350</f>
        <v/>
      </c>
      <c r="N357" s="7">
        <f>'1 prepared data'!M350</f>
        <v/>
      </c>
      <c r="O357" s="7">
        <f>'1 prepared data'!N350</f>
        <v/>
      </c>
      <c r="P357" s="7">
        <f>'1 prepared data'!O350</f>
        <v/>
      </c>
      <c r="Q357" s="7">
        <f>'1 prepared data'!P350</f>
        <v/>
      </c>
      <c r="R357" s="7">
        <f>'1 prepared data'!Q350</f>
        <v/>
      </c>
      <c r="S357" s="7">
        <f>'1 prepared data'!R350</f>
        <v/>
      </c>
      <c r="T357" s="7">
        <f>'1 prepared data'!S350</f>
        <v/>
      </c>
      <c r="U357" s="7">
        <f>'1 prepared data'!T350</f>
        <v/>
      </c>
      <c r="V357" s="8">
        <f>$AC$12+D357*$AC$13+E357*$AC$14+F357*$AC$15+G357*$AC$16+H357*$AC$17+I357*$AC$18+J357*$AC$19+K357*$AC$20+L357*$AC$21+M357*$AC$22+N357*$AC$23+O357*$AC$24+P357*$AC$25+Q357*$AC$26+R357*$AC$27+S357*$AC$28+T357*$AC$29+U357*$AC$30</f>
        <v/>
      </c>
      <c r="W357" s="8">
        <f>1/(1+EXP(-V357))</f>
        <v/>
      </c>
      <c r="X357" s="9">
        <f>-IF(C357=1,LN(W357),LN(1-W357))</f>
        <v/>
      </c>
      <c r="Y357" s="10">
        <f>IF(W357&gt;$AC$33,1,0)</f>
        <v/>
      </c>
      <c r="Z357">
        <f>IF(Y357=C357,1,0)</f>
        <v/>
      </c>
    </row>
    <row r="358">
      <c r="A358">
        <f>'1 prepared data'!A351</f>
        <v/>
      </c>
      <c r="B358" s="5">
        <f>'1 prepared data'!U351</f>
        <v/>
      </c>
      <c r="C358">
        <f>'1 prepared data'!B351</f>
        <v/>
      </c>
      <c r="D358" s="7">
        <f>'1 prepared data'!C351</f>
        <v/>
      </c>
      <c r="E358" s="7">
        <f>'1 prepared data'!D351</f>
        <v/>
      </c>
      <c r="F358" s="7">
        <f>'1 prepared data'!E351</f>
        <v/>
      </c>
      <c r="G358" s="7">
        <f>'1 prepared data'!F351</f>
        <v/>
      </c>
      <c r="H358" s="7">
        <f>'1 prepared data'!G351</f>
        <v/>
      </c>
      <c r="I358" s="7">
        <f>'1 prepared data'!H351</f>
        <v/>
      </c>
      <c r="J358" s="7">
        <f>'1 prepared data'!I351</f>
        <v/>
      </c>
      <c r="K358" s="7">
        <f>'1 prepared data'!J351</f>
        <v/>
      </c>
      <c r="L358" s="7">
        <f>'1 prepared data'!K351</f>
        <v/>
      </c>
      <c r="M358" s="7">
        <f>'1 prepared data'!L351</f>
        <v/>
      </c>
      <c r="N358" s="7">
        <f>'1 prepared data'!M351</f>
        <v/>
      </c>
      <c r="O358" s="7">
        <f>'1 prepared data'!N351</f>
        <v/>
      </c>
      <c r="P358" s="7">
        <f>'1 prepared data'!O351</f>
        <v/>
      </c>
      <c r="Q358" s="7">
        <f>'1 prepared data'!P351</f>
        <v/>
      </c>
      <c r="R358" s="7">
        <f>'1 prepared data'!Q351</f>
        <v/>
      </c>
      <c r="S358" s="7">
        <f>'1 prepared data'!R351</f>
        <v/>
      </c>
      <c r="T358" s="7">
        <f>'1 prepared data'!S351</f>
        <v/>
      </c>
      <c r="U358" s="7">
        <f>'1 prepared data'!T351</f>
        <v/>
      </c>
      <c r="V358" s="8">
        <f>$AC$12+D358*$AC$13+E358*$AC$14+F358*$AC$15+G358*$AC$16+H358*$AC$17+I358*$AC$18+J358*$AC$19+K358*$AC$20+L358*$AC$21+M358*$AC$22+N358*$AC$23+O358*$AC$24+P358*$AC$25+Q358*$AC$26+R358*$AC$27+S358*$AC$28+T358*$AC$29+U358*$AC$30</f>
        <v/>
      </c>
      <c r="W358" s="8">
        <f>1/(1+EXP(-V358))</f>
        <v/>
      </c>
      <c r="X358" s="9">
        <f>-IF(C358=1,LN(W358),LN(1-W358))</f>
        <v/>
      </c>
      <c r="Y358" s="10">
        <f>IF(W358&gt;$AC$33,1,0)</f>
        <v/>
      </c>
      <c r="Z358">
        <f>IF(Y358=C358,1,0)</f>
        <v/>
      </c>
    </row>
    <row r="359">
      <c r="A359">
        <f>'1 prepared data'!A352</f>
        <v/>
      </c>
      <c r="B359" s="5">
        <f>'1 prepared data'!U352</f>
        <v/>
      </c>
      <c r="C359">
        <f>'1 prepared data'!B352</f>
        <v/>
      </c>
      <c r="D359" s="7">
        <f>'1 prepared data'!C352</f>
        <v/>
      </c>
      <c r="E359" s="7">
        <f>'1 prepared data'!D352</f>
        <v/>
      </c>
      <c r="F359" s="7">
        <f>'1 prepared data'!E352</f>
        <v/>
      </c>
      <c r="G359" s="7">
        <f>'1 prepared data'!F352</f>
        <v/>
      </c>
      <c r="H359" s="7">
        <f>'1 prepared data'!G352</f>
        <v/>
      </c>
      <c r="I359" s="7">
        <f>'1 prepared data'!H352</f>
        <v/>
      </c>
      <c r="J359" s="7">
        <f>'1 prepared data'!I352</f>
        <v/>
      </c>
      <c r="K359" s="7">
        <f>'1 prepared data'!J352</f>
        <v/>
      </c>
      <c r="L359" s="7">
        <f>'1 prepared data'!K352</f>
        <v/>
      </c>
      <c r="M359" s="7">
        <f>'1 prepared data'!L352</f>
        <v/>
      </c>
      <c r="N359" s="7">
        <f>'1 prepared data'!M352</f>
        <v/>
      </c>
      <c r="O359" s="7">
        <f>'1 prepared data'!N352</f>
        <v/>
      </c>
      <c r="P359" s="7">
        <f>'1 prepared data'!O352</f>
        <v/>
      </c>
      <c r="Q359" s="7">
        <f>'1 prepared data'!P352</f>
        <v/>
      </c>
      <c r="R359" s="7">
        <f>'1 prepared data'!Q352</f>
        <v/>
      </c>
      <c r="S359" s="7">
        <f>'1 prepared data'!R352</f>
        <v/>
      </c>
      <c r="T359" s="7">
        <f>'1 prepared data'!S352</f>
        <v/>
      </c>
      <c r="U359" s="7">
        <f>'1 prepared data'!T352</f>
        <v/>
      </c>
      <c r="V359" s="8">
        <f>$AC$12+D359*$AC$13+E359*$AC$14+F359*$AC$15+G359*$AC$16+H359*$AC$17+I359*$AC$18+J359*$AC$19+K359*$AC$20+L359*$AC$21+M359*$AC$22+N359*$AC$23+O359*$AC$24+P359*$AC$25+Q359*$AC$26+R359*$AC$27+S359*$AC$28+T359*$AC$29+U359*$AC$30</f>
        <v/>
      </c>
      <c r="W359" s="8">
        <f>1/(1+EXP(-V359))</f>
        <v/>
      </c>
      <c r="X359" s="9">
        <f>-IF(C359=1,LN(W359),LN(1-W359))</f>
        <v/>
      </c>
      <c r="Y359" s="10">
        <f>IF(W359&gt;$AC$33,1,0)</f>
        <v/>
      </c>
      <c r="Z359">
        <f>IF(Y359=C359,1,0)</f>
        <v/>
      </c>
    </row>
    <row r="360">
      <c r="A360">
        <f>'1 prepared data'!A353</f>
        <v/>
      </c>
      <c r="B360" s="5">
        <f>'1 prepared data'!U353</f>
        <v/>
      </c>
      <c r="C360">
        <f>'1 prepared data'!B353</f>
        <v/>
      </c>
      <c r="D360" s="7">
        <f>'1 prepared data'!C353</f>
        <v/>
      </c>
      <c r="E360" s="7">
        <f>'1 prepared data'!D353</f>
        <v/>
      </c>
      <c r="F360" s="7">
        <f>'1 prepared data'!E353</f>
        <v/>
      </c>
      <c r="G360" s="7">
        <f>'1 prepared data'!F353</f>
        <v/>
      </c>
      <c r="H360" s="7">
        <f>'1 prepared data'!G353</f>
        <v/>
      </c>
      <c r="I360" s="7">
        <f>'1 prepared data'!H353</f>
        <v/>
      </c>
      <c r="J360" s="7">
        <f>'1 prepared data'!I353</f>
        <v/>
      </c>
      <c r="K360" s="7">
        <f>'1 prepared data'!J353</f>
        <v/>
      </c>
      <c r="L360" s="7">
        <f>'1 prepared data'!K353</f>
        <v/>
      </c>
      <c r="M360" s="7">
        <f>'1 prepared data'!L353</f>
        <v/>
      </c>
      <c r="N360" s="7">
        <f>'1 prepared data'!M353</f>
        <v/>
      </c>
      <c r="O360" s="7">
        <f>'1 prepared data'!N353</f>
        <v/>
      </c>
      <c r="P360" s="7">
        <f>'1 prepared data'!O353</f>
        <v/>
      </c>
      <c r="Q360" s="7">
        <f>'1 prepared data'!P353</f>
        <v/>
      </c>
      <c r="R360" s="7">
        <f>'1 prepared data'!Q353</f>
        <v/>
      </c>
      <c r="S360" s="7">
        <f>'1 prepared data'!R353</f>
        <v/>
      </c>
      <c r="T360" s="7">
        <f>'1 prepared data'!S353</f>
        <v/>
      </c>
      <c r="U360" s="7">
        <f>'1 prepared data'!T353</f>
        <v/>
      </c>
      <c r="V360" s="8">
        <f>$AC$12+D360*$AC$13+E360*$AC$14+F360*$AC$15+G360*$AC$16+H360*$AC$17+I360*$AC$18+J360*$AC$19+K360*$AC$20+L360*$AC$21+M360*$AC$22+N360*$AC$23+O360*$AC$24+P360*$AC$25+Q360*$AC$26+R360*$AC$27+S360*$AC$28+T360*$AC$29+U360*$AC$30</f>
        <v/>
      </c>
      <c r="W360" s="8">
        <f>1/(1+EXP(-V360))</f>
        <v/>
      </c>
      <c r="X360" s="9">
        <f>-IF(C360=1,LN(W360),LN(1-W360))</f>
        <v/>
      </c>
      <c r="Y360" s="10">
        <f>IF(W360&gt;$AC$33,1,0)</f>
        <v/>
      </c>
      <c r="Z360">
        <f>IF(Y360=C360,1,0)</f>
        <v/>
      </c>
    </row>
    <row r="361">
      <c r="A361">
        <f>'1 prepared data'!A354</f>
        <v/>
      </c>
      <c r="B361" s="5">
        <f>'1 prepared data'!U354</f>
        <v/>
      </c>
      <c r="C361">
        <f>'1 prepared data'!B354</f>
        <v/>
      </c>
      <c r="D361" s="7">
        <f>'1 prepared data'!C354</f>
        <v/>
      </c>
      <c r="E361" s="7">
        <f>'1 prepared data'!D354</f>
        <v/>
      </c>
      <c r="F361" s="7">
        <f>'1 prepared data'!E354</f>
        <v/>
      </c>
      <c r="G361" s="7">
        <f>'1 prepared data'!F354</f>
        <v/>
      </c>
      <c r="H361" s="7">
        <f>'1 prepared data'!G354</f>
        <v/>
      </c>
      <c r="I361" s="7">
        <f>'1 prepared data'!H354</f>
        <v/>
      </c>
      <c r="J361" s="7">
        <f>'1 prepared data'!I354</f>
        <v/>
      </c>
      <c r="K361" s="7">
        <f>'1 prepared data'!J354</f>
        <v/>
      </c>
      <c r="L361" s="7">
        <f>'1 prepared data'!K354</f>
        <v/>
      </c>
      <c r="M361" s="7">
        <f>'1 prepared data'!L354</f>
        <v/>
      </c>
      <c r="N361" s="7">
        <f>'1 prepared data'!M354</f>
        <v/>
      </c>
      <c r="O361" s="7">
        <f>'1 prepared data'!N354</f>
        <v/>
      </c>
      <c r="P361" s="7">
        <f>'1 prepared data'!O354</f>
        <v/>
      </c>
      <c r="Q361" s="7">
        <f>'1 prepared data'!P354</f>
        <v/>
      </c>
      <c r="R361" s="7">
        <f>'1 prepared data'!Q354</f>
        <v/>
      </c>
      <c r="S361" s="7">
        <f>'1 prepared data'!R354</f>
        <v/>
      </c>
      <c r="T361" s="7">
        <f>'1 prepared data'!S354</f>
        <v/>
      </c>
      <c r="U361" s="7">
        <f>'1 prepared data'!T354</f>
        <v/>
      </c>
      <c r="V361" s="8">
        <f>$AC$12+D361*$AC$13+E361*$AC$14+F361*$AC$15+G361*$AC$16+H361*$AC$17+I361*$AC$18+J361*$AC$19+K361*$AC$20+L361*$AC$21+M361*$AC$22+N361*$AC$23+O361*$AC$24+P361*$AC$25+Q361*$AC$26+R361*$AC$27+S361*$AC$28+T361*$AC$29+U361*$AC$30</f>
        <v/>
      </c>
      <c r="W361" s="8">
        <f>1/(1+EXP(-V361))</f>
        <v/>
      </c>
      <c r="X361" s="9">
        <f>-IF(C361=1,LN(W361),LN(1-W361))</f>
        <v/>
      </c>
      <c r="Y361" s="10">
        <f>IF(W361&gt;$AC$33,1,0)</f>
        <v/>
      </c>
      <c r="Z361">
        <f>IF(Y361=C361,1,0)</f>
        <v/>
      </c>
    </row>
    <row r="362">
      <c r="A362">
        <f>'1 prepared data'!A355</f>
        <v/>
      </c>
      <c r="B362" s="5">
        <f>'1 prepared data'!U355</f>
        <v/>
      </c>
      <c r="C362">
        <f>'1 prepared data'!B355</f>
        <v/>
      </c>
      <c r="D362" s="7">
        <f>'1 prepared data'!C355</f>
        <v/>
      </c>
      <c r="E362" s="7">
        <f>'1 prepared data'!D355</f>
        <v/>
      </c>
      <c r="F362" s="7">
        <f>'1 prepared data'!E355</f>
        <v/>
      </c>
      <c r="G362" s="7">
        <f>'1 prepared data'!F355</f>
        <v/>
      </c>
      <c r="H362" s="7">
        <f>'1 prepared data'!G355</f>
        <v/>
      </c>
      <c r="I362" s="7">
        <f>'1 prepared data'!H355</f>
        <v/>
      </c>
      <c r="J362" s="7">
        <f>'1 prepared data'!I355</f>
        <v/>
      </c>
      <c r="K362" s="7">
        <f>'1 prepared data'!J355</f>
        <v/>
      </c>
      <c r="L362" s="7">
        <f>'1 prepared data'!K355</f>
        <v/>
      </c>
      <c r="M362" s="7">
        <f>'1 prepared data'!L355</f>
        <v/>
      </c>
      <c r="N362" s="7">
        <f>'1 prepared data'!M355</f>
        <v/>
      </c>
      <c r="O362" s="7">
        <f>'1 prepared data'!N355</f>
        <v/>
      </c>
      <c r="P362" s="7">
        <f>'1 prepared data'!O355</f>
        <v/>
      </c>
      <c r="Q362" s="7">
        <f>'1 prepared data'!P355</f>
        <v/>
      </c>
      <c r="R362" s="7">
        <f>'1 prepared data'!Q355</f>
        <v/>
      </c>
      <c r="S362" s="7">
        <f>'1 prepared data'!R355</f>
        <v/>
      </c>
      <c r="T362" s="7">
        <f>'1 prepared data'!S355</f>
        <v/>
      </c>
      <c r="U362" s="7">
        <f>'1 prepared data'!T355</f>
        <v/>
      </c>
      <c r="V362" s="8">
        <f>$AC$12+D362*$AC$13+E362*$AC$14+F362*$AC$15+G362*$AC$16+H362*$AC$17+I362*$AC$18+J362*$AC$19+K362*$AC$20+L362*$AC$21+M362*$AC$22+N362*$AC$23+O362*$AC$24+P362*$AC$25+Q362*$AC$26+R362*$AC$27+S362*$AC$28+T362*$AC$29+U362*$AC$30</f>
        <v/>
      </c>
      <c r="W362" s="8">
        <f>1/(1+EXP(-V362))</f>
        <v/>
      </c>
      <c r="X362" s="9">
        <f>-IF(C362=1,LN(W362),LN(1-W362))</f>
        <v/>
      </c>
      <c r="Y362" s="10">
        <f>IF(W362&gt;$AC$33,1,0)</f>
        <v/>
      </c>
      <c r="Z362">
        <f>IF(Y362=C362,1,0)</f>
        <v/>
      </c>
    </row>
    <row r="363">
      <c r="A363">
        <f>'1 prepared data'!A356</f>
        <v/>
      </c>
      <c r="B363" s="5">
        <f>'1 prepared data'!U356</f>
        <v/>
      </c>
      <c r="C363">
        <f>'1 prepared data'!B356</f>
        <v/>
      </c>
      <c r="D363" s="7">
        <f>'1 prepared data'!C356</f>
        <v/>
      </c>
      <c r="E363" s="7">
        <f>'1 prepared data'!D356</f>
        <v/>
      </c>
      <c r="F363" s="7">
        <f>'1 prepared data'!E356</f>
        <v/>
      </c>
      <c r="G363" s="7">
        <f>'1 prepared data'!F356</f>
        <v/>
      </c>
      <c r="H363" s="7">
        <f>'1 prepared data'!G356</f>
        <v/>
      </c>
      <c r="I363" s="7">
        <f>'1 prepared data'!H356</f>
        <v/>
      </c>
      <c r="J363" s="7">
        <f>'1 prepared data'!I356</f>
        <v/>
      </c>
      <c r="K363" s="7">
        <f>'1 prepared data'!J356</f>
        <v/>
      </c>
      <c r="L363" s="7">
        <f>'1 prepared data'!K356</f>
        <v/>
      </c>
      <c r="M363" s="7">
        <f>'1 prepared data'!L356</f>
        <v/>
      </c>
      <c r="N363" s="7">
        <f>'1 prepared data'!M356</f>
        <v/>
      </c>
      <c r="O363" s="7">
        <f>'1 prepared data'!N356</f>
        <v/>
      </c>
      <c r="P363" s="7">
        <f>'1 prepared data'!O356</f>
        <v/>
      </c>
      <c r="Q363" s="7">
        <f>'1 prepared data'!P356</f>
        <v/>
      </c>
      <c r="R363" s="7">
        <f>'1 prepared data'!Q356</f>
        <v/>
      </c>
      <c r="S363" s="7">
        <f>'1 prepared data'!R356</f>
        <v/>
      </c>
      <c r="T363" s="7">
        <f>'1 prepared data'!S356</f>
        <v/>
      </c>
      <c r="U363" s="7">
        <f>'1 prepared data'!T356</f>
        <v/>
      </c>
      <c r="V363" s="8">
        <f>$AC$12+D363*$AC$13+E363*$AC$14+F363*$AC$15+G363*$AC$16+H363*$AC$17+I363*$AC$18+J363*$AC$19+K363*$AC$20+L363*$AC$21+M363*$AC$22+N363*$AC$23+O363*$AC$24+P363*$AC$25+Q363*$AC$26+R363*$AC$27+S363*$AC$28+T363*$AC$29+U363*$AC$30</f>
        <v/>
      </c>
      <c r="W363" s="8">
        <f>1/(1+EXP(-V363))</f>
        <v/>
      </c>
      <c r="X363" s="9">
        <f>-IF(C363=1,LN(W363),LN(1-W363))</f>
        <v/>
      </c>
      <c r="Y363" s="10">
        <f>IF(W363&gt;$AC$33,1,0)</f>
        <v/>
      </c>
      <c r="Z363">
        <f>IF(Y363=C363,1,0)</f>
        <v/>
      </c>
    </row>
    <row r="364">
      <c r="A364">
        <f>'1 prepared data'!A357</f>
        <v/>
      </c>
      <c r="B364" s="5">
        <f>'1 prepared data'!U357</f>
        <v/>
      </c>
      <c r="C364">
        <f>'1 prepared data'!B357</f>
        <v/>
      </c>
      <c r="D364" s="7">
        <f>'1 prepared data'!C357</f>
        <v/>
      </c>
      <c r="E364" s="7">
        <f>'1 prepared data'!D357</f>
        <v/>
      </c>
      <c r="F364" s="7">
        <f>'1 prepared data'!E357</f>
        <v/>
      </c>
      <c r="G364" s="7">
        <f>'1 prepared data'!F357</f>
        <v/>
      </c>
      <c r="H364" s="7">
        <f>'1 prepared data'!G357</f>
        <v/>
      </c>
      <c r="I364" s="7">
        <f>'1 prepared data'!H357</f>
        <v/>
      </c>
      <c r="J364" s="7">
        <f>'1 prepared data'!I357</f>
        <v/>
      </c>
      <c r="K364" s="7">
        <f>'1 prepared data'!J357</f>
        <v/>
      </c>
      <c r="L364" s="7">
        <f>'1 prepared data'!K357</f>
        <v/>
      </c>
      <c r="M364" s="7">
        <f>'1 prepared data'!L357</f>
        <v/>
      </c>
      <c r="N364" s="7">
        <f>'1 prepared data'!M357</f>
        <v/>
      </c>
      <c r="O364" s="7">
        <f>'1 prepared data'!N357</f>
        <v/>
      </c>
      <c r="P364" s="7">
        <f>'1 prepared data'!O357</f>
        <v/>
      </c>
      <c r="Q364" s="7">
        <f>'1 prepared data'!P357</f>
        <v/>
      </c>
      <c r="R364" s="7">
        <f>'1 prepared data'!Q357</f>
        <v/>
      </c>
      <c r="S364" s="7">
        <f>'1 prepared data'!R357</f>
        <v/>
      </c>
      <c r="T364" s="7">
        <f>'1 prepared data'!S357</f>
        <v/>
      </c>
      <c r="U364" s="7">
        <f>'1 prepared data'!T357</f>
        <v/>
      </c>
      <c r="V364" s="8">
        <f>$AC$12+D364*$AC$13+E364*$AC$14+F364*$AC$15+G364*$AC$16+H364*$AC$17+I364*$AC$18+J364*$AC$19+K364*$AC$20+L364*$AC$21+M364*$AC$22+N364*$AC$23+O364*$AC$24+P364*$AC$25+Q364*$AC$26+R364*$AC$27+S364*$AC$28+T364*$AC$29+U364*$AC$30</f>
        <v/>
      </c>
      <c r="W364" s="8">
        <f>1/(1+EXP(-V364))</f>
        <v/>
      </c>
      <c r="X364" s="9">
        <f>-IF(C364=1,LN(W364),LN(1-W364))</f>
        <v/>
      </c>
      <c r="Y364" s="10">
        <f>IF(W364&gt;$AC$33,1,0)</f>
        <v/>
      </c>
      <c r="Z364">
        <f>IF(Y364=C364,1,0)</f>
        <v/>
      </c>
    </row>
    <row r="365">
      <c r="A365">
        <f>'1 prepared data'!A358</f>
        <v/>
      </c>
      <c r="B365" s="5">
        <f>'1 prepared data'!U358</f>
        <v/>
      </c>
      <c r="C365">
        <f>'1 prepared data'!B358</f>
        <v/>
      </c>
      <c r="D365" s="7">
        <f>'1 prepared data'!C358</f>
        <v/>
      </c>
      <c r="E365" s="7">
        <f>'1 prepared data'!D358</f>
        <v/>
      </c>
      <c r="F365" s="7">
        <f>'1 prepared data'!E358</f>
        <v/>
      </c>
      <c r="G365" s="7">
        <f>'1 prepared data'!F358</f>
        <v/>
      </c>
      <c r="H365" s="7">
        <f>'1 prepared data'!G358</f>
        <v/>
      </c>
      <c r="I365" s="7">
        <f>'1 prepared data'!H358</f>
        <v/>
      </c>
      <c r="J365" s="7">
        <f>'1 prepared data'!I358</f>
        <v/>
      </c>
      <c r="K365" s="7">
        <f>'1 prepared data'!J358</f>
        <v/>
      </c>
      <c r="L365" s="7">
        <f>'1 prepared data'!K358</f>
        <v/>
      </c>
      <c r="M365" s="7">
        <f>'1 prepared data'!L358</f>
        <v/>
      </c>
      <c r="N365" s="7">
        <f>'1 prepared data'!M358</f>
        <v/>
      </c>
      <c r="O365" s="7">
        <f>'1 prepared data'!N358</f>
        <v/>
      </c>
      <c r="P365" s="7">
        <f>'1 prepared data'!O358</f>
        <v/>
      </c>
      <c r="Q365" s="7">
        <f>'1 prepared data'!P358</f>
        <v/>
      </c>
      <c r="R365" s="7">
        <f>'1 prepared data'!Q358</f>
        <v/>
      </c>
      <c r="S365" s="7">
        <f>'1 prepared data'!R358</f>
        <v/>
      </c>
      <c r="T365" s="7">
        <f>'1 prepared data'!S358</f>
        <v/>
      </c>
      <c r="U365" s="7">
        <f>'1 prepared data'!T358</f>
        <v/>
      </c>
      <c r="V365" s="8">
        <f>$AC$12+D365*$AC$13+E365*$AC$14+F365*$AC$15+G365*$AC$16+H365*$AC$17+I365*$AC$18+J365*$AC$19+K365*$AC$20+L365*$AC$21+M365*$AC$22+N365*$AC$23+O365*$AC$24+P365*$AC$25+Q365*$AC$26+R365*$AC$27+S365*$AC$28+T365*$AC$29+U365*$AC$30</f>
        <v/>
      </c>
      <c r="W365" s="8">
        <f>1/(1+EXP(-V365))</f>
        <v/>
      </c>
      <c r="X365" s="9">
        <f>-IF(C365=1,LN(W365),LN(1-W365))</f>
        <v/>
      </c>
      <c r="Y365" s="10">
        <f>IF(W365&gt;$AC$33,1,0)</f>
        <v/>
      </c>
      <c r="Z365">
        <f>IF(Y365=C365,1,0)</f>
        <v/>
      </c>
    </row>
    <row r="366">
      <c r="A366">
        <f>'1 prepared data'!A359</f>
        <v/>
      </c>
      <c r="B366" s="5">
        <f>'1 prepared data'!U359</f>
        <v/>
      </c>
      <c r="C366">
        <f>'1 prepared data'!B359</f>
        <v/>
      </c>
      <c r="D366" s="7">
        <f>'1 prepared data'!C359</f>
        <v/>
      </c>
      <c r="E366" s="7">
        <f>'1 prepared data'!D359</f>
        <v/>
      </c>
      <c r="F366" s="7">
        <f>'1 prepared data'!E359</f>
        <v/>
      </c>
      <c r="G366" s="7">
        <f>'1 prepared data'!F359</f>
        <v/>
      </c>
      <c r="H366" s="7">
        <f>'1 prepared data'!G359</f>
        <v/>
      </c>
      <c r="I366" s="7">
        <f>'1 prepared data'!H359</f>
        <v/>
      </c>
      <c r="J366" s="7">
        <f>'1 prepared data'!I359</f>
        <v/>
      </c>
      <c r="K366" s="7">
        <f>'1 prepared data'!J359</f>
        <v/>
      </c>
      <c r="L366" s="7">
        <f>'1 prepared data'!K359</f>
        <v/>
      </c>
      <c r="M366" s="7">
        <f>'1 prepared data'!L359</f>
        <v/>
      </c>
      <c r="N366" s="7">
        <f>'1 prepared data'!M359</f>
        <v/>
      </c>
      <c r="O366" s="7">
        <f>'1 prepared data'!N359</f>
        <v/>
      </c>
      <c r="P366" s="7">
        <f>'1 prepared data'!O359</f>
        <v/>
      </c>
      <c r="Q366" s="7">
        <f>'1 prepared data'!P359</f>
        <v/>
      </c>
      <c r="R366" s="7">
        <f>'1 prepared data'!Q359</f>
        <v/>
      </c>
      <c r="S366" s="7">
        <f>'1 prepared data'!R359</f>
        <v/>
      </c>
      <c r="T366" s="7">
        <f>'1 prepared data'!S359</f>
        <v/>
      </c>
      <c r="U366" s="7">
        <f>'1 prepared data'!T359</f>
        <v/>
      </c>
      <c r="V366" s="8">
        <f>$AC$12+D366*$AC$13+E366*$AC$14+F366*$AC$15+G366*$AC$16+H366*$AC$17+I366*$AC$18+J366*$AC$19+K366*$AC$20+L366*$AC$21+M366*$AC$22+N366*$AC$23+O366*$AC$24+P366*$AC$25+Q366*$AC$26+R366*$AC$27+S366*$AC$28+T366*$AC$29+U366*$AC$30</f>
        <v/>
      </c>
      <c r="W366" s="8">
        <f>1/(1+EXP(-V366))</f>
        <v/>
      </c>
      <c r="X366" s="9">
        <f>-IF(C366=1,LN(W366),LN(1-W366))</f>
        <v/>
      </c>
      <c r="Y366" s="10">
        <f>IF(W366&gt;$AC$33,1,0)</f>
        <v/>
      </c>
      <c r="Z366">
        <f>IF(Y366=C366,1,0)</f>
        <v/>
      </c>
    </row>
    <row r="367">
      <c r="A367">
        <f>'1 prepared data'!A360</f>
        <v/>
      </c>
      <c r="B367" s="5">
        <f>'1 prepared data'!U360</f>
        <v/>
      </c>
      <c r="C367">
        <f>'1 prepared data'!B360</f>
        <v/>
      </c>
      <c r="D367" s="7">
        <f>'1 prepared data'!C360</f>
        <v/>
      </c>
      <c r="E367" s="7">
        <f>'1 prepared data'!D360</f>
        <v/>
      </c>
      <c r="F367" s="7">
        <f>'1 prepared data'!E360</f>
        <v/>
      </c>
      <c r="G367" s="7">
        <f>'1 prepared data'!F360</f>
        <v/>
      </c>
      <c r="H367" s="7">
        <f>'1 prepared data'!G360</f>
        <v/>
      </c>
      <c r="I367" s="7">
        <f>'1 prepared data'!H360</f>
        <v/>
      </c>
      <c r="J367" s="7">
        <f>'1 prepared data'!I360</f>
        <v/>
      </c>
      <c r="K367" s="7">
        <f>'1 prepared data'!J360</f>
        <v/>
      </c>
      <c r="L367" s="7">
        <f>'1 prepared data'!K360</f>
        <v/>
      </c>
      <c r="M367" s="7">
        <f>'1 prepared data'!L360</f>
        <v/>
      </c>
      <c r="N367" s="7">
        <f>'1 prepared data'!M360</f>
        <v/>
      </c>
      <c r="O367" s="7">
        <f>'1 prepared data'!N360</f>
        <v/>
      </c>
      <c r="P367" s="7">
        <f>'1 prepared data'!O360</f>
        <v/>
      </c>
      <c r="Q367" s="7">
        <f>'1 prepared data'!P360</f>
        <v/>
      </c>
      <c r="R367" s="7">
        <f>'1 prepared data'!Q360</f>
        <v/>
      </c>
      <c r="S367" s="7">
        <f>'1 prepared data'!R360</f>
        <v/>
      </c>
      <c r="T367" s="7">
        <f>'1 prepared data'!S360</f>
        <v/>
      </c>
      <c r="U367" s="7">
        <f>'1 prepared data'!T360</f>
        <v/>
      </c>
      <c r="V367" s="8">
        <f>$AC$12+D367*$AC$13+E367*$AC$14+F367*$AC$15+G367*$AC$16+H367*$AC$17+I367*$AC$18+J367*$AC$19+K367*$AC$20+L367*$AC$21+M367*$AC$22+N367*$AC$23+O367*$AC$24+P367*$AC$25+Q367*$AC$26+R367*$AC$27+S367*$AC$28+T367*$AC$29+U367*$AC$30</f>
        <v/>
      </c>
      <c r="W367" s="8">
        <f>1/(1+EXP(-V367))</f>
        <v/>
      </c>
      <c r="X367" s="9">
        <f>-IF(C367=1,LN(W367),LN(1-W367))</f>
        <v/>
      </c>
      <c r="Y367" s="10">
        <f>IF(W367&gt;$AC$33,1,0)</f>
        <v/>
      </c>
      <c r="Z367">
        <f>IF(Y367=C367,1,0)</f>
        <v/>
      </c>
    </row>
    <row r="368">
      <c r="A368">
        <f>'1 prepared data'!A361</f>
        <v/>
      </c>
      <c r="B368" s="5">
        <f>'1 prepared data'!U361</f>
        <v/>
      </c>
      <c r="C368">
        <f>'1 prepared data'!B361</f>
        <v/>
      </c>
      <c r="D368" s="7">
        <f>'1 prepared data'!C361</f>
        <v/>
      </c>
      <c r="E368" s="7">
        <f>'1 prepared data'!D361</f>
        <v/>
      </c>
      <c r="F368" s="7">
        <f>'1 prepared data'!E361</f>
        <v/>
      </c>
      <c r="G368" s="7">
        <f>'1 prepared data'!F361</f>
        <v/>
      </c>
      <c r="H368" s="7">
        <f>'1 prepared data'!G361</f>
        <v/>
      </c>
      <c r="I368" s="7">
        <f>'1 prepared data'!H361</f>
        <v/>
      </c>
      <c r="J368" s="7">
        <f>'1 prepared data'!I361</f>
        <v/>
      </c>
      <c r="K368" s="7">
        <f>'1 prepared data'!J361</f>
        <v/>
      </c>
      <c r="L368" s="7">
        <f>'1 prepared data'!K361</f>
        <v/>
      </c>
      <c r="M368" s="7">
        <f>'1 prepared data'!L361</f>
        <v/>
      </c>
      <c r="N368" s="7">
        <f>'1 prepared data'!M361</f>
        <v/>
      </c>
      <c r="O368" s="7">
        <f>'1 prepared data'!N361</f>
        <v/>
      </c>
      <c r="P368" s="7">
        <f>'1 prepared data'!O361</f>
        <v/>
      </c>
      <c r="Q368" s="7">
        <f>'1 prepared data'!P361</f>
        <v/>
      </c>
      <c r="R368" s="7">
        <f>'1 prepared data'!Q361</f>
        <v/>
      </c>
      <c r="S368" s="7">
        <f>'1 prepared data'!R361</f>
        <v/>
      </c>
      <c r="T368" s="7">
        <f>'1 prepared data'!S361</f>
        <v/>
      </c>
      <c r="U368" s="7">
        <f>'1 prepared data'!T361</f>
        <v/>
      </c>
      <c r="V368" s="8">
        <f>$AC$12+D368*$AC$13+E368*$AC$14+F368*$AC$15+G368*$AC$16+H368*$AC$17+I368*$AC$18+J368*$AC$19+K368*$AC$20+L368*$AC$21+M368*$AC$22+N368*$AC$23+O368*$AC$24+P368*$AC$25+Q368*$AC$26+R368*$AC$27+S368*$AC$28+T368*$AC$29+U368*$AC$30</f>
        <v/>
      </c>
      <c r="W368" s="8">
        <f>1/(1+EXP(-V368))</f>
        <v/>
      </c>
      <c r="X368" s="9">
        <f>-IF(C368=1,LN(W368),LN(1-W368))</f>
        <v/>
      </c>
      <c r="Y368" s="10">
        <f>IF(W368&gt;$AC$33,1,0)</f>
        <v/>
      </c>
      <c r="Z368">
        <f>IF(Y368=C368,1,0)</f>
        <v/>
      </c>
    </row>
    <row r="369">
      <c r="A369">
        <f>'1 prepared data'!A362</f>
        <v/>
      </c>
      <c r="B369" s="5">
        <f>'1 prepared data'!U362</f>
        <v/>
      </c>
      <c r="C369">
        <f>'1 prepared data'!B362</f>
        <v/>
      </c>
      <c r="D369" s="7">
        <f>'1 prepared data'!C362</f>
        <v/>
      </c>
      <c r="E369" s="7">
        <f>'1 prepared data'!D362</f>
        <v/>
      </c>
      <c r="F369" s="7">
        <f>'1 prepared data'!E362</f>
        <v/>
      </c>
      <c r="G369" s="7">
        <f>'1 prepared data'!F362</f>
        <v/>
      </c>
      <c r="H369" s="7">
        <f>'1 prepared data'!G362</f>
        <v/>
      </c>
      <c r="I369" s="7">
        <f>'1 prepared data'!H362</f>
        <v/>
      </c>
      <c r="J369" s="7">
        <f>'1 prepared data'!I362</f>
        <v/>
      </c>
      <c r="K369" s="7">
        <f>'1 prepared data'!J362</f>
        <v/>
      </c>
      <c r="L369" s="7">
        <f>'1 prepared data'!K362</f>
        <v/>
      </c>
      <c r="M369" s="7">
        <f>'1 prepared data'!L362</f>
        <v/>
      </c>
      <c r="N369" s="7">
        <f>'1 prepared data'!M362</f>
        <v/>
      </c>
      <c r="O369" s="7">
        <f>'1 prepared data'!N362</f>
        <v/>
      </c>
      <c r="P369" s="7">
        <f>'1 prepared data'!O362</f>
        <v/>
      </c>
      <c r="Q369" s="7">
        <f>'1 prepared data'!P362</f>
        <v/>
      </c>
      <c r="R369" s="7">
        <f>'1 prepared data'!Q362</f>
        <v/>
      </c>
      <c r="S369" s="7">
        <f>'1 prepared data'!R362</f>
        <v/>
      </c>
      <c r="T369" s="7">
        <f>'1 prepared data'!S362</f>
        <v/>
      </c>
      <c r="U369" s="7">
        <f>'1 prepared data'!T362</f>
        <v/>
      </c>
      <c r="V369" s="8">
        <f>$AC$12+D369*$AC$13+E369*$AC$14+F369*$AC$15+G369*$AC$16+H369*$AC$17+I369*$AC$18+J369*$AC$19+K369*$AC$20+L369*$AC$21+M369*$AC$22+N369*$AC$23+O369*$AC$24+P369*$AC$25+Q369*$AC$26+R369*$AC$27+S369*$AC$28+T369*$AC$29+U369*$AC$30</f>
        <v/>
      </c>
      <c r="W369" s="8">
        <f>1/(1+EXP(-V369))</f>
        <v/>
      </c>
      <c r="X369" s="9">
        <f>-IF(C369=1,LN(W369),LN(1-W369))</f>
        <v/>
      </c>
      <c r="Y369" s="10">
        <f>IF(W369&gt;$AC$33,1,0)</f>
        <v/>
      </c>
      <c r="Z369">
        <f>IF(Y369=C369,1,0)</f>
        <v/>
      </c>
    </row>
    <row r="370">
      <c r="A370">
        <f>'1 prepared data'!A363</f>
        <v/>
      </c>
      <c r="B370" s="5">
        <f>'1 prepared data'!U363</f>
        <v/>
      </c>
      <c r="C370">
        <f>'1 prepared data'!B363</f>
        <v/>
      </c>
      <c r="D370" s="7">
        <f>'1 prepared data'!C363</f>
        <v/>
      </c>
      <c r="E370" s="7">
        <f>'1 prepared data'!D363</f>
        <v/>
      </c>
      <c r="F370" s="7">
        <f>'1 prepared data'!E363</f>
        <v/>
      </c>
      <c r="G370" s="7">
        <f>'1 prepared data'!F363</f>
        <v/>
      </c>
      <c r="H370" s="7">
        <f>'1 prepared data'!G363</f>
        <v/>
      </c>
      <c r="I370" s="7">
        <f>'1 prepared data'!H363</f>
        <v/>
      </c>
      <c r="J370" s="7">
        <f>'1 prepared data'!I363</f>
        <v/>
      </c>
      <c r="K370" s="7">
        <f>'1 prepared data'!J363</f>
        <v/>
      </c>
      <c r="L370" s="7">
        <f>'1 prepared data'!K363</f>
        <v/>
      </c>
      <c r="M370" s="7">
        <f>'1 prepared data'!L363</f>
        <v/>
      </c>
      <c r="N370" s="7">
        <f>'1 prepared data'!M363</f>
        <v/>
      </c>
      <c r="O370" s="7">
        <f>'1 prepared data'!N363</f>
        <v/>
      </c>
      <c r="P370" s="7">
        <f>'1 prepared data'!O363</f>
        <v/>
      </c>
      <c r="Q370" s="7">
        <f>'1 prepared data'!P363</f>
        <v/>
      </c>
      <c r="R370" s="7">
        <f>'1 prepared data'!Q363</f>
        <v/>
      </c>
      <c r="S370" s="7">
        <f>'1 prepared data'!R363</f>
        <v/>
      </c>
      <c r="T370" s="7">
        <f>'1 prepared data'!S363</f>
        <v/>
      </c>
      <c r="U370" s="7">
        <f>'1 prepared data'!T363</f>
        <v/>
      </c>
      <c r="V370" s="8">
        <f>$AC$12+D370*$AC$13+E370*$AC$14+F370*$AC$15+G370*$AC$16+H370*$AC$17+I370*$AC$18+J370*$AC$19+K370*$AC$20+L370*$AC$21+M370*$AC$22+N370*$AC$23+O370*$AC$24+P370*$AC$25+Q370*$AC$26+R370*$AC$27+S370*$AC$28+T370*$AC$29+U370*$AC$30</f>
        <v/>
      </c>
      <c r="W370" s="8">
        <f>1/(1+EXP(-V370))</f>
        <v/>
      </c>
      <c r="X370" s="9">
        <f>-IF(C370=1,LN(W370),LN(1-W370))</f>
        <v/>
      </c>
      <c r="Y370" s="10">
        <f>IF(W370&gt;$AC$33,1,0)</f>
        <v/>
      </c>
      <c r="Z370">
        <f>IF(Y370=C370,1,0)</f>
        <v/>
      </c>
    </row>
    <row r="371">
      <c r="A371">
        <f>'1 prepared data'!A364</f>
        <v/>
      </c>
      <c r="B371" s="5">
        <f>'1 prepared data'!U364</f>
        <v/>
      </c>
      <c r="C371">
        <f>'1 prepared data'!B364</f>
        <v/>
      </c>
      <c r="D371" s="7">
        <f>'1 prepared data'!C364</f>
        <v/>
      </c>
      <c r="E371" s="7">
        <f>'1 prepared data'!D364</f>
        <v/>
      </c>
      <c r="F371" s="7">
        <f>'1 prepared data'!E364</f>
        <v/>
      </c>
      <c r="G371" s="7">
        <f>'1 prepared data'!F364</f>
        <v/>
      </c>
      <c r="H371" s="7">
        <f>'1 prepared data'!G364</f>
        <v/>
      </c>
      <c r="I371" s="7">
        <f>'1 prepared data'!H364</f>
        <v/>
      </c>
      <c r="J371" s="7">
        <f>'1 prepared data'!I364</f>
        <v/>
      </c>
      <c r="K371" s="7">
        <f>'1 prepared data'!J364</f>
        <v/>
      </c>
      <c r="L371" s="7">
        <f>'1 prepared data'!K364</f>
        <v/>
      </c>
      <c r="M371" s="7">
        <f>'1 prepared data'!L364</f>
        <v/>
      </c>
      <c r="N371" s="7">
        <f>'1 prepared data'!M364</f>
        <v/>
      </c>
      <c r="O371" s="7">
        <f>'1 prepared data'!N364</f>
        <v/>
      </c>
      <c r="P371" s="7">
        <f>'1 prepared data'!O364</f>
        <v/>
      </c>
      <c r="Q371" s="7">
        <f>'1 prepared data'!P364</f>
        <v/>
      </c>
      <c r="R371" s="7">
        <f>'1 prepared data'!Q364</f>
        <v/>
      </c>
      <c r="S371" s="7">
        <f>'1 prepared data'!R364</f>
        <v/>
      </c>
      <c r="T371" s="7">
        <f>'1 prepared data'!S364</f>
        <v/>
      </c>
      <c r="U371" s="7">
        <f>'1 prepared data'!T364</f>
        <v/>
      </c>
      <c r="V371" s="8">
        <f>$AC$12+D371*$AC$13+E371*$AC$14+F371*$AC$15+G371*$AC$16+H371*$AC$17+I371*$AC$18+J371*$AC$19+K371*$AC$20+L371*$AC$21+M371*$AC$22+N371*$AC$23+O371*$AC$24+P371*$AC$25+Q371*$AC$26+R371*$AC$27+S371*$AC$28+T371*$AC$29+U371*$AC$30</f>
        <v/>
      </c>
      <c r="W371" s="8">
        <f>1/(1+EXP(-V371))</f>
        <v/>
      </c>
      <c r="X371" s="9">
        <f>-IF(C371=1,LN(W371),LN(1-W371))</f>
        <v/>
      </c>
      <c r="Y371" s="10">
        <f>IF(W371&gt;$AC$33,1,0)</f>
        <v/>
      </c>
      <c r="Z371">
        <f>IF(Y371=C371,1,0)</f>
        <v/>
      </c>
    </row>
    <row r="372">
      <c r="A372">
        <f>'1 prepared data'!A365</f>
        <v/>
      </c>
      <c r="B372" s="5">
        <f>'1 prepared data'!U365</f>
        <v/>
      </c>
      <c r="C372">
        <f>'1 prepared data'!B365</f>
        <v/>
      </c>
      <c r="D372" s="7">
        <f>'1 prepared data'!C365</f>
        <v/>
      </c>
      <c r="E372" s="7">
        <f>'1 prepared data'!D365</f>
        <v/>
      </c>
      <c r="F372" s="7">
        <f>'1 prepared data'!E365</f>
        <v/>
      </c>
      <c r="G372" s="7">
        <f>'1 prepared data'!F365</f>
        <v/>
      </c>
      <c r="H372" s="7">
        <f>'1 prepared data'!G365</f>
        <v/>
      </c>
      <c r="I372" s="7">
        <f>'1 prepared data'!H365</f>
        <v/>
      </c>
      <c r="J372" s="7">
        <f>'1 prepared data'!I365</f>
        <v/>
      </c>
      <c r="K372" s="7">
        <f>'1 prepared data'!J365</f>
        <v/>
      </c>
      <c r="L372" s="7">
        <f>'1 prepared data'!K365</f>
        <v/>
      </c>
      <c r="M372" s="7">
        <f>'1 prepared data'!L365</f>
        <v/>
      </c>
      <c r="N372" s="7">
        <f>'1 prepared data'!M365</f>
        <v/>
      </c>
      <c r="O372" s="7">
        <f>'1 prepared data'!N365</f>
        <v/>
      </c>
      <c r="P372" s="7">
        <f>'1 prepared data'!O365</f>
        <v/>
      </c>
      <c r="Q372" s="7">
        <f>'1 prepared data'!P365</f>
        <v/>
      </c>
      <c r="R372" s="7">
        <f>'1 prepared data'!Q365</f>
        <v/>
      </c>
      <c r="S372" s="7">
        <f>'1 prepared data'!R365</f>
        <v/>
      </c>
      <c r="T372" s="7">
        <f>'1 prepared data'!S365</f>
        <v/>
      </c>
      <c r="U372" s="7">
        <f>'1 prepared data'!T365</f>
        <v/>
      </c>
      <c r="V372" s="8">
        <f>$AC$12+D372*$AC$13+E372*$AC$14+F372*$AC$15+G372*$AC$16+H372*$AC$17+I372*$AC$18+J372*$AC$19+K372*$AC$20+L372*$AC$21+M372*$AC$22+N372*$AC$23+O372*$AC$24+P372*$AC$25+Q372*$AC$26+R372*$AC$27+S372*$AC$28+T372*$AC$29+U372*$AC$30</f>
        <v/>
      </c>
      <c r="W372" s="8">
        <f>1/(1+EXP(-V372))</f>
        <v/>
      </c>
      <c r="X372" s="9">
        <f>-IF(C372=1,LN(W372),LN(1-W372))</f>
        <v/>
      </c>
      <c r="Y372" s="10">
        <f>IF(W372&gt;$AC$33,1,0)</f>
        <v/>
      </c>
      <c r="Z372">
        <f>IF(Y372=C372,1,0)</f>
        <v/>
      </c>
    </row>
    <row r="373">
      <c r="A373">
        <f>'1 prepared data'!A366</f>
        <v/>
      </c>
      <c r="B373" s="5">
        <f>'1 prepared data'!U366</f>
        <v/>
      </c>
      <c r="C373">
        <f>'1 prepared data'!B366</f>
        <v/>
      </c>
      <c r="D373" s="7">
        <f>'1 prepared data'!C366</f>
        <v/>
      </c>
      <c r="E373" s="7">
        <f>'1 prepared data'!D366</f>
        <v/>
      </c>
      <c r="F373" s="7">
        <f>'1 prepared data'!E366</f>
        <v/>
      </c>
      <c r="G373" s="7">
        <f>'1 prepared data'!F366</f>
        <v/>
      </c>
      <c r="H373" s="7">
        <f>'1 prepared data'!G366</f>
        <v/>
      </c>
      <c r="I373" s="7">
        <f>'1 prepared data'!H366</f>
        <v/>
      </c>
      <c r="J373" s="7">
        <f>'1 prepared data'!I366</f>
        <v/>
      </c>
      <c r="K373" s="7">
        <f>'1 prepared data'!J366</f>
        <v/>
      </c>
      <c r="L373" s="7">
        <f>'1 prepared data'!K366</f>
        <v/>
      </c>
      <c r="M373" s="7">
        <f>'1 prepared data'!L366</f>
        <v/>
      </c>
      <c r="N373" s="7">
        <f>'1 prepared data'!M366</f>
        <v/>
      </c>
      <c r="O373" s="7">
        <f>'1 prepared data'!N366</f>
        <v/>
      </c>
      <c r="P373" s="7">
        <f>'1 prepared data'!O366</f>
        <v/>
      </c>
      <c r="Q373" s="7">
        <f>'1 prepared data'!P366</f>
        <v/>
      </c>
      <c r="R373" s="7">
        <f>'1 prepared data'!Q366</f>
        <v/>
      </c>
      <c r="S373" s="7">
        <f>'1 prepared data'!R366</f>
        <v/>
      </c>
      <c r="T373" s="7">
        <f>'1 prepared data'!S366</f>
        <v/>
      </c>
      <c r="U373" s="7">
        <f>'1 prepared data'!T366</f>
        <v/>
      </c>
      <c r="V373" s="8">
        <f>$AC$12+D373*$AC$13+E373*$AC$14+F373*$AC$15+G373*$AC$16+H373*$AC$17+I373*$AC$18+J373*$AC$19+K373*$AC$20+L373*$AC$21+M373*$AC$22+N373*$AC$23+O373*$AC$24+P373*$AC$25+Q373*$AC$26+R373*$AC$27+S373*$AC$28+T373*$AC$29+U373*$AC$30</f>
        <v/>
      </c>
      <c r="W373" s="8">
        <f>1/(1+EXP(-V373))</f>
        <v/>
      </c>
      <c r="X373" s="9">
        <f>-IF(C373=1,LN(W373),LN(1-W373))</f>
        <v/>
      </c>
      <c r="Y373" s="10">
        <f>IF(W373&gt;$AC$33,1,0)</f>
        <v/>
      </c>
      <c r="Z373">
        <f>IF(Y373=C373,1,0)</f>
        <v/>
      </c>
    </row>
    <row r="374">
      <c r="A374">
        <f>'1 prepared data'!A367</f>
        <v/>
      </c>
      <c r="B374" s="5">
        <f>'1 prepared data'!U367</f>
        <v/>
      </c>
      <c r="C374">
        <f>'1 prepared data'!B367</f>
        <v/>
      </c>
      <c r="D374" s="7">
        <f>'1 prepared data'!C367</f>
        <v/>
      </c>
      <c r="E374" s="7">
        <f>'1 prepared data'!D367</f>
        <v/>
      </c>
      <c r="F374" s="7">
        <f>'1 prepared data'!E367</f>
        <v/>
      </c>
      <c r="G374" s="7">
        <f>'1 prepared data'!F367</f>
        <v/>
      </c>
      <c r="H374" s="7">
        <f>'1 prepared data'!G367</f>
        <v/>
      </c>
      <c r="I374" s="7">
        <f>'1 prepared data'!H367</f>
        <v/>
      </c>
      <c r="J374" s="7">
        <f>'1 prepared data'!I367</f>
        <v/>
      </c>
      <c r="K374" s="7">
        <f>'1 prepared data'!J367</f>
        <v/>
      </c>
      <c r="L374" s="7">
        <f>'1 prepared data'!K367</f>
        <v/>
      </c>
      <c r="M374" s="7">
        <f>'1 prepared data'!L367</f>
        <v/>
      </c>
      <c r="N374" s="7">
        <f>'1 prepared data'!M367</f>
        <v/>
      </c>
      <c r="O374" s="7">
        <f>'1 prepared data'!N367</f>
        <v/>
      </c>
      <c r="P374" s="7">
        <f>'1 prepared data'!O367</f>
        <v/>
      </c>
      <c r="Q374" s="7">
        <f>'1 prepared data'!P367</f>
        <v/>
      </c>
      <c r="R374" s="7">
        <f>'1 prepared data'!Q367</f>
        <v/>
      </c>
      <c r="S374" s="7">
        <f>'1 prepared data'!R367</f>
        <v/>
      </c>
      <c r="T374" s="7">
        <f>'1 prepared data'!S367</f>
        <v/>
      </c>
      <c r="U374" s="7">
        <f>'1 prepared data'!T367</f>
        <v/>
      </c>
      <c r="V374" s="8">
        <f>$AC$12+D374*$AC$13+E374*$AC$14+F374*$AC$15+G374*$AC$16+H374*$AC$17+I374*$AC$18+J374*$AC$19+K374*$AC$20+L374*$AC$21+M374*$AC$22+N374*$AC$23+O374*$AC$24+P374*$AC$25+Q374*$AC$26+R374*$AC$27+S374*$AC$28+T374*$AC$29+U374*$AC$30</f>
        <v/>
      </c>
      <c r="W374" s="8">
        <f>1/(1+EXP(-V374))</f>
        <v/>
      </c>
      <c r="X374" s="9">
        <f>-IF(C374=1,LN(W374),LN(1-W374))</f>
        <v/>
      </c>
      <c r="Y374" s="10">
        <f>IF(W374&gt;$AC$33,1,0)</f>
        <v/>
      </c>
      <c r="Z374">
        <f>IF(Y374=C374,1,0)</f>
        <v/>
      </c>
    </row>
    <row r="375">
      <c r="A375">
        <f>'1 prepared data'!A368</f>
        <v/>
      </c>
      <c r="B375" s="5">
        <f>'1 prepared data'!U368</f>
        <v/>
      </c>
      <c r="C375">
        <f>'1 prepared data'!B368</f>
        <v/>
      </c>
      <c r="D375" s="7">
        <f>'1 prepared data'!C368</f>
        <v/>
      </c>
      <c r="E375" s="7">
        <f>'1 prepared data'!D368</f>
        <v/>
      </c>
      <c r="F375" s="7">
        <f>'1 prepared data'!E368</f>
        <v/>
      </c>
      <c r="G375" s="7">
        <f>'1 prepared data'!F368</f>
        <v/>
      </c>
      <c r="H375" s="7">
        <f>'1 prepared data'!G368</f>
        <v/>
      </c>
      <c r="I375" s="7">
        <f>'1 prepared data'!H368</f>
        <v/>
      </c>
      <c r="J375" s="7">
        <f>'1 prepared data'!I368</f>
        <v/>
      </c>
      <c r="K375" s="7">
        <f>'1 prepared data'!J368</f>
        <v/>
      </c>
      <c r="L375" s="7">
        <f>'1 prepared data'!K368</f>
        <v/>
      </c>
      <c r="M375" s="7">
        <f>'1 prepared data'!L368</f>
        <v/>
      </c>
      <c r="N375" s="7">
        <f>'1 prepared data'!M368</f>
        <v/>
      </c>
      <c r="O375" s="7">
        <f>'1 prepared data'!N368</f>
        <v/>
      </c>
      <c r="P375" s="7">
        <f>'1 prepared data'!O368</f>
        <v/>
      </c>
      <c r="Q375" s="7">
        <f>'1 prepared data'!P368</f>
        <v/>
      </c>
      <c r="R375" s="7">
        <f>'1 prepared data'!Q368</f>
        <v/>
      </c>
      <c r="S375" s="7">
        <f>'1 prepared data'!R368</f>
        <v/>
      </c>
      <c r="T375" s="7">
        <f>'1 prepared data'!S368</f>
        <v/>
      </c>
      <c r="U375" s="7">
        <f>'1 prepared data'!T368</f>
        <v/>
      </c>
      <c r="V375" s="8">
        <f>$AC$12+D375*$AC$13+E375*$AC$14+F375*$AC$15+G375*$AC$16+H375*$AC$17+I375*$AC$18+J375*$AC$19+K375*$AC$20+L375*$AC$21+M375*$AC$22+N375*$AC$23+O375*$AC$24+P375*$AC$25+Q375*$AC$26+R375*$AC$27+S375*$AC$28+T375*$AC$29+U375*$AC$30</f>
        <v/>
      </c>
      <c r="W375" s="8">
        <f>1/(1+EXP(-V375))</f>
        <v/>
      </c>
      <c r="X375" s="9">
        <f>-IF(C375=1,LN(W375),LN(1-W375))</f>
        <v/>
      </c>
      <c r="Y375" s="10">
        <f>IF(W375&gt;$AC$33,1,0)</f>
        <v/>
      </c>
      <c r="Z375">
        <f>IF(Y375=C375,1,0)</f>
        <v/>
      </c>
    </row>
    <row r="376">
      <c r="A376">
        <f>'1 prepared data'!A369</f>
        <v/>
      </c>
      <c r="B376" s="5">
        <f>'1 prepared data'!U369</f>
        <v/>
      </c>
      <c r="C376">
        <f>'1 prepared data'!B369</f>
        <v/>
      </c>
      <c r="D376" s="7">
        <f>'1 prepared data'!C369</f>
        <v/>
      </c>
      <c r="E376" s="7">
        <f>'1 prepared data'!D369</f>
        <v/>
      </c>
      <c r="F376" s="7">
        <f>'1 prepared data'!E369</f>
        <v/>
      </c>
      <c r="G376" s="7">
        <f>'1 prepared data'!F369</f>
        <v/>
      </c>
      <c r="H376" s="7">
        <f>'1 prepared data'!G369</f>
        <v/>
      </c>
      <c r="I376" s="7">
        <f>'1 prepared data'!H369</f>
        <v/>
      </c>
      <c r="J376" s="7">
        <f>'1 prepared data'!I369</f>
        <v/>
      </c>
      <c r="K376" s="7">
        <f>'1 prepared data'!J369</f>
        <v/>
      </c>
      <c r="L376" s="7">
        <f>'1 prepared data'!K369</f>
        <v/>
      </c>
      <c r="M376" s="7">
        <f>'1 prepared data'!L369</f>
        <v/>
      </c>
      <c r="N376" s="7">
        <f>'1 prepared data'!M369</f>
        <v/>
      </c>
      <c r="O376" s="7">
        <f>'1 prepared data'!N369</f>
        <v/>
      </c>
      <c r="P376" s="7">
        <f>'1 prepared data'!O369</f>
        <v/>
      </c>
      <c r="Q376" s="7">
        <f>'1 prepared data'!P369</f>
        <v/>
      </c>
      <c r="R376" s="7">
        <f>'1 prepared data'!Q369</f>
        <v/>
      </c>
      <c r="S376" s="7">
        <f>'1 prepared data'!R369</f>
        <v/>
      </c>
      <c r="T376" s="7">
        <f>'1 prepared data'!S369</f>
        <v/>
      </c>
      <c r="U376" s="7">
        <f>'1 prepared data'!T369</f>
        <v/>
      </c>
      <c r="V376" s="8">
        <f>$AC$12+D376*$AC$13+E376*$AC$14+F376*$AC$15+G376*$AC$16+H376*$AC$17+I376*$AC$18+J376*$AC$19+K376*$AC$20+L376*$AC$21+M376*$AC$22+N376*$AC$23+O376*$AC$24+P376*$AC$25+Q376*$AC$26+R376*$AC$27+S376*$AC$28+T376*$AC$29+U376*$AC$30</f>
        <v/>
      </c>
      <c r="W376" s="8">
        <f>1/(1+EXP(-V376))</f>
        <v/>
      </c>
      <c r="X376" s="9">
        <f>-IF(C376=1,LN(W376),LN(1-W376))</f>
        <v/>
      </c>
      <c r="Y376" s="10">
        <f>IF(W376&gt;$AC$33,1,0)</f>
        <v/>
      </c>
      <c r="Z376">
        <f>IF(Y376=C376,1,0)</f>
        <v/>
      </c>
    </row>
    <row r="377">
      <c r="A377">
        <f>'1 prepared data'!A370</f>
        <v/>
      </c>
      <c r="B377" s="5">
        <f>'1 prepared data'!U370</f>
        <v/>
      </c>
      <c r="C377">
        <f>'1 prepared data'!B370</f>
        <v/>
      </c>
      <c r="D377" s="7">
        <f>'1 prepared data'!C370</f>
        <v/>
      </c>
      <c r="E377" s="7">
        <f>'1 prepared data'!D370</f>
        <v/>
      </c>
      <c r="F377" s="7">
        <f>'1 prepared data'!E370</f>
        <v/>
      </c>
      <c r="G377" s="7">
        <f>'1 prepared data'!F370</f>
        <v/>
      </c>
      <c r="H377" s="7">
        <f>'1 prepared data'!G370</f>
        <v/>
      </c>
      <c r="I377" s="7">
        <f>'1 prepared data'!H370</f>
        <v/>
      </c>
      <c r="J377" s="7">
        <f>'1 prepared data'!I370</f>
        <v/>
      </c>
      <c r="K377" s="7">
        <f>'1 prepared data'!J370</f>
        <v/>
      </c>
      <c r="L377" s="7">
        <f>'1 prepared data'!K370</f>
        <v/>
      </c>
      <c r="M377" s="7">
        <f>'1 prepared data'!L370</f>
        <v/>
      </c>
      <c r="N377" s="7">
        <f>'1 prepared data'!M370</f>
        <v/>
      </c>
      <c r="O377" s="7">
        <f>'1 prepared data'!N370</f>
        <v/>
      </c>
      <c r="P377" s="7">
        <f>'1 prepared data'!O370</f>
        <v/>
      </c>
      <c r="Q377" s="7">
        <f>'1 prepared data'!P370</f>
        <v/>
      </c>
      <c r="R377" s="7">
        <f>'1 prepared data'!Q370</f>
        <v/>
      </c>
      <c r="S377" s="7">
        <f>'1 prepared data'!R370</f>
        <v/>
      </c>
      <c r="T377" s="7">
        <f>'1 prepared data'!S370</f>
        <v/>
      </c>
      <c r="U377" s="7">
        <f>'1 prepared data'!T370</f>
        <v/>
      </c>
      <c r="V377" s="8">
        <f>$AC$12+D377*$AC$13+E377*$AC$14+F377*$AC$15+G377*$AC$16+H377*$AC$17+I377*$AC$18+J377*$AC$19+K377*$AC$20+L377*$AC$21+M377*$AC$22+N377*$AC$23+O377*$AC$24+P377*$AC$25+Q377*$AC$26+R377*$AC$27+S377*$AC$28+T377*$AC$29+U377*$AC$30</f>
        <v/>
      </c>
      <c r="W377" s="8">
        <f>1/(1+EXP(-V377))</f>
        <v/>
      </c>
      <c r="X377" s="9">
        <f>-IF(C377=1,LN(W377),LN(1-W377))</f>
        <v/>
      </c>
      <c r="Y377" s="10">
        <f>IF(W377&gt;$AC$33,1,0)</f>
        <v/>
      </c>
      <c r="Z377">
        <f>IF(Y377=C377,1,0)</f>
        <v/>
      </c>
    </row>
    <row r="378">
      <c r="A378">
        <f>'1 prepared data'!A371</f>
        <v/>
      </c>
      <c r="B378" s="5">
        <f>'1 prepared data'!U371</f>
        <v/>
      </c>
      <c r="C378">
        <f>'1 prepared data'!B371</f>
        <v/>
      </c>
      <c r="D378" s="7">
        <f>'1 prepared data'!C371</f>
        <v/>
      </c>
      <c r="E378" s="7">
        <f>'1 prepared data'!D371</f>
        <v/>
      </c>
      <c r="F378" s="7">
        <f>'1 prepared data'!E371</f>
        <v/>
      </c>
      <c r="G378" s="7">
        <f>'1 prepared data'!F371</f>
        <v/>
      </c>
      <c r="H378" s="7">
        <f>'1 prepared data'!G371</f>
        <v/>
      </c>
      <c r="I378" s="7">
        <f>'1 prepared data'!H371</f>
        <v/>
      </c>
      <c r="J378" s="7">
        <f>'1 prepared data'!I371</f>
        <v/>
      </c>
      <c r="K378" s="7">
        <f>'1 prepared data'!J371</f>
        <v/>
      </c>
      <c r="L378" s="7">
        <f>'1 prepared data'!K371</f>
        <v/>
      </c>
      <c r="M378" s="7">
        <f>'1 prepared data'!L371</f>
        <v/>
      </c>
      <c r="N378" s="7">
        <f>'1 prepared data'!M371</f>
        <v/>
      </c>
      <c r="O378" s="7">
        <f>'1 prepared data'!N371</f>
        <v/>
      </c>
      <c r="P378" s="7">
        <f>'1 prepared data'!O371</f>
        <v/>
      </c>
      <c r="Q378" s="7">
        <f>'1 prepared data'!P371</f>
        <v/>
      </c>
      <c r="R378" s="7">
        <f>'1 prepared data'!Q371</f>
        <v/>
      </c>
      <c r="S378" s="7">
        <f>'1 prepared data'!R371</f>
        <v/>
      </c>
      <c r="T378" s="7">
        <f>'1 prepared data'!S371</f>
        <v/>
      </c>
      <c r="U378" s="7">
        <f>'1 prepared data'!T371</f>
        <v/>
      </c>
      <c r="V378" s="8">
        <f>$AC$12+D378*$AC$13+E378*$AC$14+F378*$AC$15+G378*$AC$16+H378*$AC$17+I378*$AC$18+J378*$AC$19+K378*$AC$20+L378*$AC$21+M378*$AC$22+N378*$AC$23+O378*$AC$24+P378*$AC$25+Q378*$AC$26+R378*$AC$27+S378*$AC$28+T378*$AC$29+U378*$AC$30</f>
        <v/>
      </c>
      <c r="W378" s="8">
        <f>1/(1+EXP(-V378))</f>
        <v/>
      </c>
      <c r="X378" s="9">
        <f>-IF(C378=1,LN(W378),LN(1-W378))</f>
        <v/>
      </c>
      <c r="Y378" s="10">
        <f>IF(W378&gt;$AC$33,1,0)</f>
        <v/>
      </c>
      <c r="Z378">
        <f>IF(Y378=C378,1,0)</f>
        <v/>
      </c>
    </row>
    <row r="379">
      <c r="A379">
        <f>'1 prepared data'!A372</f>
        <v/>
      </c>
      <c r="B379" s="5">
        <f>'1 prepared data'!U372</f>
        <v/>
      </c>
      <c r="C379">
        <f>'1 prepared data'!B372</f>
        <v/>
      </c>
      <c r="D379" s="7">
        <f>'1 prepared data'!C372</f>
        <v/>
      </c>
      <c r="E379" s="7">
        <f>'1 prepared data'!D372</f>
        <v/>
      </c>
      <c r="F379" s="7">
        <f>'1 prepared data'!E372</f>
        <v/>
      </c>
      <c r="G379" s="7">
        <f>'1 prepared data'!F372</f>
        <v/>
      </c>
      <c r="H379" s="7">
        <f>'1 prepared data'!G372</f>
        <v/>
      </c>
      <c r="I379" s="7">
        <f>'1 prepared data'!H372</f>
        <v/>
      </c>
      <c r="J379" s="7">
        <f>'1 prepared data'!I372</f>
        <v/>
      </c>
      <c r="K379" s="7">
        <f>'1 prepared data'!J372</f>
        <v/>
      </c>
      <c r="L379" s="7">
        <f>'1 prepared data'!K372</f>
        <v/>
      </c>
      <c r="M379" s="7">
        <f>'1 prepared data'!L372</f>
        <v/>
      </c>
      <c r="N379" s="7">
        <f>'1 prepared data'!M372</f>
        <v/>
      </c>
      <c r="O379" s="7">
        <f>'1 prepared data'!N372</f>
        <v/>
      </c>
      <c r="P379" s="7">
        <f>'1 prepared data'!O372</f>
        <v/>
      </c>
      <c r="Q379" s="7">
        <f>'1 prepared data'!P372</f>
        <v/>
      </c>
      <c r="R379" s="7">
        <f>'1 prepared data'!Q372</f>
        <v/>
      </c>
      <c r="S379" s="7">
        <f>'1 prepared data'!R372</f>
        <v/>
      </c>
      <c r="T379" s="7">
        <f>'1 prepared data'!S372</f>
        <v/>
      </c>
      <c r="U379" s="7">
        <f>'1 prepared data'!T372</f>
        <v/>
      </c>
      <c r="V379" s="8">
        <f>$AC$12+D379*$AC$13+E379*$AC$14+F379*$AC$15+G379*$AC$16+H379*$AC$17+I379*$AC$18+J379*$AC$19+K379*$AC$20+L379*$AC$21+M379*$AC$22+N379*$AC$23+O379*$AC$24+P379*$AC$25+Q379*$AC$26+R379*$AC$27+S379*$AC$28+T379*$AC$29+U379*$AC$30</f>
        <v/>
      </c>
      <c r="W379" s="8">
        <f>1/(1+EXP(-V379))</f>
        <v/>
      </c>
      <c r="X379" s="9">
        <f>-IF(C379=1,LN(W379),LN(1-W379))</f>
        <v/>
      </c>
      <c r="Y379" s="10">
        <f>IF(W379&gt;$AC$33,1,0)</f>
        <v/>
      </c>
      <c r="Z379">
        <f>IF(Y379=C379,1,0)</f>
        <v/>
      </c>
    </row>
    <row r="380">
      <c r="A380">
        <f>'1 prepared data'!A373</f>
        <v/>
      </c>
      <c r="B380" s="5">
        <f>'1 prepared data'!U373</f>
        <v/>
      </c>
      <c r="C380">
        <f>'1 prepared data'!B373</f>
        <v/>
      </c>
      <c r="D380" s="7">
        <f>'1 prepared data'!C373</f>
        <v/>
      </c>
      <c r="E380" s="7">
        <f>'1 prepared data'!D373</f>
        <v/>
      </c>
      <c r="F380" s="7">
        <f>'1 prepared data'!E373</f>
        <v/>
      </c>
      <c r="G380" s="7">
        <f>'1 prepared data'!F373</f>
        <v/>
      </c>
      <c r="H380" s="7">
        <f>'1 prepared data'!G373</f>
        <v/>
      </c>
      <c r="I380" s="7">
        <f>'1 prepared data'!H373</f>
        <v/>
      </c>
      <c r="J380" s="7">
        <f>'1 prepared data'!I373</f>
        <v/>
      </c>
      <c r="K380" s="7">
        <f>'1 prepared data'!J373</f>
        <v/>
      </c>
      <c r="L380" s="7">
        <f>'1 prepared data'!K373</f>
        <v/>
      </c>
      <c r="M380" s="7">
        <f>'1 prepared data'!L373</f>
        <v/>
      </c>
      <c r="N380" s="7">
        <f>'1 prepared data'!M373</f>
        <v/>
      </c>
      <c r="O380" s="7">
        <f>'1 prepared data'!N373</f>
        <v/>
      </c>
      <c r="P380" s="7">
        <f>'1 prepared data'!O373</f>
        <v/>
      </c>
      <c r="Q380" s="7">
        <f>'1 prepared data'!P373</f>
        <v/>
      </c>
      <c r="R380" s="7">
        <f>'1 prepared data'!Q373</f>
        <v/>
      </c>
      <c r="S380" s="7">
        <f>'1 prepared data'!R373</f>
        <v/>
      </c>
      <c r="T380" s="7">
        <f>'1 prepared data'!S373</f>
        <v/>
      </c>
      <c r="U380" s="7">
        <f>'1 prepared data'!T373</f>
        <v/>
      </c>
      <c r="V380" s="8">
        <f>$AC$12+D380*$AC$13+E380*$AC$14+F380*$AC$15+G380*$AC$16+H380*$AC$17+I380*$AC$18+J380*$AC$19+K380*$AC$20+L380*$AC$21+M380*$AC$22+N380*$AC$23+O380*$AC$24+P380*$AC$25+Q380*$AC$26+R380*$AC$27+S380*$AC$28+T380*$AC$29+U380*$AC$30</f>
        <v/>
      </c>
      <c r="W380" s="8">
        <f>1/(1+EXP(-V380))</f>
        <v/>
      </c>
      <c r="X380" s="9">
        <f>-IF(C380=1,LN(W380),LN(1-W380))</f>
        <v/>
      </c>
      <c r="Y380" s="10">
        <f>IF(W380&gt;$AC$33,1,0)</f>
        <v/>
      </c>
      <c r="Z380">
        <f>IF(Y380=C380,1,0)</f>
        <v/>
      </c>
    </row>
    <row r="381">
      <c r="A381">
        <f>'1 prepared data'!A374</f>
        <v/>
      </c>
      <c r="B381" s="5">
        <f>'1 prepared data'!U374</f>
        <v/>
      </c>
      <c r="C381">
        <f>'1 prepared data'!B374</f>
        <v/>
      </c>
      <c r="D381" s="7">
        <f>'1 prepared data'!C374</f>
        <v/>
      </c>
      <c r="E381" s="7">
        <f>'1 prepared data'!D374</f>
        <v/>
      </c>
      <c r="F381" s="7">
        <f>'1 prepared data'!E374</f>
        <v/>
      </c>
      <c r="G381" s="7">
        <f>'1 prepared data'!F374</f>
        <v/>
      </c>
      <c r="H381" s="7">
        <f>'1 prepared data'!G374</f>
        <v/>
      </c>
      <c r="I381" s="7">
        <f>'1 prepared data'!H374</f>
        <v/>
      </c>
      <c r="J381" s="7">
        <f>'1 prepared data'!I374</f>
        <v/>
      </c>
      <c r="K381" s="7">
        <f>'1 prepared data'!J374</f>
        <v/>
      </c>
      <c r="L381" s="7">
        <f>'1 prepared data'!K374</f>
        <v/>
      </c>
      <c r="M381" s="7">
        <f>'1 prepared data'!L374</f>
        <v/>
      </c>
      <c r="N381" s="7">
        <f>'1 prepared data'!M374</f>
        <v/>
      </c>
      <c r="O381" s="7">
        <f>'1 prepared data'!N374</f>
        <v/>
      </c>
      <c r="P381" s="7">
        <f>'1 prepared data'!O374</f>
        <v/>
      </c>
      <c r="Q381" s="7">
        <f>'1 prepared data'!P374</f>
        <v/>
      </c>
      <c r="R381" s="7">
        <f>'1 prepared data'!Q374</f>
        <v/>
      </c>
      <c r="S381" s="7">
        <f>'1 prepared data'!R374</f>
        <v/>
      </c>
      <c r="T381" s="7">
        <f>'1 prepared data'!S374</f>
        <v/>
      </c>
      <c r="U381" s="7">
        <f>'1 prepared data'!T374</f>
        <v/>
      </c>
      <c r="V381" s="8">
        <f>$AC$12+D381*$AC$13+E381*$AC$14+F381*$AC$15+G381*$AC$16+H381*$AC$17+I381*$AC$18+J381*$AC$19+K381*$AC$20+L381*$AC$21+M381*$AC$22+N381*$AC$23+O381*$AC$24+P381*$AC$25+Q381*$AC$26+R381*$AC$27+S381*$AC$28+T381*$AC$29+U381*$AC$30</f>
        <v/>
      </c>
      <c r="W381" s="8">
        <f>1/(1+EXP(-V381))</f>
        <v/>
      </c>
      <c r="X381" s="9">
        <f>-IF(C381=1,LN(W381),LN(1-W381))</f>
        <v/>
      </c>
      <c r="Y381" s="10">
        <f>IF(W381&gt;$AC$33,1,0)</f>
        <v/>
      </c>
      <c r="Z381">
        <f>IF(Y381=C381,1,0)</f>
        <v/>
      </c>
    </row>
    <row r="382">
      <c r="A382">
        <f>'1 prepared data'!A375</f>
        <v/>
      </c>
      <c r="B382" s="5">
        <f>'1 prepared data'!U375</f>
        <v/>
      </c>
      <c r="C382">
        <f>'1 prepared data'!B375</f>
        <v/>
      </c>
      <c r="D382" s="7">
        <f>'1 prepared data'!C375</f>
        <v/>
      </c>
      <c r="E382" s="7">
        <f>'1 prepared data'!D375</f>
        <v/>
      </c>
      <c r="F382" s="7">
        <f>'1 prepared data'!E375</f>
        <v/>
      </c>
      <c r="G382" s="7">
        <f>'1 prepared data'!F375</f>
        <v/>
      </c>
      <c r="H382" s="7">
        <f>'1 prepared data'!G375</f>
        <v/>
      </c>
      <c r="I382" s="7">
        <f>'1 prepared data'!H375</f>
        <v/>
      </c>
      <c r="J382" s="7">
        <f>'1 prepared data'!I375</f>
        <v/>
      </c>
      <c r="K382" s="7">
        <f>'1 prepared data'!J375</f>
        <v/>
      </c>
      <c r="L382" s="7">
        <f>'1 prepared data'!K375</f>
        <v/>
      </c>
      <c r="M382" s="7">
        <f>'1 prepared data'!L375</f>
        <v/>
      </c>
      <c r="N382" s="7">
        <f>'1 prepared data'!M375</f>
        <v/>
      </c>
      <c r="O382" s="7">
        <f>'1 prepared data'!N375</f>
        <v/>
      </c>
      <c r="P382" s="7">
        <f>'1 prepared data'!O375</f>
        <v/>
      </c>
      <c r="Q382" s="7">
        <f>'1 prepared data'!P375</f>
        <v/>
      </c>
      <c r="R382" s="7">
        <f>'1 prepared data'!Q375</f>
        <v/>
      </c>
      <c r="S382" s="7">
        <f>'1 prepared data'!R375</f>
        <v/>
      </c>
      <c r="T382" s="7">
        <f>'1 prepared data'!S375</f>
        <v/>
      </c>
      <c r="U382" s="7">
        <f>'1 prepared data'!T375</f>
        <v/>
      </c>
      <c r="V382" s="8">
        <f>$AC$12+D382*$AC$13+E382*$AC$14+F382*$AC$15+G382*$AC$16+H382*$AC$17+I382*$AC$18+J382*$AC$19+K382*$AC$20+L382*$AC$21+M382*$AC$22+N382*$AC$23+O382*$AC$24+P382*$AC$25+Q382*$AC$26+R382*$AC$27+S382*$AC$28+T382*$AC$29+U382*$AC$30</f>
        <v/>
      </c>
      <c r="W382" s="8">
        <f>1/(1+EXP(-V382))</f>
        <v/>
      </c>
      <c r="X382" s="9">
        <f>-IF(C382=1,LN(W382),LN(1-W382))</f>
        <v/>
      </c>
      <c r="Y382" s="10">
        <f>IF(W382&gt;$AC$33,1,0)</f>
        <v/>
      </c>
      <c r="Z382">
        <f>IF(Y382=C382,1,0)</f>
        <v/>
      </c>
    </row>
    <row r="383">
      <c r="A383">
        <f>'1 prepared data'!A376</f>
        <v/>
      </c>
      <c r="B383" s="5">
        <f>'1 prepared data'!U376</f>
        <v/>
      </c>
      <c r="C383">
        <f>'1 prepared data'!B376</f>
        <v/>
      </c>
      <c r="D383" s="7">
        <f>'1 prepared data'!C376</f>
        <v/>
      </c>
      <c r="E383" s="7">
        <f>'1 prepared data'!D376</f>
        <v/>
      </c>
      <c r="F383" s="7">
        <f>'1 prepared data'!E376</f>
        <v/>
      </c>
      <c r="G383" s="7">
        <f>'1 prepared data'!F376</f>
        <v/>
      </c>
      <c r="H383" s="7">
        <f>'1 prepared data'!G376</f>
        <v/>
      </c>
      <c r="I383" s="7">
        <f>'1 prepared data'!H376</f>
        <v/>
      </c>
      <c r="J383" s="7">
        <f>'1 prepared data'!I376</f>
        <v/>
      </c>
      <c r="K383" s="7">
        <f>'1 prepared data'!J376</f>
        <v/>
      </c>
      <c r="L383" s="7">
        <f>'1 prepared data'!K376</f>
        <v/>
      </c>
      <c r="M383" s="7">
        <f>'1 prepared data'!L376</f>
        <v/>
      </c>
      <c r="N383" s="7">
        <f>'1 prepared data'!M376</f>
        <v/>
      </c>
      <c r="O383" s="7">
        <f>'1 prepared data'!N376</f>
        <v/>
      </c>
      <c r="P383" s="7">
        <f>'1 prepared data'!O376</f>
        <v/>
      </c>
      <c r="Q383" s="7">
        <f>'1 prepared data'!P376</f>
        <v/>
      </c>
      <c r="R383" s="7">
        <f>'1 prepared data'!Q376</f>
        <v/>
      </c>
      <c r="S383" s="7">
        <f>'1 prepared data'!R376</f>
        <v/>
      </c>
      <c r="T383" s="7">
        <f>'1 prepared data'!S376</f>
        <v/>
      </c>
      <c r="U383" s="7">
        <f>'1 prepared data'!T376</f>
        <v/>
      </c>
      <c r="V383" s="8">
        <f>$AC$12+D383*$AC$13+E383*$AC$14+F383*$AC$15+G383*$AC$16+H383*$AC$17+I383*$AC$18+J383*$AC$19+K383*$AC$20+L383*$AC$21+M383*$AC$22+N383*$AC$23+O383*$AC$24+P383*$AC$25+Q383*$AC$26+R383*$AC$27+S383*$AC$28+T383*$AC$29+U383*$AC$30</f>
        <v/>
      </c>
      <c r="W383" s="8">
        <f>1/(1+EXP(-V383))</f>
        <v/>
      </c>
      <c r="X383" s="9">
        <f>-IF(C383=1,LN(W383),LN(1-W383))</f>
        <v/>
      </c>
      <c r="Y383" s="10">
        <f>IF(W383&gt;$AC$33,1,0)</f>
        <v/>
      </c>
      <c r="Z383">
        <f>IF(Y383=C383,1,0)</f>
        <v/>
      </c>
    </row>
    <row r="384">
      <c r="A384">
        <f>'1 prepared data'!A377</f>
        <v/>
      </c>
      <c r="B384" s="5">
        <f>'1 prepared data'!U377</f>
        <v/>
      </c>
      <c r="C384">
        <f>'1 prepared data'!B377</f>
        <v/>
      </c>
      <c r="D384" s="7">
        <f>'1 prepared data'!C377</f>
        <v/>
      </c>
      <c r="E384" s="7">
        <f>'1 prepared data'!D377</f>
        <v/>
      </c>
      <c r="F384" s="7">
        <f>'1 prepared data'!E377</f>
        <v/>
      </c>
      <c r="G384" s="7">
        <f>'1 prepared data'!F377</f>
        <v/>
      </c>
      <c r="H384" s="7">
        <f>'1 prepared data'!G377</f>
        <v/>
      </c>
      <c r="I384" s="7">
        <f>'1 prepared data'!H377</f>
        <v/>
      </c>
      <c r="J384" s="7">
        <f>'1 prepared data'!I377</f>
        <v/>
      </c>
      <c r="K384" s="7">
        <f>'1 prepared data'!J377</f>
        <v/>
      </c>
      <c r="L384" s="7">
        <f>'1 prepared data'!K377</f>
        <v/>
      </c>
      <c r="M384" s="7">
        <f>'1 prepared data'!L377</f>
        <v/>
      </c>
      <c r="N384" s="7">
        <f>'1 prepared data'!M377</f>
        <v/>
      </c>
      <c r="O384" s="7">
        <f>'1 prepared data'!N377</f>
        <v/>
      </c>
      <c r="P384" s="7">
        <f>'1 prepared data'!O377</f>
        <v/>
      </c>
      <c r="Q384" s="7">
        <f>'1 prepared data'!P377</f>
        <v/>
      </c>
      <c r="R384" s="7">
        <f>'1 prepared data'!Q377</f>
        <v/>
      </c>
      <c r="S384" s="7">
        <f>'1 prepared data'!R377</f>
        <v/>
      </c>
      <c r="T384" s="7">
        <f>'1 prepared data'!S377</f>
        <v/>
      </c>
      <c r="U384" s="7">
        <f>'1 prepared data'!T377</f>
        <v/>
      </c>
      <c r="V384" s="8">
        <f>$AC$12+D384*$AC$13+E384*$AC$14+F384*$AC$15+G384*$AC$16+H384*$AC$17+I384*$AC$18+J384*$AC$19+K384*$AC$20+L384*$AC$21+M384*$AC$22+N384*$AC$23+O384*$AC$24+P384*$AC$25+Q384*$AC$26+R384*$AC$27+S384*$AC$28+T384*$AC$29+U384*$AC$30</f>
        <v/>
      </c>
      <c r="W384" s="8">
        <f>1/(1+EXP(-V384))</f>
        <v/>
      </c>
      <c r="X384" s="9">
        <f>-IF(C384=1,LN(W384),LN(1-W384))</f>
        <v/>
      </c>
      <c r="Y384" s="10">
        <f>IF(W384&gt;$AC$33,1,0)</f>
        <v/>
      </c>
      <c r="Z384">
        <f>IF(Y384=C384,1,0)</f>
        <v/>
      </c>
    </row>
    <row r="385">
      <c r="A385">
        <f>'1 prepared data'!A378</f>
        <v/>
      </c>
      <c r="B385" s="5">
        <f>'1 prepared data'!U378</f>
        <v/>
      </c>
      <c r="C385">
        <f>'1 prepared data'!B378</f>
        <v/>
      </c>
      <c r="D385" s="7">
        <f>'1 prepared data'!C378</f>
        <v/>
      </c>
      <c r="E385" s="7">
        <f>'1 prepared data'!D378</f>
        <v/>
      </c>
      <c r="F385" s="7">
        <f>'1 prepared data'!E378</f>
        <v/>
      </c>
      <c r="G385" s="7">
        <f>'1 prepared data'!F378</f>
        <v/>
      </c>
      <c r="H385" s="7">
        <f>'1 prepared data'!G378</f>
        <v/>
      </c>
      <c r="I385" s="7">
        <f>'1 prepared data'!H378</f>
        <v/>
      </c>
      <c r="J385" s="7">
        <f>'1 prepared data'!I378</f>
        <v/>
      </c>
      <c r="K385" s="7">
        <f>'1 prepared data'!J378</f>
        <v/>
      </c>
      <c r="L385" s="7">
        <f>'1 prepared data'!K378</f>
        <v/>
      </c>
      <c r="M385" s="7">
        <f>'1 prepared data'!L378</f>
        <v/>
      </c>
      <c r="N385" s="7">
        <f>'1 prepared data'!M378</f>
        <v/>
      </c>
      <c r="O385" s="7">
        <f>'1 prepared data'!N378</f>
        <v/>
      </c>
      <c r="P385" s="7">
        <f>'1 prepared data'!O378</f>
        <v/>
      </c>
      <c r="Q385" s="7">
        <f>'1 prepared data'!P378</f>
        <v/>
      </c>
      <c r="R385" s="7">
        <f>'1 prepared data'!Q378</f>
        <v/>
      </c>
      <c r="S385" s="7">
        <f>'1 prepared data'!R378</f>
        <v/>
      </c>
      <c r="T385" s="7">
        <f>'1 prepared data'!S378</f>
        <v/>
      </c>
      <c r="U385" s="7">
        <f>'1 prepared data'!T378</f>
        <v/>
      </c>
      <c r="V385" s="8">
        <f>$AC$12+D385*$AC$13+E385*$AC$14+F385*$AC$15+G385*$AC$16+H385*$AC$17+I385*$AC$18+J385*$AC$19+K385*$AC$20+L385*$AC$21+M385*$AC$22+N385*$AC$23+O385*$AC$24+P385*$AC$25+Q385*$AC$26+R385*$AC$27+S385*$AC$28+T385*$AC$29+U385*$AC$30</f>
        <v/>
      </c>
      <c r="W385" s="8">
        <f>1/(1+EXP(-V385))</f>
        <v/>
      </c>
      <c r="X385" s="9">
        <f>-IF(C385=1,LN(W385),LN(1-W385))</f>
        <v/>
      </c>
      <c r="Y385" s="10">
        <f>IF(W385&gt;$AC$33,1,0)</f>
        <v/>
      </c>
      <c r="Z385">
        <f>IF(Y385=C385,1,0)</f>
        <v/>
      </c>
    </row>
    <row r="386">
      <c r="A386">
        <f>'1 prepared data'!A379</f>
        <v/>
      </c>
      <c r="B386" s="5">
        <f>'1 prepared data'!U379</f>
        <v/>
      </c>
      <c r="C386">
        <f>'1 prepared data'!B379</f>
        <v/>
      </c>
      <c r="D386" s="7">
        <f>'1 prepared data'!C379</f>
        <v/>
      </c>
      <c r="E386" s="7">
        <f>'1 prepared data'!D379</f>
        <v/>
      </c>
      <c r="F386" s="7">
        <f>'1 prepared data'!E379</f>
        <v/>
      </c>
      <c r="G386" s="7">
        <f>'1 prepared data'!F379</f>
        <v/>
      </c>
      <c r="H386" s="7">
        <f>'1 prepared data'!G379</f>
        <v/>
      </c>
      <c r="I386" s="7">
        <f>'1 prepared data'!H379</f>
        <v/>
      </c>
      <c r="J386" s="7">
        <f>'1 prepared data'!I379</f>
        <v/>
      </c>
      <c r="K386" s="7">
        <f>'1 prepared data'!J379</f>
        <v/>
      </c>
      <c r="L386" s="7">
        <f>'1 prepared data'!K379</f>
        <v/>
      </c>
      <c r="M386" s="7">
        <f>'1 prepared data'!L379</f>
        <v/>
      </c>
      <c r="N386" s="7">
        <f>'1 prepared data'!M379</f>
        <v/>
      </c>
      <c r="O386" s="7">
        <f>'1 prepared data'!N379</f>
        <v/>
      </c>
      <c r="P386" s="7">
        <f>'1 prepared data'!O379</f>
        <v/>
      </c>
      <c r="Q386" s="7">
        <f>'1 prepared data'!P379</f>
        <v/>
      </c>
      <c r="R386" s="7">
        <f>'1 prepared data'!Q379</f>
        <v/>
      </c>
      <c r="S386" s="7">
        <f>'1 prepared data'!R379</f>
        <v/>
      </c>
      <c r="T386" s="7">
        <f>'1 prepared data'!S379</f>
        <v/>
      </c>
      <c r="U386" s="7">
        <f>'1 prepared data'!T379</f>
        <v/>
      </c>
      <c r="V386" s="8">
        <f>$AC$12+D386*$AC$13+E386*$AC$14+F386*$AC$15+G386*$AC$16+H386*$AC$17+I386*$AC$18+J386*$AC$19+K386*$AC$20+L386*$AC$21+M386*$AC$22+N386*$AC$23+O386*$AC$24+P386*$AC$25+Q386*$AC$26+R386*$AC$27+S386*$AC$28+T386*$AC$29+U386*$AC$30</f>
        <v/>
      </c>
      <c r="W386" s="8">
        <f>1/(1+EXP(-V386))</f>
        <v/>
      </c>
      <c r="X386" s="9">
        <f>-IF(C386=1,LN(W386),LN(1-W386))</f>
        <v/>
      </c>
      <c r="Y386" s="10">
        <f>IF(W386&gt;$AC$33,1,0)</f>
        <v/>
      </c>
      <c r="Z386">
        <f>IF(Y386=C386,1,0)</f>
        <v/>
      </c>
    </row>
    <row r="387">
      <c r="A387">
        <f>'1 prepared data'!A380</f>
        <v/>
      </c>
      <c r="B387" s="5">
        <f>'1 prepared data'!U380</f>
        <v/>
      </c>
      <c r="C387">
        <f>'1 prepared data'!B380</f>
        <v/>
      </c>
      <c r="D387" s="7">
        <f>'1 prepared data'!C380</f>
        <v/>
      </c>
      <c r="E387" s="7">
        <f>'1 prepared data'!D380</f>
        <v/>
      </c>
      <c r="F387" s="7">
        <f>'1 prepared data'!E380</f>
        <v/>
      </c>
      <c r="G387" s="7">
        <f>'1 prepared data'!F380</f>
        <v/>
      </c>
      <c r="H387" s="7">
        <f>'1 prepared data'!G380</f>
        <v/>
      </c>
      <c r="I387" s="7">
        <f>'1 prepared data'!H380</f>
        <v/>
      </c>
      <c r="J387" s="7">
        <f>'1 prepared data'!I380</f>
        <v/>
      </c>
      <c r="K387" s="7">
        <f>'1 prepared data'!J380</f>
        <v/>
      </c>
      <c r="L387" s="7">
        <f>'1 prepared data'!K380</f>
        <v/>
      </c>
      <c r="M387" s="7">
        <f>'1 prepared data'!L380</f>
        <v/>
      </c>
      <c r="N387" s="7">
        <f>'1 prepared data'!M380</f>
        <v/>
      </c>
      <c r="O387" s="7">
        <f>'1 prepared data'!N380</f>
        <v/>
      </c>
      <c r="P387" s="7">
        <f>'1 prepared data'!O380</f>
        <v/>
      </c>
      <c r="Q387" s="7">
        <f>'1 prepared data'!P380</f>
        <v/>
      </c>
      <c r="R387" s="7">
        <f>'1 prepared data'!Q380</f>
        <v/>
      </c>
      <c r="S387" s="7">
        <f>'1 prepared data'!R380</f>
        <v/>
      </c>
      <c r="T387" s="7">
        <f>'1 prepared data'!S380</f>
        <v/>
      </c>
      <c r="U387" s="7">
        <f>'1 prepared data'!T380</f>
        <v/>
      </c>
      <c r="V387" s="8">
        <f>$AC$12+D387*$AC$13+E387*$AC$14+F387*$AC$15+G387*$AC$16+H387*$AC$17+I387*$AC$18+J387*$AC$19+K387*$AC$20+L387*$AC$21+M387*$AC$22+N387*$AC$23+O387*$AC$24+P387*$AC$25+Q387*$AC$26+R387*$AC$27+S387*$AC$28+T387*$AC$29+U387*$AC$30</f>
        <v/>
      </c>
      <c r="W387" s="8">
        <f>1/(1+EXP(-V387))</f>
        <v/>
      </c>
      <c r="X387" s="9">
        <f>-IF(C387=1,LN(W387),LN(1-W387))</f>
        <v/>
      </c>
      <c r="Y387" s="10">
        <f>IF(W387&gt;$AC$33,1,0)</f>
        <v/>
      </c>
      <c r="Z387">
        <f>IF(Y387=C387,1,0)</f>
        <v/>
      </c>
    </row>
    <row r="388">
      <c r="A388">
        <f>'1 prepared data'!A381</f>
        <v/>
      </c>
      <c r="B388" s="5">
        <f>'1 prepared data'!U381</f>
        <v/>
      </c>
      <c r="C388">
        <f>'1 prepared data'!B381</f>
        <v/>
      </c>
      <c r="D388" s="7">
        <f>'1 prepared data'!C381</f>
        <v/>
      </c>
      <c r="E388" s="7">
        <f>'1 prepared data'!D381</f>
        <v/>
      </c>
      <c r="F388" s="7">
        <f>'1 prepared data'!E381</f>
        <v/>
      </c>
      <c r="G388" s="7">
        <f>'1 prepared data'!F381</f>
        <v/>
      </c>
      <c r="H388" s="7">
        <f>'1 prepared data'!G381</f>
        <v/>
      </c>
      <c r="I388" s="7">
        <f>'1 prepared data'!H381</f>
        <v/>
      </c>
      <c r="J388" s="7">
        <f>'1 prepared data'!I381</f>
        <v/>
      </c>
      <c r="K388" s="7">
        <f>'1 prepared data'!J381</f>
        <v/>
      </c>
      <c r="L388" s="7">
        <f>'1 prepared data'!K381</f>
        <v/>
      </c>
      <c r="M388" s="7">
        <f>'1 prepared data'!L381</f>
        <v/>
      </c>
      <c r="N388" s="7">
        <f>'1 prepared data'!M381</f>
        <v/>
      </c>
      <c r="O388" s="7">
        <f>'1 prepared data'!N381</f>
        <v/>
      </c>
      <c r="P388" s="7">
        <f>'1 prepared data'!O381</f>
        <v/>
      </c>
      <c r="Q388" s="7">
        <f>'1 prepared data'!P381</f>
        <v/>
      </c>
      <c r="R388" s="7">
        <f>'1 prepared data'!Q381</f>
        <v/>
      </c>
      <c r="S388" s="7">
        <f>'1 prepared data'!R381</f>
        <v/>
      </c>
      <c r="T388" s="7">
        <f>'1 prepared data'!S381</f>
        <v/>
      </c>
      <c r="U388" s="7">
        <f>'1 prepared data'!T381</f>
        <v/>
      </c>
      <c r="V388" s="8">
        <f>$AC$12+D388*$AC$13+E388*$AC$14+F388*$AC$15+G388*$AC$16+H388*$AC$17+I388*$AC$18+J388*$AC$19+K388*$AC$20+L388*$AC$21+M388*$AC$22+N388*$AC$23+O388*$AC$24+P388*$AC$25+Q388*$AC$26+R388*$AC$27+S388*$AC$28+T388*$AC$29+U388*$AC$30</f>
        <v/>
      </c>
      <c r="W388" s="8">
        <f>1/(1+EXP(-V388))</f>
        <v/>
      </c>
      <c r="X388" s="9">
        <f>-IF(C388=1,LN(W388),LN(1-W388))</f>
        <v/>
      </c>
      <c r="Y388" s="10">
        <f>IF(W388&gt;$AC$33,1,0)</f>
        <v/>
      </c>
      <c r="Z388">
        <f>IF(Y388=C388,1,0)</f>
        <v/>
      </c>
    </row>
    <row r="389">
      <c r="A389">
        <f>'1 prepared data'!A382</f>
        <v/>
      </c>
      <c r="B389" s="5">
        <f>'1 prepared data'!U382</f>
        <v/>
      </c>
      <c r="C389">
        <f>'1 prepared data'!B382</f>
        <v/>
      </c>
      <c r="D389" s="7">
        <f>'1 prepared data'!C382</f>
        <v/>
      </c>
      <c r="E389" s="7">
        <f>'1 prepared data'!D382</f>
        <v/>
      </c>
      <c r="F389" s="7">
        <f>'1 prepared data'!E382</f>
        <v/>
      </c>
      <c r="G389" s="7">
        <f>'1 prepared data'!F382</f>
        <v/>
      </c>
      <c r="H389" s="7">
        <f>'1 prepared data'!G382</f>
        <v/>
      </c>
      <c r="I389" s="7">
        <f>'1 prepared data'!H382</f>
        <v/>
      </c>
      <c r="J389" s="7">
        <f>'1 prepared data'!I382</f>
        <v/>
      </c>
      <c r="K389" s="7">
        <f>'1 prepared data'!J382</f>
        <v/>
      </c>
      <c r="L389" s="7">
        <f>'1 prepared data'!K382</f>
        <v/>
      </c>
      <c r="M389" s="7">
        <f>'1 prepared data'!L382</f>
        <v/>
      </c>
      <c r="N389" s="7">
        <f>'1 prepared data'!M382</f>
        <v/>
      </c>
      <c r="O389" s="7">
        <f>'1 prepared data'!N382</f>
        <v/>
      </c>
      <c r="P389" s="7">
        <f>'1 prepared data'!O382</f>
        <v/>
      </c>
      <c r="Q389" s="7">
        <f>'1 prepared data'!P382</f>
        <v/>
      </c>
      <c r="R389" s="7">
        <f>'1 prepared data'!Q382</f>
        <v/>
      </c>
      <c r="S389" s="7">
        <f>'1 prepared data'!R382</f>
        <v/>
      </c>
      <c r="T389" s="7">
        <f>'1 prepared data'!S382</f>
        <v/>
      </c>
      <c r="U389" s="7">
        <f>'1 prepared data'!T382</f>
        <v/>
      </c>
      <c r="V389" s="8">
        <f>$AC$12+D389*$AC$13+E389*$AC$14+F389*$AC$15+G389*$AC$16+H389*$AC$17+I389*$AC$18+J389*$AC$19+K389*$AC$20+L389*$AC$21+M389*$AC$22+N389*$AC$23+O389*$AC$24+P389*$AC$25+Q389*$AC$26+R389*$AC$27+S389*$AC$28+T389*$AC$29+U389*$AC$30</f>
        <v/>
      </c>
      <c r="W389" s="8">
        <f>1/(1+EXP(-V389))</f>
        <v/>
      </c>
      <c r="X389" s="9">
        <f>-IF(C389=1,LN(W389),LN(1-W389))</f>
        <v/>
      </c>
      <c r="Y389" s="10">
        <f>IF(W389&gt;$AC$33,1,0)</f>
        <v/>
      </c>
      <c r="Z389">
        <f>IF(Y389=C389,1,0)</f>
        <v/>
      </c>
    </row>
    <row r="390">
      <c r="A390">
        <f>'1 prepared data'!A383</f>
        <v/>
      </c>
      <c r="B390" s="5">
        <f>'1 prepared data'!U383</f>
        <v/>
      </c>
      <c r="C390">
        <f>'1 prepared data'!B383</f>
        <v/>
      </c>
      <c r="D390" s="7">
        <f>'1 prepared data'!C383</f>
        <v/>
      </c>
      <c r="E390" s="7">
        <f>'1 prepared data'!D383</f>
        <v/>
      </c>
      <c r="F390" s="7">
        <f>'1 prepared data'!E383</f>
        <v/>
      </c>
      <c r="G390" s="7">
        <f>'1 prepared data'!F383</f>
        <v/>
      </c>
      <c r="H390" s="7">
        <f>'1 prepared data'!G383</f>
        <v/>
      </c>
      <c r="I390" s="7">
        <f>'1 prepared data'!H383</f>
        <v/>
      </c>
      <c r="J390" s="7">
        <f>'1 prepared data'!I383</f>
        <v/>
      </c>
      <c r="K390" s="7">
        <f>'1 prepared data'!J383</f>
        <v/>
      </c>
      <c r="L390" s="7">
        <f>'1 prepared data'!K383</f>
        <v/>
      </c>
      <c r="M390" s="7">
        <f>'1 prepared data'!L383</f>
        <v/>
      </c>
      <c r="N390" s="7">
        <f>'1 prepared data'!M383</f>
        <v/>
      </c>
      <c r="O390" s="7">
        <f>'1 prepared data'!N383</f>
        <v/>
      </c>
      <c r="P390" s="7">
        <f>'1 prepared data'!O383</f>
        <v/>
      </c>
      <c r="Q390" s="7">
        <f>'1 prepared data'!P383</f>
        <v/>
      </c>
      <c r="R390" s="7">
        <f>'1 prepared data'!Q383</f>
        <v/>
      </c>
      <c r="S390" s="7">
        <f>'1 prepared data'!R383</f>
        <v/>
      </c>
      <c r="T390" s="7">
        <f>'1 prepared data'!S383</f>
        <v/>
      </c>
      <c r="U390" s="7">
        <f>'1 prepared data'!T383</f>
        <v/>
      </c>
      <c r="V390" s="8">
        <f>$AC$12+D390*$AC$13+E390*$AC$14+F390*$AC$15+G390*$AC$16+H390*$AC$17+I390*$AC$18+J390*$AC$19+K390*$AC$20+L390*$AC$21+M390*$AC$22+N390*$AC$23+O390*$AC$24+P390*$AC$25+Q390*$AC$26+R390*$AC$27+S390*$AC$28+T390*$AC$29+U390*$AC$30</f>
        <v/>
      </c>
      <c r="W390" s="8">
        <f>1/(1+EXP(-V390))</f>
        <v/>
      </c>
      <c r="X390" s="9">
        <f>-IF(C390=1,LN(W390),LN(1-W390))</f>
        <v/>
      </c>
      <c r="Y390" s="10">
        <f>IF(W390&gt;$AC$33,1,0)</f>
        <v/>
      </c>
      <c r="Z390">
        <f>IF(Y390=C390,1,0)</f>
        <v/>
      </c>
    </row>
    <row r="391">
      <c r="A391">
        <f>'1 prepared data'!A384</f>
        <v/>
      </c>
      <c r="B391" s="5">
        <f>'1 prepared data'!U384</f>
        <v/>
      </c>
      <c r="C391">
        <f>'1 prepared data'!B384</f>
        <v/>
      </c>
      <c r="D391" s="7">
        <f>'1 prepared data'!C384</f>
        <v/>
      </c>
      <c r="E391" s="7">
        <f>'1 prepared data'!D384</f>
        <v/>
      </c>
      <c r="F391" s="7">
        <f>'1 prepared data'!E384</f>
        <v/>
      </c>
      <c r="G391" s="7">
        <f>'1 prepared data'!F384</f>
        <v/>
      </c>
      <c r="H391" s="7">
        <f>'1 prepared data'!G384</f>
        <v/>
      </c>
      <c r="I391" s="7">
        <f>'1 prepared data'!H384</f>
        <v/>
      </c>
      <c r="J391" s="7">
        <f>'1 prepared data'!I384</f>
        <v/>
      </c>
      <c r="K391" s="7">
        <f>'1 prepared data'!J384</f>
        <v/>
      </c>
      <c r="L391" s="7">
        <f>'1 prepared data'!K384</f>
        <v/>
      </c>
      <c r="M391" s="7">
        <f>'1 prepared data'!L384</f>
        <v/>
      </c>
      <c r="N391" s="7">
        <f>'1 prepared data'!M384</f>
        <v/>
      </c>
      <c r="O391" s="7">
        <f>'1 prepared data'!N384</f>
        <v/>
      </c>
      <c r="P391" s="7">
        <f>'1 prepared data'!O384</f>
        <v/>
      </c>
      <c r="Q391" s="7">
        <f>'1 prepared data'!P384</f>
        <v/>
      </c>
      <c r="R391" s="7">
        <f>'1 prepared data'!Q384</f>
        <v/>
      </c>
      <c r="S391" s="7">
        <f>'1 prepared data'!R384</f>
        <v/>
      </c>
      <c r="T391" s="7">
        <f>'1 prepared data'!S384</f>
        <v/>
      </c>
      <c r="U391" s="7">
        <f>'1 prepared data'!T384</f>
        <v/>
      </c>
      <c r="V391" s="8">
        <f>$AC$12+D391*$AC$13+E391*$AC$14+F391*$AC$15+G391*$AC$16+H391*$AC$17+I391*$AC$18+J391*$AC$19+K391*$AC$20+L391*$AC$21+M391*$AC$22+N391*$AC$23+O391*$AC$24+P391*$AC$25+Q391*$AC$26+R391*$AC$27+S391*$AC$28+T391*$AC$29+U391*$AC$30</f>
        <v/>
      </c>
      <c r="W391" s="8">
        <f>1/(1+EXP(-V391))</f>
        <v/>
      </c>
      <c r="X391" s="9">
        <f>-IF(C391=1,LN(W391),LN(1-W391))</f>
        <v/>
      </c>
      <c r="Y391" s="10">
        <f>IF(W391&gt;$AC$33,1,0)</f>
        <v/>
      </c>
      <c r="Z391">
        <f>IF(Y391=C391,1,0)</f>
        <v/>
      </c>
    </row>
    <row r="392">
      <c r="A392">
        <f>'1 prepared data'!A385</f>
        <v/>
      </c>
      <c r="B392" s="5">
        <f>'1 prepared data'!U385</f>
        <v/>
      </c>
      <c r="C392">
        <f>'1 prepared data'!B385</f>
        <v/>
      </c>
      <c r="D392" s="7">
        <f>'1 prepared data'!C385</f>
        <v/>
      </c>
      <c r="E392" s="7">
        <f>'1 prepared data'!D385</f>
        <v/>
      </c>
      <c r="F392" s="7">
        <f>'1 prepared data'!E385</f>
        <v/>
      </c>
      <c r="G392" s="7">
        <f>'1 prepared data'!F385</f>
        <v/>
      </c>
      <c r="H392" s="7">
        <f>'1 prepared data'!G385</f>
        <v/>
      </c>
      <c r="I392" s="7">
        <f>'1 prepared data'!H385</f>
        <v/>
      </c>
      <c r="J392" s="7">
        <f>'1 prepared data'!I385</f>
        <v/>
      </c>
      <c r="K392" s="7">
        <f>'1 prepared data'!J385</f>
        <v/>
      </c>
      <c r="L392" s="7">
        <f>'1 prepared data'!K385</f>
        <v/>
      </c>
      <c r="M392" s="7">
        <f>'1 prepared data'!L385</f>
        <v/>
      </c>
      <c r="N392" s="7">
        <f>'1 prepared data'!M385</f>
        <v/>
      </c>
      <c r="O392" s="7">
        <f>'1 prepared data'!N385</f>
        <v/>
      </c>
      <c r="P392" s="7">
        <f>'1 prepared data'!O385</f>
        <v/>
      </c>
      <c r="Q392" s="7">
        <f>'1 prepared data'!P385</f>
        <v/>
      </c>
      <c r="R392" s="7">
        <f>'1 prepared data'!Q385</f>
        <v/>
      </c>
      <c r="S392" s="7">
        <f>'1 prepared data'!R385</f>
        <v/>
      </c>
      <c r="T392" s="7">
        <f>'1 prepared data'!S385</f>
        <v/>
      </c>
      <c r="U392" s="7">
        <f>'1 prepared data'!T385</f>
        <v/>
      </c>
      <c r="V392" s="8">
        <f>$AC$12+D392*$AC$13+E392*$AC$14+F392*$AC$15+G392*$AC$16+H392*$AC$17+I392*$AC$18+J392*$AC$19+K392*$AC$20+L392*$AC$21+M392*$AC$22+N392*$AC$23+O392*$AC$24+P392*$AC$25+Q392*$AC$26+R392*$AC$27+S392*$AC$28+T392*$AC$29+U392*$AC$30</f>
        <v/>
      </c>
      <c r="W392" s="8">
        <f>1/(1+EXP(-V392))</f>
        <v/>
      </c>
      <c r="X392" s="9">
        <f>-IF(C392=1,LN(W392),LN(1-W392))</f>
        <v/>
      </c>
      <c r="Y392" s="10">
        <f>IF(W392&gt;$AC$33,1,0)</f>
        <v/>
      </c>
      <c r="Z392">
        <f>IF(Y392=C392,1,0)</f>
        <v/>
      </c>
    </row>
    <row r="393">
      <c r="A393">
        <f>'1 prepared data'!A386</f>
        <v/>
      </c>
      <c r="B393" s="5">
        <f>'1 prepared data'!U386</f>
        <v/>
      </c>
      <c r="C393">
        <f>'1 prepared data'!B386</f>
        <v/>
      </c>
      <c r="D393" s="7">
        <f>'1 prepared data'!C386</f>
        <v/>
      </c>
      <c r="E393" s="7">
        <f>'1 prepared data'!D386</f>
        <v/>
      </c>
      <c r="F393" s="7">
        <f>'1 prepared data'!E386</f>
        <v/>
      </c>
      <c r="G393" s="7">
        <f>'1 prepared data'!F386</f>
        <v/>
      </c>
      <c r="H393" s="7">
        <f>'1 prepared data'!G386</f>
        <v/>
      </c>
      <c r="I393" s="7">
        <f>'1 prepared data'!H386</f>
        <v/>
      </c>
      <c r="J393" s="7">
        <f>'1 prepared data'!I386</f>
        <v/>
      </c>
      <c r="K393" s="7">
        <f>'1 prepared data'!J386</f>
        <v/>
      </c>
      <c r="L393" s="7">
        <f>'1 prepared data'!K386</f>
        <v/>
      </c>
      <c r="M393" s="7">
        <f>'1 prepared data'!L386</f>
        <v/>
      </c>
      <c r="N393" s="7">
        <f>'1 prepared data'!M386</f>
        <v/>
      </c>
      <c r="O393" s="7">
        <f>'1 prepared data'!N386</f>
        <v/>
      </c>
      <c r="P393" s="7">
        <f>'1 prepared data'!O386</f>
        <v/>
      </c>
      <c r="Q393" s="7">
        <f>'1 prepared data'!P386</f>
        <v/>
      </c>
      <c r="R393" s="7">
        <f>'1 prepared data'!Q386</f>
        <v/>
      </c>
      <c r="S393" s="7">
        <f>'1 prepared data'!R386</f>
        <v/>
      </c>
      <c r="T393" s="7">
        <f>'1 prepared data'!S386</f>
        <v/>
      </c>
      <c r="U393" s="7">
        <f>'1 prepared data'!T386</f>
        <v/>
      </c>
      <c r="V393" s="8">
        <f>$AC$12+D393*$AC$13+E393*$AC$14+F393*$AC$15+G393*$AC$16+H393*$AC$17+I393*$AC$18+J393*$AC$19+K393*$AC$20+L393*$AC$21+M393*$AC$22+N393*$AC$23+O393*$AC$24+P393*$AC$25+Q393*$AC$26+R393*$AC$27+S393*$AC$28+T393*$AC$29+U393*$AC$30</f>
        <v/>
      </c>
      <c r="W393" s="8">
        <f>1/(1+EXP(-V393))</f>
        <v/>
      </c>
      <c r="X393" s="9">
        <f>-IF(C393=1,LN(W393),LN(1-W393))</f>
        <v/>
      </c>
      <c r="Y393" s="10">
        <f>IF(W393&gt;$AC$33,1,0)</f>
        <v/>
      </c>
      <c r="Z393">
        <f>IF(Y393=C393,1,0)</f>
        <v/>
      </c>
    </row>
    <row r="394">
      <c r="A394">
        <f>'1 prepared data'!A387</f>
        <v/>
      </c>
      <c r="B394" s="5">
        <f>'1 prepared data'!U387</f>
        <v/>
      </c>
      <c r="C394">
        <f>'1 prepared data'!B387</f>
        <v/>
      </c>
      <c r="D394" s="7">
        <f>'1 prepared data'!C387</f>
        <v/>
      </c>
      <c r="E394" s="7">
        <f>'1 prepared data'!D387</f>
        <v/>
      </c>
      <c r="F394" s="7">
        <f>'1 prepared data'!E387</f>
        <v/>
      </c>
      <c r="G394" s="7">
        <f>'1 prepared data'!F387</f>
        <v/>
      </c>
      <c r="H394" s="7">
        <f>'1 prepared data'!G387</f>
        <v/>
      </c>
      <c r="I394" s="7">
        <f>'1 prepared data'!H387</f>
        <v/>
      </c>
      <c r="J394" s="7">
        <f>'1 prepared data'!I387</f>
        <v/>
      </c>
      <c r="K394" s="7">
        <f>'1 prepared data'!J387</f>
        <v/>
      </c>
      <c r="L394" s="7">
        <f>'1 prepared data'!K387</f>
        <v/>
      </c>
      <c r="M394" s="7">
        <f>'1 prepared data'!L387</f>
        <v/>
      </c>
      <c r="N394" s="7">
        <f>'1 prepared data'!M387</f>
        <v/>
      </c>
      <c r="O394" s="7">
        <f>'1 prepared data'!N387</f>
        <v/>
      </c>
      <c r="P394" s="7">
        <f>'1 prepared data'!O387</f>
        <v/>
      </c>
      <c r="Q394" s="7">
        <f>'1 prepared data'!P387</f>
        <v/>
      </c>
      <c r="R394" s="7">
        <f>'1 prepared data'!Q387</f>
        <v/>
      </c>
      <c r="S394" s="7">
        <f>'1 prepared data'!R387</f>
        <v/>
      </c>
      <c r="T394" s="7">
        <f>'1 prepared data'!S387</f>
        <v/>
      </c>
      <c r="U394" s="7">
        <f>'1 prepared data'!T387</f>
        <v/>
      </c>
      <c r="V394" s="8">
        <f>$AC$12+D394*$AC$13+E394*$AC$14+F394*$AC$15+G394*$AC$16+H394*$AC$17+I394*$AC$18+J394*$AC$19+K394*$AC$20+L394*$AC$21+M394*$AC$22+N394*$AC$23+O394*$AC$24+P394*$AC$25+Q394*$AC$26+R394*$AC$27+S394*$AC$28+T394*$AC$29+U394*$AC$30</f>
        <v/>
      </c>
      <c r="W394" s="8">
        <f>1/(1+EXP(-V394))</f>
        <v/>
      </c>
      <c r="X394" s="9">
        <f>-IF(C394=1,LN(W394),LN(1-W394))</f>
        <v/>
      </c>
      <c r="Y394" s="10">
        <f>IF(W394&gt;$AC$33,1,0)</f>
        <v/>
      </c>
      <c r="Z394">
        <f>IF(Y394=C394,1,0)</f>
        <v/>
      </c>
    </row>
    <row r="395">
      <c r="A395">
        <f>'1 prepared data'!A388</f>
        <v/>
      </c>
      <c r="B395" s="5">
        <f>'1 prepared data'!U388</f>
        <v/>
      </c>
      <c r="C395">
        <f>'1 prepared data'!B388</f>
        <v/>
      </c>
      <c r="D395" s="7">
        <f>'1 prepared data'!C388</f>
        <v/>
      </c>
      <c r="E395" s="7">
        <f>'1 prepared data'!D388</f>
        <v/>
      </c>
      <c r="F395" s="7">
        <f>'1 prepared data'!E388</f>
        <v/>
      </c>
      <c r="G395" s="7">
        <f>'1 prepared data'!F388</f>
        <v/>
      </c>
      <c r="H395" s="7">
        <f>'1 prepared data'!G388</f>
        <v/>
      </c>
      <c r="I395" s="7">
        <f>'1 prepared data'!H388</f>
        <v/>
      </c>
      <c r="J395" s="7">
        <f>'1 prepared data'!I388</f>
        <v/>
      </c>
      <c r="K395" s="7">
        <f>'1 prepared data'!J388</f>
        <v/>
      </c>
      <c r="L395" s="7">
        <f>'1 prepared data'!K388</f>
        <v/>
      </c>
      <c r="M395" s="7">
        <f>'1 prepared data'!L388</f>
        <v/>
      </c>
      <c r="N395" s="7">
        <f>'1 prepared data'!M388</f>
        <v/>
      </c>
      <c r="O395" s="7">
        <f>'1 prepared data'!N388</f>
        <v/>
      </c>
      <c r="P395" s="7">
        <f>'1 prepared data'!O388</f>
        <v/>
      </c>
      <c r="Q395" s="7">
        <f>'1 prepared data'!P388</f>
        <v/>
      </c>
      <c r="R395" s="7">
        <f>'1 prepared data'!Q388</f>
        <v/>
      </c>
      <c r="S395" s="7">
        <f>'1 prepared data'!R388</f>
        <v/>
      </c>
      <c r="T395" s="7">
        <f>'1 prepared data'!S388</f>
        <v/>
      </c>
      <c r="U395" s="7">
        <f>'1 prepared data'!T388</f>
        <v/>
      </c>
      <c r="V395" s="8">
        <f>$AC$12+D395*$AC$13+E395*$AC$14+F395*$AC$15+G395*$AC$16+H395*$AC$17+I395*$AC$18+J395*$AC$19+K395*$AC$20+L395*$AC$21+M395*$AC$22+N395*$AC$23+O395*$AC$24+P395*$AC$25+Q395*$AC$26+R395*$AC$27+S395*$AC$28+T395*$AC$29+U395*$AC$30</f>
        <v/>
      </c>
      <c r="W395" s="8">
        <f>1/(1+EXP(-V395))</f>
        <v/>
      </c>
      <c r="X395" s="9">
        <f>-IF(C395=1,LN(W395),LN(1-W395))</f>
        <v/>
      </c>
      <c r="Y395" s="10">
        <f>IF(W395&gt;$AC$33,1,0)</f>
        <v/>
      </c>
      <c r="Z395">
        <f>IF(Y395=C395,1,0)</f>
        <v/>
      </c>
    </row>
    <row r="396">
      <c r="A396">
        <f>'1 prepared data'!A389</f>
        <v/>
      </c>
      <c r="B396" s="5">
        <f>'1 prepared data'!U389</f>
        <v/>
      </c>
      <c r="C396">
        <f>'1 prepared data'!B389</f>
        <v/>
      </c>
      <c r="D396" s="7">
        <f>'1 prepared data'!C389</f>
        <v/>
      </c>
      <c r="E396" s="7">
        <f>'1 prepared data'!D389</f>
        <v/>
      </c>
      <c r="F396" s="7">
        <f>'1 prepared data'!E389</f>
        <v/>
      </c>
      <c r="G396" s="7">
        <f>'1 prepared data'!F389</f>
        <v/>
      </c>
      <c r="H396" s="7">
        <f>'1 prepared data'!G389</f>
        <v/>
      </c>
      <c r="I396" s="7">
        <f>'1 prepared data'!H389</f>
        <v/>
      </c>
      <c r="J396" s="7">
        <f>'1 prepared data'!I389</f>
        <v/>
      </c>
      <c r="K396" s="7">
        <f>'1 prepared data'!J389</f>
        <v/>
      </c>
      <c r="L396" s="7">
        <f>'1 prepared data'!K389</f>
        <v/>
      </c>
      <c r="M396" s="7">
        <f>'1 prepared data'!L389</f>
        <v/>
      </c>
      <c r="N396" s="7">
        <f>'1 prepared data'!M389</f>
        <v/>
      </c>
      <c r="O396" s="7">
        <f>'1 prepared data'!N389</f>
        <v/>
      </c>
      <c r="P396" s="7">
        <f>'1 prepared data'!O389</f>
        <v/>
      </c>
      <c r="Q396" s="7">
        <f>'1 prepared data'!P389</f>
        <v/>
      </c>
      <c r="R396" s="7">
        <f>'1 prepared data'!Q389</f>
        <v/>
      </c>
      <c r="S396" s="7">
        <f>'1 prepared data'!R389</f>
        <v/>
      </c>
      <c r="T396" s="7">
        <f>'1 prepared data'!S389</f>
        <v/>
      </c>
      <c r="U396" s="7">
        <f>'1 prepared data'!T389</f>
        <v/>
      </c>
      <c r="V396" s="8">
        <f>$AC$12+D396*$AC$13+E396*$AC$14+F396*$AC$15+G396*$AC$16+H396*$AC$17+I396*$AC$18+J396*$AC$19+K396*$AC$20+L396*$AC$21+M396*$AC$22+N396*$AC$23+O396*$AC$24+P396*$AC$25+Q396*$AC$26+R396*$AC$27+S396*$AC$28+T396*$AC$29+U396*$AC$30</f>
        <v/>
      </c>
      <c r="W396" s="8">
        <f>1/(1+EXP(-V396))</f>
        <v/>
      </c>
      <c r="X396" s="9">
        <f>-IF(C396=1,LN(W396),LN(1-W396))</f>
        <v/>
      </c>
      <c r="Y396" s="10">
        <f>IF(W396&gt;$AC$33,1,0)</f>
        <v/>
      </c>
      <c r="Z396">
        <f>IF(Y396=C396,1,0)</f>
        <v/>
      </c>
    </row>
    <row r="397">
      <c r="A397">
        <f>'1 prepared data'!A390</f>
        <v/>
      </c>
      <c r="B397" s="5">
        <f>'1 prepared data'!U390</f>
        <v/>
      </c>
      <c r="C397">
        <f>'1 prepared data'!B390</f>
        <v/>
      </c>
      <c r="D397" s="7">
        <f>'1 prepared data'!C390</f>
        <v/>
      </c>
      <c r="E397" s="7">
        <f>'1 prepared data'!D390</f>
        <v/>
      </c>
      <c r="F397" s="7">
        <f>'1 prepared data'!E390</f>
        <v/>
      </c>
      <c r="G397" s="7">
        <f>'1 prepared data'!F390</f>
        <v/>
      </c>
      <c r="H397" s="7">
        <f>'1 prepared data'!G390</f>
        <v/>
      </c>
      <c r="I397" s="7">
        <f>'1 prepared data'!H390</f>
        <v/>
      </c>
      <c r="J397" s="7">
        <f>'1 prepared data'!I390</f>
        <v/>
      </c>
      <c r="K397" s="7">
        <f>'1 prepared data'!J390</f>
        <v/>
      </c>
      <c r="L397" s="7">
        <f>'1 prepared data'!K390</f>
        <v/>
      </c>
      <c r="M397" s="7">
        <f>'1 prepared data'!L390</f>
        <v/>
      </c>
      <c r="N397" s="7">
        <f>'1 prepared data'!M390</f>
        <v/>
      </c>
      <c r="O397" s="7">
        <f>'1 prepared data'!N390</f>
        <v/>
      </c>
      <c r="P397" s="7">
        <f>'1 prepared data'!O390</f>
        <v/>
      </c>
      <c r="Q397" s="7">
        <f>'1 prepared data'!P390</f>
        <v/>
      </c>
      <c r="R397" s="7">
        <f>'1 prepared data'!Q390</f>
        <v/>
      </c>
      <c r="S397" s="7">
        <f>'1 prepared data'!R390</f>
        <v/>
      </c>
      <c r="T397" s="7">
        <f>'1 prepared data'!S390</f>
        <v/>
      </c>
      <c r="U397" s="7">
        <f>'1 prepared data'!T390</f>
        <v/>
      </c>
      <c r="V397" s="8">
        <f>$AC$12+D397*$AC$13+E397*$AC$14+F397*$AC$15+G397*$AC$16+H397*$AC$17+I397*$AC$18+J397*$AC$19+K397*$AC$20+L397*$AC$21+M397*$AC$22+N397*$AC$23+O397*$AC$24+P397*$AC$25+Q397*$AC$26+R397*$AC$27+S397*$AC$28+T397*$AC$29+U397*$AC$30</f>
        <v/>
      </c>
      <c r="W397" s="8">
        <f>1/(1+EXP(-V397))</f>
        <v/>
      </c>
      <c r="X397" s="9">
        <f>-IF(C397=1,LN(W397),LN(1-W397))</f>
        <v/>
      </c>
      <c r="Y397" s="10">
        <f>IF(W397&gt;$AC$33,1,0)</f>
        <v/>
      </c>
      <c r="Z397">
        <f>IF(Y397=C397,1,0)</f>
        <v/>
      </c>
    </row>
    <row r="398">
      <c r="A398">
        <f>'1 prepared data'!A391</f>
        <v/>
      </c>
      <c r="B398" s="5">
        <f>'1 prepared data'!U391</f>
        <v/>
      </c>
      <c r="C398">
        <f>'1 prepared data'!B391</f>
        <v/>
      </c>
      <c r="D398" s="7">
        <f>'1 prepared data'!C391</f>
        <v/>
      </c>
      <c r="E398" s="7">
        <f>'1 prepared data'!D391</f>
        <v/>
      </c>
      <c r="F398" s="7">
        <f>'1 prepared data'!E391</f>
        <v/>
      </c>
      <c r="G398" s="7">
        <f>'1 prepared data'!F391</f>
        <v/>
      </c>
      <c r="H398" s="7">
        <f>'1 prepared data'!G391</f>
        <v/>
      </c>
      <c r="I398" s="7">
        <f>'1 prepared data'!H391</f>
        <v/>
      </c>
      <c r="J398" s="7">
        <f>'1 prepared data'!I391</f>
        <v/>
      </c>
      <c r="K398" s="7">
        <f>'1 prepared data'!J391</f>
        <v/>
      </c>
      <c r="L398" s="7">
        <f>'1 prepared data'!K391</f>
        <v/>
      </c>
      <c r="M398" s="7">
        <f>'1 prepared data'!L391</f>
        <v/>
      </c>
      <c r="N398" s="7">
        <f>'1 prepared data'!M391</f>
        <v/>
      </c>
      <c r="O398" s="7">
        <f>'1 prepared data'!N391</f>
        <v/>
      </c>
      <c r="P398" s="7">
        <f>'1 prepared data'!O391</f>
        <v/>
      </c>
      <c r="Q398" s="7">
        <f>'1 prepared data'!P391</f>
        <v/>
      </c>
      <c r="R398" s="7">
        <f>'1 prepared data'!Q391</f>
        <v/>
      </c>
      <c r="S398" s="7">
        <f>'1 prepared data'!R391</f>
        <v/>
      </c>
      <c r="T398" s="7">
        <f>'1 prepared data'!S391</f>
        <v/>
      </c>
      <c r="U398" s="7">
        <f>'1 prepared data'!T391</f>
        <v/>
      </c>
      <c r="V398" s="8">
        <f>$AC$12+D398*$AC$13+E398*$AC$14+F398*$AC$15+G398*$AC$16+H398*$AC$17+I398*$AC$18+J398*$AC$19+K398*$AC$20+L398*$AC$21+M398*$AC$22+N398*$AC$23+O398*$AC$24+P398*$AC$25+Q398*$AC$26+R398*$AC$27+S398*$AC$28+T398*$AC$29+U398*$AC$30</f>
        <v/>
      </c>
      <c r="W398" s="8">
        <f>1/(1+EXP(-V398))</f>
        <v/>
      </c>
      <c r="X398" s="9">
        <f>-IF(C398=1,LN(W398),LN(1-W398))</f>
        <v/>
      </c>
      <c r="Y398" s="10">
        <f>IF(W398&gt;$AC$33,1,0)</f>
        <v/>
      </c>
      <c r="Z398">
        <f>IF(Y398=C398,1,0)</f>
        <v/>
      </c>
    </row>
    <row r="399">
      <c r="A399">
        <f>'1 prepared data'!A392</f>
        <v/>
      </c>
      <c r="B399" s="5">
        <f>'1 prepared data'!U392</f>
        <v/>
      </c>
      <c r="C399">
        <f>'1 prepared data'!B392</f>
        <v/>
      </c>
      <c r="D399" s="7">
        <f>'1 prepared data'!C392</f>
        <v/>
      </c>
      <c r="E399" s="7">
        <f>'1 prepared data'!D392</f>
        <v/>
      </c>
      <c r="F399" s="7">
        <f>'1 prepared data'!E392</f>
        <v/>
      </c>
      <c r="G399" s="7">
        <f>'1 prepared data'!F392</f>
        <v/>
      </c>
      <c r="H399" s="7">
        <f>'1 prepared data'!G392</f>
        <v/>
      </c>
      <c r="I399" s="7">
        <f>'1 prepared data'!H392</f>
        <v/>
      </c>
      <c r="J399" s="7">
        <f>'1 prepared data'!I392</f>
        <v/>
      </c>
      <c r="K399" s="7">
        <f>'1 prepared data'!J392</f>
        <v/>
      </c>
      <c r="L399" s="7">
        <f>'1 prepared data'!K392</f>
        <v/>
      </c>
      <c r="M399" s="7">
        <f>'1 prepared data'!L392</f>
        <v/>
      </c>
      <c r="N399" s="7">
        <f>'1 prepared data'!M392</f>
        <v/>
      </c>
      <c r="O399" s="7">
        <f>'1 prepared data'!N392</f>
        <v/>
      </c>
      <c r="P399" s="7">
        <f>'1 prepared data'!O392</f>
        <v/>
      </c>
      <c r="Q399" s="7">
        <f>'1 prepared data'!P392</f>
        <v/>
      </c>
      <c r="R399" s="7">
        <f>'1 prepared data'!Q392</f>
        <v/>
      </c>
      <c r="S399" s="7">
        <f>'1 prepared data'!R392</f>
        <v/>
      </c>
      <c r="T399" s="7">
        <f>'1 prepared data'!S392</f>
        <v/>
      </c>
      <c r="U399" s="7">
        <f>'1 prepared data'!T392</f>
        <v/>
      </c>
      <c r="V399" s="8">
        <f>$AC$12+D399*$AC$13+E399*$AC$14+F399*$AC$15+G399*$AC$16+H399*$AC$17+I399*$AC$18+J399*$AC$19+K399*$AC$20+L399*$AC$21+M399*$AC$22+N399*$AC$23+O399*$AC$24+P399*$AC$25+Q399*$AC$26+R399*$AC$27+S399*$AC$28+T399*$AC$29+U399*$AC$30</f>
        <v/>
      </c>
      <c r="W399" s="8">
        <f>1/(1+EXP(-V399))</f>
        <v/>
      </c>
      <c r="X399" s="9">
        <f>-IF(C399=1,LN(W399),LN(1-W399))</f>
        <v/>
      </c>
      <c r="Y399" s="10">
        <f>IF(W399&gt;$AC$33,1,0)</f>
        <v/>
      </c>
      <c r="Z399">
        <f>IF(Y399=C399,1,0)</f>
        <v/>
      </c>
    </row>
    <row r="400">
      <c r="A400">
        <f>'1 prepared data'!A393</f>
        <v/>
      </c>
      <c r="B400" s="5">
        <f>'1 prepared data'!U393</f>
        <v/>
      </c>
      <c r="C400">
        <f>'1 prepared data'!B393</f>
        <v/>
      </c>
      <c r="D400" s="7">
        <f>'1 prepared data'!C393</f>
        <v/>
      </c>
      <c r="E400" s="7">
        <f>'1 prepared data'!D393</f>
        <v/>
      </c>
      <c r="F400" s="7">
        <f>'1 prepared data'!E393</f>
        <v/>
      </c>
      <c r="G400" s="7">
        <f>'1 prepared data'!F393</f>
        <v/>
      </c>
      <c r="H400" s="7">
        <f>'1 prepared data'!G393</f>
        <v/>
      </c>
      <c r="I400" s="7">
        <f>'1 prepared data'!H393</f>
        <v/>
      </c>
      <c r="J400" s="7">
        <f>'1 prepared data'!I393</f>
        <v/>
      </c>
      <c r="K400" s="7">
        <f>'1 prepared data'!J393</f>
        <v/>
      </c>
      <c r="L400" s="7">
        <f>'1 prepared data'!K393</f>
        <v/>
      </c>
      <c r="M400" s="7">
        <f>'1 prepared data'!L393</f>
        <v/>
      </c>
      <c r="N400" s="7">
        <f>'1 prepared data'!M393</f>
        <v/>
      </c>
      <c r="O400" s="7">
        <f>'1 prepared data'!N393</f>
        <v/>
      </c>
      <c r="P400" s="7">
        <f>'1 prepared data'!O393</f>
        <v/>
      </c>
      <c r="Q400" s="7">
        <f>'1 prepared data'!P393</f>
        <v/>
      </c>
      <c r="R400" s="7">
        <f>'1 prepared data'!Q393</f>
        <v/>
      </c>
      <c r="S400" s="7">
        <f>'1 prepared data'!R393</f>
        <v/>
      </c>
      <c r="T400" s="7">
        <f>'1 prepared data'!S393</f>
        <v/>
      </c>
      <c r="U400" s="7">
        <f>'1 prepared data'!T393</f>
        <v/>
      </c>
      <c r="V400" s="8">
        <f>$AC$12+D400*$AC$13+E400*$AC$14+F400*$AC$15+G400*$AC$16+H400*$AC$17+I400*$AC$18+J400*$AC$19+K400*$AC$20+L400*$AC$21+M400*$AC$22+N400*$AC$23+O400*$AC$24+P400*$AC$25+Q400*$AC$26+R400*$AC$27+S400*$AC$28+T400*$AC$29+U400*$AC$30</f>
        <v/>
      </c>
      <c r="W400" s="8">
        <f>1/(1+EXP(-V400))</f>
        <v/>
      </c>
      <c r="X400" s="9">
        <f>-IF(C400=1,LN(W400),LN(1-W400))</f>
        <v/>
      </c>
      <c r="Y400" s="10">
        <f>IF(W400&gt;$AC$33,1,0)</f>
        <v/>
      </c>
      <c r="Z400">
        <f>IF(Y400=C400,1,0)</f>
        <v/>
      </c>
    </row>
    <row r="401">
      <c r="A401">
        <f>'1 prepared data'!A394</f>
        <v/>
      </c>
      <c r="B401" s="5">
        <f>'1 prepared data'!U394</f>
        <v/>
      </c>
      <c r="C401">
        <f>'1 prepared data'!B394</f>
        <v/>
      </c>
      <c r="D401" s="7">
        <f>'1 prepared data'!C394</f>
        <v/>
      </c>
      <c r="E401" s="7">
        <f>'1 prepared data'!D394</f>
        <v/>
      </c>
      <c r="F401" s="7">
        <f>'1 prepared data'!E394</f>
        <v/>
      </c>
      <c r="G401" s="7">
        <f>'1 prepared data'!F394</f>
        <v/>
      </c>
      <c r="H401" s="7">
        <f>'1 prepared data'!G394</f>
        <v/>
      </c>
      <c r="I401" s="7">
        <f>'1 prepared data'!H394</f>
        <v/>
      </c>
      <c r="J401" s="7">
        <f>'1 prepared data'!I394</f>
        <v/>
      </c>
      <c r="K401" s="7">
        <f>'1 prepared data'!J394</f>
        <v/>
      </c>
      <c r="L401" s="7">
        <f>'1 prepared data'!K394</f>
        <v/>
      </c>
      <c r="M401" s="7">
        <f>'1 prepared data'!L394</f>
        <v/>
      </c>
      <c r="N401" s="7">
        <f>'1 prepared data'!M394</f>
        <v/>
      </c>
      <c r="O401" s="7">
        <f>'1 prepared data'!N394</f>
        <v/>
      </c>
      <c r="P401" s="7">
        <f>'1 prepared data'!O394</f>
        <v/>
      </c>
      <c r="Q401" s="7">
        <f>'1 prepared data'!P394</f>
        <v/>
      </c>
      <c r="R401" s="7">
        <f>'1 prepared data'!Q394</f>
        <v/>
      </c>
      <c r="S401" s="7">
        <f>'1 prepared data'!R394</f>
        <v/>
      </c>
      <c r="T401" s="7">
        <f>'1 prepared data'!S394</f>
        <v/>
      </c>
      <c r="U401" s="7">
        <f>'1 prepared data'!T394</f>
        <v/>
      </c>
      <c r="V401" s="8">
        <f>$AC$12+D401*$AC$13+E401*$AC$14+F401*$AC$15+G401*$AC$16+H401*$AC$17+I401*$AC$18+J401*$AC$19+K401*$AC$20+L401*$AC$21+M401*$AC$22+N401*$AC$23+O401*$AC$24+P401*$AC$25+Q401*$AC$26+R401*$AC$27+S401*$AC$28+T401*$AC$29+U401*$AC$30</f>
        <v/>
      </c>
      <c r="W401" s="8">
        <f>1/(1+EXP(-V401))</f>
        <v/>
      </c>
      <c r="X401" s="9">
        <f>-IF(C401=1,LN(W401),LN(1-W401))</f>
        <v/>
      </c>
      <c r="Y401" s="10">
        <f>IF(W401&gt;$AC$33,1,0)</f>
        <v/>
      </c>
      <c r="Z401">
        <f>IF(Y401=C401,1,0)</f>
        <v/>
      </c>
    </row>
    <row r="402">
      <c r="A402">
        <f>'1 prepared data'!A395</f>
        <v/>
      </c>
      <c r="B402" s="5">
        <f>'1 prepared data'!U395</f>
        <v/>
      </c>
      <c r="C402">
        <f>'1 prepared data'!B395</f>
        <v/>
      </c>
      <c r="D402" s="7">
        <f>'1 prepared data'!C395</f>
        <v/>
      </c>
      <c r="E402" s="7">
        <f>'1 prepared data'!D395</f>
        <v/>
      </c>
      <c r="F402" s="7">
        <f>'1 prepared data'!E395</f>
        <v/>
      </c>
      <c r="G402" s="7">
        <f>'1 prepared data'!F395</f>
        <v/>
      </c>
      <c r="H402" s="7">
        <f>'1 prepared data'!G395</f>
        <v/>
      </c>
      <c r="I402" s="7">
        <f>'1 prepared data'!H395</f>
        <v/>
      </c>
      <c r="J402" s="7">
        <f>'1 prepared data'!I395</f>
        <v/>
      </c>
      <c r="K402" s="7">
        <f>'1 prepared data'!J395</f>
        <v/>
      </c>
      <c r="L402" s="7">
        <f>'1 prepared data'!K395</f>
        <v/>
      </c>
      <c r="M402" s="7">
        <f>'1 prepared data'!L395</f>
        <v/>
      </c>
      <c r="N402" s="7">
        <f>'1 prepared data'!M395</f>
        <v/>
      </c>
      <c r="O402" s="7">
        <f>'1 prepared data'!N395</f>
        <v/>
      </c>
      <c r="P402" s="7">
        <f>'1 prepared data'!O395</f>
        <v/>
      </c>
      <c r="Q402" s="7">
        <f>'1 prepared data'!P395</f>
        <v/>
      </c>
      <c r="R402" s="7">
        <f>'1 prepared data'!Q395</f>
        <v/>
      </c>
      <c r="S402" s="7">
        <f>'1 prepared data'!R395</f>
        <v/>
      </c>
      <c r="T402" s="7">
        <f>'1 prepared data'!S395</f>
        <v/>
      </c>
      <c r="U402" s="7">
        <f>'1 prepared data'!T395</f>
        <v/>
      </c>
      <c r="V402" s="8">
        <f>$AC$12+D402*$AC$13+E402*$AC$14+F402*$AC$15+G402*$AC$16+H402*$AC$17+I402*$AC$18+J402*$AC$19+K402*$AC$20+L402*$AC$21+M402*$AC$22+N402*$AC$23+O402*$AC$24+P402*$AC$25+Q402*$AC$26+R402*$AC$27+S402*$AC$28+T402*$AC$29+U402*$AC$30</f>
        <v/>
      </c>
      <c r="W402" s="8">
        <f>1/(1+EXP(-V402))</f>
        <v/>
      </c>
      <c r="X402" s="9">
        <f>-IF(C402=1,LN(W402),LN(1-W402))</f>
        <v/>
      </c>
      <c r="Y402" s="10">
        <f>IF(W402&gt;$AC$33,1,0)</f>
        <v/>
      </c>
      <c r="Z402">
        <f>IF(Y402=C402,1,0)</f>
        <v/>
      </c>
    </row>
    <row r="403">
      <c r="A403">
        <f>'1 prepared data'!A396</f>
        <v/>
      </c>
      <c r="B403" s="5">
        <f>'1 prepared data'!U396</f>
        <v/>
      </c>
      <c r="C403">
        <f>'1 prepared data'!B396</f>
        <v/>
      </c>
      <c r="D403" s="7">
        <f>'1 prepared data'!C396</f>
        <v/>
      </c>
      <c r="E403" s="7">
        <f>'1 prepared data'!D396</f>
        <v/>
      </c>
      <c r="F403" s="7">
        <f>'1 prepared data'!E396</f>
        <v/>
      </c>
      <c r="G403" s="7">
        <f>'1 prepared data'!F396</f>
        <v/>
      </c>
      <c r="H403" s="7">
        <f>'1 prepared data'!G396</f>
        <v/>
      </c>
      <c r="I403" s="7">
        <f>'1 prepared data'!H396</f>
        <v/>
      </c>
      <c r="J403" s="7">
        <f>'1 prepared data'!I396</f>
        <v/>
      </c>
      <c r="K403" s="7">
        <f>'1 prepared data'!J396</f>
        <v/>
      </c>
      <c r="L403" s="7">
        <f>'1 prepared data'!K396</f>
        <v/>
      </c>
      <c r="M403" s="7">
        <f>'1 prepared data'!L396</f>
        <v/>
      </c>
      <c r="N403" s="7">
        <f>'1 prepared data'!M396</f>
        <v/>
      </c>
      <c r="O403" s="7">
        <f>'1 prepared data'!N396</f>
        <v/>
      </c>
      <c r="P403" s="7">
        <f>'1 prepared data'!O396</f>
        <v/>
      </c>
      <c r="Q403" s="7">
        <f>'1 prepared data'!P396</f>
        <v/>
      </c>
      <c r="R403" s="7">
        <f>'1 prepared data'!Q396</f>
        <v/>
      </c>
      <c r="S403" s="7">
        <f>'1 prepared data'!R396</f>
        <v/>
      </c>
      <c r="T403" s="7">
        <f>'1 prepared data'!S396</f>
        <v/>
      </c>
      <c r="U403" s="7">
        <f>'1 prepared data'!T396</f>
        <v/>
      </c>
      <c r="V403" s="8">
        <f>$AC$12+D403*$AC$13+E403*$AC$14+F403*$AC$15+G403*$AC$16+H403*$AC$17+I403*$AC$18+J403*$AC$19+K403*$AC$20+L403*$AC$21+M403*$AC$22+N403*$AC$23+O403*$AC$24+P403*$AC$25+Q403*$AC$26+R403*$AC$27+S403*$AC$28+T403*$AC$29+U403*$AC$30</f>
        <v/>
      </c>
      <c r="W403" s="8">
        <f>1/(1+EXP(-V403))</f>
        <v/>
      </c>
      <c r="X403" s="9">
        <f>-IF(C403=1,LN(W403),LN(1-W403))</f>
        <v/>
      </c>
      <c r="Y403" s="10">
        <f>IF(W403&gt;$AC$33,1,0)</f>
        <v/>
      </c>
      <c r="Z403">
        <f>IF(Y403=C403,1,0)</f>
        <v/>
      </c>
    </row>
    <row r="404">
      <c r="A404">
        <f>'1 prepared data'!A397</f>
        <v/>
      </c>
      <c r="B404" s="5">
        <f>'1 prepared data'!U397</f>
        <v/>
      </c>
      <c r="C404">
        <f>'1 prepared data'!B397</f>
        <v/>
      </c>
      <c r="D404" s="7">
        <f>'1 prepared data'!C397</f>
        <v/>
      </c>
      <c r="E404" s="7">
        <f>'1 prepared data'!D397</f>
        <v/>
      </c>
      <c r="F404" s="7">
        <f>'1 prepared data'!E397</f>
        <v/>
      </c>
      <c r="G404" s="7">
        <f>'1 prepared data'!F397</f>
        <v/>
      </c>
      <c r="H404" s="7">
        <f>'1 prepared data'!G397</f>
        <v/>
      </c>
      <c r="I404" s="7">
        <f>'1 prepared data'!H397</f>
        <v/>
      </c>
      <c r="J404" s="7">
        <f>'1 prepared data'!I397</f>
        <v/>
      </c>
      <c r="K404" s="7">
        <f>'1 prepared data'!J397</f>
        <v/>
      </c>
      <c r="L404" s="7">
        <f>'1 prepared data'!K397</f>
        <v/>
      </c>
      <c r="M404" s="7">
        <f>'1 prepared data'!L397</f>
        <v/>
      </c>
      <c r="N404" s="7">
        <f>'1 prepared data'!M397</f>
        <v/>
      </c>
      <c r="O404" s="7">
        <f>'1 prepared data'!N397</f>
        <v/>
      </c>
      <c r="P404" s="7">
        <f>'1 prepared data'!O397</f>
        <v/>
      </c>
      <c r="Q404" s="7">
        <f>'1 prepared data'!P397</f>
        <v/>
      </c>
      <c r="R404" s="7">
        <f>'1 prepared data'!Q397</f>
        <v/>
      </c>
      <c r="S404" s="7">
        <f>'1 prepared data'!R397</f>
        <v/>
      </c>
      <c r="T404" s="7">
        <f>'1 prepared data'!S397</f>
        <v/>
      </c>
      <c r="U404" s="7">
        <f>'1 prepared data'!T397</f>
        <v/>
      </c>
      <c r="V404" s="8">
        <f>$AC$12+D404*$AC$13+E404*$AC$14+F404*$AC$15+G404*$AC$16+H404*$AC$17+I404*$AC$18+J404*$AC$19+K404*$AC$20+L404*$AC$21+M404*$AC$22+N404*$AC$23+O404*$AC$24+P404*$AC$25+Q404*$AC$26+R404*$AC$27+S404*$AC$28+T404*$AC$29+U404*$AC$30</f>
        <v/>
      </c>
      <c r="W404" s="8">
        <f>1/(1+EXP(-V404))</f>
        <v/>
      </c>
      <c r="X404" s="9">
        <f>-IF(C404=1,LN(W404),LN(1-W404))</f>
        <v/>
      </c>
      <c r="Y404" s="10">
        <f>IF(W404&gt;$AC$33,1,0)</f>
        <v/>
      </c>
      <c r="Z404">
        <f>IF(Y404=C404,1,0)</f>
        <v/>
      </c>
    </row>
    <row r="405">
      <c r="A405">
        <f>'1 prepared data'!A398</f>
        <v/>
      </c>
      <c r="B405" s="5">
        <f>'1 prepared data'!U398</f>
        <v/>
      </c>
      <c r="C405">
        <f>'1 prepared data'!B398</f>
        <v/>
      </c>
      <c r="D405" s="7">
        <f>'1 prepared data'!C398</f>
        <v/>
      </c>
      <c r="E405" s="7">
        <f>'1 prepared data'!D398</f>
        <v/>
      </c>
      <c r="F405" s="7">
        <f>'1 prepared data'!E398</f>
        <v/>
      </c>
      <c r="G405" s="7">
        <f>'1 prepared data'!F398</f>
        <v/>
      </c>
      <c r="H405" s="7">
        <f>'1 prepared data'!G398</f>
        <v/>
      </c>
      <c r="I405" s="7">
        <f>'1 prepared data'!H398</f>
        <v/>
      </c>
      <c r="J405" s="7">
        <f>'1 prepared data'!I398</f>
        <v/>
      </c>
      <c r="K405" s="7">
        <f>'1 prepared data'!J398</f>
        <v/>
      </c>
      <c r="L405" s="7">
        <f>'1 prepared data'!K398</f>
        <v/>
      </c>
      <c r="M405" s="7">
        <f>'1 prepared data'!L398</f>
        <v/>
      </c>
      <c r="N405" s="7">
        <f>'1 prepared data'!M398</f>
        <v/>
      </c>
      <c r="O405" s="7">
        <f>'1 prepared data'!N398</f>
        <v/>
      </c>
      <c r="P405" s="7">
        <f>'1 prepared data'!O398</f>
        <v/>
      </c>
      <c r="Q405" s="7">
        <f>'1 prepared data'!P398</f>
        <v/>
      </c>
      <c r="R405" s="7">
        <f>'1 prepared data'!Q398</f>
        <v/>
      </c>
      <c r="S405" s="7">
        <f>'1 prepared data'!R398</f>
        <v/>
      </c>
      <c r="T405" s="7">
        <f>'1 prepared data'!S398</f>
        <v/>
      </c>
      <c r="U405" s="7">
        <f>'1 prepared data'!T398</f>
        <v/>
      </c>
      <c r="V405" s="8">
        <f>$AC$12+D405*$AC$13+E405*$AC$14+F405*$AC$15+G405*$AC$16+H405*$AC$17+I405*$AC$18+J405*$AC$19+K405*$AC$20+L405*$AC$21+M405*$AC$22+N405*$AC$23+O405*$AC$24+P405*$AC$25+Q405*$AC$26+R405*$AC$27+S405*$AC$28+T405*$AC$29+U405*$AC$30</f>
        <v/>
      </c>
      <c r="W405" s="8">
        <f>1/(1+EXP(-V405))</f>
        <v/>
      </c>
      <c r="X405" s="9">
        <f>-IF(C405=1,LN(W405),LN(1-W405))</f>
        <v/>
      </c>
      <c r="Y405" s="10">
        <f>IF(W405&gt;$AC$33,1,0)</f>
        <v/>
      </c>
      <c r="Z405">
        <f>IF(Y405=C405,1,0)</f>
        <v/>
      </c>
    </row>
    <row r="406">
      <c r="A406">
        <f>'1 prepared data'!A399</f>
        <v/>
      </c>
      <c r="B406" s="5">
        <f>'1 prepared data'!U399</f>
        <v/>
      </c>
      <c r="C406">
        <f>'1 prepared data'!B399</f>
        <v/>
      </c>
      <c r="D406" s="7">
        <f>'1 prepared data'!C399</f>
        <v/>
      </c>
      <c r="E406" s="7">
        <f>'1 prepared data'!D399</f>
        <v/>
      </c>
      <c r="F406" s="7">
        <f>'1 prepared data'!E399</f>
        <v/>
      </c>
      <c r="G406" s="7">
        <f>'1 prepared data'!F399</f>
        <v/>
      </c>
      <c r="H406" s="7">
        <f>'1 prepared data'!G399</f>
        <v/>
      </c>
      <c r="I406" s="7">
        <f>'1 prepared data'!H399</f>
        <v/>
      </c>
      <c r="J406" s="7">
        <f>'1 prepared data'!I399</f>
        <v/>
      </c>
      <c r="K406" s="7">
        <f>'1 prepared data'!J399</f>
        <v/>
      </c>
      <c r="L406" s="7">
        <f>'1 prepared data'!K399</f>
        <v/>
      </c>
      <c r="M406" s="7">
        <f>'1 prepared data'!L399</f>
        <v/>
      </c>
      <c r="N406" s="7">
        <f>'1 prepared data'!M399</f>
        <v/>
      </c>
      <c r="O406" s="7">
        <f>'1 prepared data'!N399</f>
        <v/>
      </c>
      <c r="P406" s="7">
        <f>'1 prepared data'!O399</f>
        <v/>
      </c>
      <c r="Q406" s="7">
        <f>'1 prepared data'!P399</f>
        <v/>
      </c>
      <c r="R406" s="7">
        <f>'1 prepared data'!Q399</f>
        <v/>
      </c>
      <c r="S406" s="7">
        <f>'1 prepared data'!R399</f>
        <v/>
      </c>
      <c r="T406" s="7">
        <f>'1 prepared data'!S399</f>
        <v/>
      </c>
      <c r="U406" s="7">
        <f>'1 prepared data'!T399</f>
        <v/>
      </c>
      <c r="V406" s="8">
        <f>$AC$12+D406*$AC$13+E406*$AC$14+F406*$AC$15+G406*$AC$16+H406*$AC$17+I406*$AC$18+J406*$AC$19+K406*$AC$20+L406*$AC$21+M406*$AC$22+N406*$AC$23+O406*$AC$24+P406*$AC$25+Q406*$AC$26+R406*$AC$27+S406*$AC$28+T406*$AC$29+U406*$AC$30</f>
        <v/>
      </c>
      <c r="W406" s="8">
        <f>1/(1+EXP(-V406))</f>
        <v/>
      </c>
      <c r="X406" s="9">
        <f>-IF(C406=1,LN(W406),LN(1-W406))</f>
        <v/>
      </c>
      <c r="Y406" s="10">
        <f>IF(W406&gt;$AC$33,1,0)</f>
        <v/>
      </c>
      <c r="Z406">
        <f>IF(Y406=C406,1,0)</f>
        <v/>
      </c>
    </row>
    <row r="407">
      <c r="A407">
        <f>'1 prepared data'!A400</f>
        <v/>
      </c>
      <c r="B407" s="5">
        <f>'1 prepared data'!U400</f>
        <v/>
      </c>
      <c r="C407">
        <f>'1 prepared data'!B400</f>
        <v/>
      </c>
      <c r="D407" s="7">
        <f>'1 prepared data'!C400</f>
        <v/>
      </c>
      <c r="E407" s="7">
        <f>'1 prepared data'!D400</f>
        <v/>
      </c>
      <c r="F407" s="7">
        <f>'1 prepared data'!E400</f>
        <v/>
      </c>
      <c r="G407" s="7">
        <f>'1 prepared data'!F400</f>
        <v/>
      </c>
      <c r="H407" s="7">
        <f>'1 prepared data'!G400</f>
        <v/>
      </c>
      <c r="I407" s="7">
        <f>'1 prepared data'!H400</f>
        <v/>
      </c>
      <c r="J407" s="7">
        <f>'1 prepared data'!I400</f>
        <v/>
      </c>
      <c r="K407" s="7">
        <f>'1 prepared data'!J400</f>
        <v/>
      </c>
      <c r="L407" s="7">
        <f>'1 prepared data'!K400</f>
        <v/>
      </c>
      <c r="M407" s="7">
        <f>'1 prepared data'!L400</f>
        <v/>
      </c>
      <c r="N407" s="7">
        <f>'1 prepared data'!M400</f>
        <v/>
      </c>
      <c r="O407" s="7">
        <f>'1 prepared data'!N400</f>
        <v/>
      </c>
      <c r="P407" s="7">
        <f>'1 prepared data'!O400</f>
        <v/>
      </c>
      <c r="Q407" s="7">
        <f>'1 prepared data'!P400</f>
        <v/>
      </c>
      <c r="R407" s="7">
        <f>'1 prepared data'!Q400</f>
        <v/>
      </c>
      <c r="S407" s="7">
        <f>'1 prepared data'!R400</f>
        <v/>
      </c>
      <c r="T407" s="7">
        <f>'1 prepared data'!S400</f>
        <v/>
      </c>
      <c r="U407" s="7">
        <f>'1 prepared data'!T400</f>
        <v/>
      </c>
      <c r="V407" s="8">
        <f>$AC$12+D407*$AC$13+E407*$AC$14+F407*$AC$15+G407*$AC$16+H407*$AC$17+I407*$AC$18+J407*$AC$19+K407*$AC$20+L407*$AC$21+M407*$AC$22+N407*$AC$23+O407*$AC$24+P407*$AC$25+Q407*$AC$26+R407*$AC$27+S407*$AC$28+T407*$AC$29+U407*$AC$30</f>
        <v/>
      </c>
      <c r="W407" s="8">
        <f>1/(1+EXP(-V407))</f>
        <v/>
      </c>
      <c r="X407" s="9">
        <f>-IF(C407=1,LN(W407),LN(1-W407))</f>
        <v/>
      </c>
      <c r="Y407" s="10">
        <f>IF(W407&gt;$AC$33,1,0)</f>
        <v/>
      </c>
      <c r="Z407">
        <f>IF(Y407=C407,1,0)</f>
        <v/>
      </c>
    </row>
    <row r="408">
      <c r="A408">
        <f>'1 prepared data'!A401</f>
        <v/>
      </c>
      <c r="B408" s="5">
        <f>'1 prepared data'!U401</f>
        <v/>
      </c>
      <c r="C408">
        <f>'1 prepared data'!B401</f>
        <v/>
      </c>
      <c r="D408" s="7">
        <f>'1 prepared data'!C401</f>
        <v/>
      </c>
      <c r="E408" s="7">
        <f>'1 prepared data'!D401</f>
        <v/>
      </c>
      <c r="F408" s="7">
        <f>'1 prepared data'!E401</f>
        <v/>
      </c>
      <c r="G408" s="7">
        <f>'1 prepared data'!F401</f>
        <v/>
      </c>
      <c r="H408" s="7">
        <f>'1 prepared data'!G401</f>
        <v/>
      </c>
      <c r="I408" s="7">
        <f>'1 prepared data'!H401</f>
        <v/>
      </c>
      <c r="J408" s="7">
        <f>'1 prepared data'!I401</f>
        <v/>
      </c>
      <c r="K408" s="7">
        <f>'1 prepared data'!J401</f>
        <v/>
      </c>
      <c r="L408" s="7">
        <f>'1 prepared data'!K401</f>
        <v/>
      </c>
      <c r="M408" s="7">
        <f>'1 prepared data'!L401</f>
        <v/>
      </c>
      <c r="N408" s="7">
        <f>'1 prepared data'!M401</f>
        <v/>
      </c>
      <c r="O408" s="7">
        <f>'1 prepared data'!N401</f>
        <v/>
      </c>
      <c r="P408" s="7">
        <f>'1 prepared data'!O401</f>
        <v/>
      </c>
      <c r="Q408" s="7">
        <f>'1 prepared data'!P401</f>
        <v/>
      </c>
      <c r="R408" s="7">
        <f>'1 prepared data'!Q401</f>
        <v/>
      </c>
      <c r="S408" s="7">
        <f>'1 prepared data'!R401</f>
        <v/>
      </c>
      <c r="T408" s="7">
        <f>'1 prepared data'!S401</f>
        <v/>
      </c>
      <c r="U408" s="7">
        <f>'1 prepared data'!T401</f>
        <v/>
      </c>
      <c r="V408" s="8">
        <f>$AC$12+D408*$AC$13+E408*$AC$14+F408*$AC$15+G408*$AC$16+H408*$AC$17+I408*$AC$18+J408*$AC$19+K408*$AC$20+L408*$AC$21+M408*$AC$22+N408*$AC$23+O408*$AC$24+P408*$AC$25+Q408*$AC$26+R408*$AC$27+S408*$AC$28+T408*$AC$29+U408*$AC$30</f>
        <v/>
      </c>
      <c r="W408" s="8">
        <f>1/(1+EXP(-V408))</f>
        <v/>
      </c>
      <c r="X408" s="9">
        <f>-IF(C408=1,LN(W408),LN(1-W408))</f>
        <v/>
      </c>
      <c r="Y408" s="10">
        <f>IF(W408&gt;$AC$33,1,0)</f>
        <v/>
      </c>
      <c r="Z408">
        <f>IF(Y408=C408,1,0)</f>
        <v/>
      </c>
    </row>
    <row r="409">
      <c r="A409">
        <f>'1 prepared data'!A402</f>
        <v/>
      </c>
      <c r="B409" s="5">
        <f>'1 prepared data'!U402</f>
        <v/>
      </c>
      <c r="C409">
        <f>'1 prepared data'!B402</f>
        <v/>
      </c>
      <c r="D409" s="7">
        <f>'1 prepared data'!C402</f>
        <v/>
      </c>
      <c r="E409" s="7">
        <f>'1 prepared data'!D402</f>
        <v/>
      </c>
      <c r="F409" s="7">
        <f>'1 prepared data'!E402</f>
        <v/>
      </c>
      <c r="G409" s="7">
        <f>'1 prepared data'!F402</f>
        <v/>
      </c>
      <c r="H409" s="7">
        <f>'1 prepared data'!G402</f>
        <v/>
      </c>
      <c r="I409" s="7">
        <f>'1 prepared data'!H402</f>
        <v/>
      </c>
      <c r="J409" s="7">
        <f>'1 prepared data'!I402</f>
        <v/>
      </c>
      <c r="K409" s="7">
        <f>'1 prepared data'!J402</f>
        <v/>
      </c>
      <c r="L409" s="7">
        <f>'1 prepared data'!K402</f>
        <v/>
      </c>
      <c r="M409" s="7">
        <f>'1 prepared data'!L402</f>
        <v/>
      </c>
      <c r="N409" s="7">
        <f>'1 prepared data'!M402</f>
        <v/>
      </c>
      <c r="O409" s="7">
        <f>'1 prepared data'!N402</f>
        <v/>
      </c>
      <c r="P409" s="7">
        <f>'1 prepared data'!O402</f>
        <v/>
      </c>
      <c r="Q409" s="7">
        <f>'1 prepared data'!P402</f>
        <v/>
      </c>
      <c r="R409" s="7">
        <f>'1 prepared data'!Q402</f>
        <v/>
      </c>
      <c r="S409" s="7">
        <f>'1 prepared data'!R402</f>
        <v/>
      </c>
      <c r="T409" s="7">
        <f>'1 prepared data'!S402</f>
        <v/>
      </c>
      <c r="U409" s="7">
        <f>'1 prepared data'!T402</f>
        <v/>
      </c>
      <c r="V409" s="8">
        <f>$AC$12+D409*$AC$13+E409*$AC$14+F409*$AC$15+G409*$AC$16+H409*$AC$17+I409*$AC$18+J409*$AC$19+K409*$AC$20+L409*$AC$21+M409*$AC$22+N409*$AC$23+O409*$AC$24+P409*$AC$25+Q409*$AC$26+R409*$AC$27+S409*$AC$28+T409*$AC$29+U409*$AC$30</f>
        <v/>
      </c>
      <c r="W409" s="8">
        <f>1/(1+EXP(-V409))</f>
        <v/>
      </c>
      <c r="X409" s="9">
        <f>-IF(C409=1,LN(W409),LN(1-W409))</f>
        <v/>
      </c>
      <c r="Y409" s="10">
        <f>IF(W409&gt;$AC$33,1,0)</f>
        <v/>
      </c>
      <c r="Z409">
        <f>IF(Y409=C409,1,0)</f>
        <v/>
      </c>
    </row>
    <row r="410">
      <c r="A410">
        <f>'1 prepared data'!A403</f>
        <v/>
      </c>
      <c r="B410" s="5">
        <f>'1 prepared data'!U403</f>
        <v/>
      </c>
      <c r="C410">
        <f>'1 prepared data'!B403</f>
        <v/>
      </c>
      <c r="D410" s="7">
        <f>'1 prepared data'!C403</f>
        <v/>
      </c>
      <c r="E410" s="7">
        <f>'1 prepared data'!D403</f>
        <v/>
      </c>
      <c r="F410" s="7">
        <f>'1 prepared data'!E403</f>
        <v/>
      </c>
      <c r="G410" s="7">
        <f>'1 prepared data'!F403</f>
        <v/>
      </c>
      <c r="H410" s="7">
        <f>'1 prepared data'!G403</f>
        <v/>
      </c>
      <c r="I410" s="7">
        <f>'1 prepared data'!H403</f>
        <v/>
      </c>
      <c r="J410" s="7">
        <f>'1 prepared data'!I403</f>
        <v/>
      </c>
      <c r="K410" s="7">
        <f>'1 prepared data'!J403</f>
        <v/>
      </c>
      <c r="L410" s="7">
        <f>'1 prepared data'!K403</f>
        <v/>
      </c>
      <c r="M410" s="7">
        <f>'1 prepared data'!L403</f>
        <v/>
      </c>
      <c r="N410" s="7">
        <f>'1 prepared data'!M403</f>
        <v/>
      </c>
      <c r="O410" s="7">
        <f>'1 prepared data'!N403</f>
        <v/>
      </c>
      <c r="P410" s="7">
        <f>'1 prepared data'!O403</f>
        <v/>
      </c>
      <c r="Q410" s="7">
        <f>'1 prepared data'!P403</f>
        <v/>
      </c>
      <c r="R410" s="7">
        <f>'1 prepared data'!Q403</f>
        <v/>
      </c>
      <c r="S410" s="7">
        <f>'1 prepared data'!R403</f>
        <v/>
      </c>
      <c r="T410" s="7">
        <f>'1 prepared data'!S403</f>
        <v/>
      </c>
      <c r="U410" s="7">
        <f>'1 prepared data'!T403</f>
        <v/>
      </c>
      <c r="V410" s="8">
        <f>$AC$12+D410*$AC$13+E410*$AC$14+F410*$AC$15+G410*$AC$16+H410*$AC$17+I410*$AC$18+J410*$AC$19+K410*$AC$20+L410*$AC$21+M410*$AC$22+N410*$AC$23+O410*$AC$24+P410*$AC$25+Q410*$AC$26+R410*$AC$27+S410*$AC$28+T410*$AC$29+U410*$AC$30</f>
        <v/>
      </c>
      <c r="W410" s="8">
        <f>1/(1+EXP(-V410))</f>
        <v/>
      </c>
      <c r="X410" s="9">
        <f>-IF(C410=1,LN(W410),LN(1-W410))</f>
        <v/>
      </c>
      <c r="Y410" s="10">
        <f>IF(W410&gt;$AC$33,1,0)</f>
        <v/>
      </c>
      <c r="Z410">
        <f>IF(Y410=C410,1,0)</f>
        <v/>
      </c>
    </row>
    <row r="411">
      <c r="A411">
        <f>'1 prepared data'!A404</f>
        <v/>
      </c>
      <c r="B411" s="5">
        <f>'1 prepared data'!U404</f>
        <v/>
      </c>
      <c r="C411">
        <f>'1 prepared data'!B404</f>
        <v/>
      </c>
      <c r="D411" s="7">
        <f>'1 prepared data'!C404</f>
        <v/>
      </c>
      <c r="E411" s="7">
        <f>'1 prepared data'!D404</f>
        <v/>
      </c>
      <c r="F411" s="7">
        <f>'1 prepared data'!E404</f>
        <v/>
      </c>
      <c r="G411" s="7">
        <f>'1 prepared data'!F404</f>
        <v/>
      </c>
      <c r="H411" s="7">
        <f>'1 prepared data'!G404</f>
        <v/>
      </c>
      <c r="I411" s="7">
        <f>'1 prepared data'!H404</f>
        <v/>
      </c>
      <c r="J411" s="7">
        <f>'1 prepared data'!I404</f>
        <v/>
      </c>
      <c r="K411" s="7">
        <f>'1 prepared data'!J404</f>
        <v/>
      </c>
      <c r="L411" s="7">
        <f>'1 prepared data'!K404</f>
        <v/>
      </c>
      <c r="M411" s="7">
        <f>'1 prepared data'!L404</f>
        <v/>
      </c>
      <c r="N411" s="7">
        <f>'1 prepared data'!M404</f>
        <v/>
      </c>
      <c r="O411" s="7">
        <f>'1 prepared data'!N404</f>
        <v/>
      </c>
      <c r="P411" s="7">
        <f>'1 prepared data'!O404</f>
        <v/>
      </c>
      <c r="Q411" s="7">
        <f>'1 prepared data'!P404</f>
        <v/>
      </c>
      <c r="R411" s="7">
        <f>'1 prepared data'!Q404</f>
        <v/>
      </c>
      <c r="S411" s="7">
        <f>'1 prepared data'!R404</f>
        <v/>
      </c>
      <c r="T411" s="7">
        <f>'1 prepared data'!S404</f>
        <v/>
      </c>
      <c r="U411" s="7">
        <f>'1 prepared data'!T404</f>
        <v/>
      </c>
      <c r="V411" s="8">
        <f>$AC$12+D411*$AC$13+E411*$AC$14+F411*$AC$15+G411*$AC$16+H411*$AC$17+I411*$AC$18+J411*$AC$19+K411*$AC$20+L411*$AC$21+M411*$AC$22+N411*$AC$23+O411*$AC$24+P411*$AC$25+Q411*$AC$26+R411*$AC$27+S411*$AC$28+T411*$AC$29+U411*$AC$30</f>
        <v/>
      </c>
      <c r="W411" s="8">
        <f>1/(1+EXP(-V411))</f>
        <v/>
      </c>
      <c r="X411" s="9">
        <f>-IF(C411=1,LN(W411),LN(1-W411))</f>
        <v/>
      </c>
      <c r="Y411" s="10">
        <f>IF(W411&gt;$AC$33,1,0)</f>
        <v/>
      </c>
      <c r="Z411">
        <f>IF(Y411=C411,1,0)</f>
        <v/>
      </c>
    </row>
    <row r="412">
      <c r="A412">
        <f>'1 prepared data'!A405</f>
        <v/>
      </c>
      <c r="B412" s="5">
        <f>'1 prepared data'!U405</f>
        <v/>
      </c>
      <c r="C412">
        <f>'1 prepared data'!B405</f>
        <v/>
      </c>
      <c r="D412" s="7">
        <f>'1 prepared data'!C405</f>
        <v/>
      </c>
      <c r="E412" s="7">
        <f>'1 prepared data'!D405</f>
        <v/>
      </c>
      <c r="F412" s="7">
        <f>'1 prepared data'!E405</f>
        <v/>
      </c>
      <c r="G412" s="7">
        <f>'1 prepared data'!F405</f>
        <v/>
      </c>
      <c r="H412" s="7">
        <f>'1 prepared data'!G405</f>
        <v/>
      </c>
      <c r="I412" s="7">
        <f>'1 prepared data'!H405</f>
        <v/>
      </c>
      <c r="J412" s="7">
        <f>'1 prepared data'!I405</f>
        <v/>
      </c>
      <c r="K412" s="7">
        <f>'1 prepared data'!J405</f>
        <v/>
      </c>
      <c r="L412" s="7">
        <f>'1 prepared data'!K405</f>
        <v/>
      </c>
      <c r="M412" s="7">
        <f>'1 prepared data'!L405</f>
        <v/>
      </c>
      <c r="N412" s="7">
        <f>'1 prepared data'!M405</f>
        <v/>
      </c>
      <c r="O412" s="7">
        <f>'1 prepared data'!N405</f>
        <v/>
      </c>
      <c r="P412" s="7">
        <f>'1 prepared data'!O405</f>
        <v/>
      </c>
      <c r="Q412" s="7">
        <f>'1 prepared data'!P405</f>
        <v/>
      </c>
      <c r="R412" s="7">
        <f>'1 prepared data'!Q405</f>
        <v/>
      </c>
      <c r="S412" s="7">
        <f>'1 prepared data'!R405</f>
        <v/>
      </c>
      <c r="T412" s="7">
        <f>'1 prepared data'!S405</f>
        <v/>
      </c>
      <c r="U412" s="7">
        <f>'1 prepared data'!T405</f>
        <v/>
      </c>
      <c r="V412" s="8">
        <f>$AC$12+D412*$AC$13+E412*$AC$14+F412*$AC$15+G412*$AC$16+H412*$AC$17+I412*$AC$18+J412*$AC$19+K412*$AC$20+L412*$AC$21+M412*$AC$22+N412*$AC$23+O412*$AC$24+P412*$AC$25+Q412*$AC$26+R412*$AC$27+S412*$AC$28+T412*$AC$29+U412*$AC$30</f>
        <v/>
      </c>
      <c r="W412" s="8">
        <f>1/(1+EXP(-V412))</f>
        <v/>
      </c>
      <c r="X412" s="9">
        <f>-IF(C412=1,LN(W412),LN(1-W412))</f>
        <v/>
      </c>
      <c r="Y412" s="10">
        <f>IF(W412&gt;$AC$33,1,0)</f>
        <v/>
      </c>
      <c r="Z412">
        <f>IF(Y412=C412,1,0)</f>
        <v/>
      </c>
    </row>
    <row r="413">
      <c r="A413">
        <f>'1 prepared data'!A406</f>
        <v/>
      </c>
      <c r="B413" s="5">
        <f>'1 prepared data'!U406</f>
        <v/>
      </c>
      <c r="C413">
        <f>'1 prepared data'!B406</f>
        <v/>
      </c>
      <c r="D413" s="7">
        <f>'1 prepared data'!C406</f>
        <v/>
      </c>
      <c r="E413" s="7">
        <f>'1 prepared data'!D406</f>
        <v/>
      </c>
      <c r="F413" s="7">
        <f>'1 prepared data'!E406</f>
        <v/>
      </c>
      <c r="G413" s="7">
        <f>'1 prepared data'!F406</f>
        <v/>
      </c>
      <c r="H413" s="7">
        <f>'1 prepared data'!G406</f>
        <v/>
      </c>
      <c r="I413" s="7">
        <f>'1 prepared data'!H406</f>
        <v/>
      </c>
      <c r="J413" s="7">
        <f>'1 prepared data'!I406</f>
        <v/>
      </c>
      <c r="K413" s="7">
        <f>'1 prepared data'!J406</f>
        <v/>
      </c>
      <c r="L413" s="7">
        <f>'1 prepared data'!K406</f>
        <v/>
      </c>
      <c r="M413" s="7">
        <f>'1 prepared data'!L406</f>
        <v/>
      </c>
      <c r="N413" s="7">
        <f>'1 prepared data'!M406</f>
        <v/>
      </c>
      <c r="O413" s="7">
        <f>'1 prepared data'!N406</f>
        <v/>
      </c>
      <c r="P413" s="7">
        <f>'1 prepared data'!O406</f>
        <v/>
      </c>
      <c r="Q413" s="7">
        <f>'1 prepared data'!P406</f>
        <v/>
      </c>
      <c r="R413" s="7">
        <f>'1 prepared data'!Q406</f>
        <v/>
      </c>
      <c r="S413" s="7">
        <f>'1 prepared data'!R406</f>
        <v/>
      </c>
      <c r="T413" s="7">
        <f>'1 prepared data'!S406</f>
        <v/>
      </c>
      <c r="U413" s="7">
        <f>'1 prepared data'!T406</f>
        <v/>
      </c>
      <c r="V413" s="8">
        <f>$AC$12+D413*$AC$13+E413*$AC$14+F413*$AC$15+G413*$AC$16+H413*$AC$17+I413*$AC$18+J413*$AC$19+K413*$AC$20+L413*$AC$21+M413*$AC$22+N413*$AC$23+O413*$AC$24+P413*$AC$25+Q413*$AC$26+R413*$AC$27+S413*$AC$28+T413*$AC$29+U413*$AC$30</f>
        <v/>
      </c>
      <c r="W413" s="8">
        <f>1/(1+EXP(-V413))</f>
        <v/>
      </c>
      <c r="X413" s="9">
        <f>-IF(C413=1,LN(W413),LN(1-W413))</f>
        <v/>
      </c>
      <c r="Y413" s="10">
        <f>IF(W413&gt;$AC$33,1,0)</f>
        <v/>
      </c>
      <c r="Z413">
        <f>IF(Y413=C413,1,0)</f>
        <v/>
      </c>
    </row>
    <row r="414">
      <c r="A414">
        <f>'1 prepared data'!A407</f>
        <v/>
      </c>
      <c r="B414" s="5">
        <f>'1 prepared data'!U407</f>
        <v/>
      </c>
      <c r="C414">
        <f>'1 prepared data'!B407</f>
        <v/>
      </c>
      <c r="D414" s="7">
        <f>'1 prepared data'!C407</f>
        <v/>
      </c>
      <c r="E414" s="7">
        <f>'1 prepared data'!D407</f>
        <v/>
      </c>
      <c r="F414" s="7">
        <f>'1 prepared data'!E407</f>
        <v/>
      </c>
      <c r="G414" s="7">
        <f>'1 prepared data'!F407</f>
        <v/>
      </c>
      <c r="H414" s="7">
        <f>'1 prepared data'!G407</f>
        <v/>
      </c>
      <c r="I414" s="7">
        <f>'1 prepared data'!H407</f>
        <v/>
      </c>
      <c r="J414" s="7">
        <f>'1 prepared data'!I407</f>
        <v/>
      </c>
      <c r="K414" s="7">
        <f>'1 prepared data'!J407</f>
        <v/>
      </c>
      <c r="L414" s="7">
        <f>'1 prepared data'!K407</f>
        <v/>
      </c>
      <c r="M414" s="7">
        <f>'1 prepared data'!L407</f>
        <v/>
      </c>
      <c r="N414" s="7">
        <f>'1 prepared data'!M407</f>
        <v/>
      </c>
      <c r="O414" s="7">
        <f>'1 prepared data'!N407</f>
        <v/>
      </c>
      <c r="P414" s="7">
        <f>'1 prepared data'!O407</f>
        <v/>
      </c>
      <c r="Q414" s="7">
        <f>'1 prepared data'!P407</f>
        <v/>
      </c>
      <c r="R414" s="7">
        <f>'1 prepared data'!Q407</f>
        <v/>
      </c>
      <c r="S414" s="7">
        <f>'1 prepared data'!R407</f>
        <v/>
      </c>
      <c r="T414" s="7">
        <f>'1 prepared data'!S407</f>
        <v/>
      </c>
      <c r="U414" s="7">
        <f>'1 prepared data'!T407</f>
        <v/>
      </c>
      <c r="V414" s="8">
        <f>$AC$12+D414*$AC$13+E414*$AC$14+F414*$AC$15+G414*$AC$16+H414*$AC$17+I414*$AC$18+J414*$AC$19+K414*$AC$20+L414*$AC$21+M414*$AC$22+N414*$AC$23+O414*$AC$24+P414*$AC$25+Q414*$AC$26+R414*$AC$27+S414*$AC$28+T414*$AC$29+U414*$AC$30</f>
        <v/>
      </c>
      <c r="W414" s="8">
        <f>1/(1+EXP(-V414))</f>
        <v/>
      </c>
      <c r="X414" s="9">
        <f>-IF(C414=1,LN(W414),LN(1-W414))</f>
        <v/>
      </c>
      <c r="Y414" s="10">
        <f>IF(W414&gt;$AC$33,1,0)</f>
        <v/>
      </c>
      <c r="Z414">
        <f>IF(Y414=C414,1,0)</f>
        <v/>
      </c>
    </row>
    <row r="415">
      <c r="A415">
        <f>'1 prepared data'!A408</f>
        <v/>
      </c>
      <c r="B415" s="5">
        <f>'1 prepared data'!U408</f>
        <v/>
      </c>
      <c r="C415">
        <f>'1 prepared data'!B408</f>
        <v/>
      </c>
      <c r="D415" s="7">
        <f>'1 prepared data'!C408</f>
        <v/>
      </c>
      <c r="E415" s="7">
        <f>'1 prepared data'!D408</f>
        <v/>
      </c>
      <c r="F415" s="7">
        <f>'1 prepared data'!E408</f>
        <v/>
      </c>
      <c r="G415" s="7">
        <f>'1 prepared data'!F408</f>
        <v/>
      </c>
      <c r="H415" s="7">
        <f>'1 prepared data'!G408</f>
        <v/>
      </c>
      <c r="I415" s="7">
        <f>'1 prepared data'!H408</f>
        <v/>
      </c>
      <c r="J415" s="7">
        <f>'1 prepared data'!I408</f>
        <v/>
      </c>
      <c r="K415" s="7">
        <f>'1 prepared data'!J408</f>
        <v/>
      </c>
      <c r="L415" s="7">
        <f>'1 prepared data'!K408</f>
        <v/>
      </c>
      <c r="M415" s="7">
        <f>'1 prepared data'!L408</f>
        <v/>
      </c>
      <c r="N415" s="7">
        <f>'1 prepared data'!M408</f>
        <v/>
      </c>
      <c r="O415" s="7">
        <f>'1 prepared data'!N408</f>
        <v/>
      </c>
      <c r="P415" s="7">
        <f>'1 prepared data'!O408</f>
        <v/>
      </c>
      <c r="Q415" s="7">
        <f>'1 prepared data'!P408</f>
        <v/>
      </c>
      <c r="R415" s="7">
        <f>'1 prepared data'!Q408</f>
        <v/>
      </c>
      <c r="S415" s="7">
        <f>'1 prepared data'!R408</f>
        <v/>
      </c>
      <c r="T415" s="7">
        <f>'1 prepared data'!S408</f>
        <v/>
      </c>
      <c r="U415" s="7">
        <f>'1 prepared data'!T408</f>
        <v/>
      </c>
      <c r="V415" s="8">
        <f>$AC$12+D415*$AC$13+E415*$AC$14+F415*$AC$15+G415*$AC$16+H415*$AC$17+I415*$AC$18+J415*$AC$19+K415*$AC$20+L415*$AC$21+M415*$AC$22+N415*$AC$23+O415*$AC$24+P415*$AC$25+Q415*$AC$26+R415*$AC$27+S415*$AC$28+T415*$AC$29+U415*$AC$30</f>
        <v/>
      </c>
      <c r="W415" s="8">
        <f>1/(1+EXP(-V415))</f>
        <v/>
      </c>
      <c r="X415" s="9">
        <f>-IF(C415=1,LN(W415),LN(1-W415))</f>
        <v/>
      </c>
      <c r="Y415" s="10">
        <f>IF(W415&gt;$AC$33,1,0)</f>
        <v/>
      </c>
      <c r="Z415">
        <f>IF(Y415=C415,1,0)</f>
        <v/>
      </c>
    </row>
    <row r="416">
      <c r="A416">
        <f>'1 prepared data'!A409</f>
        <v/>
      </c>
      <c r="B416" s="5">
        <f>'1 prepared data'!U409</f>
        <v/>
      </c>
      <c r="C416">
        <f>'1 prepared data'!B409</f>
        <v/>
      </c>
      <c r="D416" s="7">
        <f>'1 prepared data'!C409</f>
        <v/>
      </c>
      <c r="E416" s="7">
        <f>'1 prepared data'!D409</f>
        <v/>
      </c>
      <c r="F416" s="7">
        <f>'1 prepared data'!E409</f>
        <v/>
      </c>
      <c r="G416" s="7">
        <f>'1 prepared data'!F409</f>
        <v/>
      </c>
      <c r="H416" s="7">
        <f>'1 prepared data'!G409</f>
        <v/>
      </c>
      <c r="I416" s="7">
        <f>'1 prepared data'!H409</f>
        <v/>
      </c>
      <c r="J416" s="7">
        <f>'1 prepared data'!I409</f>
        <v/>
      </c>
      <c r="K416" s="7">
        <f>'1 prepared data'!J409</f>
        <v/>
      </c>
      <c r="L416" s="7">
        <f>'1 prepared data'!K409</f>
        <v/>
      </c>
      <c r="M416" s="7">
        <f>'1 prepared data'!L409</f>
        <v/>
      </c>
      <c r="N416" s="7">
        <f>'1 prepared data'!M409</f>
        <v/>
      </c>
      <c r="O416" s="7">
        <f>'1 prepared data'!N409</f>
        <v/>
      </c>
      <c r="P416" s="7">
        <f>'1 prepared data'!O409</f>
        <v/>
      </c>
      <c r="Q416" s="7">
        <f>'1 prepared data'!P409</f>
        <v/>
      </c>
      <c r="R416" s="7">
        <f>'1 prepared data'!Q409</f>
        <v/>
      </c>
      <c r="S416" s="7">
        <f>'1 prepared data'!R409</f>
        <v/>
      </c>
      <c r="T416" s="7">
        <f>'1 prepared data'!S409</f>
        <v/>
      </c>
      <c r="U416" s="7">
        <f>'1 prepared data'!T409</f>
        <v/>
      </c>
      <c r="V416" s="8">
        <f>$AC$12+D416*$AC$13+E416*$AC$14+F416*$AC$15+G416*$AC$16+H416*$AC$17+I416*$AC$18+J416*$AC$19+K416*$AC$20+L416*$AC$21+M416*$AC$22+N416*$AC$23+O416*$AC$24+P416*$AC$25+Q416*$AC$26+R416*$AC$27+S416*$AC$28+T416*$AC$29+U416*$AC$30</f>
        <v/>
      </c>
      <c r="W416" s="8">
        <f>1/(1+EXP(-V416))</f>
        <v/>
      </c>
      <c r="X416" s="9">
        <f>-IF(C416=1,LN(W416),LN(1-W416))</f>
        <v/>
      </c>
      <c r="Y416" s="10">
        <f>IF(W416&gt;$AC$33,1,0)</f>
        <v/>
      </c>
      <c r="Z416">
        <f>IF(Y416=C416,1,0)</f>
        <v/>
      </c>
    </row>
    <row r="417">
      <c r="A417">
        <f>'1 prepared data'!A410</f>
        <v/>
      </c>
      <c r="B417" s="5">
        <f>'1 prepared data'!U410</f>
        <v/>
      </c>
      <c r="C417">
        <f>'1 prepared data'!B410</f>
        <v/>
      </c>
      <c r="D417" s="7">
        <f>'1 prepared data'!C410</f>
        <v/>
      </c>
      <c r="E417" s="7">
        <f>'1 prepared data'!D410</f>
        <v/>
      </c>
      <c r="F417" s="7">
        <f>'1 prepared data'!E410</f>
        <v/>
      </c>
      <c r="G417" s="7">
        <f>'1 prepared data'!F410</f>
        <v/>
      </c>
      <c r="H417" s="7">
        <f>'1 prepared data'!G410</f>
        <v/>
      </c>
      <c r="I417" s="7">
        <f>'1 prepared data'!H410</f>
        <v/>
      </c>
      <c r="J417" s="7">
        <f>'1 prepared data'!I410</f>
        <v/>
      </c>
      <c r="K417" s="7">
        <f>'1 prepared data'!J410</f>
        <v/>
      </c>
      <c r="L417" s="7">
        <f>'1 prepared data'!K410</f>
        <v/>
      </c>
      <c r="M417" s="7">
        <f>'1 prepared data'!L410</f>
        <v/>
      </c>
      <c r="N417" s="7">
        <f>'1 prepared data'!M410</f>
        <v/>
      </c>
      <c r="O417" s="7">
        <f>'1 prepared data'!N410</f>
        <v/>
      </c>
      <c r="P417" s="7">
        <f>'1 prepared data'!O410</f>
        <v/>
      </c>
      <c r="Q417" s="7">
        <f>'1 prepared data'!P410</f>
        <v/>
      </c>
      <c r="R417" s="7">
        <f>'1 prepared data'!Q410</f>
        <v/>
      </c>
      <c r="S417" s="7">
        <f>'1 prepared data'!R410</f>
        <v/>
      </c>
      <c r="T417" s="7">
        <f>'1 prepared data'!S410</f>
        <v/>
      </c>
      <c r="U417" s="7">
        <f>'1 prepared data'!T410</f>
        <v/>
      </c>
      <c r="V417" s="8">
        <f>$AC$12+D417*$AC$13+E417*$AC$14+F417*$AC$15+G417*$AC$16+H417*$AC$17+I417*$AC$18+J417*$AC$19+K417*$AC$20+L417*$AC$21+M417*$AC$22+N417*$AC$23+O417*$AC$24+P417*$AC$25+Q417*$AC$26+R417*$AC$27+S417*$AC$28+T417*$AC$29+U417*$AC$30</f>
        <v/>
      </c>
      <c r="W417" s="8">
        <f>1/(1+EXP(-V417))</f>
        <v/>
      </c>
      <c r="X417" s="9">
        <f>-IF(C417=1,LN(W417),LN(1-W417))</f>
        <v/>
      </c>
      <c r="Y417" s="10">
        <f>IF(W417&gt;$AC$33,1,0)</f>
        <v/>
      </c>
      <c r="Z417">
        <f>IF(Y417=C417,1,0)</f>
        <v/>
      </c>
    </row>
    <row r="418">
      <c r="A418">
        <f>'1 prepared data'!A411</f>
        <v/>
      </c>
      <c r="B418" s="5">
        <f>'1 prepared data'!U411</f>
        <v/>
      </c>
      <c r="C418">
        <f>'1 prepared data'!B411</f>
        <v/>
      </c>
      <c r="D418" s="7">
        <f>'1 prepared data'!C411</f>
        <v/>
      </c>
      <c r="E418" s="7">
        <f>'1 prepared data'!D411</f>
        <v/>
      </c>
      <c r="F418" s="7">
        <f>'1 prepared data'!E411</f>
        <v/>
      </c>
      <c r="G418" s="7">
        <f>'1 prepared data'!F411</f>
        <v/>
      </c>
      <c r="H418" s="7">
        <f>'1 prepared data'!G411</f>
        <v/>
      </c>
      <c r="I418" s="7">
        <f>'1 prepared data'!H411</f>
        <v/>
      </c>
      <c r="J418" s="7">
        <f>'1 prepared data'!I411</f>
        <v/>
      </c>
      <c r="K418" s="7">
        <f>'1 prepared data'!J411</f>
        <v/>
      </c>
      <c r="L418" s="7">
        <f>'1 prepared data'!K411</f>
        <v/>
      </c>
      <c r="M418" s="7">
        <f>'1 prepared data'!L411</f>
        <v/>
      </c>
      <c r="N418" s="7">
        <f>'1 prepared data'!M411</f>
        <v/>
      </c>
      <c r="O418" s="7">
        <f>'1 prepared data'!N411</f>
        <v/>
      </c>
      <c r="P418" s="7">
        <f>'1 prepared data'!O411</f>
        <v/>
      </c>
      <c r="Q418" s="7">
        <f>'1 prepared data'!P411</f>
        <v/>
      </c>
      <c r="R418" s="7">
        <f>'1 prepared data'!Q411</f>
        <v/>
      </c>
      <c r="S418" s="7">
        <f>'1 prepared data'!R411</f>
        <v/>
      </c>
      <c r="T418" s="7">
        <f>'1 prepared data'!S411</f>
        <v/>
      </c>
      <c r="U418" s="7">
        <f>'1 prepared data'!T411</f>
        <v/>
      </c>
      <c r="V418" s="8">
        <f>$AC$12+D418*$AC$13+E418*$AC$14+F418*$AC$15+G418*$AC$16+H418*$AC$17+I418*$AC$18+J418*$AC$19+K418*$AC$20+L418*$AC$21+M418*$AC$22+N418*$AC$23+O418*$AC$24+P418*$AC$25+Q418*$AC$26+R418*$AC$27+S418*$AC$28+T418*$AC$29+U418*$AC$30</f>
        <v/>
      </c>
      <c r="W418" s="8">
        <f>1/(1+EXP(-V418))</f>
        <v/>
      </c>
      <c r="X418" s="9">
        <f>-IF(C418=1,LN(W418),LN(1-W418))</f>
        <v/>
      </c>
      <c r="Y418" s="10">
        <f>IF(W418&gt;$AC$33,1,0)</f>
        <v/>
      </c>
      <c r="Z418">
        <f>IF(Y418=C418,1,0)</f>
        <v/>
      </c>
    </row>
    <row r="419">
      <c r="A419">
        <f>'1 prepared data'!A412</f>
        <v/>
      </c>
      <c r="B419" s="5">
        <f>'1 prepared data'!U412</f>
        <v/>
      </c>
      <c r="C419">
        <f>'1 prepared data'!B412</f>
        <v/>
      </c>
      <c r="D419" s="7">
        <f>'1 prepared data'!C412</f>
        <v/>
      </c>
      <c r="E419" s="7">
        <f>'1 prepared data'!D412</f>
        <v/>
      </c>
      <c r="F419" s="7">
        <f>'1 prepared data'!E412</f>
        <v/>
      </c>
      <c r="G419" s="7">
        <f>'1 prepared data'!F412</f>
        <v/>
      </c>
      <c r="H419" s="7">
        <f>'1 prepared data'!G412</f>
        <v/>
      </c>
      <c r="I419" s="7">
        <f>'1 prepared data'!H412</f>
        <v/>
      </c>
      <c r="J419" s="7">
        <f>'1 prepared data'!I412</f>
        <v/>
      </c>
      <c r="K419" s="7">
        <f>'1 prepared data'!J412</f>
        <v/>
      </c>
      <c r="L419" s="7">
        <f>'1 prepared data'!K412</f>
        <v/>
      </c>
      <c r="M419" s="7">
        <f>'1 prepared data'!L412</f>
        <v/>
      </c>
      <c r="N419" s="7">
        <f>'1 prepared data'!M412</f>
        <v/>
      </c>
      <c r="O419" s="7">
        <f>'1 prepared data'!N412</f>
        <v/>
      </c>
      <c r="P419" s="7">
        <f>'1 prepared data'!O412</f>
        <v/>
      </c>
      <c r="Q419" s="7">
        <f>'1 prepared data'!P412</f>
        <v/>
      </c>
      <c r="R419" s="7">
        <f>'1 prepared data'!Q412</f>
        <v/>
      </c>
      <c r="S419" s="7">
        <f>'1 prepared data'!R412</f>
        <v/>
      </c>
      <c r="T419" s="7">
        <f>'1 prepared data'!S412</f>
        <v/>
      </c>
      <c r="U419" s="7">
        <f>'1 prepared data'!T412</f>
        <v/>
      </c>
      <c r="V419" s="8">
        <f>$AC$12+D419*$AC$13+E419*$AC$14+F419*$AC$15+G419*$AC$16+H419*$AC$17+I419*$AC$18+J419*$AC$19+K419*$AC$20+L419*$AC$21+M419*$AC$22+N419*$AC$23+O419*$AC$24+P419*$AC$25+Q419*$AC$26+R419*$AC$27+S419*$AC$28+T419*$AC$29+U419*$AC$30</f>
        <v/>
      </c>
      <c r="W419" s="8">
        <f>1/(1+EXP(-V419))</f>
        <v/>
      </c>
      <c r="X419" s="9">
        <f>-IF(C419=1,LN(W419),LN(1-W419))</f>
        <v/>
      </c>
      <c r="Y419" s="10">
        <f>IF(W419&gt;$AC$33,1,0)</f>
        <v/>
      </c>
      <c r="Z419">
        <f>IF(Y419=C419,1,0)</f>
        <v/>
      </c>
    </row>
    <row r="420">
      <c r="A420">
        <f>'1 prepared data'!A413</f>
        <v/>
      </c>
      <c r="B420" s="5">
        <f>'1 prepared data'!U413</f>
        <v/>
      </c>
      <c r="C420">
        <f>'1 prepared data'!B413</f>
        <v/>
      </c>
      <c r="D420" s="7">
        <f>'1 prepared data'!C413</f>
        <v/>
      </c>
      <c r="E420" s="7">
        <f>'1 prepared data'!D413</f>
        <v/>
      </c>
      <c r="F420" s="7">
        <f>'1 prepared data'!E413</f>
        <v/>
      </c>
      <c r="G420" s="7">
        <f>'1 prepared data'!F413</f>
        <v/>
      </c>
      <c r="H420" s="7">
        <f>'1 prepared data'!G413</f>
        <v/>
      </c>
      <c r="I420" s="7">
        <f>'1 prepared data'!H413</f>
        <v/>
      </c>
      <c r="J420" s="7">
        <f>'1 prepared data'!I413</f>
        <v/>
      </c>
      <c r="K420" s="7">
        <f>'1 prepared data'!J413</f>
        <v/>
      </c>
      <c r="L420" s="7">
        <f>'1 prepared data'!K413</f>
        <v/>
      </c>
      <c r="M420" s="7">
        <f>'1 prepared data'!L413</f>
        <v/>
      </c>
      <c r="N420" s="7">
        <f>'1 prepared data'!M413</f>
        <v/>
      </c>
      <c r="O420" s="7">
        <f>'1 prepared data'!N413</f>
        <v/>
      </c>
      <c r="P420" s="7">
        <f>'1 prepared data'!O413</f>
        <v/>
      </c>
      <c r="Q420" s="7">
        <f>'1 prepared data'!P413</f>
        <v/>
      </c>
      <c r="R420" s="7">
        <f>'1 prepared data'!Q413</f>
        <v/>
      </c>
      <c r="S420" s="7">
        <f>'1 prepared data'!R413</f>
        <v/>
      </c>
      <c r="T420" s="7">
        <f>'1 prepared data'!S413</f>
        <v/>
      </c>
      <c r="U420" s="7">
        <f>'1 prepared data'!T413</f>
        <v/>
      </c>
      <c r="V420" s="8">
        <f>$AC$12+D420*$AC$13+E420*$AC$14+F420*$AC$15+G420*$AC$16+H420*$AC$17+I420*$AC$18+J420*$AC$19+K420*$AC$20+L420*$AC$21+M420*$AC$22+N420*$AC$23+O420*$AC$24+P420*$AC$25+Q420*$AC$26+R420*$AC$27+S420*$AC$28+T420*$AC$29+U420*$AC$30</f>
        <v/>
      </c>
      <c r="W420" s="8">
        <f>1/(1+EXP(-V420))</f>
        <v/>
      </c>
      <c r="X420" s="9">
        <f>-IF(C420=1,LN(W420),LN(1-W420))</f>
        <v/>
      </c>
      <c r="Y420" s="10">
        <f>IF(W420&gt;$AC$33,1,0)</f>
        <v/>
      </c>
      <c r="Z420">
        <f>IF(Y420=C420,1,0)</f>
        <v/>
      </c>
    </row>
    <row r="421">
      <c r="A421">
        <f>'1 prepared data'!A414</f>
        <v/>
      </c>
      <c r="B421" s="5">
        <f>'1 prepared data'!U414</f>
        <v/>
      </c>
      <c r="C421">
        <f>'1 prepared data'!B414</f>
        <v/>
      </c>
      <c r="D421" s="7">
        <f>'1 prepared data'!C414</f>
        <v/>
      </c>
      <c r="E421" s="7">
        <f>'1 prepared data'!D414</f>
        <v/>
      </c>
      <c r="F421" s="7">
        <f>'1 prepared data'!E414</f>
        <v/>
      </c>
      <c r="G421" s="7">
        <f>'1 prepared data'!F414</f>
        <v/>
      </c>
      <c r="H421" s="7">
        <f>'1 prepared data'!G414</f>
        <v/>
      </c>
      <c r="I421" s="7">
        <f>'1 prepared data'!H414</f>
        <v/>
      </c>
      <c r="J421" s="7">
        <f>'1 prepared data'!I414</f>
        <v/>
      </c>
      <c r="K421" s="7">
        <f>'1 prepared data'!J414</f>
        <v/>
      </c>
      <c r="L421" s="7">
        <f>'1 prepared data'!K414</f>
        <v/>
      </c>
      <c r="M421" s="7">
        <f>'1 prepared data'!L414</f>
        <v/>
      </c>
      <c r="N421" s="7">
        <f>'1 prepared data'!M414</f>
        <v/>
      </c>
      <c r="O421" s="7">
        <f>'1 prepared data'!N414</f>
        <v/>
      </c>
      <c r="P421" s="7">
        <f>'1 prepared data'!O414</f>
        <v/>
      </c>
      <c r="Q421" s="7">
        <f>'1 prepared data'!P414</f>
        <v/>
      </c>
      <c r="R421" s="7">
        <f>'1 prepared data'!Q414</f>
        <v/>
      </c>
      <c r="S421" s="7">
        <f>'1 prepared data'!R414</f>
        <v/>
      </c>
      <c r="T421" s="7">
        <f>'1 prepared data'!S414</f>
        <v/>
      </c>
      <c r="U421" s="7">
        <f>'1 prepared data'!T414</f>
        <v/>
      </c>
      <c r="V421" s="8">
        <f>$AC$12+D421*$AC$13+E421*$AC$14+F421*$AC$15+G421*$AC$16+H421*$AC$17+I421*$AC$18+J421*$AC$19+K421*$AC$20+L421*$AC$21+M421*$AC$22+N421*$AC$23+O421*$AC$24+P421*$AC$25+Q421*$AC$26+R421*$AC$27+S421*$AC$28+T421*$AC$29+U421*$AC$30</f>
        <v/>
      </c>
      <c r="W421" s="8">
        <f>1/(1+EXP(-V421))</f>
        <v/>
      </c>
      <c r="X421" s="9">
        <f>-IF(C421=1,LN(W421),LN(1-W421))</f>
        <v/>
      </c>
      <c r="Y421" s="10">
        <f>IF(W421&gt;$AC$33,1,0)</f>
        <v/>
      </c>
      <c r="Z421">
        <f>IF(Y421=C421,1,0)</f>
        <v/>
      </c>
    </row>
    <row r="422">
      <c r="A422">
        <f>'1 prepared data'!A415</f>
        <v/>
      </c>
      <c r="B422" s="5">
        <f>'1 prepared data'!U415</f>
        <v/>
      </c>
      <c r="C422">
        <f>'1 prepared data'!B415</f>
        <v/>
      </c>
      <c r="D422" s="7">
        <f>'1 prepared data'!C415</f>
        <v/>
      </c>
      <c r="E422" s="7">
        <f>'1 prepared data'!D415</f>
        <v/>
      </c>
      <c r="F422" s="7">
        <f>'1 prepared data'!E415</f>
        <v/>
      </c>
      <c r="G422" s="7">
        <f>'1 prepared data'!F415</f>
        <v/>
      </c>
      <c r="H422" s="7">
        <f>'1 prepared data'!G415</f>
        <v/>
      </c>
      <c r="I422" s="7">
        <f>'1 prepared data'!H415</f>
        <v/>
      </c>
      <c r="J422" s="7">
        <f>'1 prepared data'!I415</f>
        <v/>
      </c>
      <c r="K422" s="7">
        <f>'1 prepared data'!J415</f>
        <v/>
      </c>
      <c r="L422" s="7">
        <f>'1 prepared data'!K415</f>
        <v/>
      </c>
      <c r="M422" s="7">
        <f>'1 prepared data'!L415</f>
        <v/>
      </c>
      <c r="N422" s="7">
        <f>'1 prepared data'!M415</f>
        <v/>
      </c>
      <c r="O422" s="7">
        <f>'1 prepared data'!N415</f>
        <v/>
      </c>
      <c r="P422" s="7">
        <f>'1 prepared data'!O415</f>
        <v/>
      </c>
      <c r="Q422" s="7">
        <f>'1 prepared data'!P415</f>
        <v/>
      </c>
      <c r="R422" s="7">
        <f>'1 prepared data'!Q415</f>
        <v/>
      </c>
      <c r="S422" s="7">
        <f>'1 prepared data'!R415</f>
        <v/>
      </c>
      <c r="T422" s="7">
        <f>'1 prepared data'!S415</f>
        <v/>
      </c>
      <c r="U422" s="7">
        <f>'1 prepared data'!T415</f>
        <v/>
      </c>
      <c r="V422" s="8">
        <f>$AC$12+D422*$AC$13+E422*$AC$14+F422*$AC$15+G422*$AC$16+H422*$AC$17+I422*$AC$18+J422*$AC$19+K422*$AC$20+L422*$AC$21+M422*$AC$22+N422*$AC$23+O422*$AC$24+P422*$AC$25+Q422*$AC$26+R422*$AC$27+S422*$AC$28+T422*$AC$29+U422*$AC$30</f>
        <v/>
      </c>
      <c r="W422" s="8">
        <f>1/(1+EXP(-V422))</f>
        <v/>
      </c>
      <c r="X422" s="9">
        <f>-IF(C422=1,LN(W422),LN(1-W422))</f>
        <v/>
      </c>
      <c r="Y422" s="10">
        <f>IF(W422&gt;$AC$33,1,0)</f>
        <v/>
      </c>
      <c r="Z422">
        <f>IF(Y422=C422,1,0)</f>
        <v/>
      </c>
    </row>
    <row r="423">
      <c r="A423">
        <f>'1 prepared data'!A416</f>
        <v/>
      </c>
      <c r="B423" s="5">
        <f>'1 prepared data'!U416</f>
        <v/>
      </c>
      <c r="C423">
        <f>'1 prepared data'!B416</f>
        <v/>
      </c>
      <c r="D423" s="7">
        <f>'1 prepared data'!C416</f>
        <v/>
      </c>
      <c r="E423" s="7">
        <f>'1 prepared data'!D416</f>
        <v/>
      </c>
      <c r="F423" s="7">
        <f>'1 prepared data'!E416</f>
        <v/>
      </c>
      <c r="G423" s="7">
        <f>'1 prepared data'!F416</f>
        <v/>
      </c>
      <c r="H423" s="7">
        <f>'1 prepared data'!G416</f>
        <v/>
      </c>
      <c r="I423" s="7">
        <f>'1 prepared data'!H416</f>
        <v/>
      </c>
      <c r="J423" s="7">
        <f>'1 prepared data'!I416</f>
        <v/>
      </c>
      <c r="K423" s="7">
        <f>'1 prepared data'!J416</f>
        <v/>
      </c>
      <c r="L423" s="7">
        <f>'1 prepared data'!K416</f>
        <v/>
      </c>
      <c r="M423" s="7">
        <f>'1 prepared data'!L416</f>
        <v/>
      </c>
      <c r="N423" s="7">
        <f>'1 prepared data'!M416</f>
        <v/>
      </c>
      <c r="O423" s="7">
        <f>'1 prepared data'!N416</f>
        <v/>
      </c>
      <c r="P423" s="7">
        <f>'1 prepared data'!O416</f>
        <v/>
      </c>
      <c r="Q423" s="7">
        <f>'1 prepared data'!P416</f>
        <v/>
      </c>
      <c r="R423" s="7">
        <f>'1 prepared data'!Q416</f>
        <v/>
      </c>
      <c r="S423" s="7">
        <f>'1 prepared data'!R416</f>
        <v/>
      </c>
      <c r="T423" s="7">
        <f>'1 prepared data'!S416</f>
        <v/>
      </c>
      <c r="U423" s="7">
        <f>'1 prepared data'!T416</f>
        <v/>
      </c>
      <c r="V423" s="8">
        <f>$AC$12+D423*$AC$13+E423*$AC$14+F423*$AC$15+G423*$AC$16+H423*$AC$17+I423*$AC$18+J423*$AC$19+K423*$AC$20+L423*$AC$21+M423*$AC$22+N423*$AC$23+O423*$AC$24+P423*$AC$25+Q423*$AC$26+R423*$AC$27+S423*$AC$28+T423*$AC$29+U423*$AC$30</f>
        <v/>
      </c>
      <c r="W423" s="8">
        <f>1/(1+EXP(-V423))</f>
        <v/>
      </c>
      <c r="X423" s="9">
        <f>-IF(C423=1,LN(W423),LN(1-W423))</f>
        <v/>
      </c>
      <c r="Y423" s="10">
        <f>IF(W423&gt;$AC$33,1,0)</f>
        <v/>
      </c>
      <c r="Z423">
        <f>IF(Y423=C423,1,0)</f>
        <v/>
      </c>
    </row>
    <row r="424">
      <c r="A424">
        <f>'1 prepared data'!A417</f>
        <v/>
      </c>
      <c r="B424" s="5">
        <f>'1 prepared data'!U417</f>
        <v/>
      </c>
      <c r="C424">
        <f>'1 prepared data'!B417</f>
        <v/>
      </c>
      <c r="D424" s="7">
        <f>'1 prepared data'!C417</f>
        <v/>
      </c>
      <c r="E424" s="7">
        <f>'1 prepared data'!D417</f>
        <v/>
      </c>
      <c r="F424" s="7">
        <f>'1 prepared data'!E417</f>
        <v/>
      </c>
      <c r="G424" s="7">
        <f>'1 prepared data'!F417</f>
        <v/>
      </c>
      <c r="H424" s="7">
        <f>'1 prepared data'!G417</f>
        <v/>
      </c>
      <c r="I424" s="7">
        <f>'1 prepared data'!H417</f>
        <v/>
      </c>
      <c r="J424" s="7">
        <f>'1 prepared data'!I417</f>
        <v/>
      </c>
      <c r="K424" s="7">
        <f>'1 prepared data'!J417</f>
        <v/>
      </c>
      <c r="L424" s="7">
        <f>'1 prepared data'!K417</f>
        <v/>
      </c>
      <c r="M424" s="7">
        <f>'1 prepared data'!L417</f>
        <v/>
      </c>
      <c r="N424" s="7">
        <f>'1 prepared data'!M417</f>
        <v/>
      </c>
      <c r="O424" s="7">
        <f>'1 prepared data'!N417</f>
        <v/>
      </c>
      <c r="P424" s="7">
        <f>'1 prepared data'!O417</f>
        <v/>
      </c>
      <c r="Q424" s="7">
        <f>'1 prepared data'!P417</f>
        <v/>
      </c>
      <c r="R424" s="7">
        <f>'1 prepared data'!Q417</f>
        <v/>
      </c>
      <c r="S424" s="7">
        <f>'1 prepared data'!R417</f>
        <v/>
      </c>
      <c r="T424" s="7">
        <f>'1 prepared data'!S417</f>
        <v/>
      </c>
      <c r="U424" s="7">
        <f>'1 prepared data'!T417</f>
        <v/>
      </c>
      <c r="V424" s="8">
        <f>$AC$12+D424*$AC$13+E424*$AC$14+F424*$AC$15+G424*$AC$16+H424*$AC$17+I424*$AC$18+J424*$AC$19+K424*$AC$20+L424*$AC$21+M424*$AC$22+N424*$AC$23+O424*$AC$24+P424*$AC$25+Q424*$AC$26+R424*$AC$27+S424*$AC$28+T424*$AC$29+U424*$AC$30</f>
        <v/>
      </c>
      <c r="W424" s="8">
        <f>1/(1+EXP(-V424))</f>
        <v/>
      </c>
      <c r="X424" s="9">
        <f>-IF(C424=1,LN(W424),LN(1-W424))</f>
        <v/>
      </c>
      <c r="Y424" s="10">
        <f>IF(W424&gt;$AC$33,1,0)</f>
        <v/>
      </c>
      <c r="Z424">
        <f>IF(Y424=C424,1,0)</f>
        <v/>
      </c>
    </row>
    <row r="425">
      <c r="A425">
        <f>'1 prepared data'!A418</f>
        <v/>
      </c>
      <c r="B425" s="5">
        <f>'1 prepared data'!U418</f>
        <v/>
      </c>
      <c r="C425">
        <f>'1 prepared data'!B418</f>
        <v/>
      </c>
      <c r="D425" s="7">
        <f>'1 prepared data'!C418</f>
        <v/>
      </c>
      <c r="E425" s="7">
        <f>'1 prepared data'!D418</f>
        <v/>
      </c>
      <c r="F425" s="7">
        <f>'1 prepared data'!E418</f>
        <v/>
      </c>
      <c r="G425" s="7">
        <f>'1 prepared data'!F418</f>
        <v/>
      </c>
      <c r="H425" s="7">
        <f>'1 prepared data'!G418</f>
        <v/>
      </c>
      <c r="I425" s="7">
        <f>'1 prepared data'!H418</f>
        <v/>
      </c>
      <c r="J425" s="7">
        <f>'1 prepared data'!I418</f>
        <v/>
      </c>
      <c r="K425" s="7">
        <f>'1 prepared data'!J418</f>
        <v/>
      </c>
      <c r="L425" s="7">
        <f>'1 prepared data'!K418</f>
        <v/>
      </c>
      <c r="M425" s="7">
        <f>'1 prepared data'!L418</f>
        <v/>
      </c>
      <c r="N425" s="7">
        <f>'1 prepared data'!M418</f>
        <v/>
      </c>
      <c r="O425" s="7">
        <f>'1 prepared data'!N418</f>
        <v/>
      </c>
      <c r="P425" s="7">
        <f>'1 prepared data'!O418</f>
        <v/>
      </c>
      <c r="Q425" s="7">
        <f>'1 prepared data'!P418</f>
        <v/>
      </c>
      <c r="R425" s="7">
        <f>'1 prepared data'!Q418</f>
        <v/>
      </c>
      <c r="S425" s="7">
        <f>'1 prepared data'!R418</f>
        <v/>
      </c>
      <c r="T425" s="7">
        <f>'1 prepared data'!S418</f>
        <v/>
      </c>
      <c r="U425" s="7">
        <f>'1 prepared data'!T418</f>
        <v/>
      </c>
      <c r="V425" s="8">
        <f>$AC$12+D425*$AC$13+E425*$AC$14+F425*$AC$15+G425*$AC$16+H425*$AC$17+I425*$AC$18+J425*$AC$19+K425*$AC$20+L425*$AC$21+M425*$AC$22+N425*$AC$23+O425*$AC$24+P425*$AC$25+Q425*$AC$26+R425*$AC$27+S425*$AC$28+T425*$AC$29+U425*$AC$30</f>
        <v/>
      </c>
      <c r="W425" s="8">
        <f>1/(1+EXP(-V425))</f>
        <v/>
      </c>
      <c r="X425" s="9">
        <f>-IF(C425=1,LN(W425),LN(1-W425))</f>
        <v/>
      </c>
      <c r="Y425" s="10">
        <f>IF(W425&gt;$AC$33,1,0)</f>
        <v/>
      </c>
      <c r="Z425">
        <f>IF(Y425=C425,1,0)</f>
        <v/>
      </c>
    </row>
    <row r="426">
      <c r="A426">
        <f>'1 prepared data'!A419</f>
        <v/>
      </c>
      <c r="B426" s="5">
        <f>'1 prepared data'!U419</f>
        <v/>
      </c>
      <c r="C426">
        <f>'1 prepared data'!B419</f>
        <v/>
      </c>
      <c r="D426" s="7">
        <f>'1 prepared data'!C419</f>
        <v/>
      </c>
      <c r="E426" s="7">
        <f>'1 prepared data'!D419</f>
        <v/>
      </c>
      <c r="F426" s="7">
        <f>'1 prepared data'!E419</f>
        <v/>
      </c>
      <c r="G426" s="7">
        <f>'1 prepared data'!F419</f>
        <v/>
      </c>
      <c r="H426" s="7">
        <f>'1 prepared data'!G419</f>
        <v/>
      </c>
      <c r="I426" s="7">
        <f>'1 prepared data'!H419</f>
        <v/>
      </c>
      <c r="J426" s="7">
        <f>'1 prepared data'!I419</f>
        <v/>
      </c>
      <c r="K426" s="7">
        <f>'1 prepared data'!J419</f>
        <v/>
      </c>
      <c r="L426" s="7">
        <f>'1 prepared data'!K419</f>
        <v/>
      </c>
      <c r="M426" s="7">
        <f>'1 prepared data'!L419</f>
        <v/>
      </c>
      <c r="N426" s="7">
        <f>'1 prepared data'!M419</f>
        <v/>
      </c>
      <c r="O426" s="7">
        <f>'1 prepared data'!N419</f>
        <v/>
      </c>
      <c r="P426" s="7">
        <f>'1 prepared data'!O419</f>
        <v/>
      </c>
      <c r="Q426" s="7">
        <f>'1 prepared data'!P419</f>
        <v/>
      </c>
      <c r="R426" s="7">
        <f>'1 prepared data'!Q419</f>
        <v/>
      </c>
      <c r="S426" s="7">
        <f>'1 prepared data'!R419</f>
        <v/>
      </c>
      <c r="T426" s="7">
        <f>'1 prepared data'!S419</f>
        <v/>
      </c>
      <c r="U426" s="7">
        <f>'1 prepared data'!T419</f>
        <v/>
      </c>
      <c r="V426" s="8">
        <f>$AC$12+D426*$AC$13+E426*$AC$14+F426*$AC$15+G426*$AC$16+H426*$AC$17+I426*$AC$18+J426*$AC$19+K426*$AC$20+L426*$AC$21+M426*$AC$22+N426*$AC$23+O426*$AC$24+P426*$AC$25+Q426*$AC$26+R426*$AC$27+S426*$AC$28+T426*$AC$29+U426*$AC$30</f>
        <v/>
      </c>
      <c r="W426" s="8">
        <f>1/(1+EXP(-V426))</f>
        <v/>
      </c>
      <c r="X426" s="9">
        <f>-IF(C426=1,LN(W426),LN(1-W426))</f>
        <v/>
      </c>
      <c r="Y426" s="10">
        <f>IF(W426&gt;$AC$33,1,0)</f>
        <v/>
      </c>
      <c r="Z426">
        <f>IF(Y426=C426,1,0)</f>
        <v/>
      </c>
    </row>
    <row r="427">
      <c r="A427">
        <f>'1 prepared data'!A420</f>
        <v/>
      </c>
      <c r="B427" s="5">
        <f>'1 prepared data'!U420</f>
        <v/>
      </c>
      <c r="C427">
        <f>'1 prepared data'!B420</f>
        <v/>
      </c>
      <c r="D427" s="7">
        <f>'1 prepared data'!C420</f>
        <v/>
      </c>
      <c r="E427" s="7">
        <f>'1 prepared data'!D420</f>
        <v/>
      </c>
      <c r="F427" s="7">
        <f>'1 prepared data'!E420</f>
        <v/>
      </c>
      <c r="G427" s="7">
        <f>'1 prepared data'!F420</f>
        <v/>
      </c>
      <c r="H427" s="7">
        <f>'1 prepared data'!G420</f>
        <v/>
      </c>
      <c r="I427" s="7">
        <f>'1 prepared data'!H420</f>
        <v/>
      </c>
      <c r="J427" s="7">
        <f>'1 prepared data'!I420</f>
        <v/>
      </c>
      <c r="K427" s="7">
        <f>'1 prepared data'!J420</f>
        <v/>
      </c>
      <c r="L427" s="7">
        <f>'1 prepared data'!K420</f>
        <v/>
      </c>
      <c r="M427" s="7">
        <f>'1 prepared data'!L420</f>
        <v/>
      </c>
      <c r="N427" s="7">
        <f>'1 prepared data'!M420</f>
        <v/>
      </c>
      <c r="O427" s="7">
        <f>'1 prepared data'!N420</f>
        <v/>
      </c>
      <c r="P427" s="7">
        <f>'1 prepared data'!O420</f>
        <v/>
      </c>
      <c r="Q427" s="7">
        <f>'1 prepared data'!P420</f>
        <v/>
      </c>
      <c r="R427" s="7">
        <f>'1 prepared data'!Q420</f>
        <v/>
      </c>
      <c r="S427" s="7">
        <f>'1 prepared data'!R420</f>
        <v/>
      </c>
      <c r="T427" s="7">
        <f>'1 prepared data'!S420</f>
        <v/>
      </c>
      <c r="U427" s="7">
        <f>'1 prepared data'!T420</f>
        <v/>
      </c>
      <c r="V427" s="8">
        <f>$AC$12+D427*$AC$13+E427*$AC$14+F427*$AC$15+G427*$AC$16+H427*$AC$17+I427*$AC$18+J427*$AC$19+K427*$AC$20+L427*$AC$21+M427*$AC$22+N427*$AC$23+O427*$AC$24+P427*$AC$25+Q427*$AC$26+R427*$AC$27+S427*$AC$28+T427*$AC$29+U427*$AC$30</f>
        <v/>
      </c>
      <c r="W427" s="8">
        <f>1/(1+EXP(-V427))</f>
        <v/>
      </c>
      <c r="X427" s="9">
        <f>-IF(C427=1,LN(W427),LN(1-W427))</f>
        <v/>
      </c>
      <c r="Y427" s="10">
        <f>IF(W427&gt;$AC$33,1,0)</f>
        <v/>
      </c>
      <c r="Z427">
        <f>IF(Y427=C427,1,0)</f>
        <v/>
      </c>
    </row>
    <row r="428">
      <c r="A428">
        <f>'1 prepared data'!A421</f>
        <v/>
      </c>
      <c r="B428" s="5">
        <f>'1 prepared data'!U421</f>
        <v/>
      </c>
      <c r="C428">
        <f>'1 prepared data'!B421</f>
        <v/>
      </c>
      <c r="D428" s="7">
        <f>'1 prepared data'!C421</f>
        <v/>
      </c>
      <c r="E428" s="7">
        <f>'1 prepared data'!D421</f>
        <v/>
      </c>
      <c r="F428" s="7">
        <f>'1 prepared data'!E421</f>
        <v/>
      </c>
      <c r="G428" s="7">
        <f>'1 prepared data'!F421</f>
        <v/>
      </c>
      <c r="H428" s="7">
        <f>'1 prepared data'!G421</f>
        <v/>
      </c>
      <c r="I428" s="7">
        <f>'1 prepared data'!H421</f>
        <v/>
      </c>
      <c r="J428" s="7">
        <f>'1 prepared data'!I421</f>
        <v/>
      </c>
      <c r="K428" s="7">
        <f>'1 prepared data'!J421</f>
        <v/>
      </c>
      <c r="L428" s="7">
        <f>'1 prepared data'!K421</f>
        <v/>
      </c>
      <c r="M428" s="7">
        <f>'1 prepared data'!L421</f>
        <v/>
      </c>
      <c r="N428" s="7">
        <f>'1 prepared data'!M421</f>
        <v/>
      </c>
      <c r="O428" s="7">
        <f>'1 prepared data'!N421</f>
        <v/>
      </c>
      <c r="P428" s="7">
        <f>'1 prepared data'!O421</f>
        <v/>
      </c>
      <c r="Q428" s="7">
        <f>'1 prepared data'!P421</f>
        <v/>
      </c>
      <c r="R428" s="7">
        <f>'1 prepared data'!Q421</f>
        <v/>
      </c>
      <c r="S428" s="7">
        <f>'1 prepared data'!R421</f>
        <v/>
      </c>
      <c r="T428" s="7">
        <f>'1 prepared data'!S421</f>
        <v/>
      </c>
      <c r="U428" s="7">
        <f>'1 prepared data'!T421</f>
        <v/>
      </c>
      <c r="V428" s="8">
        <f>$AC$12+D428*$AC$13+E428*$AC$14+F428*$AC$15+G428*$AC$16+H428*$AC$17+I428*$AC$18+J428*$AC$19+K428*$AC$20+L428*$AC$21+M428*$AC$22+N428*$AC$23+O428*$AC$24+P428*$AC$25+Q428*$AC$26+R428*$AC$27+S428*$AC$28+T428*$AC$29+U428*$AC$30</f>
        <v/>
      </c>
      <c r="W428" s="8">
        <f>1/(1+EXP(-V428))</f>
        <v/>
      </c>
      <c r="X428" s="9">
        <f>-IF(C428=1,LN(W428),LN(1-W428))</f>
        <v/>
      </c>
      <c r="Y428" s="10">
        <f>IF(W428&gt;$AC$33,1,0)</f>
        <v/>
      </c>
      <c r="Z428">
        <f>IF(Y428=C428,1,0)</f>
        <v/>
      </c>
    </row>
    <row r="429">
      <c r="A429">
        <f>'1 prepared data'!A422</f>
        <v/>
      </c>
      <c r="B429" s="5">
        <f>'1 prepared data'!U422</f>
        <v/>
      </c>
      <c r="C429">
        <f>'1 prepared data'!B422</f>
        <v/>
      </c>
      <c r="D429" s="7">
        <f>'1 prepared data'!C422</f>
        <v/>
      </c>
      <c r="E429" s="7">
        <f>'1 prepared data'!D422</f>
        <v/>
      </c>
      <c r="F429" s="7">
        <f>'1 prepared data'!E422</f>
        <v/>
      </c>
      <c r="G429" s="7">
        <f>'1 prepared data'!F422</f>
        <v/>
      </c>
      <c r="H429" s="7">
        <f>'1 prepared data'!G422</f>
        <v/>
      </c>
      <c r="I429" s="7">
        <f>'1 prepared data'!H422</f>
        <v/>
      </c>
      <c r="J429" s="7">
        <f>'1 prepared data'!I422</f>
        <v/>
      </c>
      <c r="K429" s="7">
        <f>'1 prepared data'!J422</f>
        <v/>
      </c>
      <c r="L429" s="7">
        <f>'1 prepared data'!K422</f>
        <v/>
      </c>
      <c r="M429" s="7">
        <f>'1 prepared data'!L422</f>
        <v/>
      </c>
      <c r="N429" s="7">
        <f>'1 prepared data'!M422</f>
        <v/>
      </c>
      <c r="O429" s="7">
        <f>'1 prepared data'!N422</f>
        <v/>
      </c>
      <c r="P429" s="7">
        <f>'1 prepared data'!O422</f>
        <v/>
      </c>
      <c r="Q429" s="7">
        <f>'1 prepared data'!P422</f>
        <v/>
      </c>
      <c r="R429" s="7">
        <f>'1 prepared data'!Q422</f>
        <v/>
      </c>
      <c r="S429" s="7">
        <f>'1 prepared data'!R422</f>
        <v/>
      </c>
      <c r="T429" s="7">
        <f>'1 prepared data'!S422</f>
        <v/>
      </c>
      <c r="U429" s="7">
        <f>'1 prepared data'!T422</f>
        <v/>
      </c>
      <c r="V429" s="8">
        <f>$AC$12+D429*$AC$13+E429*$AC$14+F429*$AC$15+G429*$AC$16+H429*$AC$17+I429*$AC$18+J429*$AC$19+K429*$AC$20+L429*$AC$21+M429*$AC$22+N429*$AC$23+O429*$AC$24+P429*$AC$25+Q429*$AC$26+R429*$AC$27+S429*$AC$28+T429*$AC$29+U429*$AC$30</f>
        <v/>
      </c>
      <c r="W429" s="8">
        <f>1/(1+EXP(-V429))</f>
        <v/>
      </c>
      <c r="X429" s="9">
        <f>-IF(C429=1,LN(W429),LN(1-W429))</f>
        <v/>
      </c>
      <c r="Y429" s="10">
        <f>IF(W429&gt;$AC$33,1,0)</f>
        <v/>
      </c>
      <c r="Z429">
        <f>IF(Y429=C429,1,0)</f>
        <v/>
      </c>
    </row>
    <row r="430">
      <c r="A430">
        <f>'1 prepared data'!A423</f>
        <v/>
      </c>
      <c r="B430" s="5">
        <f>'1 prepared data'!U423</f>
        <v/>
      </c>
      <c r="C430">
        <f>'1 prepared data'!B423</f>
        <v/>
      </c>
      <c r="D430" s="7">
        <f>'1 prepared data'!C423</f>
        <v/>
      </c>
      <c r="E430" s="7">
        <f>'1 prepared data'!D423</f>
        <v/>
      </c>
      <c r="F430" s="7">
        <f>'1 prepared data'!E423</f>
        <v/>
      </c>
      <c r="G430" s="7">
        <f>'1 prepared data'!F423</f>
        <v/>
      </c>
      <c r="H430" s="7">
        <f>'1 prepared data'!G423</f>
        <v/>
      </c>
      <c r="I430" s="7">
        <f>'1 prepared data'!H423</f>
        <v/>
      </c>
      <c r="J430" s="7">
        <f>'1 prepared data'!I423</f>
        <v/>
      </c>
      <c r="K430" s="7">
        <f>'1 prepared data'!J423</f>
        <v/>
      </c>
      <c r="L430" s="7">
        <f>'1 prepared data'!K423</f>
        <v/>
      </c>
      <c r="M430" s="7">
        <f>'1 prepared data'!L423</f>
        <v/>
      </c>
      <c r="N430" s="7">
        <f>'1 prepared data'!M423</f>
        <v/>
      </c>
      <c r="O430" s="7">
        <f>'1 prepared data'!N423</f>
        <v/>
      </c>
      <c r="P430" s="7">
        <f>'1 prepared data'!O423</f>
        <v/>
      </c>
      <c r="Q430" s="7">
        <f>'1 prepared data'!P423</f>
        <v/>
      </c>
      <c r="R430" s="7">
        <f>'1 prepared data'!Q423</f>
        <v/>
      </c>
      <c r="S430" s="7">
        <f>'1 prepared data'!R423</f>
        <v/>
      </c>
      <c r="T430" s="7">
        <f>'1 prepared data'!S423</f>
        <v/>
      </c>
      <c r="U430" s="7">
        <f>'1 prepared data'!T423</f>
        <v/>
      </c>
      <c r="V430" s="8">
        <f>$AC$12+D430*$AC$13+E430*$AC$14+F430*$AC$15+G430*$AC$16+H430*$AC$17+I430*$AC$18+J430*$AC$19+K430*$AC$20+L430*$AC$21+M430*$AC$22+N430*$AC$23+O430*$AC$24+P430*$AC$25+Q430*$AC$26+R430*$AC$27+S430*$AC$28+T430*$AC$29+U430*$AC$30</f>
        <v/>
      </c>
      <c r="W430" s="8">
        <f>1/(1+EXP(-V430))</f>
        <v/>
      </c>
      <c r="X430" s="9">
        <f>-IF(C430=1,LN(W430),LN(1-W430))</f>
        <v/>
      </c>
      <c r="Y430" s="10">
        <f>IF(W430&gt;$AC$33,1,0)</f>
        <v/>
      </c>
      <c r="Z430">
        <f>IF(Y430=C430,1,0)</f>
        <v/>
      </c>
    </row>
    <row r="431">
      <c r="A431">
        <f>'1 prepared data'!A424</f>
        <v/>
      </c>
      <c r="B431" s="5">
        <f>'1 prepared data'!U424</f>
        <v/>
      </c>
      <c r="C431">
        <f>'1 prepared data'!B424</f>
        <v/>
      </c>
      <c r="D431" s="7">
        <f>'1 prepared data'!C424</f>
        <v/>
      </c>
      <c r="E431" s="7">
        <f>'1 prepared data'!D424</f>
        <v/>
      </c>
      <c r="F431" s="7">
        <f>'1 prepared data'!E424</f>
        <v/>
      </c>
      <c r="G431" s="7">
        <f>'1 prepared data'!F424</f>
        <v/>
      </c>
      <c r="H431" s="7">
        <f>'1 prepared data'!G424</f>
        <v/>
      </c>
      <c r="I431" s="7">
        <f>'1 prepared data'!H424</f>
        <v/>
      </c>
      <c r="J431" s="7">
        <f>'1 prepared data'!I424</f>
        <v/>
      </c>
      <c r="K431" s="7">
        <f>'1 prepared data'!J424</f>
        <v/>
      </c>
      <c r="L431" s="7">
        <f>'1 prepared data'!K424</f>
        <v/>
      </c>
      <c r="M431" s="7">
        <f>'1 prepared data'!L424</f>
        <v/>
      </c>
      <c r="N431" s="7">
        <f>'1 prepared data'!M424</f>
        <v/>
      </c>
      <c r="O431" s="7">
        <f>'1 prepared data'!N424</f>
        <v/>
      </c>
      <c r="P431" s="7">
        <f>'1 prepared data'!O424</f>
        <v/>
      </c>
      <c r="Q431" s="7">
        <f>'1 prepared data'!P424</f>
        <v/>
      </c>
      <c r="R431" s="7">
        <f>'1 prepared data'!Q424</f>
        <v/>
      </c>
      <c r="S431" s="7">
        <f>'1 prepared data'!R424</f>
        <v/>
      </c>
      <c r="T431" s="7">
        <f>'1 prepared data'!S424</f>
        <v/>
      </c>
      <c r="U431" s="7">
        <f>'1 prepared data'!T424</f>
        <v/>
      </c>
      <c r="V431" s="8">
        <f>$AC$12+D431*$AC$13+E431*$AC$14+F431*$AC$15+G431*$AC$16+H431*$AC$17+I431*$AC$18+J431*$AC$19+K431*$AC$20+L431*$AC$21+M431*$AC$22+N431*$AC$23+O431*$AC$24+P431*$AC$25+Q431*$AC$26+R431*$AC$27+S431*$AC$28+T431*$AC$29+U431*$AC$30</f>
        <v/>
      </c>
      <c r="W431" s="8">
        <f>1/(1+EXP(-V431))</f>
        <v/>
      </c>
      <c r="X431" s="9">
        <f>-IF(C431=1,LN(W431),LN(1-W431))</f>
        <v/>
      </c>
      <c r="Y431" s="10">
        <f>IF(W431&gt;$AC$33,1,0)</f>
        <v/>
      </c>
      <c r="Z431">
        <f>IF(Y431=C431,1,0)</f>
        <v/>
      </c>
    </row>
    <row r="432">
      <c r="A432">
        <f>'1 prepared data'!A425</f>
        <v/>
      </c>
      <c r="B432" s="5">
        <f>'1 prepared data'!U425</f>
        <v/>
      </c>
      <c r="C432">
        <f>'1 prepared data'!B425</f>
        <v/>
      </c>
      <c r="D432" s="7">
        <f>'1 prepared data'!C425</f>
        <v/>
      </c>
      <c r="E432" s="7">
        <f>'1 prepared data'!D425</f>
        <v/>
      </c>
      <c r="F432" s="7">
        <f>'1 prepared data'!E425</f>
        <v/>
      </c>
      <c r="G432" s="7">
        <f>'1 prepared data'!F425</f>
        <v/>
      </c>
      <c r="H432" s="7">
        <f>'1 prepared data'!G425</f>
        <v/>
      </c>
      <c r="I432" s="7">
        <f>'1 prepared data'!H425</f>
        <v/>
      </c>
      <c r="J432" s="7">
        <f>'1 prepared data'!I425</f>
        <v/>
      </c>
      <c r="K432" s="7">
        <f>'1 prepared data'!J425</f>
        <v/>
      </c>
      <c r="L432" s="7">
        <f>'1 prepared data'!K425</f>
        <v/>
      </c>
      <c r="M432" s="7">
        <f>'1 prepared data'!L425</f>
        <v/>
      </c>
      <c r="N432" s="7">
        <f>'1 prepared data'!M425</f>
        <v/>
      </c>
      <c r="O432" s="7">
        <f>'1 prepared data'!N425</f>
        <v/>
      </c>
      <c r="P432" s="7">
        <f>'1 prepared data'!O425</f>
        <v/>
      </c>
      <c r="Q432" s="7">
        <f>'1 prepared data'!P425</f>
        <v/>
      </c>
      <c r="R432" s="7">
        <f>'1 prepared data'!Q425</f>
        <v/>
      </c>
      <c r="S432" s="7">
        <f>'1 prepared data'!R425</f>
        <v/>
      </c>
      <c r="T432" s="7">
        <f>'1 prepared data'!S425</f>
        <v/>
      </c>
      <c r="U432" s="7">
        <f>'1 prepared data'!T425</f>
        <v/>
      </c>
      <c r="V432" s="8">
        <f>$AC$12+D432*$AC$13+E432*$AC$14+F432*$AC$15+G432*$AC$16+H432*$AC$17+I432*$AC$18+J432*$AC$19+K432*$AC$20+L432*$AC$21+M432*$AC$22+N432*$AC$23+O432*$AC$24+P432*$AC$25+Q432*$AC$26+R432*$AC$27+S432*$AC$28+T432*$AC$29+U432*$AC$30</f>
        <v/>
      </c>
      <c r="W432" s="8">
        <f>1/(1+EXP(-V432))</f>
        <v/>
      </c>
      <c r="X432" s="9">
        <f>-IF(C432=1,LN(W432),LN(1-W432))</f>
        <v/>
      </c>
      <c r="Y432" s="10">
        <f>IF(W432&gt;$AC$33,1,0)</f>
        <v/>
      </c>
      <c r="Z432">
        <f>IF(Y432=C432,1,0)</f>
        <v/>
      </c>
    </row>
    <row r="433">
      <c r="A433">
        <f>'1 prepared data'!A426</f>
        <v/>
      </c>
      <c r="B433" s="5">
        <f>'1 prepared data'!U426</f>
        <v/>
      </c>
      <c r="C433">
        <f>'1 prepared data'!B426</f>
        <v/>
      </c>
      <c r="D433" s="7">
        <f>'1 prepared data'!C426</f>
        <v/>
      </c>
      <c r="E433" s="7">
        <f>'1 prepared data'!D426</f>
        <v/>
      </c>
      <c r="F433" s="7">
        <f>'1 prepared data'!E426</f>
        <v/>
      </c>
      <c r="G433" s="7">
        <f>'1 prepared data'!F426</f>
        <v/>
      </c>
      <c r="H433" s="7">
        <f>'1 prepared data'!G426</f>
        <v/>
      </c>
      <c r="I433" s="7">
        <f>'1 prepared data'!H426</f>
        <v/>
      </c>
      <c r="J433" s="7">
        <f>'1 prepared data'!I426</f>
        <v/>
      </c>
      <c r="K433" s="7">
        <f>'1 prepared data'!J426</f>
        <v/>
      </c>
      <c r="L433" s="7">
        <f>'1 prepared data'!K426</f>
        <v/>
      </c>
      <c r="M433" s="7">
        <f>'1 prepared data'!L426</f>
        <v/>
      </c>
      <c r="N433" s="7">
        <f>'1 prepared data'!M426</f>
        <v/>
      </c>
      <c r="O433" s="7">
        <f>'1 prepared data'!N426</f>
        <v/>
      </c>
      <c r="P433" s="7">
        <f>'1 prepared data'!O426</f>
        <v/>
      </c>
      <c r="Q433" s="7">
        <f>'1 prepared data'!P426</f>
        <v/>
      </c>
      <c r="R433" s="7">
        <f>'1 prepared data'!Q426</f>
        <v/>
      </c>
      <c r="S433" s="7">
        <f>'1 prepared data'!R426</f>
        <v/>
      </c>
      <c r="T433" s="7">
        <f>'1 prepared data'!S426</f>
        <v/>
      </c>
      <c r="U433" s="7">
        <f>'1 prepared data'!T426</f>
        <v/>
      </c>
      <c r="V433" s="8">
        <f>$AC$12+D433*$AC$13+E433*$AC$14+F433*$AC$15+G433*$AC$16+H433*$AC$17+I433*$AC$18+J433*$AC$19+K433*$AC$20+L433*$AC$21+M433*$AC$22+N433*$AC$23+O433*$AC$24+P433*$AC$25+Q433*$AC$26+R433*$AC$27+S433*$AC$28+T433*$AC$29+U433*$AC$30</f>
        <v/>
      </c>
      <c r="W433" s="8">
        <f>1/(1+EXP(-V433))</f>
        <v/>
      </c>
      <c r="X433" s="9">
        <f>-IF(C433=1,LN(W433),LN(1-W433))</f>
        <v/>
      </c>
      <c r="Y433" s="10">
        <f>IF(W433&gt;$AC$33,1,0)</f>
        <v/>
      </c>
      <c r="Z433">
        <f>IF(Y433=C433,1,0)</f>
        <v/>
      </c>
    </row>
    <row r="434">
      <c r="A434">
        <f>'1 prepared data'!A427</f>
        <v/>
      </c>
      <c r="B434" s="5">
        <f>'1 prepared data'!U427</f>
        <v/>
      </c>
      <c r="C434">
        <f>'1 prepared data'!B427</f>
        <v/>
      </c>
      <c r="D434" s="7">
        <f>'1 prepared data'!C427</f>
        <v/>
      </c>
      <c r="E434" s="7">
        <f>'1 prepared data'!D427</f>
        <v/>
      </c>
      <c r="F434" s="7">
        <f>'1 prepared data'!E427</f>
        <v/>
      </c>
      <c r="G434" s="7">
        <f>'1 prepared data'!F427</f>
        <v/>
      </c>
      <c r="H434" s="7">
        <f>'1 prepared data'!G427</f>
        <v/>
      </c>
      <c r="I434" s="7">
        <f>'1 prepared data'!H427</f>
        <v/>
      </c>
      <c r="J434" s="7">
        <f>'1 prepared data'!I427</f>
        <v/>
      </c>
      <c r="K434" s="7">
        <f>'1 prepared data'!J427</f>
        <v/>
      </c>
      <c r="L434" s="7">
        <f>'1 prepared data'!K427</f>
        <v/>
      </c>
      <c r="M434" s="7">
        <f>'1 prepared data'!L427</f>
        <v/>
      </c>
      <c r="N434" s="7">
        <f>'1 prepared data'!M427</f>
        <v/>
      </c>
      <c r="O434" s="7">
        <f>'1 prepared data'!N427</f>
        <v/>
      </c>
      <c r="P434" s="7">
        <f>'1 prepared data'!O427</f>
        <v/>
      </c>
      <c r="Q434" s="7">
        <f>'1 prepared data'!P427</f>
        <v/>
      </c>
      <c r="R434" s="7">
        <f>'1 prepared data'!Q427</f>
        <v/>
      </c>
      <c r="S434" s="7">
        <f>'1 prepared data'!R427</f>
        <v/>
      </c>
      <c r="T434" s="7">
        <f>'1 prepared data'!S427</f>
        <v/>
      </c>
      <c r="U434" s="7">
        <f>'1 prepared data'!T427</f>
        <v/>
      </c>
      <c r="V434" s="8">
        <f>$AC$12+D434*$AC$13+E434*$AC$14+F434*$AC$15+G434*$AC$16+H434*$AC$17+I434*$AC$18+J434*$AC$19+K434*$AC$20+L434*$AC$21+M434*$AC$22+N434*$AC$23+O434*$AC$24+P434*$AC$25+Q434*$AC$26+R434*$AC$27+S434*$AC$28+T434*$AC$29+U434*$AC$30</f>
        <v/>
      </c>
      <c r="W434" s="8">
        <f>1/(1+EXP(-V434))</f>
        <v/>
      </c>
      <c r="X434" s="9">
        <f>-IF(C434=1,LN(W434),LN(1-W434))</f>
        <v/>
      </c>
      <c r="Y434" s="10">
        <f>IF(W434&gt;$AC$33,1,0)</f>
        <v/>
      </c>
      <c r="Z434">
        <f>IF(Y434=C434,1,0)</f>
        <v/>
      </c>
    </row>
    <row r="435">
      <c r="A435">
        <f>'1 prepared data'!A428</f>
        <v/>
      </c>
      <c r="B435" s="5">
        <f>'1 prepared data'!U428</f>
        <v/>
      </c>
      <c r="C435">
        <f>'1 prepared data'!B428</f>
        <v/>
      </c>
      <c r="D435" s="7">
        <f>'1 prepared data'!C428</f>
        <v/>
      </c>
      <c r="E435" s="7">
        <f>'1 prepared data'!D428</f>
        <v/>
      </c>
      <c r="F435" s="7">
        <f>'1 prepared data'!E428</f>
        <v/>
      </c>
      <c r="G435" s="7">
        <f>'1 prepared data'!F428</f>
        <v/>
      </c>
      <c r="H435" s="7">
        <f>'1 prepared data'!G428</f>
        <v/>
      </c>
      <c r="I435" s="7">
        <f>'1 prepared data'!H428</f>
        <v/>
      </c>
      <c r="J435" s="7">
        <f>'1 prepared data'!I428</f>
        <v/>
      </c>
      <c r="K435" s="7">
        <f>'1 prepared data'!J428</f>
        <v/>
      </c>
      <c r="L435" s="7">
        <f>'1 prepared data'!K428</f>
        <v/>
      </c>
      <c r="M435" s="7">
        <f>'1 prepared data'!L428</f>
        <v/>
      </c>
      <c r="N435" s="7">
        <f>'1 prepared data'!M428</f>
        <v/>
      </c>
      <c r="O435" s="7">
        <f>'1 prepared data'!N428</f>
        <v/>
      </c>
      <c r="P435" s="7">
        <f>'1 prepared data'!O428</f>
        <v/>
      </c>
      <c r="Q435" s="7">
        <f>'1 prepared data'!P428</f>
        <v/>
      </c>
      <c r="R435" s="7">
        <f>'1 prepared data'!Q428</f>
        <v/>
      </c>
      <c r="S435" s="7">
        <f>'1 prepared data'!R428</f>
        <v/>
      </c>
      <c r="T435" s="7">
        <f>'1 prepared data'!S428</f>
        <v/>
      </c>
      <c r="U435" s="7">
        <f>'1 prepared data'!T428</f>
        <v/>
      </c>
      <c r="V435" s="8">
        <f>$AC$12+D435*$AC$13+E435*$AC$14+F435*$AC$15+G435*$AC$16+H435*$AC$17+I435*$AC$18+J435*$AC$19+K435*$AC$20+L435*$AC$21+M435*$AC$22+N435*$AC$23+O435*$AC$24+P435*$AC$25+Q435*$AC$26+R435*$AC$27+S435*$AC$28+T435*$AC$29+U435*$AC$30</f>
        <v/>
      </c>
      <c r="W435" s="8">
        <f>1/(1+EXP(-V435))</f>
        <v/>
      </c>
      <c r="X435" s="9">
        <f>-IF(C435=1,LN(W435),LN(1-W435))</f>
        <v/>
      </c>
      <c r="Y435" s="10">
        <f>IF(W435&gt;$AC$33,1,0)</f>
        <v/>
      </c>
      <c r="Z435">
        <f>IF(Y435=C435,1,0)</f>
        <v/>
      </c>
    </row>
    <row r="436">
      <c r="A436">
        <f>'1 prepared data'!A429</f>
        <v/>
      </c>
      <c r="B436" s="5">
        <f>'1 prepared data'!U429</f>
        <v/>
      </c>
      <c r="C436">
        <f>'1 prepared data'!B429</f>
        <v/>
      </c>
      <c r="D436" s="7">
        <f>'1 prepared data'!C429</f>
        <v/>
      </c>
      <c r="E436" s="7">
        <f>'1 prepared data'!D429</f>
        <v/>
      </c>
      <c r="F436" s="7">
        <f>'1 prepared data'!E429</f>
        <v/>
      </c>
      <c r="G436" s="7">
        <f>'1 prepared data'!F429</f>
        <v/>
      </c>
      <c r="H436" s="7">
        <f>'1 prepared data'!G429</f>
        <v/>
      </c>
      <c r="I436" s="7">
        <f>'1 prepared data'!H429</f>
        <v/>
      </c>
      <c r="J436" s="7">
        <f>'1 prepared data'!I429</f>
        <v/>
      </c>
      <c r="K436" s="7">
        <f>'1 prepared data'!J429</f>
        <v/>
      </c>
      <c r="L436" s="7">
        <f>'1 prepared data'!K429</f>
        <v/>
      </c>
      <c r="M436" s="7">
        <f>'1 prepared data'!L429</f>
        <v/>
      </c>
      <c r="N436" s="7">
        <f>'1 prepared data'!M429</f>
        <v/>
      </c>
      <c r="O436" s="7">
        <f>'1 prepared data'!N429</f>
        <v/>
      </c>
      <c r="P436" s="7">
        <f>'1 prepared data'!O429</f>
        <v/>
      </c>
      <c r="Q436" s="7">
        <f>'1 prepared data'!P429</f>
        <v/>
      </c>
      <c r="R436" s="7">
        <f>'1 prepared data'!Q429</f>
        <v/>
      </c>
      <c r="S436" s="7">
        <f>'1 prepared data'!R429</f>
        <v/>
      </c>
      <c r="T436" s="7">
        <f>'1 prepared data'!S429</f>
        <v/>
      </c>
      <c r="U436" s="7">
        <f>'1 prepared data'!T429</f>
        <v/>
      </c>
      <c r="V436" s="8">
        <f>$AC$12+D436*$AC$13+E436*$AC$14+F436*$AC$15+G436*$AC$16+H436*$AC$17+I436*$AC$18+J436*$AC$19+K436*$AC$20+L436*$AC$21+M436*$AC$22+N436*$AC$23+O436*$AC$24+P436*$AC$25+Q436*$AC$26+R436*$AC$27+S436*$AC$28+T436*$AC$29+U436*$AC$30</f>
        <v/>
      </c>
      <c r="W436" s="8">
        <f>1/(1+EXP(-V436))</f>
        <v/>
      </c>
      <c r="X436" s="9">
        <f>-IF(C436=1,LN(W436),LN(1-W436))</f>
        <v/>
      </c>
      <c r="Y436" s="10">
        <f>IF(W436&gt;$AC$33,1,0)</f>
        <v/>
      </c>
      <c r="Z436">
        <f>IF(Y436=C436,1,0)</f>
        <v/>
      </c>
    </row>
    <row r="437">
      <c r="A437">
        <f>'1 prepared data'!A430</f>
        <v/>
      </c>
      <c r="B437" s="5">
        <f>'1 prepared data'!U430</f>
        <v/>
      </c>
      <c r="C437">
        <f>'1 prepared data'!B430</f>
        <v/>
      </c>
      <c r="D437" s="7">
        <f>'1 prepared data'!C430</f>
        <v/>
      </c>
      <c r="E437" s="7">
        <f>'1 prepared data'!D430</f>
        <v/>
      </c>
      <c r="F437" s="7">
        <f>'1 prepared data'!E430</f>
        <v/>
      </c>
      <c r="G437" s="7">
        <f>'1 prepared data'!F430</f>
        <v/>
      </c>
      <c r="H437" s="7">
        <f>'1 prepared data'!G430</f>
        <v/>
      </c>
      <c r="I437" s="7">
        <f>'1 prepared data'!H430</f>
        <v/>
      </c>
      <c r="J437" s="7">
        <f>'1 prepared data'!I430</f>
        <v/>
      </c>
      <c r="K437" s="7">
        <f>'1 prepared data'!J430</f>
        <v/>
      </c>
      <c r="L437" s="7">
        <f>'1 prepared data'!K430</f>
        <v/>
      </c>
      <c r="M437" s="7">
        <f>'1 prepared data'!L430</f>
        <v/>
      </c>
      <c r="N437" s="7">
        <f>'1 prepared data'!M430</f>
        <v/>
      </c>
      <c r="O437" s="7">
        <f>'1 prepared data'!N430</f>
        <v/>
      </c>
      <c r="P437" s="7">
        <f>'1 prepared data'!O430</f>
        <v/>
      </c>
      <c r="Q437" s="7">
        <f>'1 prepared data'!P430</f>
        <v/>
      </c>
      <c r="R437" s="7">
        <f>'1 prepared data'!Q430</f>
        <v/>
      </c>
      <c r="S437" s="7">
        <f>'1 prepared data'!R430</f>
        <v/>
      </c>
      <c r="T437" s="7">
        <f>'1 prepared data'!S430</f>
        <v/>
      </c>
      <c r="U437" s="7">
        <f>'1 prepared data'!T430</f>
        <v/>
      </c>
      <c r="V437" s="8">
        <f>$AC$12+D437*$AC$13+E437*$AC$14+F437*$AC$15+G437*$AC$16+H437*$AC$17+I437*$AC$18+J437*$AC$19+K437*$AC$20+L437*$AC$21+M437*$AC$22+N437*$AC$23+O437*$AC$24+P437*$AC$25+Q437*$AC$26+R437*$AC$27+S437*$AC$28+T437*$AC$29+U437*$AC$30</f>
        <v/>
      </c>
      <c r="W437" s="8">
        <f>1/(1+EXP(-V437))</f>
        <v/>
      </c>
      <c r="X437" s="9">
        <f>-IF(C437=1,LN(W437),LN(1-W437))</f>
        <v/>
      </c>
      <c r="Y437" s="10">
        <f>IF(W437&gt;$AC$33,1,0)</f>
        <v/>
      </c>
      <c r="Z437">
        <f>IF(Y437=C437,1,0)</f>
        <v/>
      </c>
    </row>
    <row r="438">
      <c r="A438">
        <f>'1 prepared data'!A431</f>
        <v/>
      </c>
      <c r="B438" s="5">
        <f>'1 prepared data'!U431</f>
        <v/>
      </c>
      <c r="C438">
        <f>'1 prepared data'!B431</f>
        <v/>
      </c>
      <c r="D438" s="7">
        <f>'1 prepared data'!C431</f>
        <v/>
      </c>
      <c r="E438" s="7">
        <f>'1 prepared data'!D431</f>
        <v/>
      </c>
      <c r="F438" s="7">
        <f>'1 prepared data'!E431</f>
        <v/>
      </c>
      <c r="G438" s="7">
        <f>'1 prepared data'!F431</f>
        <v/>
      </c>
      <c r="H438" s="7">
        <f>'1 prepared data'!G431</f>
        <v/>
      </c>
      <c r="I438" s="7">
        <f>'1 prepared data'!H431</f>
        <v/>
      </c>
      <c r="J438" s="7">
        <f>'1 prepared data'!I431</f>
        <v/>
      </c>
      <c r="K438" s="7">
        <f>'1 prepared data'!J431</f>
        <v/>
      </c>
      <c r="L438" s="7">
        <f>'1 prepared data'!K431</f>
        <v/>
      </c>
      <c r="M438" s="7">
        <f>'1 prepared data'!L431</f>
        <v/>
      </c>
      <c r="N438" s="7">
        <f>'1 prepared data'!M431</f>
        <v/>
      </c>
      <c r="O438" s="7">
        <f>'1 prepared data'!N431</f>
        <v/>
      </c>
      <c r="P438" s="7">
        <f>'1 prepared data'!O431</f>
        <v/>
      </c>
      <c r="Q438" s="7">
        <f>'1 prepared data'!P431</f>
        <v/>
      </c>
      <c r="R438" s="7">
        <f>'1 prepared data'!Q431</f>
        <v/>
      </c>
      <c r="S438" s="7">
        <f>'1 prepared data'!R431</f>
        <v/>
      </c>
      <c r="T438" s="7">
        <f>'1 prepared data'!S431</f>
        <v/>
      </c>
      <c r="U438" s="7">
        <f>'1 prepared data'!T431</f>
        <v/>
      </c>
      <c r="V438" s="8">
        <f>$AC$12+D438*$AC$13+E438*$AC$14+F438*$AC$15+G438*$AC$16+H438*$AC$17+I438*$AC$18+J438*$AC$19+K438*$AC$20+L438*$AC$21+M438*$AC$22+N438*$AC$23+O438*$AC$24+P438*$AC$25+Q438*$AC$26+R438*$AC$27+S438*$AC$28+T438*$AC$29+U438*$AC$30</f>
        <v/>
      </c>
      <c r="W438" s="8">
        <f>1/(1+EXP(-V438))</f>
        <v/>
      </c>
      <c r="X438" s="9">
        <f>-IF(C438=1,LN(W438),LN(1-W438))</f>
        <v/>
      </c>
      <c r="Y438" s="10">
        <f>IF(W438&gt;$AC$33,1,0)</f>
        <v/>
      </c>
      <c r="Z438">
        <f>IF(Y438=C438,1,0)</f>
        <v/>
      </c>
    </row>
    <row r="439">
      <c r="A439">
        <f>'1 prepared data'!A432</f>
        <v/>
      </c>
      <c r="B439" s="5">
        <f>'1 prepared data'!U432</f>
        <v/>
      </c>
      <c r="C439">
        <f>'1 prepared data'!B432</f>
        <v/>
      </c>
      <c r="D439" s="7">
        <f>'1 prepared data'!C432</f>
        <v/>
      </c>
      <c r="E439" s="7">
        <f>'1 prepared data'!D432</f>
        <v/>
      </c>
      <c r="F439" s="7">
        <f>'1 prepared data'!E432</f>
        <v/>
      </c>
      <c r="G439" s="7">
        <f>'1 prepared data'!F432</f>
        <v/>
      </c>
      <c r="H439" s="7">
        <f>'1 prepared data'!G432</f>
        <v/>
      </c>
      <c r="I439" s="7">
        <f>'1 prepared data'!H432</f>
        <v/>
      </c>
      <c r="J439" s="7">
        <f>'1 prepared data'!I432</f>
        <v/>
      </c>
      <c r="K439" s="7">
        <f>'1 prepared data'!J432</f>
        <v/>
      </c>
      <c r="L439" s="7">
        <f>'1 prepared data'!K432</f>
        <v/>
      </c>
      <c r="M439" s="7">
        <f>'1 prepared data'!L432</f>
        <v/>
      </c>
      <c r="N439" s="7">
        <f>'1 prepared data'!M432</f>
        <v/>
      </c>
      <c r="O439" s="7">
        <f>'1 prepared data'!N432</f>
        <v/>
      </c>
      <c r="P439" s="7">
        <f>'1 prepared data'!O432</f>
        <v/>
      </c>
      <c r="Q439" s="7">
        <f>'1 prepared data'!P432</f>
        <v/>
      </c>
      <c r="R439" s="7">
        <f>'1 prepared data'!Q432</f>
        <v/>
      </c>
      <c r="S439" s="7">
        <f>'1 prepared data'!R432</f>
        <v/>
      </c>
      <c r="T439" s="7">
        <f>'1 prepared data'!S432</f>
        <v/>
      </c>
      <c r="U439" s="7">
        <f>'1 prepared data'!T432</f>
        <v/>
      </c>
      <c r="V439" s="8">
        <f>$AC$12+D439*$AC$13+E439*$AC$14+F439*$AC$15+G439*$AC$16+H439*$AC$17+I439*$AC$18+J439*$AC$19+K439*$AC$20+L439*$AC$21+M439*$AC$22+N439*$AC$23+O439*$AC$24+P439*$AC$25+Q439*$AC$26+R439*$AC$27+S439*$AC$28+T439*$AC$29+U439*$AC$30</f>
        <v/>
      </c>
      <c r="W439" s="8">
        <f>1/(1+EXP(-V439))</f>
        <v/>
      </c>
      <c r="X439" s="9">
        <f>-IF(C439=1,LN(W439),LN(1-W439))</f>
        <v/>
      </c>
      <c r="Y439" s="10">
        <f>IF(W439&gt;$AC$33,1,0)</f>
        <v/>
      </c>
      <c r="Z439">
        <f>IF(Y439=C439,1,0)</f>
        <v/>
      </c>
    </row>
    <row r="440">
      <c r="A440">
        <f>'1 prepared data'!A433</f>
        <v/>
      </c>
      <c r="B440" s="5">
        <f>'1 prepared data'!U433</f>
        <v/>
      </c>
      <c r="C440">
        <f>'1 prepared data'!B433</f>
        <v/>
      </c>
      <c r="D440" s="7">
        <f>'1 prepared data'!C433</f>
        <v/>
      </c>
      <c r="E440" s="7">
        <f>'1 prepared data'!D433</f>
        <v/>
      </c>
      <c r="F440" s="7">
        <f>'1 prepared data'!E433</f>
        <v/>
      </c>
      <c r="G440" s="7">
        <f>'1 prepared data'!F433</f>
        <v/>
      </c>
      <c r="H440" s="7">
        <f>'1 prepared data'!G433</f>
        <v/>
      </c>
      <c r="I440" s="7">
        <f>'1 prepared data'!H433</f>
        <v/>
      </c>
      <c r="J440" s="7">
        <f>'1 prepared data'!I433</f>
        <v/>
      </c>
      <c r="K440" s="7">
        <f>'1 prepared data'!J433</f>
        <v/>
      </c>
      <c r="L440" s="7">
        <f>'1 prepared data'!K433</f>
        <v/>
      </c>
      <c r="M440" s="7">
        <f>'1 prepared data'!L433</f>
        <v/>
      </c>
      <c r="N440" s="7">
        <f>'1 prepared data'!M433</f>
        <v/>
      </c>
      <c r="O440" s="7">
        <f>'1 prepared data'!N433</f>
        <v/>
      </c>
      <c r="P440" s="7">
        <f>'1 prepared data'!O433</f>
        <v/>
      </c>
      <c r="Q440" s="7">
        <f>'1 prepared data'!P433</f>
        <v/>
      </c>
      <c r="R440" s="7">
        <f>'1 prepared data'!Q433</f>
        <v/>
      </c>
      <c r="S440" s="7">
        <f>'1 prepared data'!R433</f>
        <v/>
      </c>
      <c r="T440" s="7">
        <f>'1 prepared data'!S433</f>
        <v/>
      </c>
      <c r="U440" s="7">
        <f>'1 prepared data'!T433</f>
        <v/>
      </c>
      <c r="V440" s="8">
        <f>$AC$12+D440*$AC$13+E440*$AC$14+F440*$AC$15+G440*$AC$16+H440*$AC$17+I440*$AC$18+J440*$AC$19+K440*$AC$20+L440*$AC$21+M440*$AC$22+N440*$AC$23+O440*$AC$24+P440*$AC$25+Q440*$AC$26+R440*$AC$27+S440*$AC$28+T440*$AC$29+U440*$AC$30</f>
        <v/>
      </c>
      <c r="W440" s="8">
        <f>1/(1+EXP(-V440))</f>
        <v/>
      </c>
      <c r="X440" s="9">
        <f>-IF(C440=1,LN(W440),LN(1-W440))</f>
        <v/>
      </c>
      <c r="Y440" s="10">
        <f>IF(W440&gt;$AC$33,1,0)</f>
        <v/>
      </c>
      <c r="Z440">
        <f>IF(Y440=C440,1,0)</f>
        <v/>
      </c>
    </row>
    <row r="441">
      <c r="A441">
        <f>'1 prepared data'!A434</f>
        <v/>
      </c>
      <c r="B441" s="5">
        <f>'1 prepared data'!U434</f>
        <v/>
      </c>
      <c r="C441">
        <f>'1 prepared data'!B434</f>
        <v/>
      </c>
      <c r="D441" s="7">
        <f>'1 prepared data'!C434</f>
        <v/>
      </c>
      <c r="E441" s="7">
        <f>'1 prepared data'!D434</f>
        <v/>
      </c>
      <c r="F441" s="7">
        <f>'1 prepared data'!E434</f>
        <v/>
      </c>
      <c r="G441" s="7">
        <f>'1 prepared data'!F434</f>
        <v/>
      </c>
      <c r="H441" s="7">
        <f>'1 prepared data'!G434</f>
        <v/>
      </c>
      <c r="I441" s="7">
        <f>'1 prepared data'!H434</f>
        <v/>
      </c>
      <c r="J441" s="7">
        <f>'1 prepared data'!I434</f>
        <v/>
      </c>
      <c r="K441" s="7">
        <f>'1 prepared data'!J434</f>
        <v/>
      </c>
      <c r="L441" s="7">
        <f>'1 prepared data'!K434</f>
        <v/>
      </c>
      <c r="M441" s="7">
        <f>'1 prepared data'!L434</f>
        <v/>
      </c>
      <c r="N441" s="7">
        <f>'1 prepared data'!M434</f>
        <v/>
      </c>
      <c r="O441" s="7">
        <f>'1 prepared data'!N434</f>
        <v/>
      </c>
      <c r="P441" s="7">
        <f>'1 prepared data'!O434</f>
        <v/>
      </c>
      <c r="Q441" s="7">
        <f>'1 prepared data'!P434</f>
        <v/>
      </c>
      <c r="R441" s="7">
        <f>'1 prepared data'!Q434</f>
        <v/>
      </c>
      <c r="S441" s="7">
        <f>'1 prepared data'!R434</f>
        <v/>
      </c>
      <c r="T441" s="7">
        <f>'1 prepared data'!S434</f>
        <v/>
      </c>
      <c r="U441" s="7">
        <f>'1 prepared data'!T434</f>
        <v/>
      </c>
      <c r="V441" s="8">
        <f>$AC$12+D441*$AC$13+E441*$AC$14+F441*$AC$15+G441*$AC$16+H441*$AC$17+I441*$AC$18+J441*$AC$19+K441*$AC$20+L441*$AC$21+M441*$AC$22+N441*$AC$23+O441*$AC$24+P441*$AC$25+Q441*$AC$26+R441*$AC$27+S441*$AC$28+T441*$AC$29+U441*$AC$30</f>
        <v/>
      </c>
      <c r="W441" s="8">
        <f>1/(1+EXP(-V441))</f>
        <v/>
      </c>
      <c r="X441" s="9">
        <f>-IF(C441=1,LN(W441),LN(1-W441))</f>
        <v/>
      </c>
      <c r="Y441" s="10">
        <f>IF(W441&gt;$AC$33,1,0)</f>
        <v/>
      </c>
      <c r="Z441">
        <f>IF(Y441=C441,1,0)</f>
        <v/>
      </c>
    </row>
    <row r="442">
      <c r="A442">
        <f>'1 prepared data'!A435</f>
        <v/>
      </c>
      <c r="B442" s="5">
        <f>'1 prepared data'!U435</f>
        <v/>
      </c>
      <c r="C442">
        <f>'1 prepared data'!B435</f>
        <v/>
      </c>
      <c r="D442" s="7">
        <f>'1 prepared data'!C435</f>
        <v/>
      </c>
      <c r="E442" s="7">
        <f>'1 prepared data'!D435</f>
        <v/>
      </c>
      <c r="F442" s="7">
        <f>'1 prepared data'!E435</f>
        <v/>
      </c>
      <c r="G442" s="7">
        <f>'1 prepared data'!F435</f>
        <v/>
      </c>
      <c r="H442" s="7">
        <f>'1 prepared data'!G435</f>
        <v/>
      </c>
      <c r="I442" s="7">
        <f>'1 prepared data'!H435</f>
        <v/>
      </c>
      <c r="J442" s="7">
        <f>'1 prepared data'!I435</f>
        <v/>
      </c>
      <c r="K442" s="7">
        <f>'1 prepared data'!J435</f>
        <v/>
      </c>
      <c r="L442" s="7">
        <f>'1 prepared data'!K435</f>
        <v/>
      </c>
      <c r="M442" s="7">
        <f>'1 prepared data'!L435</f>
        <v/>
      </c>
      <c r="N442" s="7">
        <f>'1 prepared data'!M435</f>
        <v/>
      </c>
      <c r="O442" s="7">
        <f>'1 prepared data'!N435</f>
        <v/>
      </c>
      <c r="P442" s="7">
        <f>'1 prepared data'!O435</f>
        <v/>
      </c>
      <c r="Q442" s="7">
        <f>'1 prepared data'!P435</f>
        <v/>
      </c>
      <c r="R442" s="7">
        <f>'1 prepared data'!Q435</f>
        <v/>
      </c>
      <c r="S442" s="7">
        <f>'1 prepared data'!R435</f>
        <v/>
      </c>
      <c r="T442" s="7">
        <f>'1 prepared data'!S435</f>
        <v/>
      </c>
      <c r="U442" s="7">
        <f>'1 prepared data'!T435</f>
        <v/>
      </c>
      <c r="V442" s="8">
        <f>$AC$12+D442*$AC$13+E442*$AC$14+F442*$AC$15+G442*$AC$16+H442*$AC$17+I442*$AC$18+J442*$AC$19+K442*$AC$20+L442*$AC$21+M442*$AC$22+N442*$AC$23+O442*$AC$24+P442*$AC$25+Q442*$AC$26+R442*$AC$27+S442*$AC$28+T442*$AC$29+U442*$AC$30</f>
        <v/>
      </c>
      <c r="W442" s="8">
        <f>1/(1+EXP(-V442))</f>
        <v/>
      </c>
      <c r="X442" s="9">
        <f>-IF(C442=1,LN(W442),LN(1-W442))</f>
        <v/>
      </c>
      <c r="Y442" s="10">
        <f>IF(W442&gt;$AC$33,1,0)</f>
        <v/>
      </c>
      <c r="Z442">
        <f>IF(Y442=C442,1,0)</f>
        <v/>
      </c>
    </row>
    <row r="443">
      <c r="A443">
        <f>'1 prepared data'!A436</f>
        <v/>
      </c>
      <c r="B443" s="5">
        <f>'1 prepared data'!U436</f>
        <v/>
      </c>
      <c r="C443">
        <f>'1 prepared data'!B436</f>
        <v/>
      </c>
      <c r="D443" s="7">
        <f>'1 prepared data'!C436</f>
        <v/>
      </c>
      <c r="E443" s="7">
        <f>'1 prepared data'!D436</f>
        <v/>
      </c>
      <c r="F443" s="7">
        <f>'1 prepared data'!E436</f>
        <v/>
      </c>
      <c r="G443" s="7">
        <f>'1 prepared data'!F436</f>
        <v/>
      </c>
      <c r="H443" s="7">
        <f>'1 prepared data'!G436</f>
        <v/>
      </c>
      <c r="I443" s="7">
        <f>'1 prepared data'!H436</f>
        <v/>
      </c>
      <c r="J443" s="7">
        <f>'1 prepared data'!I436</f>
        <v/>
      </c>
      <c r="K443" s="7">
        <f>'1 prepared data'!J436</f>
        <v/>
      </c>
      <c r="L443" s="7">
        <f>'1 prepared data'!K436</f>
        <v/>
      </c>
      <c r="M443" s="7">
        <f>'1 prepared data'!L436</f>
        <v/>
      </c>
      <c r="N443" s="7">
        <f>'1 prepared data'!M436</f>
        <v/>
      </c>
      <c r="O443" s="7">
        <f>'1 prepared data'!N436</f>
        <v/>
      </c>
      <c r="P443" s="7">
        <f>'1 prepared data'!O436</f>
        <v/>
      </c>
      <c r="Q443" s="7">
        <f>'1 prepared data'!P436</f>
        <v/>
      </c>
      <c r="R443" s="7">
        <f>'1 prepared data'!Q436</f>
        <v/>
      </c>
      <c r="S443" s="7">
        <f>'1 prepared data'!R436</f>
        <v/>
      </c>
      <c r="T443" s="7">
        <f>'1 prepared data'!S436</f>
        <v/>
      </c>
      <c r="U443" s="7">
        <f>'1 prepared data'!T436</f>
        <v/>
      </c>
      <c r="V443" s="8">
        <f>$AC$12+D443*$AC$13+E443*$AC$14+F443*$AC$15+G443*$AC$16+H443*$AC$17+I443*$AC$18+J443*$AC$19+K443*$AC$20+L443*$AC$21+M443*$AC$22+N443*$AC$23+O443*$AC$24+P443*$AC$25+Q443*$AC$26+R443*$AC$27+S443*$AC$28+T443*$AC$29+U443*$AC$30</f>
        <v/>
      </c>
      <c r="W443" s="8">
        <f>1/(1+EXP(-V443))</f>
        <v/>
      </c>
      <c r="X443" s="9">
        <f>-IF(C443=1,LN(W443),LN(1-W443))</f>
        <v/>
      </c>
      <c r="Y443" s="10">
        <f>IF(W443&gt;$AC$33,1,0)</f>
        <v/>
      </c>
      <c r="Z443">
        <f>IF(Y443=C443,1,0)</f>
        <v/>
      </c>
    </row>
    <row r="444">
      <c r="A444">
        <f>'1 prepared data'!A437</f>
        <v/>
      </c>
      <c r="B444" s="5">
        <f>'1 prepared data'!U437</f>
        <v/>
      </c>
      <c r="C444">
        <f>'1 prepared data'!B437</f>
        <v/>
      </c>
      <c r="D444" s="7">
        <f>'1 prepared data'!C437</f>
        <v/>
      </c>
      <c r="E444" s="7">
        <f>'1 prepared data'!D437</f>
        <v/>
      </c>
      <c r="F444" s="7">
        <f>'1 prepared data'!E437</f>
        <v/>
      </c>
      <c r="G444" s="7">
        <f>'1 prepared data'!F437</f>
        <v/>
      </c>
      <c r="H444" s="7">
        <f>'1 prepared data'!G437</f>
        <v/>
      </c>
      <c r="I444" s="7">
        <f>'1 prepared data'!H437</f>
        <v/>
      </c>
      <c r="J444" s="7">
        <f>'1 prepared data'!I437</f>
        <v/>
      </c>
      <c r="K444" s="7">
        <f>'1 prepared data'!J437</f>
        <v/>
      </c>
      <c r="L444" s="7">
        <f>'1 prepared data'!K437</f>
        <v/>
      </c>
      <c r="M444" s="7">
        <f>'1 prepared data'!L437</f>
        <v/>
      </c>
      <c r="N444" s="7">
        <f>'1 prepared data'!M437</f>
        <v/>
      </c>
      <c r="O444" s="7">
        <f>'1 prepared data'!N437</f>
        <v/>
      </c>
      <c r="P444" s="7">
        <f>'1 prepared data'!O437</f>
        <v/>
      </c>
      <c r="Q444" s="7">
        <f>'1 prepared data'!P437</f>
        <v/>
      </c>
      <c r="R444" s="7">
        <f>'1 prepared data'!Q437</f>
        <v/>
      </c>
      <c r="S444" s="7">
        <f>'1 prepared data'!R437</f>
        <v/>
      </c>
      <c r="T444" s="7">
        <f>'1 prepared data'!S437</f>
        <v/>
      </c>
      <c r="U444" s="7">
        <f>'1 prepared data'!T437</f>
        <v/>
      </c>
      <c r="V444" s="8">
        <f>$AC$12+D444*$AC$13+E444*$AC$14+F444*$AC$15+G444*$AC$16+H444*$AC$17+I444*$AC$18+J444*$AC$19+K444*$AC$20+L444*$AC$21+M444*$AC$22+N444*$AC$23+O444*$AC$24+P444*$AC$25+Q444*$AC$26+R444*$AC$27+S444*$AC$28+T444*$AC$29+U444*$AC$30</f>
        <v/>
      </c>
      <c r="W444" s="8">
        <f>1/(1+EXP(-V444))</f>
        <v/>
      </c>
      <c r="X444" s="9">
        <f>-IF(C444=1,LN(W444),LN(1-W444))</f>
        <v/>
      </c>
      <c r="Y444" s="10">
        <f>IF(W444&gt;$AC$33,1,0)</f>
        <v/>
      </c>
      <c r="Z444">
        <f>IF(Y444=C444,1,0)</f>
        <v/>
      </c>
    </row>
    <row r="445">
      <c r="A445">
        <f>'1 prepared data'!A438</f>
        <v/>
      </c>
      <c r="B445" s="5">
        <f>'1 prepared data'!U438</f>
        <v/>
      </c>
      <c r="C445">
        <f>'1 prepared data'!B438</f>
        <v/>
      </c>
      <c r="D445" s="7">
        <f>'1 prepared data'!C438</f>
        <v/>
      </c>
      <c r="E445" s="7">
        <f>'1 prepared data'!D438</f>
        <v/>
      </c>
      <c r="F445" s="7">
        <f>'1 prepared data'!E438</f>
        <v/>
      </c>
      <c r="G445" s="7">
        <f>'1 prepared data'!F438</f>
        <v/>
      </c>
      <c r="H445" s="7">
        <f>'1 prepared data'!G438</f>
        <v/>
      </c>
      <c r="I445" s="7">
        <f>'1 prepared data'!H438</f>
        <v/>
      </c>
      <c r="J445" s="7">
        <f>'1 prepared data'!I438</f>
        <v/>
      </c>
      <c r="K445" s="7">
        <f>'1 prepared data'!J438</f>
        <v/>
      </c>
      <c r="L445" s="7">
        <f>'1 prepared data'!K438</f>
        <v/>
      </c>
      <c r="M445" s="7">
        <f>'1 prepared data'!L438</f>
        <v/>
      </c>
      <c r="N445" s="7">
        <f>'1 prepared data'!M438</f>
        <v/>
      </c>
      <c r="O445" s="7">
        <f>'1 prepared data'!N438</f>
        <v/>
      </c>
      <c r="P445" s="7">
        <f>'1 prepared data'!O438</f>
        <v/>
      </c>
      <c r="Q445" s="7">
        <f>'1 prepared data'!P438</f>
        <v/>
      </c>
      <c r="R445" s="7">
        <f>'1 prepared data'!Q438</f>
        <v/>
      </c>
      <c r="S445" s="7">
        <f>'1 prepared data'!R438</f>
        <v/>
      </c>
      <c r="T445" s="7">
        <f>'1 prepared data'!S438</f>
        <v/>
      </c>
      <c r="U445" s="7">
        <f>'1 prepared data'!T438</f>
        <v/>
      </c>
      <c r="V445" s="8">
        <f>$AC$12+D445*$AC$13+E445*$AC$14+F445*$AC$15+G445*$AC$16+H445*$AC$17+I445*$AC$18+J445*$AC$19+K445*$AC$20+L445*$AC$21+M445*$AC$22+N445*$AC$23+O445*$AC$24+P445*$AC$25+Q445*$AC$26+R445*$AC$27+S445*$AC$28+T445*$AC$29+U445*$AC$30</f>
        <v/>
      </c>
      <c r="W445" s="8">
        <f>1/(1+EXP(-V445))</f>
        <v/>
      </c>
      <c r="X445" s="9">
        <f>-IF(C445=1,LN(W445),LN(1-W445))</f>
        <v/>
      </c>
      <c r="Y445" s="10">
        <f>IF(W445&gt;$AC$33,1,0)</f>
        <v/>
      </c>
      <c r="Z445">
        <f>IF(Y445=C445,1,0)</f>
        <v/>
      </c>
    </row>
    <row r="446">
      <c r="A446">
        <f>'1 prepared data'!A439</f>
        <v/>
      </c>
      <c r="B446" s="5">
        <f>'1 prepared data'!U439</f>
        <v/>
      </c>
      <c r="C446">
        <f>'1 prepared data'!B439</f>
        <v/>
      </c>
      <c r="D446" s="7">
        <f>'1 prepared data'!C439</f>
        <v/>
      </c>
      <c r="E446" s="7">
        <f>'1 prepared data'!D439</f>
        <v/>
      </c>
      <c r="F446" s="7">
        <f>'1 prepared data'!E439</f>
        <v/>
      </c>
      <c r="G446" s="7">
        <f>'1 prepared data'!F439</f>
        <v/>
      </c>
      <c r="H446" s="7">
        <f>'1 prepared data'!G439</f>
        <v/>
      </c>
      <c r="I446" s="7">
        <f>'1 prepared data'!H439</f>
        <v/>
      </c>
      <c r="J446" s="7">
        <f>'1 prepared data'!I439</f>
        <v/>
      </c>
      <c r="K446" s="7">
        <f>'1 prepared data'!J439</f>
        <v/>
      </c>
      <c r="L446" s="7">
        <f>'1 prepared data'!K439</f>
        <v/>
      </c>
      <c r="M446" s="7">
        <f>'1 prepared data'!L439</f>
        <v/>
      </c>
      <c r="N446" s="7">
        <f>'1 prepared data'!M439</f>
        <v/>
      </c>
      <c r="O446" s="7">
        <f>'1 prepared data'!N439</f>
        <v/>
      </c>
      <c r="P446" s="7">
        <f>'1 prepared data'!O439</f>
        <v/>
      </c>
      <c r="Q446" s="7">
        <f>'1 prepared data'!P439</f>
        <v/>
      </c>
      <c r="R446" s="7">
        <f>'1 prepared data'!Q439</f>
        <v/>
      </c>
      <c r="S446" s="7">
        <f>'1 prepared data'!R439</f>
        <v/>
      </c>
      <c r="T446" s="7">
        <f>'1 prepared data'!S439</f>
        <v/>
      </c>
      <c r="U446" s="7">
        <f>'1 prepared data'!T439</f>
        <v/>
      </c>
      <c r="V446" s="8">
        <f>$AC$12+D446*$AC$13+E446*$AC$14+F446*$AC$15+G446*$AC$16+H446*$AC$17+I446*$AC$18+J446*$AC$19+K446*$AC$20+L446*$AC$21+M446*$AC$22+N446*$AC$23+O446*$AC$24+P446*$AC$25+Q446*$AC$26+R446*$AC$27+S446*$AC$28+T446*$AC$29+U446*$AC$30</f>
        <v/>
      </c>
      <c r="W446" s="8">
        <f>1/(1+EXP(-V446))</f>
        <v/>
      </c>
      <c r="X446" s="9">
        <f>-IF(C446=1,LN(W446),LN(1-W446))</f>
        <v/>
      </c>
      <c r="Y446" s="10">
        <f>IF(W446&gt;$AC$33,1,0)</f>
        <v/>
      </c>
      <c r="Z446">
        <f>IF(Y446=C446,1,0)</f>
        <v/>
      </c>
    </row>
    <row r="447">
      <c r="A447">
        <f>'1 prepared data'!A440</f>
        <v/>
      </c>
      <c r="B447" s="5">
        <f>'1 prepared data'!U440</f>
        <v/>
      </c>
      <c r="C447">
        <f>'1 prepared data'!B440</f>
        <v/>
      </c>
      <c r="D447" s="7">
        <f>'1 prepared data'!C440</f>
        <v/>
      </c>
      <c r="E447" s="7">
        <f>'1 prepared data'!D440</f>
        <v/>
      </c>
      <c r="F447" s="7">
        <f>'1 prepared data'!E440</f>
        <v/>
      </c>
      <c r="G447" s="7">
        <f>'1 prepared data'!F440</f>
        <v/>
      </c>
      <c r="H447" s="7">
        <f>'1 prepared data'!G440</f>
        <v/>
      </c>
      <c r="I447" s="7">
        <f>'1 prepared data'!H440</f>
        <v/>
      </c>
      <c r="J447" s="7">
        <f>'1 prepared data'!I440</f>
        <v/>
      </c>
      <c r="K447" s="7">
        <f>'1 prepared data'!J440</f>
        <v/>
      </c>
      <c r="L447" s="7">
        <f>'1 prepared data'!K440</f>
        <v/>
      </c>
      <c r="M447" s="7">
        <f>'1 prepared data'!L440</f>
        <v/>
      </c>
      <c r="N447" s="7">
        <f>'1 prepared data'!M440</f>
        <v/>
      </c>
      <c r="O447" s="7">
        <f>'1 prepared data'!N440</f>
        <v/>
      </c>
      <c r="P447" s="7">
        <f>'1 prepared data'!O440</f>
        <v/>
      </c>
      <c r="Q447" s="7">
        <f>'1 prepared data'!P440</f>
        <v/>
      </c>
      <c r="R447" s="7">
        <f>'1 prepared data'!Q440</f>
        <v/>
      </c>
      <c r="S447" s="7">
        <f>'1 prepared data'!R440</f>
        <v/>
      </c>
      <c r="T447" s="7">
        <f>'1 prepared data'!S440</f>
        <v/>
      </c>
      <c r="U447" s="7">
        <f>'1 prepared data'!T440</f>
        <v/>
      </c>
      <c r="V447" s="8">
        <f>$AC$12+D447*$AC$13+E447*$AC$14+F447*$AC$15+G447*$AC$16+H447*$AC$17+I447*$AC$18+J447*$AC$19+K447*$AC$20+L447*$AC$21+M447*$AC$22+N447*$AC$23+O447*$AC$24+P447*$AC$25+Q447*$AC$26+R447*$AC$27+S447*$AC$28+T447*$AC$29+U447*$AC$30</f>
        <v/>
      </c>
      <c r="W447" s="8">
        <f>1/(1+EXP(-V447))</f>
        <v/>
      </c>
      <c r="X447" s="9">
        <f>-IF(C447=1,LN(W447),LN(1-W447))</f>
        <v/>
      </c>
      <c r="Y447" s="10">
        <f>IF(W447&gt;$AC$33,1,0)</f>
        <v/>
      </c>
      <c r="Z447">
        <f>IF(Y447=C447,1,0)</f>
        <v/>
      </c>
    </row>
    <row r="448">
      <c r="A448">
        <f>'1 prepared data'!A441</f>
        <v/>
      </c>
      <c r="B448" s="5">
        <f>'1 prepared data'!U441</f>
        <v/>
      </c>
      <c r="C448">
        <f>'1 prepared data'!B441</f>
        <v/>
      </c>
      <c r="D448" s="7">
        <f>'1 prepared data'!C441</f>
        <v/>
      </c>
      <c r="E448" s="7">
        <f>'1 prepared data'!D441</f>
        <v/>
      </c>
      <c r="F448" s="7">
        <f>'1 prepared data'!E441</f>
        <v/>
      </c>
      <c r="G448" s="7">
        <f>'1 prepared data'!F441</f>
        <v/>
      </c>
      <c r="H448" s="7">
        <f>'1 prepared data'!G441</f>
        <v/>
      </c>
      <c r="I448" s="7">
        <f>'1 prepared data'!H441</f>
        <v/>
      </c>
      <c r="J448" s="7">
        <f>'1 prepared data'!I441</f>
        <v/>
      </c>
      <c r="K448" s="7">
        <f>'1 prepared data'!J441</f>
        <v/>
      </c>
      <c r="L448" s="7">
        <f>'1 prepared data'!K441</f>
        <v/>
      </c>
      <c r="M448" s="7">
        <f>'1 prepared data'!L441</f>
        <v/>
      </c>
      <c r="N448" s="7">
        <f>'1 prepared data'!M441</f>
        <v/>
      </c>
      <c r="O448" s="7">
        <f>'1 prepared data'!N441</f>
        <v/>
      </c>
      <c r="P448" s="7">
        <f>'1 prepared data'!O441</f>
        <v/>
      </c>
      <c r="Q448" s="7">
        <f>'1 prepared data'!P441</f>
        <v/>
      </c>
      <c r="R448" s="7">
        <f>'1 prepared data'!Q441</f>
        <v/>
      </c>
      <c r="S448" s="7">
        <f>'1 prepared data'!R441</f>
        <v/>
      </c>
      <c r="T448" s="7">
        <f>'1 prepared data'!S441</f>
        <v/>
      </c>
      <c r="U448" s="7">
        <f>'1 prepared data'!T441</f>
        <v/>
      </c>
      <c r="V448" s="8">
        <f>$AC$12+D448*$AC$13+E448*$AC$14+F448*$AC$15+G448*$AC$16+H448*$AC$17+I448*$AC$18+J448*$AC$19+K448*$AC$20+L448*$AC$21+M448*$AC$22+N448*$AC$23+O448*$AC$24+P448*$AC$25+Q448*$AC$26+R448*$AC$27+S448*$AC$28+T448*$AC$29+U448*$AC$30</f>
        <v/>
      </c>
      <c r="W448" s="8">
        <f>1/(1+EXP(-V448))</f>
        <v/>
      </c>
      <c r="X448" s="9">
        <f>-IF(C448=1,LN(W448),LN(1-W448))</f>
        <v/>
      </c>
      <c r="Y448" s="10">
        <f>IF(W448&gt;$AC$33,1,0)</f>
        <v/>
      </c>
      <c r="Z448">
        <f>IF(Y448=C448,1,0)</f>
        <v/>
      </c>
    </row>
    <row r="449">
      <c r="A449">
        <f>'1 prepared data'!A442</f>
        <v/>
      </c>
      <c r="B449" s="5">
        <f>'1 prepared data'!U442</f>
        <v/>
      </c>
      <c r="C449">
        <f>'1 prepared data'!B442</f>
        <v/>
      </c>
      <c r="D449" s="7">
        <f>'1 prepared data'!C442</f>
        <v/>
      </c>
      <c r="E449" s="7">
        <f>'1 prepared data'!D442</f>
        <v/>
      </c>
      <c r="F449" s="7">
        <f>'1 prepared data'!E442</f>
        <v/>
      </c>
      <c r="G449" s="7">
        <f>'1 prepared data'!F442</f>
        <v/>
      </c>
      <c r="H449" s="7">
        <f>'1 prepared data'!G442</f>
        <v/>
      </c>
      <c r="I449" s="7">
        <f>'1 prepared data'!H442</f>
        <v/>
      </c>
      <c r="J449" s="7">
        <f>'1 prepared data'!I442</f>
        <v/>
      </c>
      <c r="K449" s="7">
        <f>'1 prepared data'!J442</f>
        <v/>
      </c>
      <c r="L449" s="7">
        <f>'1 prepared data'!K442</f>
        <v/>
      </c>
      <c r="M449" s="7">
        <f>'1 prepared data'!L442</f>
        <v/>
      </c>
      <c r="N449" s="7">
        <f>'1 prepared data'!M442</f>
        <v/>
      </c>
      <c r="O449" s="7">
        <f>'1 prepared data'!N442</f>
        <v/>
      </c>
      <c r="P449" s="7">
        <f>'1 prepared data'!O442</f>
        <v/>
      </c>
      <c r="Q449" s="7">
        <f>'1 prepared data'!P442</f>
        <v/>
      </c>
      <c r="R449" s="7">
        <f>'1 prepared data'!Q442</f>
        <v/>
      </c>
      <c r="S449" s="7">
        <f>'1 prepared data'!R442</f>
        <v/>
      </c>
      <c r="T449" s="7">
        <f>'1 prepared data'!S442</f>
        <v/>
      </c>
      <c r="U449" s="7">
        <f>'1 prepared data'!T442</f>
        <v/>
      </c>
      <c r="V449" s="8">
        <f>$AC$12+D449*$AC$13+E449*$AC$14+F449*$AC$15+G449*$AC$16+H449*$AC$17+I449*$AC$18+J449*$AC$19+K449*$AC$20+L449*$AC$21+M449*$AC$22+N449*$AC$23+O449*$AC$24+P449*$AC$25+Q449*$AC$26+R449*$AC$27+S449*$AC$28+T449*$AC$29+U449*$AC$30</f>
        <v/>
      </c>
      <c r="W449" s="8">
        <f>1/(1+EXP(-V449))</f>
        <v/>
      </c>
      <c r="X449" s="9">
        <f>-IF(C449=1,LN(W449),LN(1-W449))</f>
        <v/>
      </c>
      <c r="Y449" s="10">
        <f>IF(W449&gt;$AC$33,1,0)</f>
        <v/>
      </c>
      <c r="Z449">
        <f>IF(Y449=C449,1,0)</f>
        <v/>
      </c>
    </row>
    <row r="450">
      <c r="A450">
        <f>'1 prepared data'!A443</f>
        <v/>
      </c>
      <c r="B450" s="5">
        <f>'1 prepared data'!U443</f>
        <v/>
      </c>
      <c r="C450">
        <f>'1 prepared data'!B443</f>
        <v/>
      </c>
      <c r="D450" s="7">
        <f>'1 prepared data'!C443</f>
        <v/>
      </c>
      <c r="E450" s="7">
        <f>'1 prepared data'!D443</f>
        <v/>
      </c>
      <c r="F450" s="7">
        <f>'1 prepared data'!E443</f>
        <v/>
      </c>
      <c r="G450" s="7">
        <f>'1 prepared data'!F443</f>
        <v/>
      </c>
      <c r="H450" s="7">
        <f>'1 prepared data'!G443</f>
        <v/>
      </c>
      <c r="I450" s="7">
        <f>'1 prepared data'!H443</f>
        <v/>
      </c>
      <c r="J450" s="7">
        <f>'1 prepared data'!I443</f>
        <v/>
      </c>
      <c r="K450" s="7">
        <f>'1 prepared data'!J443</f>
        <v/>
      </c>
      <c r="L450" s="7">
        <f>'1 prepared data'!K443</f>
        <v/>
      </c>
      <c r="M450" s="7">
        <f>'1 prepared data'!L443</f>
        <v/>
      </c>
      <c r="N450" s="7">
        <f>'1 prepared data'!M443</f>
        <v/>
      </c>
      <c r="O450" s="7">
        <f>'1 prepared data'!N443</f>
        <v/>
      </c>
      <c r="P450" s="7">
        <f>'1 prepared data'!O443</f>
        <v/>
      </c>
      <c r="Q450" s="7">
        <f>'1 prepared data'!P443</f>
        <v/>
      </c>
      <c r="R450" s="7">
        <f>'1 prepared data'!Q443</f>
        <v/>
      </c>
      <c r="S450" s="7">
        <f>'1 prepared data'!R443</f>
        <v/>
      </c>
      <c r="T450" s="7">
        <f>'1 prepared data'!S443</f>
        <v/>
      </c>
      <c r="U450" s="7">
        <f>'1 prepared data'!T443</f>
        <v/>
      </c>
      <c r="V450" s="8">
        <f>$AC$12+D450*$AC$13+E450*$AC$14+F450*$AC$15+G450*$AC$16+H450*$AC$17+I450*$AC$18+J450*$AC$19+K450*$AC$20+L450*$AC$21+M450*$AC$22+N450*$AC$23+O450*$AC$24+P450*$AC$25+Q450*$AC$26+R450*$AC$27+S450*$AC$28+T450*$AC$29+U450*$AC$30</f>
        <v/>
      </c>
      <c r="W450" s="8">
        <f>1/(1+EXP(-V450))</f>
        <v/>
      </c>
      <c r="X450" s="9">
        <f>-IF(C450=1,LN(W450),LN(1-W450))</f>
        <v/>
      </c>
      <c r="Y450" s="10">
        <f>IF(W450&gt;$AC$33,1,0)</f>
        <v/>
      </c>
      <c r="Z450">
        <f>IF(Y450=C450,1,0)</f>
        <v/>
      </c>
    </row>
    <row r="451">
      <c r="A451">
        <f>'1 prepared data'!A444</f>
        <v/>
      </c>
      <c r="B451" s="5">
        <f>'1 prepared data'!U444</f>
        <v/>
      </c>
      <c r="C451">
        <f>'1 prepared data'!B444</f>
        <v/>
      </c>
      <c r="D451" s="7">
        <f>'1 prepared data'!C444</f>
        <v/>
      </c>
      <c r="E451" s="7">
        <f>'1 prepared data'!D444</f>
        <v/>
      </c>
      <c r="F451" s="7">
        <f>'1 prepared data'!E444</f>
        <v/>
      </c>
      <c r="G451" s="7">
        <f>'1 prepared data'!F444</f>
        <v/>
      </c>
      <c r="H451" s="7">
        <f>'1 prepared data'!G444</f>
        <v/>
      </c>
      <c r="I451" s="7">
        <f>'1 prepared data'!H444</f>
        <v/>
      </c>
      <c r="J451" s="7">
        <f>'1 prepared data'!I444</f>
        <v/>
      </c>
      <c r="K451" s="7">
        <f>'1 prepared data'!J444</f>
        <v/>
      </c>
      <c r="L451" s="7">
        <f>'1 prepared data'!K444</f>
        <v/>
      </c>
      <c r="M451" s="7">
        <f>'1 prepared data'!L444</f>
        <v/>
      </c>
      <c r="N451" s="7">
        <f>'1 prepared data'!M444</f>
        <v/>
      </c>
      <c r="O451" s="7">
        <f>'1 prepared data'!N444</f>
        <v/>
      </c>
      <c r="P451" s="7">
        <f>'1 prepared data'!O444</f>
        <v/>
      </c>
      <c r="Q451" s="7">
        <f>'1 prepared data'!P444</f>
        <v/>
      </c>
      <c r="R451" s="7">
        <f>'1 prepared data'!Q444</f>
        <v/>
      </c>
      <c r="S451" s="7">
        <f>'1 prepared data'!R444</f>
        <v/>
      </c>
      <c r="T451" s="7">
        <f>'1 prepared data'!S444</f>
        <v/>
      </c>
      <c r="U451" s="7">
        <f>'1 prepared data'!T444</f>
        <v/>
      </c>
      <c r="V451" s="8">
        <f>$AC$12+D451*$AC$13+E451*$AC$14+F451*$AC$15+G451*$AC$16+H451*$AC$17+I451*$AC$18+J451*$AC$19+K451*$AC$20+L451*$AC$21+M451*$AC$22+N451*$AC$23+O451*$AC$24+P451*$AC$25+Q451*$AC$26+R451*$AC$27+S451*$AC$28+T451*$AC$29+U451*$AC$30</f>
        <v/>
      </c>
      <c r="W451" s="8">
        <f>1/(1+EXP(-V451))</f>
        <v/>
      </c>
      <c r="X451" s="9">
        <f>-IF(C451=1,LN(W451),LN(1-W451))</f>
        <v/>
      </c>
      <c r="Y451" s="10">
        <f>IF(W451&gt;$AC$33,1,0)</f>
        <v/>
      </c>
      <c r="Z451">
        <f>IF(Y451=C451,1,0)</f>
        <v/>
      </c>
    </row>
    <row r="452">
      <c r="A452">
        <f>'1 prepared data'!A445</f>
        <v/>
      </c>
      <c r="B452" s="5">
        <f>'1 prepared data'!U445</f>
        <v/>
      </c>
      <c r="C452">
        <f>'1 prepared data'!B445</f>
        <v/>
      </c>
      <c r="D452" s="7">
        <f>'1 prepared data'!C445</f>
        <v/>
      </c>
      <c r="E452" s="7">
        <f>'1 prepared data'!D445</f>
        <v/>
      </c>
      <c r="F452" s="7">
        <f>'1 prepared data'!E445</f>
        <v/>
      </c>
      <c r="G452" s="7">
        <f>'1 prepared data'!F445</f>
        <v/>
      </c>
      <c r="H452" s="7">
        <f>'1 prepared data'!G445</f>
        <v/>
      </c>
      <c r="I452" s="7">
        <f>'1 prepared data'!H445</f>
        <v/>
      </c>
      <c r="J452" s="7">
        <f>'1 prepared data'!I445</f>
        <v/>
      </c>
      <c r="K452" s="7">
        <f>'1 prepared data'!J445</f>
        <v/>
      </c>
      <c r="L452" s="7">
        <f>'1 prepared data'!K445</f>
        <v/>
      </c>
      <c r="M452" s="7">
        <f>'1 prepared data'!L445</f>
        <v/>
      </c>
      <c r="N452" s="7">
        <f>'1 prepared data'!M445</f>
        <v/>
      </c>
      <c r="O452" s="7">
        <f>'1 prepared data'!N445</f>
        <v/>
      </c>
      <c r="P452" s="7">
        <f>'1 prepared data'!O445</f>
        <v/>
      </c>
      <c r="Q452" s="7">
        <f>'1 prepared data'!P445</f>
        <v/>
      </c>
      <c r="R452" s="7">
        <f>'1 prepared data'!Q445</f>
        <v/>
      </c>
      <c r="S452" s="7">
        <f>'1 prepared data'!R445</f>
        <v/>
      </c>
      <c r="T452" s="7">
        <f>'1 prepared data'!S445</f>
        <v/>
      </c>
      <c r="U452" s="7">
        <f>'1 prepared data'!T445</f>
        <v/>
      </c>
      <c r="V452" s="8">
        <f>$AC$12+D452*$AC$13+E452*$AC$14+F452*$AC$15+G452*$AC$16+H452*$AC$17+I452*$AC$18+J452*$AC$19+K452*$AC$20+L452*$AC$21+M452*$AC$22+N452*$AC$23+O452*$AC$24+P452*$AC$25+Q452*$AC$26+R452*$AC$27+S452*$AC$28+T452*$AC$29+U452*$AC$30</f>
        <v/>
      </c>
      <c r="W452" s="8">
        <f>1/(1+EXP(-V452))</f>
        <v/>
      </c>
      <c r="X452" s="9">
        <f>-IF(C452=1,LN(W452),LN(1-W452))</f>
        <v/>
      </c>
      <c r="Y452" s="10">
        <f>IF(W452&gt;$AC$33,1,0)</f>
        <v/>
      </c>
      <c r="Z452">
        <f>IF(Y452=C452,1,0)</f>
        <v/>
      </c>
    </row>
    <row r="453">
      <c r="A453">
        <f>'1 prepared data'!A446</f>
        <v/>
      </c>
      <c r="B453" s="5">
        <f>'1 prepared data'!U446</f>
        <v/>
      </c>
      <c r="C453">
        <f>'1 prepared data'!B446</f>
        <v/>
      </c>
      <c r="D453" s="7">
        <f>'1 prepared data'!C446</f>
        <v/>
      </c>
      <c r="E453" s="7">
        <f>'1 prepared data'!D446</f>
        <v/>
      </c>
      <c r="F453" s="7">
        <f>'1 prepared data'!E446</f>
        <v/>
      </c>
      <c r="G453" s="7">
        <f>'1 prepared data'!F446</f>
        <v/>
      </c>
      <c r="H453" s="7">
        <f>'1 prepared data'!G446</f>
        <v/>
      </c>
      <c r="I453" s="7">
        <f>'1 prepared data'!H446</f>
        <v/>
      </c>
      <c r="J453" s="7">
        <f>'1 prepared data'!I446</f>
        <v/>
      </c>
      <c r="K453" s="7">
        <f>'1 prepared data'!J446</f>
        <v/>
      </c>
      <c r="L453" s="7">
        <f>'1 prepared data'!K446</f>
        <v/>
      </c>
      <c r="M453" s="7">
        <f>'1 prepared data'!L446</f>
        <v/>
      </c>
      <c r="N453" s="7">
        <f>'1 prepared data'!M446</f>
        <v/>
      </c>
      <c r="O453" s="7">
        <f>'1 prepared data'!N446</f>
        <v/>
      </c>
      <c r="P453" s="7">
        <f>'1 prepared data'!O446</f>
        <v/>
      </c>
      <c r="Q453" s="7">
        <f>'1 prepared data'!P446</f>
        <v/>
      </c>
      <c r="R453" s="7">
        <f>'1 prepared data'!Q446</f>
        <v/>
      </c>
      <c r="S453" s="7">
        <f>'1 prepared data'!R446</f>
        <v/>
      </c>
      <c r="T453" s="7">
        <f>'1 prepared data'!S446</f>
        <v/>
      </c>
      <c r="U453" s="7">
        <f>'1 prepared data'!T446</f>
        <v/>
      </c>
      <c r="V453" s="8">
        <f>$AC$12+D453*$AC$13+E453*$AC$14+F453*$AC$15+G453*$AC$16+H453*$AC$17+I453*$AC$18+J453*$AC$19+K453*$AC$20+L453*$AC$21+M453*$AC$22+N453*$AC$23+O453*$AC$24+P453*$AC$25+Q453*$AC$26+R453*$AC$27+S453*$AC$28+T453*$AC$29+U453*$AC$30</f>
        <v/>
      </c>
      <c r="W453" s="8">
        <f>1/(1+EXP(-V453))</f>
        <v/>
      </c>
      <c r="X453" s="9">
        <f>-IF(C453=1,LN(W453),LN(1-W453))</f>
        <v/>
      </c>
      <c r="Y453" s="10">
        <f>IF(W453&gt;$AC$33,1,0)</f>
        <v/>
      </c>
      <c r="Z453">
        <f>IF(Y453=C453,1,0)</f>
        <v/>
      </c>
    </row>
    <row r="454">
      <c r="A454">
        <f>'1 prepared data'!A447</f>
        <v/>
      </c>
      <c r="B454" s="5">
        <f>'1 prepared data'!U447</f>
        <v/>
      </c>
      <c r="C454">
        <f>'1 prepared data'!B447</f>
        <v/>
      </c>
      <c r="D454" s="7">
        <f>'1 prepared data'!C447</f>
        <v/>
      </c>
      <c r="E454" s="7">
        <f>'1 prepared data'!D447</f>
        <v/>
      </c>
      <c r="F454" s="7">
        <f>'1 prepared data'!E447</f>
        <v/>
      </c>
      <c r="G454" s="7">
        <f>'1 prepared data'!F447</f>
        <v/>
      </c>
      <c r="H454" s="7">
        <f>'1 prepared data'!G447</f>
        <v/>
      </c>
      <c r="I454" s="7">
        <f>'1 prepared data'!H447</f>
        <v/>
      </c>
      <c r="J454" s="7">
        <f>'1 prepared data'!I447</f>
        <v/>
      </c>
      <c r="K454" s="7">
        <f>'1 prepared data'!J447</f>
        <v/>
      </c>
      <c r="L454" s="7">
        <f>'1 prepared data'!K447</f>
        <v/>
      </c>
      <c r="M454" s="7">
        <f>'1 prepared data'!L447</f>
        <v/>
      </c>
      <c r="N454" s="7">
        <f>'1 prepared data'!M447</f>
        <v/>
      </c>
      <c r="O454" s="7">
        <f>'1 prepared data'!N447</f>
        <v/>
      </c>
      <c r="P454" s="7">
        <f>'1 prepared data'!O447</f>
        <v/>
      </c>
      <c r="Q454" s="7">
        <f>'1 prepared data'!P447</f>
        <v/>
      </c>
      <c r="R454" s="7">
        <f>'1 prepared data'!Q447</f>
        <v/>
      </c>
      <c r="S454" s="7">
        <f>'1 prepared data'!R447</f>
        <v/>
      </c>
      <c r="T454" s="7">
        <f>'1 prepared data'!S447</f>
        <v/>
      </c>
      <c r="U454" s="7">
        <f>'1 prepared data'!T447</f>
        <v/>
      </c>
      <c r="V454" s="8">
        <f>$AC$12+D454*$AC$13+E454*$AC$14+F454*$AC$15+G454*$AC$16+H454*$AC$17+I454*$AC$18+J454*$AC$19+K454*$AC$20+L454*$AC$21+M454*$AC$22+N454*$AC$23+O454*$AC$24+P454*$AC$25+Q454*$AC$26+R454*$AC$27+S454*$AC$28+T454*$AC$29+U454*$AC$30</f>
        <v/>
      </c>
      <c r="W454" s="8">
        <f>1/(1+EXP(-V454))</f>
        <v/>
      </c>
      <c r="X454" s="9">
        <f>-IF(C454=1,LN(W454),LN(1-W454))</f>
        <v/>
      </c>
      <c r="Y454" s="10">
        <f>IF(W454&gt;$AC$33,1,0)</f>
        <v/>
      </c>
      <c r="Z454">
        <f>IF(Y454=C454,1,0)</f>
        <v/>
      </c>
    </row>
    <row r="455">
      <c r="A455">
        <f>'1 prepared data'!A448</f>
        <v/>
      </c>
      <c r="B455" s="5">
        <f>'1 prepared data'!U448</f>
        <v/>
      </c>
      <c r="C455">
        <f>'1 prepared data'!B448</f>
        <v/>
      </c>
      <c r="D455" s="7">
        <f>'1 prepared data'!C448</f>
        <v/>
      </c>
      <c r="E455" s="7">
        <f>'1 prepared data'!D448</f>
        <v/>
      </c>
      <c r="F455" s="7">
        <f>'1 prepared data'!E448</f>
        <v/>
      </c>
      <c r="G455" s="7">
        <f>'1 prepared data'!F448</f>
        <v/>
      </c>
      <c r="H455" s="7">
        <f>'1 prepared data'!G448</f>
        <v/>
      </c>
      <c r="I455" s="7">
        <f>'1 prepared data'!H448</f>
        <v/>
      </c>
      <c r="J455" s="7">
        <f>'1 prepared data'!I448</f>
        <v/>
      </c>
      <c r="K455" s="7">
        <f>'1 prepared data'!J448</f>
        <v/>
      </c>
      <c r="L455" s="7">
        <f>'1 prepared data'!K448</f>
        <v/>
      </c>
      <c r="M455" s="7">
        <f>'1 prepared data'!L448</f>
        <v/>
      </c>
      <c r="N455" s="7">
        <f>'1 prepared data'!M448</f>
        <v/>
      </c>
      <c r="O455" s="7">
        <f>'1 prepared data'!N448</f>
        <v/>
      </c>
      <c r="P455" s="7">
        <f>'1 prepared data'!O448</f>
        <v/>
      </c>
      <c r="Q455" s="7">
        <f>'1 prepared data'!P448</f>
        <v/>
      </c>
      <c r="R455" s="7">
        <f>'1 prepared data'!Q448</f>
        <v/>
      </c>
      <c r="S455" s="7">
        <f>'1 prepared data'!R448</f>
        <v/>
      </c>
      <c r="T455" s="7">
        <f>'1 prepared data'!S448</f>
        <v/>
      </c>
      <c r="U455" s="7">
        <f>'1 prepared data'!T448</f>
        <v/>
      </c>
      <c r="V455" s="8">
        <f>$AC$12+D455*$AC$13+E455*$AC$14+F455*$AC$15+G455*$AC$16+H455*$AC$17+I455*$AC$18+J455*$AC$19+K455*$AC$20+L455*$AC$21+M455*$AC$22+N455*$AC$23+O455*$AC$24+P455*$AC$25+Q455*$AC$26+R455*$AC$27+S455*$AC$28+T455*$AC$29+U455*$AC$30</f>
        <v/>
      </c>
      <c r="W455" s="8">
        <f>1/(1+EXP(-V455))</f>
        <v/>
      </c>
      <c r="X455" s="9">
        <f>-IF(C455=1,LN(W455),LN(1-W455))</f>
        <v/>
      </c>
      <c r="Y455" s="10">
        <f>IF(W455&gt;$AC$33,1,0)</f>
        <v/>
      </c>
      <c r="Z455">
        <f>IF(Y455=C455,1,0)</f>
        <v/>
      </c>
    </row>
    <row r="456">
      <c r="A456">
        <f>'1 prepared data'!A449</f>
        <v/>
      </c>
      <c r="B456" s="5">
        <f>'1 prepared data'!U449</f>
        <v/>
      </c>
      <c r="C456">
        <f>'1 prepared data'!B449</f>
        <v/>
      </c>
      <c r="D456" s="7">
        <f>'1 prepared data'!C449</f>
        <v/>
      </c>
      <c r="E456" s="7">
        <f>'1 prepared data'!D449</f>
        <v/>
      </c>
      <c r="F456" s="7">
        <f>'1 prepared data'!E449</f>
        <v/>
      </c>
      <c r="G456" s="7">
        <f>'1 prepared data'!F449</f>
        <v/>
      </c>
      <c r="H456" s="7">
        <f>'1 prepared data'!G449</f>
        <v/>
      </c>
      <c r="I456" s="7">
        <f>'1 prepared data'!H449</f>
        <v/>
      </c>
      <c r="J456" s="7">
        <f>'1 prepared data'!I449</f>
        <v/>
      </c>
      <c r="K456" s="7">
        <f>'1 prepared data'!J449</f>
        <v/>
      </c>
      <c r="L456" s="7">
        <f>'1 prepared data'!K449</f>
        <v/>
      </c>
      <c r="M456" s="7">
        <f>'1 prepared data'!L449</f>
        <v/>
      </c>
      <c r="N456" s="7">
        <f>'1 prepared data'!M449</f>
        <v/>
      </c>
      <c r="O456" s="7">
        <f>'1 prepared data'!N449</f>
        <v/>
      </c>
      <c r="P456" s="7">
        <f>'1 prepared data'!O449</f>
        <v/>
      </c>
      <c r="Q456" s="7">
        <f>'1 prepared data'!P449</f>
        <v/>
      </c>
      <c r="R456" s="7">
        <f>'1 prepared data'!Q449</f>
        <v/>
      </c>
      <c r="S456" s="7">
        <f>'1 prepared data'!R449</f>
        <v/>
      </c>
      <c r="T456" s="7">
        <f>'1 prepared data'!S449</f>
        <v/>
      </c>
      <c r="U456" s="7">
        <f>'1 prepared data'!T449</f>
        <v/>
      </c>
      <c r="V456" s="8">
        <f>$AC$12+D456*$AC$13+E456*$AC$14+F456*$AC$15+G456*$AC$16+H456*$AC$17+I456*$AC$18+J456*$AC$19+K456*$AC$20+L456*$AC$21+M456*$AC$22+N456*$AC$23+O456*$AC$24+P456*$AC$25+Q456*$AC$26+R456*$AC$27+S456*$AC$28+T456*$AC$29+U456*$AC$30</f>
        <v/>
      </c>
      <c r="W456" s="8">
        <f>1/(1+EXP(-V456))</f>
        <v/>
      </c>
      <c r="X456" s="9">
        <f>-IF(C456=1,LN(W456),LN(1-W456))</f>
        <v/>
      </c>
      <c r="Y456" s="10">
        <f>IF(W456&gt;$AC$33,1,0)</f>
        <v/>
      </c>
      <c r="Z456">
        <f>IF(Y456=C456,1,0)</f>
        <v/>
      </c>
    </row>
    <row r="457">
      <c r="A457">
        <f>'1 prepared data'!A450</f>
        <v/>
      </c>
      <c r="B457" s="5">
        <f>'1 prepared data'!U450</f>
        <v/>
      </c>
      <c r="C457">
        <f>'1 prepared data'!B450</f>
        <v/>
      </c>
      <c r="D457" s="7">
        <f>'1 prepared data'!C450</f>
        <v/>
      </c>
      <c r="E457" s="7">
        <f>'1 prepared data'!D450</f>
        <v/>
      </c>
      <c r="F457" s="7">
        <f>'1 prepared data'!E450</f>
        <v/>
      </c>
      <c r="G457" s="7">
        <f>'1 prepared data'!F450</f>
        <v/>
      </c>
      <c r="H457" s="7">
        <f>'1 prepared data'!G450</f>
        <v/>
      </c>
      <c r="I457" s="7">
        <f>'1 prepared data'!H450</f>
        <v/>
      </c>
      <c r="J457" s="7">
        <f>'1 prepared data'!I450</f>
        <v/>
      </c>
      <c r="K457" s="7">
        <f>'1 prepared data'!J450</f>
        <v/>
      </c>
      <c r="L457" s="7">
        <f>'1 prepared data'!K450</f>
        <v/>
      </c>
      <c r="M457" s="7">
        <f>'1 prepared data'!L450</f>
        <v/>
      </c>
      <c r="N457" s="7">
        <f>'1 prepared data'!M450</f>
        <v/>
      </c>
      <c r="O457" s="7">
        <f>'1 prepared data'!N450</f>
        <v/>
      </c>
      <c r="P457" s="7">
        <f>'1 prepared data'!O450</f>
        <v/>
      </c>
      <c r="Q457" s="7">
        <f>'1 prepared data'!P450</f>
        <v/>
      </c>
      <c r="R457" s="7">
        <f>'1 prepared data'!Q450</f>
        <v/>
      </c>
      <c r="S457" s="7">
        <f>'1 prepared data'!R450</f>
        <v/>
      </c>
      <c r="T457" s="7">
        <f>'1 prepared data'!S450</f>
        <v/>
      </c>
      <c r="U457" s="7">
        <f>'1 prepared data'!T450</f>
        <v/>
      </c>
      <c r="V457" s="8">
        <f>$AC$12+D457*$AC$13+E457*$AC$14+F457*$AC$15+G457*$AC$16+H457*$AC$17+I457*$AC$18+J457*$AC$19+K457*$AC$20+L457*$AC$21+M457*$AC$22+N457*$AC$23+O457*$AC$24+P457*$AC$25+Q457*$AC$26+R457*$AC$27+S457*$AC$28+T457*$AC$29+U457*$AC$30</f>
        <v/>
      </c>
      <c r="W457" s="8">
        <f>1/(1+EXP(-V457))</f>
        <v/>
      </c>
      <c r="X457" s="9">
        <f>-IF(C457=1,LN(W457),LN(1-W457))</f>
        <v/>
      </c>
      <c r="Y457" s="10">
        <f>IF(W457&gt;$AC$33,1,0)</f>
        <v/>
      </c>
      <c r="Z457">
        <f>IF(Y457=C457,1,0)</f>
        <v/>
      </c>
    </row>
    <row r="458">
      <c r="A458">
        <f>'1 prepared data'!A451</f>
        <v/>
      </c>
      <c r="B458" s="5">
        <f>'1 prepared data'!U451</f>
        <v/>
      </c>
      <c r="C458">
        <f>'1 prepared data'!B451</f>
        <v/>
      </c>
      <c r="D458" s="7">
        <f>'1 prepared data'!C451</f>
        <v/>
      </c>
      <c r="E458" s="7">
        <f>'1 prepared data'!D451</f>
        <v/>
      </c>
      <c r="F458" s="7">
        <f>'1 prepared data'!E451</f>
        <v/>
      </c>
      <c r="G458" s="7">
        <f>'1 prepared data'!F451</f>
        <v/>
      </c>
      <c r="H458" s="7">
        <f>'1 prepared data'!G451</f>
        <v/>
      </c>
      <c r="I458" s="7">
        <f>'1 prepared data'!H451</f>
        <v/>
      </c>
      <c r="J458" s="7">
        <f>'1 prepared data'!I451</f>
        <v/>
      </c>
      <c r="K458" s="7">
        <f>'1 prepared data'!J451</f>
        <v/>
      </c>
      <c r="L458" s="7">
        <f>'1 prepared data'!K451</f>
        <v/>
      </c>
      <c r="M458" s="7">
        <f>'1 prepared data'!L451</f>
        <v/>
      </c>
      <c r="N458" s="7">
        <f>'1 prepared data'!M451</f>
        <v/>
      </c>
      <c r="O458" s="7">
        <f>'1 prepared data'!N451</f>
        <v/>
      </c>
      <c r="P458" s="7">
        <f>'1 prepared data'!O451</f>
        <v/>
      </c>
      <c r="Q458" s="7">
        <f>'1 prepared data'!P451</f>
        <v/>
      </c>
      <c r="R458" s="7">
        <f>'1 prepared data'!Q451</f>
        <v/>
      </c>
      <c r="S458" s="7">
        <f>'1 prepared data'!R451</f>
        <v/>
      </c>
      <c r="T458" s="7">
        <f>'1 prepared data'!S451</f>
        <v/>
      </c>
      <c r="U458" s="7">
        <f>'1 prepared data'!T451</f>
        <v/>
      </c>
      <c r="V458" s="8">
        <f>$AC$12+D458*$AC$13+E458*$AC$14+F458*$AC$15+G458*$AC$16+H458*$AC$17+I458*$AC$18+J458*$AC$19+K458*$AC$20+L458*$AC$21+M458*$AC$22+N458*$AC$23+O458*$AC$24+P458*$AC$25+Q458*$AC$26+R458*$AC$27+S458*$AC$28+T458*$AC$29+U458*$AC$30</f>
        <v/>
      </c>
      <c r="W458" s="8">
        <f>1/(1+EXP(-V458))</f>
        <v/>
      </c>
      <c r="X458" s="9">
        <f>-IF(C458=1,LN(W458),LN(1-W458))</f>
        <v/>
      </c>
      <c r="Y458" s="10">
        <f>IF(W458&gt;$AC$33,1,0)</f>
        <v/>
      </c>
      <c r="Z458">
        <f>IF(Y458=C458,1,0)</f>
        <v/>
      </c>
    </row>
    <row r="459">
      <c r="A459">
        <f>'1 prepared data'!A452</f>
        <v/>
      </c>
      <c r="B459" s="5">
        <f>'1 prepared data'!U452</f>
        <v/>
      </c>
      <c r="C459">
        <f>'1 prepared data'!B452</f>
        <v/>
      </c>
      <c r="D459" s="7">
        <f>'1 prepared data'!C452</f>
        <v/>
      </c>
      <c r="E459" s="7">
        <f>'1 prepared data'!D452</f>
        <v/>
      </c>
      <c r="F459" s="7">
        <f>'1 prepared data'!E452</f>
        <v/>
      </c>
      <c r="G459" s="7">
        <f>'1 prepared data'!F452</f>
        <v/>
      </c>
      <c r="H459" s="7">
        <f>'1 prepared data'!G452</f>
        <v/>
      </c>
      <c r="I459" s="7">
        <f>'1 prepared data'!H452</f>
        <v/>
      </c>
      <c r="J459" s="7">
        <f>'1 prepared data'!I452</f>
        <v/>
      </c>
      <c r="K459" s="7">
        <f>'1 prepared data'!J452</f>
        <v/>
      </c>
      <c r="L459" s="7">
        <f>'1 prepared data'!K452</f>
        <v/>
      </c>
      <c r="M459" s="7">
        <f>'1 prepared data'!L452</f>
        <v/>
      </c>
      <c r="N459" s="7">
        <f>'1 prepared data'!M452</f>
        <v/>
      </c>
      <c r="O459" s="7">
        <f>'1 prepared data'!N452</f>
        <v/>
      </c>
      <c r="P459" s="7">
        <f>'1 prepared data'!O452</f>
        <v/>
      </c>
      <c r="Q459" s="7">
        <f>'1 prepared data'!P452</f>
        <v/>
      </c>
      <c r="R459" s="7">
        <f>'1 prepared data'!Q452</f>
        <v/>
      </c>
      <c r="S459" s="7">
        <f>'1 prepared data'!R452</f>
        <v/>
      </c>
      <c r="T459" s="7">
        <f>'1 prepared data'!S452</f>
        <v/>
      </c>
      <c r="U459" s="7">
        <f>'1 prepared data'!T452</f>
        <v/>
      </c>
      <c r="V459" s="8">
        <f>$AC$12+D459*$AC$13+E459*$AC$14+F459*$AC$15+G459*$AC$16+H459*$AC$17+I459*$AC$18+J459*$AC$19+K459*$AC$20+L459*$AC$21+M459*$AC$22+N459*$AC$23+O459*$AC$24+P459*$AC$25+Q459*$AC$26+R459*$AC$27+S459*$AC$28+T459*$AC$29+U459*$AC$30</f>
        <v/>
      </c>
      <c r="W459" s="8">
        <f>1/(1+EXP(-V459))</f>
        <v/>
      </c>
      <c r="X459" s="9">
        <f>-IF(C459=1,LN(W459),LN(1-W459))</f>
        <v/>
      </c>
      <c r="Y459" s="10">
        <f>IF(W459&gt;$AC$33,1,0)</f>
        <v/>
      </c>
      <c r="Z459">
        <f>IF(Y459=C459,1,0)</f>
        <v/>
      </c>
    </row>
    <row r="460">
      <c r="A460">
        <f>'1 prepared data'!A453</f>
        <v/>
      </c>
      <c r="B460" s="5">
        <f>'1 prepared data'!U453</f>
        <v/>
      </c>
      <c r="C460">
        <f>'1 prepared data'!B453</f>
        <v/>
      </c>
      <c r="D460" s="7">
        <f>'1 prepared data'!C453</f>
        <v/>
      </c>
      <c r="E460" s="7">
        <f>'1 prepared data'!D453</f>
        <v/>
      </c>
      <c r="F460" s="7">
        <f>'1 prepared data'!E453</f>
        <v/>
      </c>
      <c r="G460" s="7">
        <f>'1 prepared data'!F453</f>
        <v/>
      </c>
      <c r="H460" s="7">
        <f>'1 prepared data'!G453</f>
        <v/>
      </c>
      <c r="I460" s="7">
        <f>'1 prepared data'!H453</f>
        <v/>
      </c>
      <c r="J460" s="7">
        <f>'1 prepared data'!I453</f>
        <v/>
      </c>
      <c r="K460" s="7">
        <f>'1 prepared data'!J453</f>
        <v/>
      </c>
      <c r="L460" s="7">
        <f>'1 prepared data'!K453</f>
        <v/>
      </c>
      <c r="M460" s="7">
        <f>'1 prepared data'!L453</f>
        <v/>
      </c>
      <c r="N460" s="7">
        <f>'1 prepared data'!M453</f>
        <v/>
      </c>
      <c r="O460" s="7">
        <f>'1 prepared data'!N453</f>
        <v/>
      </c>
      <c r="P460" s="7">
        <f>'1 prepared data'!O453</f>
        <v/>
      </c>
      <c r="Q460" s="7">
        <f>'1 prepared data'!P453</f>
        <v/>
      </c>
      <c r="R460" s="7">
        <f>'1 prepared data'!Q453</f>
        <v/>
      </c>
      <c r="S460" s="7">
        <f>'1 prepared data'!R453</f>
        <v/>
      </c>
      <c r="T460" s="7">
        <f>'1 prepared data'!S453</f>
        <v/>
      </c>
      <c r="U460" s="7">
        <f>'1 prepared data'!T453</f>
        <v/>
      </c>
      <c r="V460" s="8">
        <f>$AC$12+D460*$AC$13+E460*$AC$14+F460*$AC$15+G460*$AC$16+H460*$AC$17+I460*$AC$18+J460*$AC$19+K460*$AC$20+L460*$AC$21+M460*$AC$22+N460*$AC$23+O460*$AC$24+P460*$AC$25+Q460*$AC$26+R460*$AC$27+S460*$AC$28+T460*$AC$29+U460*$AC$30</f>
        <v/>
      </c>
      <c r="W460" s="8">
        <f>1/(1+EXP(-V460))</f>
        <v/>
      </c>
      <c r="X460" s="9">
        <f>-IF(C460=1,LN(W460),LN(1-W460))</f>
        <v/>
      </c>
      <c r="Y460" s="10">
        <f>IF(W460&gt;$AC$33,1,0)</f>
        <v/>
      </c>
      <c r="Z460">
        <f>IF(Y460=C460,1,0)</f>
        <v/>
      </c>
    </row>
    <row r="461">
      <c r="A461">
        <f>'1 prepared data'!A454</f>
        <v/>
      </c>
      <c r="B461" s="5">
        <f>'1 prepared data'!U454</f>
        <v/>
      </c>
      <c r="C461">
        <f>'1 prepared data'!B454</f>
        <v/>
      </c>
      <c r="D461" s="7">
        <f>'1 prepared data'!C454</f>
        <v/>
      </c>
      <c r="E461" s="7">
        <f>'1 prepared data'!D454</f>
        <v/>
      </c>
      <c r="F461" s="7">
        <f>'1 prepared data'!E454</f>
        <v/>
      </c>
      <c r="G461" s="7">
        <f>'1 prepared data'!F454</f>
        <v/>
      </c>
      <c r="H461" s="7">
        <f>'1 prepared data'!G454</f>
        <v/>
      </c>
      <c r="I461" s="7">
        <f>'1 prepared data'!H454</f>
        <v/>
      </c>
      <c r="J461" s="7">
        <f>'1 prepared data'!I454</f>
        <v/>
      </c>
      <c r="K461" s="7">
        <f>'1 prepared data'!J454</f>
        <v/>
      </c>
      <c r="L461" s="7">
        <f>'1 prepared data'!K454</f>
        <v/>
      </c>
      <c r="M461" s="7">
        <f>'1 prepared data'!L454</f>
        <v/>
      </c>
      <c r="N461" s="7">
        <f>'1 prepared data'!M454</f>
        <v/>
      </c>
      <c r="O461" s="7">
        <f>'1 prepared data'!N454</f>
        <v/>
      </c>
      <c r="P461" s="7">
        <f>'1 prepared data'!O454</f>
        <v/>
      </c>
      <c r="Q461" s="7">
        <f>'1 prepared data'!P454</f>
        <v/>
      </c>
      <c r="R461" s="7">
        <f>'1 prepared data'!Q454</f>
        <v/>
      </c>
      <c r="S461" s="7">
        <f>'1 prepared data'!R454</f>
        <v/>
      </c>
      <c r="T461" s="7">
        <f>'1 prepared data'!S454</f>
        <v/>
      </c>
      <c r="U461" s="7">
        <f>'1 prepared data'!T454</f>
        <v/>
      </c>
      <c r="V461" s="8">
        <f>$AC$12+D461*$AC$13+E461*$AC$14+F461*$AC$15+G461*$AC$16+H461*$AC$17+I461*$AC$18+J461*$AC$19+K461*$AC$20+L461*$AC$21+M461*$AC$22+N461*$AC$23+O461*$AC$24+P461*$AC$25+Q461*$AC$26+R461*$AC$27+S461*$AC$28+T461*$AC$29+U461*$AC$30</f>
        <v/>
      </c>
      <c r="W461" s="8">
        <f>1/(1+EXP(-V461))</f>
        <v/>
      </c>
      <c r="X461" s="9">
        <f>-IF(C461=1,LN(W461),LN(1-W461))</f>
        <v/>
      </c>
      <c r="Y461" s="10">
        <f>IF(W461&gt;$AC$33,1,0)</f>
        <v/>
      </c>
      <c r="Z461">
        <f>IF(Y461=C461,1,0)</f>
        <v/>
      </c>
    </row>
    <row r="462">
      <c r="A462">
        <f>'1 prepared data'!A455</f>
        <v/>
      </c>
      <c r="B462" s="5">
        <f>'1 prepared data'!U455</f>
        <v/>
      </c>
      <c r="C462">
        <f>'1 prepared data'!B455</f>
        <v/>
      </c>
      <c r="D462" s="7">
        <f>'1 prepared data'!C455</f>
        <v/>
      </c>
      <c r="E462" s="7">
        <f>'1 prepared data'!D455</f>
        <v/>
      </c>
      <c r="F462" s="7">
        <f>'1 prepared data'!E455</f>
        <v/>
      </c>
      <c r="G462" s="7">
        <f>'1 prepared data'!F455</f>
        <v/>
      </c>
      <c r="H462" s="7">
        <f>'1 prepared data'!G455</f>
        <v/>
      </c>
      <c r="I462" s="7">
        <f>'1 prepared data'!H455</f>
        <v/>
      </c>
      <c r="J462" s="7">
        <f>'1 prepared data'!I455</f>
        <v/>
      </c>
      <c r="K462" s="7">
        <f>'1 prepared data'!J455</f>
        <v/>
      </c>
      <c r="L462" s="7">
        <f>'1 prepared data'!K455</f>
        <v/>
      </c>
      <c r="M462" s="7">
        <f>'1 prepared data'!L455</f>
        <v/>
      </c>
      <c r="N462" s="7">
        <f>'1 prepared data'!M455</f>
        <v/>
      </c>
      <c r="O462" s="7">
        <f>'1 prepared data'!N455</f>
        <v/>
      </c>
      <c r="P462" s="7">
        <f>'1 prepared data'!O455</f>
        <v/>
      </c>
      <c r="Q462" s="7">
        <f>'1 prepared data'!P455</f>
        <v/>
      </c>
      <c r="R462" s="7">
        <f>'1 prepared data'!Q455</f>
        <v/>
      </c>
      <c r="S462" s="7">
        <f>'1 prepared data'!R455</f>
        <v/>
      </c>
      <c r="T462" s="7">
        <f>'1 prepared data'!S455</f>
        <v/>
      </c>
      <c r="U462" s="7">
        <f>'1 prepared data'!T455</f>
        <v/>
      </c>
      <c r="V462" s="8">
        <f>$AC$12+D462*$AC$13+E462*$AC$14+F462*$AC$15+G462*$AC$16+H462*$AC$17+I462*$AC$18+J462*$AC$19+K462*$AC$20+L462*$AC$21+M462*$AC$22+N462*$AC$23+O462*$AC$24+P462*$AC$25+Q462*$AC$26+R462*$AC$27+S462*$AC$28+T462*$AC$29+U462*$AC$30</f>
        <v/>
      </c>
      <c r="W462" s="8">
        <f>1/(1+EXP(-V462))</f>
        <v/>
      </c>
      <c r="X462" s="9">
        <f>-IF(C462=1,LN(W462),LN(1-W462))</f>
        <v/>
      </c>
      <c r="Y462" s="10">
        <f>IF(W462&gt;$AC$33,1,0)</f>
        <v/>
      </c>
      <c r="Z462">
        <f>IF(Y462=C462,1,0)</f>
        <v/>
      </c>
    </row>
    <row r="463">
      <c r="A463">
        <f>'1 prepared data'!A456</f>
        <v/>
      </c>
      <c r="B463" s="5">
        <f>'1 prepared data'!U456</f>
        <v/>
      </c>
      <c r="C463">
        <f>'1 prepared data'!B456</f>
        <v/>
      </c>
      <c r="D463" s="7">
        <f>'1 prepared data'!C456</f>
        <v/>
      </c>
      <c r="E463" s="7">
        <f>'1 prepared data'!D456</f>
        <v/>
      </c>
      <c r="F463" s="7">
        <f>'1 prepared data'!E456</f>
        <v/>
      </c>
      <c r="G463" s="7">
        <f>'1 prepared data'!F456</f>
        <v/>
      </c>
      <c r="H463" s="7">
        <f>'1 prepared data'!G456</f>
        <v/>
      </c>
      <c r="I463" s="7">
        <f>'1 prepared data'!H456</f>
        <v/>
      </c>
      <c r="J463" s="7">
        <f>'1 prepared data'!I456</f>
        <v/>
      </c>
      <c r="K463" s="7">
        <f>'1 prepared data'!J456</f>
        <v/>
      </c>
      <c r="L463" s="7">
        <f>'1 prepared data'!K456</f>
        <v/>
      </c>
      <c r="M463" s="7">
        <f>'1 prepared data'!L456</f>
        <v/>
      </c>
      <c r="N463" s="7">
        <f>'1 prepared data'!M456</f>
        <v/>
      </c>
      <c r="O463" s="7">
        <f>'1 prepared data'!N456</f>
        <v/>
      </c>
      <c r="P463" s="7">
        <f>'1 prepared data'!O456</f>
        <v/>
      </c>
      <c r="Q463" s="7">
        <f>'1 prepared data'!P456</f>
        <v/>
      </c>
      <c r="R463" s="7">
        <f>'1 prepared data'!Q456</f>
        <v/>
      </c>
      <c r="S463" s="7">
        <f>'1 prepared data'!R456</f>
        <v/>
      </c>
      <c r="T463" s="7">
        <f>'1 prepared data'!S456</f>
        <v/>
      </c>
      <c r="U463" s="7">
        <f>'1 prepared data'!T456</f>
        <v/>
      </c>
      <c r="V463" s="8">
        <f>$AC$12+D463*$AC$13+E463*$AC$14+F463*$AC$15+G463*$AC$16+H463*$AC$17+I463*$AC$18+J463*$AC$19+K463*$AC$20+L463*$AC$21+M463*$AC$22+N463*$AC$23+O463*$AC$24+P463*$AC$25+Q463*$AC$26+R463*$AC$27+S463*$AC$28+T463*$AC$29+U463*$AC$30</f>
        <v/>
      </c>
      <c r="W463" s="8">
        <f>1/(1+EXP(-V463))</f>
        <v/>
      </c>
      <c r="X463" s="9">
        <f>-IF(C463=1,LN(W463),LN(1-W463))</f>
        <v/>
      </c>
      <c r="Y463" s="10">
        <f>IF(W463&gt;$AC$33,1,0)</f>
        <v/>
      </c>
      <c r="Z463">
        <f>IF(Y463=C463,1,0)</f>
        <v/>
      </c>
    </row>
    <row r="464">
      <c r="A464">
        <f>'1 prepared data'!A457</f>
        <v/>
      </c>
      <c r="B464" s="5">
        <f>'1 prepared data'!U457</f>
        <v/>
      </c>
      <c r="C464">
        <f>'1 prepared data'!B457</f>
        <v/>
      </c>
      <c r="D464" s="7">
        <f>'1 prepared data'!C457</f>
        <v/>
      </c>
      <c r="E464" s="7">
        <f>'1 prepared data'!D457</f>
        <v/>
      </c>
      <c r="F464" s="7">
        <f>'1 prepared data'!E457</f>
        <v/>
      </c>
      <c r="G464" s="7">
        <f>'1 prepared data'!F457</f>
        <v/>
      </c>
      <c r="H464" s="7">
        <f>'1 prepared data'!G457</f>
        <v/>
      </c>
      <c r="I464" s="7">
        <f>'1 prepared data'!H457</f>
        <v/>
      </c>
      <c r="J464" s="7">
        <f>'1 prepared data'!I457</f>
        <v/>
      </c>
      <c r="K464" s="7">
        <f>'1 prepared data'!J457</f>
        <v/>
      </c>
      <c r="L464" s="7">
        <f>'1 prepared data'!K457</f>
        <v/>
      </c>
      <c r="M464" s="7">
        <f>'1 prepared data'!L457</f>
        <v/>
      </c>
      <c r="N464" s="7">
        <f>'1 prepared data'!M457</f>
        <v/>
      </c>
      <c r="O464" s="7">
        <f>'1 prepared data'!N457</f>
        <v/>
      </c>
      <c r="P464" s="7">
        <f>'1 prepared data'!O457</f>
        <v/>
      </c>
      <c r="Q464" s="7">
        <f>'1 prepared data'!P457</f>
        <v/>
      </c>
      <c r="R464" s="7">
        <f>'1 prepared data'!Q457</f>
        <v/>
      </c>
      <c r="S464" s="7">
        <f>'1 prepared data'!R457</f>
        <v/>
      </c>
      <c r="T464" s="7">
        <f>'1 prepared data'!S457</f>
        <v/>
      </c>
      <c r="U464" s="7">
        <f>'1 prepared data'!T457</f>
        <v/>
      </c>
      <c r="V464" s="8">
        <f>$AC$12+D464*$AC$13+E464*$AC$14+F464*$AC$15+G464*$AC$16+H464*$AC$17+I464*$AC$18+J464*$AC$19+K464*$AC$20+L464*$AC$21+M464*$AC$22+N464*$AC$23+O464*$AC$24+P464*$AC$25+Q464*$AC$26+R464*$AC$27+S464*$AC$28+T464*$AC$29+U464*$AC$30</f>
        <v/>
      </c>
      <c r="W464" s="8">
        <f>1/(1+EXP(-V464))</f>
        <v/>
      </c>
      <c r="X464" s="9">
        <f>-IF(C464=1,LN(W464),LN(1-W464))</f>
        <v/>
      </c>
      <c r="Y464" s="10">
        <f>IF(W464&gt;$AC$33,1,0)</f>
        <v/>
      </c>
      <c r="Z464">
        <f>IF(Y464=C464,1,0)</f>
        <v/>
      </c>
    </row>
    <row r="465">
      <c r="A465">
        <f>'1 prepared data'!A458</f>
        <v/>
      </c>
      <c r="B465" s="5">
        <f>'1 prepared data'!U458</f>
        <v/>
      </c>
      <c r="C465">
        <f>'1 prepared data'!B458</f>
        <v/>
      </c>
      <c r="D465" s="7">
        <f>'1 prepared data'!C458</f>
        <v/>
      </c>
      <c r="E465" s="7">
        <f>'1 prepared data'!D458</f>
        <v/>
      </c>
      <c r="F465" s="7">
        <f>'1 prepared data'!E458</f>
        <v/>
      </c>
      <c r="G465" s="7">
        <f>'1 prepared data'!F458</f>
        <v/>
      </c>
      <c r="H465" s="7">
        <f>'1 prepared data'!G458</f>
        <v/>
      </c>
      <c r="I465" s="7">
        <f>'1 prepared data'!H458</f>
        <v/>
      </c>
      <c r="J465" s="7">
        <f>'1 prepared data'!I458</f>
        <v/>
      </c>
      <c r="K465" s="7">
        <f>'1 prepared data'!J458</f>
        <v/>
      </c>
      <c r="L465" s="7">
        <f>'1 prepared data'!K458</f>
        <v/>
      </c>
      <c r="M465" s="7">
        <f>'1 prepared data'!L458</f>
        <v/>
      </c>
      <c r="N465" s="7">
        <f>'1 prepared data'!M458</f>
        <v/>
      </c>
      <c r="O465" s="7">
        <f>'1 prepared data'!N458</f>
        <v/>
      </c>
      <c r="P465" s="7">
        <f>'1 prepared data'!O458</f>
        <v/>
      </c>
      <c r="Q465" s="7">
        <f>'1 prepared data'!P458</f>
        <v/>
      </c>
      <c r="R465" s="7">
        <f>'1 prepared data'!Q458</f>
        <v/>
      </c>
      <c r="S465" s="7">
        <f>'1 prepared data'!R458</f>
        <v/>
      </c>
      <c r="T465" s="7">
        <f>'1 prepared data'!S458</f>
        <v/>
      </c>
      <c r="U465" s="7">
        <f>'1 prepared data'!T458</f>
        <v/>
      </c>
      <c r="V465" s="8">
        <f>$AC$12+D465*$AC$13+E465*$AC$14+F465*$AC$15+G465*$AC$16+H465*$AC$17+I465*$AC$18+J465*$AC$19+K465*$AC$20+L465*$AC$21+M465*$AC$22+N465*$AC$23+O465*$AC$24+P465*$AC$25+Q465*$AC$26+R465*$AC$27+S465*$AC$28+T465*$AC$29+U465*$AC$30</f>
        <v/>
      </c>
      <c r="W465" s="8">
        <f>1/(1+EXP(-V465))</f>
        <v/>
      </c>
      <c r="X465" s="9">
        <f>-IF(C465=1,LN(W465),LN(1-W465))</f>
        <v/>
      </c>
      <c r="Y465" s="10">
        <f>IF(W465&gt;$AC$33,1,0)</f>
        <v/>
      </c>
      <c r="Z465">
        <f>IF(Y465=C465,1,0)</f>
        <v/>
      </c>
    </row>
    <row r="466">
      <c r="A466">
        <f>'1 prepared data'!A459</f>
        <v/>
      </c>
      <c r="B466" s="5">
        <f>'1 prepared data'!U459</f>
        <v/>
      </c>
      <c r="C466">
        <f>'1 prepared data'!B459</f>
        <v/>
      </c>
      <c r="D466" s="7">
        <f>'1 prepared data'!C459</f>
        <v/>
      </c>
      <c r="E466" s="7">
        <f>'1 prepared data'!D459</f>
        <v/>
      </c>
      <c r="F466" s="7">
        <f>'1 prepared data'!E459</f>
        <v/>
      </c>
      <c r="G466" s="7">
        <f>'1 prepared data'!F459</f>
        <v/>
      </c>
      <c r="H466" s="7">
        <f>'1 prepared data'!G459</f>
        <v/>
      </c>
      <c r="I466" s="7">
        <f>'1 prepared data'!H459</f>
        <v/>
      </c>
      <c r="J466" s="7">
        <f>'1 prepared data'!I459</f>
        <v/>
      </c>
      <c r="K466" s="7">
        <f>'1 prepared data'!J459</f>
        <v/>
      </c>
      <c r="L466" s="7">
        <f>'1 prepared data'!K459</f>
        <v/>
      </c>
      <c r="M466" s="7">
        <f>'1 prepared data'!L459</f>
        <v/>
      </c>
      <c r="N466" s="7">
        <f>'1 prepared data'!M459</f>
        <v/>
      </c>
      <c r="O466" s="7">
        <f>'1 prepared data'!N459</f>
        <v/>
      </c>
      <c r="P466" s="7">
        <f>'1 prepared data'!O459</f>
        <v/>
      </c>
      <c r="Q466" s="7">
        <f>'1 prepared data'!P459</f>
        <v/>
      </c>
      <c r="R466" s="7">
        <f>'1 prepared data'!Q459</f>
        <v/>
      </c>
      <c r="S466" s="7">
        <f>'1 prepared data'!R459</f>
        <v/>
      </c>
      <c r="T466" s="7">
        <f>'1 prepared data'!S459</f>
        <v/>
      </c>
      <c r="U466" s="7">
        <f>'1 prepared data'!T459</f>
        <v/>
      </c>
      <c r="V466" s="8">
        <f>$AC$12+D466*$AC$13+E466*$AC$14+F466*$AC$15+G466*$AC$16+H466*$AC$17+I466*$AC$18+J466*$AC$19+K466*$AC$20+L466*$AC$21+M466*$AC$22+N466*$AC$23+O466*$AC$24+P466*$AC$25+Q466*$AC$26+R466*$AC$27+S466*$AC$28+T466*$AC$29+U466*$AC$30</f>
        <v/>
      </c>
      <c r="W466" s="8">
        <f>1/(1+EXP(-V466))</f>
        <v/>
      </c>
      <c r="X466" s="9">
        <f>-IF(C466=1,LN(W466),LN(1-W466))</f>
        <v/>
      </c>
      <c r="Y466" s="10">
        <f>IF(W466&gt;$AC$33,1,0)</f>
        <v/>
      </c>
      <c r="Z466">
        <f>IF(Y466=C466,1,0)</f>
        <v/>
      </c>
    </row>
    <row r="467">
      <c r="A467">
        <f>'1 prepared data'!A460</f>
        <v/>
      </c>
      <c r="B467" s="5">
        <f>'1 prepared data'!U460</f>
        <v/>
      </c>
      <c r="C467">
        <f>'1 prepared data'!B460</f>
        <v/>
      </c>
      <c r="D467" s="7">
        <f>'1 prepared data'!C460</f>
        <v/>
      </c>
      <c r="E467" s="7">
        <f>'1 prepared data'!D460</f>
        <v/>
      </c>
      <c r="F467" s="7">
        <f>'1 prepared data'!E460</f>
        <v/>
      </c>
      <c r="G467" s="7">
        <f>'1 prepared data'!F460</f>
        <v/>
      </c>
      <c r="H467" s="7">
        <f>'1 prepared data'!G460</f>
        <v/>
      </c>
      <c r="I467" s="7">
        <f>'1 prepared data'!H460</f>
        <v/>
      </c>
      <c r="J467" s="7">
        <f>'1 prepared data'!I460</f>
        <v/>
      </c>
      <c r="K467" s="7">
        <f>'1 prepared data'!J460</f>
        <v/>
      </c>
      <c r="L467" s="7">
        <f>'1 prepared data'!K460</f>
        <v/>
      </c>
      <c r="M467" s="7">
        <f>'1 prepared data'!L460</f>
        <v/>
      </c>
      <c r="N467" s="7">
        <f>'1 prepared data'!M460</f>
        <v/>
      </c>
      <c r="O467" s="7">
        <f>'1 prepared data'!N460</f>
        <v/>
      </c>
      <c r="P467" s="7">
        <f>'1 prepared data'!O460</f>
        <v/>
      </c>
      <c r="Q467" s="7">
        <f>'1 prepared data'!P460</f>
        <v/>
      </c>
      <c r="R467" s="7">
        <f>'1 prepared data'!Q460</f>
        <v/>
      </c>
      <c r="S467" s="7">
        <f>'1 prepared data'!R460</f>
        <v/>
      </c>
      <c r="T467" s="7">
        <f>'1 prepared data'!S460</f>
        <v/>
      </c>
      <c r="U467" s="7">
        <f>'1 prepared data'!T460</f>
        <v/>
      </c>
      <c r="V467" s="8">
        <f>$AC$12+D467*$AC$13+E467*$AC$14+F467*$AC$15+G467*$AC$16+H467*$AC$17+I467*$AC$18+J467*$AC$19+K467*$AC$20+L467*$AC$21+M467*$AC$22+N467*$AC$23+O467*$AC$24+P467*$AC$25+Q467*$AC$26+R467*$AC$27+S467*$AC$28+T467*$AC$29+U467*$AC$30</f>
        <v/>
      </c>
      <c r="W467" s="8">
        <f>1/(1+EXP(-V467))</f>
        <v/>
      </c>
      <c r="X467" s="9">
        <f>-IF(C467=1,LN(W467),LN(1-W467))</f>
        <v/>
      </c>
      <c r="Y467" s="10">
        <f>IF(W467&gt;$AC$33,1,0)</f>
        <v/>
      </c>
      <c r="Z467">
        <f>IF(Y467=C467,1,0)</f>
        <v/>
      </c>
    </row>
    <row r="468">
      <c r="A468">
        <f>'1 prepared data'!A461</f>
        <v/>
      </c>
      <c r="B468" s="5">
        <f>'1 prepared data'!U461</f>
        <v/>
      </c>
      <c r="C468">
        <f>'1 prepared data'!B461</f>
        <v/>
      </c>
      <c r="D468" s="7">
        <f>'1 prepared data'!C461</f>
        <v/>
      </c>
      <c r="E468" s="7">
        <f>'1 prepared data'!D461</f>
        <v/>
      </c>
      <c r="F468" s="7">
        <f>'1 prepared data'!E461</f>
        <v/>
      </c>
      <c r="G468" s="7">
        <f>'1 prepared data'!F461</f>
        <v/>
      </c>
      <c r="H468" s="7">
        <f>'1 prepared data'!G461</f>
        <v/>
      </c>
      <c r="I468" s="7">
        <f>'1 prepared data'!H461</f>
        <v/>
      </c>
      <c r="J468" s="7">
        <f>'1 prepared data'!I461</f>
        <v/>
      </c>
      <c r="K468" s="7">
        <f>'1 prepared data'!J461</f>
        <v/>
      </c>
      <c r="L468" s="7">
        <f>'1 prepared data'!K461</f>
        <v/>
      </c>
      <c r="M468" s="7">
        <f>'1 prepared data'!L461</f>
        <v/>
      </c>
      <c r="N468" s="7">
        <f>'1 prepared data'!M461</f>
        <v/>
      </c>
      <c r="O468" s="7">
        <f>'1 prepared data'!N461</f>
        <v/>
      </c>
      <c r="P468" s="7">
        <f>'1 prepared data'!O461</f>
        <v/>
      </c>
      <c r="Q468" s="7">
        <f>'1 prepared data'!P461</f>
        <v/>
      </c>
      <c r="R468" s="7">
        <f>'1 prepared data'!Q461</f>
        <v/>
      </c>
      <c r="S468" s="7">
        <f>'1 prepared data'!R461</f>
        <v/>
      </c>
      <c r="T468" s="7">
        <f>'1 prepared data'!S461</f>
        <v/>
      </c>
      <c r="U468" s="7">
        <f>'1 prepared data'!T461</f>
        <v/>
      </c>
      <c r="V468" s="8">
        <f>$AC$12+D468*$AC$13+E468*$AC$14+F468*$AC$15+G468*$AC$16+H468*$AC$17+I468*$AC$18+J468*$AC$19+K468*$AC$20+L468*$AC$21+M468*$AC$22+N468*$AC$23+O468*$AC$24+P468*$AC$25+Q468*$AC$26+R468*$AC$27+S468*$AC$28+T468*$AC$29+U468*$AC$30</f>
        <v/>
      </c>
      <c r="W468" s="8">
        <f>1/(1+EXP(-V468))</f>
        <v/>
      </c>
      <c r="X468" s="9">
        <f>-IF(C468=1,LN(W468),LN(1-W468))</f>
        <v/>
      </c>
      <c r="Y468" s="10">
        <f>IF(W468&gt;$AC$33,1,0)</f>
        <v/>
      </c>
      <c r="Z468">
        <f>IF(Y468=C468,1,0)</f>
        <v/>
      </c>
    </row>
    <row r="469">
      <c r="A469">
        <f>'1 prepared data'!A462</f>
        <v/>
      </c>
      <c r="B469" s="5">
        <f>'1 prepared data'!U462</f>
        <v/>
      </c>
      <c r="C469">
        <f>'1 prepared data'!B462</f>
        <v/>
      </c>
      <c r="D469" s="7">
        <f>'1 prepared data'!C462</f>
        <v/>
      </c>
      <c r="E469" s="7">
        <f>'1 prepared data'!D462</f>
        <v/>
      </c>
      <c r="F469" s="7">
        <f>'1 prepared data'!E462</f>
        <v/>
      </c>
      <c r="G469" s="7">
        <f>'1 prepared data'!F462</f>
        <v/>
      </c>
      <c r="H469" s="7">
        <f>'1 prepared data'!G462</f>
        <v/>
      </c>
      <c r="I469" s="7">
        <f>'1 prepared data'!H462</f>
        <v/>
      </c>
      <c r="J469" s="7">
        <f>'1 prepared data'!I462</f>
        <v/>
      </c>
      <c r="K469" s="7">
        <f>'1 prepared data'!J462</f>
        <v/>
      </c>
      <c r="L469" s="7">
        <f>'1 prepared data'!K462</f>
        <v/>
      </c>
      <c r="M469" s="7">
        <f>'1 prepared data'!L462</f>
        <v/>
      </c>
      <c r="N469" s="7">
        <f>'1 prepared data'!M462</f>
        <v/>
      </c>
      <c r="O469" s="7">
        <f>'1 prepared data'!N462</f>
        <v/>
      </c>
      <c r="P469" s="7">
        <f>'1 prepared data'!O462</f>
        <v/>
      </c>
      <c r="Q469" s="7">
        <f>'1 prepared data'!P462</f>
        <v/>
      </c>
      <c r="R469" s="7">
        <f>'1 prepared data'!Q462</f>
        <v/>
      </c>
      <c r="S469" s="7">
        <f>'1 prepared data'!R462</f>
        <v/>
      </c>
      <c r="T469" s="7">
        <f>'1 prepared data'!S462</f>
        <v/>
      </c>
      <c r="U469" s="7">
        <f>'1 prepared data'!T462</f>
        <v/>
      </c>
      <c r="V469" s="8">
        <f>$AC$12+D469*$AC$13+E469*$AC$14+F469*$AC$15+G469*$AC$16+H469*$AC$17+I469*$AC$18+J469*$AC$19+K469*$AC$20+L469*$AC$21+M469*$AC$22+N469*$AC$23+O469*$AC$24+P469*$AC$25+Q469*$AC$26+R469*$AC$27+S469*$AC$28+T469*$AC$29+U469*$AC$30</f>
        <v/>
      </c>
      <c r="W469" s="8">
        <f>1/(1+EXP(-V469))</f>
        <v/>
      </c>
      <c r="X469" s="9">
        <f>-IF(C469=1,LN(W469),LN(1-W469))</f>
        <v/>
      </c>
      <c r="Y469" s="10">
        <f>IF(W469&gt;$AC$33,1,0)</f>
        <v/>
      </c>
      <c r="Z469">
        <f>IF(Y469=C469,1,0)</f>
        <v/>
      </c>
    </row>
    <row r="470">
      <c r="A470">
        <f>'1 prepared data'!A463</f>
        <v/>
      </c>
      <c r="B470" s="5">
        <f>'1 prepared data'!U463</f>
        <v/>
      </c>
      <c r="C470">
        <f>'1 prepared data'!B463</f>
        <v/>
      </c>
      <c r="D470" s="7">
        <f>'1 prepared data'!C463</f>
        <v/>
      </c>
      <c r="E470" s="7">
        <f>'1 prepared data'!D463</f>
        <v/>
      </c>
      <c r="F470" s="7">
        <f>'1 prepared data'!E463</f>
        <v/>
      </c>
      <c r="G470" s="7">
        <f>'1 prepared data'!F463</f>
        <v/>
      </c>
      <c r="H470" s="7">
        <f>'1 prepared data'!G463</f>
        <v/>
      </c>
      <c r="I470" s="7">
        <f>'1 prepared data'!H463</f>
        <v/>
      </c>
      <c r="J470" s="7">
        <f>'1 prepared data'!I463</f>
        <v/>
      </c>
      <c r="K470" s="7">
        <f>'1 prepared data'!J463</f>
        <v/>
      </c>
      <c r="L470" s="7">
        <f>'1 prepared data'!K463</f>
        <v/>
      </c>
      <c r="M470" s="7">
        <f>'1 prepared data'!L463</f>
        <v/>
      </c>
      <c r="N470" s="7">
        <f>'1 prepared data'!M463</f>
        <v/>
      </c>
      <c r="O470" s="7">
        <f>'1 prepared data'!N463</f>
        <v/>
      </c>
      <c r="P470" s="7">
        <f>'1 prepared data'!O463</f>
        <v/>
      </c>
      <c r="Q470" s="7">
        <f>'1 prepared data'!P463</f>
        <v/>
      </c>
      <c r="R470" s="7">
        <f>'1 prepared data'!Q463</f>
        <v/>
      </c>
      <c r="S470" s="7">
        <f>'1 prepared data'!R463</f>
        <v/>
      </c>
      <c r="T470" s="7">
        <f>'1 prepared data'!S463</f>
        <v/>
      </c>
      <c r="U470" s="7">
        <f>'1 prepared data'!T463</f>
        <v/>
      </c>
      <c r="V470" s="8">
        <f>$AC$12+D470*$AC$13+E470*$AC$14+F470*$AC$15+G470*$AC$16+H470*$AC$17+I470*$AC$18+J470*$AC$19+K470*$AC$20+L470*$AC$21+M470*$AC$22+N470*$AC$23+O470*$AC$24+P470*$AC$25+Q470*$AC$26+R470*$AC$27+S470*$AC$28+T470*$AC$29+U470*$AC$30</f>
        <v/>
      </c>
      <c r="W470" s="8">
        <f>1/(1+EXP(-V470))</f>
        <v/>
      </c>
      <c r="X470" s="9">
        <f>-IF(C470=1,LN(W470),LN(1-W470))</f>
        <v/>
      </c>
      <c r="Y470" s="10">
        <f>IF(W470&gt;$AC$33,1,0)</f>
        <v/>
      </c>
      <c r="Z470">
        <f>IF(Y470=C470,1,0)</f>
        <v/>
      </c>
    </row>
    <row r="471">
      <c r="A471">
        <f>'1 prepared data'!A464</f>
        <v/>
      </c>
      <c r="B471" s="5">
        <f>'1 prepared data'!U464</f>
        <v/>
      </c>
      <c r="C471">
        <f>'1 prepared data'!B464</f>
        <v/>
      </c>
      <c r="D471" s="7">
        <f>'1 prepared data'!C464</f>
        <v/>
      </c>
      <c r="E471" s="7">
        <f>'1 prepared data'!D464</f>
        <v/>
      </c>
      <c r="F471" s="7">
        <f>'1 prepared data'!E464</f>
        <v/>
      </c>
      <c r="G471" s="7">
        <f>'1 prepared data'!F464</f>
        <v/>
      </c>
      <c r="H471" s="7">
        <f>'1 prepared data'!G464</f>
        <v/>
      </c>
      <c r="I471" s="7">
        <f>'1 prepared data'!H464</f>
        <v/>
      </c>
      <c r="J471" s="7">
        <f>'1 prepared data'!I464</f>
        <v/>
      </c>
      <c r="K471" s="7">
        <f>'1 prepared data'!J464</f>
        <v/>
      </c>
      <c r="L471" s="7">
        <f>'1 prepared data'!K464</f>
        <v/>
      </c>
      <c r="M471" s="7">
        <f>'1 prepared data'!L464</f>
        <v/>
      </c>
      <c r="N471" s="7">
        <f>'1 prepared data'!M464</f>
        <v/>
      </c>
      <c r="O471" s="7">
        <f>'1 prepared data'!N464</f>
        <v/>
      </c>
      <c r="P471" s="7">
        <f>'1 prepared data'!O464</f>
        <v/>
      </c>
      <c r="Q471" s="7">
        <f>'1 prepared data'!P464</f>
        <v/>
      </c>
      <c r="R471" s="7">
        <f>'1 prepared data'!Q464</f>
        <v/>
      </c>
      <c r="S471" s="7">
        <f>'1 prepared data'!R464</f>
        <v/>
      </c>
      <c r="T471" s="7">
        <f>'1 prepared data'!S464</f>
        <v/>
      </c>
      <c r="U471" s="7">
        <f>'1 prepared data'!T464</f>
        <v/>
      </c>
      <c r="V471" s="8">
        <f>$AC$12+D471*$AC$13+E471*$AC$14+F471*$AC$15+G471*$AC$16+H471*$AC$17+I471*$AC$18+J471*$AC$19+K471*$AC$20+L471*$AC$21+M471*$AC$22+N471*$AC$23+O471*$AC$24+P471*$AC$25+Q471*$AC$26+R471*$AC$27+S471*$AC$28+T471*$AC$29+U471*$AC$30</f>
        <v/>
      </c>
      <c r="W471" s="8">
        <f>1/(1+EXP(-V471))</f>
        <v/>
      </c>
      <c r="X471" s="9">
        <f>-IF(C471=1,LN(W471),LN(1-W471))</f>
        <v/>
      </c>
      <c r="Y471" s="10">
        <f>IF(W471&gt;$AC$33,1,0)</f>
        <v/>
      </c>
      <c r="Z471">
        <f>IF(Y471=C471,1,0)</f>
        <v/>
      </c>
    </row>
    <row r="472">
      <c r="A472">
        <f>'1 prepared data'!A465</f>
        <v/>
      </c>
      <c r="B472" s="5">
        <f>'1 prepared data'!U465</f>
        <v/>
      </c>
      <c r="C472">
        <f>'1 prepared data'!B465</f>
        <v/>
      </c>
      <c r="D472" s="7">
        <f>'1 prepared data'!C465</f>
        <v/>
      </c>
      <c r="E472" s="7">
        <f>'1 prepared data'!D465</f>
        <v/>
      </c>
      <c r="F472" s="7">
        <f>'1 prepared data'!E465</f>
        <v/>
      </c>
      <c r="G472" s="7">
        <f>'1 prepared data'!F465</f>
        <v/>
      </c>
      <c r="H472" s="7">
        <f>'1 prepared data'!G465</f>
        <v/>
      </c>
      <c r="I472" s="7">
        <f>'1 prepared data'!H465</f>
        <v/>
      </c>
      <c r="J472" s="7">
        <f>'1 prepared data'!I465</f>
        <v/>
      </c>
      <c r="K472" s="7">
        <f>'1 prepared data'!J465</f>
        <v/>
      </c>
      <c r="L472" s="7">
        <f>'1 prepared data'!K465</f>
        <v/>
      </c>
      <c r="M472" s="7">
        <f>'1 prepared data'!L465</f>
        <v/>
      </c>
      <c r="N472" s="7">
        <f>'1 prepared data'!M465</f>
        <v/>
      </c>
      <c r="O472" s="7">
        <f>'1 prepared data'!N465</f>
        <v/>
      </c>
      <c r="P472" s="7">
        <f>'1 prepared data'!O465</f>
        <v/>
      </c>
      <c r="Q472" s="7">
        <f>'1 prepared data'!P465</f>
        <v/>
      </c>
      <c r="R472" s="7">
        <f>'1 prepared data'!Q465</f>
        <v/>
      </c>
      <c r="S472" s="7">
        <f>'1 prepared data'!R465</f>
        <v/>
      </c>
      <c r="T472" s="7">
        <f>'1 prepared data'!S465</f>
        <v/>
      </c>
      <c r="U472" s="7">
        <f>'1 prepared data'!T465</f>
        <v/>
      </c>
      <c r="V472" s="8">
        <f>$AC$12+D472*$AC$13+E472*$AC$14+F472*$AC$15+G472*$AC$16+H472*$AC$17+I472*$AC$18+J472*$AC$19+K472*$AC$20+L472*$AC$21+M472*$AC$22+N472*$AC$23+O472*$AC$24+P472*$AC$25+Q472*$AC$26+R472*$AC$27+S472*$AC$28+T472*$AC$29+U472*$AC$30</f>
        <v/>
      </c>
      <c r="W472" s="8">
        <f>1/(1+EXP(-V472))</f>
        <v/>
      </c>
      <c r="X472" s="9">
        <f>-IF(C472=1,LN(W472),LN(1-W472))</f>
        <v/>
      </c>
      <c r="Y472" s="10">
        <f>IF(W472&gt;$AC$33,1,0)</f>
        <v/>
      </c>
      <c r="Z472">
        <f>IF(Y472=C472,1,0)</f>
        <v/>
      </c>
    </row>
    <row r="473">
      <c r="A473">
        <f>'1 prepared data'!A466</f>
        <v/>
      </c>
      <c r="B473" s="5">
        <f>'1 prepared data'!U466</f>
        <v/>
      </c>
      <c r="C473">
        <f>'1 prepared data'!B466</f>
        <v/>
      </c>
      <c r="D473" s="7">
        <f>'1 prepared data'!C466</f>
        <v/>
      </c>
      <c r="E473" s="7">
        <f>'1 prepared data'!D466</f>
        <v/>
      </c>
      <c r="F473" s="7">
        <f>'1 prepared data'!E466</f>
        <v/>
      </c>
      <c r="G473" s="7">
        <f>'1 prepared data'!F466</f>
        <v/>
      </c>
      <c r="H473" s="7">
        <f>'1 prepared data'!G466</f>
        <v/>
      </c>
      <c r="I473" s="7">
        <f>'1 prepared data'!H466</f>
        <v/>
      </c>
      <c r="J473" s="7">
        <f>'1 prepared data'!I466</f>
        <v/>
      </c>
      <c r="K473" s="7">
        <f>'1 prepared data'!J466</f>
        <v/>
      </c>
      <c r="L473" s="7">
        <f>'1 prepared data'!K466</f>
        <v/>
      </c>
      <c r="M473" s="7">
        <f>'1 prepared data'!L466</f>
        <v/>
      </c>
      <c r="N473" s="7">
        <f>'1 prepared data'!M466</f>
        <v/>
      </c>
      <c r="O473" s="7">
        <f>'1 prepared data'!N466</f>
        <v/>
      </c>
      <c r="P473" s="7">
        <f>'1 prepared data'!O466</f>
        <v/>
      </c>
      <c r="Q473" s="7">
        <f>'1 prepared data'!P466</f>
        <v/>
      </c>
      <c r="R473" s="7">
        <f>'1 prepared data'!Q466</f>
        <v/>
      </c>
      <c r="S473" s="7">
        <f>'1 prepared data'!R466</f>
        <v/>
      </c>
      <c r="T473" s="7">
        <f>'1 prepared data'!S466</f>
        <v/>
      </c>
      <c r="U473" s="7">
        <f>'1 prepared data'!T466</f>
        <v/>
      </c>
      <c r="V473" s="8">
        <f>$AC$12+D473*$AC$13+E473*$AC$14+F473*$AC$15+G473*$AC$16+H473*$AC$17+I473*$AC$18+J473*$AC$19+K473*$AC$20+L473*$AC$21+M473*$AC$22+N473*$AC$23+O473*$AC$24+P473*$AC$25+Q473*$AC$26+R473*$AC$27+S473*$AC$28+T473*$AC$29+U473*$AC$30</f>
        <v/>
      </c>
      <c r="W473" s="8">
        <f>1/(1+EXP(-V473))</f>
        <v/>
      </c>
      <c r="X473" s="9">
        <f>-IF(C473=1,LN(W473),LN(1-W473))</f>
        <v/>
      </c>
      <c r="Y473" s="10">
        <f>IF(W473&gt;$AC$33,1,0)</f>
        <v/>
      </c>
      <c r="Z473">
        <f>IF(Y473=C473,1,0)</f>
        <v/>
      </c>
    </row>
    <row r="474">
      <c r="A474">
        <f>'1 prepared data'!A467</f>
        <v/>
      </c>
      <c r="B474" s="5">
        <f>'1 prepared data'!U467</f>
        <v/>
      </c>
      <c r="C474">
        <f>'1 prepared data'!B467</f>
        <v/>
      </c>
      <c r="D474" s="7">
        <f>'1 prepared data'!C467</f>
        <v/>
      </c>
      <c r="E474" s="7">
        <f>'1 prepared data'!D467</f>
        <v/>
      </c>
      <c r="F474" s="7">
        <f>'1 prepared data'!E467</f>
        <v/>
      </c>
      <c r="G474" s="7">
        <f>'1 prepared data'!F467</f>
        <v/>
      </c>
      <c r="H474" s="7">
        <f>'1 prepared data'!G467</f>
        <v/>
      </c>
      <c r="I474" s="7">
        <f>'1 prepared data'!H467</f>
        <v/>
      </c>
      <c r="J474" s="7">
        <f>'1 prepared data'!I467</f>
        <v/>
      </c>
      <c r="K474" s="7">
        <f>'1 prepared data'!J467</f>
        <v/>
      </c>
      <c r="L474" s="7">
        <f>'1 prepared data'!K467</f>
        <v/>
      </c>
      <c r="M474" s="7">
        <f>'1 prepared data'!L467</f>
        <v/>
      </c>
      <c r="N474" s="7">
        <f>'1 prepared data'!M467</f>
        <v/>
      </c>
      <c r="O474" s="7">
        <f>'1 prepared data'!N467</f>
        <v/>
      </c>
      <c r="P474" s="7">
        <f>'1 prepared data'!O467</f>
        <v/>
      </c>
      <c r="Q474" s="7">
        <f>'1 prepared data'!P467</f>
        <v/>
      </c>
      <c r="R474" s="7">
        <f>'1 prepared data'!Q467</f>
        <v/>
      </c>
      <c r="S474" s="7">
        <f>'1 prepared data'!R467</f>
        <v/>
      </c>
      <c r="T474" s="7">
        <f>'1 prepared data'!S467</f>
        <v/>
      </c>
      <c r="U474" s="7">
        <f>'1 prepared data'!T467</f>
        <v/>
      </c>
      <c r="V474" s="8">
        <f>$AC$12+D474*$AC$13+E474*$AC$14+F474*$AC$15+G474*$AC$16+H474*$AC$17+I474*$AC$18+J474*$AC$19+K474*$AC$20+L474*$AC$21+M474*$AC$22+N474*$AC$23+O474*$AC$24+P474*$AC$25+Q474*$AC$26+R474*$AC$27+S474*$AC$28+T474*$AC$29+U474*$AC$30</f>
        <v/>
      </c>
      <c r="W474" s="8">
        <f>1/(1+EXP(-V474))</f>
        <v/>
      </c>
      <c r="X474" s="9">
        <f>-IF(C474=1,LN(W474),LN(1-W474))</f>
        <v/>
      </c>
      <c r="Y474" s="10">
        <f>IF(W474&gt;$AC$33,1,0)</f>
        <v/>
      </c>
      <c r="Z474">
        <f>IF(Y474=C474,1,0)</f>
        <v/>
      </c>
    </row>
    <row r="475">
      <c r="A475">
        <f>'1 prepared data'!A468</f>
        <v/>
      </c>
      <c r="B475" s="5">
        <f>'1 prepared data'!U468</f>
        <v/>
      </c>
      <c r="C475">
        <f>'1 prepared data'!B468</f>
        <v/>
      </c>
      <c r="D475" s="7">
        <f>'1 prepared data'!C468</f>
        <v/>
      </c>
      <c r="E475" s="7">
        <f>'1 prepared data'!D468</f>
        <v/>
      </c>
      <c r="F475" s="7">
        <f>'1 prepared data'!E468</f>
        <v/>
      </c>
      <c r="G475" s="7">
        <f>'1 prepared data'!F468</f>
        <v/>
      </c>
      <c r="H475" s="7">
        <f>'1 prepared data'!G468</f>
        <v/>
      </c>
      <c r="I475" s="7">
        <f>'1 prepared data'!H468</f>
        <v/>
      </c>
      <c r="J475" s="7">
        <f>'1 prepared data'!I468</f>
        <v/>
      </c>
      <c r="K475" s="7">
        <f>'1 prepared data'!J468</f>
        <v/>
      </c>
      <c r="L475" s="7">
        <f>'1 prepared data'!K468</f>
        <v/>
      </c>
      <c r="M475" s="7">
        <f>'1 prepared data'!L468</f>
        <v/>
      </c>
      <c r="N475" s="7">
        <f>'1 prepared data'!M468</f>
        <v/>
      </c>
      <c r="O475" s="7">
        <f>'1 prepared data'!N468</f>
        <v/>
      </c>
      <c r="P475" s="7">
        <f>'1 prepared data'!O468</f>
        <v/>
      </c>
      <c r="Q475" s="7">
        <f>'1 prepared data'!P468</f>
        <v/>
      </c>
      <c r="R475" s="7">
        <f>'1 prepared data'!Q468</f>
        <v/>
      </c>
      <c r="S475" s="7">
        <f>'1 prepared data'!R468</f>
        <v/>
      </c>
      <c r="T475" s="7">
        <f>'1 prepared data'!S468</f>
        <v/>
      </c>
      <c r="U475" s="7">
        <f>'1 prepared data'!T468</f>
        <v/>
      </c>
      <c r="V475" s="8">
        <f>$AC$12+D475*$AC$13+E475*$AC$14+F475*$AC$15+G475*$AC$16+H475*$AC$17+I475*$AC$18+J475*$AC$19+K475*$AC$20+L475*$AC$21+M475*$AC$22+N475*$AC$23+O475*$AC$24+P475*$AC$25+Q475*$AC$26+R475*$AC$27+S475*$AC$28+T475*$AC$29+U475*$AC$30</f>
        <v/>
      </c>
      <c r="W475" s="8">
        <f>1/(1+EXP(-V475))</f>
        <v/>
      </c>
      <c r="X475" s="9">
        <f>-IF(C475=1,LN(W475),LN(1-W475))</f>
        <v/>
      </c>
      <c r="Y475" s="10">
        <f>IF(W475&gt;$AC$33,1,0)</f>
        <v/>
      </c>
      <c r="Z475">
        <f>IF(Y475=C475,1,0)</f>
        <v/>
      </c>
    </row>
    <row r="476">
      <c r="A476">
        <f>'1 prepared data'!A469</f>
        <v/>
      </c>
      <c r="B476" s="5">
        <f>'1 prepared data'!U469</f>
        <v/>
      </c>
      <c r="C476">
        <f>'1 prepared data'!B469</f>
        <v/>
      </c>
      <c r="D476" s="7">
        <f>'1 prepared data'!C469</f>
        <v/>
      </c>
      <c r="E476" s="7">
        <f>'1 prepared data'!D469</f>
        <v/>
      </c>
      <c r="F476" s="7">
        <f>'1 prepared data'!E469</f>
        <v/>
      </c>
      <c r="G476" s="7">
        <f>'1 prepared data'!F469</f>
        <v/>
      </c>
      <c r="H476" s="7">
        <f>'1 prepared data'!G469</f>
        <v/>
      </c>
      <c r="I476" s="7">
        <f>'1 prepared data'!H469</f>
        <v/>
      </c>
      <c r="J476" s="7">
        <f>'1 prepared data'!I469</f>
        <v/>
      </c>
      <c r="K476" s="7">
        <f>'1 prepared data'!J469</f>
        <v/>
      </c>
      <c r="L476" s="7">
        <f>'1 prepared data'!K469</f>
        <v/>
      </c>
      <c r="M476" s="7">
        <f>'1 prepared data'!L469</f>
        <v/>
      </c>
      <c r="N476" s="7">
        <f>'1 prepared data'!M469</f>
        <v/>
      </c>
      <c r="O476" s="7">
        <f>'1 prepared data'!N469</f>
        <v/>
      </c>
      <c r="P476" s="7">
        <f>'1 prepared data'!O469</f>
        <v/>
      </c>
      <c r="Q476" s="7">
        <f>'1 prepared data'!P469</f>
        <v/>
      </c>
      <c r="R476" s="7">
        <f>'1 prepared data'!Q469</f>
        <v/>
      </c>
      <c r="S476" s="7">
        <f>'1 prepared data'!R469</f>
        <v/>
      </c>
      <c r="T476" s="7">
        <f>'1 prepared data'!S469</f>
        <v/>
      </c>
      <c r="U476" s="7">
        <f>'1 prepared data'!T469</f>
        <v/>
      </c>
      <c r="V476" s="8">
        <f>$AC$12+D476*$AC$13+E476*$AC$14+F476*$AC$15+G476*$AC$16+H476*$AC$17+I476*$AC$18+J476*$AC$19+K476*$AC$20+L476*$AC$21+M476*$AC$22+N476*$AC$23+O476*$AC$24+P476*$AC$25+Q476*$AC$26+R476*$AC$27+S476*$AC$28+T476*$AC$29+U476*$AC$30</f>
        <v/>
      </c>
      <c r="W476" s="8">
        <f>1/(1+EXP(-V476))</f>
        <v/>
      </c>
      <c r="X476" s="9">
        <f>-IF(C476=1,LN(W476),LN(1-W476))</f>
        <v/>
      </c>
      <c r="Y476" s="10">
        <f>IF(W476&gt;$AC$33,1,0)</f>
        <v/>
      </c>
      <c r="Z476">
        <f>IF(Y476=C476,1,0)</f>
        <v/>
      </c>
    </row>
    <row r="477">
      <c r="A477">
        <f>'1 prepared data'!A470</f>
        <v/>
      </c>
      <c r="B477" s="5">
        <f>'1 prepared data'!U470</f>
        <v/>
      </c>
      <c r="C477">
        <f>'1 prepared data'!B470</f>
        <v/>
      </c>
      <c r="D477" s="7">
        <f>'1 prepared data'!C470</f>
        <v/>
      </c>
      <c r="E477" s="7">
        <f>'1 prepared data'!D470</f>
        <v/>
      </c>
      <c r="F477" s="7">
        <f>'1 prepared data'!E470</f>
        <v/>
      </c>
      <c r="G477" s="7">
        <f>'1 prepared data'!F470</f>
        <v/>
      </c>
      <c r="H477" s="7">
        <f>'1 prepared data'!G470</f>
        <v/>
      </c>
      <c r="I477" s="7">
        <f>'1 prepared data'!H470</f>
        <v/>
      </c>
      <c r="J477" s="7">
        <f>'1 prepared data'!I470</f>
        <v/>
      </c>
      <c r="K477" s="7">
        <f>'1 prepared data'!J470</f>
        <v/>
      </c>
      <c r="L477" s="7">
        <f>'1 prepared data'!K470</f>
        <v/>
      </c>
      <c r="M477" s="7">
        <f>'1 prepared data'!L470</f>
        <v/>
      </c>
      <c r="N477" s="7">
        <f>'1 prepared data'!M470</f>
        <v/>
      </c>
      <c r="O477" s="7">
        <f>'1 prepared data'!N470</f>
        <v/>
      </c>
      <c r="P477" s="7">
        <f>'1 prepared data'!O470</f>
        <v/>
      </c>
      <c r="Q477" s="7">
        <f>'1 prepared data'!P470</f>
        <v/>
      </c>
      <c r="R477" s="7">
        <f>'1 prepared data'!Q470</f>
        <v/>
      </c>
      <c r="S477" s="7">
        <f>'1 prepared data'!R470</f>
        <v/>
      </c>
      <c r="T477" s="7">
        <f>'1 prepared data'!S470</f>
        <v/>
      </c>
      <c r="U477" s="7">
        <f>'1 prepared data'!T470</f>
        <v/>
      </c>
      <c r="V477" s="8">
        <f>$AC$12+D477*$AC$13+E477*$AC$14+F477*$AC$15+G477*$AC$16+H477*$AC$17+I477*$AC$18+J477*$AC$19+K477*$AC$20+L477*$AC$21+M477*$AC$22+N477*$AC$23+O477*$AC$24+P477*$AC$25+Q477*$AC$26+R477*$AC$27+S477*$AC$28+T477*$AC$29+U477*$AC$30</f>
        <v/>
      </c>
      <c r="W477" s="8">
        <f>1/(1+EXP(-V477))</f>
        <v/>
      </c>
      <c r="X477" s="9">
        <f>-IF(C477=1,LN(W477),LN(1-W477))</f>
        <v/>
      </c>
      <c r="Y477" s="10">
        <f>IF(W477&gt;$AC$33,1,0)</f>
        <v/>
      </c>
      <c r="Z477">
        <f>IF(Y477=C477,1,0)</f>
        <v/>
      </c>
    </row>
    <row r="478">
      <c r="A478">
        <f>'1 prepared data'!A471</f>
        <v/>
      </c>
      <c r="B478" s="5">
        <f>'1 prepared data'!U471</f>
        <v/>
      </c>
      <c r="C478">
        <f>'1 prepared data'!B471</f>
        <v/>
      </c>
      <c r="D478" s="7">
        <f>'1 prepared data'!C471</f>
        <v/>
      </c>
      <c r="E478" s="7">
        <f>'1 prepared data'!D471</f>
        <v/>
      </c>
      <c r="F478" s="7">
        <f>'1 prepared data'!E471</f>
        <v/>
      </c>
      <c r="G478" s="7">
        <f>'1 prepared data'!F471</f>
        <v/>
      </c>
      <c r="H478" s="7">
        <f>'1 prepared data'!G471</f>
        <v/>
      </c>
      <c r="I478" s="7">
        <f>'1 prepared data'!H471</f>
        <v/>
      </c>
      <c r="J478" s="7">
        <f>'1 prepared data'!I471</f>
        <v/>
      </c>
      <c r="K478" s="7">
        <f>'1 prepared data'!J471</f>
        <v/>
      </c>
      <c r="L478" s="7">
        <f>'1 prepared data'!K471</f>
        <v/>
      </c>
      <c r="M478" s="7">
        <f>'1 prepared data'!L471</f>
        <v/>
      </c>
      <c r="N478" s="7">
        <f>'1 prepared data'!M471</f>
        <v/>
      </c>
      <c r="O478" s="7">
        <f>'1 prepared data'!N471</f>
        <v/>
      </c>
      <c r="P478" s="7">
        <f>'1 prepared data'!O471</f>
        <v/>
      </c>
      <c r="Q478" s="7">
        <f>'1 prepared data'!P471</f>
        <v/>
      </c>
      <c r="R478" s="7">
        <f>'1 prepared data'!Q471</f>
        <v/>
      </c>
      <c r="S478" s="7">
        <f>'1 prepared data'!R471</f>
        <v/>
      </c>
      <c r="T478" s="7">
        <f>'1 prepared data'!S471</f>
        <v/>
      </c>
      <c r="U478" s="7">
        <f>'1 prepared data'!T471</f>
        <v/>
      </c>
      <c r="V478" s="8">
        <f>$AC$12+D478*$AC$13+E478*$AC$14+F478*$AC$15+G478*$AC$16+H478*$AC$17+I478*$AC$18+J478*$AC$19+K478*$AC$20+L478*$AC$21+M478*$AC$22+N478*$AC$23+O478*$AC$24+P478*$AC$25+Q478*$AC$26+R478*$AC$27+S478*$AC$28+T478*$AC$29+U478*$AC$30</f>
        <v/>
      </c>
      <c r="W478" s="8">
        <f>1/(1+EXP(-V478))</f>
        <v/>
      </c>
      <c r="X478" s="9">
        <f>-IF(C478=1,LN(W478),LN(1-W478))</f>
        <v/>
      </c>
      <c r="Y478" s="10">
        <f>IF(W478&gt;$AC$33,1,0)</f>
        <v/>
      </c>
      <c r="Z478">
        <f>IF(Y478=C478,1,0)</f>
        <v/>
      </c>
    </row>
    <row r="479">
      <c r="A479">
        <f>'1 prepared data'!A472</f>
        <v/>
      </c>
      <c r="B479" s="5">
        <f>'1 prepared data'!U472</f>
        <v/>
      </c>
      <c r="C479">
        <f>'1 prepared data'!B472</f>
        <v/>
      </c>
      <c r="D479" s="7">
        <f>'1 prepared data'!C472</f>
        <v/>
      </c>
      <c r="E479" s="7">
        <f>'1 prepared data'!D472</f>
        <v/>
      </c>
      <c r="F479" s="7">
        <f>'1 prepared data'!E472</f>
        <v/>
      </c>
      <c r="G479" s="7">
        <f>'1 prepared data'!F472</f>
        <v/>
      </c>
      <c r="H479" s="7">
        <f>'1 prepared data'!G472</f>
        <v/>
      </c>
      <c r="I479" s="7">
        <f>'1 prepared data'!H472</f>
        <v/>
      </c>
      <c r="J479" s="7">
        <f>'1 prepared data'!I472</f>
        <v/>
      </c>
      <c r="K479" s="7">
        <f>'1 prepared data'!J472</f>
        <v/>
      </c>
      <c r="L479" s="7">
        <f>'1 prepared data'!K472</f>
        <v/>
      </c>
      <c r="M479" s="7">
        <f>'1 prepared data'!L472</f>
        <v/>
      </c>
      <c r="N479" s="7">
        <f>'1 prepared data'!M472</f>
        <v/>
      </c>
      <c r="O479" s="7">
        <f>'1 prepared data'!N472</f>
        <v/>
      </c>
      <c r="P479" s="7">
        <f>'1 prepared data'!O472</f>
        <v/>
      </c>
      <c r="Q479" s="7">
        <f>'1 prepared data'!P472</f>
        <v/>
      </c>
      <c r="R479" s="7">
        <f>'1 prepared data'!Q472</f>
        <v/>
      </c>
      <c r="S479" s="7">
        <f>'1 prepared data'!R472</f>
        <v/>
      </c>
      <c r="T479" s="7">
        <f>'1 prepared data'!S472</f>
        <v/>
      </c>
      <c r="U479" s="7">
        <f>'1 prepared data'!T472</f>
        <v/>
      </c>
      <c r="V479" s="8">
        <f>$AC$12+D479*$AC$13+E479*$AC$14+F479*$AC$15+G479*$AC$16+H479*$AC$17+I479*$AC$18+J479*$AC$19+K479*$AC$20+L479*$AC$21+M479*$AC$22+N479*$AC$23+O479*$AC$24+P479*$AC$25+Q479*$AC$26+R479*$AC$27+S479*$AC$28+T479*$AC$29+U479*$AC$30</f>
        <v/>
      </c>
      <c r="W479" s="8">
        <f>1/(1+EXP(-V479))</f>
        <v/>
      </c>
      <c r="X479" s="9">
        <f>-IF(C479=1,LN(W479),LN(1-W479))</f>
        <v/>
      </c>
      <c r="Y479" s="10">
        <f>IF(W479&gt;$AC$33,1,0)</f>
        <v/>
      </c>
      <c r="Z479">
        <f>IF(Y479=C479,1,0)</f>
        <v/>
      </c>
    </row>
    <row r="480">
      <c r="A480">
        <f>'1 prepared data'!A473</f>
        <v/>
      </c>
      <c r="B480" s="5">
        <f>'1 prepared data'!U473</f>
        <v/>
      </c>
      <c r="C480">
        <f>'1 prepared data'!B473</f>
        <v/>
      </c>
      <c r="D480" s="7">
        <f>'1 prepared data'!C473</f>
        <v/>
      </c>
      <c r="E480" s="7">
        <f>'1 prepared data'!D473</f>
        <v/>
      </c>
      <c r="F480" s="7">
        <f>'1 prepared data'!E473</f>
        <v/>
      </c>
      <c r="G480" s="7">
        <f>'1 prepared data'!F473</f>
        <v/>
      </c>
      <c r="H480" s="7">
        <f>'1 prepared data'!G473</f>
        <v/>
      </c>
      <c r="I480" s="7">
        <f>'1 prepared data'!H473</f>
        <v/>
      </c>
      <c r="J480" s="7">
        <f>'1 prepared data'!I473</f>
        <v/>
      </c>
      <c r="K480" s="7">
        <f>'1 prepared data'!J473</f>
        <v/>
      </c>
      <c r="L480" s="7">
        <f>'1 prepared data'!K473</f>
        <v/>
      </c>
      <c r="M480" s="7">
        <f>'1 prepared data'!L473</f>
        <v/>
      </c>
      <c r="N480" s="7">
        <f>'1 prepared data'!M473</f>
        <v/>
      </c>
      <c r="O480" s="7">
        <f>'1 prepared data'!N473</f>
        <v/>
      </c>
      <c r="P480" s="7">
        <f>'1 prepared data'!O473</f>
        <v/>
      </c>
      <c r="Q480" s="7">
        <f>'1 prepared data'!P473</f>
        <v/>
      </c>
      <c r="R480" s="7">
        <f>'1 prepared data'!Q473</f>
        <v/>
      </c>
      <c r="S480" s="7">
        <f>'1 prepared data'!R473</f>
        <v/>
      </c>
      <c r="T480" s="7">
        <f>'1 prepared data'!S473</f>
        <v/>
      </c>
      <c r="U480" s="7">
        <f>'1 prepared data'!T473</f>
        <v/>
      </c>
      <c r="V480" s="8">
        <f>$AC$12+D480*$AC$13+E480*$AC$14+F480*$AC$15+G480*$AC$16+H480*$AC$17+I480*$AC$18+J480*$AC$19+K480*$AC$20+L480*$AC$21+M480*$AC$22+N480*$AC$23+O480*$AC$24+P480*$AC$25+Q480*$AC$26+R480*$AC$27+S480*$AC$28+T480*$AC$29+U480*$AC$30</f>
        <v/>
      </c>
      <c r="W480" s="8">
        <f>1/(1+EXP(-V480))</f>
        <v/>
      </c>
      <c r="X480" s="9">
        <f>-IF(C480=1,LN(W480),LN(1-W480))</f>
        <v/>
      </c>
      <c r="Y480" s="10">
        <f>IF(W480&gt;$AC$33,1,0)</f>
        <v/>
      </c>
      <c r="Z480">
        <f>IF(Y480=C480,1,0)</f>
        <v/>
      </c>
    </row>
    <row r="481">
      <c r="A481">
        <f>'1 prepared data'!A474</f>
        <v/>
      </c>
      <c r="B481" s="5">
        <f>'1 prepared data'!U474</f>
        <v/>
      </c>
      <c r="C481">
        <f>'1 prepared data'!B474</f>
        <v/>
      </c>
      <c r="D481" s="7">
        <f>'1 prepared data'!C474</f>
        <v/>
      </c>
      <c r="E481" s="7">
        <f>'1 prepared data'!D474</f>
        <v/>
      </c>
      <c r="F481" s="7">
        <f>'1 prepared data'!E474</f>
        <v/>
      </c>
      <c r="G481" s="7">
        <f>'1 prepared data'!F474</f>
        <v/>
      </c>
      <c r="H481" s="7">
        <f>'1 prepared data'!G474</f>
        <v/>
      </c>
      <c r="I481" s="7">
        <f>'1 prepared data'!H474</f>
        <v/>
      </c>
      <c r="J481" s="7">
        <f>'1 prepared data'!I474</f>
        <v/>
      </c>
      <c r="K481" s="7">
        <f>'1 prepared data'!J474</f>
        <v/>
      </c>
      <c r="L481" s="7">
        <f>'1 prepared data'!K474</f>
        <v/>
      </c>
      <c r="M481" s="7">
        <f>'1 prepared data'!L474</f>
        <v/>
      </c>
      <c r="N481" s="7">
        <f>'1 prepared data'!M474</f>
        <v/>
      </c>
      <c r="O481" s="7">
        <f>'1 prepared data'!N474</f>
        <v/>
      </c>
      <c r="P481" s="7">
        <f>'1 prepared data'!O474</f>
        <v/>
      </c>
      <c r="Q481" s="7">
        <f>'1 prepared data'!P474</f>
        <v/>
      </c>
      <c r="R481" s="7">
        <f>'1 prepared data'!Q474</f>
        <v/>
      </c>
      <c r="S481" s="7">
        <f>'1 prepared data'!R474</f>
        <v/>
      </c>
      <c r="T481" s="7">
        <f>'1 prepared data'!S474</f>
        <v/>
      </c>
      <c r="U481" s="7">
        <f>'1 prepared data'!T474</f>
        <v/>
      </c>
      <c r="V481" s="8">
        <f>$AC$12+D481*$AC$13+E481*$AC$14+F481*$AC$15+G481*$AC$16+H481*$AC$17+I481*$AC$18+J481*$AC$19+K481*$AC$20+L481*$AC$21+M481*$AC$22+N481*$AC$23+O481*$AC$24+P481*$AC$25+Q481*$AC$26+R481*$AC$27+S481*$AC$28+T481*$AC$29+U481*$AC$30</f>
        <v/>
      </c>
      <c r="W481" s="8">
        <f>1/(1+EXP(-V481))</f>
        <v/>
      </c>
      <c r="X481" s="9">
        <f>-IF(C481=1,LN(W481),LN(1-W481))</f>
        <v/>
      </c>
      <c r="Y481" s="10">
        <f>IF(W481&gt;$AC$33,1,0)</f>
        <v/>
      </c>
      <c r="Z481">
        <f>IF(Y481=C481,1,0)</f>
        <v/>
      </c>
    </row>
    <row r="482">
      <c r="A482">
        <f>'1 prepared data'!A475</f>
        <v/>
      </c>
      <c r="B482" s="5">
        <f>'1 prepared data'!U475</f>
        <v/>
      </c>
      <c r="C482">
        <f>'1 prepared data'!B475</f>
        <v/>
      </c>
      <c r="D482" s="7">
        <f>'1 prepared data'!C475</f>
        <v/>
      </c>
      <c r="E482" s="7">
        <f>'1 prepared data'!D475</f>
        <v/>
      </c>
      <c r="F482" s="7">
        <f>'1 prepared data'!E475</f>
        <v/>
      </c>
      <c r="G482" s="7">
        <f>'1 prepared data'!F475</f>
        <v/>
      </c>
      <c r="H482" s="7">
        <f>'1 prepared data'!G475</f>
        <v/>
      </c>
      <c r="I482" s="7">
        <f>'1 prepared data'!H475</f>
        <v/>
      </c>
      <c r="J482" s="7">
        <f>'1 prepared data'!I475</f>
        <v/>
      </c>
      <c r="K482" s="7">
        <f>'1 prepared data'!J475</f>
        <v/>
      </c>
      <c r="L482" s="7">
        <f>'1 prepared data'!K475</f>
        <v/>
      </c>
      <c r="M482" s="7">
        <f>'1 prepared data'!L475</f>
        <v/>
      </c>
      <c r="N482" s="7">
        <f>'1 prepared data'!M475</f>
        <v/>
      </c>
      <c r="O482" s="7">
        <f>'1 prepared data'!N475</f>
        <v/>
      </c>
      <c r="P482" s="7">
        <f>'1 prepared data'!O475</f>
        <v/>
      </c>
      <c r="Q482" s="7">
        <f>'1 prepared data'!P475</f>
        <v/>
      </c>
      <c r="R482" s="7">
        <f>'1 prepared data'!Q475</f>
        <v/>
      </c>
      <c r="S482" s="7">
        <f>'1 prepared data'!R475</f>
        <v/>
      </c>
      <c r="T482" s="7">
        <f>'1 prepared data'!S475</f>
        <v/>
      </c>
      <c r="U482" s="7">
        <f>'1 prepared data'!T475</f>
        <v/>
      </c>
      <c r="V482" s="8">
        <f>$AC$12+D482*$AC$13+E482*$AC$14+F482*$AC$15+G482*$AC$16+H482*$AC$17+I482*$AC$18+J482*$AC$19+K482*$AC$20+L482*$AC$21+M482*$AC$22+N482*$AC$23+O482*$AC$24+P482*$AC$25+Q482*$AC$26+R482*$AC$27+S482*$AC$28+T482*$AC$29+U482*$AC$30</f>
        <v/>
      </c>
      <c r="W482" s="8">
        <f>1/(1+EXP(-V482))</f>
        <v/>
      </c>
      <c r="X482" s="9">
        <f>-IF(C482=1,LN(W482),LN(1-W482))</f>
        <v/>
      </c>
      <c r="Y482" s="10">
        <f>IF(W482&gt;$AC$33,1,0)</f>
        <v/>
      </c>
      <c r="Z482">
        <f>IF(Y482=C482,1,0)</f>
        <v/>
      </c>
    </row>
    <row r="483">
      <c r="A483">
        <f>'1 prepared data'!A476</f>
        <v/>
      </c>
      <c r="B483" s="5">
        <f>'1 prepared data'!U476</f>
        <v/>
      </c>
      <c r="C483">
        <f>'1 prepared data'!B476</f>
        <v/>
      </c>
      <c r="D483" s="7">
        <f>'1 prepared data'!C476</f>
        <v/>
      </c>
      <c r="E483" s="7">
        <f>'1 prepared data'!D476</f>
        <v/>
      </c>
      <c r="F483" s="7">
        <f>'1 prepared data'!E476</f>
        <v/>
      </c>
      <c r="G483" s="7">
        <f>'1 prepared data'!F476</f>
        <v/>
      </c>
      <c r="H483" s="7">
        <f>'1 prepared data'!G476</f>
        <v/>
      </c>
      <c r="I483" s="7">
        <f>'1 prepared data'!H476</f>
        <v/>
      </c>
      <c r="J483" s="7">
        <f>'1 prepared data'!I476</f>
        <v/>
      </c>
      <c r="K483" s="7">
        <f>'1 prepared data'!J476</f>
        <v/>
      </c>
      <c r="L483" s="7">
        <f>'1 prepared data'!K476</f>
        <v/>
      </c>
      <c r="M483" s="7">
        <f>'1 prepared data'!L476</f>
        <v/>
      </c>
      <c r="N483" s="7">
        <f>'1 prepared data'!M476</f>
        <v/>
      </c>
      <c r="O483" s="7">
        <f>'1 prepared data'!N476</f>
        <v/>
      </c>
      <c r="P483" s="7">
        <f>'1 prepared data'!O476</f>
        <v/>
      </c>
      <c r="Q483" s="7">
        <f>'1 prepared data'!P476</f>
        <v/>
      </c>
      <c r="R483" s="7">
        <f>'1 prepared data'!Q476</f>
        <v/>
      </c>
      <c r="S483" s="7">
        <f>'1 prepared data'!R476</f>
        <v/>
      </c>
      <c r="T483" s="7">
        <f>'1 prepared data'!S476</f>
        <v/>
      </c>
      <c r="U483" s="7">
        <f>'1 prepared data'!T476</f>
        <v/>
      </c>
      <c r="V483" s="8">
        <f>$AC$12+D483*$AC$13+E483*$AC$14+F483*$AC$15+G483*$AC$16+H483*$AC$17+I483*$AC$18+J483*$AC$19+K483*$AC$20+L483*$AC$21+M483*$AC$22+N483*$AC$23+O483*$AC$24+P483*$AC$25+Q483*$AC$26+R483*$AC$27+S483*$AC$28+T483*$AC$29+U483*$AC$30</f>
        <v/>
      </c>
      <c r="W483" s="8">
        <f>1/(1+EXP(-V483))</f>
        <v/>
      </c>
      <c r="X483" s="9">
        <f>-IF(C483=1,LN(W483),LN(1-W483))</f>
        <v/>
      </c>
      <c r="Y483" s="10">
        <f>IF(W483&gt;$AC$33,1,0)</f>
        <v/>
      </c>
      <c r="Z483">
        <f>IF(Y483=C483,1,0)</f>
        <v/>
      </c>
    </row>
    <row r="484">
      <c r="A484">
        <f>'1 prepared data'!A477</f>
        <v/>
      </c>
      <c r="B484" s="5">
        <f>'1 prepared data'!U477</f>
        <v/>
      </c>
      <c r="C484">
        <f>'1 prepared data'!B477</f>
        <v/>
      </c>
      <c r="D484" s="7">
        <f>'1 prepared data'!C477</f>
        <v/>
      </c>
      <c r="E484" s="7">
        <f>'1 prepared data'!D477</f>
        <v/>
      </c>
      <c r="F484" s="7">
        <f>'1 prepared data'!E477</f>
        <v/>
      </c>
      <c r="G484" s="7">
        <f>'1 prepared data'!F477</f>
        <v/>
      </c>
      <c r="H484" s="7">
        <f>'1 prepared data'!G477</f>
        <v/>
      </c>
      <c r="I484" s="7">
        <f>'1 prepared data'!H477</f>
        <v/>
      </c>
      <c r="J484" s="7">
        <f>'1 prepared data'!I477</f>
        <v/>
      </c>
      <c r="K484" s="7">
        <f>'1 prepared data'!J477</f>
        <v/>
      </c>
      <c r="L484" s="7">
        <f>'1 prepared data'!K477</f>
        <v/>
      </c>
      <c r="M484" s="7">
        <f>'1 prepared data'!L477</f>
        <v/>
      </c>
      <c r="N484" s="7">
        <f>'1 prepared data'!M477</f>
        <v/>
      </c>
      <c r="O484" s="7">
        <f>'1 prepared data'!N477</f>
        <v/>
      </c>
      <c r="P484" s="7">
        <f>'1 prepared data'!O477</f>
        <v/>
      </c>
      <c r="Q484" s="7">
        <f>'1 prepared data'!P477</f>
        <v/>
      </c>
      <c r="R484" s="7">
        <f>'1 prepared data'!Q477</f>
        <v/>
      </c>
      <c r="S484" s="7">
        <f>'1 prepared data'!R477</f>
        <v/>
      </c>
      <c r="T484" s="7">
        <f>'1 prepared data'!S477</f>
        <v/>
      </c>
      <c r="U484" s="7">
        <f>'1 prepared data'!T477</f>
        <v/>
      </c>
      <c r="V484" s="8">
        <f>$AC$12+D484*$AC$13+E484*$AC$14+F484*$AC$15+G484*$AC$16+H484*$AC$17+I484*$AC$18+J484*$AC$19+K484*$AC$20+L484*$AC$21+M484*$AC$22+N484*$AC$23+O484*$AC$24+P484*$AC$25+Q484*$AC$26+R484*$AC$27+S484*$AC$28+T484*$AC$29+U484*$AC$30</f>
        <v/>
      </c>
      <c r="W484" s="8">
        <f>1/(1+EXP(-V484))</f>
        <v/>
      </c>
      <c r="X484" s="9">
        <f>-IF(C484=1,LN(W484),LN(1-W484))</f>
        <v/>
      </c>
      <c r="Y484" s="10">
        <f>IF(W484&gt;$AC$33,1,0)</f>
        <v/>
      </c>
      <c r="Z484">
        <f>IF(Y484=C484,1,0)</f>
        <v/>
      </c>
    </row>
    <row r="485">
      <c r="A485">
        <f>'1 prepared data'!A478</f>
        <v/>
      </c>
      <c r="B485" s="5">
        <f>'1 prepared data'!U478</f>
        <v/>
      </c>
      <c r="C485">
        <f>'1 prepared data'!B478</f>
        <v/>
      </c>
      <c r="D485" s="7">
        <f>'1 prepared data'!C478</f>
        <v/>
      </c>
      <c r="E485" s="7">
        <f>'1 prepared data'!D478</f>
        <v/>
      </c>
      <c r="F485" s="7">
        <f>'1 prepared data'!E478</f>
        <v/>
      </c>
      <c r="G485" s="7">
        <f>'1 prepared data'!F478</f>
        <v/>
      </c>
      <c r="H485" s="7">
        <f>'1 prepared data'!G478</f>
        <v/>
      </c>
      <c r="I485" s="7">
        <f>'1 prepared data'!H478</f>
        <v/>
      </c>
      <c r="J485" s="7">
        <f>'1 prepared data'!I478</f>
        <v/>
      </c>
      <c r="K485" s="7">
        <f>'1 prepared data'!J478</f>
        <v/>
      </c>
      <c r="L485" s="7">
        <f>'1 prepared data'!K478</f>
        <v/>
      </c>
      <c r="M485" s="7">
        <f>'1 prepared data'!L478</f>
        <v/>
      </c>
      <c r="N485" s="7">
        <f>'1 prepared data'!M478</f>
        <v/>
      </c>
      <c r="O485" s="7">
        <f>'1 prepared data'!N478</f>
        <v/>
      </c>
      <c r="P485" s="7">
        <f>'1 prepared data'!O478</f>
        <v/>
      </c>
      <c r="Q485" s="7">
        <f>'1 prepared data'!P478</f>
        <v/>
      </c>
      <c r="R485" s="7">
        <f>'1 prepared data'!Q478</f>
        <v/>
      </c>
      <c r="S485" s="7">
        <f>'1 prepared data'!R478</f>
        <v/>
      </c>
      <c r="T485" s="7">
        <f>'1 prepared data'!S478</f>
        <v/>
      </c>
      <c r="U485" s="7">
        <f>'1 prepared data'!T478</f>
        <v/>
      </c>
      <c r="V485" s="8">
        <f>$AC$12+D485*$AC$13+E485*$AC$14+F485*$AC$15+G485*$AC$16+H485*$AC$17+I485*$AC$18+J485*$AC$19+K485*$AC$20+L485*$AC$21+M485*$AC$22+N485*$AC$23+O485*$AC$24+P485*$AC$25+Q485*$AC$26+R485*$AC$27+S485*$AC$28+T485*$AC$29+U485*$AC$30</f>
        <v/>
      </c>
      <c r="W485" s="8">
        <f>1/(1+EXP(-V485))</f>
        <v/>
      </c>
      <c r="X485" s="9">
        <f>-IF(C485=1,LN(W485),LN(1-W485))</f>
        <v/>
      </c>
      <c r="Y485" s="10">
        <f>IF(W485&gt;$AC$33,1,0)</f>
        <v/>
      </c>
      <c r="Z485">
        <f>IF(Y485=C485,1,0)</f>
        <v/>
      </c>
    </row>
    <row r="486">
      <c r="A486">
        <f>'1 prepared data'!A479</f>
        <v/>
      </c>
      <c r="B486" s="5">
        <f>'1 prepared data'!U479</f>
        <v/>
      </c>
      <c r="C486">
        <f>'1 prepared data'!B479</f>
        <v/>
      </c>
      <c r="D486" s="7">
        <f>'1 prepared data'!C479</f>
        <v/>
      </c>
      <c r="E486" s="7">
        <f>'1 prepared data'!D479</f>
        <v/>
      </c>
      <c r="F486" s="7">
        <f>'1 prepared data'!E479</f>
        <v/>
      </c>
      <c r="G486" s="7">
        <f>'1 prepared data'!F479</f>
        <v/>
      </c>
      <c r="H486" s="7">
        <f>'1 prepared data'!G479</f>
        <v/>
      </c>
      <c r="I486" s="7">
        <f>'1 prepared data'!H479</f>
        <v/>
      </c>
      <c r="J486" s="7">
        <f>'1 prepared data'!I479</f>
        <v/>
      </c>
      <c r="K486" s="7">
        <f>'1 prepared data'!J479</f>
        <v/>
      </c>
      <c r="L486" s="7">
        <f>'1 prepared data'!K479</f>
        <v/>
      </c>
      <c r="M486" s="7">
        <f>'1 prepared data'!L479</f>
        <v/>
      </c>
      <c r="N486" s="7">
        <f>'1 prepared data'!M479</f>
        <v/>
      </c>
      <c r="O486" s="7">
        <f>'1 prepared data'!N479</f>
        <v/>
      </c>
      <c r="P486" s="7">
        <f>'1 prepared data'!O479</f>
        <v/>
      </c>
      <c r="Q486" s="7">
        <f>'1 prepared data'!P479</f>
        <v/>
      </c>
      <c r="R486" s="7">
        <f>'1 prepared data'!Q479</f>
        <v/>
      </c>
      <c r="S486" s="7">
        <f>'1 prepared data'!R479</f>
        <v/>
      </c>
      <c r="T486" s="7">
        <f>'1 prepared data'!S479</f>
        <v/>
      </c>
      <c r="U486" s="7">
        <f>'1 prepared data'!T479</f>
        <v/>
      </c>
      <c r="V486" s="8">
        <f>$AC$12+D486*$AC$13+E486*$AC$14+F486*$AC$15+G486*$AC$16+H486*$AC$17+I486*$AC$18+J486*$AC$19+K486*$AC$20+L486*$AC$21+M486*$AC$22+N486*$AC$23+O486*$AC$24+P486*$AC$25+Q486*$AC$26+R486*$AC$27+S486*$AC$28+T486*$AC$29+U486*$AC$30</f>
        <v/>
      </c>
      <c r="W486" s="8">
        <f>1/(1+EXP(-V486))</f>
        <v/>
      </c>
      <c r="X486" s="9">
        <f>-IF(C486=1,LN(W486),LN(1-W486))</f>
        <v/>
      </c>
      <c r="Y486" s="10">
        <f>IF(W486&gt;$AC$33,1,0)</f>
        <v/>
      </c>
      <c r="Z486">
        <f>IF(Y486=C486,1,0)</f>
        <v/>
      </c>
    </row>
    <row r="487">
      <c r="A487">
        <f>'1 prepared data'!A480</f>
        <v/>
      </c>
      <c r="B487" s="5">
        <f>'1 prepared data'!U480</f>
        <v/>
      </c>
      <c r="C487">
        <f>'1 prepared data'!B480</f>
        <v/>
      </c>
      <c r="D487" s="7">
        <f>'1 prepared data'!C480</f>
        <v/>
      </c>
      <c r="E487" s="7">
        <f>'1 prepared data'!D480</f>
        <v/>
      </c>
      <c r="F487" s="7">
        <f>'1 prepared data'!E480</f>
        <v/>
      </c>
      <c r="G487" s="7">
        <f>'1 prepared data'!F480</f>
        <v/>
      </c>
      <c r="H487" s="7">
        <f>'1 prepared data'!G480</f>
        <v/>
      </c>
      <c r="I487" s="7">
        <f>'1 prepared data'!H480</f>
        <v/>
      </c>
      <c r="J487" s="7">
        <f>'1 prepared data'!I480</f>
        <v/>
      </c>
      <c r="K487" s="7">
        <f>'1 prepared data'!J480</f>
        <v/>
      </c>
      <c r="L487" s="7">
        <f>'1 prepared data'!K480</f>
        <v/>
      </c>
      <c r="M487" s="7">
        <f>'1 prepared data'!L480</f>
        <v/>
      </c>
      <c r="N487" s="7">
        <f>'1 prepared data'!M480</f>
        <v/>
      </c>
      <c r="O487" s="7">
        <f>'1 prepared data'!N480</f>
        <v/>
      </c>
      <c r="P487" s="7">
        <f>'1 prepared data'!O480</f>
        <v/>
      </c>
      <c r="Q487" s="7">
        <f>'1 prepared data'!P480</f>
        <v/>
      </c>
      <c r="R487" s="7">
        <f>'1 prepared data'!Q480</f>
        <v/>
      </c>
      <c r="S487" s="7">
        <f>'1 prepared data'!R480</f>
        <v/>
      </c>
      <c r="T487" s="7">
        <f>'1 prepared data'!S480</f>
        <v/>
      </c>
      <c r="U487" s="7">
        <f>'1 prepared data'!T480</f>
        <v/>
      </c>
      <c r="V487" s="8">
        <f>$AC$12+D487*$AC$13+E487*$AC$14+F487*$AC$15+G487*$AC$16+H487*$AC$17+I487*$AC$18+J487*$AC$19+K487*$AC$20+L487*$AC$21+M487*$AC$22+N487*$AC$23+O487*$AC$24+P487*$AC$25+Q487*$AC$26+R487*$AC$27+S487*$AC$28+T487*$AC$29+U487*$AC$30</f>
        <v/>
      </c>
      <c r="W487" s="8">
        <f>1/(1+EXP(-V487))</f>
        <v/>
      </c>
      <c r="X487" s="9">
        <f>-IF(C487=1,LN(W487),LN(1-W487))</f>
        <v/>
      </c>
      <c r="Y487" s="10">
        <f>IF(W487&gt;$AC$33,1,0)</f>
        <v/>
      </c>
      <c r="Z487">
        <f>IF(Y487=C487,1,0)</f>
        <v/>
      </c>
    </row>
    <row r="488">
      <c r="A488">
        <f>'1 prepared data'!A481</f>
        <v/>
      </c>
      <c r="B488" s="5">
        <f>'1 prepared data'!U481</f>
        <v/>
      </c>
      <c r="C488">
        <f>'1 prepared data'!B481</f>
        <v/>
      </c>
      <c r="D488" s="7">
        <f>'1 prepared data'!C481</f>
        <v/>
      </c>
      <c r="E488" s="7">
        <f>'1 prepared data'!D481</f>
        <v/>
      </c>
      <c r="F488" s="7">
        <f>'1 prepared data'!E481</f>
        <v/>
      </c>
      <c r="G488" s="7">
        <f>'1 prepared data'!F481</f>
        <v/>
      </c>
      <c r="H488" s="7">
        <f>'1 prepared data'!G481</f>
        <v/>
      </c>
      <c r="I488" s="7">
        <f>'1 prepared data'!H481</f>
        <v/>
      </c>
      <c r="J488" s="7">
        <f>'1 prepared data'!I481</f>
        <v/>
      </c>
      <c r="K488" s="7">
        <f>'1 prepared data'!J481</f>
        <v/>
      </c>
      <c r="L488" s="7">
        <f>'1 prepared data'!K481</f>
        <v/>
      </c>
      <c r="M488" s="7">
        <f>'1 prepared data'!L481</f>
        <v/>
      </c>
      <c r="N488" s="7">
        <f>'1 prepared data'!M481</f>
        <v/>
      </c>
      <c r="O488" s="7">
        <f>'1 prepared data'!N481</f>
        <v/>
      </c>
      <c r="P488" s="7">
        <f>'1 prepared data'!O481</f>
        <v/>
      </c>
      <c r="Q488" s="7">
        <f>'1 prepared data'!P481</f>
        <v/>
      </c>
      <c r="R488" s="7">
        <f>'1 prepared data'!Q481</f>
        <v/>
      </c>
      <c r="S488" s="7">
        <f>'1 prepared data'!R481</f>
        <v/>
      </c>
      <c r="T488" s="7">
        <f>'1 prepared data'!S481</f>
        <v/>
      </c>
      <c r="U488" s="7">
        <f>'1 prepared data'!T481</f>
        <v/>
      </c>
      <c r="V488" s="8">
        <f>$AC$12+D488*$AC$13+E488*$AC$14+F488*$AC$15+G488*$AC$16+H488*$AC$17+I488*$AC$18+J488*$AC$19+K488*$AC$20+L488*$AC$21+M488*$AC$22+N488*$AC$23+O488*$AC$24+P488*$AC$25+Q488*$AC$26+R488*$AC$27+S488*$AC$28+T488*$AC$29+U488*$AC$30</f>
        <v/>
      </c>
      <c r="W488" s="8">
        <f>1/(1+EXP(-V488))</f>
        <v/>
      </c>
      <c r="X488" s="9">
        <f>-IF(C488=1,LN(W488),LN(1-W488))</f>
        <v/>
      </c>
      <c r="Y488" s="10">
        <f>IF(W488&gt;$AC$33,1,0)</f>
        <v/>
      </c>
      <c r="Z488">
        <f>IF(Y488=C488,1,0)</f>
        <v/>
      </c>
    </row>
    <row r="489">
      <c r="A489">
        <f>'1 prepared data'!A482</f>
        <v/>
      </c>
      <c r="B489" s="5">
        <f>'1 prepared data'!U482</f>
        <v/>
      </c>
      <c r="C489">
        <f>'1 prepared data'!B482</f>
        <v/>
      </c>
      <c r="D489" s="7">
        <f>'1 prepared data'!C482</f>
        <v/>
      </c>
      <c r="E489" s="7">
        <f>'1 prepared data'!D482</f>
        <v/>
      </c>
      <c r="F489" s="7">
        <f>'1 prepared data'!E482</f>
        <v/>
      </c>
      <c r="G489" s="7">
        <f>'1 prepared data'!F482</f>
        <v/>
      </c>
      <c r="H489" s="7">
        <f>'1 prepared data'!G482</f>
        <v/>
      </c>
      <c r="I489" s="7">
        <f>'1 prepared data'!H482</f>
        <v/>
      </c>
      <c r="J489" s="7">
        <f>'1 prepared data'!I482</f>
        <v/>
      </c>
      <c r="K489" s="7">
        <f>'1 prepared data'!J482</f>
        <v/>
      </c>
      <c r="L489" s="7">
        <f>'1 prepared data'!K482</f>
        <v/>
      </c>
      <c r="M489" s="7">
        <f>'1 prepared data'!L482</f>
        <v/>
      </c>
      <c r="N489" s="7">
        <f>'1 prepared data'!M482</f>
        <v/>
      </c>
      <c r="O489" s="7">
        <f>'1 prepared data'!N482</f>
        <v/>
      </c>
      <c r="P489" s="7">
        <f>'1 prepared data'!O482</f>
        <v/>
      </c>
      <c r="Q489" s="7">
        <f>'1 prepared data'!P482</f>
        <v/>
      </c>
      <c r="R489" s="7">
        <f>'1 prepared data'!Q482</f>
        <v/>
      </c>
      <c r="S489" s="7">
        <f>'1 prepared data'!R482</f>
        <v/>
      </c>
      <c r="T489" s="7">
        <f>'1 prepared data'!S482</f>
        <v/>
      </c>
      <c r="U489" s="7">
        <f>'1 prepared data'!T482</f>
        <v/>
      </c>
      <c r="V489" s="8">
        <f>$AC$12+D489*$AC$13+E489*$AC$14+F489*$AC$15+G489*$AC$16+H489*$AC$17+I489*$AC$18+J489*$AC$19+K489*$AC$20+L489*$AC$21+M489*$AC$22+N489*$AC$23+O489*$AC$24+P489*$AC$25+Q489*$AC$26+R489*$AC$27+S489*$AC$28+T489*$AC$29+U489*$AC$30</f>
        <v/>
      </c>
      <c r="W489" s="8">
        <f>1/(1+EXP(-V489))</f>
        <v/>
      </c>
      <c r="X489" s="9">
        <f>-IF(C489=1,LN(W489),LN(1-W489))</f>
        <v/>
      </c>
      <c r="Y489" s="10">
        <f>IF(W489&gt;$AC$33,1,0)</f>
        <v/>
      </c>
      <c r="Z489">
        <f>IF(Y489=C489,1,0)</f>
        <v/>
      </c>
    </row>
    <row r="490">
      <c r="A490">
        <f>'1 prepared data'!A483</f>
        <v/>
      </c>
      <c r="B490" s="5">
        <f>'1 prepared data'!U483</f>
        <v/>
      </c>
      <c r="C490">
        <f>'1 prepared data'!B483</f>
        <v/>
      </c>
      <c r="D490" s="7">
        <f>'1 prepared data'!C483</f>
        <v/>
      </c>
      <c r="E490" s="7">
        <f>'1 prepared data'!D483</f>
        <v/>
      </c>
      <c r="F490" s="7">
        <f>'1 prepared data'!E483</f>
        <v/>
      </c>
      <c r="G490" s="7">
        <f>'1 prepared data'!F483</f>
        <v/>
      </c>
      <c r="H490" s="7">
        <f>'1 prepared data'!G483</f>
        <v/>
      </c>
      <c r="I490" s="7">
        <f>'1 prepared data'!H483</f>
        <v/>
      </c>
      <c r="J490" s="7">
        <f>'1 prepared data'!I483</f>
        <v/>
      </c>
      <c r="K490" s="7">
        <f>'1 prepared data'!J483</f>
        <v/>
      </c>
      <c r="L490" s="7">
        <f>'1 prepared data'!K483</f>
        <v/>
      </c>
      <c r="M490" s="7">
        <f>'1 prepared data'!L483</f>
        <v/>
      </c>
      <c r="N490" s="7">
        <f>'1 prepared data'!M483</f>
        <v/>
      </c>
      <c r="O490" s="7">
        <f>'1 prepared data'!N483</f>
        <v/>
      </c>
      <c r="P490" s="7">
        <f>'1 prepared data'!O483</f>
        <v/>
      </c>
      <c r="Q490" s="7">
        <f>'1 prepared data'!P483</f>
        <v/>
      </c>
      <c r="R490" s="7">
        <f>'1 prepared data'!Q483</f>
        <v/>
      </c>
      <c r="S490" s="7">
        <f>'1 prepared data'!R483</f>
        <v/>
      </c>
      <c r="T490" s="7">
        <f>'1 prepared data'!S483</f>
        <v/>
      </c>
      <c r="U490" s="7">
        <f>'1 prepared data'!T483</f>
        <v/>
      </c>
      <c r="V490" s="8">
        <f>$AC$12+D490*$AC$13+E490*$AC$14+F490*$AC$15+G490*$AC$16+H490*$AC$17+I490*$AC$18+J490*$AC$19+K490*$AC$20+L490*$AC$21+M490*$AC$22+N490*$AC$23+O490*$AC$24+P490*$AC$25+Q490*$AC$26+R490*$AC$27+S490*$AC$28+T490*$AC$29+U490*$AC$30</f>
        <v/>
      </c>
      <c r="W490" s="8">
        <f>1/(1+EXP(-V490))</f>
        <v/>
      </c>
      <c r="X490" s="9">
        <f>-IF(C490=1,LN(W490),LN(1-W490))</f>
        <v/>
      </c>
      <c r="Y490" s="10">
        <f>IF(W490&gt;$AC$33,1,0)</f>
        <v/>
      </c>
      <c r="Z490">
        <f>IF(Y490=C490,1,0)</f>
        <v/>
      </c>
    </row>
    <row r="491">
      <c r="A491">
        <f>'1 prepared data'!A484</f>
        <v/>
      </c>
      <c r="B491" s="5">
        <f>'1 prepared data'!U484</f>
        <v/>
      </c>
      <c r="C491">
        <f>'1 prepared data'!B484</f>
        <v/>
      </c>
      <c r="D491" s="7">
        <f>'1 prepared data'!C484</f>
        <v/>
      </c>
      <c r="E491" s="7">
        <f>'1 prepared data'!D484</f>
        <v/>
      </c>
      <c r="F491" s="7">
        <f>'1 prepared data'!E484</f>
        <v/>
      </c>
      <c r="G491" s="7">
        <f>'1 prepared data'!F484</f>
        <v/>
      </c>
      <c r="H491" s="7">
        <f>'1 prepared data'!G484</f>
        <v/>
      </c>
      <c r="I491" s="7">
        <f>'1 prepared data'!H484</f>
        <v/>
      </c>
      <c r="J491" s="7">
        <f>'1 prepared data'!I484</f>
        <v/>
      </c>
      <c r="K491" s="7">
        <f>'1 prepared data'!J484</f>
        <v/>
      </c>
      <c r="L491" s="7">
        <f>'1 prepared data'!K484</f>
        <v/>
      </c>
      <c r="M491" s="7">
        <f>'1 prepared data'!L484</f>
        <v/>
      </c>
      <c r="N491" s="7">
        <f>'1 prepared data'!M484</f>
        <v/>
      </c>
      <c r="O491" s="7">
        <f>'1 prepared data'!N484</f>
        <v/>
      </c>
      <c r="P491" s="7">
        <f>'1 prepared data'!O484</f>
        <v/>
      </c>
      <c r="Q491" s="7">
        <f>'1 prepared data'!P484</f>
        <v/>
      </c>
      <c r="R491" s="7">
        <f>'1 prepared data'!Q484</f>
        <v/>
      </c>
      <c r="S491" s="7">
        <f>'1 prepared data'!R484</f>
        <v/>
      </c>
      <c r="T491" s="7">
        <f>'1 prepared data'!S484</f>
        <v/>
      </c>
      <c r="U491" s="7">
        <f>'1 prepared data'!T484</f>
        <v/>
      </c>
      <c r="V491" s="8">
        <f>$AC$12+D491*$AC$13+E491*$AC$14+F491*$AC$15+G491*$AC$16+H491*$AC$17+I491*$AC$18+J491*$AC$19+K491*$AC$20+L491*$AC$21+M491*$AC$22+N491*$AC$23+O491*$AC$24+P491*$AC$25+Q491*$AC$26+R491*$AC$27+S491*$AC$28+T491*$AC$29+U491*$AC$30</f>
        <v/>
      </c>
      <c r="W491" s="8">
        <f>1/(1+EXP(-V491))</f>
        <v/>
      </c>
      <c r="X491" s="9">
        <f>-IF(C491=1,LN(W491),LN(1-W491))</f>
        <v/>
      </c>
      <c r="Y491" s="10">
        <f>IF(W491&gt;$AC$33,1,0)</f>
        <v/>
      </c>
      <c r="Z491">
        <f>IF(Y491=C491,1,0)</f>
        <v/>
      </c>
    </row>
    <row r="492">
      <c r="A492">
        <f>'1 prepared data'!A485</f>
        <v/>
      </c>
      <c r="B492" s="5">
        <f>'1 prepared data'!U485</f>
        <v/>
      </c>
      <c r="C492">
        <f>'1 prepared data'!B485</f>
        <v/>
      </c>
      <c r="D492" s="7">
        <f>'1 prepared data'!C485</f>
        <v/>
      </c>
      <c r="E492" s="7">
        <f>'1 prepared data'!D485</f>
        <v/>
      </c>
      <c r="F492" s="7">
        <f>'1 prepared data'!E485</f>
        <v/>
      </c>
      <c r="G492" s="7">
        <f>'1 prepared data'!F485</f>
        <v/>
      </c>
      <c r="H492" s="7">
        <f>'1 prepared data'!G485</f>
        <v/>
      </c>
      <c r="I492" s="7">
        <f>'1 prepared data'!H485</f>
        <v/>
      </c>
      <c r="J492" s="7">
        <f>'1 prepared data'!I485</f>
        <v/>
      </c>
      <c r="K492" s="7">
        <f>'1 prepared data'!J485</f>
        <v/>
      </c>
      <c r="L492" s="7">
        <f>'1 prepared data'!K485</f>
        <v/>
      </c>
      <c r="M492" s="7">
        <f>'1 prepared data'!L485</f>
        <v/>
      </c>
      <c r="N492" s="7">
        <f>'1 prepared data'!M485</f>
        <v/>
      </c>
      <c r="O492" s="7">
        <f>'1 prepared data'!N485</f>
        <v/>
      </c>
      <c r="P492" s="7">
        <f>'1 prepared data'!O485</f>
        <v/>
      </c>
      <c r="Q492" s="7">
        <f>'1 prepared data'!P485</f>
        <v/>
      </c>
      <c r="R492" s="7">
        <f>'1 prepared data'!Q485</f>
        <v/>
      </c>
      <c r="S492" s="7">
        <f>'1 prepared data'!R485</f>
        <v/>
      </c>
      <c r="T492" s="7">
        <f>'1 prepared data'!S485</f>
        <v/>
      </c>
      <c r="U492" s="7">
        <f>'1 prepared data'!T485</f>
        <v/>
      </c>
      <c r="V492" s="8">
        <f>$AC$12+D492*$AC$13+E492*$AC$14+F492*$AC$15+G492*$AC$16+H492*$AC$17+I492*$AC$18+J492*$AC$19+K492*$AC$20+L492*$AC$21+M492*$AC$22+N492*$AC$23+O492*$AC$24+P492*$AC$25+Q492*$AC$26+R492*$AC$27+S492*$AC$28+T492*$AC$29+U492*$AC$30</f>
        <v/>
      </c>
      <c r="W492" s="8">
        <f>1/(1+EXP(-V492))</f>
        <v/>
      </c>
      <c r="X492" s="9">
        <f>-IF(C492=1,LN(W492),LN(1-W492))</f>
        <v/>
      </c>
      <c r="Y492" s="10">
        <f>IF(W492&gt;$AC$33,1,0)</f>
        <v/>
      </c>
      <c r="Z492">
        <f>IF(Y492=C492,1,0)</f>
        <v/>
      </c>
    </row>
    <row r="493">
      <c r="A493">
        <f>'1 prepared data'!A486</f>
        <v/>
      </c>
      <c r="B493" s="5">
        <f>'1 prepared data'!U486</f>
        <v/>
      </c>
      <c r="C493">
        <f>'1 prepared data'!B486</f>
        <v/>
      </c>
      <c r="D493" s="7">
        <f>'1 prepared data'!C486</f>
        <v/>
      </c>
      <c r="E493" s="7">
        <f>'1 prepared data'!D486</f>
        <v/>
      </c>
      <c r="F493" s="7">
        <f>'1 prepared data'!E486</f>
        <v/>
      </c>
      <c r="G493" s="7">
        <f>'1 prepared data'!F486</f>
        <v/>
      </c>
      <c r="H493" s="7">
        <f>'1 prepared data'!G486</f>
        <v/>
      </c>
      <c r="I493" s="7">
        <f>'1 prepared data'!H486</f>
        <v/>
      </c>
      <c r="J493" s="7">
        <f>'1 prepared data'!I486</f>
        <v/>
      </c>
      <c r="K493" s="7">
        <f>'1 prepared data'!J486</f>
        <v/>
      </c>
      <c r="L493" s="7">
        <f>'1 prepared data'!K486</f>
        <v/>
      </c>
      <c r="M493" s="7">
        <f>'1 prepared data'!L486</f>
        <v/>
      </c>
      <c r="N493" s="7">
        <f>'1 prepared data'!M486</f>
        <v/>
      </c>
      <c r="O493" s="7">
        <f>'1 prepared data'!N486</f>
        <v/>
      </c>
      <c r="P493" s="7">
        <f>'1 prepared data'!O486</f>
        <v/>
      </c>
      <c r="Q493" s="7">
        <f>'1 prepared data'!P486</f>
        <v/>
      </c>
      <c r="R493" s="7">
        <f>'1 prepared data'!Q486</f>
        <v/>
      </c>
      <c r="S493" s="7">
        <f>'1 prepared data'!R486</f>
        <v/>
      </c>
      <c r="T493" s="7">
        <f>'1 prepared data'!S486</f>
        <v/>
      </c>
      <c r="U493" s="7">
        <f>'1 prepared data'!T486</f>
        <v/>
      </c>
      <c r="V493" s="8">
        <f>$AC$12+D493*$AC$13+E493*$AC$14+F493*$AC$15+G493*$AC$16+H493*$AC$17+I493*$AC$18+J493*$AC$19+K493*$AC$20+L493*$AC$21+M493*$AC$22+N493*$AC$23+O493*$AC$24+P493*$AC$25+Q493*$AC$26+R493*$AC$27+S493*$AC$28+T493*$AC$29+U493*$AC$30</f>
        <v/>
      </c>
      <c r="W493" s="8">
        <f>1/(1+EXP(-V493))</f>
        <v/>
      </c>
      <c r="X493" s="9">
        <f>-IF(C493=1,LN(W493),LN(1-W493))</f>
        <v/>
      </c>
      <c r="Y493" s="10">
        <f>IF(W493&gt;$AC$33,1,0)</f>
        <v/>
      </c>
      <c r="Z493">
        <f>IF(Y493=C493,1,0)</f>
        <v/>
      </c>
    </row>
    <row r="494">
      <c r="A494">
        <f>'1 prepared data'!A487</f>
        <v/>
      </c>
      <c r="B494" s="5">
        <f>'1 prepared data'!U487</f>
        <v/>
      </c>
      <c r="C494">
        <f>'1 prepared data'!B487</f>
        <v/>
      </c>
      <c r="D494" s="7">
        <f>'1 prepared data'!C487</f>
        <v/>
      </c>
      <c r="E494" s="7">
        <f>'1 prepared data'!D487</f>
        <v/>
      </c>
      <c r="F494" s="7">
        <f>'1 prepared data'!E487</f>
        <v/>
      </c>
      <c r="G494" s="7">
        <f>'1 prepared data'!F487</f>
        <v/>
      </c>
      <c r="H494" s="7">
        <f>'1 prepared data'!G487</f>
        <v/>
      </c>
      <c r="I494" s="7">
        <f>'1 prepared data'!H487</f>
        <v/>
      </c>
      <c r="J494" s="7">
        <f>'1 prepared data'!I487</f>
        <v/>
      </c>
      <c r="K494" s="7">
        <f>'1 prepared data'!J487</f>
        <v/>
      </c>
      <c r="L494" s="7">
        <f>'1 prepared data'!K487</f>
        <v/>
      </c>
      <c r="M494" s="7">
        <f>'1 prepared data'!L487</f>
        <v/>
      </c>
      <c r="N494" s="7">
        <f>'1 prepared data'!M487</f>
        <v/>
      </c>
      <c r="O494" s="7">
        <f>'1 prepared data'!N487</f>
        <v/>
      </c>
      <c r="P494" s="7">
        <f>'1 prepared data'!O487</f>
        <v/>
      </c>
      <c r="Q494" s="7">
        <f>'1 prepared data'!P487</f>
        <v/>
      </c>
      <c r="R494" s="7">
        <f>'1 prepared data'!Q487</f>
        <v/>
      </c>
      <c r="S494" s="7">
        <f>'1 prepared data'!R487</f>
        <v/>
      </c>
      <c r="T494" s="7">
        <f>'1 prepared data'!S487</f>
        <v/>
      </c>
      <c r="U494" s="7">
        <f>'1 prepared data'!T487</f>
        <v/>
      </c>
      <c r="V494" s="8">
        <f>$AC$12+D494*$AC$13+E494*$AC$14+F494*$AC$15+G494*$AC$16+H494*$AC$17+I494*$AC$18+J494*$AC$19+K494*$AC$20+L494*$AC$21+M494*$AC$22+N494*$AC$23+O494*$AC$24+P494*$AC$25+Q494*$AC$26+R494*$AC$27+S494*$AC$28+T494*$AC$29+U494*$AC$30</f>
        <v/>
      </c>
      <c r="W494" s="8">
        <f>1/(1+EXP(-V494))</f>
        <v/>
      </c>
      <c r="X494" s="9">
        <f>-IF(C494=1,LN(W494),LN(1-W494))</f>
        <v/>
      </c>
      <c r="Y494" s="10">
        <f>IF(W494&gt;$AC$33,1,0)</f>
        <v/>
      </c>
      <c r="Z494">
        <f>IF(Y494=C494,1,0)</f>
        <v/>
      </c>
    </row>
    <row r="495">
      <c r="A495">
        <f>'1 prepared data'!A488</f>
        <v/>
      </c>
      <c r="B495" s="5">
        <f>'1 prepared data'!U488</f>
        <v/>
      </c>
      <c r="C495">
        <f>'1 prepared data'!B488</f>
        <v/>
      </c>
      <c r="D495" s="7">
        <f>'1 prepared data'!C488</f>
        <v/>
      </c>
      <c r="E495" s="7">
        <f>'1 prepared data'!D488</f>
        <v/>
      </c>
      <c r="F495" s="7">
        <f>'1 prepared data'!E488</f>
        <v/>
      </c>
      <c r="G495" s="7">
        <f>'1 prepared data'!F488</f>
        <v/>
      </c>
      <c r="H495" s="7">
        <f>'1 prepared data'!G488</f>
        <v/>
      </c>
      <c r="I495" s="7">
        <f>'1 prepared data'!H488</f>
        <v/>
      </c>
      <c r="J495" s="7">
        <f>'1 prepared data'!I488</f>
        <v/>
      </c>
      <c r="K495" s="7">
        <f>'1 prepared data'!J488</f>
        <v/>
      </c>
      <c r="L495" s="7">
        <f>'1 prepared data'!K488</f>
        <v/>
      </c>
      <c r="M495" s="7">
        <f>'1 prepared data'!L488</f>
        <v/>
      </c>
      <c r="N495" s="7">
        <f>'1 prepared data'!M488</f>
        <v/>
      </c>
      <c r="O495" s="7">
        <f>'1 prepared data'!N488</f>
        <v/>
      </c>
      <c r="P495" s="7">
        <f>'1 prepared data'!O488</f>
        <v/>
      </c>
      <c r="Q495" s="7">
        <f>'1 prepared data'!P488</f>
        <v/>
      </c>
      <c r="R495" s="7">
        <f>'1 prepared data'!Q488</f>
        <v/>
      </c>
      <c r="S495" s="7">
        <f>'1 prepared data'!R488</f>
        <v/>
      </c>
      <c r="T495" s="7">
        <f>'1 prepared data'!S488</f>
        <v/>
      </c>
      <c r="U495" s="7">
        <f>'1 prepared data'!T488</f>
        <v/>
      </c>
      <c r="V495" s="8">
        <f>$AC$12+D495*$AC$13+E495*$AC$14+F495*$AC$15+G495*$AC$16+H495*$AC$17+I495*$AC$18+J495*$AC$19+K495*$AC$20+L495*$AC$21+M495*$AC$22+N495*$AC$23+O495*$AC$24+P495*$AC$25+Q495*$AC$26+R495*$AC$27+S495*$AC$28+T495*$AC$29+U495*$AC$30</f>
        <v/>
      </c>
      <c r="W495" s="8">
        <f>1/(1+EXP(-V495))</f>
        <v/>
      </c>
      <c r="X495" s="9">
        <f>-IF(C495=1,LN(W495),LN(1-W495))</f>
        <v/>
      </c>
      <c r="Y495" s="10">
        <f>IF(W495&gt;$AC$33,1,0)</f>
        <v/>
      </c>
      <c r="Z495">
        <f>IF(Y495=C495,1,0)</f>
        <v/>
      </c>
    </row>
    <row r="496">
      <c r="A496">
        <f>'1 prepared data'!A489</f>
        <v/>
      </c>
      <c r="B496" s="5">
        <f>'1 prepared data'!U489</f>
        <v/>
      </c>
      <c r="C496">
        <f>'1 prepared data'!B489</f>
        <v/>
      </c>
      <c r="D496" s="7">
        <f>'1 prepared data'!C489</f>
        <v/>
      </c>
      <c r="E496" s="7">
        <f>'1 prepared data'!D489</f>
        <v/>
      </c>
      <c r="F496" s="7">
        <f>'1 prepared data'!E489</f>
        <v/>
      </c>
      <c r="G496" s="7">
        <f>'1 prepared data'!F489</f>
        <v/>
      </c>
      <c r="H496" s="7">
        <f>'1 prepared data'!G489</f>
        <v/>
      </c>
      <c r="I496" s="7">
        <f>'1 prepared data'!H489</f>
        <v/>
      </c>
      <c r="J496" s="7">
        <f>'1 prepared data'!I489</f>
        <v/>
      </c>
      <c r="K496" s="7">
        <f>'1 prepared data'!J489</f>
        <v/>
      </c>
      <c r="L496" s="7">
        <f>'1 prepared data'!K489</f>
        <v/>
      </c>
      <c r="M496" s="7">
        <f>'1 prepared data'!L489</f>
        <v/>
      </c>
      <c r="N496" s="7">
        <f>'1 prepared data'!M489</f>
        <v/>
      </c>
      <c r="O496" s="7">
        <f>'1 prepared data'!N489</f>
        <v/>
      </c>
      <c r="P496" s="7">
        <f>'1 prepared data'!O489</f>
        <v/>
      </c>
      <c r="Q496" s="7">
        <f>'1 prepared data'!P489</f>
        <v/>
      </c>
      <c r="R496" s="7">
        <f>'1 prepared data'!Q489</f>
        <v/>
      </c>
      <c r="S496" s="7">
        <f>'1 prepared data'!R489</f>
        <v/>
      </c>
      <c r="T496" s="7">
        <f>'1 prepared data'!S489</f>
        <v/>
      </c>
      <c r="U496" s="7">
        <f>'1 prepared data'!T489</f>
        <v/>
      </c>
      <c r="V496" s="8">
        <f>$AC$12+D496*$AC$13+E496*$AC$14+F496*$AC$15+G496*$AC$16+H496*$AC$17+I496*$AC$18+J496*$AC$19+K496*$AC$20+L496*$AC$21+M496*$AC$22+N496*$AC$23+O496*$AC$24+P496*$AC$25+Q496*$AC$26+R496*$AC$27+S496*$AC$28+T496*$AC$29+U496*$AC$30</f>
        <v/>
      </c>
      <c r="W496" s="8">
        <f>1/(1+EXP(-V496))</f>
        <v/>
      </c>
      <c r="X496" s="9">
        <f>-IF(C496=1,LN(W496),LN(1-W496))</f>
        <v/>
      </c>
      <c r="Y496" s="10">
        <f>IF(W496&gt;$AC$33,1,0)</f>
        <v/>
      </c>
      <c r="Z496">
        <f>IF(Y496=C496,1,0)</f>
        <v/>
      </c>
    </row>
    <row r="497">
      <c r="A497">
        <f>'1 prepared data'!A490</f>
        <v/>
      </c>
      <c r="B497" s="5">
        <f>'1 prepared data'!U490</f>
        <v/>
      </c>
      <c r="C497">
        <f>'1 prepared data'!B490</f>
        <v/>
      </c>
      <c r="D497" s="7">
        <f>'1 prepared data'!C490</f>
        <v/>
      </c>
      <c r="E497" s="7">
        <f>'1 prepared data'!D490</f>
        <v/>
      </c>
      <c r="F497" s="7">
        <f>'1 prepared data'!E490</f>
        <v/>
      </c>
      <c r="G497" s="7">
        <f>'1 prepared data'!F490</f>
        <v/>
      </c>
      <c r="H497" s="7">
        <f>'1 prepared data'!G490</f>
        <v/>
      </c>
      <c r="I497" s="7">
        <f>'1 prepared data'!H490</f>
        <v/>
      </c>
      <c r="J497" s="7">
        <f>'1 prepared data'!I490</f>
        <v/>
      </c>
      <c r="K497" s="7">
        <f>'1 prepared data'!J490</f>
        <v/>
      </c>
      <c r="L497" s="7">
        <f>'1 prepared data'!K490</f>
        <v/>
      </c>
      <c r="M497" s="7">
        <f>'1 prepared data'!L490</f>
        <v/>
      </c>
      <c r="N497" s="7">
        <f>'1 prepared data'!M490</f>
        <v/>
      </c>
      <c r="O497" s="7">
        <f>'1 prepared data'!N490</f>
        <v/>
      </c>
      <c r="P497" s="7">
        <f>'1 prepared data'!O490</f>
        <v/>
      </c>
      <c r="Q497" s="7">
        <f>'1 prepared data'!P490</f>
        <v/>
      </c>
      <c r="R497" s="7">
        <f>'1 prepared data'!Q490</f>
        <v/>
      </c>
      <c r="S497" s="7">
        <f>'1 prepared data'!R490</f>
        <v/>
      </c>
      <c r="T497" s="7">
        <f>'1 prepared data'!S490</f>
        <v/>
      </c>
      <c r="U497" s="7">
        <f>'1 prepared data'!T490</f>
        <v/>
      </c>
      <c r="V497" s="8">
        <f>$AC$12+D497*$AC$13+E497*$AC$14+F497*$AC$15+G497*$AC$16+H497*$AC$17+I497*$AC$18+J497*$AC$19+K497*$AC$20+L497*$AC$21+M497*$AC$22+N497*$AC$23+O497*$AC$24+P497*$AC$25+Q497*$AC$26+R497*$AC$27+S497*$AC$28+T497*$AC$29+U497*$AC$30</f>
        <v/>
      </c>
      <c r="W497" s="8">
        <f>1/(1+EXP(-V497))</f>
        <v/>
      </c>
      <c r="X497" s="9">
        <f>-IF(C497=1,LN(W497),LN(1-W497))</f>
        <v/>
      </c>
      <c r="Y497" s="10">
        <f>IF(W497&gt;$AC$33,1,0)</f>
        <v/>
      </c>
      <c r="Z497">
        <f>IF(Y497=C497,1,0)</f>
        <v/>
      </c>
    </row>
    <row r="498">
      <c r="A498">
        <f>'1 prepared data'!A491</f>
        <v/>
      </c>
      <c r="B498" s="5">
        <f>'1 prepared data'!U491</f>
        <v/>
      </c>
      <c r="C498">
        <f>'1 prepared data'!B491</f>
        <v/>
      </c>
      <c r="D498" s="7">
        <f>'1 prepared data'!C491</f>
        <v/>
      </c>
      <c r="E498" s="7">
        <f>'1 prepared data'!D491</f>
        <v/>
      </c>
      <c r="F498" s="7">
        <f>'1 prepared data'!E491</f>
        <v/>
      </c>
      <c r="G498" s="7">
        <f>'1 prepared data'!F491</f>
        <v/>
      </c>
      <c r="H498" s="7">
        <f>'1 prepared data'!G491</f>
        <v/>
      </c>
      <c r="I498" s="7">
        <f>'1 prepared data'!H491</f>
        <v/>
      </c>
      <c r="J498" s="7">
        <f>'1 prepared data'!I491</f>
        <v/>
      </c>
      <c r="K498" s="7">
        <f>'1 prepared data'!J491</f>
        <v/>
      </c>
      <c r="L498" s="7">
        <f>'1 prepared data'!K491</f>
        <v/>
      </c>
      <c r="M498" s="7">
        <f>'1 prepared data'!L491</f>
        <v/>
      </c>
      <c r="N498" s="7">
        <f>'1 prepared data'!M491</f>
        <v/>
      </c>
      <c r="O498" s="7">
        <f>'1 prepared data'!N491</f>
        <v/>
      </c>
      <c r="P498" s="7">
        <f>'1 prepared data'!O491</f>
        <v/>
      </c>
      <c r="Q498" s="7">
        <f>'1 prepared data'!P491</f>
        <v/>
      </c>
      <c r="R498" s="7">
        <f>'1 prepared data'!Q491</f>
        <v/>
      </c>
      <c r="S498" s="7">
        <f>'1 prepared data'!R491</f>
        <v/>
      </c>
      <c r="T498" s="7">
        <f>'1 prepared data'!S491</f>
        <v/>
      </c>
      <c r="U498" s="7">
        <f>'1 prepared data'!T491</f>
        <v/>
      </c>
      <c r="V498" s="8">
        <f>$AC$12+D498*$AC$13+E498*$AC$14+F498*$AC$15+G498*$AC$16+H498*$AC$17+I498*$AC$18+J498*$AC$19+K498*$AC$20+L498*$AC$21+M498*$AC$22+N498*$AC$23+O498*$AC$24+P498*$AC$25+Q498*$AC$26+R498*$AC$27+S498*$AC$28+T498*$AC$29+U498*$AC$30</f>
        <v/>
      </c>
      <c r="W498" s="8">
        <f>1/(1+EXP(-V498))</f>
        <v/>
      </c>
      <c r="X498" s="9">
        <f>-IF(C498=1,LN(W498),LN(1-W498))</f>
        <v/>
      </c>
      <c r="Y498" s="10">
        <f>IF(W498&gt;$AC$33,1,0)</f>
        <v/>
      </c>
      <c r="Z498">
        <f>IF(Y498=C498,1,0)</f>
        <v/>
      </c>
    </row>
    <row r="499">
      <c r="A499">
        <f>'1 prepared data'!A492</f>
        <v/>
      </c>
      <c r="B499" s="5">
        <f>'1 prepared data'!U492</f>
        <v/>
      </c>
      <c r="C499">
        <f>'1 prepared data'!B492</f>
        <v/>
      </c>
      <c r="D499" s="7">
        <f>'1 prepared data'!C492</f>
        <v/>
      </c>
      <c r="E499" s="7">
        <f>'1 prepared data'!D492</f>
        <v/>
      </c>
      <c r="F499" s="7">
        <f>'1 prepared data'!E492</f>
        <v/>
      </c>
      <c r="G499" s="7">
        <f>'1 prepared data'!F492</f>
        <v/>
      </c>
      <c r="H499" s="7">
        <f>'1 prepared data'!G492</f>
        <v/>
      </c>
      <c r="I499" s="7">
        <f>'1 prepared data'!H492</f>
        <v/>
      </c>
      <c r="J499" s="7">
        <f>'1 prepared data'!I492</f>
        <v/>
      </c>
      <c r="K499" s="7">
        <f>'1 prepared data'!J492</f>
        <v/>
      </c>
      <c r="L499" s="7">
        <f>'1 prepared data'!K492</f>
        <v/>
      </c>
      <c r="M499" s="7">
        <f>'1 prepared data'!L492</f>
        <v/>
      </c>
      <c r="N499" s="7">
        <f>'1 prepared data'!M492</f>
        <v/>
      </c>
      <c r="O499" s="7">
        <f>'1 prepared data'!N492</f>
        <v/>
      </c>
      <c r="P499" s="7">
        <f>'1 prepared data'!O492</f>
        <v/>
      </c>
      <c r="Q499" s="7">
        <f>'1 prepared data'!P492</f>
        <v/>
      </c>
      <c r="R499" s="7">
        <f>'1 prepared data'!Q492</f>
        <v/>
      </c>
      <c r="S499" s="7">
        <f>'1 prepared data'!R492</f>
        <v/>
      </c>
      <c r="T499" s="7">
        <f>'1 prepared data'!S492</f>
        <v/>
      </c>
      <c r="U499" s="7">
        <f>'1 prepared data'!T492</f>
        <v/>
      </c>
      <c r="V499" s="8">
        <f>$AC$12+D499*$AC$13+E499*$AC$14+F499*$AC$15+G499*$AC$16+H499*$AC$17+I499*$AC$18+J499*$AC$19+K499*$AC$20+L499*$AC$21+M499*$AC$22+N499*$AC$23+O499*$AC$24+P499*$AC$25+Q499*$AC$26+R499*$AC$27+S499*$AC$28+T499*$AC$29+U499*$AC$30</f>
        <v/>
      </c>
      <c r="W499" s="8">
        <f>1/(1+EXP(-V499))</f>
        <v/>
      </c>
      <c r="X499" s="9">
        <f>-IF(C499=1,LN(W499),LN(1-W499))</f>
        <v/>
      </c>
      <c r="Y499" s="10">
        <f>IF(W499&gt;$AC$33,1,0)</f>
        <v/>
      </c>
      <c r="Z499">
        <f>IF(Y499=C499,1,0)</f>
        <v/>
      </c>
    </row>
    <row r="500">
      <c r="A500">
        <f>'1 prepared data'!A493</f>
        <v/>
      </c>
      <c r="B500" s="5">
        <f>'1 prepared data'!U493</f>
        <v/>
      </c>
      <c r="C500">
        <f>'1 prepared data'!B493</f>
        <v/>
      </c>
      <c r="D500" s="7">
        <f>'1 prepared data'!C493</f>
        <v/>
      </c>
      <c r="E500" s="7">
        <f>'1 prepared data'!D493</f>
        <v/>
      </c>
      <c r="F500" s="7">
        <f>'1 prepared data'!E493</f>
        <v/>
      </c>
      <c r="G500" s="7">
        <f>'1 prepared data'!F493</f>
        <v/>
      </c>
      <c r="H500" s="7">
        <f>'1 prepared data'!G493</f>
        <v/>
      </c>
      <c r="I500" s="7">
        <f>'1 prepared data'!H493</f>
        <v/>
      </c>
      <c r="J500" s="7">
        <f>'1 prepared data'!I493</f>
        <v/>
      </c>
      <c r="K500" s="7">
        <f>'1 prepared data'!J493</f>
        <v/>
      </c>
      <c r="L500" s="7">
        <f>'1 prepared data'!K493</f>
        <v/>
      </c>
      <c r="M500" s="7">
        <f>'1 prepared data'!L493</f>
        <v/>
      </c>
      <c r="N500" s="7">
        <f>'1 prepared data'!M493</f>
        <v/>
      </c>
      <c r="O500" s="7">
        <f>'1 prepared data'!N493</f>
        <v/>
      </c>
      <c r="P500" s="7">
        <f>'1 prepared data'!O493</f>
        <v/>
      </c>
      <c r="Q500" s="7">
        <f>'1 prepared data'!P493</f>
        <v/>
      </c>
      <c r="R500" s="7">
        <f>'1 prepared data'!Q493</f>
        <v/>
      </c>
      <c r="S500" s="7">
        <f>'1 prepared data'!R493</f>
        <v/>
      </c>
      <c r="T500" s="7">
        <f>'1 prepared data'!S493</f>
        <v/>
      </c>
      <c r="U500" s="7">
        <f>'1 prepared data'!T493</f>
        <v/>
      </c>
      <c r="V500" s="8">
        <f>$AC$12+D500*$AC$13+E500*$AC$14+F500*$AC$15+G500*$AC$16+H500*$AC$17+I500*$AC$18+J500*$AC$19+K500*$AC$20+L500*$AC$21+M500*$AC$22+N500*$AC$23+O500*$AC$24+P500*$AC$25+Q500*$AC$26+R500*$AC$27+S500*$AC$28+T500*$AC$29+U500*$AC$30</f>
        <v/>
      </c>
      <c r="W500" s="8">
        <f>1/(1+EXP(-V500))</f>
        <v/>
      </c>
      <c r="X500" s="9">
        <f>-IF(C500=1,LN(W500),LN(1-W500))</f>
        <v/>
      </c>
      <c r="Y500" s="10">
        <f>IF(W500&gt;$AC$33,1,0)</f>
        <v/>
      </c>
      <c r="Z500">
        <f>IF(Y500=C500,1,0)</f>
        <v/>
      </c>
    </row>
    <row r="501">
      <c r="A501">
        <f>'1 prepared data'!A494</f>
        <v/>
      </c>
      <c r="B501" s="5">
        <f>'1 prepared data'!U494</f>
        <v/>
      </c>
      <c r="C501">
        <f>'1 prepared data'!B494</f>
        <v/>
      </c>
      <c r="D501" s="7">
        <f>'1 prepared data'!C494</f>
        <v/>
      </c>
      <c r="E501" s="7">
        <f>'1 prepared data'!D494</f>
        <v/>
      </c>
      <c r="F501" s="7">
        <f>'1 prepared data'!E494</f>
        <v/>
      </c>
      <c r="G501" s="7">
        <f>'1 prepared data'!F494</f>
        <v/>
      </c>
      <c r="H501" s="7">
        <f>'1 prepared data'!G494</f>
        <v/>
      </c>
      <c r="I501" s="7">
        <f>'1 prepared data'!H494</f>
        <v/>
      </c>
      <c r="J501" s="7">
        <f>'1 prepared data'!I494</f>
        <v/>
      </c>
      <c r="K501" s="7">
        <f>'1 prepared data'!J494</f>
        <v/>
      </c>
      <c r="L501" s="7">
        <f>'1 prepared data'!K494</f>
        <v/>
      </c>
      <c r="M501" s="7">
        <f>'1 prepared data'!L494</f>
        <v/>
      </c>
      <c r="N501" s="7">
        <f>'1 prepared data'!M494</f>
        <v/>
      </c>
      <c r="O501" s="7">
        <f>'1 prepared data'!N494</f>
        <v/>
      </c>
      <c r="P501" s="7">
        <f>'1 prepared data'!O494</f>
        <v/>
      </c>
      <c r="Q501" s="7">
        <f>'1 prepared data'!P494</f>
        <v/>
      </c>
      <c r="R501" s="7">
        <f>'1 prepared data'!Q494</f>
        <v/>
      </c>
      <c r="S501" s="7">
        <f>'1 prepared data'!R494</f>
        <v/>
      </c>
      <c r="T501" s="7">
        <f>'1 prepared data'!S494</f>
        <v/>
      </c>
      <c r="U501" s="7">
        <f>'1 prepared data'!T494</f>
        <v/>
      </c>
      <c r="V501" s="8">
        <f>$AC$12+D501*$AC$13+E501*$AC$14+F501*$AC$15+G501*$AC$16+H501*$AC$17+I501*$AC$18+J501*$AC$19+K501*$AC$20+L501*$AC$21+M501*$AC$22+N501*$AC$23+O501*$AC$24+P501*$AC$25+Q501*$AC$26+R501*$AC$27+S501*$AC$28+T501*$AC$29+U501*$AC$30</f>
        <v/>
      </c>
      <c r="W501" s="8">
        <f>1/(1+EXP(-V501))</f>
        <v/>
      </c>
      <c r="X501" s="9">
        <f>-IF(C501=1,LN(W501),LN(1-W501))</f>
        <v/>
      </c>
      <c r="Y501" s="10">
        <f>IF(W501&gt;$AC$33,1,0)</f>
        <v/>
      </c>
      <c r="Z501">
        <f>IF(Y501=C501,1,0)</f>
        <v/>
      </c>
    </row>
    <row r="502">
      <c r="A502">
        <f>'1 prepared data'!A495</f>
        <v/>
      </c>
      <c r="B502" s="5">
        <f>'1 prepared data'!U495</f>
        <v/>
      </c>
      <c r="C502">
        <f>'1 prepared data'!B495</f>
        <v/>
      </c>
      <c r="D502" s="7">
        <f>'1 prepared data'!C495</f>
        <v/>
      </c>
      <c r="E502" s="7">
        <f>'1 prepared data'!D495</f>
        <v/>
      </c>
      <c r="F502" s="7">
        <f>'1 prepared data'!E495</f>
        <v/>
      </c>
      <c r="G502" s="7">
        <f>'1 prepared data'!F495</f>
        <v/>
      </c>
      <c r="H502" s="7">
        <f>'1 prepared data'!G495</f>
        <v/>
      </c>
      <c r="I502" s="7">
        <f>'1 prepared data'!H495</f>
        <v/>
      </c>
      <c r="J502" s="7">
        <f>'1 prepared data'!I495</f>
        <v/>
      </c>
      <c r="K502" s="7">
        <f>'1 prepared data'!J495</f>
        <v/>
      </c>
      <c r="L502" s="7">
        <f>'1 prepared data'!K495</f>
        <v/>
      </c>
      <c r="M502" s="7">
        <f>'1 prepared data'!L495</f>
        <v/>
      </c>
      <c r="N502" s="7">
        <f>'1 prepared data'!M495</f>
        <v/>
      </c>
      <c r="O502" s="7">
        <f>'1 prepared data'!N495</f>
        <v/>
      </c>
      <c r="P502" s="7">
        <f>'1 prepared data'!O495</f>
        <v/>
      </c>
      <c r="Q502" s="7">
        <f>'1 prepared data'!P495</f>
        <v/>
      </c>
      <c r="R502" s="7">
        <f>'1 prepared data'!Q495</f>
        <v/>
      </c>
      <c r="S502" s="7">
        <f>'1 prepared data'!R495</f>
        <v/>
      </c>
      <c r="T502" s="7">
        <f>'1 prepared data'!S495</f>
        <v/>
      </c>
      <c r="U502" s="7">
        <f>'1 prepared data'!T495</f>
        <v/>
      </c>
      <c r="V502" s="8">
        <f>$AC$12+D502*$AC$13+E502*$AC$14+F502*$AC$15+G502*$AC$16+H502*$AC$17+I502*$AC$18+J502*$AC$19+K502*$AC$20+L502*$AC$21+M502*$AC$22+N502*$AC$23+O502*$AC$24+P502*$AC$25+Q502*$AC$26+R502*$AC$27+S502*$AC$28+T502*$AC$29+U502*$AC$30</f>
        <v/>
      </c>
      <c r="W502" s="8">
        <f>1/(1+EXP(-V502))</f>
        <v/>
      </c>
      <c r="X502" s="9">
        <f>-IF(C502=1,LN(W502),LN(1-W502))</f>
        <v/>
      </c>
      <c r="Y502" s="10">
        <f>IF(W502&gt;$AC$33,1,0)</f>
        <v/>
      </c>
      <c r="Z502">
        <f>IF(Y502=C502,1,0)</f>
        <v/>
      </c>
    </row>
    <row r="503">
      <c r="A503">
        <f>'1 prepared data'!A496</f>
        <v/>
      </c>
      <c r="B503" s="5">
        <f>'1 prepared data'!U496</f>
        <v/>
      </c>
      <c r="C503">
        <f>'1 prepared data'!B496</f>
        <v/>
      </c>
      <c r="D503" s="7">
        <f>'1 prepared data'!C496</f>
        <v/>
      </c>
      <c r="E503" s="7">
        <f>'1 prepared data'!D496</f>
        <v/>
      </c>
      <c r="F503" s="7">
        <f>'1 prepared data'!E496</f>
        <v/>
      </c>
      <c r="G503" s="7">
        <f>'1 prepared data'!F496</f>
        <v/>
      </c>
      <c r="H503" s="7">
        <f>'1 prepared data'!G496</f>
        <v/>
      </c>
      <c r="I503" s="7">
        <f>'1 prepared data'!H496</f>
        <v/>
      </c>
      <c r="J503" s="7">
        <f>'1 prepared data'!I496</f>
        <v/>
      </c>
      <c r="K503" s="7">
        <f>'1 prepared data'!J496</f>
        <v/>
      </c>
      <c r="L503" s="7">
        <f>'1 prepared data'!K496</f>
        <v/>
      </c>
      <c r="M503" s="7">
        <f>'1 prepared data'!L496</f>
        <v/>
      </c>
      <c r="N503" s="7">
        <f>'1 prepared data'!M496</f>
        <v/>
      </c>
      <c r="O503" s="7">
        <f>'1 prepared data'!N496</f>
        <v/>
      </c>
      <c r="P503" s="7">
        <f>'1 prepared data'!O496</f>
        <v/>
      </c>
      <c r="Q503" s="7">
        <f>'1 prepared data'!P496</f>
        <v/>
      </c>
      <c r="R503" s="7">
        <f>'1 prepared data'!Q496</f>
        <v/>
      </c>
      <c r="S503" s="7">
        <f>'1 prepared data'!R496</f>
        <v/>
      </c>
      <c r="T503" s="7">
        <f>'1 prepared data'!S496</f>
        <v/>
      </c>
      <c r="U503" s="7">
        <f>'1 prepared data'!T496</f>
        <v/>
      </c>
      <c r="V503" s="8">
        <f>$AC$12+D503*$AC$13+E503*$AC$14+F503*$AC$15+G503*$AC$16+H503*$AC$17+I503*$AC$18+J503*$AC$19+K503*$AC$20+L503*$AC$21+M503*$AC$22+N503*$AC$23+O503*$AC$24+P503*$AC$25+Q503*$AC$26+R503*$AC$27+S503*$AC$28+T503*$AC$29+U503*$AC$30</f>
        <v/>
      </c>
      <c r="W503" s="8">
        <f>1/(1+EXP(-V503))</f>
        <v/>
      </c>
      <c r="X503" s="9">
        <f>-IF(C503=1,LN(W503),LN(1-W503))</f>
        <v/>
      </c>
      <c r="Y503" s="10">
        <f>IF(W503&gt;$AC$33,1,0)</f>
        <v/>
      </c>
      <c r="Z503">
        <f>IF(Y503=C503,1,0)</f>
        <v/>
      </c>
    </row>
    <row r="504">
      <c r="A504">
        <f>'1 prepared data'!A497</f>
        <v/>
      </c>
      <c r="B504" s="5">
        <f>'1 prepared data'!U497</f>
        <v/>
      </c>
      <c r="C504">
        <f>'1 prepared data'!B497</f>
        <v/>
      </c>
      <c r="D504" s="7">
        <f>'1 prepared data'!C497</f>
        <v/>
      </c>
      <c r="E504" s="7">
        <f>'1 prepared data'!D497</f>
        <v/>
      </c>
      <c r="F504" s="7">
        <f>'1 prepared data'!E497</f>
        <v/>
      </c>
      <c r="G504" s="7">
        <f>'1 prepared data'!F497</f>
        <v/>
      </c>
      <c r="H504" s="7">
        <f>'1 prepared data'!G497</f>
        <v/>
      </c>
      <c r="I504" s="7">
        <f>'1 prepared data'!H497</f>
        <v/>
      </c>
      <c r="J504" s="7">
        <f>'1 prepared data'!I497</f>
        <v/>
      </c>
      <c r="K504" s="7">
        <f>'1 prepared data'!J497</f>
        <v/>
      </c>
      <c r="L504" s="7">
        <f>'1 prepared data'!K497</f>
        <v/>
      </c>
      <c r="M504" s="7">
        <f>'1 prepared data'!L497</f>
        <v/>
      </c>
      <c r="N504" s="7">
        <f>'1 prepared data'!M497</f>
        <v/>
      </c>
      <c r="O504" s="7">
        <f>'1 prepared data'!N497</f>
        <v/>
      </c>
      <c r="P504" s="7">
        <f>'1 prepared data'!O497</f>
        <v/>
      </c>
      <c r="Q504" s="7">
        <f>'1 prepared data'!P497</f>
        <v/>
      </c>
      <c r="R504" s="7">
        <f>'1 prepared data'!Q497</f>
        <v/>
      </c>
      <c r="S504" s="7">
        <f>'1 prepared data'!R497</f>
        <v/>
      </c>
      <c r="T504" s="7">
        <f>'1 prepared data'!S497</f>
        <v/>
      </c>
      <c r="U504" s="7">
        <f>'1 prepared data'!T497</f>
        <v/>
      </c>
      <c r="V504" s="8">
        <f>$AC$12+D504*$AC$13+E504*$AC$14+F504*$AC$15+G504*$AC$16+H504*$AC$17+I504*$AC$18+J504*$AC$19+K504*$AC$20+L504*$AC$21+M504*$AC$22+N504*$AC$23+O504*$AC$24+P504*$AC$25+Q504*$AC$26+R504*$AC$27+S504*$AC$28+T504*$AC$29+U504*$AC$30</f>
        <v/>
      </c>
      <c r="W504" s="8">
        <f>1/(1+EXP(-V504))</f>
        <v/>
      </c>
      <c r="X504" s="9">
        <f>-IF(C504=1,LN(W504),LN(1-W504))</f>
        <v/>
      </c>
      <c r="Y504" s="10">
        <f>IF(W504&gt;$AC$33,1,0)</f>
        <v/>
      </c>
      <c r="Z504">
        <f>IF(Y504=C504,1,0)</f>
        <v/>
      </c>
    </row>
    <row r="505">
      <c r="A505">
        <f>'1 prepared data'!A498</f>
        <v/>
      </c>
      <c r="B505" s="5">
        <f>'1 prepared data'!U498</f>
        <v/>
      </c>
      <c r="C505">
        <f>'1 prepared data'!B498</f>
        <v/>
      </c>
      <c r="D505" s="7">
        <f>'1 prepared data'!C498</f>
        <v/>
      </c>
      <c r="E505" s="7">
        <f>'1 prepared data'!D498</f>
        <v/>
      </c>
      <c r="F505" s="7">
        <f>'1 prepared data'!E498</f>
        <v/>
      </c>
      <c r="G505" s="7">
        <f>'1 prepared data'!F498</f>
        <v/>
      </c>
      <c r="H505" s="7">
        <f>'1 prepared data'!G498</f>
        <v/>
      </c>
      <c r="I505" s="7">
        <f>'1 prepared data'!H498</f>
        <v/>
      </c>
      <c r="J505" s="7">
        <f>'1 prepared data'!I498</f>
        <v/>
      </c>
      <c r="K505" s="7">
        <f>'1 prepared data'!J498</f>
        <v/>
      </c>
      <c r="L505" s="7">
        <f>'1 prepared data'!K498</f>
        <v/>
      </c>
      <c r="M505" s="7">
        <f>'1 prepared data'!L498</f>
        <v/>
      </c>
      <c r="N505" s="7">
        <f>'1 prepared data'!M498</f>
        <v/>
      </c>
      <c r="O505" s="7">
        <f>'1 prepared data'!N498</f>
        <v/>
      </c>
      <c r="P505" s="7">
        <f>'1 prepared data'!O498</f>
        <v/>
      </c>
      <c r="Q505" s="7">
        <f>'1 prepared data'!P498</f>
        <v/>
      </c>
      <c r="R505" s="7">
        <f>'1 prepared data'!Q498</f>
        <v/>
      </c>
      <c r="S505" s="7">
        <f>'1 prepared data'!R498</f>
        <v/>
      </c>
      <c r="T505" s="7">
        <f>'1 prepared data'!S498</f>
        <v/>
      </c>
      <c r="U505" s="7">
        <f>'1 prepared data'!T498</f>
        <v/>
      </c>
      <c r="V505" s="8">
        <f>$AC$12+D505*$AC$13+E505*$AC$14+F505*$AC$15+G505*$AC$16+H505*$AC$17+I505*$AC$18+J505*$AC$19+K505*$AC$20+L505*$AC$21+M505*$AC$22+N505*$AC$23+O505*$AC$24+P505*$AC$25+Q505*$AC$26+R505*$AC$27+S505*$AC$28+T505*$AC$29+U505*$AC$30</f>
        <v/>
      </c>
      <c r="W505" s="8">
        <f>1/(1+EXP(-V505))</f>
        <v/>
      </c>
      <c r="X505" s="9">
        <f>-IF(C505=1,LN(W505),LN(1-W505))</f>
        <v/>
      </c>
      <c r="Y505" s="10">
        <f>IF(W505&gt;$AC$33,1,0)</f>
        <v/>
      </c>
      <c r="Z505">
        <f>IF(Y505=C505,1,0)</f>
        <v/>
      </c>
    </row>
    <row r="506">
      <c r="A506">
        <f>'1 prepared data'!A499</f>
        <v/>
      </c>
      <c r="B506" s="5">
        <f>'1 prepared data'!U499</f>
        <v/>
      </c>
      <c r="C506">
        <f>'1 prepared data'!B499</f>
        <v/>
      </c>
      <c r="D506" s="7">
        <f>'1 prepared data'!C499</f>
        <v/>
      </c>
      <c r="E506" s="7">
        <f>'1 prepared data'!D499</f>
        <v/>
      </c>
      <c r="F506" s="7">
        <f>'1 prepared data'!E499</f>
        <v/>
      </c>
      <c r="G506" s="7">
        <f>'1 prepared data'!F499</f>
        <v/>
      </c>
      <c r="H506" s="7">
        <f>'1 prepared data'!G499</f>
        <v/>
      </c>
      <c r="I506" s="7">
        <f>'1 prepared data'!H499</f>
        <v/>
      </c>
      <c r="J506" s="7">
        <f>'1 prepared data'!I499</f>
        <v/>
      </c>
      <c r="K506" s="7">
        <f>'1 prepared data'!J499</f>
        <v/>
      </c>
      <c r="L506" s="7">
        <f>'1 prepared data'!K499</f>
        <v/>
      </c>
      <c r="M506" s="7">
        <f>'1 prepared data'!L499</f>
        <v/>
      </c>
      <c r="N506" s="7">
        <f>'1 prepared data'!M499</f>
        <v/>
      </c>
      <c r="O506" s="7">
        <f>'1 prepared data'!N499</f>
        <v/>
      </c>
      <c r="P506" s="7">
        <f>'1 prepared data'!O499</f>
        <v/>
      </c>
      <c r="Q506" s="7">
        <f>'1 prepared data'!P499</f>
        <v/>
      </c>
      <c r="R506" s="7">
        <f>'1 prepared data'!Q499</f>
        <v/>
      </c>
      <c r="S506" s="7">
        <f>'1 prepared data'!R499</f>
        <v/>
      </c>
      <c r="T506" s="7">
        <f>'1 prepared data'!S499</f>
        <v/>
      </c>
      <c r="U506" s="7">
        <f>'1 prepared data'!T499</f>
        <v/>
      </c>
      <c r="V506" s="8">
        <f>$AC$12+D506*$AC$13+E506*$AC$14+F506*$AC$15+G506*$AC$16+H506*$AC$17+I506*$AC$18+J506*$AC$19+K506*$AC$20+L506*$AC$21+M506*$AC$22+N506*$AC$23+O506*$AC$24+P506*$AC$25+Q506*$AC$26+R506*$AC$27+S506*$AC$28+T506*$AC$29+U506*$AC$30</f>
        <v/>
      </c>
      <c r="W506" s="8">
        <f>1/(1+EXP(-V506))</f>
        <v/>
      </c>
      <c r="X506" s="9">
        <f>-IF(C506=1,LN(W506),LN(1-W506))</f>
        <v/>
      </c>
      <c r="Y506" s="10">
        <f>IF(W506&gt;$AC$33,1,0)</f>
        <v/>
      </c>
      <c r="Z506">
        <f>IF(Y506=C506,1,0)</f>
        <v/>
      </c>
    </row>
    <row r="507">
      <c r="A507">
        <f>'1 prepared data'!A500</f>
        <v/>
      </c>
      <c r="B507" s="5">
        <f>'1 prepared data'!U500</f>
        <v/>
      </c>
      <c r="C507">
        <f>'1 prepared data'!B500</f>
        <v/>
      </c>
      <c r="D507" s="7">
        <f>'1 prepared data'!C500</f>
        <v/>
      </c>
      <c r="E507" s="7">
        <f>'1 prepared data'!D500</f>
        <v/>
      </c>
      <c r="F507" s="7">
        <f>'1 prepared data'!E500</f>
        <v/>
      </c>
      <c r="G507" s="7">
        <f>'1 prepared data'!F500</f>
        <v/>
      </c>
      <c r="H507" s="7">
        <f>'1 prepared data'!G500</f>
        <v/>
      </c>
      <c r="I507" s="7">
        <f>'1 prepared data'!H500</f>
        <v/>
      </c>
      <c r="J507" s="7">
        <f>'1 prepared data'!I500</f>
        <v/>
      </c>
      <c r="K507" s="7">
        <f>'1 prepared data'!J500</f>
        <v/>
      </c>
      <c r="L507" s="7">
        <f>'1 prepared data'!K500</f>
        <v/>
      </c>
      <c r="M507" s="7">
        <f>'1 prepared data'!L500</f>
        <v/>
      </c>
      <c r="N507" s="7">
        <f>'1 prepared data'!M500</f>
        <v/>
      </c>
      <c r="O507" s="7">
        <f>'1 prepared data'!N500</f>
        <v/>
      </c>
      <c r="P507" s="7">
        <f>'1 prepared data'!O500</f>
        <v/>
      </c>
      <c r="Q507" s="7">
        <f>'1 prepared data'!P500</f>
        <v/>
      </c>
      <c r="R507" s="7">
        <f>'1 prepared data'!Q500</f>
        <v/>
      </c>
      <c r="S507" s="7">
        <f>'1 prepared data'!R500</f>
        <v/>
      </c>
      <c r="T507" s="7">
        <f>'1 prepared data'!S500</f>
        <v/>
      </c>
      <c r="U507" s="7">
        <f>'1 prepared data'!T500</f>
        <v/>
      </c>
      <c r="V507" s="8">
        <f>$AC$12+D507*$AC$13+E507*$AC$14+F507*$AC$15+G507*$AC$16+H507*$AC$17+I507*$AC$18+J507*$AC$19+K507*$AC$20+L507*$AC$21+M507*$AC$22+N507*$AC$23+O507*$AC$24+P507*$AC$25+Q507*$AC$26+R507*$AC$27+S507*$AC$28+T507*$AC$29+U507*$AC$30</f>
        <v/>
      </c>
      <c r="W507" s="8">
        <f>1/(1+EXP(-V507))</f>
        <v/>
      </c>
      <c r="X507" s="9">
        <f>-IF(C507=1,LN(W507),LN(1-W507))</f>
        <v/>
      </c>
      <c r="Y507" s="10">
        <f>IF(W507&gt;$AC$33,1,0)</f>
        <v/>
      </c>
      <c r="Z507">
        <f>IF(Y507=C507,1,0)</f>
        <v/>
      </c>
    </row>
    <row r="508">
      <c r="A508">
        <f>'1 prepared data'!A501</f>
        <v/>
      </c>
      <c r="B508" s="5">
        <f>'1 prepared data'!U501</f>
        <v/>
      </c>
      <c r="C508">
        <f>'1 prepared data'!B501</f>
        <v/>
      </c>
      <c r="D508" s="7">
        <f>'1 prepared data'!C501</f>
        <v/>
      </c>
      <c r="E508" s="7">
        <f>'1 prepared data'!D501</f>
        <v/>
      </c>
      <c r="F508" s="7">
        <f>'1 prepared data'!E501</f>
        <v/>
      </c>
      <c r="G508" s="7">
        <f>'1 prepared data'!F501</f>
        <v/>
      </c>
      <c r="H508" s="7">
        <f>'1 prepared data'!G501</f>
        <v/>
      </c>
      <c r="I508" s="7">
        <f>'1 prepared data'!H501</f>
        <v/>
      </c>
      <c r="J508" s="7">
        <f>'1 prepared data'!I501</f>
        <v/>
      </c>
      <c r="K508" s="7">
        <f>'1 prepared data'!J501</f>
        <v/>
      </c>
      <c r="L508" s="7">
        <f>'1 prepared data'!K501</f>
        <v/>
      </c>
      <c r="M508" s="7">
        <f>'1 prepared data'!L501</f>
        <v/>
      </c>
      <c r="N508" s="7">
        <f>'1 prepared data'!M501</f>
        <v/>
      </c>
      <c r="O508" s="7">
        <f>'1 prepared data'!N501</f>
        <v/>
      </c>
      <c r="P508" s="7">
        <f>'1 prepared data'!O501</f>
        <v/>
      </c>
      <c r="Q508" s="7">
        <f>'1 prepared data'!P501</f>
        <v/>
      </c>
      <c r="R508" s="7">
        <f>'1 prepared data'!Q501</f>
        <v/>
      </c>
      <c r="S508" s="7">
        <f>'1 prepared data'!R501</f>
        <v/>
      </c>
      <c r="T508" s="7">
        <f>'1 prepared data'!S501</f>
        <v/>
      </c>
      <c r="U508" s="7">
        <f>'1 prepared data'!T501</f>
        <v/>
      </c>
      <c r="V508" s="8">
        <f>$AC$12+D508*$AC$13+E508*$AC$14+F508*$AC$15+G508*$AC$16+H508*$AC$17+I508*$AC$18+J508*$AC$19+K508*$AC$20+L508*$AC$21+M508*$AC$22+N508*$AC$23+O508*$AC$24+P508*$AC$25+Q508*$AC$26+R508*$AC$27+S508*$AC$28+T508*$AC$29+U508*$AC$30</f>
        <v/>
      </c>
      <c r="W508" s="8">
        <f>1/(1+EXP(-V508))</f>
        <v/>
      </c>
      <c r="X508" s="9">
        <f>-IF(C508=1,LN(W508),LN(1-W508))</f>
        <v/>
      </c>
      <c r="Y508" s="10">
        <f>IF(W508&gt;$AC$33,1,0)</f>
        <v/>
      </c>
      <c r="Z508">
        <f>IF(Y508=C508,1,0)</f>
        <v/>
      </c>
    </row>
    <row r="509">
      <c r="A509">
        <f>'1 prepared data'!A502</f>
        <v/>
      </c>
      <c r="B509" s="5">
        <f>'1 prepared data'!U502</f>
        <v/>
      </c>
      <c r="C509">
        <f>'1 prepared data'!B502</f>
        <v/>
      </c>
      <c r="D509" s="7">
        <f>'1 prepared data'!C502</f>
        <v/>
      </c>
      <c r="E509" s="7">
        <f>'1 prepared data'!D502</f>
        <v/>
      </c>
      <c r="F509" s="7">
        <f>'1 prepared data'!E502</f>
        <v/>
      </c>
      <c r="G509" s="7">
        <f>'1 prepared data'!F502</f>
        <v/>
      </c>
      <c r="H509" s="7">
        <f>'1 prepared data'!G502</f>
        <v/>
      </c>
      <c r="I509" s="7">
        <f>'1 prepared data'!H502</f>
        <v/>
      </c>
      <c r="J509" s="7">
        <f>'1 prepared data'!I502</f>
        <v/>
      </c>
      <c r="K509" s="7">
        <f>'1 prepared data'!J502</f>
        <v/>
      </c>
      <c r="L509" s="7">
        <f>'1 prepared data'!K502</f>
        <v/>
      </c>
      <c r="M509" s="7">
        <f>'1 prepared data'!L502</f>
        <v/>
      </c>
      <c r="N509" s="7">
        <f>'1 prepared data'!M502</f>
        <v/>
      </c>
      <c r="O509" s="7">
        <f>'1 prepared data'!N502</f>
        <v/>
      </c>
      <c r="P509" s="7">
        <f>'1 prepared data'!O502</f>
        <v/>
      </c>
      <c r="Q509" s="7">
        <f>'1 prepared data'!P502</f>
        <v/>
      </c>
      <c r="R509" s="7">
        <f>'1 prepared data'!Q502</f>
        <v/>
      </c>
      <c r="S509" s="7">
        <f>'1 prepared data'!R502</f>
        <v/>
      </c>
      <c r="T509" s="7">
        <f>'1 prepared data'!S502</f>
        <v/>
      </c>
      <c r="U509" s="7">
        <f>'1 prepared data'!T502</f>
        <v/>
      </c>
      <c r="V509" s="8">
        <f>$AC$12+D509*$AC$13+E509*$AC$14+F509*$AC$15+G509*$AC$16+H509*$AC$17+I509*$AC$18+J509*$AC$19+K509*$AC$20+L509*$AC$21+M509*$AC$22+N509*$AC$23+O509*$AC$24+P509*$AC$25+Q509*$AC$26+R509*$AC$27+S509*$AC$28+T509*$AC$29+U509*$AC$30</f>
        <v/>
      </c>
      <c r="W509" s="8">
        <f>1/(1+EXP(-V509))</f>
        <v/>
      </c>
      <c r="X509" s="9">
        <f>-IF(C509=1,LN(W509),LN(1-W509))</f>
        <v/>
      </c>
      <c r="Y509" s="10">
        <f>IF(W509&gt;$AC$33,1,0)</f>
        <v/>
      </c>
      <c r="Z509">
        <f>IF(Y509=C509,1,0)</f>
        <v/>
      </c>
    </row>
    <row r="510">
      <c r="A510">
        <f>'1 prepared data'!A503</f>
        <v/>
      </c>
      <c r="B510" s="5">
        <f>'1 prepared data'!U503</f>
        <v/>
      </c>
      <c r="C510">
        <f>'1 prepared data'!B503</f>
        <v/>
      </c>
      <c r="D510" s="7">
        <f>'1 prepared data'!C503</f>
        <v/>
      </c>
      <c r="E510" s="7">
        <f>'1 prepared data'!D503</f>
        <v/>
      </c>
      <c r="F510" s="7">
        <f>'1 prepared data'!E503</f>
        <v/>
      </c>
      <c r="G510" s="7">
        <f>'1 prepared data'!F503</f>
        <v/>
      </c>
      <c r="H510" s="7">
        <f>'1 prepared data'!G503</f>
        <v/>
      </c>
      <c r="I510" s="7">
        <f>'1 prepared data'!H503</f>
        <v/>
      </c>
      <c r="J510" s="7">
        <f>'1 prepared data'!I503</f>
        <v/>
      </c>
      <c r="K510" s="7">
        <f>'1 prepared data'!J503</f>
        <v/>
      </c>
      <c r="L510" s="7">
        <f>'1 prepared data'!K503</f>
        <v/>
      </c>
      <c r="M510" s="7">
        <f>'1 prepared data'!L503</f>
        <v/>
      </c>
      <c r="N510" s="7">
        <f>'1 prepared data'!M503</f>
        <v/>
      </c>
      <c r="O510" s="7">
        <f>'1 prepared data'!N503</f>
        <v/>
      </c>
      <c r="P510" s="7">
        <f>'1 prepared data'!O503</f>
        <v/>
      </c>
      <c r="Q510" s="7">
        <f>'1 prepared data'!P503</f>
        <v/>
      </c>
      <c r="R510" s="7">
        <f>'1 prepared data'!Q503</f>
        <v/>
      </c>
      <c r="S510" s="7">
        <f>'1 prepared data'!R503</f>
        <v/>
      </c>
      <c r="T510" s="7">
        <f>'1 prepared data'!S503</f>
        <v/>
      </c>
      <c r="U510" s="7">
        <f>'1 prepared data'!T503</f>
        <v/>
      </c>
      <c r="V510" s="8">
        <f>$AC$12+D510*$AC$13+E510*$AC$14+F510*$AC$15+G510*$AC$16+H510*$AC$17+I510*$AC$18+J510*$AC$19+K510*$AC$20+L510*$AC$21+M510*$AC$22+N510*$AC$23+O510*$AC$24+P510*$AC$25+Q510*$AC$26+R510*$AC$27+S510*$AC$28+T510*$AC$29+U510*$AC$30</f>
        <v/>
      </c>
      <c r="W510" s="8">
        <f>1/(1+EXP(-V510))</f>
        <v/>
      </c>
      <c r="X510" s="9">
        <f>-IF(C510=1,LN(W510),LN(1-W510))</f>
        <v/>
      </c>
      <c r="Y510" s="10">
        <f>IF(W510&gt;$AC$33,1,0)</f>
        <v/>
      </c>
      <c r="Z510">
        <f>IF(Y510=C510,1,0)</f>
        <v/>
      </c>
    </row>
    <row r="511">
      <c r="A511">
        <f>'1 prepared data'!A504</f>
        <v/>
      </c>
      <c r="B511" s="5">
        <f>'1 prepared data'!U504</f>
        <v/>
      </c>
      <c r="C511">
        <f>'1 prepared data'!B504</f>
        <v/>
      </c>
      <c r="D511" s="7">
        <f>'1 prepared data'!C504</f>
        <v/>
      </c>
      <c r="E511" s="7">
        <f>'1 prepared data'!D504</f>
        <v/>
      </c>
      <c r="F511" s="7">
        <f>'1 prepared data'!E504</f>
        <v/>
      </c>
      <c r="G511" s="7">
        <f>'1 prepared data'!F504</f>
        <v/>
      </c>
      <c r="H511" s="7">
        <f>'1 prepared data'!G504</f>
        <v/>
      </c>
      <c r="I511" s="7">
        <f>'1 prepared data'!H504</f>
        <v/>
      </c>
      <c r="J511" s="7">
        <f>'1 prepared data'!I504</f>
        <v/>
      </c>
      <c r="K511" s="7">
        <f>'1 prepared data'!J504</f>
        <v/>
      </c>
      <c r="L511" s="7">
        <f>'1 prepared data'!K504</f>
        <v/>
      </c>
      <c r="M511" s="7">
        <f>'1 prepared data'!L504</f>
        <v/>
      </c>
      <c r="N511" s="7">
        <f>'1 prepared data'!M504</f>
        <v/>
      </c>
      <c r="O511" s="7">
        <f>'1 prepared data'!N504</f>
        <v/>
      </c>
      <c r="P511" s="7">
        <f>'1 prepared data'!O504</f>
        <v/>
      </c>
      <c r="Q511" s="7">
        <f>'1 prepared data'!P504</f>
        <v/>
      </c>
      <c r="R511" s="7">
        <f>'1 prepared data'!Q504</f>
        <v/>
      </c>
      <c r="S511" s="7">
        <f>'1 prepared data'!R504</f>
        <v/>
      </c>
      <c r="T511" s="7">
        <f>'1 prepared data'!S504</f>
        <v/>
      </c>
      <c r="U511" s="7">
        <f>'1 prepared data'!T504</f>
        <v/>
      </c>
      <c r="V511" s="8">
        <f>$AC$12+D511*$AC$13+E511*$AC$14+F511*$AC$15+G511*$AC$16+H511*$AC$17+I511*$AC$18+J511*$AC$19+K511*$AC$20+L511*$AC$21+M511*$AC$22+N511*$AC$23+O511*$AC$24+P511*$AC$25+Q511*$AC$26+R511*$AC$27+S511*$AC$28+T511*$AC$29+U511*$AC$30</f>
        <v/>
      </c>
      <c r="W511" s="8">
        <f>1/(1+EXP(-V511))</f>
        <v/>
      </c>
      <c r="X511" s="9">
        <f>-IF(C511=1,LN(W511),LN(1-W511))</f>
        <v/>
      </c>
      <c r="Y511" s="10">
        <f>IF(W511&gt;$AC$33,1,0)</f>
        <v/>
      </c>
      <c r="Z511">
        <f>IF(Y511=C511,1,0)</f>
        <v/>
      </c>
    </row>
    <row r="512">
      <c r="A512">
        <f>'1 prepared data'!A505</f>
        <v/>
      </c>
      <c r="B512" s="5">
        <f>'1 prepared data'!U505</f>
        <v/>
      </c>
      <c r="C512">
        <f>'1 prepared data'!B505</f>
        <v/>
      </c>
      <c r="D512" s="7">
        <f>'1 prepared data'!C505</f>
        <v/>
      </c>
      <c r="E512" s="7">
        <f>'1 prepared data'!D505</f>
        <v/>
      </c>
      <c r="F512" s="7">
        <f>'1 prepared data'!E505</f>
        <v/>
      </c>
      <c r="G512" s="7">
        <f>'1 prepared data'!F505</f>
        <v/>
      </c>
      <c r="H512" s="7">
        <f>'1 prepared data'!G505</f>
        <v/>
      </c>
      <c r="I512" s="7">
        <f>'1 prepared data'!H505</f>
        <v/>
      </c>
      <c r="J512" s="7">
        <f>'1 prepared data'!I505</f>
        <v/>
      </c>
      <c r="K512" s="7">
        <f>'1 prepared data'!J505</f>
        <v/>
      </c>
      <c r="L512" s="7">
        <f>'1 prepared data'!K505</f>
        <v/>
      </c>
      <c r="M512" s="7">
        <f>'1 prepared data'!L505</f>
        <v/>
      </c>
      <c r="N512" s="7">
        <f>'1 prepared data'!M505</f>
        <v/>
      </c>
      <c r="O512" s="7">
        <f>'1 prepared data'!N505</f>
        <v/>
      </c>
      <c r="P512" s="7">
        <f>'1 prepared data'!O505</f>
        <v/>
      </c>
      <c r="Q512" s="7">
        <f>'1 prepared data'!P505</f>
        <v/>
      </c>
      <c r="R512" s="7">
        <f>'1 prepared data'!Q505</f>
        <v/>
      </c>
      <c r="S512" s="7">
        <f>'1 prepared data'!R505</f>
        <v/>
      </c>
      <c r="T512" s="7">
        <f>'1 prepared data'!S505</f>
        <v/>
      </c>
      <c r="U512" s="7">
        <f>'1 prepared data'!T505</f>
        <v/>
      </c>
      <c r="V512" s="8">
        <f>$AC$12+D512*$AC$13+E512*$AC$14+F512*$AC$15+G512*$AC$16+H512*$AC$17+I512*$AC$18+J512*$AC$19+K512*$AC$20+L512*$AC$21+M512*$AC$22+N512*$AC$23+O512*$AC$24+P512*$AC$25+Q512*$AC$26+R512*$AC$27+S512*$AC$28+T512*$AC$29+U512*$AC$30</f>
        <v/>
      </c>
      <c r="W512" s="8">
        <f>1/(1+EXP(-V512))</f>
        <v/>
      </c>
      <c r="X512" s="9">
        <f>-IF(C512=1,LN(W512),LN(1-W512))</f>
        <v/>
      </c>
      <c r="Y512" s="10">
        <f>IF(W512&gt;$AC$33,1,0)</f>
        <v/>
      </c>
      <c r="Z512">
        <f>IF(Y512=C512,1,0)</f>
        <v/>
      </c>
    </row>
    <row r="513">
      <c r="A513">
        <f>'1 prepared data'!A506</f>
        <v/>
      </c>
      <c r="B513" s="5">
        <f>'1 prepared data'!U506</f>
        <v/>
      </c>
      <c r="C513">
        <f>'1 prepared data'!B506</f>
        <v/>
      </c>
      <c r="D513" s="7">
        <f>'1 prepared data'!C506</f>
        <v/>
      </c>
      <c r="E513" s="7">
        <f>'1 prepared data'!D506</f>
        <v/>
      </c>
      <c r="F513" s="7">
        <f>'1 prepared data'!E506</f>
        <v/>
      </c>
      <c r="G513" s="7">
        <f>'1 prepared data'!F506</f>
        <v/>
      </c>
      <c r="H513" s="7">
        <f>'1 prepared data'!G506</f>
        <v/>
      </c>
      <c r="I513" s="7">
        <f>'1 prepared data'!H506</f>
        <v/>
      </c>
      <c r="J513" s="7">
        <f>'1 prepared data'!I506</f>
        <v/>
      </c>
      <c r="K513" s="7">
        <f>'1 prepared data'!J506</f>
        <v/>
      </c>
      <c r="L513" s="7">
        <f>'1 prepared data'!K506</f>
        <v/>
      </c>
      <c r="M513" s="7">
        <f>'1 prepared data'!L506</f>
        <v/>
      </c>
      <c r="N513" s="7">
        <f>'1 prepared data'!M506</f>
        <v/>
      </c>
      <c r="O513" s="7">
        <f>'1 prepared data'!N506</f>
        <v/>
      </c>
      <c r="P513" s="7">
        <f>'1 prepared data'!O506</f>
        <v/>
      </c>
      <c r="Q513" s="7">
        <f>'1 prepared data'!P506</f>
        <v/>
      </c>
      <c r="R513" s="7">
        <f>'1 prepared data'!Q506</f>
        <v/>
      </c>
      <c r="S513" s="7">
        <f>'1 prepared data'!R506</f>
        <v/>
      </c>
      <c r="T513" s="7">
        <f>'1 prepared data'!S506</f>
        <v/>
      </c>
      <c r="U513" s="7">
        <f>'1 prepared data'!T506</f>
        <v/>
      </c>
      <c r="V513" s="8">
        <f>$AC$12+D513*$AC$13+E513*$AC$14+F513*$AC$15+G513*$AC$16+H513*$AC$17+I513*$AC$18+J513*$AC$19+K513*$AC$20+L513*$AC$21+M513*$AC$22+N513*$AC$23+O513*$AC$24+P513*$AC$25+Q513*$AC$26+R513*$AC$27+S513*$AC$28+T513*$AC$29+U513*$AC$30</f>
        <v/>
      </c>
      <c r="W513" s="8">
        <f>1/(1+EXP(-V513))</f>
        <v/>
      </c>
      <c r="X513" s="9">
        <f>-IF(C513=1,LN(W513),LN(1-W513))</f>
        <v/>
      </c>
      <c r="Y513" s="10">
        <f>IF(W513&gt;$AC$33,1,0)</f>
        <v/>
      </c>
      <c r="Z513">
        <f>IF(Y513=C513,1,0)</f>
        <v/>
      </c>
    </row>
    <row r="514">
      <c r="A514">
        <f>'1 prepared data'!A507</f>
        <v/>
      </c>
      <c r="B514" s="5">
        <f>'1 prepared data'!U507</f>
        <v/>
      </c>
      <c r="C514">
        <f>'1 prepared data'!B507</f>
        <v/>
      </c>
      <c r="D514" s="7">
        <f>'1 prepared data'!C507</f>
        <v/>
      </c>
      <c r="E514" s="7">
        <f>'1 prepared data'!D507</f>
        <v/>
      </c>
      <c r="F514" s="7">
        <f>'1 prepared data'!E507</f>
        <v/>
      </c>
      <c r="G514" s="7">
        <f>'1 prepared data'!F507</f>
        <v/>
      </c>
      <c r="H514" s="7">
        <f>'1 prepared data'!G507</f>
        <v/>
      </c>
      <c r="I514" s="7">
        <f>'1 prepared data'!H507</f>
        <v/>
      </c>
      <c r="J514" s="7">
        <f>'1 prepared data'!I507</f>
        <v/>
      </c>
      <c r="K514" s="7">
        <f>'1 prepared data'!J507</f>
        <v/>
      </c>
      <c r="L514" s="7">
        <f>'1 prepared data'!K507</f>
        <v/>
      </c>
      <c r="M514" s="7">
        <f>'1 prepared data'!L507</f>
        <v/>
      </c>
      <c r="N514" s="7">
        <f>'1 prepared data'!M507</f>
        <v/>
      </c>
      <c r="O514" s="7">
        <f>'1 prepared data'!N507</f>
        <v/>
      </c>
      <c r="P514" s="7">
        <f>'1 prepared data'!O507</f>
        <v/>
      </c>
      <c r="Q514" s="7">
        <f>'1 prepared data'!P507</f>
        <v/>
      </c>
      <c r="R514" s="7">
        <f>'1 prepared data'!Q507</f>
        <v/>
      </c>
      <c r="S514" s="7">
        <f>'1 prepared data'!R507</f>
        <v/>
      </c>
      <c r="T514" s="7">
        <f>'1 prepared data'!S507</f>
        <v/>
      </c>
      <c r="U514" s="7">
        <f>'1 prepared data'!T507</f>
        <v/>
      </c>
      <c r="V514" s="8">
        <f>$AC$12+D514*$AC$13+E514*$AC$14+F514*$AC$15+G514*$AC$16+H514*$AC$17+I514*$AC$18+J514*$AC$19+K514*$AC$20+L514*$AC$21+M514*$AC$22+N514*$AC$23+O514*$AC$24+P514*$AC$25+Q514*$AC$26+R514*$AC$27+S514*$AC$28+T514*$AC$29+U514*$AC$30</f>
        <v/>
      </c>
      <c r="W514" s="8">
        <f>1/(1+EXP(-V514))</f>
        <v/>
      </c>
      <c r="X514" s="9">
        <f>-IF(C514=1,LN(W514),LN(1-W514))</f>
        <v/>
      </c>
      <c r="Y514" s="10">
        <f>IF(W514&gt;$AC$33,1,0)</f>
        <v/>
      </c>
      <c r="Z514">
        <f>IF(Y514=C514,1,0)</f>
        <v/>
      </c>
    </row>
    <row r="515">
      <c r="A515">
        <f>'1 prepared data'!A508</f>
        <v/>
      </c>
      <c r="B515" s="5">
        <f>'1 prepared data'!U508</f>
        <v/>
      </c>
      <c r="C515">
        <f>'1 prepared data'!B508</f>
        <v/>
      </c>
      <c r="D515" s="7">
        <f>'1 prepared data'!C508</f>
        <v/>
      </c>
      <c r="E515" s="7">
        <f>'1 prepared data'!D508</f>
        <v/>
      </c>
      <c r="F515" s="7">
        <f>'1 prepared data'!E508</f>
        <v/>
      </c>
      <c r="G515" s="7">
        <f>'1 prepared data'!F508</f>
        <v/>
      </c>
      <c r="H515" s="7">
        <f>'1 prepared data'!G508</f>
        <v/>
      </c>
      <c r="I515" s="7">
        <f>'1 prepared data'!H508</f>
        <v/>
      </c>
      <c r="J515" s="7">
        <f>'1 prepared data'!I508</f>
        <v/>
      </c>
      <c r="K515" s="7">
        <f>'1 prepared data'!J508</f>
        <v/>
      </c>
      <c r="L515" s="7">
        <f>'1 prepared data'!K508</f>
        <v/>
      </c>
      <c r="M515" s="7">
        <f>'1 prepared data'!L508</f>
        <v/>
      </c>
      <c r="N515" s="7">
        <f>'1 prepared data'!M508</f>
        <v/>
      </c>
      <c r="O515" s="7">
        <f>'1 prepared data'!N508</f>
        <v/>
      </c>
      <c r="P515" s="7">
        <f>'1 prepared data'!O508</f>
        <v/>
      </c>
      <c r="Q515" s="7">
        <f>'1 prepared data'!P508</f>
        <v/>
      </c>
      <c r="R515" s="7">
        <f>'1 prepared data'!Q508</f>
        <v/>
      </c>
      <c r="S515" s="7">
        <f>'1 prepared data'!R508</f>
        <v/>
      </c>
      <c r="T515" s="7">
        <f>'1 prepared data'!S508</f>
        <v/>
      </c>
      <c r="U515" s="7">
        <f>'1 prepared data'!T508</f>
        <v/>
      </c>
      <c r="V515" s="8">
        <f>$AC$12+D515*$AC$13+E515*$AC$14+F515*$AC$15+G515*$AC$16+H515*$AC$17+I515*$AC$18+J515*$AC$19+K515*$AC$20+L515*$AC$21+M515*$AC$22+N515*$AC$23+O515*$AC$24+P515*$AC$25+Q515*$AC$26+R515*$AC$27+S515*$AC$28+T515*$AC$29+U515*$AC$30</f>
        <v/>
      </c>
      <c r="W515" s="8">
        <f>1/(1+EXP(-V515))</f>
        <v/>
      </c>
      <c r="X515" s="9">
        <f>-IF(C515=1,LN(W515),LN(1-W515))</f>
        <v/>
      </c>
      <c r="Y515" s="10">
        <f>IF(W515&gt;$AC$33,1,0)</f>
        <v/>
      </c>
      <c r="Z515">
        <f>IF(Y515=C515,1,0)</f>
        <v/>
      </c>
    </row>
    <row r="516">
      <c r="A516">
        <f>'1 prepared data'!A509</f>
        <v/>
      </c>
      <c r="B516" s="5">
        <f>'1 prepared data'!U509</f>
        <v/>
      </c>
      <c r="C516">
        <f>'1 prepared data'!B509</f>
        <v/>
      </c>
      <c r="D516" s="7">
        <f>'1 prepared data'!C509</f>
        <v/>
      </c>
      <c r="E516" s="7">
        <f>'1 prepared data'!D509</f>
        <v/>
      </c>
      <c r="F516" s="7">
        <f>'1 prepared data'!E509</f>
        <v/>
      </c>
      <c r="G516" s="7">
        <f>'1 prepared data'!F509</f>
        <v/>
      </c>
      <c r="H516" s="7">
        <f>'1 prepared data'!G509</f>
        <v/>
      </c>
      <c r="I516" s="7">
        <f>'1 prepared data'!H509</f>
        <v/>
      </c>
      <c r="J516" s="7">
        <f>'1 prepared data'!I509</f>
        <v/>
      </c>
      <c r="K516" s="7">
        <f>'1 prepared data'!J509</f>
        <v/>
      </c>
      <c r="L516" s="7">
        <f>'1 prepared data'!K509</f>
        <v/>
      </c>
      <c r="M516" s="7">
        <f>'1 prepared data'!L509</f>
        <v/>
      </c>
      <c r="N516" s="7">
        <f>'1 prepared data'!M509</f>
        <v/>
      </c>
      <c r="O516" s="7">
        <f>'1 prepared data'!N509</f>
        <v/>
      </c>
      <c r="P516" s="7">
        <f>'1 prepared data'!O509</f>
        <v/>
      </c>
      <c r="Q516" s="7">
        <f>'1 prepared data'!P509</f>
        <v/>
      </c>
      <c r="R516" s="7">
        <f>'1 prepared data'!Q509</f>
        <v/>
      </c>
      <c r="S516" s="7">
        <f>'1 prepared data'!R509</f>
        <v/>
      </c>
      <c r="T516" s="7">
        <f>'1 prepared data'!S509</f>
        <v/>
      </c>
      <c r="U516" s="7">
        <f>'1 prepared data'!T509</f>
        <v/>
      </c>
      <c r="V516" s="8">
        <f>$AC$12+D516*$AC$13+E516*$AC$14+F516*$AC$15+G516*$AC$16+H516*$AC$17+I516*$AC$18+J516*$AC$19+K516*$AC$20+L516*$AC$21+M516*$AC$22+N516*$AC$23+O516*$AC$24+P516*$AC$25+Q516*$AC$26+R516*$AC$27+S516*$AC$28+T516*$AC$29+U516*$AC$30</f>
        <v/>
      </c>
      <c r="W516" s="8">
        <f>1/(1+EXP(-V516))</f>
        <v/>
      </c>
      <c r="X516" s="9">
        <f>-IF(C516=1,LN(W516),LN(1-W516))</f>
        <v/>
      </c>
      <c r="Y516" s="10">
        <f>IF(W516&gt;$AC$33,1,0)</f>
        <v/>
      </c>
      <c r="Z516">
        <f>IF(Y516=C516,1,0)</f>
        <v/>
      </c>
    </row>
    <row r="517">
      <c r="A517">
        <f>'1 prepared data'!A510</f>
        <v/>
      </c>
      <c r="B517" s="5">
        <f>'1 prepared data'!U510</f>
        <v/>
      </c>
      <c r="C517">
        <f>'1 prepared data'!B510</f>
        <v/>
      </c>
      <c r="D517" s="7">
        <f>'1 prepared data'!C510</f>
        <v/>
      </c>
      <c r="E517" s="7">
        <f>'1 prepared data'!D510</f>
        <v/>
      </c>
      <c r="F517" s="7">
        <f>'1 prepared data'!E510</f>
        <v/>
      </c>
      <c r="G517" s="7">
        <f>'1 prepared data'!F510</f>
        <v/>
      </c>
      <c r="H517" s="7">
        <f>'1 prepared data'!G510</f>
        <v/>
      </c>
      <c r="I517" s="7">
        <f>'1 prepared data'!H510</f>
        <v/>
      </c>
      <c r="J517" s="7">
        <f>'1 prepared data'!I510</f>
        <v/>
      </c>
      <c r="K517" s="7">
        <f>'1 prepared data'!J510</f>
        <v/>
      </c>
      <c r="L517" s="7">
        <f>'1 prepared data'!K510</f>
        <v/>
      </c>
      <c r="M517" s="7">
        <f>'1 prepared data'!L510</f>
        <v/>
      </c>
      <c r="N517" s="7">
        <f>'1 prepared data'!M510</f>
        <v/>
      </c>
      <c r="O517" s="7">
        <f>'1 prepared data'!N510</f>
        <v/>
      </c>
      <c r="P517" s="7">
        <f>'1 prepared data'!O510</f>
        <v/>
      </c>
      <c r="Q517" s="7">
        <f>'1 prepared data'!P510</f>
        <v/>
      </c>
      <c r="R517" s="7">
        <f>'1 prepared data'!Q510</f>
        <v/>
      </c>
      <c r="S517" s="7">
        <f>'1 prepared data'!R510</f>
        <v/>
      </c>
      <c r="T517" s="7">
        <f>'1 prepared data'!S510</f>
        <v/>
      </c>
      <c r="U517" s="7">
        <f>'1 prepared data'!T510</f>
        <v/>
      </c>
      <c r="V517" s="8">
        <f>$AC$12+D517*$AC$13+E517*$AC$14+F517*$AC$15+G517*$AC$16+H517*$AC$17+I517*$AC$18+J517*$AC$19+K517*$AC$20+L517*$AC$21+M517*$AC$22+N517*$AC$23+O517*$AC$24+P517*$AC$25+Q517*$AC$26+R517*$AC$27+S517*$AC$28+T517*$AC$29+U517*$AC$30</f>
        <v/>
      </c>
      <c r="W517" s="8">
        <f>1/(1+EXP(-V517))</f>
        <v/>
      </c>
      <c r="X517" s="9">
        <f>-IF(C517=1,LN(W517),LN(1-W517))</f>
        <v/>
      </c>
      <c r="Y517" s="10">
        <f>IF(W517&gt;$AC$33,1,0)</f>
        <v/>
      </c>
      <c r="Z517">
        <f>IF(Y517=C517,1,0)</f>
        <v/>
      </c>
    </row>
    <row r="518">
      <c r="A518">
        <f>'1 prepared data'!A511</f>
        <v/>
      </c>
      <c r="B518" s="5">
        <f>'1 prepared data'!U511</f>
        <v/>
      </c>
      <c r="C518">
        <f>'1 prepared data'!B511</f>
        <v/>
      </c>
      <c r="D518" s="7">
        <f>'1 prepared data'!C511</f>
        <v/>
      </c>
      <c r="E518" s="7">
        <f>'1 prepared data'!D511</f>
        <v/>
      </c>
      <c r="F518" s="7">
        <f>'1 prepared data'!E511</f>
        <v/>
      </c>
      <c r="G518" s="7">
        <f>'1 prepared data'!F511</f>
        <v/>
      </c>
      <c r="H518" s="7">
        <f>'1 prepared data'!G511</f>
        <v/>
      </c>
      <c r="I518" s="7">
        <f>'1 prepared data'!H511</f>
        <v/>
      </c>
      <c r="J518" s="7">
        <f>'1 prepared data'!I511</f>
        <v/>
      </c>
      <c r="K518" s="7">
        <f>'1 prepared data'!J511</f>
        <v/>
      </c>
      <c r="L518" s="7">
        <f>'1 prepared data'!K511</f>
        <v/>
      </c>
      <c r="M518" s="7">
        <f>'1 prepared data'!L511</f>
        <v/>
      </c>
      <c r="N518" s="7">
        <f>'1 prepared data'!M511</f>
        <v/>
      </c>
      <c r="O518" s="7">
        <f>'1 prepared data'!N511</f>
        <v/>
      </c>
      <c r="P518" s="7">
        <f>'1 prepared data'!O511</f>
        <v/>
      </c>
      <c r="Q518" s="7">
        <f>'1 prepared data'!P511</f>
        <v/>
      </c>
      <c r="R518" s="7">
        <f>'1 prepared data'!Q511</f>
        <v/>
      </c>
      <c r="S518" s="7">
        <f>'1 prepared data'!R511</f>
        <v/>
      </c>
      <c r="T518" s="7">
        <f>'1 prepared data'!S511</f>
        <v/>
      </c>
      <c r="U518" s="7">
        <f>'1 prepared data'!T511</f>
        <v/>
      </c>
      <c r="V518" s="8">
        <f>$AC$12+D518*$AC$13+E518*$AC$14+F518*$AC$15+G518*$AC$16+H518*$AC$17+I518*$AC$18+J518*$AC$19+K518*$AC$20+L518*$AC$21+M518*$AC$22+N518*$AC$23+O518*$AC$24+P518*$AC$25+Q518*$AC$26+R518*$AC$27+S518*$AC$28+T518*$AC$29+U518*$AC$30</f>
        <v/>
      </c>
      <c r="W518" s="8">
        <f>1/(1+EXP(-V518))</f>
        <v/>
      </c>
      <c r="X518" s="9">
        <f>-IF(C518=1,LN(W518),LN(1-W518))</f>
        <v/>
      </c>
      <c r="Y518" s="10">
        <f>IF(W518&gt;$AC$33,1,0)</f>
        <v/>
      </c>
      <c r="Z518">
        <f>IF(Y518=C518,1,0)</f>
        <v/>
      </c>
    </row>
    <row r="519">
      <c r="A519">
        <f>'1 prepared data'!A512</f>
        <v/>
      </c>
      <c r="B519" s="5">
        <f>'1 prepared data'!U512</f>
        <v/>
      </c>
      <c r="C519">
        <f>'1 prepared data'!B512</f>
        <v/>
      </c>
      <c r="D519" s="7">
        <f>'1 prepared data'!C512</f>
        <v/>
      </c>
      <c r="E519" s="7">
        <f>'1 prepared data'!D512</f>
        <v/>
      </c>
      <c r="F519" s="7">
        <f>'1 prepared data'!E512</f>
        <v/>
      </c>
      <c r="G519" s="7">
        <f>'1 prepared data'!F512</f>
        <v/>
      </c>
      <c r="H519" s="7">
        <f>'1 prepared data'!G512</f>
        <v/>
      </c>
      <c r="I519" s="7">
        <f>'1 prepared data'!H512</f>
        <v/>
      </c>
      <c r="J519" s="7">
        <f>'1 prepared data'!I512</f>
        <v/>
      </c>
      <c r="K519" s="7">
        <f>'1 prepared data'!J512</f>
        <v/>
      </c>
      <c r="L519" s="7">
        <f>'1 prepared data'!K512</f>
        <v/>
      </c>
      <c r="M519" s="7">
        <f>'1 prepared data'!L512</f>
        <v/>
      </c>
      <c r="N519" s="7">
        <f>'1 prepared data'!M512</f>
        <v/>
      </c>
      <c r="O519" s="7">
        <f>'1 prepared data'!N512</f>
        <v/>
      </c>
      <c r="P519" s="7">
        <f>'1 prepared data'!O512</f>
        <v/>
      </c>
      <c r="Q519" s="7">
        <f>'1 prepared data'!P512</f>
        <v/>
      </c>
      <c r="R519" s="7">
        <f>'1 prepared data'!Q512</f>
        <v/>
      </c>
      <c r="S519" s="7">
        <f>'1 prepared data'!R512</f>
        <v/>
      </c>
      <c r="T519" s="7">
        <f>'1 prepared data'!S512</f>
        <v/>
      </c>
      <c r="U519" s="7">
        <f>'1 prepared data'!T512</f>
        <v/>
      </c>
      <c r="V519" s="8">
        <f>$AC$12+D519*$AC$13+E519*$AC$14+F519*$AC$15+G519*$AC$16+H519*$AC$17+I519*$AC$18+J519*$AC$19+K519*$AC$20+L519*$AC$21+M519*$AC$22+N519*$AC$23+O519*$AC$24+P519*$AC$25+Q519*$AC$26+R519*$AC$27+S519*$AC$28+T519*$AC$29+U519*$AC$30</f>
        <v/>
      </c>
      <c r="W519" s="8">
        <f>1/(1+EXP(-V519))</f>
        <v/>
      </c>
      <c r="X519" s="9">
        <f>-IF(C519=1,LN(W519),LN(1-W519))</f>
        <v/>
      </c>
      <c r="Y519" s="10">
        <f>IF(W519&gt;$AC$33,1,0)</f>
        <v/>
      </c>
      <c r="Z519">
        <f>IF(Y519=C519,1,0)</f>
        <v/>
      </c>
    </row>
    <row r="520">
      <c r="A520">
        <f>'1 prepared data'!A513</f>
        <v/>
      </c>
      <c r="B520" s="5">
        <f>'1 prepared data'!U513</f>
        <v/>
      </c>
      <c r="C520">
        <f>'1 prepared data'!B513</f>
        <v/>
      </c>
      <c r="D520" s="7">
        <f>'1 prepared data'!C513</f>
        <v/>
      </c>
      <c r="E520" s="7">
        <f>'1 prepared data'!D513</f>
        <v/>
      </c>
      <c r="F520" s="7">
        <f>'1 prepared data'!E513</f>
        <v/>
      </c>
      <c r="G520" s="7">
        <f>'1 prepared data'!F513</f>
        <v/>
      </c>
      <c r="H520" s="7">
        <f>'1 prepared data'!G513</f>
        <v/>
      </c>
      <c r="I520" s="7">
        <f>'1 prepared data'!H513</f>
        <v/>
      </c>
      <c r="J520" s="7">
        <f>'1 prepared data'!I513</f>
        <v/>
      </c>
      <c r="K520" s="7">
        <f>'1 prepared data'!J513</f>
        <v/>
      </c>
      <c r="L520" s="7">
        <f>'1 prepared data'!K513</f>
        <v/>
      </c>
      <c r="M520" s="7">
        <f>'1 prepared data'!L513</f>
        <v/>
      </c>
      <c r="N520" s="7">
        <f>'1 prepared data'!M513</f>
        <v/>
      </c>
      <c r="O520" s="7">
        <f>'1 prepared data'!N513</f>
        <v/>
      </c>
      <c r="P520" s="7">
        <f>'1 prepared data'!O513</f>
        <v/>
      </c>
      <c r="Q520" s="7">
        <f>'1 prepared data'!P513</f>
        <v/>
      </c>
      <c r="R520" s="7">
        <f>'1 prepared data'!Q513</f>
        <v/>
      </c>
      <c r="S520" s="7">
        <f>'1 prepared data'!R513</f>
        <v/>
      </c>
      <c r="T520" s="7">
        <f>'1 prepared data'!S513</f>
        <v/>
      </c>
      <c r="U520" s="7">
        <f>'1 prepared data'!T513</f>
        <v/>
      </c>
      <c r="V520" s="8">
        <f>$AC$12+D520*$AC$13+E520*$AC$14+F520*$AC$15+G520*$AC$16+H520*$AC$17+I520*$AC$18+J520*$AC$19+K520*$AC$20+L520*$AC$21+M520*$AC$22+N520*$AC$23+O520*$AC$24+P520*$AC$25+Q520*$AC$26+R520*$AC$27+S520*$AC$28+T520*$AC$29+U520*$AC$30</f>
        <v/>
      </c>
      <c r="W520" s="8">
        <f>1/(1+EXP(-V520))</f>
        <v/>
      </c>
      <c r="X520" s="9">
        <f>-IF(C520=1,LN(W520),LN(1-W520))</f>
        <v/>
      </c>
      <c r="Y520" s="10">
        <f>IF(W520&gt;$AC$33,1,0)</f>
        <v/>
      </c>
      <c r="Z520">
        <f>IF(Y520=C520,1,0)</f>
        <v/>
      </c>
    </row>
    <row r="521">
      <c r="A521">
        <f>'1 prepared data'!A514</f>
        <v/>
      </c>
      <c r="B521" s="5">
        <f>'1 prepared data'!U514</f>
        <v/>
      </c>
      <c r="C521">
        <f>'1 prepared data'!B514</f>
        <v/>
      </c>
      <c r="D521" s="7">
        <f>'1 prepared data'!C514</f>
        <v/>
      </c>
      <c r="E521" s="7">
        <f>'1 prepared data'!D514</f>
        <v/>
      </c>
      <c r="F521" s="7">
        <f>'1 prepared data'!E514</f>
        <v/>
      </c>
      <c r="G521" s="7">
        <f>'1 prepared data'!F514</f>
        <v/>
      </c>
      <c r="H521" s="7">
        <f>'1 prepared data'!G514</f>
        <v/>
      </c>
      <c r="I521" s="7">
        <f>'1 prepared data'!H514</f>
        <v/>
      </c>
      <c r="J521" s="7">
        <f>'1 prepared data'!I514</f>
        <v/>
      </c>
      <c r="K521" s="7">
        <f>'1 prepared data'!J514</f>
        <v/>
      </c>
      <c r="L521" s="7">
        <f>'1 prepared data'!K514</f>
        <v/>
      </c>
      <c r="M521" s="7">
        <f>'1 prepared data'!L514</f>
        <v/>
      </c>
      <c r="N521" s="7">
        <f>'1 prepared data'!M514</f>
        <v/>
      </c>
      <c r="O521" s="7">
        <f>'1 prepared data'!N514</f>
        <v/>
      </c>
      <c r="P521" s="7">
        <f>'1 prepared data'!O514</f>
        <v/>
      </c>
      <c r="Q521" s="7">
        <f>'1 prepared data'!P514</f>
        <v/>
      </c>
      <c r="R521" s="7">
        <f>'1 prepared data'!Q514</f>
        <v/>
      </c>
      <c r="S521" s="7">
        <f>'1 prepared data'!R514</f>
        <v/>
      </c>
      <c r="T521" s="7">
        <f>'1 prepared data'!S514</f>
        <v/>
      </c>
      <c r="U521" s="7">
        <f>'1 prepared data'!T514</f>
        <v/>
      </c>
      <c r="V521" s="8">
        <f>$AC$12+D521*$AC$13+E521*$AC$14+F521*$AC$15+G521*$AC$16+H521*$AC$17+I521*$AC$18+J521*$AC$19+K521*$AC$20+L521*$AC$21+M521*$AC$22+N521*$AC$23+O521*$AC$24+P521*$AC$25+Q521*$AC$26+R521*$AC$27+S521*$AC$28+T521*$AC$29+U521*$AC$30</f>
        <v/>
      </c>
      <c r="W521" s="8">
        <f>1/(1+EXP(-V521))</f>
        <v/>
      </c>
      <c r="X521" s="9">
        <f>-IF(C521=1,LN(W521),LN(1-W521))</f>
        <v/>
      </c>
      <c r="Y521" s="10">
        <f>IF(W521&gt;$AC$33,1,0)</f>
        <v/>
      </c>
      <c r="Z521">
        <f>IF(Y521=C521,1,0)</f>
        <v/>
      </c>
    </row>
    <row r="522">
      <c r="A522">
        <f>'1 prepared data'!A515</f>
        <v/>
      </c>
      <c r="B522" s="5">
        <f>'1 prepared data'!U515</f>
        <v/>
      </c>
      <c r="C522">
        <f>'1 prepared data'!B515</f>
        <v/>
      </c>
      <c r="D522" s="7">
        <f>'1 prepared data'!C515</f>
        <v/>
      </c>
      <c r="E522" s="7">
        <f>'1 prepared data'!D515</f>
        <v/>
      </c>
      <c r="F522" s="7">
        <f>'1 prepared data'!E515</f>
        <v/>
      </c>
      <c r="G522" s="7">
        <f>'1 prepared data'!F515</f>
        <v/>
      </c>
      <c r="H522" s="7">
        <f>'1 prepared data'!G515</f>
        <v/>
      </c>
      <c r="I522" s="7">
        <f>'1 prepared data'!H515</f>
        <v/>
      </c>
      <c r="J522" s="7">
        <f>'1 prepared data'!I515</f>
        <v/>
      </c>
      <c r="K522" s="7">
        <f>'1 prepared data'!J515</f>
        <v/>
      </c>
      <c r="L522" s="7">
        <f>'1 prepared data'!K515</f>
        <v/>
      </c>
      <c r="M522" s="7">
        <f>'1 prepared data'!L515</f>
        <v/>
      </c>
      <c r="N522" s="7">
        <f>'1 prepared data'!M515</f>
        <v/>
      </c>
      <c r="O522" s="7">
        <f>'1 prepared data'!N515</f>
        <v/>
      </c>
      <c r="P522" s="7">
        <f>'1 prepared data'!O515</f>
        <v/>
      </c>
      <c r="Q522" s="7">
        <f>'1 prepared data'!P515</f>
        <v/>
      </c>
      <c r="R522" s="7">
        <f>'1 prepared data'!Q515</f>
        <v/>
      </c>
      <c r="S522" s="7">
        <f>'1 prepared data'!R515</f>
        <v/>
      </c>
      <c r="T522" s="7">
        <f>'1 prepared data'!S515</f>
        <v/>
      </c>
      <c r="U522" s="7">
        <f>'1 prepared data'!T515</f>
        <v/>
      </c>
      <c r="V522" s="8">
        <f>$AC$12+D522*$AC$13+E522*$AC$14+F522*$AC$15+G522*$AC$16+H522*$AC$17+I522*$AC$18+J522*$AC$19+K522*$AC$20+L522*$AC$21+M522*$AC$22+N522*$AC$23+O522*$AC$24+P522*$AC$25+Q522*$AC$26+R522*$AC$27+S522*$AC$28+T522*$AC$29+U522*$AC$30</f>
        <v/>
      </c>
      <c r="W522" s="8">
        <f>1/(1+EXP(-V522))</f>
        <v/>
      </c>
      <c r="X522" s="9">
        <f>-IF(C522=1,LN(W522),LN(1-W522))</f>
        <v/>
      </c>
      <c r="Y522" s="10">
        <f>IF(W522&gt;$AC$33,1,0)</f>
        <v/>
      </c>
      <c r="Z522">
        <f>IF(Y522=C522,1,0)</f>
        <v/>
      </c>
    </row>
    <row r="523">
      <c r="A523">
        <f>'1 prepared data'!A516</f>
        <v/>
      </c>
      <c r="B523" s="5">
        <f>'1 prepared data'!U516</f>
        <v/>
      </c>
      <c r="C523">
        <f>'1 prepared data'!B516</f>
        <v/>
      </c>
      <c r="D523" s="7">
        <f>'1 prepared data'!C516</f>
        <v/>
      </c>
      <c r="E523" s="7">
        <f>'1 prepared data'!D516</f>
        <v/>
      </c>
      <c r="F523" s="7">
        <f>'1 prepared data'!E516</f>
        <v/>
      </c>
      <c r="G523" s="7">
        <f>'1 prepared data'!F516</f>
        <v/>
      </c>
      <c r="H523" s="7">
        <f>'1 prepared data'!G516</f>
        <v/>
      </c>
      <c r="I523" s="7">
        <f>'1 prepared data'!H516</f>
        <v/>
      </c>
      <c r="J523" s="7">
        <f>'1 prepared data'!I516</f>
        <v/>
      </c>
      <c r="K523" s="7">
        <f>'1 prepared data'!J516</f>
        <v/>
      </c>
      <c r="L523" s="7">
        <f>'1 prepared data'!K516</f>
        <v/>
      </c>
      <c r="M523" s="7">
        <f>'1 prepared data'!L516</f>
        <v/>
      </c>
      <c r="N523" s="7">
        <f>'1 prepared data'!M516</f>
        <v/>
      </c>
      <c r="O523" s="7">
        <f>'1 prepared data'!N516</f>
        <v/>
      </c>
      <c r="P523" s="7">
        <f>'1 prepared data'!O516</f>
        <v/>
      </c>
      <c r="Q523" s="7">
        <f>'1 prepared data'!P516</f>
        <v/>
      </c>
      <c r="R523" s="7">
        <f>'1 prepared data'!Q516</f>
        <v/>
      </c>
      <c r="S523" s="7">
        <f>'1 prepared data'!R516</f>
        <v/>
      </c>
      <c r="T523" s="7">
        <f>'1 prepared data'!S516</f>
        <v/>
      </c>
      <c r="U523" s="7">
        <f>'1 prepared data'!T516</f>
        <v/>
      </c>
      <c r="V523" s="8">
        <f>$AC$12+D523*$AC$13+E523*$AC$14+F523*$AC$15+G523*$AC$16+H523*$AC$17+I523*$AC$18+J523*$AC$19+K523*$AC$20+L523*$AC$21+M523*$AC$22+N523*$AC$23+O523*$AC$24+P523*$AC$25+Q523*$AC$26+R523*$AC$27+S523*$AC$28+T523*$AC$29+U523*$AC$30</f>
        <v/>
      </c>
      <c r="W523" s="8">
        <f>1/(1+EXP(-V523))</f>
        <v/>
      </c>
      <c r="X523" s="9">
        <f>-IF(C523=1,LN(W523),LN(1-W523))</f>
        <v/>
      </c>
      <c r="Y523" s="10">
        <f>IF(W523&gt;$AC$33,1,0)</f>
        <v/>
      </c>
      <c r="Z523">
        <f>IF(Y523=C523,1,0)</f>
        <v/>
      </c>
    </row>
    <row r="524">
      <c r="A524">
        <f>'1 prepared data'!A517</f>
        <v/>
      </c>
      <c r="B524" s="5">
        <f>'1 prepared data'!U517</f>
        <v/>
      </c>
      <c r="C524">
        <f>'1 prepared data'!B517</f>
        <v/>
      </c>
      <c r="D524" s="7">
        <f>'1 prepared data'!C517</f>
        <v/>
      </c>
      <c r="E524" s="7">
        <f>'1 prepared data'!D517</f>
        <v/>
      </c>
      <c r="F524" s="7">
        <f>'1 prepared data'!E517</f>
        <v/>
      </c>
      <c r="G524" s="7">
        <f>'1 prepared data'!F517</f>
        <v/>
      </c>
      <c r="H524" s="7">
        <f>'1 prepared data'!G517</f>
        <v/>
      </c>
      <c r="I524" s="7">
        <f>'1 prepared data'!H517</f>
        <v/>
      </c>
      <c r="J524" s="7">
        <f>'1 prepared data'!I517</f>
        <v/>
      </c>
      <c r="K524" s="7">
        <f>'1 prepared data'!J517</f>
        <v/>
      </c>
      <c r="L524" s="7">
        <f>'1 prepared data'!K517</f>
        <v/>
      </c>
      <c r="M524" s="7">
        <f>'1 prepared data'!L517</f>
        <v/>
      </c>
      <c r="N524" s="7">
        <f>'1 prepared data'!M517</f>
        <v/>
      </c>
      <c r="O524" s="7">
        <f>'1 prepared data'!N517</f>
        <v/>
      </c>
      <c r="P524" s="7">
        <f>'1 prepared data'!O517</f>
        <v/>
      </c>
      <c r="Q524" s="7">
        <f>'1 prepared data'!P517</f>
        <v/>
      </c>
      <c r="R524" s="7">
        <f>'1 prepared data'!Q517</f>
        <v/>
      </c>
      <c r="S524" s="7">
        <f>'1 prepared data'!R517</f>
        <v/>
      </c>
      <c r="T524" s="7">
        <f>'1 prepared data'!S517</f>
        <v/>
      </c>
      <c r="U524" s="7">
        <f>'1 prepared data'!T517</f>
        <v/>
      </c>
      <c r="V524" s="8">
        <f>$AC$12+D524*$AC$13+E524*$AC$14+F524*$AC$15+G524*$AC$16+H524*$AC$17+I524*$AC$18+J524*$AC$19+K524*$AC$20+L524*$AC$21+M524*$AC$22+N524*$AC$23+O524*$AC$24+P524*$AC$25+Q524*$AC$26+R524*$AC$27+S524*$AC$28+T524*$AC$29+U524*$AC$30</f>
        <v/>
      </c>
      <c r="W524" s="8">
        <f>1/(1+EXP(-V524))</f>
        <v/>
      </c>
      <c r="X524" s="9">
        <f>-IF(C524=1,LN(W524),LN(1-W524))</f>
        <v/>
      </c>
      <c r="Y524" s="10">
        <f>IF(W524&gt;$AC$33,1,0)</f>
        <v/>
      </c>
      <c r="Z524">
        <f>IF(Y524=C524,1,0)</f>
        <v/>
      </c>
    </row>
    <row r="525">
      <c r="A525">
        <f>'1 prepared data'!A518</f>
        <v/>
      </c>
      <c r="B525" s="5">
        <f>'1 prepared data'!U518</f>
        <v/>
      </c>
      <c r="C525">
        <f>'1 prepared data'!B518</f>
        <v/>
      </c>
      <c r="D525" s="7">
        <f>'1 prepared data'!C518</f>
        <v/>
      </c>
      <c r="E525" s="7">
        <f>'1 prepared data'!D518</f>
        <v/>
      </c>
      <c r="F525" s="7">
        <f>'1 prepared data'!E518</f>
        <v/>
      </c>
      <c r="G525" s="7">
        <f>'1 prepared data'!F518</f>
        <v/>
      </c>
      <c r="H525" s="7">
        <f>'1 prepared data'!G518</f>
        <v/>
      </c>
      <c r="I525" s="7">
        <f>'1 prepared data'!H518</f>
        <v/>
      </c>
      <c r="J525" s="7">
        <f>'1 prepared data'!I518</f>
        <v/>
      </c>
      <c r="K525" s="7">
        <f>'1 prepared data'!J518</f>
        <v/>
      </c>
      <c r="L525" s="7">
        <f>'1 prepared data'!K518</f>
        <v/>
      </c>
      <c r="M525" s="7">
        <f>'1 prepared data'!L518</f>
        <v/>
      </c>
      <c r="N525" s="7">
        <f>'1 prepared data'!M518</f>
        <v/>
      </c>
      <c r="O525" s="7">
        <f>'1 prepared data'!N518</f>
        <v/>
      </c>
      <c r="P525" s="7">
        <f>'1 prepared data'!O518</f>
        <v/>
      </c>
      <c r="Q525" s="7">
        <f>'1 prepared data'!P518</f>
        <v/>
      </c>
      <c r="R525" s="7">
        <f>'1 prepared data'!Q518</f>
        <v/>
      </c>
      <c r="S525" s="7">
        <f>'1 prepared data'!R518</f>
        <v/>
      </c>
      <c r="T525" s="7">
        <f>'1 prepared data'!S518</f>
        <v/>
      </c>
      <c r="U525" s="7">
        <f>'1 prepared data'!T518</f>
        <v/>
      </c>
      <c r="V525" s="8">
        <f>$AC$12+D525*$AC$13+E525*$AC$14+F525*$AC$15+G525*$AC$16+H525*$AC$17+I525*$AC$18+J525*$AC$19+K525*$AC$20+L525*$AC$21+M525*$AC$22+N525*$AC$23+O525*$AC$24+P525*$AC$25+Q525*$AC$26+R525*$AC$27+S525*$AC$28+T525*$AC$29+U525*$AC$30</f>
        <v/>
      </c>
      <c r="W525" s="8">
        <f>1/(1+EXP(-V525))</f>
        <v/>
      </c>
      <c r="X525" s="9">
        <f>-IF(C525=1,LN(W525),LN(1-W525))</f>
        <v/>
      </c>
      <c r="Y525" s="10">
        <f>IF(W525&gt;$AC$33,1,0)</f>
        <v/>
      </c>
      <c r="Z525">
        <f>IF(Y525=C525,1,0)</f>
        <v/>
      </c>
    </row>
    <row r="526">
      <c r="A526">
        <f>'1 prepared data'!A519</f>
        <v/>
      </c>
      <c r="B526" s="5">
        <f>'1 prepared data'!U519</f>
        <v/>
      </c>
      <c r="C526">
        <f>'1 prepared data'!B519</f>
        <v/>
      </c>
      <c r="D526" s="7">
        <f>'1 prepared data'!C519</f>
        <v/>
      </c>
      <c r="E526" s="7">
        <f>'1 prepared data'!D519</f>
        <v/>
      </c>
      <c r="F526" s="7">
        <f>'1 prepared data'!E519</f>
        <v/>
      </c>
      <c r="G526" s="7">
        <f>'1 prepared data'!F519</f>
        <v/>
      </c>
      <c r="H526" s="7">
        <f>'1 prepared data'!G519</f>
        <v/>
      </c>
      <c r="I526" s="7">
        <f>'1 prepared data'!H519</f>
        <v/>
      </c>
      <c r="J526" s="7">
        <f>'1 prepared data'!I519</f>
        <v/>
      </c>
      <c r="K526" s="7">
        <f>'1 prepared data'!J519</f>
        <v/>
      </c>
      <c r="L526" s="7">
        <f>'1 prepared data'!K519</f>
        <v/>
      </c>
      <c r="M526" s="7">
        <f>'1 prepared data'!L519</f>
        <v/>
      </c>
      <c r="N526" s="7">
        <f>'1 prepared data'!M519</f>
        <v/>
      </c>
      <c r="O526" s="7">
        <f>'1 prepared data'!N519</f>
        <v/>
      </c>
      <c r="P526" s="7">
        <f>'1 prepared data'!O519</f>
        <v/>
      </c>
      <c r="Q526" s="7">
        <f>'1 prepared data'!P519</f>
        <v/>
      </c>
      <c r="R526" s="7">
        <f>'1 prepared data'!Q519</f>
        <v/>
      </c>
      <c r="S526" s="7">
        <f>'1 prepared data'!R519</f>
        <v/>
      </c>
      <c r="T526" s="7">
        <f>'1 prepared data'!S519</f>
        <v/>
      </c>
      <c r="U526" s="7">
        <f>'1 prepared data'!T519</f>
        <v/>
      </c>
      <c r="V526" s="8">
        <f>$AC$12+D526*$AC$13+E526*$AC$14+F526*$AC$15+G526*$AC$16+H526*$AC$17+I526*$AC$18+J526*$AC$19+K526*$AC$20+L526*$AC$21+M526*$AC$22+N526*$AC$23+O526*$AC$24+P526*$AC$25+Q526*$AC$26+R526*$AC$27+S526*$AC$28+T526*$AC$29+U526*$AC$30</f>
        <v/>
      </c>
      <c r="W526" s="8">
        <f>1/(1+EXP(-V526))</f>
        <v/>
      </c>
      <c r="X526" s="9">
        <f>-IF(C526=1,LN(W526),LN(1-W526))</f>
        <v/>
      </c>
      <c r="Y526" s="10">
        <f>IF(W526&gt;$AC$33,1,0)</f>
        <v/>
      </c>
      <c r="Z526">
        <f>IF(Y526=C526,1,0)</f>
        <v/>
      </c>
    </row>
    <row r="527">
      <c r="A527">
        <f>'1 prepared data'!A520</f>
        <v/>
      </c>
      <c r="B527" s="5">
        <f>'1 prepared data'!U520</f>
        <v/>
      </c>
      <c r="C527">
        <f>'1 prepared data'!B520</f>
        <v/>
      </c>
      <c r="D527" s="7">
        <f>'1 prepared data'!C520</f>
        <v/>
      </c>
      <c r="E527" s="7">
        <f>'1 prepared data'!D520</f>
        <v/>
      </c>
      <c r="F527" s="7">
        <f>'1 prepared data'!E520</f>
        <v/>
      </c>
      <c r="G527" s="7">
        <f>'1 prepared data'!F520</f>
        <v/>
      </c>
      <c r="H527" s="7">
        <f>'1 prepared data'!G520</f>
        <v/>
      </c>
      <c r="I527" s="7">
        <f>'1 prepared data'!H520</f>
        <v/>
      </c>
      <c r="J527" s="7">
        <f>'1 prepared data'!I520</f>
        <v/>
      </c>
      <c r="K527" s="7">
        <f>'1 prepared data'!J520</f>
        <v/>
      </c>
      <c r="L527" s="7">
        <f>'1 prepared data'!K520</f>
        <v/>
      </c>
      <c r="M527" s="7">
        <f>'1 prepared data'!L520</f>
        <v/>
      </c>
      <c r="N527" s="7">
        <f>'1 prepared data'!M520</f>
        <v/>
      </c>
      <c r="O527" s="7">
        <f>'1 prepared data'!N520</f>
        <v/>
      </c>
      <c r="P527" s="7">
        <f>'1 prepared data'!O520</f>
        <v/>
      </c>
      <c r="Q527" s="7">
        <f>'1 prepared data'!P520</f>
        <v/>
      </c>
      <c r="R527" s="7">
        <f>'1 prepared data'!Q520</f>
        <v/>
      </c>
      <c r="S527" s="7">
        <f>'1 prepared data'!R520</f>
        <v/>
      </c>
      <c r="T527" s="7">
        <f>'1 prepared data'!S520</f>
        <v/>
      </c>
      <c r="U527" s="7">
        <f>'1 prepared data'!T520</f>
        <v/>
      </c>
      <c r="V527" s="8">
        <f>$AC$12+D527*$AC$13+E527*$AC$14+F527*$AC$15+G527*$AC$16+H527*$AC$17+I527*$AC$18+J527*$AC$19+K527*$AC$20+L527*$AC$21+M527*$AC$22+N527*$AC$23+O527*$AC$24+P527*$AC$25+Q527*$AC$26+R527*$AC$27+S527*$AC$28+T527*$AC$29+U527*$AC$30</f>
        <v/>
      </c>
      <c r="W527" s="8">
        <f>1/(1+EXP(-V527))</f>
        <v/>
      </c>
      <c r="X527" s="9">
        <f>-IF(C527=1,LN(W527),LN(1-W527))</f>
        <v/>
      </c>
      <c r="Y527" s="10">
        <f>IF(W527&gt;$AC$33,1,0)</f>
        <v/>
      </c>
      <c r="Z527">
        <f>IF(Y527=C527,1,0)</f>
        <v/>
      </c>
    </row>
    <row r="528">
      <c r="A528">
        <f>'1 prepared data'!A521</f>
        <v/>
      </c>
      <c r="B528" s="5">
        <f>'1 prepared data'!U521</f>
        <v/>
      </c>
      <c r="C528">
        <f>'1 prepared data'!B521</f>
        <v/>
      </c>
      <c r="D528" s="7">
        <f>'1 prepared data'!C521</f>
        <v/>
      </c>
      <c r="E528" s="7">
        <f>'1 prepared data'!D521</f>
        <v/>
      </c>
      <c r="F528" s="7">
        <f>'1 prepared data'!E521</f>
        <v/>
      </c>
      <c r="G528" s="7">
        <f>'1 prepared data'!F521</f>
        <v/>
      </c>
      <c r="H528" s="7">
        <f>'1 prepared data'!G521</f>
        <v/>
      </c>
      <c r="I528" s="7">
        <f>'1 prepared data'!H521</f>
        <v/>
      </c>
      <c r="J528" s="7">
        <f>'1 prepared data'!I521</f>
        <v/>
      </c>
      <c r="K528" s="7">
        <f>'1 prepared data'!J521</f>
        <v/>
      </c>
      <c r="L528" s="7">
        <f>'1 prepared data'!K521</f>
        <v/>
      </c>
      <c r="M528" s="7">
        <f>'1 prepared data'!L521</f>
        <v/>
      </c>
      <c r="N528" s="7">
        <f>'1 prepared data'!M521</f>
        <v/>
      </c>
      <c r="O528" s="7">
        <f>'1 prepared data'!N521</f>
        <v/>
      </c>
      <c r="P528" s="7">
        <f>'1 prepared data'!O521</f>
        <v/>
      </c>
      <c r="Q528" s="7">
        <f>'1 prepared data'!P521</f>
        <v/>
      </c>
      <c r="R528" s="7">
        <f>'1 prepared data'!Q521</f>
        <v/>
      </c>
      <c r="S528" s="7">
        <f>'1 prepared data'!R521</f>
        <v/>
      </c>
      <c r="T528" s="7">
        <f>'1 prepared data'!S521</f>
        <v/>
      </c>
      <c r="U528" s="7">
        <f>'1 prepared data'!T521</f>
        <v/>
      </c>
      <c r="V528" s="8">
        <f>$AC$12+D528*$AC$13+E528*$AC$14+F528*$AC$15+G528*$AC$16+H528*$AC$17+I528*$AC$18+J528*$AC$19+K528*$AC$20+L528*$AC$21+M528*$AC$22+N528*$AC$23+O528*$AC$24+P528*$AC$25+Q528*$AC$26+R528*$AC$27+S528*$AC$28+T528*$AC$29+U528*$AC$30</f>
        <v/>
      </c>
      <c r="W528" s="8">
        <f>1/(1+EXP(-V528))</f>
        <v/>
      </c>
      <c r="X528" s="9">
        <f>-IF(C528=1,LN(W528),LN(1-W528))</f>
        <v/>
      </c>
      <c r="Y528" s="10">
        <f>IF(W528&gt;$AC$33,1,0)</f>
        <v/>
      </c>
      <c r="Z528">
        <f>IF(Y528=C528,1,0)</f>
        <v/>
      </c>
    </row>
    <row r="529">
      <c r="A529">
        <f>'1 prepared data'!A522</f>
        <v/>
      </c>
      <c r="B529" s="5">
        <f>'1 prepared data'!U522</f>
        <v/>
      </c>
      <c r="C529">
        <f>'1 prepared data'!B522</f>
        <v/>
      </c>
      <c r="D529" s="7">
        <f>'1 prepared data'!C522</f>
        <v/>
      </c>
      <c r="E529" s="7">
        <f>'1 prepared data'!D522</f>
        <v/>
      </c>
      <c r="F529" s="7">
        <f>'1 prepared data'!E522</f>
        <v/>
      </c>
      <c r="G529" s="7">
        <f>'1 prepared data'!F522</f>
        <v/>
      </c>
      <c r="H529" s="7">
        <f>'1 prepared data'!G522</f>
        <v/>
      </c>
      <c r="I529" s="7">
        <f>'1 prepared data'!H522</f>
        <v/>
      </c>
      <c r="J529" s="7">
        <f>'1 prepared data'!I522</f>
        <v/>
      </c>
      <c r="K529" s="7">
        <f>'1 prepared data'!J522</f>
        <v/>
      </c>
      <c r="L529" s="7">
        <f>'1 prepared data'!K522</f>
        <v/>
      </c>
      <c r="M529" s="7">
        <f>'1 prepared data'!L522</f>
        <v/>
      </c>
      <c r="N529" s="7">
        <f>'1 prepared data'!M522</f>
        <v/>
      </c>
      <c r="O529" s="7">
        <f>'1 prepared data'!N522</f>
        <v/>
      </c>
      <c r="P529" s="7">
        <f>'1 prepared data'!O522</f>
        <v/>
      </c>
      <c r="Q529" s="7">
        <f>'1 prepared data'!P522</f>
        <v/>
      </c>
      <c r="R529" s="7">
        <f>'1 prepared data'!Q522</f>
        <v/>
      </c>
      <c r="S529" s="7">
        <f>'1 prepared data'!R522</f>
        <v/>
      </c>
      <c r="T529" s="7">
        <f>'1 prepared data'!S522</f>
        <v/>
      </c>
      <c r="U529" s="7">
        <f>'1 prepared data'!T522</f>
        <v/>
      </c>
      <c r="V529" s="8">
        <f>$AC$12+D529*$AC$13+E529*$AC$14+F529*$AC$15+G529*$AC$16+H529*$AC$17+I529*$AC$18+J529*$AC$19+K529*$AC$20+L529*$AC$21+M529*$AC$22+N529*$AC$23+O529*$AC$24+P529*$AC$25+Q529*$AC$26+R529*$AC$27+S529*$AC$28+T529*$AC$29+U529*$AC$30</f>
        <v/>
      </c>
      <c r="W529" s="8">
        <f>1/(1+EXP(-V529))</f>
        <v/>
      </c>
      <c r="X529" s="9">
        <f>-IF(C529=1,LN(W529),LN(1-W529))</f>
        <v/>
      </c>
      <c r="Y529" s="10">
        <f>IF(W529&gt;$AC$33,1,0)</f>
        <v/>
      </c>
      <c r="Z529">
        <f>IF(Y529=C529,1,0)</f>
        <v/>
      </c>
    </row>
    <row r="530">
      <c r="A530">
        <f>'1 prepared data'!A523</f>
        <v/>
      </c>
      <c r="B530" s="5">
        <f>'1 prepared data'!U523</f>
        <v/>
      </c>
      <c r="C530">
        <f>'1 prepared data'!B523</f>
        <v/>
      </c>
      <c r="D530" s="7">
        <f>'1 prepared data'!C523</f>
        <v/>
      </c>
      <c r="E530" s="7">
        <f>'1 prepared data'!D523</f>
        <v/>
      </c>
      <c r="F530" s="7">
        <f>'1 prepared data'!E523</f>
        <v/>
      </c>
      <c r="G530" s="7">
        <f>'1 prepared data'!F523</f>
        <v/>
      </c>
      <c r="H530" s="7">
        <f>'1 prepared data'!G523</f>
        <v/>
      </c>
      <c r="I530" s="7">
        <f>'1 prepared data'!H523</f>
        <v/>
      </c>
      <c r="J530" s="7">
        <f>'1 prepared data'!I523</f>
        <v/>
      </c>
      <c r="K530" s="7">
        <f>'1 prepared data'!J523</f>
        <v/>
      </c>
      <c r="L530" s="7">
        <f>'1 prepared data'!K523</f>
        <v/>
      </c>
      <c r="M530" s="7">
        <f>'1 prepared data'!L523</f>
        <v/>
      </c>
      <c r="N530" s="7">
        <f>'1 prepared data'!M523</f>
        <v/>
      </c>
      <c r="O530" s="7">
        <f>'1 prepared data'!N523</f>
        <v/>
      </c>
      <c r="P530" s="7">
        <f>'1 prepared data'!O523</f>
        <v/>
      </c>
      <c r="Q530" s="7">
        <f>'1 prepared data'!P523</f>
        <v/>
      </c>
      <c r="R530" s="7">
        <f>'1 prepared data'!Q523</f>
        <v/>
      </c>
      <c r="S530" s="7">
        <f>'1 prepared data'!R523</f>
        <v/>
      </c>
      <c r="T530" s="7">
        <f>'1 prepared data'!S523</f>
        <v/>
      </c>
      <c r="U530" s="7">
        <f>'1 prepared data'!T523</f>
        <v/>
      </c>
      <c r="V530" s="8">
        <f>$AC$12+D530*$AC$13+E530*$AC$14+F530*$AC$15+G530*$AC$16+H530*$AC$17+I530*$AC$18+J530*$AC$19+K530*$AC$20+L530*$AC$21+M530*$AC$22+N530*$AC$23+O530*$AC$24+P530*$AC$25+Q530*$AC$26+R530*$AC$27+S530*$AC$28+T530*$AC$29+U530*$AC$30</f>
        <v/>
      </c>
      <c r="W530" s="8">
        <f>1/(1+EXP(-V530))</f>
        <v/>
      </c>
      <c r="X530" s="9">
        <f>-IF(C530=1,LN(W530),LN(1-W530))</f>
        <v/>
      </c>
      <c r="Y530" s="10">
        <f>IF(W530&gt;$AC$33,1,0)</f>
        <v/>
      </c>
      <c r="Z530">
        <f>IF(Y530=C530,1,0)</f>
        <v/>
      </c>
    </row>
    <row r="531">
      <c r="A531">
        <f>'1 prepared data'!A524</f>
        <v/>
      </c>
      <c r="B531" s="5">
        <f>'1 prepared data'!U524</f>
        <v/>
      </c>
      <c r="C531">
        <f>'1 prepared data'!B524</f>
        <v/>
      </c>
      <c r="D531" s="7">
        <f>'1 prepared data'!C524</f>
        <v/>
      </c>
      <c r="E531" s="7">
        <f>'1 prepared data'!D524</f>
        <v/>
      </c>
      <c r="F531" s="7">
        <f>'1 prepared data'!E524</f>
        <v/>
      </c>
      <c r="G531" s="7">
        <f>'1 prepared data'!F524</f>
        <v/>
      </c>
      <c r="H531" s="7">
        <f>'1 prepared data'!G524</f>
        <v/>
      </c>
      <c r="I531" s="7">
        <f>'1 prepared data'!H524</f>
        <v/>
      </c>
      <c r="J531" s="7">
        <f>'1 prepared data'!I524</f>
        <v/>
      </c>
      <c r="K531" s="7">
        <f>'1 prepared data'!J524</f>
        <v/>
      </c>
      <c r="L531" s="7">
        <f>'1 prepared data'!K524</f>
        <v/>
      </c>
      <c r="M531" s="7">
        <f>'1 prepared data'!L524</f>
        <v/>
      </c>
      <c r="N531" s="7">
        <f>'1 prepared data'!M524</f>
        <v/>
      </c>
      <c r="O531" s="7">
        <f>'1 prepared data'!N524</f>
        <v/>
      </c>
      <c r="P531" s="7">
        <f>'1 prepared data'!O524</f>
        <v/>
      </c>
      <c r="Q531" s="7">
        <f>'1 prepared data'!P524</f>
        <v/>
      </c>
      <c r="R531" s="7">
        <f>'1 prepared data'!Q524</f>
        <v/>
      </c>
      <c r="S531" s="7">
        <f>'1 prepared data'!R524</f>
        <v/>
      </c>
      <c r="T531" s="7">
        <f>'1 prepared data'!S524</f>
        <v/>
      </c>
      <c r="U531" s="7">
        <f>'1 prepared data'!T524</f>
        <v/>
      </c>
      <c r="V531" s="8">
        <f>$AC$12+D531*$AC$13+E531*$AC$14+F531*$AC$15+G531*$AC$16+H531*$AC$17+I531*$AC$18+J531*$AC$19+K531*$AC$20+L531*$AC$21+M531*$AC$22+N531*$AC$23+O531*$AC$24+P531*$AC$25+Q531*$AC$26+R531*$AC$27+S531*$AC$28+T531*$AC$29+U531*$AC$30</f>
        <v/>
      </c>
      <c r="W531" s="8">
        <f>1/(1+EXP(-V531))</f>
        <v/>
      </c>
      <c r="X531" s="9">
        <f>-IF(C531=1,LN(W531),LN(1-W531))</f>
        <v/>
      </c>
      <c r="Y531" s="10">
        <f>IF(W531&gt;$AC$33,1,0)</f>
        <v/>
      </c>
      <c r="Z531">
        <f>IF(Y531=C531,1,0)</f>
        <v/>
      </c>
    </row>
    <row r="532">
      <c r="A532">
        <f>'1 prepared data'!A525</f>
        <v/>
      </c>
      <c r="B532" s="5">
        <f>'1 prepared data'!U525</f>
        <v/>
      </c>
      <c r="C532">
        <f>'1 prepared data'!B525</f>
        <v/>
      </c>
      <c r="D532" s="7">
        <f>'1 prepared data'!C525</f>
        <v/>
      </c>
      <c r="E532" s="7">
        <f>'1 prepared data'!D525</f>
        <v/>
      </c>
      <c r="F532" s="7">
        <f>'1 prepared data'!E525</f>
        <v/>
      </c>
      <c r="G532" s="7">
        <f>'1 prepared data'!F525</f>
        <v/>
      </c>
      <c r="H532" s="7">
        <f>'1 prepared data'!G525</f>
        <v/>
      </c>
      <c r="I532" s="7">
        <f>'1 prepared data'!H525</f>
        <v/>
      </c>
      <c r="J532" s="7">
        <f>'1 prepared data'!I525</f>
        <v/>
      </c>
      <c r="K532" s="7">
        <f>'1 prepared data'!J525</f>
        <v/>
      </c>
      <c r="L532" s="7">
        <f>'1 prepared data'!K525</f>
        <v/>
      </c>
      <c r="M532" s="7">
        <f>'1 prepared data'!L525</f>
        <v/>
      </c>
      <c r="N532" s="7">
        <f>'1 prepared data'!M525</f>
        <v/>
      </c>
      <c r="O532" s="7">
        <f>'1 prepared data'!N525</f>
        <v/>
      </c>
      <c r="P532" s="7">
        <f>'1 prepared data'!O525</f>
        <v/>
      </c>
      <c r="Q532" s="7">
        <f>'1 prepared data'!P525</f>
        <v/>
      </c>
      <c r="R532" s="7">
        <f>'1 prepared data'!Q525</f>
        <v/>
      </c>
      <c r="S532" s="7">
        <f>'1 prepared data'!R525</f>
        <v/>
      </c>
      <c r="T532" s="7">
        <f>'1 prepared data'!S525</f>
        <v/>
      </c>
      <c r="U532" s="7">
        <f>'1 prepared data'!T525</f>
        <v/>
      </c>
      <c r="V532" s="8">
        <f>$AC$12+D532*$AC$13+E532*$AC$14+F532*$AC$15+G532*$AC$16+H532*$AC$17+I532*$AC$18+J532*$AC$19+K532*$AC$20+L532*$AC$21+M532*$AC$22+N532*$AC$23+O532*$AC$24+P532*$AC$25+Q532*$AC$26+R532*$AC$27+S532*$AC$28+T532*$AC$29+U532*$AC$30</f>
        <v/>
      </c>
      <c r="W532" s="8">
        <f>1/(1+EXP(-V532))</f>
        <v/>
      </c>
      <c r="X532" s="9">
        <f>-IF(C532=1,LN(W532),LN(1-W532))</f>
        <v/>
      </c>
      <c r="Y532" s="10">
        <f>IF(W532&gt;$AC$33,1,0)</f>
        <v/>
      </c>
      <c r="Z532">
        <f>IF(Y532=C532,1,0)</f>
        <v/>
      </c>
    </row>
    <row r="533">
      <c r="A533">
        <f>'1 prepared data'!A526</f>
        <v/>
      </c>
      <c r="B533" s="5">
        <f>'1 prepared data'!U526</f>
        <v/>
      </c>
      <c r="C533">
        <f>'1 prepared data'!B526</f>
        <v/>
      </c>
      <c r="D533" s="7">
        <f>'1 prepared data'!C526</f>
        <v/>
      </c>
      <c r="E533" s="7">
        <f>'1 prepared data'!D526</f>
        <v/>
      </c>
      <c r="F533" s="7">
        <f>'1 prepared data'!E526</f>
        <v/>
      </c>
      <c r="G533" s="7">
        <f>'1 prepared data'!F526</f>
        <v/>
      </c>
      <c r="H533" s="7">
        <f>'1 prepared data'!G526</f>
        <v/>
      </c>
      <c r="I533" s="7">
        <f>'1 prepared data'!H526</f>
        <v/>
      </c>
      <c r="J533" s="7">
        <f>'1 prepared data'!I526</f>
        <v/>
      </c>
      <c r="K533" s="7">
        <f>'1 prepared data'!J526</f>
        <v/>
      </c>
      <c r="L533" s="7">
        <f>'1 prepared data'!K526</f>
        <v/>
      </c>
      <c r="M533" s="7">
        <f>'1 prepared data'!L526</f>
        <v/>
      </c>
      <c r="N533" s="7">
        <f>'1 prepared data'!M526</f>
        <v/>
      </c>
      <c r="O533" s="7">
        <f>'1 prepared data'!N526</f>
        <v/>
      </c>
      <c r="P533" s="7">
        <f>'1 prepared data'!O526</f>
        <v/>
      </c>
      <c r="Q533" s="7">
        <f>'1 prepared data'!P526</f>
        <v/>
      </c>
      <c r="R533" s="7">
        <f>'1 prepared data'!Q526</f>
        <v/>
      </c>
      <c r="S533" s="7">
        <f>'1 prepared data'!R526</f>
        <v/>
      </c>
      <c r="T533" s="7">
        <f>'1 prepared data'!S526</f>
        <v/>
      </c>
      <c r="U533" s="7">
        <f>'1 prepared data'!T526</f>
        <v/>
      </c>
      <c r="V533" s="8">
        <f>$AC$12+D533*$AC$13+E533*$AC$14+F533*$AC$15+G533*$AC$16+H533*$AC$17+I533*$AC$18+J533*$AC$19+K533*$AC$20+L533*$AC$21+M533*$AC$22+N533*$AC$23+O533*$AC$24+P533*$AC$25+Q533*$AC$26+R533*$AC$27+S533*$AC$28+T533*$AC$29+U533*$AC$30</f>
        <v/>
      </c>
      <c r="W533" s="8">
        <f>1/(1+EXP(-V533))</f>
        <v/>
      </c>
      <c r="X533" s="9">
        <f>-IF(C533=1,LN(W533),LN(1-W533))</f>
        <v/>
      </c>
      <c r="Y533" s="10">
        <f>IF(W533&gt;$AC$33,1,0)</f>
        <v/>
      </c>
      <c r="Z533">
        <f>IF(Y533=C533,1,0)</f>
        <v/>
      </c>
    </row>
    <row r="534">
      <c r="A534">
        <f>'1 prepared data'!A527</f>
        <v/>
      </c>
      <c r="B534" s="5">
        <f>'1 prepared data'!U527</f>
        <v/>
      </c>
      <c r="C534">
        <f>'1 prepared data'!B527</f>
        <v/>
      </c>
      <c r="D534" s="7">
        <f>'1 prepared data'!C527</f>
        <v/>
      </c>
      <c r="E534" s="7">
        <f>'1 prepared data'!D527</f>
        <v/>
      </c>
      <c r="F534" s="7">
        <f>'1 prepared data'!E527</f>
        <v/>
      </c>
      <c r="G534" s="7">
        <f>'1 prepared data'!F527</f>
        <v/>
      </c>
      <c r="H534" s="7">
        <f>'1 prepared data'!G527</f>
        <v/>
      </c>
      <c r="I534" s="7">
        <f>'1 prepared data'!H527</f>
        <v/>
      </c>
      <c r="J534" s="7">
        <f>'1 prepared data'!I527</f>
        <v/>
      </c>
      <c r="K534" s="7">
        <f>'1 prepared data'!J527</f>
        <v/>
      </c>
      <c r="L534" s="7">
        <f>'1 prepared data'!K527</f>
        <v/>
      </c>
      <c r="M534" s="7">
        <f>'1 prepared data'!L527</f>
        <v/>
      </c>
      <c r="N534" s="7">
        <f>'1 prepared data'!M527</f>
        <v/>
      </c>
      <c r="O534" s="7">
        <f>'1 prepared data'!N527</f>
        <v/>
      </c>
      <c r="P534" s="7">
        <f>'1 prepared data'!O527</f>
        <v/>
      </c>
      <c r="Q534" s="7">
        <f>'1 prepared data'!P527</f>
        <v/>
      </c>
      <c r="R534" s="7">
        <f>'1 prepared data'!Q527</f>
        <v/>
      </c>
      <c r="S534" s="7">
        <f>'1 prepared data'!R527</f>
        <v/>
      </c>
      <c r="T534" s="7">
        <f>'1 prepared data'!S527</f>
        <v/>
      </c>
      <c r="U534" s="7">
        <f>'1 prepared data'!T527</f>
        <v/>
      </c>
      <c r="V534" s="8">
        <f>$AC$12+D534*$AC$13+E534*$AC$14+F534*$AC$15+G534*$AC$16+H534*$AC$17+I534*$AC$18+J534*$AC$19+K534*$AC$20+L534*$AC$21+M534*$AC$22+N534*$AC$23+O534*$AC$24+P534*$AC$25+Q534*$AC$26+R534*$AC$27+S534*$AC$28+T534*$AC$29+U534*$AC$30</f>
        <v/>
      </c>
      <c r="W534" s="8">
        <f>1/(1+EXP(-V534))</f>
        <v/>
      </c>
      <c r="X534" s="9">
        <f>-IF(C534=1,LN(W534),LN(1-W534))</f>
        <v/>
      </c>
      <c r="Y534" s="10">
        <f>IF(W534&gt;$AC$33,1,0)</f>
        <v/>
      </c>
      <c r="Z534">
        <f>IF(Y534=C534,1,0)</f>
        <v/>
      </c>
    </row>
    <row r="535">
      <c r="A535">
        <f>'1 prepared data'!A528</f>
        <v/>
      </c>
      <c r="B535" s="5">
        <f>'1 prepared data'!U528</f>
        <v/>
      </c>
      <c r="C535">
        <f>'1 prepared data'!B528</f>
        <v/>
      </c>
      <c r="D535" s="7">
        <f>'1 prepared data'!C528</f>
        <v/>
      </c>
      <c r="E535" s="7">
        <f>'1 prepared data'!D528</f>
        <v/>
      </c>
      <c r="F535" s="7">
        <f>'1 prepared data'!E528</f>
        <v/>
      </c>
      <c r="G535" s="7">
        <f>'1 prepared data'!F528</f>
        <v/>
      </c>
      <c r="H535" s="7">
        <f>'1 prepared data'!G528</f>
        <v/>
      </c>
      <c r="I535" s="7">
        <f>'1 prepared data'!H528</f>
        <v/>
      </c>
      <c r="J535" s="7">
        <f>'1 prepared data'!I528</f>
        <v/>
      </c>
      <c r="K535" s="7">
        <f>'1 prepared data'!J528</f>
        <v/>
      </c>
      <c r="L535" s="7">
        <f>'1 prepared data'!K528</f>
        <v/>
      </c>
      <c r="M535" s="7">
        <f>'1 prepared data'!L528</f>
        <v/>
      </c>
      <c r="N535" s="7">
        <f>'1 prepared data'!M528</f>
        <v/>
      </c>
      <c r="O535" s="7">
        <f>'1 prepared data'!N528</f>
        <v/>
      </c>
      <c r="P535" s="7">
        <f>'1 prepared data'!O528</f>
        <v/>
      </c>
      <c r="Q535" s="7">
        <f>'1 prepared data'!P528</f>
        <v/>
      </c>
      <c r="R535" s="7">
        <f>'1 prepared data'!Q528</f>
        <v/>
      </c>
      <c r="S535" s="7">
        <f>'1 prepared data'!R528</f>
        <v/>
      </c>
      <c r="T535" s="7">
        <f>'1 prepared data'!S528</f>
        <v/>
      </c>
      <c r="U535" s="7">
        <f>'1 prepared data'!T528</f>
        <v/>
      </c>
      <c r="V535" s="8">
        <f>$AC$12+D535*$AC$13+E535*$AC$14+F535*$AC$15+G535*$AC$16+H535*$AC$17+I535*$AC$18+J535*$AC$19+K535*$AC$20+L535*$AC$21+M535*$AC$22+N535*$AC$23+O535*$AC$24+P535*$AC$25+Q535*$AC$26+R535*$AC$27+S535*$AC$28+T535*$AC$29+U535*$AC$30</f>
        <v/>
      </c>
      <c r="W535" s="8">
        <f>1/(1+EXP(-V535))</f>
        <v/>
      </c>
      <c r="X535" s="9">
        <f>-IF(C535=1,LN(W535),LN(1-W535))</f>
        <v/>
      </c>
      <c r="Y535" s="10">
        <f>IF(W535&gt;$AC$33,1,0)</f>
        <v/>
      </c>
      <c r="Z535">
        <f>IF(Y535=C535,1,0)</f>
        <v/>
      </c>
    </row>
    <row r="536">
      <c r="A536">
        <f>'1 prepared data'!A529</f>
        <v/>
      </c>
      <c r="B536" s="5">
        <f>'1 prepared data'!U529</f>
        <v/>
      </c>
      <c r="C536">
        <f>'1 prepared data'!B529</f>
        <v/>
      </c>
      <c r="D536" s="7">
        <f>'1 prepared data'!C529</f>
        <v/>
      </c>
      <c r="E536" s="7">
        <f>'1 prepared data'!D529</f>
        <v/>
      </c>
      <c r="F536" s="7">
        <f>'1 prepared data'!E529</f>
        <v/>
      </c>
      <c r="G536" s="7">
        <f>'1 prepared data'!F529</f>
        <v/>
      </c>
      <c r="H536" s="7">
        <f>'1 prepared data'!G529</f>
        <v/>
      </c>
      <c r="I536" s="7">
        <f>'1 prepared data'!H529</f>
        <v/>
      </c>
      <c r="J536" s="7">
        <f>'1 prepared data'!I529</f>
        <v/>
      </c>
      <c r="K536" s="7">
        <f>'1 prepared data'!J529</f>
        <v/>
      </c>
      <c r="L536" s="7">
        <f>'1 prepared data'!K529</f>
        <v/>
      </c>
      <c r="M536" s="7">
        <f>'1 prepared data'!L529</f>
        <v/>
      </c>
      <c r="N536" s="7">
        <f>'1 prepared data'!M529</f>
        <v/>
      </c>
      <c r="O536" s="7">
        <f>'1 prepared data'!N529</f>
        <v/>
      </c>
      <c r="P536" s="7">
        <f>'1 prepared data'!O529</f>
        <v/>
      </c>
      <c r="Q536" s="7">
        <f>'1 prepared data'!P529</f>
        <v/>
      </c>
      <c r="R536" s="7">
        <f>'1 prepared data'!Q529</f>
        <v/>
      </c>
      <c r="S536" s="7">
        <f>'1 prepared data'!R529</f>
        <v/>
      </c>
      <c r="T536" s="7">
        <f>'1 prepared data'!S529</f>
        <v/>
      </c>
      <c r="U536" s="7">
        <f>'1 prepared data'!T529</f>
        <v/>
      </c>
      <c r="V536" s="8">
        <f>$AC$12+D536*$AC$13+E536*$AC$14+F536*$AC$15+G536*$AC$16+H536*$AC$17+I536*$AC$18+J536*$AC$19+K536*$AC$20+L536*$AC$21+M536*$AC$22+N536*$AC$23+O536*$AC$24+P536*$AC$25+Q536*$AC$26+R536*$AC$27+S536*$AC$28+T536*$AC$29+U536*$AC$30</f>
        <v/>
      </c>
      <c r="W536" s="8">
        <f>1/(1+EXP(-V536))</f>
        <v/>
      </c>
      <c r="X536" s="9">
        <f>-IF(C536=1,LN(W536),LN(1-W536))</f>
        <v/>
      </c>
      <c r="Y536" s="10">
        <f>IF(W536&gt;$AC$33,1,0)</f>
        <v/>
      </c>
      <c r="Z536">
        <f>IF(Y536=C536,1,0)</f>
        <v/>
      </c>
    </row>
    <row r="537">
      <c r="A537">
        <f>'1 prepared data'!A530</f>
        <v/>
      </c>
      <c r="B537" s="5">
        <f>'1 prepared data'!U530</f>
        <v/>
      </c>
      <c r="C537">
        <f>'1 prepared data'!B530</f>
        <v/>
      </c>
      <c r="D537" s="7">
        <f>'1 prepared data'!C530</f>
        <v/>
      </c>
      <c r="E537" s="7">
        <f>'1 prepared data'!D530</f>
        <v/>
      </c>
      <c r="F537" s="7">
        <f>'1 prepared data'!E530</f>
        <v/>
      </c>
      <c r="G537" s="7">
        <f>'1 prepared data'!F530</f>
        <v/>
      </c>
      <c r="H537" s="7">
        <f>'1 prepared data'!G530</f>
        <v/>
      </c>
      <c r="I537" s="7">
        <f>'1 prepared data'!H530</f>
        <v/>
      </c>
      <c r="J537" s="7">
        <f>'1 prepared data'!I530</f>
        <v/>
      </c>
      <c r="K537" s="7">
        <f>'1 prepared data'!J530</f>
        <v/>
      </c>
      <c r="L537" s="7">
        <f>'1 prepared data'!K530</f>
        <v/>
      </c>
      <c r="M537" s="7">
        <f>'1 prepared data'!L530</f>
        <v/>
      </c>
      <c r="N537" s="7">
        <f>'1 prepared data'!M530</f>
        <v/>
      </c>
      <c r="O537" s="7">
        <f>'1 prepared data'!N530</f>
        <v/>
      </c>
      <c r="P537" s="7">
        <f>'1 prepared data'!O530</f>
        <v/>
      </c>
      <c r="Q537" s="7">
        <f>'1 prepared data'!P530</f>
        <v/>
      </c>
      <c r="R537" s="7">
        <f>'1 prepared data'!Q530</f>
        <v/>
      </c>
      <c r="S537" s="7">
        <f>'1 prepared data'!R530</f>
        <v/>
      </c>
      <c r="T537" s="7">
        <f>'1 prepared data'!S530</f>
        <v/>
      </c>
      <c r="U537" s="7">
        <f>'1 prepared data'!T530</f>
        <v/>
      </c>
      <c r="V537" s="8">
        <f>$AC$12+D537*$AC$13+E537*$AC$14+F537*$AC$15+G537*$AC$16+H537*$AC$17+I537*$AC$18+J537*$AC$19+K537*$AC$20+L537*$AC$21+M537*$AC$22+N537*$AC$23+O537*$AC$24+P537*$AC$25+Q537*$AC$26+R537*$AC$27+S537*$AC$28+T537*$AC$29+U537*$AC$30</f>
        <v/>
      </c>
      <c r="W537" s="8">
        <f>1/(1+EXP(-V537))</f>
        <v/>
      </c>
      <c r="X537" s="9">
        <f>-IF(C537=1,LN(W537),LN(1-W537))</f>
        <v/>
      </c>
      <c r="Y537" s="10">
        <f>IF(W537&gt;$AC$33,1,0)</f>
        <v/>
      </c>
      <c r="Z537">
        <f>IF(Y537=C537,1,0)</f>
        <v/>
      </c>
    </row>
    <row r="538">
      <c r="A538">
        <f>'1 prepared data'!A531</f>
        <v/>
      </c>
      <c r="B538" s="5">
        <f>'1 prepared data'!U531</f>
        <v/>
      </c>
      <c r="C538">
        <f>'1 prepared data'!B531</f>
        <v/>
      </c>
      <c r="D538" s="7">
        <f>'1 prepared data'!C531</f>
        <v/>
      </c>
      <c r="E538" s="7">
        <f>'1 prepared data'!D531</f>
        <v/>
      </c>
      <c r="F538" s="7">
        <f>'1 prepared data'!E531</f>
        <v/>
      </c>
      <c r="G538" s="7">
        <f>'1 prepared data'!F531</f>
        <v/>
      </c>
      <c r="H538" s="7">
        <f>'1 prepared data'!G531</f>
        <v/>
      </c>
      <c r="I538" s="7">
        <f>'1 prepared data'!H531</f>
        <v/>
      </c>
      <c r="J538" s="7">
        <f>'1 prepared data'!I531</f>
        <v/>
      </c>
      <c r="K538" s="7">
        <f>'1 prepared data'!J531</f>
        <v/>
      </c>
      <c r="L538" s="7">
        <f>'1 prepared data'!K531</f>
        <v/>
      </c>
      <c r="M538" s="7">
        <f>'1 prepared data'!L531</f>
        <v/>
      </c>
      <c r="N538" s="7">
        <f>'1 prepared data'!M531</f>
        <v/>
      </c>
      <c r="O538" s="7">
        <f>'1 prepared data'!N531</f>
        <v/>
      </c>
      <c r="P538" s="7">
        <f>'1 prepared data'!O531</f>
        <v/>
      </c>
      <c r="Q538" s="7">
        <f>'1 prepared data'!P531</f>
        <v/>
      </c>
      <c r="R538" s="7">
        <f>'1 prepared data'!Q531</f>
        <v/>
      </c>
      <c r="S538" s="7">
        <f>'1 prepared data'!R531</f>
        <v/>
      </c>
      <c r="T538" s="7">
        <f>'1 prepared data'!S531</f>
        <v/>
      </c>
      <c r="U538" s="7">
        <f>'1 prepared data'!T531</f>
        <v/>
      </c>
      <c r="V538" s="8">
        <f>$AC$12+D538*$AC$13+E538*$AC$14+F538*$AC$15+G538*$AC$16+H538*$AC$17+I538*$AC$18+J538*$AC$19+K538*$AC$20+L538*$AC$21+M538*$AC$22+N538*$AC$23+O538*$AC$24+P538*$AC$25+Q538*$AC$26+R538*$AC$27+S538*$AC$28+T538*$AC$29+U538*$AC$30</f>
        <v/>
      </c>
      <c r="W538" s="8">
        <f>1/(1+EXP(-V538))</f>
        <v/>
      </c>
      <c r="X538" s="9">
        <f>-IF(C538=1,LN(W538),LN(1-W538))</f>
        <v/>
      </c>
      <c r="Y538" s="10">
        <f>IF(W538&gt;$AC$33,1,0)</f>
        <v/>
      </c>
      <c r="Z538">
        <f>IF(Y538=C538,1,0)</f>
        <v/>
      </c>
    </row>
    <row r="539">
      <c r="A539">
        <f>'1 prepared data'!A532</f>
        <v/>
      </c>
      <c r="B539" s="5">
        <f>'1 prepared data'!U532</f>
        <v/>
      </c>
      <c r="C539">
        <f>'1 prepared data'!B532</f>
        <v/>
      </c>
      <c r="D539" s="7">
        <f>'1 prepared data'!C532</f>
        <v/>
      </c>
      <c r="E539" s="7">
        <f>'1 prepared data'!D532</f>
        <v/>
      </c>
      <c r="F539" s="7">
        <f>'1 prepared data'!E532</f>
        <v/>
      </c>
      <c r="G539" s="7">
        <f>'1 prepared data'!F532</f>
        <v/>
      </c>
      <c r="H539" s="7">
        <f>'1 prepared data'!G532</f>
        <v/>
      </c>
      <c r="I539" s="7">
        <f>'1 prepared data'!H532</f>
        <v/>
      </c>
      <c r="J539" s="7">
        <f>'1 prepared data'!I532</f>
        <v/>
      </c>
      <c r="K539" s="7">
        <f>'1 prepared data'!J532</f>
        <v/>
      </c>
      <c r="L539" s="7">
        <f>'1 prepared data'!K532</f>
        <v/>
      </c>
      <c r="M539" s="7">
        <f>'1 prepared data'!L532</f>
        <v/>
      </c>
      <c r="N539" s="7">
        <f>'1 prepared data'!M532</f>
        <v/>
      </c>
      <c r="O539" s="7">
        <f>'1 prepared data'!N532</f>
        <v/>
      </c>
      <c r="P539" s="7">
        <f>'1 prepared data'!O532</f>
        <v/>
      </c>
      <c r="Q539" s="7">
        <f>'1 prepared data'!P532</f>
        <v/>
      </c>
      <c r="R539" s="7">
        <f>'1 prepared data'!Q532</f>
        <v/>
      </c>
      <c r="S539" s="7">
        <f>'1 prepared data'!R532</f>
        <v/>
      </c>
      <c r="T539" s="7">
        <f>'1 prepared data'!S532</f>
        <v/>
      </c>
      <c r="U539" s="7">
        <f>'1 prepared data'!T532</f>
        <v/>
      </c>
      <c r="V539" s="8">
        <f>$AC$12+D539*$AC$13+E539*$AC$14+F539*$AC$15+G539*$AC$16+H539*$AC$17+I539*$AC$18+J539*$AC$19+K539*$AC$20+L539*$AC$21+M539*$AC$22+N539*$AC$23+O539*$AC$24+P539*$AC$25+Q539*$AC$26+R539*$AC$27+S539*$AC$28+T539*$AC$29+U539*$AC$30</f>
        <v/>
      </c>
      <c r="W539" s="8">
        <f>1/(1+EXP(-V539))</f>
        <v/>
      </c>
      <c r="X539" s="9">
        <f>-IF(C539=1,LN(W539),LN(1-W539))</f>
        <v/>
      </c>
      <c r="Y539" s="10">
        <f>IF(W539&gt;$AC$33,1,0)</f>
        <v/>
      </c>
      <c r="Z539">
        <f>IF(Y539=C539,1,0)</f>
        <v/>
      </c>
    </row>
    <row r="540">
      <c r="A540">
        <f>'1 prepared data'!A533</f>
        <v/>
      </c>
      <c r="B540" s="5">
        <f>'1 prepared data'!U533</f>
        <v/>
      </c>
      <c r="C540">
        <f>'1 prepared data'!B533</f>
        <v/>
      </c>
      <c r="D540" s="7">
        <f>'1 prepared data'!C533</f>
        <v/>
      </c>
      <c r="E540" s="7">
        <f>'1 prepared data'!D533</f>
        <v/>
      </c>
      <c r="F540" s="7">
        <f>'1 prepared data'!E533</f>
        <v/>
      </c>
      <c r="G540" s="7">
        <f>'1 prepared data'!F533</f>
        <v/>
      </c>
      <c r="H540" s="7">
        <f>'1 prepared data'!G533</f>
        <v/>
      </c>
      <c r="I540" s="7">
        <f>'1 prepared data'!H533</f>
        <v/>
      </c>
      <c r="J540" s="7">
        <f>'1 prepared data'!I533</f>
        <v/>
      </c>
      <c r="K540" s="7">
        <f>'1 prepared data'!J533</f>
        <v/>
      </c>
      <c r="L540" s="7">
        <f>'1 prepared data'!K533</f>
        <v/>
      </c>
      <c r="M540" s="7">
        <f>'1 prepared data'!L533</f>
        <v/>
      </c>
      <c r="N540" s="7">
        <f>'1 prepared data'!M533</f>
        <v/>
      </c>
      <c r="O540" s="7">
        <f>'1 prepared data'!N533</f>
        <v/>
      </c>
      <c r="P540" s="7">
        <f>'1 prepared data'!O533</f>
        <v/>
      </c>
      <c r="Q540" s="7">
        <f>'1 prepared data'!P533</f>
        <v/>
      </c>
      <c r="R540" s="7">
        <f>'1 prepared data'!Q533</f>
        <v/>
      </c>
      <c r="S540" s="7">
        <f>'1 prepared data'!R533</f>
        <v/>
      </c>
      <c r="T540" s="7">
        <f>'1 prepared data'!S533</f>
        <v/>
      </c>
      <c r="U540" s="7">
        <f>'1 prepared data'!T533</f>
        <v/>
      </c>
      <c r="V540" s="8">
        <f>$AC$12+D540*$AC$13+E540*$AC$14+F540*$AC$15+G540*$AC$16+H540*$AC$17+I540*$AC$18+J540*$AC$19+K540*$AC$20+L540*$AC$21+M540*$AC$22+N540*$AC$23+O540*$AC$24+P540*$AC$25+Q540*$AC$26+R540*$AC$27+S540*$AC$28+T540*$AC$29+U540*$AC$30</f>
        <v/>
      </c>
      <c r="W540" s="8">
        <f>1/(1+EXP(-V540))</f>
        <v/>
      </c>
      <c r="X540" s="9">
        <f>-IF(C540=1,LN(W540),LN(1-W540))</f>
        <v/>
      </c>
      <c r="Y540" s="10">
        <f>IF(W540&gt;$AC$33,1,0)</f>
        <v/>
      </c>
      <c r="Z540">
        <f>IF(Y540=C540,1,0)</f>
        <v/>
      </c>
    </row>
    <row r="541">
      <c r="A541">
        <f>'1 prepared data'!A534</f>
        <v/>
      </c>
      <c r="B541" s="5">
        <f>'1 prepared data'!U534</f>
        <v/>
      </c>
      <c r="C541">
        <f>'1 prepared data'!B534</f>
        <v/>
      </c>
      <c r="D541" s="7">
        <f>'1 prepared data'!C534</f>
        <v/>
      </c>
      <c r="E541" s="7">
        <f>'1 prepared data'!D534</f>
        <v/>
      </c>
      <c r="F541" s="7">
        <f>'1 prepared data'!E534</f>
        <v/>
      </c>
      <c r="G541" s="7">
        <f>'1 prepared data'!F534</f>
        <v/>
      </c>
      <c r="H541" s="7">
        <f>'1 prepared data'!G534</f>
        <v/>
      </c>
      <c r="I541" s="7">
        <f>'1 prepared data'!H534</f>
        <v/>
      </c>
      <c r="J541" s="7">
        <f>'1 prepared data'!I534</f>
        <v/>
      </c>
      <c r="K541" s="7">
        <f>'1 prepared data'!J534</f>
        <v/>
      </c>
      <c r="L541" s="7">
        <f>'1 prepared data'!K534</f>
        <v/>
      </c>
      <c r="M541" s="7">
        <f>'1 prepared data'!L534</f>
        <v/>
      </c>
      <c r="N541" s="7">
        <f>'1 prepared data'!M534</f>
        <v/>
      </c>
      <c r="O541" s="7">
        <f>'1 prepared data'!N534</f>
        <v/>
      </c>
      <c r="P541" s="7">
        <f>'1 prepared data'!O534</f>
        <v/>
      </c>
      <c r="Q541" s="7">
        <f>'1 prepared data'!P534</f>
        <v/>
      </c>
      <c r="R541" s="7">
        <f>'1 prepared data'!Q534</f>
        <v/>
      </c>
      <c r="S541" s="7">
        <f>'1 prepared data'!R534</f>
        <v/>
      </c>
      <c r="T541" s="7">
        <f>'1 prepared data'!S534</f>
        <v/>
      </c>
      <c r="U541" s="7">
        <f>'1 prepared data'!T534</f>
        <v/>
      </c>
      <c r="V541" s="8">
        <f>$AC$12+D541*$AC$13+E541*$AC$14+F541*$AC$15+G541*$AC$16+H541*$AC$17+I541*$AC$18+J541*$AC$19+K541*$AC$20+L541*$AC$21+M541*$AC$22+N541*$AC$23+O541*$AC$24+P541*$AC$25+Q541*$AC$26+R541*$AC$27+S541*$AC$28+T541*$AC$29+U541*$AC$30</f>
        <v/>
      </c>
      <c r="W541" s="8">
        <f>1/(1+EXP(-V541))</f>
        <v/>
      </c>
      <c r="X541" s="9">
        <f>-IF(C541=1,LN(W541),LN(1-W541))</f>
        <v/>
      </c>
      <c r="Y541" s="10">
        <f>IF(W541&gt;$AC$33,1,0)</f>
        <v/>
      </c>
      <c r="Z541">
        <f>IF(Y541=C541,1,0)</f>
        <v/>
      </c>
    </row>
    <row r="542">
      <c r="A542">
        <f>'1 prepared data'!A535</f>
        <v/>
      </c>
      <c r="B542" s="5">
        <f>'1 prepared data'!U535</f>
        <v/>
      </c>
      <c r="C542">
        <f>'1 prepared data'!B535</f>
        <v/>
      </c>
      <c r="D542" s="7">
        <f>'1 prepared data'!C535</f>
        <v/>
      </c>
      <c r="E542" s="7">
        <f>'1 prepared data'!D535</f>
        <v/>
      </c>
      <c r="F542" s="7">
        <f>'1 prepared data'!E535</f>
        <v/>
      </c>
      <c r="G542" s="7">
        <f>'1 prepared data'!F535</f>
        <v/>
      </c>
      <c r="H542" s="7">
        <f>'1 prepared data'!G535</f>
        <v/>
      </c>
      <c r="I542" s="7">
        <f>'1 prepared data'!H535</f>
        <v/>
      </c>
      <c r="J542" s="7">
        <f>'1 prepared data'!I535</f>
        <v/>
      </c>
      <c r="K542" s="7">
        <f>'1 prepared data'!J535</f>
        <v/>
      </c>
      <c r="L542" s="7">
        <f>'1 prepared data'!K535</f>
        <v/>
      </c>
      <c r="M542" s="7">
        <f>'1 prepared data'!L535</f>
        <v/>
      </c>
      <c r="N542" s="7">
        <f>'1 prepared data'!M535</f>
        <v/>
      </c>
      <c r="O542" s="7">
        <f>'1 prepared data'!N535</f>
        <v/>
      </c>
      <c r="P542" s="7">
        <f>'1 prepared data'!O535</f>
        <v/>
      </c>
      <c r="Q542" s="7">
        <f>'1 prepared data'!P535</f>
        <v/>
      </c>
      <c r="R542" s="7">
        <f>'1 prepared data'!Q535</f>
        <v/>
      </c>
      <c r="S542" s="7">
        <f>'1 prepared data'!R535</f>
        <v/>
      </c>
      <c r="T542" s="7">
        <f>'1 prepared data'!S535</f>
        <v/>
      </c>
      <c r="U542" s="7">
        <f>'1 prepared data'!T535</f>
        <v/>
      </c>
      <c r="V542" s="8">
        <f>$AC$12+D542*$AC$13+E542*$AC$14+F542*$AC$15+G542*$AC$16+H542*$AC$17+I542*$AC$18+J542*$AC$19+K542*$AC$20+L542*$AC$21+M542*$AC$22+N542*$AC$23+O542*$AC$24+P542*$AC$25+Q542*$AC$26+R542*$AC$27+S542*$AC$28+T542*$AC$29+U542*$AC$30</f>
        <v/>
      </c>
      <c r="W542" s="8">
        <f>1/(1+EXP(-V542))</f>
        <v/>
      </c>
      <c r="X542" s="9">
        <f>-IF(C542=1,LN(W542),LN(1-W542))</f>
        <v/>
      </c>
      <c r="Y542" s="10">
        <f>IF(W542&gt;$AC$33,1,0)</f>
        <v/>
      </c>
      <c r="Z542">
        <f>IF(Y542=C542,1,0)</f>
        <v/>
      </c>
    </row>
    <row r="543">
      <c r="A543">
        <f>'1 prepared data'!A536</f>
        <v/>
      </c>
      <c r="B543" s="5">
        <f>'1 prepared data'!U536</f>
        <v/>
      </c>
      <c r="C543">
        <f>'1 prepared data'!B536</f>
        <v/>
      </c>
      <c r="D543" s="7">
        <f>'1 prepared data'!C536</f>
        <v/>
      </c>
      <c r="E543" s="7">
        <f>'1 prepared data'!D536</f>
        <v/>
      </c>
      <c r="F543" s="7">
        <f>'1 prepared data'!E536</f>
        <v/>
      </c>
      <c r="G543" s="7">
        <f>'1 prepared data'!F536</f>
        <v/>
      </c>
      <c r="H543" s="7">
        <f>'1 prepared data'!G536</f>
        <v/>
      </c>
      <c r="I543" s="7">
        <f>'1 prepared data'!H536</f>
        <v/>
      </c>
      <c r="J543" s="7">
        <f>'1 prepared data'!I536</f>
        <v/>
      </c>
      <c r="K543" s="7">
        <f>'1 prepared data'!J536</f>
        <v/>
      </c>
      <c r="L543" s="7">
        <f>'1 prepared data'!K536</f>
        <v/>
      </c>
      <c r="M543" s="7">
        <f>'1 prepared data'!L536</f>
        <v/>
      </c>
      <c r="N543" s="7">
        <f>'1 prepared data'!M536</f>
        <v/>
      </c>
      <c r="O543" s="7">
        <f>'1 prepared data'!N536</f>
        <v/>
      </c>
      <c r="P543" s="7">
        <f>'1 prepared data'!O536</f>
        <v/>
      </c>
      <c r="Q543" s="7">
        <f>'1 prepared data'!P536</f>
        <v/>
      </c>
      <c r="R543" s="7">
        <f>'1 prepared data'!Q536</f>
        <v/>
      </c>
      <c r="S543" s="7">
        <f>'1 prepared data'!R536</f>
        <v/>
      </c>
      <c r="T543" s="7">
        <f>'1 prepared data'!S536</f>
        <v/>
      </c>
      <c r="U543" s="7">
        <f>'1 prepared data'!T536</f>
        <v/>
      </c>
      <c r="V543" s="8">
        <f>$AC$12+D543*$AC$13+E543*$AC$14+F543*$AC$15+G543*$AC$16+H543*$AC$17+I543*$AC$18+J543*$AC$19+K543*$AC$20+L543*$AC$21+M543*$AC$22+N543*$AC$23+O543*$AC$24+P543*$AC$25+Q543*$AC$26+R543*$AC$27+S543*$AC$28+T543*$AC$29+U543*$AC$30</f>
        <v/>
      </c>
      <c r="W543" s="8">
        <f>1/(1+EXP(-V543))</f>
        <v/>
      </c>
      <c r="X543" s="9">
        <f>-IF(C543=1,LN(W543),LN(1-W543))</f>
        <v/>
      </c>
      <c r="Y543" s="10">
        <f>IF(W543&gt;$AC$33,1,0)</f>
        <v/>
      </c>
      <c r="Z543">
        <f>IF(Y543=C543,1,0)</f>
        <v/>
      </c>
    </row>
    <row r="544">
      <c r="A544">
        <f>'1 prepared data'!A537</f>
        <v/>
      </c>
      <c r="B544" s="5">
        <f>'1 prepared data'!U537</f>
        <v/>
      </c>
      <c r="C544">
        <f>'1 prepared data'!B537</f>
        <v/>
      </c>
      <c r="D544" s="7">
        <f>'1 prepared data'!C537</f>
        <v/>
      </c>
      <c r="E544" s="7">
        <f>'1 prepared data'!D537</f>
        <v/>
      </c>
      <c r="F544" s="7">
        <f>'1 prepared data'!E537</f>
        <v/>
      </c>
      <c r="G544" s="7">
        <f>'1 prepared data'!F537</f>
        <v/>
      </c>
      <c r="H544" s="7">
        <f>'1 prepared data'!G537</f>
        <v/>
      </c>
      <c r="I544" s="7">
        <f>'1 prepared data'!H537</f>
        <v/>
      </c>
      <c r="J544" s="7">
        <f>'1 prepared data'!I537</f>
        <v/>
      </c>
      <c r="K544" s="7">
        <f>'1 prepared data'!J537</f>
        <v/>
      </c>
      <c r="L544" s="7">
        <f>'1 prepared data'!K537</f>
        <v/>
      </c>
      <c r="M544" s="7">
        <f>'1 prepared data'!L537</f>
        <v/>
      </c>
      <c r="N544" s="7">
        <f>'1 prepared data'!M537</f>
        <v/>
      </c>
      <c r="O544" s="7">
        <f>'1 prepared data'!N537</f>
        <v/>
      </c>
      <c r="P544" s="7">
        <f>'1 prepared data'!O537</f>
        <v/>
      </c>
      <c r="Q544" s="7">
        <f>'1 prepared data'!P537</f>
        <v/>
      </c>
      <c r="R544" s="7">
        <f>'1 prepared data'!Q537</f>
        <v/>
      </c>
      <c r="S544" s="7">
        <f>'1 prepared data'!R537</f>
        <v/>
      </c>
      <c r="T544" s="7">
        <f>'1 prepared data'!S537</f>
        <v/>
      </c>
      <c r="U544" s="7">
        <f>'1 prepared data'!T537</f>
        <v/>
      </c>
      <c r="V544" s="8">
        <f>$AC$12+D544*$AC$13+E544*$AC$14+F544*$AC$15+G544*$AC$16+H544*$AC$17+I544*$AC$18+J544*$AC$19+K544*$AC$20+L544*$AC$21+M544*$AC$22+N544*$AC$23+O544*$AC$24+P544*$AC$25+Q544*$AC$26+R544*$AC$27+S544*$AC$28+T544*$AC$29+U544*$AC$30</f>
        <v/>
      </c>
      <c r="W544" s="8">
        <f>1/(1+EXP(-V544))</f>
        <v/>
      </c>
      <c r="X544" s="9">
        <f>-IF(C544=1,LN(W544),LN(1-W544))</f>
        <v/>
      </c>
      <c r="Y544" s="10">
        <f>IF(W544&gt;$AC$33,1,0)</f>
        <v/>
      </c>
      <c r="Z544">
        <f>IF(Y544=C544,1,0)</f>
        <v/>
      </c>
    </row>
    <row r="545">
      <c r="A545">
        <f>'1 prepared data'!A538</f>
        <v/>
      </c>
      <c r="B545" s="5">
        <f>'1 prepared data'!U538</f>
        <v/>
      </c>
      <c r="C545">
        <f>'1 prepared data'!B538</f>
        <v/>
      </c>
      <c r="D545" s="7">
        <f>'1 prepared data'!C538</f>
        <v/>
      </c>
      <c r="E545" s="7">
        <f>'1 prepared data'!D538</f>
        <v/>
      </c>
      <c r="F545" s="7">
        <f>'1 prepared data'!E538</f>
        <v/>
      </c>
      <c r="G545" s="7">
        <f>'1 prepared data'!F538</f>
        <v/>
      </c>
      <c r="H545" s="7">
        <f>'1 prepared data'!G538</f>
        <v/>
      </c>
      <c r="I545" s="7">
        <f>'1 prepared data'!H538</f>
        <v/>
      </c>
      <c r="J545" s="7">
        <f>'1 prepared data'!I538</f>
        <v/>
      </c>
      <c r="K545" s="7">
        <f>'1 prepared data'!J538</f>
        <v/>
      </c>
      <c r="L545" s="7">
        <f>'1 prepared data'!K538</f>
        <v/>
      </c>
      <c r="M545" s="7">
        <f>'1 prepared data'!L538</f>
        <v/>
      </c>
      <c r="N545" s="7">
        <f>'1 prepared data'!M538</f>
        <v/>
      </c>
      <c r="O545" s="7">
        <f>'1 prepared data'!N538</f>
        <v/>
      </c>
      <c r="P545" s="7">
        <f>'1 prepared data'!O538</f>
        <v/>
      </c>
      <c r="Q545" s="7">
        <f>'1 prepared data'!P538</f>
        <v/>
      </c>
      <c r="R545" s="7">
        <f>'1 prepared data'!Q538</f>
        <v/>
      </c>
      <c r="S545" s="7">
        <f>'1 prepared data'!R538</f>
        <v/>
      </c>
      <c r="T545" s="7">
        <f>'1 prepared data'!S538</f>
        <v/>
      </c>
      <c r="U545" s="7">
        <f>'1 prepared data'!T538</f>
        <v/>
      </c>
      <c r="V545" s="8">
        <f>$AC$12+D545*$AC$13+E545*$AC$14+F545*$AC$15+G545*$AC$16+H545*$AC$17+I545*$AC$18+J545*$AC$19+K545*$AC$20+L545*$AC$21+M545*$AC$22+N545*$AC$23+O545*$AC$24+P545*$AC$25+Q545*$AC$26+R545*$AC$27+S545*$AC$28+T545*$AC$29+U545*$AC$30</f>
        <v/>
      </c>
      <c r="W545" s="8">
        <f>1/(1+EXP(-V545))</f>
        <v/>
      </c>
      <c r="X545" s="9">
        <f>-IF(C545=1,LN(W545),LN(1-W545))</f>
        <v/>
      </c>
      <c r="Y545" s="10">
        <f>IF(W545&gt;$AC$33,1,0)</f>
        <v/>
      </c>
      <c r="Z545">
        <f>IF(Y545=C545,1,0)</f>
        <v/>
      </c>
    </row>
    <row r="546">
      <c r="A546">
        <f>'1 prepared data'!A539</f>
        <v/>
      </c>
      <c r="B546" s="5">
        <f>'1 prepared data'!U539</f>
        <v/>
      </c>
      <c r="C546">
        <f>'1 prepared data'!B539</f>
        <v/>
      </c>
      <c r="D546" s="7">
        <f>'1 prepared data'!C539</f>
        <v/>
      </c>
      <c r="E546" s="7">
        <f>'1 prepared data'!D539</f>
        <v/>
      </c>
      <c r="F546" s="7">
        <f>'1 prepared data'!E539</f>
        <v/>
      </c>
      <c r="G546" s="7">
        <f>'1 prepared data'!F539</f>
        <v/>
      </c>
      <c r="H546" s="7">
        <f>'1 prepared data'!G539</f>
        <v/>
      </c>
      <c r="I546" s="7">
        <f>'1 prepared data'!H539</f>
        <v/>
      </c>
      <c r="J546" s="7">
        <f>'1 prepared data'!I539</f>
        <v/>
      </c>
      <c r="K546" s="7">
        <f>'1 prepared data'!J539</f>
        <v/>
      </c>
      <c r="L546" s="7">
        <f>'1 prepared data'!K539</f>
        <v/>
      </c>
      <c r="M546" s="7">
        <f>'1 prepared data'!L539</f>
        <v/>
      </c>
      <c r="N546" s="7">
        <f>'1 prepared data'!M539</f>
        <v/>
      </c>
      <c r="O546" s="7">
        <f>'1 prepared data'!N539</f>
        <v/>
      </c>
      <c r="P546" s="7">
        <f>'1 prepared data'!O539</f>
        <v/>
      </c>
      <c r="Q546" s="7">
        <f>'1 prepared data'!P539</f>
        <v/>
      </c>
      <c r="R546" s="7">
        <f>'1 prepared data'!Q539</f>
        <v/>
      </c>
      <c r="S546" s="7">
        <f>'1 prepared data'!R539</f>
        <v/>
      </c>
      <c r="T546" s="7">
        <f>'1 prepared data'!S539</f>
        <v/>
      </c>
      <c r="U546" s="7">
        <f>'1 prepared data'!T539</f>
        <v/>
      </c>
      <c r="V546" s="8">
        <f>$AC$12+D546*$AC$13+E546*$AC$14+F546*$AC$15+G546*$AC$16+H546*$AC$17+I546*$AC$18+J546*$AC$19+K546*$AC$20+L546*$AC$21+M546*$AC$22+N546*$AC$23+O546*$AC$24+P546*$AC$25+Q546*$AC$26+R546*$AC$27+S546*$AC$28+T546*$AC$29+U546*$AC$30</f>
        <v/>
      </c>
      <c r="W546" s="8">
        <f>1/(1+EXP(-V546))</f>
        <v/>
      </c>
      <c r="X546" s="9">
        <f>-IF(C546=1,LN(W546),LN(1-W546))</f>
        <v/>
      </c>
      <c r="Y546" s="10">
        <f>IF(W546&gt;$AC$33,1,0)</f>
        <v/>
      </c>
      <c r="Z546">
        <f>IF(Y546=C546,1,0)</f>
        <v/>
      </c>
    </row>
    <row r="547">
      <c r="A547">
        <f>'1 prepared data'!A540</f>
        <v/>
      </c>
      <c r="B547" s="5">
        <f>'1 prepared data'!U540</f>
        <v/>
      </c>
      <c r="C547">
        <f>'1 prepared data'!B540</f>
        <v/>
      </c>
      <c r="D547" s="7">
        <f>'1 prepared data'!C540</f>
        <v/>
      </c>
      <c r="E547" s="7">
        <f>'1 prepared data'!D540</f>
        <v/>
      </c>
      <c r="F547" s="7">
        <f>'1 prepared data'!E540</f>
        <v/>
      </c>
      <c r="G547" s="7">
        <f>'1 prepared data'!F540</f>
        <v/>
      </c>
      <c r="H547" s="7">
        <f>'1 prepared data'!G540</f>
        <v/>
      </c>
      <c r="I547" s="7">
        <f>'1 prepared data'!H540</f>
        <v/>
      </c>
      <c r="J547" s="7">
        <f>'1 prepared data'!I540</f>
        <v/>
      </c>
      <c r="K547" s="7">
        <f>'1 prepared data'!J540</f>
        <v/>
      </c>
      <c r="L547" s="7">
        <f>'1 prepared data'!K540</f>
        <v/>
      </c>
      <c r="M547" s="7">
        <f>'1 prepared data'!L540</f>
        <v/>
      </c>
      <c r="N547" s="7">
        <f>'1 prepared data'!M540</f>
        <v/>
      </c>
      <c r="O547" s="7">
        <f>'1 prepared data'!N540</f>
        <v/>
      </c>
      <c r="P547" s="7">
        <f>'1 prepared data'!O540</f>
        <v/>
      </c>
      <c r="Q547" s="7">
        <f>'1 prepared data'!P540</f>
        <v/>
      </c>
      <c r="R547" s="7">
        <f>'1 prepared data'!Q540</f>
        <v/>
      </c>
      <c r="S547" s="7">
        <f>'1 prepared data'!R540</f>
        <v/>
      </c>
      <c r="T547" s="7">
        <f>'1 prepared data'!S540</f>
        <v/>
      </c>
      <c r="U547" s="7">
        <f>'1 prepared data'!T540</f>
        <v/>
      </c>
      <c r="V547" s="8">
        <f>$AC$12+D547*$AC$13+E547*$AC$14+F547*$AC$15+G547*$AC$16+H547*$AC$17+I547*$AC$18+J547*$AC$19+K547*$AC$20+L547*$AC$21+M547*$AC$22+N547*$AC$23+O547*$AC$24+P547*$AC$25+Q547*$AC$26+R547*$AC$27+S547*$AC$28+T547*$AC$29+U547*$AC$30</f>
        <v/>
      </c>
      <c r="W547" s="8">
        <f>1/(1+EXP(-V547))</f>
        <v/>
      </c>
      <c r="X547" s="9">
        <f>-IF(C547=1,LN(W547),LN(1-W547))</f>
        <v/>
      </c>
      <c r="Y547" s="10">
        <f>IF(W547&gt;$AC$33,1,0)</f>
        <v/>
      </c>
      <c r="Z547">
        <f>IF(Y547=C547,1,0)</f>
        <v/>
      </c>
    </row>
    <row r="548">
      <c r="A548">
        <f>'1 prepared data'!A541</f>
        <v/>
      </c>
      <c r="B548" s="5">
        <f>'1 prepared data'!U541</f>
        <v/>
      </c>
      <c r="C548">
        <f>'1 prepared data'!B541</f>
        <v/>
      </c>
      <c r="D548" s="7">
        <f>'1 prepared data'!C541</f>
        <v/>
      </c>
      <c r="E548" s="7">
        <f>'1 prepared data'!D541</f>
        <v/>
      </c>
      <c r="F548" s="7">
        <f>'1 prepared data'!E541</f>
        <v/>
      </c>
      <c r="G548" s="7">
        <f>'1 prepared data'!F541</f>
        <v/>
      </c>
      <c r="H548" s="7">
        <f>'1 prepared data'!G541</f>
        <v/>
      </c>
      <c r="I548" s="7">
        <f>'1 prepared data'!H541</f>
        <v/>
      </c>
      <c r="J548" s="7">
        <f>'1 prepared data'!I541</f>
        <v/>
      </c>
      <c r="K548" s="7">
        <f>'1 prepared data'!J541</f>
        <v/>
      </c>
      <c r="L548" s="7">
        <f>'1 prepared data'!K541</f>
        <v/>
      </c>
      <c r="M548" s="7">
        <f>'1 prepared data'!L541</f>
        <v/>
      </c>
      <c r="N548" s="7">
        <f>'1 prepared data'!M541</f>
        <v/>
      </c>
      <c r="O548" s="7">
        <f>'1 prepared data'!N541</f>
        <v/>
      </c>
      <c r="P548" s="7">
        <f>'1 prepared data'!O541</f>
        <v/>
      </c>
      <c r="Q548" s="7">
        <f>'1 prepared data'!P541</f>
        <v/>
      </c>
      <c r="R548" s="7">
        <f>'1 prepared data'!Q541</f>
        <v/>
      </c>
      <c r="S548" s="7">
        <f>'1 prepared data'!R541</f>
        <v/>
      </c>
      <c r="T548" s="7">
        <f>'1 prepared data'!S541</f>
        <v/>
      </c>
      <c r="U548" s="7">
        <f>'1 prepared data'!T541</f>
        <v/>
      </c>
      <c r="V548" s="8">
        <f>$AC$12+D548*$AC$13+E548*$AC$14+F548*$AC$15+G548*$AC$16+H548*$AC$17+I548*$AC$18+J548*$AC$19+K548*$AC$20+L548*$AC$21+M548*$AC$22+N548*$AC$23+O548*$AC$24+P548*$AC$25+Q548*$AC$26+R548*$AC$27+S548*$AC$28+T548*$AC$29+U548*$AC$30</f>
        <v/>
      </c>
      <c r="W548" s="8">
        <f>1/(1+EXP(-V548))</f>
        <v/>
      </c>
      <c r="X548" s="9">
        <f>-IF(C548=1,LN(W548),LN(1-W548))</f>
        <v/>
      </c>
      <c r="Y548" s="10">
        <f>IF(W548&gt;$AC$33,1,0)</f>
        <v/>
      </c>
      <c r="Z548">
        <f>IF(Y548=C548,1,0)</f>
        <v/>
      </c>
    </row>
    <row r="549">
      <c r="A549">
        <f>'1 prepared data'!A542</f>
        <v/>
      </c>
      <c r="B549" s="5">
        <f>'1 prepared data'!U542</f>
        <v/>
      </c>
      <c r="C549">
        <f>'1 prepared data'!B542</f>
        <v/>
      </c>
      <c r="D549" s="7">
        <f>'1 prepared data'!C542</f>
        <v/>
      </c>
      <c r="E549" s="7">
        <f>'1 prepared data'!D542</f>
        <v/>
      </c>
      <c r="F549" s="7">
        <f>'1 prepared data'!E542</f>
        <v/>
      </c>
      <c r="G549" s="7">
        <f>'1 prepared data'!F542</f>
        <v/>
      </c>
      <c r="H549" s="7">
        <f>'1 prepared data'!G542</f>
        <v/>
      </c>
      <c r="I549" s="7">
        <f>'1 prepared data'!H542</f>
        <v/>
      </c>
      <c r="J549" s="7">
        <f>'1 prepared data'!I542</f>
        <v/>
      </c>
      <c r="K549" s="7">
        <f>'1 prepared data'!J542</f>
        <v/>
      </c>
      <c r="L549" s="7">
        <f>'1 prepared data'!K542</f>
        <v/>
      </c>
      <c r="M549" s="7">
        <f>'1 prepared data'!L542</f>
        <v/>
      </c>
      <c r="N549" s="7">
        <f>'1 prepared data'!M542</f>
        <v/>
      </c>
      <c r="O549" s="7">
        <f>'1 prepared data'!N542</f>
        <v/>
      </c>
      <c r="P549" s="7">
        <f>'1 prepared data'!O542</f>
        <v/>
      </c>
      <c r="Q549" s="7">
        <f>'1 prepared data'!P542</f>
        <v/>
      </c>
      <c r="R549" s="7">
        <f>'1 prepared data'!Q542</f>
        <v/>
      </c>
      <c r="S549" s="7">
        <f>'1 prepared data'!R542</f>
        <v/>
      </c>
      <c r="T549" s="7">
        <f>'1 prepared data'!S542</f>
        <v/>
      </c>
      <c r="U549" s="7">
        <f>'1 prepared data'!T542</f>
        <v/>
      </c>
      <c r="V549" s="8">
        <f>$AC$12+D549*$AC$13+E549*$AC$14+F549*$AC$15+G549*$AC$16+H549*$AC$17+I549*$AC$18+J549*$AC$19+K549*$AC$20+L549*$AC$21+M549*$AC$22+N549*$AC$23+O549*$AC$24+P549*$AC$25+Q549*$AC$26+R549*$AC$27+S549*$AC$28+T549*$AC$29+U549*$AC$30</f>
        <v/>
      </c>
      <c r="W549" s="8">
        <f>1/(1+EXP(-V549))</f>
        <v/>
      </c>
      <c r="X549" s="9">
        <f>-IF(C549=1,LN(W549),LN(1-W549))</f>
        <v/>
      </c>
      <c r="Y549" s="10">
        <f>IF(W549&gt;$AC$33,1,0)</f>
        <v/>
      </c>
      <c r="Z549">
        <f>IF(Y549=C549,1,0)</f>
        <v/>
      </c>
    </row>
    <row r="550">
      <c r="A550">
        <f>'1 prepared data'!A543</f>
        <v/>
      </c>
      <c r="B550" s="5">
        <f>'1 prepared data'!U543</f>
        <v/>
      </c>
      <c r="C550">
        <f>'1 prepared data'!B543</f>
        <v/>
      </c>
      <c r="D550" s="7">
        <f>'1 prepared data'!C543</f>
        <v/>
      </c>
      <c r="E550" s="7">
        <f>'1 prepared data'!D543</f>
        <v/>
      </c>
      <c r="F550" s="7">
        <f>'1 prepared data'!E543</f>
        <v/>
      </c>
      <c r="G550" s="7">
        <f>'1 prepared data'!F543</f>
        <v/>
      </c>
      <c r="H550" s="7">
        <f>'1 prepared data'!G543</f>
        <v/>
      </c>
      <c r="I550" s="7">
        <f>'1 prepared data'!H543</f>
        <v/>
      </c>
      <c r="J550" s="7">
        <f>'1 prepared data'!I543</f>
        <v/>
      </c>
      <c r="K550" s="7">
        <f>'1 prepared data'!J543</f>
        <v/>
      </c>
      <c r="L550" s="7">
        <f>'1 prepared data'!K543</f>
        <v/>
      </c>
      <c r="M550" s="7">
        <f>'1 prepared data'!L543</f>
        <v/>
      </c>
      <c r="N550" s="7">
        <f>'1 prepared data'!M543</f>
        <v/>
      </c>
      <c r="O550" s="7">
        <f>'1 prepared data'!N543</f>
        <v/>
      </c>
      <c r="P550" s="7">
        <f>'1 prepared data'!O543</f>
        <v/>
      </c>
      <c r="Q550" s="7">
        <f>'1 prepared data'!P543</f>
        <v/>
      </c>
      <c r="R550" s="7">
        <f>'1 prepared data'!Q543</f>
        <v/>
      </c>
      <c r="S550" s="7">
        <f>'1 prepared data'!R543</f>
        <v/>
      </c>
      <c r="T550" s="7">
        <f>'1 prepared data'!S543</f>
        <v/>
      </c>
      <c r="U550" s="7">
        <f>'1 prepared data'!T543</f>
        <v/>
      </c>
      <c r="V550" s="8">
        <f>$AC$12+D550*$AC$13+E550*$AC$14+F550*$AC$15+G550*$AC$16+H550*$AC$17+I550*$AC$18+J550*$AC$19+K550*$AC$20+L550*$AC$21+M550*$AC$22+N550*$AC$23+O550*$AC$24+P550*$AC$25+Q550*$AC$26+R550*$AC$27+S550*$AC$28+T550*$AC$29+U550*$AC$30</f>
        <v/>
      </c>
      <c r="W550" s="8">
        <f>1/(1+EXP(-V550))</f>
        <v/>
      </c>
      <c r="X550" s="9">
        <f>-IF(C550=1,LN(W550),LN(1-W550))</f>
        <v/>
      </c>
      <c r="Y550" s="10">
        <f>IF(W550&gt;$AC$33,1,0)</f>
        <v/>
      </c>
      <c r="Z550">
        <f>IF(Y550=C550,1,0)</f>
        <v/>
      </c>
    </row>
    <row r="551">
      <c r="A551">
        <f>'1 prepared data'!A544</f>
        <v/>
      </c>
      <c r="B551" s="5">
        <f>'1 prepared data'!U544</f>
        <v/>
      </c>
      <c r="C551">
        <f>'1 prepared data'!B544</f>
        <v/>
      </c>
      <c r="D551" s="7">
        <f>'1 prepared data'!C544</f>
        <v/>
      </c>
      <c r="E551" s="7">
        <f>'1 prepared data'!D544</f>
        <v/>
      </c>
      <c r="F551" s="7">
        <f>'1 prepared data'!E544</f>
        <v/>
      </c>
      <c r="G551" s="7">
        <f>'1 prepared data'!F544</f>
        <v/>
      </c>
      <c r="H551" s="7">
        <f>'1 prepared data'!G544</f>
        <v/>
      </c>
      <c r="I551" s="7">
        <f>'1 prepared data'!H544</f>
        <v/>
      </c>
      <c r="J551" s="7">
        <f>'1 prepared data'!I544</f>
        <v/>
      </c>
      <c r="K551" s="7">
        <f>'1 prepared data'!J544</f>
        <v/>
      </c>
      <c r="L551" s="7">
        <f>'1 prepared data'!K544</f>
        <v/>
      </c>
      <c r="M551" s="7">
        <f>'1 prepared data'!L544</f>
        <v/>
      </c>
      <c r="N551" s="7">
        <f>'1 prepared data'!M544</f>
        <v/>
      </c>
      <c r="O551" s="7">
        <f>'1 prepared data'!N544</f>
        <v/>
      </c>
      <c r="P551" s="7">
        <f>'1 prepared data'!O544</f>
        <v/>
      </c>
      <c r="Q551" s="7">
        <f>'1 prepared data'!P544</f>
        <v/>
      </c>
      <c r="R551" s="7">
        <f>'1 prepared data'!Q544</f>
        <v/>
      </c>
      <c r="S551" s="7">
        <f>'1 prepared data'!R544</f>
        <v/>
      </c>
      <c r="T551" s="7">
        <f>'1 prepared data'!S544</f>
        <v/>
      </c>
      <c r="U551" s="7">
        <f>'1 prepared data'!T544</f>
        <v/>
      </c>
      <c r="V551" s="8">
        <f>$AC$12+D551*$AC$13+E551*$AC$14+F551*$AC$15+G551*$AC$16+H551*$AC$17+I551*$AC$18+J551*$AC$19+K551*$AC$20+L551*$AC$21+M551*$AC$22+N551*$AC$23+O551*$AC$24+P551*$AC$25+Q551*$AC$26+R551*$AC$27+S551*$AC$28+T551*$AC$29+U551*$AC$30</f>
        <v/>
      </c>
      <c r="W551" s="8">
        <f>1/(1+EXP(-V551))</f>
        <v/>
      </c>
      <c r="X551" s="9">
        <f>-IF(C551=1,LN(W551),LN(1-W551))</f>
        <v/>
      </c>
      <c r="Y551" s="10">
        <f>IF(W551&gt;$AC$33,1,0)</f>
        <v/>
      </c>
      <c r="Z551">
        <f>IF(Y551=C551,1,0)</f>
        <v/>
      </c>
    </row>
    <row r="552">
      <c r="A552">
        <f>'1 prepared data'!A545</f>
        <v/>
      </c>
      <c r="B552" s="5">
        <f>'1 prepared data'!U545</f>
        <v/>
      </c>
      <c r="C552">
        <f>'1 prepared data'!B545</f>
        <v/>
      </c>
      <c r="D552" s="7">
        <f>'1 prepared data'!C545</f>
        <v/>
      </c>
      <c r="E552" s="7">
        <f>'1 prepared data'!D545</f>
        <v/>
      </c>
      <c r="F552" s="7">
        <f>'1 prepared data'!E545</f>
        <v/>
      </c>
      <c r="G552" s="7">
        <f>'1 prepared data'!F545</f>
        <v/>
      </c>
      <c r="H552" s="7">
        <f>'1 prepared data'!G545</f>
        <v/>
      </c>
      <c r="I552" s="7">
        <f>'1 prepared data'!H545</f>
        <v/>
      </c>
      <c r="J552" s="7">
        <f>'1 prepared data'!I545</f>
        <v/>
      </c>
      <c r="K552" s="7">
        <f>'1 prepared data'!J545</f>
        <v/>
      </c>
      <c r="L552" s="7">
        <f>'1 prepared data'!K545</f>
        <v/>
      </c>
      <c r="M552" s="7">
        <f>'1 prepared data'!L545</f>
        <v/>
      </c>
      <c r="N552" s="7">
        <f>'1 prepared data'!M545</f>
        <v/>
      </c>
      <c r="O552" s="7">
        <f>'1 prepared data'!N545</f>
        <v/>
      </c>
      <c r="P552" s="7">
        <f>'1 prepared data'!O545</f>
        <v/>
      </c>
      <c r="Q552" s="7">
        <f>'1 prepared data'!P545</f>
        <v/>
      </c>
      <c r="R552" s="7">
        <f>'1 prepared data'!Q545</f>
        <v/>
      </c>
      <c r="S552" s="7">
        <f>'1 prepared data'!R545</f>
        <v/>
      </c>
      <c r="T552" s="7">
        <f>'1 prepared data'!S545</f>
        <v/>
      </c>
      <c r="U552" s="7">
        <f>'1 prepared data'!T545</f>
        <v/>
      </c>
      <c r="V552" s="8">
        <f>$AC$12+D552*$AC$13+E552*$AC$14+F552*$AC$15+G552*$AC$16+H552*$AC$17+I552*$AC$18+J552*$AC$19+K552*$AC$20+L552*$AC$21+M552*$AC$22+N552*$AC$23+O552*$AC$24+P552*$AC$25+Q552*$AC$26+R552*$AC$27+S552*$AC$28+T552*$AC$29+U552*$AC$30</f>
        <v/>
      </c>
      <c r="W552" s="8">
        <f>1/(1+EXP(-V552))</f>
        <v/>
      </c>
      <c r="X552" s="9">
        <f>-IF(C552=1,LN(W552),LN(1-W552))</f>
        <v/>
      </c>
      <c r="Y552" s="10">
        <f>IF(W552&gt;$AC$33,1,0)</f>
        <v/>
      </c>
      <c r="Z552">
        <f>IF(Y552=C552,1,0)</f>
        <v/>
      </c>
    </row>
    <row r="553">
      <c r="A553">
        <f>'1 prepared data'!A546</f>
        <v/>
      </c>
      <c r="B553" s="5">
        <f>'1 prepared data'!U546</f>
        <v/>
      </c>
      <c r="C553">
        <f>'1 prepared data'!B546</f>
        <v/>
      </c>
      <c r="D553" s="7">
        <f>'1 prepared data'!C546</f>
        <v/>
      </c>
      <c r="E553" s="7">
        <f>'1 prepared data'!D546</f>
        <v/>
      </c>
      <c r="F553" s="7">
        <f>'1 prepared data'!E546</f>
        <v/>
      </c>
      <c r="G553" s="7">
        <f>'1 prepared data'!F546</f>
        <v/>
      </c>
      <c r="H553" s="7">
        <f>'1 prepared data'!G546</f>
        <v/>
      </c>
      <c r="I553" s="7">
        <f>'1 prepared data'!H546</f>
        <v/>
      </c>
      <c r="J553" s="7">
        <f>'1 prepared data'!I546</f>
        <v/>
      </c>
      <c r="K553" s="7">
        <f>'1 prepared data'!J546</f>
        <v/>
      </c>
      <c r="L553" s="7">
        <f>'1 prepared data'!K546</f>
        <v/>
      </c>
      <c r="M553" s="7">
        <f>'1 prepared data'!L546</f>
        <v/>
      </c>
      <c r="N553" s="7">
        <f>'1 prepared data'!M546</f>
        <v/>
      </c>
      <c r="O553" s="7">
        <f>'1 prepared data'!N546</f>
        <v/>
      </c>
      <c r="P553" s="7">
        <f>'1 prepared data'!O546</f>
        <v/>
      </c>
      <c r="Q553" s="7">
        <f>'1 prepared data'!P546</f>
        <v/>
      </c>
      <c r="R553" s="7">
        <f>'1 prepared data'!Q546</f>
        <v/>
      </c>
      <c r="S553" s="7">
        <f>'1 prepared data'!R546</f>
        <v/>
      </c>
      <c r="T553" s="7">
        <f>'1 prepared data'!S546</f>
        <v/>
      </c>
      <c r="U553" s="7">
        <f>'1 prepared data'!T546</f>
        <v/>
      </c>
      <c r="V553" s="8">
        <f>$AC$12+D553*$AC$13+E553*$AC$14+F553*$AC$15+G553*$AC$16+H553*$AC$17+I553*$AC$18+J553*$AC$19+K553*$AC$20+L553*$AC$21+M553*$AC$22+N553*$AC$23+O553*$AC$24+P553*$AC$25+Q553*$AC$26+R553*$AC$27+S553*$AC$28+T553*$AC$29+U553*$AC$30</f>
        <v/>
      </c>
      <c r="W553" s="8">
        <f>1/(1+EXP(-V553))</f>
        <v/>
      </c>
      <c r="X553" s="9">
        <f>-IF(C553=1,LN(W553),LN(1-W553))</f>
        <v/>
      </c>
      <c r="Y553" s="10">
        <f>IF(W553&gt;$AC$33,1,0)</f>
        <v/>
      </c>
      <c r="Z553">
        <f>IF(Y553=C553,1,0)</f>
        <v/>
      </c>
    </row>
    <row r="554">
      <c r="A554">
        <f>'1 prepared data'!A547</f>
        <v/>
      </c>
      <c r="B554" s="5">
        <f>'1 prepared data'!U547</f>
        <v/>
      </c>
      <c r="C554">
        <f>'1 prepared data'!B547</f>
        <v/>
      </c>
      <c r="D554" s="7">
        <f>'1 prepared data'!C547</f>
        <v/>
      </c>
      <c r="E554" s="7">
        <f>'1 prepared data'!D547</f>
        <v/>
      </c>
      <c r="F554" s="7">
        <f>'1 prepared data'!E547</f>
        <v/>
      </c>
      <c r="G554" s="7">
        <f>'1 prepared data'!F547</f>
        <v/>
      </c>
      <c r="H554" s="7">
        <f>'1 prepared data'!G547</f>
        <v/>
      </c>
      <c r="I554" s="7">
        <f>'1 prepared data'!H547</f>
        <v/>
      </c>
      <c r="J554" s="7">
        <f>'1 prepared data'!I547</f>
        <v/>
      </c>
      <c r="K554" s="7">
        <f>'1 prepared data'!J547</f>
        <v/>
      </c>
      <c r="L554" s="7">
        <f>'1 prepared data'!K547</f>
        <v/>
      </c>
      <c r="M554" s="7">
        <f>'1 prepared data'!L547</f>
        <v/>
      </c>
      <c r="N554" s="7">
        <f>'1 prepared data'!M547</f>
        <v/>
      </c>
      <c r="O554" s="7">
        <f>'1 prepared data'!N547</f>
        <v/>
      </c>
      <c r="P554" s="7">
        <f>'1 prepared data'!O547</f>
        <v/>
      </c>
      <c r="Q554" s="7">
        <f>'1 prepared data'!P547</f>
        <v/>
      </c>
      <c r="R554" s="7">
        <f>'1 prepared data'!Q547</f>
        <v/>
      </c>
      <c r="S554" s="7">
        <f>'1 prepared data'!R547</f>
        <v/>
      </c>
      <c r="T554" s="7">
        <f>'1 prepared data'!S547</f>
        <v/>
      </c>
      <c r="U554" s="7">
        <f>'1 prepared data'!T547</f>
        <v/>
      </c>
      <c r="V554" s="8">
        <f>$AC$12+D554*$AC$13+E554*$AC$14+F554*$AC$15+G554*$AC$16+H554*$AC$17+I554*$AC$18+J554*$AC$19+K554*$AC$20+L554*$AC$21+M554*$AC$22+N554*$AC$23+O554*$AC$24+P554*$AC$25+Q554*$AC$26+R554*$AC$27+S554*$AC$28+T554*$AC$29+U554*$AC$30</f>
        <v/>
      </c>
      <c r="W554" s="8">
        <f>1/(1+EXP(-V554))</f>
        <v/>
      </c>
      <c r="X554" s="9">
        <f>-IF(C554=1,LN(W554),LN(1-W554))</f>
        <v/>
      </c>
      <c r="Y554" s="10">
        <f>IF(W554&gt;$AC$33,1,0)</f>
        <v/>
      </c>
      <c r="Z554">
        <f>IF(Y554=C554,1,0)</f>
        <v/>
      </c>
    </row>
    <row r="555">
      <c r="A555">
        <f>'1 prepared data'!A548</f>
        <v/>
      </c>
      <c r="B555" s="5">
        <f>'1 prepared data'!U548</f>
        <v/>
      </c>
      <c r="C555">
        <f>'1 prepared data'!B548</f>
        <v/>
      </c>
      <c r="D555" s="7">
        <f>'1 prepared data'!C548</f>
        <v/>
      </c>
      <c r="E555" s="7">
        <f>'1 prepared data'!D548</f>
        <v/>
      </c>
      <c r="F555" s="7">
        <f>'1 prepared data'!E548</f>
        <v/>
      </c>
      <c r="G555" s="7">
        <f>'1 prepared data'!F548</f>
        <v/>
      </c>
      <c r="H555" s="7">
        <f>'1 prepared data'!G548</f>
        <v/>
      </c>
      <c r="I555" s="7">
        <f>'1 prepared data'!H548</f>
        <v/>
      </c>
      <c r="J555" s="7">
        <f>'1 prepared data'!I548</f>
        <v/>
      </c>
      <c r="K555" s="7">
        <f>'1 prepared data'!J548</f>
        <v/>
      </c>
      <c r="L555" s="7">
        <f>'1 prepared data'!K548</f>
        <v/>
      </c>
      <c r="M555" s="7">
        <f>'1 prepared data'!L548</f>
        <v/>
      </c>
      <c r="N555" s="7">
        <f>'1 prepared data'!M548</f>
        <v/>
      </c>
      <c r="O555" s="7">
        <f>'1 prepared data'!N548</f>
        <v/>
      </c>
      <c r="P555" s="7">
        <f>'1 prepared data'!O548</f>
        <v/>
      </c>
      <c r="Q555" s="7">
        <f>'1 prepared data'!P548</f>
        <v/>
      </c>
      <c r="R555" s="7">
        <f>'1 prepared data'!Q548</f>
        <v/>
      </c>
      <c r="S555" s="7">
        <f>'1 prepared data'!R548</f>
        <v/>
      </c>
      <c r="T555" s="7">
        <f>'1 prepared data'!S548</f>
        <v/>
      </c>
      <c r="U555" s="7">
        <f>'1 prepared data'!T548</f>
        <v/>
      </c>
      <c r="V555" s="8">
        <f>$AC$12+D555*$AC$13+E555*$AC$14+F555*$AC$15+G555*$AC$16+H555*$AC$17+I555*$AC$18+J555*$AC$19+K555*$AC$20+L555*$AC$21+M555*$AC$22+N555*$AC$23+O555*$AC$24+P555*$AC$25+Q555*$AC$26+R555*$AC$27+S555*$AC$28+T555*$AC$29+U555*$AC$30</f>
        <v/>
      </c>
      <c r="W555" s="8">
        <f>1/(1+EXP(-V555))</f>
        <v/>
      </c>
      <c r="X555" s="9">
        <f>-IF(C555=1,LN(W555),LN(1-W555))</f>
        <v/>
      </c>
      <c r="Y555" s="10">
        <f>IF(W555&gt;$AC$33,1,0)</f>
        <v/>
      </c>
      <c r="Z555">
        <f>IF(Y555=C555,1,0)</f>
        <v/>
      </c>
    </row>
    <row r="556">
      <c r="A556">
        <f>'1 prepared data'!A549</f>
        <v/>
      </c>
      <c r="B556" s="5">
        <f>'1 prepared data'!U549</f>
        <v/>
      </c>
      <c r="C556">
        <f>'1 prepared data'!B549</f>
        <v/>
      </c>
      <c r="D556" s="7">
        <f>'1 prepared data'!C549</f>
        <v/>
      </c>
      <c r="E556" s="7">
        <f>'1 prepared data'!D549</f>
        <v/>
      </c>
      <c r="F556" s="7">
        <f>'1 prepared data'!E549</f>
        <v/>
      </c>
      <c r="G556" s="7">
        <f>'1 prepared data'!F549</f>
        <v/>
      </c>
      <c r="H556" s="7">
        <f>'1 prepared data'!G549</f>
        <v/>
      </c>
      <c r="I556" s="7">
        <f>'1 prepared data'!H549</f>
        <v/>
      </c>
      <c r="J556" s="7">
        <f>'1 prepared data'!I549</f>
        <v/>
      </c>
      <c r="K556" s="7">
        <f>'1 prepared data'!J549</f>
        <v/>
      </c>
      <c r="L556" s="7">
        <f>'1 prepared data'!K549</f>
        <v/>
      </c>
      <c r="M556" s="7">
        <f>'1 prepared data'!L549</f>
        <v/>
      </c>
      <c r="N556" s="7">
        <f>'1 prepared data'!M549</f>
        <v/>
      </c>
      <c r="O556" s="7">
        <f>'1 prepared data'!N549</f>
        <v/>
      </c>
      <c r="P556" s="7">
        <f>'1 prepared data'!O549</f>
        <v/>
      </c>
      <c r="Q556" s="7">
        <f>'1 prepared data'!P549</f>
        <v/>
      </c>
      <c r="R556" s="7">
        <f>'1 prepared data'!Q549</f>
        <v/>
      </c>
      <c r="S556" s="7">
        <f>'1 prepared data'!R549</f>
        <v/>
      </c>
      <c r="T556" s="7">
        <f>'1 prepared data'!S549</f>
        <v/>
      </c>
      <c r="U556" s="7">
        <f>'1 prepared data'!T549</f>
        <v/>
      </c>
      <c r="V556" s="8">
        <f>$AC$12+D556*$AC$13+E556*$AC$14+F556*$AC$15+G556*$AC$16+H556*$AC$17+I556*$AC$18+J556*$AC$19+K556*$AC$20+L556*$AC$21+M556*$AC$22+N556*$AC$23+O556*$AC$24+P556*$AC$25+Q556*$AC$26+R556*$AC$27+S556*$AC$28+T556*$AC$29+U556*$AC$30</f>
        <v/>
      </c>
      <c r="W556" s="8">
        <f>1/(1+EXP(-V556))</f>
        <v/>
      </c>
      <c r="X556" s="9">
        <f>-IF(C556=1,LN(W556),LN(1-W556))</f>
        <v/>
      </c>
      <c r="Y556" s="10">
        <f>IF(W556&gt;$AC$33,1,0)</f>
        <v/>
      </c>
      <c r="Z556">
        <f>IF(Y556=C556,1,0)</f>
        <v/>
      </c>
    </row>
    <row r="557">
      <c r="A557">
        <f>'1 prepared data'!A550</f>
        <v/>
      </c>
      <c r="B557" s="5">
        <f>'1 prepared data'!U550</f>
        <v/>
      </c>
      <c r="C557">
        <f>'1 prepared data'!B550</f>
        <v/>
      </c>
      <c r="D557" s="7">
        <f>'1 prepared data'!C550</f>
        <v/>
      </c>
      <c r="E557" s="7">
        <f>'1 prepared data'!D550</f>
        <v/>
      </c>
      <c r="F557" s="7">
        <f>'1 prepared data'!E550</f>
        <v/>
      </c>
      <c r="G557" s="7">
        <f>'1 prepared data'!F550</f>
        <v/>
      </c>
      <c r="H557" s="7">
        <f>'1 prepared data'!G550</f>
        <v/>
      </c>
      <c r="I557" s="7">
        <f>'1 prepared data'!H550</f>
        <v/>
      </c>
      <c r="J557" s="7">
        <f>'1 prepared data'!I550</f>
        <v/>
      </c>
      <c r="K557" s="7">
        <f>'1 prepared data'!J550</f>
        <v/>
      </c>
      <c r="L557" s="7">
        <f>'1 prepared data'!K550</f>
        <v/>
      </c>
      <c r="M557" s="7">
        <f>'1 prepared data'!L550</f>
        <v/>
      </c>
      <c r="N557" s="7">
        <f>'1 prepared data'!M550</f>
        <v/>
      </c>
      <c r="O557" s="7">
        <f>'1 prepared data'!N550</f>
        <v/>
      </c>
      <c r="P557" s="7">
        <f>'1 prepared data'!O550</f>
        <v/>
      </c>
      <c r="Q557" s="7">
        <f>'1 prepared data'!P550</f>
        <v/>
      </c>
      <c r="R557" s="7">
        <f>'1 prepared data'!Q550</f>
        <v/>
      </c>
      <c r="S557" s="7">
        <f>'1 prepared data'!R550</f>
        <v/>
      </c>
      <c r="T557" s="7">
        <f>'1 prepared data'!S550</f>
        <v/>
      </c>
      <c r="U557" s="7">
        <f>'1 prepared data'!T550</f>
        <v/>
      </c>
      <c r="V557" s="8">
        <f>$AC$12+D557*$AC$13+E557*$AC$14+F557*$AC$15+G557*$AC$16+H557*$AC$17+I557*$AC$18+J557*$AC$19+K557*$AC$20+L557*$AC$21+M557*$AC$22+N557*$AC$23+O557*$AC$24+P557*$AC$25+Q557*$AC$26+R557*$AC$27+S557*$AC$28+T557*$AC$29+U557*$AC$30</f>
        <v/>
      </c>
      <c r="W557" s="8">
        <f>1/(1+EXP(-V557))</f>
        <v/>
      </c>
      <c r="X557" s="9">
        <f>-IF(C557=1,LN(W557),LN(1-W557))</f>
        <v/>
      </c>
      <c r="Y557" s="10">
        <f>IF(W557&gt;$AC$33,1,0)</f>
        <v/>
      </c>
      <c r="Z557">
        <f>IF(Y557=C557,1,0)</f>
        <v/>
      </c>
    </row>
    <row r="558">
      <c r="A558">
        <f>'1 prepared data'!A551</f>
        <v/>
      </c>
      <c r="B558" s="5">
        <f>'1 prepared data'!U551</f>
        <v/>
      </c>
      <c r="C558">
        <f>'1 prepared data'!B551</f>
        <v/>
      </c>
      <c r="D558" s="7">
        <f>'1 prepared data'!C551</f>
        <v/>
      </c>
      <c r="E558" s="7">
        <f>'1 prepared data'!D551</f>
        <v/>
      </c>
      <c r="F558" s="7">
        <f>'1 prepared data'!E551</f>
        <v/>
      </c>
      <c r="G558" s="7">
        <f>'1 prepared data'!F551</f>
        <v/>
      </c>
      <c r="H558" s="7">
        <f>'1 prepared data'!G551</f>
        <v/>
      </c>
      <c r="I558" s="7">
        <f>'1 prepared data'!H551</f>
        <v/>
      </c>
      <c r="J558" s="7">
        <f>'1 prepared data'!I551</f>
        <v/>
      </c>
      <c r="K558" s="7">
        <f>'1 prepared data'!J551</f>
        <v/>
      </c>
      <c r="L558" s="7">
        <f>'1 prepared data'!K551</f>
        <v/>
      </c>
      <c r="M558" s="7">
        <f>'1 prepared data'!L551</f>
        <v/>
      </c>
      <c r="N558" s="7">
        <f>'1 prepared data'!M551</f>
        <v/>
      </c>
      <c r="O558" s="7">
        <f>'1 prepared data'!N551</f>
        <v/>
      </c>
      <c r="P558" s="7">
        <f>'1 prepared data'!O551</f>
        <v/>
      </c>
      <c r="Q558" s="7">
        <f>'1 prepared data'!P551</f>
        <v/>
      </c>
      <c r="R558" s="7">
        <f>'1 prepared data'!Q551</f>
        <v/>
      </c>
      <c r="S558" s="7">
        <f>'1 prepared data'!R551</f>
        <v/>
      </c>
      <c r="T558" s="7">
        <f>'1 prepared data'!S551</f>
        <v/>
      </c>
      <c r="U558" s="7">
        <f>'1 prepared data'!T551</f>
        <v/>
      </c>
      <c r="V558" s="8">
        <f>$AC$12+D558*$AC$13+E558*$AC$14+F558*$AC$15+G558*$AC$16+H558*$AC$17+I558*$AC$18+J558*$AC$19+K558*$AC$20+L558*$AC$21+M558*$AC$22+N558*$AC$23+O558*$AC$24+P558*$AC$25+Q558*$AC$26+R558*$AC$27+S558*$AC$28+T558*$AC$29+U558*$AC$30</f>
        <v/>
      </c>
      <c r="W558" s="8">
        <f>1/(1+EXP(-V558))</f>
        <v/>
      </c>
      <c r="X558" s="9">
        <f>-IF(C558=1,LN(W558),LN(1-W558))</f>
        <v/>
      </c>
      <c r="Y558" s="10">
        <f>IF(W558&gt;$AC$33,1,0)</f>
        <v/>
      </c>
      <c r="Z558">
        <f>IF(Y558=C558,1,0)</f>
        <v/>
      </c>
    </row>
    <row r="559">
      <c r="A559">
        <f>'1 prepared data'!A552</f>
        <v/>
      </c>
      <c r="B559" s="5">
        <f>'1 prepared data'!U552</f>
        <v/>
      </c>
      <c r="C559">
        <f>'1 prepared data'!B552</f>
        <v/>
      </c>
      <c r="D559" s="7">
        <f>'1 prepared data'!C552</f>
        <v/>
      </c>
      <c r="E559" s="7">
        <f>'1 prepared data'!D552</f>
        <v/>
      </c>
      <c r="F559" s="7">
        <f>'1 prepared data'!E552</f>
        <v/>
      </c>
      <c r="G559" s="7">
        <f>'1 prepared data'!F552</f>
        <v/>
      </c>
      <c r="H559" s="7">
        <f>'1 prepared data'!G552</f>
        <v/>
      </c>
      <c r="I559" s="7">
        <f>'1 prepared data'!H552</f>
        <v/>
      </c>
      <c r="J559" s="7">
        <f>'1 prepared data'!I552</f>
        <v/>
      </c>
      <c r="K559" s="7">
        <f>'1 prepared data'!J552</f>
        <v/>
      </c>
      <c r="L559" s="7">
        <f>'1 prepared data'!K552</f>
        <v/>
      </c>
      <c r="M559" s="7">
        <f>'1 prepared data'!L552</f>
        <v/>
      </c>
      <c r="N559" s="7">
        <f>'1 prepared data'!M552</f>
        <v/>
      </c>
      <c r="O559" s="7">
        <f>'1 prepared data'!N552</f>
        <v/>
      </c>
      <c r="P559" s="7">
        <f>'1 prepared data'!O552</f>
        <v/>
      </c>
      <c r="Q559" s="7">
        <f>'1 prepared data'!P552</f>
        <v/>
      </c>
      <c r="R559" s="7">
        <f>'1 prepared data'!Q552</f>
        <v/>
      </c>
      <c r="S559" s="7">
        <f>'1 prepared data'!R552</f>
        <v/>
      </c>
      <c r="T559" s="7">
        <f>'1 prepared data'!S552</f>
        <v/>
      </c>
      <c r="U559" s="7">
        <f>'1 prepared data'!T552</f>
        <v/>
      </c>
      <c r="V559" s="8">
        <f>$AC$12+D559*$AC$13+E559*$AC$14+F559*$AC$15+G559*$AC$16+H559*$AC$17+I559*$AC$18+J559*$AC$19+K559*$AC$20+L559*$AC$21+M559*$AC$22+N559*$AC$23+O559*$AC$24+P559*$AC$25+Q559*$AC$26+R559*$AC$27+S559*$AC$28+T559*$AC$29+U559*$AC$30</f>
        <v/>
      </c>
      <c r="W559" s="8">
        <f>1/(1+EXP(-V559))</f>
        <v/>
      </c>
      <c r="X559" s="9">
        <f>-IF(C559=1,LN(W559),LN(1-W559))</f>
        <v/>
      </c>
      <c r="Y559" s="10">
        <f>IF(W559&gt;$AC$33,1,0)</f>
        <v/>
      </c>
      <c r="Z559">
        <f>IF(Y559=C559,1,0)</f>
        <v/>
      </c>
    </row>
    <row r="560">
      <c r="A560">
        <f>'1 prepared data'!A553</f>
        <v/>
      </c>
      <c r="B560" s="5">
        <f>'1 prepared data'!U553</f>
        <v/>
      </c>
      <c r="C560">
        <f>'1 prepared data'!B553</f>
        <v/>
      </c>
      <c r="D560" s="7">
        <f>'1 prepared data'!C553</f>
        <v/>
      </c>
      <c r="E560" s="7">
        <f>'1 prepared data'!D553</f>
        <v/>
      </c>
      <c r="F560" s="7">
        <f>'1 prepared data'!E553</f>
        <v/>
      </c>
      <c r="G560" s="7">
        <f>'1 prepared data'!F553</f>
        <v/>
      </c>
      <c r="H560" s="7">
        <f>'1 prepared data'!G553</f>
        <v/>
      </c>
      <c r="I560" s="7">
        <f>'1 prepared data'!H553</f>
        <v/>
      </c>
      <c r="J560" s="7">
        <f>'1 prepared data'!I553</f>
        <v/>
      </c>
      <c r="K560" s="7">
        <f>'1 prepared data'!J553</f>
        <v/>
      </c>
      <c r="L560" s="7">
        <f>'1 prepared data'!K553</f>
        <v/>
      </c>
      <c r="M560" s="7">
        <f>'1 prepared data'!L553</f>
        <v/>
      </c>
      <c r="N560" s="7">
        <f>'1 prepared data'!M553</f>
        <v/>
      </c>
      <c r="O560" s="7">
        <f>'1 prepared data'!N553</f>
        <v/>
      </c>
      <c r="P560" s="7">
        <f>'1 prepared data'!O553</f>
        <v/>
      </c>
      <c r="Q560" s="7">
        <f>'1 prepared data'!P553</f>
        <v/>
      </c>
      <c r="R560" s="7">
        <f>'1 prepared data'!Q553</f>
        <v/>
      </c>
      <c r="S560" s="7">
        <f>'1 prepared data'!R553</f>
        <v/>
      </c>
      <c r="T560" s="7">
        <f>'1 prepared data'!S553</f>
        <v/>
      </c>
      <c r="U560" s="7">
        <f>'1 prepared data'!T553</f>
        <v/>
      </c>
      <c r="V560" s="8">
        <f>$AC$12+D560*$AC$13+E560*$AC$14+F560*$AC$15+G560*$AC$16+H560*$AC$17+I560*$AC$18+J560*$AC$19+K560*$AC$20+L560*$AC$21+M560*$AC$22+N560*$AC$23+O560*$AC$24+P560*$AC$25+Q560*$AC$26+R560*$AC$27+S560*$AC$28+T560*$AC$29+U560*$AC$30</f>
        <v/>
      </c>
      <c r="W560" s="8">
        <f>1/(1+EXP(-V560))</f>
        <v/>
      </c>
      <c r="X560" s="9">
        <f>-IF(C560=1,LN(W560),LN(1-W560))</f>
        <v/>
      </c>
      <c r="Y560" s="10">
        <f>IF(W560&gt;$AC$33,1,0)</f>
        <v/>
      </c>
      <c r="Z560">
        <f>IF(Y560=C560,1,0)</f>
        <v/>
      </c>
    </row>
    <row r="561">
      <c r="A561">
        <f>'1 prepared data'!A554</f>
        <v/>
      </c>
      <c r="B561" s="5">
        <f>'1 prepared data'!U554</f>
        <v/>
      </c>
      <c r="C561">
        <f>'1 prepared data'!B554</f>
        <v/>
      </c>
      <c r="D561" s="7">
        <f>'1 prepared data'!C554</f>
        <v/>
      </c>
      <c r="E561" s="7">
        <f>'1 prepared data'!D554</f>
        <v/>
      </c>
      <c r="F561" s="7">
        <f>'1 prepared data'!E554</f>
        <v/>
      </c>
      <c r="G561" s="7">
        <f>'1 prepared data'!F554</f>
        <v/>
      </c>
      <c r="H561" s="7">
        <f>'1 prepared data'!G554</f>
        <v/>
      </c>
      <c r="I561" s="7">
        <f>'1 prepared data'!H554</f>
        <v/>
      </c>
      <c r="J561" s="7">
        <f>'1 prepared data'!I554</f>
        <v/>
      </c>
      <c r="K561" s="7">
        <f>'1 prepared data'!J554</f>
        <v/>
      </c>
      <c r="L561" s="7">
        <f>'1 prepared data'!K554</f>
        <v/>
      </c>
      <c r="M561" s="7">
        <f>'1 prepared data'!L554</f>
        <v/>
      </c>
      <c r="N561" s="7">
        <f>'1 prepared data'!M554</f>
        <v/>
      </c>
      <c r="O561" s="7">
        <f>'1 prepared data'!N554</f>
        <v/>
      </c>
      <c r="P561" s="7">
        <f>'1 prepared data'!O554</f>
        <v/>
      </c>
      <c r="Q561" s="7">
        <f>'1 prepared data'!P554</f>
        <v/>
      </c>
      <c r="R561" s="7">
        <f>'1 prepared data'!Q554</f>
        <v/>
      </c>
      <c r="S561" s="7">
        <f>'1 prepared data'!R554</f>
        <v/>
      </c>
      <c r="T561" s="7">
        <f>'1 prepared data'!S554</f>
        <v/>
      </c>
      <c r="U561" s="7">
        <f>'1 prepared data'!T554</f>
        <v/>
      </c>
      <c r="V561" s="8">
        <f>$AC$12+D561*$AC$13+E561*$AC$14+F561*$AC$15+G561*$AC$16+H561*$AC$17+I561*$AC$18+J561*$AC$19+K561*$AC$20+L561*$AC$21+M561*$AC$22+N561*$AC$23+O561*$AC$24+P561*$AC$25+Q561*$AC$26+R561*$AC$27+S561*$AC$28+T561*$AC$29+U561*$AC$30</f>
        <v/>
      </c>
      <c r="W561" s="8">
        <f>1/(1+EXP(-V561))</f>
        <v/>
      </c>
      <c r="X561" s="9">
        <f>-IF(C561=1,LN(W561),LN(1-W561))</f>
        <v/>
      </c>
      <c r="Y561" s="10">
        <f>IF(W561&gt;$AC$33,1,0)</f>
        <v/>
      </c>
      <c r="Z561">
        <f>IF(Y561=C561,1,0)</f>
        <v/>
      </c>
    </row>
    <row r="562">
      <c r="A562">
        <f>'1 prepared data'!A555</f>
        <v/>
      </c>
      <c r="B562" s="5">
        <f>'1 prepared data'!U555</f>
        <v/>
      </c>
      <c r="C562">
        <f>'1 prepared data'!B555</f>
        <v/>
      </c>
      <c r="D562" s="7">
        <f>'1 prepared data'!C555</f>
        <v/>
      </c>
      <c r="E562" s="7">
        <f>'1 prepared data'!D555</f>
        <v/>
      </c>
      <c r="F562" s="7">
        <f>'1 prepared data'!E555</f>
        <v/>
      </c>
      <c r="G562" s="7">
        <f>'1 prepared data'!F555</f>
        <v/>
      </c>
      <c r="H562" s="7">
        <f>'1 prepared data'!G555</f>
        <v/>
      </c>
      <c r="I562" s="7">
        <f>'1 prepared data'!H555</f>
        <v/>
      </c>
      <c r="J562" s="7">
        <f>'1 prepared data'!I555</f>
        <v/>
      </c>
      <c r="K562" s="7">
        <f>'1 prepared data'!J555</f>
        <v/>
      </c>
      <c r="L562" s="7">
        <f>'1 prepared data'!K555</f>
        <v/>
      </c>
      <c r="M562" s="7">
        <f>'1 prepared data'!L555</f>
        <v/>
      </c>
      <c r="N562" s="7">
        <f>'1 prepared data'!M555</f>
        <v/>
      </c>
      <c r="O562" s="7">
        <f>'1 prepared data'!N555</f>
        <v/>
      </c>
      <c r="P562" s="7">
        <f>'1 prepared data'!O555</f>
        <v/>
      </c>
      <c r="Q562" s="7">
        <f>'1 prepared data'!P555</f>
        <v/>
      </c>
      <c r="R562" s="7">
        <f>'1 prepared data'!Q555</f>
        <v/>
      </c>
      <c r="S562" s="7">
        <f>'1 prepared data'!R555</f>
        <v/>
      </c>
      <c r="T562" s="7">
        <f>'1 prepared data'!S555</f>
        <v/>
      </c>
      <c r="U562" s="7">
        <f>'1 prepared data'!T555</f>
        <v/>
      </c>
      <c r="V562" s="8">
        <f>$AC$12+D562*$AC$13+E562*$AC$14+F562*$AC$15+G562*$AC$16+H562*$AC$17+I562*$AC$18+J562*$AC$19+K562*$AC$20+L562*$AC$21+M562*$AC$22+N562*$AC$23+O562*$AC$24+P562*$AC$25+Q562*$AC$26+R562*$AC$27+S562*$AC$28+T562*$AC$29+U562*$AC$30</f>
        <v/>
      </c>
      <c r="W562" s="8">
        <f>1/(1+EXP(-V562))</f>
        <v/>
      </c>
      <c r="X562" s="9">
        <f>-IF(C562=1,LN(W562),LN(1-W562))</f>
        <v/>
      </c>
      <c r="Y562" s="10">
        <f>IF(W562&gt;$AC$33,1,0)</f>
        <v/>
      </c>
      <c r="Z562">
        <f>IF(Y562=C562,1,0)</f>
        <v/>
      </c>
    </row>
    <row r="563">
      <c r="A563">
        <f>'1 prepared data'!A556</f>
        <v/>
      </c>
      <c r="B563" s="5">
        <f>'1 prepared data'!U556</f>
        <v/>
      </c>
      <c r="C563">
        <f>'1 prepared data'!B556</f>
        <v/>
      </c>
      <c r="D563" s="7">
        <f>'1 prepared data'!C556</f>
        <v/>
      </c>
      <c r="E563" s="7">
        <f>'1 prepared data'!D556</f>
        <v/>
      </c>
      <c r="F563" s="7">
        <f>'1 prepared data'!E556</f>
        <v/>
      </c>
      <c r="G563" s="7">
        <f>'1 prepared data'!F556</f>
        <v/>
      </c>
      <c r="H563" s="7">
        <f>'1 prepared data'!G556</f>
        <v/>
      </c>
      <c r="I563" s="7">
        <f>'1 prepared data'!H556</f>
        <v/>
      </c>
      <c r="J563" s="7">
        <f>'1 prepared data'!I556</f>
        <v/>
      </c>
      <c r="K563" s="7">
        <f>'1 prepared data'!J556</f>
        <v/>
      </c>
      <c r="L563" s="7">
        <f>'1 prepared data'!K556</f>
        <v/>
      </c>
      <c r="M563" s="7">
        <f>'1 prepared data'!L556</f>
        <v/>
      </c>
      <c r="N563" s="7">
        <f>'1 prepared data'!M556</f>
        <v/>
      </c>
      <c r="O563" s="7">
        <f>'1 prepared data'!N556</f>
        <v/>
      </c>
      <c r="P563" s="7">
        <f>'1 prepared data'!O556</f>
        <v/>
      </c>
      <c r="Q563" s="7">
        <f>'1 prepared data'!P556</f>
        <v/>
      </c>
      <c r="R563" s="7">
        <f>'1 prepared data'!Q556</f>
        <v/>
      </c>
      <c r="S563" s="7">
        <f>'1 prepared data'!R556</f>
        <v/>
      </c>
      <c r="T563" s="7">
        <f>'1 prepared data'!S556</f>
        <v/>
      </c>
      <c r="U563" s="7">
        <f>'1 prepared data'!T556</f>
        <v/>
      </c>
      <c r="V563" s="8">
        <f>$AC$12+D563*$AC$13+E563*$AC$14+F563*$AC$15+G563*$AC$16+H563*$AC$17+I563*$AC$18+J563*$AC$19+K563*$AC$20+L563*$AC$21+M563*$AC$22+N563*$AC$23+O563*$AC$24+P563*$AC$25+Q563*$AC$26+R563*$AC$27+S563*$AC$28+T563*$AC$29+U563*$AC$30</f>
        <v/>
      </c>
      <c r="W563" s="8">
        <f>1/(1+EXP(-V563))</f>
        <v/>
      </c>
      <c r="X563" s="9">
        <f>-IF(C563=1,LN(W563),LN(1-W563))</f>
        <v/>
      </c>
      <c r="Y563" s="10">
        <f>IF(W563&gt;$AC$33,1,0)</f>
        <v/>
      </c>
      <c r="Z563">
        <f>IF(Y563=C563,1,0)</f>
        <v/>
      </c>
    </row>
    <row r="564">
      <c r="A564">
        <f>'1 prepared data'!A557</f>
        <v/>
      </c>
      <c r="B564" s="5">
        <f>'1 prepared data'!U557</f>
        <v/>
      </c>
      <c r="C564">
        <f>'1 prepared data'!B557</f>
        <v/>
      </c>
      <c r="D564" s="7">
        <f>'1 prepared data'!C557</f>
        <v/>
      </c>
      <c r="E564" s="7">
        <f>'1 prepared data'!D557</f>
        <v/>
      </c>
      <c r="F564" s="7">
        <f>'1 prepared data'!E557</f>
        <v/>
      </c>
      <c r="G564" s="7">
        <f>'1 prepared data'!F557</f>
        <v/>
      </c>
      <c r="H564" s="7">
        <f>'1 prepared data'!G557</f>
        <v/>
      </c>
      <c r="I564" s="7">
        <f>'1 prepared data'!H557</f>
        <v/>
      </c>
      <c r="J564" s="7">
        <f>'1 prepared data'!I557</f>
        <v/>
      </c>
      <c r="K564" s="7">
        <f>'1 prepared data'!J557</f>
        <v/>
      </c>
      <c r="L564" s="7">
        <f>'1 prepared data'!K557</f>
        <v/>
      </c>
      <c r="M564" s="7">
        <f>'1 prepared data'!L557</f>
        <v/>
      </c>
      <c r="N564" s="7">
        <f>'1 prepared data'!M557</f>
        <v/>
      </c>
      <c r="O564" s="7">
        <f>'1 prepared data'!N557</f>
        <v/>
      </c>
      <c r="P564" s="7">
        <f>'1 prepared data'!O557</f>
        <v/>
      </c>
      <c r="Q564" s="7">
        <f>'1 prepared data'!P557</f>
        <v/>
      </c>
      <c r="R564" s="7">
        <f>'1 prepared data'!Q557</f>
        <v/>
      </c>
      <c r="S564" s="7">
        <f>'1 prepared data'!R557</f>
        <v/>
      </c>
      <c r="T564" s="7">
        <f>'1 prepared data'!S557</f>
        <v/>
      </c>
      <c r="U564" s="7">
        <f>'1 prepared data'!T557</f>
        <v/>
      </c>
      <c r="V564" s="8">
        <f>$AC$12+D564*$AC$13+E564*$AC$14+F564*$AC$15+G564*$AC$16+H564*$AC$17+I564*$AC$18+J564*$AC$19+K564*$AC$20+L564*$AC$21+M564*$AC$22+N564*$AC$23+O564*$AC$24+P564*$AC$25+Q564*$AC$26+R564*$AC$27+S564*$AC$28+T564*$AC$29+U564*$AC$30</f>
        <v/>
      </c>
      <c r="W564" s="8">
        <f>1/(1+EXP(-V564))</f>
        <v/>
      </c>
      <c r="X564" s="9">
        <f>-IF(C564=1,LN(W564),LN(1-W564))</f>
        <v/>
      </c>
      <c r="Y564" s="10">
        <f>IF(W564&gt;$AC$33,1,0)</f>
        <v/>
      </c>
      <c r="Z564">
        <f>IF(Y564=C564,1,0)</f>
        <v/>
      </c>
    </row>
    <row r="565">
      <c r="A565">
        <f>'1 prepared data'!A558</f>
        <v/>
      </c>
      <c r="B565" s="5">
        <f>'1 prepared data'!U558</f>
        <v/>
      </c>
      <c r="C565">
        <f>'1 prepared data'!B558</f>
        <v/>
      </c>
      <c r="D565" s="7">
        <f>'1 prepared data'!C558</f>
        <v/>
      </c>
      <c r="E565" s="7">
        <f>'1 prepared data'!D558</f>
        <v/>
      </c>
      <c r="F565" s="7">
        <f>'1 prepared data'!E558</f>
        <v/>
      </c>
      <c r="G565" s="7">
        <f>'1 prepared data'!F558</f>
        <v/>
      </c>
      <c r="H565" s="7">
        <f>'1 prepared data'!G558</f>
        <v/>
      </c>
      <c r="I565" s="7">
        <f>'1 prepared data'!H558</f>
        <v/>
      </c>
      <c r="J565" s="7">
        <f>'1 prepared data'!I558</f>
        <v/>
      </c>
      <c r="K565" s="7">
        <f>'1 prepared data'!J558</f>
        <v/>
      </c>
      <c r="L565" s="7">
        <f>'1 prepared data'!K558</f>
        <v/>
      </c>
      <c r="M565" s="7">
        <f>'1 prepared data'!L558</f>
        <v/>
      </c>
      <c r="N565" s="7">
        <f>'1 prepared data'!M558</f>
        <v/>
      </c>
      <c r="O565" s="7">
        <f>'1 prepared data'!N558</f>
        <v/>
      </c>
      <c r="P565" s="7">
        <f>'1 prepared data'!O558</f>
        <v/>
      </c>
      <c r="Q565" s="7">
        <f>'1 prepared data'!P558</f>
        <v/>
      </c>
      <c r="R565" s="7">
        <f>'1 prepared data'!Q558</f>
        <v/>
      </c>
      <c r="S565" s="7">
        <f>'1 prepared data'!R558</f>
        <v/>
      </c>
      <c r="T565" s="7">
        <f>'1 prepared data'!S558</f>
        <v/>
      </c>
      <c r="U565" s="7">
        <f>'1 prepared data'!T558</f>
        <v/>
      </c>
      <c r="V565" s="8">
        <f>$AC$12+D565*$AC$13+E565*$AC$14+F565*$AC$15+G565*$AC$16+H565*$AC$17+I565*$AC$18+J565*$AC$19+K565*$AC$20+L565*$AC$21+M565*$AC$22+N565*$AC$23+O565*$AC$24+P565*$AC$25+Q565*$AC$26+R565*$AC$27+S565*$AC$28+T565*$AC$29+U565*$AC$30</f>
        <v/>
      </c>
      <c r="W565" s="8">
        <f>1/(1+EXP(-V565))</f>
        <v/>
      </c>
      <c r="X565" s="9">
        <f>-IF(C565=1,LN(W565),LN(1-W565))</f>
        <v/>
      </c>
      <c r="Y565" s="10">
        <f>IF(W565&gt;$AC$33,1,0)</f>
        <v/>
      </c>
      <c r="Z565">
        <f>IF(Y565=C565,1,0)</f>
        <v/>
      </c>
    </row>
    <row r="566">
      <c r="A566">
        <f>'1 prepared data'!A559</f>
        <v/>
      </c>
      <c r="B566" s="5">
        <f>'1 prepared data'!U559</f>
        <v/>
      </c>
      <c r="C566">
        <f>'1 prepared data'!B559</f>
        <v/>
      </c>
      <c r="D566" s="7">
        <f>'1 prepared data'!C559</f>
        <v/>
      </c>
      <c r="E566" s="7">
        <f>'1 prepared data'!D559</f>
        <v/>
      </c>
      <c r="F566" s="7">
        <f>'1 prepared data'!E559</f>
        <v/>
      </c>
      <c r="G566" s="7">
        <f>'1 prepared data'!F559</f>
        <v/>
      </c>
      <c r="H566" s="7">
        <f>'1 prepared data'!G559</f>
        <v/>
      </c>
      <c r="I566" s="7">
        <f>'1 prepared data'!H559</f>
        <v/>
      </c>
      <c r="J566" s="7">
        <f>'1 prepared data'!I559</f>
        <v/>
      </c>
      <c r="K566" s="7">
        <f>'1 prepared data'!J559</f>
        <v/>
      </c>
      <c r="L566" s="7">
        <f>'1 prepared data'!K559</f>
        <v/>
      </c>
      <c r="M566" s="7">
        <f>'1 prepared data'!L559</f>
        <v/>
      </c>
      <c r="N566" s="7">
        <f>'1 prepared data'!M559</f>
        <v/>
      </c>
      <c r="O566" s="7">
        <f>'1 prepared data'!N559</f>
        <v/>
      </c>
      <c r="P566" s="7">
        <f>'1 prepared data'!O559</f>
        <v/>
      </c>
      <c r="Q566" s="7">
        <f>'1 prepared data'!P559</f>
        <v/>
      </c>
      <c r="R566" s="7">
        <f>'1 prepared data'!Q559</f>
        <v/>
      </c>
      <c r="S566" s="7">
        <f>'1 prepared data'!R559</f>
        <v/>
      </c>
      <c r="T566" s="7">
        <f>'1 prepared data'!S559</f>
        <v/>
      </c>
      <c r="U566" s="7">
        <f>'1 prepared data'!T559</f>
        <v/>
      </c>
      <c r="V566" s="8">
        <f>$AC$12+D566*$AC$13+E566*$AC$14+F566*$AC$15+G566*$AC$16+H566*$AC$17+I566*$AC$18+J566*$AC$19+K566*$AC$20+L566*$AC$21+M566*$AC$22+N566*$AC$23+O566*$AC$24+P566*$AC$25+Q566*$AC$26+R566*$AC$27+S566*$AC$28+T566*$AC$29+U566*$AC$30</f>
        <v/>
      </c>
      <c r="W566" s="8">
        <f>1/(1+EXP(-V566))</f>
        <v/>
      </c>
      <c r="X566" s="9">
        <f>-IF(C566=1,LN(W566),LN(1-W566))</f>
        <v/>
      </c>
      <c r="Y566" s="10">
        <f>IF(W566&gt;$AC$33,1,0)</f>
        <v/>
      </c>
      <c r="Z566">
        <f>IF(Y566=C566,1,0)</f>
        <v/>
      </c>
    </row>
    <row r="567">
      <c r="A567">
        <f>'1 prepared data'!A560</f>
        <v/>
      </c>
      <c r="B567" s="5">
        <f>'1 prepared data'!U560</f>
        <v/>
      </c>
      <c r="C567">
        <f>'1 prepared data'!B560</f>
        <v/>
      </c>
      <c r="D567" s="7">
        <f>'1 prepared data'!C560</f>
        <v/>
      </c>
      <c r="E567" s="7">
        <f>'1 prepared data'!D560</f>
        <v/>
      </c>
      <c r="F567" s="7">
        <f>'1 prepared data'!E560</f>
        <v/>
      </c>
      <c r="G567" s="7">
        <f>'1 prepared data'!F560</f>
        <v/>
      </c>
      <c r="H567" s="7">
        <f>'1 prepared data'!G560</f>
        <v/>
      </c>
      <c r="I567" s="7">
        <f>'1 prepared data'!H560</f>
        <v/>
      </c>
      <c r="J567" s="7">
        <f>'1 prepared data'!I560</f>
        <v/>
      </c>
      <c r="K567" s="7">
        <f>'1 prepared data'!J560</f>
        <v/>
      </c>
      <c r="L567" s="7">
        <f>'1 prepared data'!K560</f>
        <v/>
      </c>
      <c r="M567" s="7">
        <f>'1 prepared data'!L560</f>
        <v/>
      </c>
      <c r="N567" s="7">
        <f>'1 prepared data'!M560</f>
        <v/>
      </c>
      <c r="O567" s="7">
        <f>'1 prepared data'!N560</f>
        <v/>
      </c>
      <c r="P567" s="7">
        <f>'1 prepared data'!O560</f>
        <v/>
      </c>
      <c r="Q567" s="7">
        <f>'1 prepared data'!P560</f>
        <v/>
      </c>
      <c r="R567" s="7">
        <f>'1 prepared data'!Q560</f>
        <v/>
      </c>
      <c r="S567" s="7">
        <f>'1 prepared data'!R560</f>
        <v/>
      </c>
      <c r="T567" s="7">
        <f>'1 prepared data'!S560</f>
        <v/>
      </c>
      <c r="U567" s="7">
        <f>'1 prepared data'!T560</f>
        <v/>
      </c>
      <c r="V567" s="8">
        <f>$AC$12+D567*$AC$13+E567*$AC$14+F567*$AC$15+G567*$AC$16+H567*$AC$17+I567*$AC$18+J567*$AC$19+K567*$AC$20+L567*$AC$21+M567*$AC$22+N567*$AC$23+O567*$AC$24+P567*$AC$25+Q567*$AC$26+R567*$AC$27+S567*$AC$28+T567*$AC$29+U567*$AC$30</f>
        <v/>
      </c>
      <c r="W567" s="8">
        <f>1/(1+EXP(-V567))</f>
        <v/>
      </c>
      <c r="X567" s="9">
        <f>-IF(C567=1,LN(W567),LN(1-W567))</f>
        <v/>
      </c>
      <c r="Y567" s="10">
        <f>IF(W567&gt;$AC$33,1,0)</f>
        <v/>
      </c>
      <c r="Z567">
        <f>IF(Y567=C567,1,0)</f>
        <v/>
      </c>
    </row>
    <row r="568">
      <c r="A568">
        <f>'1 prepared data'!A561</f>
        <v/>
      </c>
      <c r="B568" s="5">
        <f>'1 prepared data'!U561</f>
        <v/>
      </c>
      <c r="C568">
        <f>'1 prepared data'!B561</f>
        <v/>
      </c>
      <c r="D568" s="7">
        <f>'1 prepared data'!C561</f>
        <v/>
      </c>
      <c r="E568" s="7">
        <f>'1 prepared data'!D561</f>
        <v/>
      </c>
      <c r="F568" s="7">
        <f>'1 prepared data'!E561</f>
        <v/>
      </c>
      <c r="G568" s="7">
        <f>'1 prepared data'!F561</f>
        <v/>
      </c>
      <c r="H568" s="7">
        <f>'1 prepared data'!G561</f>
        <v/>
      </c>
      <c r="I568" s="7">
        <f>'1 prepared data'!H561</f>
        <v/>
      </c>
      <c r="J568" s="7">
        <f>'1 prepared data'!I561</f>
        <v/>
      </c>
      <c r="K568" s="7">
        <f>'1 prepared data'!J561</f>
        <v/>
      </c>
      <c r="L568" s="7">
        <f>'1 prepared data'!K561</f>
        <v/>
      </c>
      <c r="M568" s="7">
        <f>'1 prepared data'!L561</f>
        <v/>
      </c>
      <c r="N568" s="7">
        <f>'1 prepared data'!M561</f>
        <v/>
      </c>
      <c r="O568" s="7">
        <f>'1 prepared data'!N561</f>
        <v/>
      </c>
      <c r="P568" s="7">
        <f>'1 prepared data'!O561</f>
        <v/>
      </c>
      <c r="Q568" s="7">
        <f>'1 prepared data'!P561</f>
        <v/>
      </c>
      <c r="R568" s="7">
        <f>'1 prepared data'!Q561</f>
        <v/>
      </c>
      <c r="S568" s="7">
        <f>'1 prepared data'!R561</f>
        <v/>
      </c>
      <c r="T568" s="7">
        <f>'1 prepared data'!S561</f>
        <v/>
      </c>
      <c r="U568" s="7">
        <f>'1 prepared data'!T561</f>
        <v/>
      </c>
      <c r="V568" s="8">
        <f>$AC$12+D568*$AC$13+E568*$AC$14+F568*$AC$15+G568*$AC$16+H568*$AC$17+I568*$AC$18+J568*$AC$19+K568*$AC$20+L568*$AC$21+M568*$AC$22+N568*$AC$23+O568*$AC$24+P568*$AC$25+Q568*$AC$26+R568*$AC$27+S568*$AC$28+T568*$AC$29+U568*$AC$30</f>
        <v/>
      </c>
      <c r="W568" s="8">
        <f>1/(1+EXP(-V568))</f>
        <v/>
      </c>
      <c r="X568" s="9">
        <f>-IF(C568=1,LN(W568),LN(1-W568))</f>
        <v/>
      </c>
      <c r="Y568" s="10">
        <f>IF(W568&gt;$AC$33,1,0)</f>
        <v/>
      </c>
      <c r="Z568">
        <f>IF(Y568=C568,1,0)</f>
        <v/>
      </c>
    </row>
    <row r="569">
      <c r="A569">
        <f>'1 prepared data'!A562</f>
        <v/>
      </c>
      <c r="B569" s="5">
        <f>'1 prepared data'!U562</f>
        <v/>
      </c>
      <c r="C569">
        <f>'1 prepared data'!B562</f>
        <v/>
      </c>
      <c r="D569" s="7">
        <f>'1 prepared data'!C562</f>
        <v/>
      </c>
      <c r="E569" s="7">
        <f>'1 prepared data'!D562</f>
        <v/>
      </c>
      <c r="F569" s="7">
        <f>'1 prepared data'!E562</f>
        <v/>
      </c>
      <c r="G569" s="7">
        <f>'1 prepared data'!F562</f>
        <v/>
      </c>
      <c r="H569" s="7">
        <f>'1 prepared data'!G562</f>
        <v/>
      </c>
      <c r="I569" s="7">
        <f>'1 prepared data'!H562</f>
        <v/>
      </c>
      <c r="J569" s="7">
        <f>'1 prepared data'!I562</f>
        <v/>
      </c>
      <c r="K569" s="7">
        <f>'1 prepared data'!J562</f>
        <v/>
      </c>
      <c r="L569" s="7">
        <f>'1 prepared data'!K562</f>
        <v/>
      </c>
      <c r="M569" s="7">
        <f>'1 prepared data'!L562</f>
        <v/>
      </c>
      <c r="N569" s="7">
        <f>'1 prepared data'!M562</f>
        <v/>
      </c>
      <c r="O569" s="7">
        <f>'1 prepared data'!N562</f>
        <v/>
      </c>
      <c r="P569" s="7">
        <f>'1 prepared data'!O562</f>
        <v/>
      </c>
      <c r="Q569" s="7">
        <f>'1 prepared data'!P562</f>
        <v/>
      </c>
      <c r="R569" s="7">
        <f>'1 prepared data'!Q562</f>
        <v/>
      </c>
      <c r="S569" s="7">
        <f>'1 prepared data'!R562</f>
        <v/>
      </c>
      <c r="T569" s="7">
        <f>'1 prepared data'!S562</f>
        <v/>
      </c>
      <c r="U569" s="7">
        <f>'1 prepared data'!T562</f>
        <v/>
      </c>
      <c r="V569" s="8">
        <f>$AC$12+D569*$AC$13+E569*$AC$14+F569*$AC$15+G569*$AC$16+H569*$AC$17+I569*$AC$18+J569*$AC$19+K569*$AC$20+L569*$AC$21+M569*$AC$22+N569*$AC$23+O569*$AC$24+P569*$AC$25+Q569*$AC$26+R569*$AC$27+S569*$AC$28+T569*$AC$29+U569*$AC$30</f>
        <v/>
      </c>
      <c r="W569" s="8">
        <f>1/(1+EXP(-V569))</f>
        <v/>
      </c>
      <c r="X569" s="9">
        <f>-IF(C569=1,LN(W569),LN(1-W569))</f>
        <v/>
      </c>
      <c r="Y569" s="10">
        <f>IF(W569&gt;$AC$33,1,0)</f>
        <v/>
      </c>
      <c r="Z569">
        <f>IF(Y569=C569,1,0)</f>
        <v/>
      </c>
    </row>
    <row r="570">
      <c r="A570">
        <f>'1 prepared data'!A563</f>
        <v/>
      </c>
      <c r="B570" s="5">
        <f>'1 prepared data'!U563</f>
        <v/>
      </c>
      <c r="C570">
        <f>'1 prepared data'!B563</f>
        <v/>
      </c>
      <c r="D570" s="7">
        <f>'1 prepared data'!C563</f>
        <v/>
      </c>
      <c r="E570" s="7">
        <f>'1 prepared data'!D563</f>
        <v/>
      </c>
      <c r="F570" s="7">
        <f>'1 prepared data'!E563</f>
        <v/>
      </c>
      <c r="G570" s="7">
        <f>'1 prepared data'!F563</f>
        <v/>
      </c>
      <c r="H570" s="7">
        <f>'1 prepared data'!G563</f>
        <v/>
      </c>
      <c r="I570" s="7">
        <f>'1 prepared data'!H563</f>
        <v/>
      </c>
      <c r="J570" s="7">
        <f>'1 prepared data'!I563</f>
        <v/>
      </c>
      <c r="K570" s="7">
        <f>'1 prepared data'!J563</f>
        <v/>
      </c>
      <c r="L570" s="7">
        <f>'1 prepared data'!K563</f>
        <v/>
      </c>
      <c r="M570" s="7">
        <f>'1 prepared data'!L563</f>
        <v/>
      </c>
      <c r="N570" s="7">
        <f>'1 prepared data'!M563</f>
        <v/>
      </c>
      <c r="O570" s="7">
        <f>'1 prepared data'!N563</f>
        <v/>
      </c>
      <c r="P570" s="7">
        <f>'1 prepared data'!O563</f>
        <v/>
      </c>
      <c r="Q570" s="7">
        <f>'1 prepared data'!P563</f>
        <v/>
      </c>
      <c r="R570" s="7">
        <f>'1 prepared data'!Q563</f>
        <v/>
      </c>
      <c r="S570" s="7">
        <f>'1 prepared data'!R563</f>
        <v/>
      </c>
      <c r="T570" s="7">
        <f>'1 prepared data'!S563</f>
        <v/>
      </c>
      <c r="U570" s="7">
        <f>'1 prepared data'!T563</f>
        <v/>
      </c>
      <c r="V570" s="8">
        <f>$AC$12+D570*$AC$13+E570*$AC$14+F570*$AC$15+G570*$AC$16+H570*$AC$17+I570*$AC$18+J570*$AC$19+K570*$AC$20+L570*$AC$21+M570*$AC$22+N570*$AC$23+O570*$AC$24+P570*$AC$25+Q570*$AC$26+R570*$AC$27+S570*$AC$28+T570*$AC$29+U570*$AC$30</f>
        <v/>
      </c>
      <c r="W570" s="8">
        <f>1/(1+EXP(-V570))</f>
        <v/>
      </c>
      <c r="X570" s="9">
        <f>-IF(C570=1,LN(W570),LN(1-W570))</f>
        <v/>
      </c>
      <c r="Y570" s="10">
        <f>IF(W570&gt;$AC$33,1,0)</f>
        <v/>
      </c>
      <c r="Z570">
        <f>IF(Y570=C570,1,0)</f>
        <v/>
      </c>
    </row>
    <row r="571">
      <c r="A571">
        <f>'1 prepared data'!A564</f>
        <v/>
      </c>
      <c r="B571" s="5">
        <f>'1 prepared data'!U564</f>
        <v/>
      </c>
      <c r="C571">
        <f>'1 prepared data'!B564</f>
        <v/>
      </c>
      <c r="D571" s="7">
        <f>'1 prepared data'!C564</f>
        <v/>
      </c>
      <c r="E571" s="7">
        <f>'1 prepared data'!D564</f>
        <v/>
      </c>
      <c r="F571" s="7">
        <f>'1 prepared data'!E564</f>
        <v/>
      </c>
      <c r="G571" s="7">
        <f>'1 prepared data'!F564</f>
        <v/>
      </c>
      <c r="H571" s="7">
        <f>'1 prepared data'!G564</f>
        <v/>
      </c>
      <c r="I571" s="7">
        <f>'1 prepared data'!H564</f>
        <v/>
      </c>
      <c r="J571" s="7">
        <f>'1 prepared data'!I564</f>
        <v/>
      </c>
      <c r="K571" s="7">
        <f>'1 prepared data'!J564</f>
        <v/>
      </c>
      <c r="L571" s="7">
        <f>'1 prepared data'!K564</f>
        <v/>
      </c>
      <c r="M571" s="7">
        <f>'1 prepared data'!L564</f>
        <v/>
      </c>
      <c r="N571" s="7">
        <f>'1 prepared data'!M564</f>
        <v/>
      </c>
      <c r="O571" s="7">
        <f>'1 prepared data'!N564</f>
        <v/>
      </c>
      <c r="P571" s="7">
        <f>'1 prepared data'!O564</f>
        <v/>
      </c>
      <c r="Q571" s="7">
        <f>'1 prepared data'!P564</f>
        <v/>
      </c>
      <c r="R571" s="7">
        <f>'1 prepared data'!Q564</f>
        <v/>
      </c>
      <c r="S571" s="7">
        <f>'1 prepared data'!R564</f>
        <v/>
      </c>
      <c r="T571" s="7">
        <f>'1 prepared data'!S564</f>
        <v/>
      </c>
      <c r="U571" s="7">
        <f>'1 prepared data'!T564</f>
        <v/>
      </c>
      <c r="V571" s="8">
        <f>$AC$12+D571*$AC$13+E571*$AC$14+F571*$AC$15+G571*$AC$16+H571*$AC$17+I571*$AC$18+J571*$AC$19+K571*$AC$20+L571*$AC$21+M571*$AC$22+N571*$AC$23+O571*$AC$24+P571*$AC$25+Q571*$AC$26+R571*$AC$27+S571*$AC$28+T571*$AC$29+U571*$AC$30</f>
        <v/>
      </c>
      <c r="W571" s="8">
        <f>1/(1+EXP(-V571))</f>
        <v/>
      </c>
      <c r="X571" s="9">
        <f>-IF(C571=1,LN(W571),LN(1-W571))</f>
        <v/>
      </c>
      <c r="Y571" s="10">
        <f>IF(W571&gt;$AC$33,1,0)</f>
        <v/>
      </c>
      <c r="Z571">
        <f>IF(Y571=C571,1,0)</f>
        <v/>
      </c>
    </row>
    <row r="572">
      <c r="A572">
        <f>'1 prepared data'!A565</f>
        <v/>
      </c>
      <c r="B572" s="5">
        <f>'1 prepared data'!U565</f>
        <v/>
      </c>
      <c r="C572">
        <f>'1 prepared data'!B565</f>
        <v/>
      </c>
      <c r="D572" s="7">
        <f>'1 prepared data'!C565</f>
        <v/>
      </c>
      <c r="E572" s="7">
        <f>'1 prepared data'!D565</f>
        <v/>
      </c>
      <c r="F572" s="7">
        <f>'1 prepared data'!E565</f>
        <v/>
      </c>
      <c r="G572" s="7">
        <f>'1 prepared data'!F565</f>
        <v/>
      </c>
      <c r="H572" s="7">
        <f>'1 prepared data'!G565</f>
        <v/>
      </c>
      <c r="I572" s="7">
        <f>'1 prepared data'!H565</f>
        <v/>
      </c>
      <c r="J572" s="7">
        <f>'1 prepared data'!I565</f>
        <v/>
      </c>
      <c r="K572" s="7">
        <f>'1 prepared data'!J565</f>
        <v/>
      </c>
      <c r="L572" s="7">
        <f>'1 prepared data'!K565</f>
        <v/>
      </c>
      <c r="M572" s="7">
        <f>'1 prepared data'!L565</f>
        <v/>
      </c>
      <c r="N572" s="7">
        <f>'1 prepared data'!M565</f>
        <v/>
      </c>
      <c r="O572" s="7">
        <f>'1 prepared data'!N565</f>
        <v/>
      </c>
      <c r="P572" s="7">
        <f>'1 prepared data'!O565</f>
        <v/>
      </c>
      <c r="Q572" s="7">
        <f>'1 prepared data'!P565</f>
        <v/>
      </c>
      <c r="R572" s="7">
        <f>'1 prepared data'!Q565</f>
        <v/>
      </c>
      <c r="S572" s="7">
        <f>'1 prepared data'!R565</f>
        <v/>
      </c>
      <c r="T572" s="7">
        <f>'1 prepared data'!S565</f>
        <v/>
      </c>
      <c r="U572" s="7">
        <f>'1 prepared data'!T565</f>
        <v/>
      </c>
      <c r="V572" s="8">
        <f>$AC$12+D572*$AC$13+E572*$AC$14+F572*$AC$15+G572*$AC$16+H572*$AC$17+I572*$AC$18+J572*$AC$19+K572*$AC$20+L572*$AC$21+M572*$AC$22+N572*$AC$23+O572*$AC$24+P572*$AC$25+Q572*$AC$26+R572*$AC$27+S572*$AC$28+T572*$AC$29+U572*$AC$30</f>
        <v/>
      </c>
      <c r="W572" s="8">
        <f>1/(1+EXP(-V572))</f>
        <v/>
      </c>
      <c r="X572" s="9">
        <f>-IF(C572=1,LN(W572),LN(1-W572))</f>
        <v/>
      </c>
      <c r="Y572" s="10">
        <f>IF(W572&gt;$AC$33,1,0)</f>
        <v/>
      </c>
      <c r="Z572">
        <f>IF(Y572=C572,1,0)</f>
        <v/>
      </c>
    </row>
    <row r="573">
      <c r="A573">
        <f>'1 prepared data'!A566</f>
        <v/>
      </c>
      <c r="B573" s="5">
        <f>'1 prepared data'!U566</f>
        <v/>
      </c>
      <c r="C573">
        <f>'1 prepared data'!B566</f>
        <v/>
      </c>
      <c r="D573" s="7">
        <f>'1 prepared data'!C566</f>
        <v/>
      </c>
      <c r="E573" s="7">
        <f>'1 prepared data'!D566</f>
        <v/>
      </c>
      <c r="F573" s="7">
        <f>'1 prepared data'!E566</f>
        <v/>
      </c>
      <c r="G573" s="7">
        <f>'1 prepared data'!F566</f>
        <v/>
      </c>
      <c r="H573" s="7">
        <f>'1 prepared data'!G566</f>
        <v/>
      </c>
      <c r="I573" s="7">
        <f>'1 prepared data'!H566</f>
        <v/>
      </c>
      <c r="J573" s="7">
        <f>'1 prepared data'!I566</f>
        <v/>
      </c>
      <c r="K573" s="7">
        <f>'1 prepared data'!J566</f>
        <v/>
      </c>
      <c r="L573" s="7">
        <f>'1 prepared data'!K566</f>
        <v/>
      </c>
      <c r="M573" s="7">
        <f>'1 prepared data'!L566</f>
        <v/>
      </c>
      <c r="N573" s="7">
        <f>'1 prepared data'!M566</f>
        <v/>
      </c>
      <c r="O573" s="7">
        <f>'1 prepared data'!N566</f>
        <v/>
      </c>
      <c r="P573" s="7">
        <f>'1 prepared data'!O566</f>
        <v/>
      </c>
      <c r="Q573" s="7">
        <f>'1 prepared data'!P566</f>
        <v/>
      </c>
      <c r="R573" s="7">
        <f>'1 prepared data'!Q566</f>
        <v/>
      </c>
      <c r="S573" s="7">
        <f>'1 prepared data'!R566</f>
        <v/>
      </c>
      <c r="T573" s="7">
        <f>'1 prepared data'!S566</f>
        <v/>
      </c>
      <c r="U573" s="7">
        <f>'1 prepared data'!T566</f>
        <v/>
      </c>
      <c r="V573" s="8">
        <f>$AC$12+D573*$AC$13+E573*$AC$14+F573*$AC$15+G573*$AC$16+H573*$AC$17+I573*$AC$18+J573*$AC$19+K573*$AC$20+L573*$AC$21+M573*$AC$22+N573*$AC$23+O573*$AC$24+P573*$AC$25+Q573*$AC$26+R573*$AC$27+S573*$AC$28+T573*$AC$29+U573*$AC$30</f>
        <v/>
      </c>
      <c r="W573" s="8">
        <f>1/(1+EXP(-V573))</f>
        <v/>
      </c>
      <c r="X573" s="9">
        <f>-IF(C573=1,LN(W573),LN(1-W573))</f>
        <v/>
      </c>
      <c r="Y573" s="10">
        <f>IF(W573&gt;$AC$33,1,0)</f>
        <v/>
      </c>
      <c r="Z573">
        <f>IF(Y573=C573,1,0)</f>
        <v/>
      </c>
    </row>
    <row r="574">
      <c r="A574">
        <f>'1 prepared data'!A567</f>
        <v/>
      </c>
      <c r="B574" s="5">
        <f>'1 prepared data'!U567</f>
        <v/>
      </c>
      <c r="C574">
        <f>'1 prepared data'!B567</f>
        <v/>
      </c>
      <c r="D574" s="7">
        <f>'1 prepared data'!C567</f>
        <v/>
      </c>
      <c r="E574" s="7">
        <f>'1 prepared data'!D567</f>
        <v/>
      </c>
      <c r="F574" s="7">
        <f>'1 prepared data'!E567</f>
        <v/>
      </c>
      <c r="G574" s="7">
        <f>'1 prepared data'!F567</f>
        <v/>
      </c>
      <c r="H574" s="7">
        <f>'1 prepared data'!G567</f>
        <v/>
      </c>
      <c r="I574" s="7">
        <f>'1 prepared data'!H567</f>
        <v/>
      </c>
      <c r="J574" s="7">
        <f>'1 prepared data'!I567</f>
        <v/>
      </c>
      <c r="K574" s="7">
        <f>'1 prepared data'!J567</f>
        <v/>
      </c>
      <c r="L574" s="7">
        <f>'1 prepared data'!K567</f>
        <v/>
      </c>
      <c r="M574" s="7">
        <f>'1 prepared data'!L567</f>
        <v/>
      </c>
      <c r="N574" s="7">
        <f>'1 prepared data'!M567</f>
        <v/>
      </c>
      <c r="O574" s="7">
        <f>'1 prepared data'!N567</f>
        <v/>
      </c>
      <c r="P574" s="7">
        <f>'1 prepared data'!O567</f>
        <v/>
      </c>
      <c r="Q574" s="7">
        <f>'1 prepared data'!P567</f>
        <v/>
      </c>
      <c r="R574" s="7">
        <f>'1 prepared data'!Q567</f>
        <v/>
      </c>
      <c r="S574" s="7">
        <f>'1 prepared data'!R567</f>
        <v/>
      </c>
      <c r="T574" s="7">
        <f>'1 prepared data'!S567</f>
        <v/>
      </c>
      <c r="U574" s="7">
        <f>'1 prepared data'!T567</f>
        <v/>
      </c>
      <c r="V574" s="8">
        <f>$AC$12+D574*$AC$13+E574*$AC$14+F574*$AC$15+G574*$AC$16+H574*$AC$17+I574*$AC$18+J574*$AC$19+K574*$AC$20+L574*$AC$21+M574*$AC$22+N574*$AC$23+O574*$AC$24+P574*$AC$25+Q574*$AC$26+R574*$AC$27+S574*$AC$28+T574*$AC$29+U574*$AC$30</f>
        <v/>
      </c>
      <c r="W574" s="8">
        <f>1/(1+EXP(-V574))</f>
        <v/>
      </c>
      <c r="X574" s="9">
        <f>-IF(C574=1,LN(W574),LN(1-W574))</f>
        <v/>
      </c>
      <c r="Y574" s="10">
        <f>IF(W574&gt;$AC$33,1,0)</f>
        <v/>
      </c>
      <c r="Z574">
        <f>IF(Y574=C574,1,0)</f>
        <v/>
      </c>
    </row>
    <row r="575">
      <c r="A575">
        <f>'1 prepared data'!A568</f>
        <v/>
      </c>
      <c r="B575" s="5">
        <f>'1 prepared data'!U568</f>
        <v/>
      </c>
      <c r="C575">
        <f>'1 prepared data'!B568</f>
        <v/>
      </c>
      <c r="D575" s="7">
        <f>'1 prepared data'!C568</f>
        <v/>
      </c>
      <c r="E575" s="7">
        <f>'1 prepared data'!D568</f>
        <v/>
      </c>
      <c r="F575" s="7">
        <f>'1 prepared data'!E568</f>
        <v/>
      </c>
      <c r="G575" s="7">
        <f>'1 prepared data'!F568</f>
        <v/>
      </c>
      <c r="H575" s="7">
        <f>'1 prepared data'!G568</f>
        <v/>
      </c>
      <c r="I575" s="7">
        <f>'1 prepared data'!H568</f>
        <v/>
      </c>
      <c r="J575" s="7">
        <f>'1 prepared data'!I568</f>
        <v/>
      </c>
      <c r="K575" s="7">
        <f>'1 prepared data'!J568</f>
        <v/>
      </c>
      <c r="L575" s="7">
        <f>'1 prepared data'!K568</f>
        <v/>
      </c>
      <c r="M575" s="7">
        <f>'1 prepared data'!L568</f>
        <v/>
      </c>
      <c r="N575" s="7">
        <f>'1 prepared data'!M568</f>
        <v/>
      </c>
      <c r="O575" s="7">
        <f>'1 prepared data'!N568</f>
        <v/>
      </c>
      <c r="P575" s="7">
        <f>'1 prepared data'!O568</f>
        <v/>
      </c>
      <c r="Q575" s="7">
        <f>'1 prepared data'!P568</f>
        <v/>
      </c>
      <c r="R575" s="7">
        <f>'1 prepared data'!Q568</f>
        <v/>
      </c>
      <c r="S575" s="7">
        <f>'1 prepared data'!R568</f>
        <v/>
      </c>
      <c r="T575" s="7">
        <f>'1 prepared data'!S568</f>
        <v/>
      </c>
      <c r="U575" s="7">
        <f>'1 prepared data'!T568</f>
        <v/>
      </c>
      <c r="V575" s="8">
        <f>$AC$12+D575*$AC$13+E575*$AC$14+F575*$AC$15+G575*$AC$16+H575*$AC$17+I575*$AC$18+J575*$AC$19+K575*$AC$20+L575*$AC$21+M575*$AC$22+N575*$AC$23+O575*$AC$24+P575*$AC$25+Q575*$AC$26+R575*$AC$27+S575*$AC$28+T575*$AC$29+U575*$AC$30</f>
        <v/>
      </c>
      <c r="W575" s="8">
        <f>1/(1+EXP(-V575))</f>
        <v/>
      </c>
      <c r="X575" s="9">
        <f>-IF(C575=1,LN(W575),LN(1-W575))</f>
        <v/>
      </c>
      <c r="Y575" s="10">
        <f>IF(W575&gt;$AC$33,1,0)</f>
        <v/>
      </c>
      <c r="Z575">
        <f>IF(Y575=C575,1,0)</f>
        <v/>
      </c>
    </row>
    <row r="576">
      <c r="A576">
        <f>'1 prepared data'!A569</f>
        <v/>
      </c>
      <c r="B576" s="5">
        <f>'1 prepared data'!U569</f>
        <v/>
      </c>
      <c r="C576">
        <f>'1 prepared data'!B569</f>
        <v/>
      </c>
      <c r="D576" s="7">
        <f>'1 prepared data'!C569</f>
        <v/>
      </c>
      <c r="E576" s="7">
        <f>'1 prepared data'!D569</f>
        <v/>
      </c>
      <c r="F576" s="7">
        <f>'1 prepared data'!E569</f>
        <v/>
      </c>
      <c r="G576" s="7">
        <f>'1 prepared data'!F569</f>
        <v/>
      </c>
      <c r="H576" s="7">
        <f>'1 prepared data'!G569</f>
        <v/>
      </c>
      <c r="I576" s="7">
        <f>'1 prepared data'!H569</f>
        <v/>
      </c>
      <c r="J576" s="7">
        <f>'1 prepared data'!I569</f>
        <v/>
      </c>
      <c r="K576" s="7">
        <f>'1 prepared data'!J569</f>
        <v/>
      </c>
      <c r="L576" s="7">
        <f>'1 prepared data'!K569</f>
        <v/>
      </c>
      <c r="M576" s="7">
        <f>'1 prepared data'!L569</f>
        <v/>
      </c>
      <c r="N576" s="7">
        <f>'1 prepared data'!M569</f>
        <v/>
      </c>
      <c r="O576" s="7">
        <f>'1 prepared data'!N569</f>
        <v/>
      </c>
      <c r="P576" s="7">
        <f>'1 prepared data'!O569</f>
        <v/>
      </c>
      <c r="Q576" s="7">
        <f>'1 prepared data'!P569</f>
        <v/>
      </c>
      <c r="R576" s="7">
        <f>'1 prepared data'!Q569</f>
        <v/>
      </c>
      <c r="S576" s="7">
        <f>'1 prepared data'!R569</f>
        <v/>
      </c>
      <c r="T576" s="7">
        <f>'1 prepared data'!S569</f>
        <v/>
      </c>
      <c r="U576" s="7">
        <f>'1 prepared data'!T569</f>
        <v/>
      </c>
      <c r="V576" s="8">
        <f>$AC$12+D576*$AC$13+E576*$AC$14+F576*$AC$15+G576*$AC$16+H576*$AC$17+I576*$AC$18+J576*$AC$19+K576*$AC$20+L576*$AC$21+M576*$AC$22+N576*$AC$23+O576*$AC$24+P576*$AC$25+Q576*$AC$26+R576*$AC$27+S576*$AC$28+T576*$AC$29+U576*$AC$30</f>
        <v/>
      </c>
      <c r="W576" s="8">
        <f>1/(1+EXP(-V576))</f>
        <v/>
      </c>
      <c r="X576" s="9">
        <f>-IF(C576=1,LN(W576),LN(1-W576))</f>
        <v/>
      </c>
      <c r="Y576" s="10">
        <f>IF(W576&gt;$AC$33,1,0)</f>
        <v/>
      </c>
      <c r="Z576">
        <f>IF(Y576=C576,1,0)</f>
        <v/>
      </c>
    </row>
    <row r="577">
      <c r="A577">
        <f>'1 prepared data'!A570</f>
        <v/>
      </c>
      <c r="B577" s="5">
        <f>'1 prepared data'!U570</f>
        <v/>
      </c>
      <c r="C577">
        <f>'1 prepared data'!B570</f>
        <v/>
      </c>
      <c r="D577" s="7">
        <f>'1 prepared data'!C570</f>
        <v/>
      </c>
      <c r="E577" s="7">
        <f>'1 prepared data'!D570</f>
        <v/>
      </c>
      <c r="F577" s="7">
        <f>'1 prepared data'!E570</f>
        <v/>
      </c>
      <c r="G577" s="7">
        <f>'1 prepared data'!F570</f>
        <v/>
      </c>
      <c r="H577" s="7">
        <f>'1 prepared data'!G570</f>
        <v/>
      </c>
      <c r="I577" s="7">
        <f>'1 prepared data'!H570</f>
        <v/>
      </c>
      <c r="J577" s="7">
        <f>'1 prepared data'!I570</f>
        <v/>
      </c>
      <c r="K577" s="7">
        <f>'1 prepared data'!J570</f>
        <v/>
      </c>
      <c r="L577" s="7">
        <f>'1 prepared data'!K570</f>
        <v/>
      </c>
      <c r="M577" s="7">
        <f>'1 prepared data'!L570</f>
        <v/>
      </c>
      <c r="N577" s="7">
        <f>'1 prepared data'!M570</f>
        <v/>
      </c>
      <c r="O577" s="7">
        <f>'1 prepared data'!N570</f>
        <v/>
      </c>
      <c r="P577" s="7">
        <f>'1 prepared data'!O570</f>
        <v/>
      </c>
      <c r="Q577" s="7">
        <f>'1 prepared data'!P570</f>
        <v/>
      </c>
      <c r="R577" s="7">
        <f>'1 prepared data'!Q570</f>
        <v/>
      </c>
      <c r="S577" s="7">
        <f>'1 prepared data'!R570</f>
        <v/>
      </c>
      <c r="T577" s="7">
        <f>'1 prepared data'!S570</f>
        <v/>
      </c>
      <c r="U577" s="7">
        <f>'1 prepared data'!T570</f>
        <v/>
      </c>
      <c r="V577" s="8">
        <f>$AC$12+D577*$AC$13+E577*$AC$14+F577*$AC$15+G577*$AC$16+H577*$AC$17+I577*$AC$18+J577*$AC$19+K577*$AC$20+L577*$AC$21+M577*$AC$22+N577*$AC$23+O577*$AC$24+P577*$AC$25+Q577*$AC$26+R577*$AC$27+S577*$AC$28+T577*$AC$29+U577*$AC$30</f>
        <v/>
      </c>
      <c r="W577" s="8">
        <f>1/(1+EXP(-V577))</f>
        <v/>
      </c>
      <c r="X577" s="9">
        <f>-IF(C577=1,LN(W577),LN(1-W577))</f>
        <v/>
      </c>
      <c r="Y577" s="10">
        <f>IF(W577&gt;$AC$33,1,0)</f>
        <v/>
      </c>
      <c r="Z577">
        <f>IF(Y577=C577,1,0)</f>
        <v/>
      </c>
    </row>
    <row r="578">
      <c r="A578">
        <f>'1 prepared data'!A571</f>
        <v/>
      </c>
      <c r="B578" s="5">
        <f>'1 prepared data'!U571</f>
        <v/>
      </c>
      <c r="C578">
        <f>'1 prepared data'!B571</f>
        <v/>
      </c>
      <c r="D578" s="7">
        <f>'1 prepared data'!C571</f>
        <v/>
      </c>
      <c r="E578" s="7">
        <f>'1 prepared data'!D571</f>
        <v/>
      </c>
      <c r="F578" s="7">
        <f>'1 prepared data'!E571</f>
        <v/>
      </c>
      <c r="G578" s="7">
        <f>'1 prepared data'!F571</f>
        <v/>
      </c>
      <c r="H578" s="7">
        <f>'1 prepared data'!G571</f>
        <v/>
      </c>
      <c r="I578" s="7">
        <f>'1 prepared data'!H571</f>
        <v/>
      </c>
      <c r="J578" s="7">
        <f>'1 prepared data'!I571</f>
        <v/>
      </c>
      <c r="K578" s="7">
        <f>'1 prepared data'!J571</f>
        <v/>
      </c>
      <c r="L578" s="7">
        <f>'1 prepared data'!K571</f>
        <v/>
      </c>
      <c r="M578" s="7">
        <f>'1 prepared data'!L571</f>
        <v/>
      </c>
      <c r="N578" s="7">
        <f>'1 prepared data'!M571</f>
        <v/>
      </c>
      <c r="O578" s="7">
        <f>'1 prepared data'!N571</f>
        <v/>
      </c>
      <c r="P578" s="7">
        <f>'1 prepared data'!O571</f>
        <v/>
      </c>
      <c r="Q578" s="7">
        <f>'1 prepared data'!P571</f>
        <v/>
      </c>
      <c r="R578" s="7">
        <f>'1 prepared data'!Q571</f>
        <v/>
      </c>
      <c r="S578" s="7">
        <f>'1 prepared data'!R571</f>
        <v/>
      </c>
      <c r="T578" s="7">
        <f>'1 prepared data'!S571</f>
        <v/>
      </c>
      <c r="U578" s="7">
        <f>'1 prepared data'!T571</f>
        <v/>
      </c>
      <c r="V578" s="8">
        <f>$AC$12+D578*$AC$13+E578*$AC$14+F578*$AC$15+G578*$AC$16+H578*$AC$17+I578*$AC$18+J578*$AC$19+K578*$AC$20+L578*$AC$21+M578*$AC$22+N578*$AC$23+O578*$AC$24+P578*$AC$25+Q578*$AC$26+R578*$AC$27+S578*$AC$28+T578*$AC$29+U578*$AC$30</f>
        <v/>
      </c>
      <c r="W578" s="8">
        <f>1/(1+EXP(-V578))</f>
        <v/>
      </c>
      <c r="X578" s="9">
        <f>-IF(C578=1,LN(W578),LN(1-W578))</f>
        <v/>
      </c>
      <c r="Y578" s="10">
        <f>IF(W578&gt;$AC$33,1,0)</f>
        <v/>
      </c>
      <c r="Z578">
        <f>IF(Y578=C578,1,0)</f>
        <v/>
      </c>
    </row>
    <row r="579">
      <c r="A579">
        <f>'1 prepared data'!A572</f>
        <v/>
      </c>
      <c r="B579" s="5">
        <f>'1 prepared data'!U572</f>
        <v/>
      </c>
      <c r="C579">
        <f>'1 prepared data'!B572</f>
        <v/>
      </c>
      <c r="D579" s="7">
        <f>'1 prepared data'!C572</f>
        <v/>
      </c>
      <c r="E579" s="7">
        <f>'1 prepared data'!D572</f>
        <v/>
      </c>
      <c r="F579" s="7">
        <f>'1 prepared data'!E572</f>
        <v/>
      </c>
      <c r="G579" s="7">
        <f>'1 prepared data'!F572</f>
        <v/>
      </c>
      <c r="H579" s="7">
        <f>'1 prepared data'!G572</f>
        <v/>
      </c>
      <c r="I579" s="7">
        <f>'1 prepared data'!H572</f>
        <v/>
      </c>
      <c r="J579" s="7">
        <f>'1 prepared data'!I572</f>
        <v/>
      </c>
      <c r="K579" s="7">
        <f>'1 prepared data'!J572</f>
        <v/>
      </c>
      <c r="L579" s="7">
        <f>'1 prepared data'!K572</f>
        <v/>
      </c>
      <c r="M579" s="7">
        <f>'1 prepared data'!L572</f>
        <v/>
      </c>
      <c r="N579" s="7">
        <f>'1 prepared data'!M572</f>
        <v/>
      </c>
      <c r="O579" s="7">
        <f>'1 prepared data'!N572</f>
        <v/>
      </c>
      <c r="P579" s="7">
        <f>'1 prepared data'!O572</f>
        <v/>
      </c>
      <c r="Q579" s="7">
        <f>'1 prepared data'!P572</f>
        <v/>
      </c>
      <c r="R579" s="7">
        <f>'1 prepared data'!Q572</f>
        <v/>
      </c>
      <c r="S579" s="7">
        <f>'1 prepared data'!R572</f>
        <v/>
      </c>
      <c r="T579" s="7">
        <f>'1 prepared data'!S572</f>
        <v/>
      </c>
      <c r="U579" s="7">
        <f>'1 prepared data'!T572</f>
        <v/>
      </c>
      <c r="V579" s="8">
        <f>$AC$12+D579*$AC$13+E579*$AC$14+F579*$AC$15+G579*$AC$16+H579*$AC$17+I579*$AC$18+J579*$AC$19+K579*$AC$20+L579*$AC$21+M579*$AC$22+N579*$AC$23+O579*$AC$24+P579*$AC$25+Q579*$AC$26+R579*$AC$27+S579*$AC$28+T579*$AC$29+U579*$AC$30</f>
        <v/>
      </c>
      <c r="W579" s="8">
        <f>1/(1+EXP(-V579))</f>
        <v/>
      </c>
      <c r="X579" s="9">
        <f>-IF(C579=1,LN(W579),LN(1-W579))</f>
        <v/>
      </c>
      <c r="Y579" s="10">
        <f>IF(W579&gt;$AC$33,1,0)</f>
        <v/>
      </c>
      <c r="Z579">
        <f>IF(Y579=C579,1,0)</f>
        <v/>
      </c>
    </row>
    <row r="580">
      <c r="A580">
        <f>'1 prepared data'!A573</f>
        <v/>
      </c>
      <c r="B580" s="5">
        <f>'1 prepared data'!U573</f>
        <v/>
      </c>
      <c r="C580">
        <f>'1 prepared data'!B573</f>
        <v/>
      </c>
      <c r="D580" s="7">
        <f>'1 prepared data'!C573</f>
        <v/>
      </c>
      <c r="E580" s="7">
        <f>'1 prepared data'!D573</f>
        <v/>
      </c>
      <c r="F580" s="7">
        <f>'1 prepared data'!E573</f>
        <v/>
      </c>
      <c r="G580" s="7">
        <f>'1 prepared data'!F573</f>
        <v/>
      </c>
      <c r="H580" s="7">
        <f>'1 prepared data'!G573</f>
        <v/>
      </c>
      <c r="I580" s="7">
        <f>'1 prepared data'!H573</f>
        <v/>
      </c>
      <c r="J580" s="7">
        <f>'1 prepared data'!I573</f>
        <v/>
      </c>
      <c r="K580" s="7">
        <f>'1 prepared data'!J573</f>
        <v/>
      </c>
      <c r="L580" s="7">
        <f>'1 prepared data'!K573</f>
        <v/>
      </c>
      <c r="M580" s="7">
        <f>'1 prepared data'!L573</f>
        <v/>
      </c>
      <c r="N580" s="7">
        <f>'1 prepared data'!M573</f>
        <v/>
      </c>
      <c r="O580" s="7">
        <f>'1 prepared data'!N573</f>
        <v/>
      </c>
      <c r="P580" s="7">
        <f>'1 prepared data'!O573</f>
        <v/>
      </c>
      <c r="Q580" s="7">
        <f>'1 prepared data'!P573</f>
        <v/>
      </c>
      <c r="R580" s="7">
        <f>'1 prepared data'!Q573</f>
        <v/>
      </c>
      <c r="S580" s="7">
        <f>'1 prepared data'!R573</f>
        <v/>
      </c>
      <c r="T580" s="7">
        <f>'1 prepared data'!S573</f>
        <v/>
      </c>
      <c r="U580" s="7">
        <f>'1 prepared data'!T573</f>
        <v/>
      </c>
      <c r="V580" s="8">
        <f>$AC$12+D580*$AC$13+E580*$AC$14+F580*$AC$15+G580*$AC$16+H580*$AC$17+I580*$AC$18+J580*$AC$19+K580*$AC$20+L580*$AC$21+M580*$AC$22+N580*$AC$23+O580*$AC$24+P580*$AC$25+Q580*$AC$26+R580*$AC$27+S580*$AC$28+T580*$AC$29+U580*$AC$30</f>
        <v/>
      </c>
      <c r="W580" s="8">
        <f>1/(1+EXP(-V580))</f>
        <v/>
      </c>
      <c r="X580" s="9">
        <f>-IF(C580=1,LN(W580),LN(1-W580))</f>
        <v/>
      </c>
      <c r="Y580" s="10">
        <f>IF(W580&gt;$AC$33,1,0)</f>
        <v/>
      </c>
      <c r="Z580">
        <f>IF(Y580=C580,1,0)</f>
        <v/>
      </c>
    </row>
    <row r="581">
      <c r="A581">
        <f>'1 prepared data'!A574</f>
        <v/>
      </c>
      <c r="B581" s="5">
        <f>'1 prepared data'!U574</f>
        <v/>
      </c>
      <c r="C581">
        <f>'1 prepared data'!B574</f>
        <v/>
      </c>
      <c r="D581" s="7">
        <f>'1 prepared data'!C574</f>
        <v/>
      </c>
      <c r="E581" s="7">
        <f>'1 prepared data'!D574</f>
        <v/>
      </c>
      <c r="F581" s="7">
        <f>'1 prepared data'!E574</f>
        <v/>
      </c>
      <c r="G581" s="7">
        <f>'1 prepared data'!F574</f>
        <v/>
      </c>
      <c r="H581" s="7">
        <f>'1 prepared data'!G574</f>
        <v/>
      </c>
      <c r="I581" s="7">
        <f>'1 prepared data'!H574</f>
        <v/>
      </c>
      <c r="J581" s="7">
        <f>'1 prepared data'!I574</f>
        <v/>
      </c>
      <c r="K581" s="7">
        <f>'1 prepared data'!J574</f>
        <v/>
      </c>
      <c r="L581" s="7">
        <f>'1 prepared data'!K574</f>
        <v/>
      </c>
      <c r="M581" s="7">
        <f>'1 prepared data'!L574</f>
        <v/>
      </c>
      <c r="N581" s="7">
        <f>'1 prepared data'!M574</f>
        <v/>
      </c>
      <c r="O581" s="7">
        <f>'1 prepared data'!N574</f>
        <v/>
      </c>
      <c r="P581" s="7">
        <f>'1 prepared data'!O574</f>
        <v/>
      </c>
      <c r="Q581" s="7">
        <f>'1 prepared data'!P574</f>
        <v/>
      </c>
      <c r="R581" s="7">
        <f>'1 prepared data'!Q574</f>
        <v/>
      </c>
      <c r="S581" s="7">
        <f>'1 prepared data'!R574</f>
        <v/>
      </c>
      <c r="T581" s="7">
        <f>'1 prepared data'!S574</f>
        <v/>
      </c>
      <c r="U581" s="7">
        <f>'1 prepared data'!T574</f>
        <v/>
      </c>
      <c r="V581" s="8">
        <f>$AC$12+D581*$AC$13+E581*$AC$14+F581*$AC$15+G581*$AC$16+H581*$AC$17+I581*$AC$18+J581*$AC$19+K581*$AC$20+L581*$AC$21+M581*$AC$22+N581*$AC$23+O581*$AC$24+P581*$AC$25+Q581*$AC$26+R581*$AC$27+S581*$AC$28+T581*$AC$29+U581*$AC$30</f>
        <v/>
      </c>
      <c r="W581" s="8">
        <f>1/(1+EXP(-V581))</f>
        <v/>
      </c>
      <c r="X581" s="9">
        <f>-IF(C581=1,LN(W581),LN(1-W581))</f>
        <v/>
      </c>
      <c r="Y581" s="10">
        <f>IF(W581&gt;$AC$33,1,0)</f>
        <v/>
      </c>
      <c r="Z581">
        <f>IF(Y581=C581,1,0)</f>
        <v/>
      </c>
    </row>
    <row r="582">
      <c r="A582">
        <f>'1 prepared data'!A575</f>
        <v/>
      </c>
      <c r="B582" s="5">
        <f>'1 prepared data'!U575</f>
        <v/>
      </c>
      <c r="C582">
        <f>'1 prepared data'!B575</f>
        <v/>
      </c>
      <c r="D582" s="7">
        <f>'1 prepared data'!C575</f>
        <v/>
      </c>
      <c r="E582" s="7">
        <f>'1 prepared data'!D575</f>
        <v/>
      </c>
      <c r="F582" s="7">
        <f>'1 prepared data'!E575</f>
        <v/>
      </c>
      <c r="G582" s="7">
        <f>'1 prepared data'!F575</f>
        <v/>
      </c>
      <c r="H582" s="7">
        <f>'1 prepared data'!G575</f>
        <v/>
      </c>
      <c r="I582" s="7">
        <f>'1 prepared data'!H575</f>
        <v/>
      </c>
      <c r="J582" s="7">
        <f>'1 prepared data'!I575</f>
        <v/>
      </c>
      <c r="K582" s="7">
        <f>'1 prepared data'!J575</f>
        <v/>
      </c>
      <c r="L582" s="7">
        <f>'1 prepared data'!K575</f>
        <v/>
      </c>
      <c r="M582" s="7">
        <f>'1 prepared data'!L575</f>
        <v/>
      </c>
      <c r="N582" s="7">
        <f>'1 prepared data'!M575</f>
        <v/>
      </c>
      <c r="O582" s="7">
        <f>'1 prepared data'!N575</f>
        <v/>
      </c>
      <c r="P582" s="7">
        <f>'1 prepared data'!O575</f>
        <v/>
      </c>
      <c r="Q582" s="7">
        <f>'1 prepared data'!P575</f>
        <v/>
      </c>
      <c r="R582" s="7">
        <f>'1 prepared data'!Q575</f>
        <v/>
      </c>
      <c r="S582" s="7">
        <f>'1 prepared data'!R575</f>
        <v/>
      </c>
      <c r="T582" s="7">
        <f>'1 prepared data'!S575</f>
        <v/>
      </c>
      <c r="U582" s="7">
        <f>'1 prepared data'!T575</f>
        <v/>
      </c>
      <c r="V582" s="8">
        <f>$AC$12+D582*$AC$13+E582*$AC$14+F582*$AC$15+G582*$AC$16+H582*$AC$17+I582*$AC$18+J582*$AC$19+K582*$AC$20+L582*$AC$21+M582*$AC$22+N582*$AC$23+O582*$AC$24+P582*$AC$25+Q582*$AC$26+R582*$AC$27+S582*$AC$28+T582*$AC$29+U582*$AC$30</f>
        <v/>
      </c>
      <c r="W582" s="8">
        <f>1/(1+EXP(-V582))</f>
        <v/>
      </c>
      <c r="X582" s="9">
        <f>-IF(C582=1,LN(W582),LN(1-W582))</f>
        <v/>
      </c>
      <c r="Y582" s="10">
        <f>IF(W582&gt;$AC$33,1,0)</f>
        <v/>
      </c>
      <c r="Z582">
        <f>IF(Y582=C582,1,0)</f>
        <v/>
      </c>
    </row>
    <row r="583">
      <c r="A583">
        <f>'1 prepared data'!A576</f>
        <v/>
      </c>
      <c r="B583" s="5">
        <f>'1 prepared data'!U576</f>
        <v/>
      </c>
      <c r="C583">
        <f>'1 prepared data'!B576</f>
        <v/>
      </c>
      <c r="D583" s="7">
        <f>'1 prepared data'!C576</f>
        <v/>
      </c>
      <c r="E583" s="7">
        <f>'1 prepared data'!D576</f>
        <v/>
      </c>
      <c r="F583" s="7">
        <f>'1 prepared data'!E576</f>
        <v/>
      </c>
      <c r="G583" s="7">
        <f>'1 prepared data'!F576</f>
        <v/>
      </c>
      <c r="H583" s="7">
        <f>'1 prepared data'!G576</f>
        <v/>
      </c>
      <c r="I583" s="7">
        <f>'1 prepared data'!H576</f>
        <v/>
      </c>
      <c r="J583" s="7">
        <f>'1 prepared data'!I576</f>
        <v/>
      </c>
      <c r="K583" s="7">
        <f>'1 prepared data'!J576</f>
        <v/>
      </c>
      <c r="L583" s="7">
        <f>'1 prepared data'!K576</f>
        <v/>
      </c>
      <c r="M583" s="7">
        <f>'1 prepared data'!L576</f>
        <v/>
      </c>
      <c r="N583" s="7">
        <f>'1 prepared data'!M576</f>
        <v/>
      </c>
      <c r="O583" s="7">
        <f>'1 prepared data'!N576</f>
        <v/>
      </c>
      <c r="P583" s="7">
        <f>'1 prepared data'!O576</f>
        <v/>
      </c>
      <c r="Q583" s="7">
        <f>'1 prepared data'!P576</f>
        <v/>
      </c>
      <c r="R583" s="7">
        <f>'1 prepared data'!Q576</f>
        <v/>
      </c>
      <c r="S583" s="7">
        <f>'1 prepared data'!R576</f>
        <v/>
      </c>
      <c r="T583" s="7">
        <f>'1 prepared data'!S576</f>
        <v/>
      </c>
      <c r="U583" s="7">
        <f>'1 prepared data'!T576</f>
        <v/>
      </c>
      <c r="V583" s="8">
        <f>$AC$12+D583*$AC$13+E583*$AC$14+F583*$AC$15+G583*$AC$16+H583*$AC$17+I583*$AC$18+J583*$AC$19+K583*$AC$20+L583*$AC$21+M583*$AC$22+N583*$AC$23+O583*$AC$24+P583*$AC$25+Q583*$AC$26+R583*$AC$27+S583*$AC$28+T583*$AC$29+U583*$AC$30</f>
        <v/>
      </c>
      <c r="W583" s="8">
        <f>1/(1+EXP(-V583))</f>
        <v/>
      </c>
      <c r="X583" s="9">
        <f>-IF(C583=1,LN(W583),LN(1-W583))</f>
        <v/>
      </c>
      <c r="Y583" s="10">
        <f>IF(W583&gt;$AC$33,1,0)</f>
        <v/>
      </c>
      <c r="Z583">
        <f>IF(Y583=C583,1,0)</f>
        <v/>
      </c>
    </row>
    <row r="584">
      <c r="A584">
        <f>'1 prepared data'!A577</f>
        <v/>
      </c>
      <c r="B584" s="5">
        <f>'1 prepared data'!U577</f>
        <v/>
      </c>
      <c r="C584">
        <f>'1 prepared data'!B577</f>
        <v/>
      </c>
      <c r="D584" s="7">
        <f>'1 prepared data'!C577</f>
        <v/>
      </c>
      <c r="E584" s="7">
        <f>'1 prepared data'!D577</f>
        <v/>
      </c>
      <c r="F584" s="7">
        <f>'1 prepared data'!E577</f>
        <v/>
      </c>
      <c r="G584" s="7">
        <f>'1 prepared data'!F577</f>
        <v/>
      </c>
      <c r="H584" s="7">
        <f>'1 prepared data'!G577</f>
        <v/>
      </c>
      <c r="I584" s="7">
        <f>'1 prepared data'!H577</f>
        <v/>
      </c>
      <c r="J584" s="7">
        <f>'1 prepared data'!I577</f>
        <v/>
      </c>
      <c r="K584" s="7">
        <f>'1 prepared data'!J577</f>
        <v/>
      </c>
      <c r="L584" s="7">
        <f>'1 prepared data'!K577</f>
        <v/>
      </c>
      <c r="M584" s="7">
        <f>'1 prepared data'!L577</f>
        <v/>
      </c>
      <c r="N584" s="7">
        <f>'1 prepared data'!M577</f>
        <v/>
      </c>
      <c r="O584" s="7">
        <f>'1 prepared data'!N577</f>
        <v/>
      </c>
      <c r="P584" s="7">
        <f>'1 prepared data'!O577</f>
        <v/>
      </c>
      <c r="Q584" s="7">
        <f>'1 prepared data'!P577</f>
        <v/>
      </c>
      <c r="R584" s="7">
        <f>'1 prepared data'!Q577</f>
        <v/>
      </c>
      <c r="S584" s="7">
        <f>'1 prepared data'!R577</f>
        <v/>
      </c>
      <c r="T584" s="7">
        <f>'1 prepared data'!S577</f>
        <v/>
      </c>
      <c r="U584" s="7">
        <f>'1 prepared data'!T577</f>
        <v/>
      </c>
      <c r="V584" s="8">
        <f>$AC$12+D584*$AC$13+E584*$AC$14+F584*$AC$15+G584*$AC$16+H584*$AC$17+I584*$AC$18+J584*$AC$19+K584*$AC$20+L584*$AC$21+M584*$AC$22+N584*$AC$23+O584*$AC$24+P584*$AC$25+Q584*$AC$26+R584*$AC$27+S584*$AC$28+T584*$AC$29+U584*$AC$30</f>
        <v/>
      </c>
      <c r="W584" s="8">
        <f>1/(1+EXP(-V584))</f>
        <v/>
      </c>
      <c r="X584" s="9">
        <f>-IF(C584=1,LN(W584),LN(1-W584))</f>
        <v/>
      </c>
      <c r="Y584" s="10">
        <f>IF(W584&gt;$AC$33,1,0)</f>
        <v/>
      </c>
      <c r="Z584">
        <f>IF(Y584=C584,1,0)</f>
        <v/>
      </c>
    </row>
    <row r="585">
      <c r="A585">
        <f>'1 prepared data'!A578</f>
        <v/>
      </c>
      <c r="B585" s="5">
        <f>'1 prepared data'!U578</f>
        <v/>
      </c>
      <c r="C585">
        <f>'1 prepared data'!B578</f>
        <v/>
      </c>
      <c r="D585" s="7">
        <f>'1 prepared data'!C578</f>
        <v/>
      </c>
      <c r="E585" s="7">
        <f>'1 prepared data'!D578</f>
        <v/>
      </c>
      <c r="F585" s="7">
        <f>'1 prepared data'!E578</f>
        <v/>
      </c>
      <c r="G585" s="7">
        <f>'1 prepared data'!F578</f>
        <v/>
      </c>
      <c r="H585" s="7">
        <f>'1 prepared data'!G578</f>
        <v/>
      </c>
      <c r="I585" s="7">
        <f>'1 prepared data'!H578</f>
        <v/>
      </c>
      <c r="J585" s="7">
        <f>'1 prepared data'!I578</f>
        <v/>
      </c>
      <c r="K585" s="7">
        <f>'1 prepared data'!J578</f>
        <v/>
      </c>
      <c r="L585" s="7">
        <f>'1 prepared data'!K578</f>
        <v/>
      </c>
      <c r="M585" s="7">
        <f>'1 prepared data'!L578</f>
        <v/>
      </c>
      <c r="N585" s="7">
        <f>'1 prepared data'!M578</f>
        <v/>
      </c>
      <c r="O585" s="7">
        <f>'1 prepared data'!N578</f>
        <v/>
      </c>
      <c r="P585" s="7">
        <f>'1 prepared data'!O578</f>
        <v/>
      </c>
      <c r="Q585" s="7">
        <f>'1 prepared data'!P578</f>
        <v/>
      </c>
      <c r="R585" s="7">
        <f>'1 prepared data'!Q578</f>
        <v/>
      </c>
      <c r="S585" s="7">
        <f>'1 prepared data'!R578</f>
        <v/>
      </c>
      <c r="T585" s="7">
        <f>'1 prepared data'!S578</f>
        <v/>
      </c>
      <c r="U585" s="7">
        <f>'1 prepared data'!T578</f>
        <v/>
      </c>
      <c r="V585" s="8">
        <f>$AC$12+D585*$AC$13+E585*$AC$14+F585*$AC$15+G585*$AC$16+H585*$AC$17+I585*$AC$18+J585*$AC$19+K585*$AC$20+L585*$AC$21+M585*$AC$22+N585*$AC$23+O585*$AC$24+P585*$AC$25+Q585*$AC$26+R585*$AC$27+S585*$AC$28+T585*$AC$29+U585*$AC$30</f>
        <v/>
      </c>
      <c r="W585" s="8">
        <f>1/(1+EXP(-V585))</f>
        <v/>
      </c>
      <c r="X585" s="9">
        <f>-IF(C585=1,LN(W585),LN(1-W585))</f>
        <v/>
      </c>
      <c r="Y585" s="10">
        <f>IF(W585&gt;$AC$33,1,0)</f>
        <v/>
      </c>
      <c r="Z585">
        <f>IF(Y585=C585,1,0)</f>
        <v/>
      </c>
    </row>
    <row r="586">
      <c r="A586">
        <f>'1 prepared data'!A579</f>
        <v/>
      </c>
      <c r="B586" s="5">
        <f>'1 prepared data'!U579</f>
        <v/>
      </c>
      <c r="C586">
        <f>'1 prepared data'!B579</f>
        <v/>
      </c>
      <c r="D586" s="7">
        <f>'1 prepared data'!C579</f>
        <v/>
      </c>
      <c r="E586" s="7">
        <f>'1 prepared data'!D579</f>
        <v/>
      </c>
      <c r="F586" s="7">
        <f>'1 prepared data'!E579</f>
        <v/>
      </c>
      <c r="G586" s="7">
        <f>'1 prepared data'!F579</f>
        <v/>
      </c>
      <c r="H586" s="7">
        <f>'1 prepared data'!G579</f>
        <v/>
      </c>
      <c r="I586" s="7">
        <f>'1 prepared data'!H579</f>
        <v/>
      </c>
      <c r="J586" s="7">
        <f>'1 prepared data'!I579</f>
        <v/>
      </c>
      <c r="K586" s="7">
        <f>'1 prepared data'!J579</f>
        <v/>
      </c>
      <c r="L586" s="7">
        <f>'1 prepared data'!K579</f>
        <v/>
      </c>
      <c r="M586" s="7">
        <f>'1 prepared data'!L579</f>
        <v/>
      </c>
      <c r="N586" s="7">
        <f>'1 prepared data'!M579</f>
        <v/>
      </c>
      <c r="O586" s="7">
        <f>'1 prepared data'!N579</f>
        <v/>
      </c>
      <c r="P586" s="7">
        <f>'1 prepared data'!O579</f>
        <v/>
      </c>
      <c r="Q586" s="7">
        <f>'1 prepared data'!P579</f>
        <v/>
      </c>
      <c r="R586" s="7">
        <f>'1 prepared data'!Q579</f>
        <v/>
      </c>
      <c r="S586" s="7">
        <f>'1 prepared data'!R579</f>
        <v/>
      </c>
      <c r="T586" s="7">
        <f>'1 prepared data'!S579</f>
        <v/>
      </c>
      <c r="U586" s="7">
        <f>'1 prepared data'!T579</f>
        <v/>
      </c>
      <c r="V586" s="8">
        <f>$AC$12+D586*$AC$13+E586*$AC$14+F586*$AC$15+G586*$AC$16+H586*$AC$17+I586*$AC$18+J586*$AC$19+K586*$AC$20+L586*$AC$21+M586*$AC$22+N586*$AC$23+O586*$AC$24+P586*$AC$25+Q586*$AC$26+R586*$AC$27+S586*$AC$28+T586*$AC$29+U586*$AC$30</f>
        <v/>
      </c>
      <c r="W586" s="8">
        <f>1/(1+EXP(-V586))</f>
        <v/>
      </c>
      <c r="X586" s="9">
        <f>-IF(C586=1,LN(W586),LN(1-W586))</f>
        <v/>
      </c>
      <c r="Y586" s="10">
        <f>IF(W586&gt;$AC$33,1,0)</f>
        <v/>
      </c>
      <c r="Z586">
        <f>IF(Y586=C586,1,0)</f>
        <v/>
      </c>
    </row>
    <row r="587">
      <c r="A587">
        <f>'1 prepared data'!A580</f>
        <v/>
      </c>
      <c r="B587" s="5">
        <f>'1 prepared data'!U580</f>
        <v/>
      </c>
      <c r="C587">
        <f>'1 prepared data'!B580</f>
        <v/>
      </c>
      <c r="D587" s="7">
        <f>'1 prepared data'!C580</f>
        <v/>
      </c>
      <c r="E587" s="7">
        <f>'1 prepared data'!D580</f>
        <v/>
      </c>
      <c r="F587" s="7">
        <f>'1 prepared data'!E580</f>
        <v/>
      </c>
      <c r="G587" s="7">
        <f>'1 prepared data'!F580</f>
        <v/>
      </c>
      <c r="H587" s="7">
        <f>'1 prepared data'!G580</f>
        <v/>
      </c>
      <c r="I587" s="7">
        <f>'1 prepared data'!H580</f>
        <v/>
      </c>
      <c r="J587" s="7">
        <f>'1 prepared data'!I580</f>
        <v/>
      </c>
      <c r="K587" s="7">
        <f>'1 prepared data'!J580</f>
        <v/>
      </c>
      <c r="L587" s="7">
        <f>'1 prepared data'!K580</f>
        <v/>
      </c>
      <c r="M587" s="7">
        <f>'1 prepared data'!L580</f>
        <v/>
      </c>
      <c r="N587" s="7">
        <f>'1 prepared data'!M580</f>
        <v/>
      </c>
      <c r="O587" s="7">
        <f>'1 prepared data'!N580</f>
        <v/>
      </c>
      <c r="P587" s="7">
        <f>'1 prepared data'!O580</f>
        <v/>
      </c>
      <c r="Q587" s="7">
        <f>'1 prepared data'!P580</f>
        <v/>
      </c>
      <c r="R587" s="7">
        <f>'1 prepared data'!Q580</f>
        <v/>
      </c>
      <c r="S587" s="7">
        <f>'1 prepared data'!R580</f>
        <v/>
      </c>
      <c r="T587" s="7">
        <f>'1 prepared data'!S580</f>
        <v/>
      </c>
      <c r="U587" s="7">
        <f>'1 prepared data'!T580</f>
        <v/>
      </c>
      <c r="V587" s="8">
        <f>$AC$12+D587*$AC$13+E587*$AC$14+F587*$AC$15+G587*$AC$16+H587*$AC$17+I587*$AC$18+J587*$AC$19+K587*$AC$20+L587*$AC$21+M587*$AC$22+N587*$AC$23+O587*$AC$24+P587*$AC$25+Q587*$AC$26+R587*$AC$27+S587*$AC$28+T587*$AC$29+U587*$AC$30</f>
        <v/>
      </c>
      <c r="W587" s="8">
        <f>1/(1+EXP(-V587))</f>
        <v/>
      </c>
      <c r="X587" s="9">
        <f>-IF(C587=1,LN(W587),LN(1-W587))</f>
        <v/>
      </c>
      <c r="Y587" s="10">
        <f>IF(W587&gt;$AC$33,1,0)</f>
        <v/>
      </c>
      <c r="Z587">
        <f>IF(Y587=C587,1,0)</f>
        <v/>
      </c>
    </row>
    <row r="588">
      <c r="A588">
        <f>'1 prepared data'!A581</f>
        <v/>
      </c>
      <c r="B588" s="5">
        <f>'1 prepared data'!U581</f>
        <v/>
      </c>
      <c r="C588">
        <f>'1 prepared data'!B581</f>
        <v/>
      </c>
      <c r="D588" s="7">
        <f>'1 prepared data'!C581</f>
        <v/>
      </c>
      <c r="E588" s="7">
        <f>'1 prepared data'!D581</f>
        <v/>
      </c>
      <c r="F588" s="7">
        <f>'1 prepared data'!E581</f>
        <v/>
      </c>
      <c r="G588" s="7">
        <f>'1 prepared data'!F581</f>
        <v/>
      </c>
      <c r="H588" s="7">
        <f>'1 prepared data'!G581</f>
        <v/>
      </c>
      <c r="I588" s="7">
        <f>'1 prepared data'!H581</f>
        <v/>
      </c>
      <c r="J588" s="7">
        <f>'1 prepared data'!I581</f>
        <v/>
      </c>
      <c r="K588" s="7">
        <f>'1 prepared data'!J581</f>
        <v/>
      </c>
      <c r="L588" s="7">
        <f>'1 prepared data'!K581</f>
        <v/>
      </c>
      <c r="M588" s="7">
        <f>'1 prepared data'!L581</f>
        <v/>
      </c>
      <c r="N588" s="7">
        <f>'1 prepared data'!M581</f>
        <v/>
      </c>
      <c r="O588" s="7">
        <f>'1 prepared data'!N581</f>
        <v/>
      </c>
      <c r="P588" s="7">
        <f>'1 prepared data'!O581</f>
        <v/>
      </c>
      <c r="Q588" s="7">
        <f>'1 prepared data'!P581</f>
        <v/>
      </c>
      <c r="R588" s="7">
        <f>'1 prepared data'!Q581</f>
        <v/>
      </c>
      <c r="S588" s="7">
        <f>'1 prepared data'!R581</f>
        <v/>
      </c>
      <c r="T588" s="7">
        <f>'1 prepared data'!S581</f>
        <v/>
      </c>
      <c r="U588" s="7">
        <f>'1 prepared data'!T581</f>
        <v/>
      </c>
      <c r="V588" s="8">
        <f>$AC$12+D588*$AC$13+E588*$AC$14+F588*$AC$15+G588*$AC$16+H588*$AC$17+I588*$AC$18+J588*$AC$19+K588*$AC$20+L588*$AC$21+M588*$AC$22+N588*$AC$23+O588*$AC$24+P588*$AC$25+Q588*$AC$26+R588*$AC$27+S588*$AC$28+T588*$AC$29+U588*$AC$30</f>
        <v/>
      </c>
      <c r="W588" s="8">
        <f>1/(1+EXP(-V588))</f>
        <v/>
      </c>
      <c r="X588" s="9">
        <f>-IF(C588=1,LN(W588),LN(1-W588))</f>
        <v/>
      </c>
      <c r="Y588" s="10">
        <f>IF(W588&gt;$AC$33,1,0)</f>
        <v/>
      </c>
      <c r="Z588">
        <f>IF(Y588=C588,1,0)</f>
        <v/>
      </c>
    </row>
    <row r="589">
      <c r="A589">
        <f>'1 prepared data'!A582</f>
        <v/>
      </c>
      <c r="B589" s="5">
        <f>'1 prepared data'!U582</f>
        <v/>
      </c>
      <c r="C589">
        <f>'1 prepared data'!B582</f>
        <v/>
      </c>
      <c r="D589" s="7">
        <f>'1 prepared data'!C582</f>
        <v/>
      </c>
      <c r="E589" s="7">
        <f>'1 prepared data'!D582</f>
        <v/>
      </c>
      <c r="F589" s="7">
        <f>'1 prepared data'!E582</f>
        <v/>
      </c>
      <c r="G589" s="7">
        <f>'1 prepared data'!F582</f>
        <v/>
      </c>
      <c r="H589" s="7">
        <f>'1 prepared data'!G582</f>
        <v/>
      </c>
      <c r="I589" s="7">
        <f>'1 prepared data'!H582</f>
        <v/>
      </c>
      <c r="J589" s="7">
        <f>'1 prepared data'!I582</f>
        <v/>
      </c>
      <c r="K589" s="7">
        <f>'1 prepared data'!J582</f>
        <v/>
      </c>
      <c r="L589" s="7">
        <f>'1 prepared data'!K582</f>
        <v/>
      </c>
      <c r="M589" s="7">
        <f>'1 prepared data'!L582</f>
        <v/>
      </c>
      <c r="N589" s="7">
        <f>'1 prepared data'!M582</f>
        <v/>
      </c>
      <c r="O589" s="7">
        <f>'1 prepared data'!N582</f>
        <v/>
      </c>
      <c r="P589" s="7">
        <f>'1 prepared data'!O582</f>
        <v/>
      </c>
      <c r="Q589" s="7">
        <f>'1 prepared data'!P582</f>
        <v/>
      </c>
      <c r="R589" s="7">
        <f>'1 prepared data'!Q582</f>
        <v/>
      </c>
      <c r="S589" s="7">
        <f>'1 prepared data'!R582</f>
        <v/>
      </c>
      <c r="T589" s="7">
        <f>'1 prepared data'!S582</f>
        <v/>
      </c>
      <c r="U589" s="7">
        <f>'1 prepared data'!T582</f>
        <v/>
      </c>
      <c r="V589" s="8">
        <f>$AC$12+D589*$AC$13+E589*$AC$14+F589*$AC$15+G589*$AC$16+H589*$AC$17+I589*$AC$18+J589*$AC$19+K589*$AC$20+L589*$AC$21+M589*$AC$22+N589*$AC$23+O589*$AC$24+P589*$AC$25+Q589*$AC$26+R589*$AC$27+S589*$AC$28+T589*$AC$29+U589*$AC$30</f>
        <v/>
      </c>
      <c r="W589" s="8">
        <f>1/(1+EXP(-V589))</f>
        <v/>
      </c>
      <c r="X589" s="9">
        <f>-IF(C589=1,LN(W589),LN(1-W589))</f>
        <v/>
      </c>
      <c r="Y589" s="10">
        <f>IF(W589&gt;$AC$33,1,0)</f>
        <v/>
      </c>
      <c r="Z589">
        <f>IF(Y589=C589,1,0)</f>
        <v/>
      </c>
    </row>
    <row r="590">
      <c r="A590">
        <f>'1 prepared data'!A583</f>
        <v/>
      </c>
      <c r="B590" s="5">
        <f>'1 prepared data'!U583</f>
        <v/>
      </c>
      <c r="C590">
        <f>'1 prepared data'!B583</f>
        <v/>
      </c>
      <c r="D590" s="7">
        <f>'1 prepared data'!C583</f>
        <v/>
      </c>
      <c r="E590" s="7">
        <f>'1 prepared data'!D583</f>
        <v/>
      </c>
      <c r="F590" s="7">
        <f>'1 prepared data'!E583</f>
        <v/>
      </c>
      <c r="G590" s="7">
        <f>'1 prepared data'!F583</f>
        <v/>
      </c>
      <c r="H590" s="7">
        <f>'1 prepared data'!G583</f>
        <v/>
      </c>
      <c r="I590" s="7">
        <f>'1 prepared data'!H583</f>
        <v/>
      </c>
      <c r="J590" s="7">
        <f>'1 prepared data'!I583</f>
        <v/>
      </c>
      <c r="K590" s="7">
        <f>'1 prepared data'!J583</f>
        <v/>
      </c>
      <c r="L590" s="7">
        <f>'1 prepared data'!K583</f>
        <v/>
      </c>
      <c r="M590" s="7">
        <f>'1 prepared data'!L583</f>
        <v/>
      </c>
      <c r="N590" s="7">
        <f>'1 prepared data'!M583</f>
        <v/>
      </c>
      <c r="O590" s="7">
        <f>'1 prepared data'!N583</f>
        <v/>
      </c>
      <c r="P590" s="7">
        <f>'1 prepared data'!O583</f>
        <v/>
      </c>
      <c r="Q590" s="7">
        <f>'1 prepared data'!P583</f>
        <v/>
      </c>
      <c r="R590" s="7">
        <f>'1 prepared data'!Q583</f>
        <v/>
      </c>
      <c r="S590" s="7">
        <f>'1 prepared data'!R583</f>
        <v/>
      </c>
      <c r="T590" s="7">
        <f>'1 prepared data'!S583</f>
        <v/>
      </c>
      <c r="U590" s="7">
        <f>'1 prepared data'!T583</f>
        <v/>
      </c>
      <c r="V590" s="8">
        <f>$AC$12+D590*$AC$13+E590*$AC$14+F590*$AC$15+G590*$AC$16+H590*$AC$17+I590*$AC$18+J590*$AC$19+K590*$AC$20+L590*$AC$21+M590*$AC$22+N590*$AC$23+O590*$AC$24+P590*$AC$25+Q590*$AC$26+R590*$AC$27+S590*$AC$28+T590*$AC$29+U590*$AC$30</f>
        <v/>
      </c>
      <c r="W590" s="8">
        <f>1/(1+EXP(-V590))</f>
        <v/>
      </c>
      <c r="X590" s="9">
        <f>-IF(C590=1,LN(W590),LN(1-W590))</f>
        <v/>
      </c>
      <c r="Y590" s="10">
        <f>IF(W590&gt;$AC$33,1,0)</f>
        <v/>
      </c>
      <c r="Z590">
        <f>IF(Y590=C590,1,0)</f>
        <v/>
      </c>
    </row>
    <row r="591">
      <c r="A591">
        <f>'1 prepared data'!A584</f>
        <v/>
      </c>
      <c r="B591" s="5">
        <f>'1 prepared data'!U584</f>
        <v/>
      </c>
      <c r="C591">
        <f>'1 prepared data'!B584</f>
        <v/>
      </c>
      <c r="D591" s="7">
        <f>'1 prepared data'!C584</f>
        <v/>
      </c>
      <c r="E591" s="7">
        <f>'1 prepared data'!D584</f>
        <v/>
      </c>
      <c r="F591" s="7">
        <f>'1 prepared data'!E584</f>
        <v/>
      </c>
      <c r="G591" s="7">
        <f>'1 prepared data'!F584</f>
        <v/>
      </c>
      <c r="H591" s="7">
        <f>'1 prepared data'!G584</f>
        <v/>
      </c>
      <c r="I591" s="7">
        <f>'1 prepared data'!H584</f>
        <v/>
      </c>
      <c r="J591" s="7">
        <f>'1 prepared data'!I584</f>
        <v/>
      </c>
      <c r="K591" s="7">
        <f>'1 prepared data'!J584</f>
        <v/>
      </c>
      <c r="L591" s="7">
        <f>'1 prepared data'!K584</f>
        <v/>
      </c>
      <c r="M591" s="7">
        <f>'1 prepared data'!L584</f>
        <v/>
      </c>
      <c r="N591" s="7">
        <f>'1 prepared data'!M584</f>
        <v/>
      </c>
      <c r="O591" s="7">
        <f>'1 prepared data'!N584</f>
        <v/>
      </c>
      <c r="P591" s="7">
        <f>'1 prepared data'!O584</f>
        <v/>
      </c>
      <c r="Q591" s="7">
        <f>'1 prepared data'!P584</f>
        <v/>
      </c>
      <c r="R591" s="7">
        <f>'1 prepared data'!Q584</f>
        <v/>
      </c>
      <c r="S591" s="7">
        <f>'1 prepared data'!R584</f>
        <v/>
      </c>
      <c r="T591" s="7">
        <f>'1 prepared data'!S584</f>
        <v/>
      </c>
      <c r="U591" s="7">
        <f>'1 prepared data'!T584</f>
        <v/>
      </c>
      <c r="V591" s="8">
        <f>$AC$12+D591*$AC$13+E591*$AC$14+F591*$AC$15+G591*$AC$16+H591*$AC$17+I591*$AC$18+J591*$AC$19+K591*$AC$20+L591*$AC$21+M591*$AC$22+N591*$AC$23+O591*$AC$24+P591*$AC$25+Q591*$AC$26+R591*$AC$27+S591*$AC$28+T591*$AC$29+U591*$AC$30</f>
        <v/>
      </c>
      <c r="W591" s="8">
        <f>1/(1+EXP(-V591))</f>
        <v/>
      </c>
      <c r="X591" s="9">
        <f>-IF(C591=1,LN(W591),LN(1-W591))</f>
        <v/>
      </c>
      <c r="Y591" s="10">
        <f>IF(W591&gt;$AC$33,1,0)</f>
        <v/>
      </c>
      <c r="Z591">
        <f>IF(Y591=C591,1,0)</f>
        <v/>
      </c>
    </row>
    <row r="592">
      <c r="A592">
        <f>'1 prepared data'!A585</f>
        <v/>
      </c>
      <c r="B592" s="5">
        <f>'1 prepared data'!U585</f>
        <v/>
      </c>
      <c r="C592">
        <f>'1 prepared data'!B585</f>
        <v/>
      </c>
      <c r="D592" s="7">
        <f>'1 prepared data'!C585</f>
        <v/>
      </c>
      <c r="E592" s="7">
        <f>'1 prepared data'!D585</f>
        <v/>
      </c>
      <c r="F592" s="7">
        <f>'1 prepared data'!E585</f>
        <v/>
      </c>
      <c r="G592" s="7">
        <f>'1 prepared data'!F585</f>
        <v/>
      </c>
      <c r="H592" s="7">
        <f>'1 prepared data'!G585</f>
        <v/>
      </c>
      <c r="I592" s="7">
        <f>'1 prepared data'!H585</f>
        <v/>
      </c>
      <c r="J592" s="7">
        <f>'1 prepared data'!I585</f>
        <v/>
      </c>
      <c r="K592" s="7">
        <f>'1 prepared data'!J585</f>
        <v/>
      </c>
      <c r="L592" s="7">
        <f>'1 prepared data'!K585</f>
        <v/>
      </c>
      <c r="M592" s="7">
        <f>'1 prepared data'!L585</f>
        <v/>
      </c>
      <c r="N592" s="7">
        <f>'1 prepared data'!M585</f>
        <v/>
      </c>
      <c r="O592" s="7">
        <f>'1 prepared data'!N585</f>
        <v/>
      </c>
      <c r="P592" s="7">
        <f>'1 prepared data'!O585</f>
        <v/>
      </c>
      <c r="Q592" s="7">
        <f>'1 prepared data'!P585</f>
        <v/>
      </c>
      <c r="R592" s="7">
        <f>'1 prepared data'!Q585</f>
        <v/>
      </c>
      <c r="S592" s="7">
        <f>'1 prepared data'!R585</f>
        <v/>
      </c>
      <c r="T592" s="7">
        <f>'1 prepared data'!S585</f>
        <v/>
      </c>
      <c r="U592" s="7">
        <f>'1 prepared data'!T585</f>
        <v/>
      </c>
      <c r="V592" s="8">
        <f>$AC$12+D592*$AC$13+E592*$AC$14+F592*$AC$15+G592*$AC$16+H592*$AC$17+I592*$AC$18+J592*$AC$19+K592*$AC$20+L592*$AC$21+M592*$AC$22+N592*$AC$23+O592*$AC$24+P592*$AC$25+Q592*$AC$26+R592*$AC$27+S592*$AC$28+T592*$AC$29+U592*$AC$30</f>
        <v/>
      </c>
      <c r="W592" s="8">
        <f>1/(1+EXP(-V592))</f>
        <v/>
      </c>
      <c r="X592" s="9">
        <f>-IF(C592=1,LN(W592),LN(1-W592))</f>
        <v/>
      </c>
      <c r="Y592" s="10">
        <f>IF(W592&gt;$AC$33,1,0)</f>
        <v/>
      </c>
      <c r="Z592">
        <f>IF(Y592=C592,1,0)</f>
        <v/>
      </c>
    </row>
    <row r="593">
      <c r="A593">
        <f>'1 prepared data'!A586</f>
        <v/>
      </c>
      <c r="B593" s="5">
        <f>'1 prepared data'!U586</f>
        <v/>
      </c>
      <c r="C593">
        <f>'1 prepared data'!B586</f>
        <v/>
      </c>
      <c r="D593" s="7">
        <f>'1 prepared data'!C586</f>
        <v/>
      </c>
      <c r="E593" s="7">
        <f>'1 prepared data'!D586</f>
        <v/>
      </c>
      <c r="F593" s="7">
        <f>'1 prepared data'!E586</f>
        <v/>
      </c>
      <c r="G593" s="7">
        <f>'1 prepared data'!F586</f>
        <v/>
      </c>
      <c r="H593" s="7">
        <f>'1 prepared data'!G586</f>
        <v/>
      </c>
      <c r="I593" s="7">
        <f>'1 prepared data'!H586</f>
        <v/>
      </c>
      <c r="J593" s="7">
        <f>'1 prepared data'!I586</f>
        <v/>
      </c>
      <c r="K593" s="7">
        <f>'1 prepared data'!J586</f>
        <v/>
      </c>
      <c r="L593" s="7">
        <f>'1 prepared data'!K586</f>
        <v/>
      </c>
      <c r="M593" s="7">
        <f>'1 prepared data'!L586</f>
        <v/>
      </c>
      <c r="N593" s="7">
        <f>'1 prepared data'!M586</f>
        <v/>
      </c>
      <c r="O593" s="7">
        <f>'1 prepared data'!N586</f>
        <v/>
      </c>
      <c r="P593" s="7">
        <f>'1 prepared data'!O586</f>
        <v/>
      </c>
      <c r="Q593" s="7">
        <f>'1 prepared data'!P586</f>
        <v/>
      </c>
      <c r="R593" s="7">
        <f>'1 prepared data'!Q586</f>
        <v/>
      </c>
      <c r="S593" s="7">
        <f>'1 prepared data'!R586</f>
        <v/>
      </c>
      <c r="T593" s="7">
        <f>'1 prepared data'!S586</f>
        <v/>
      </c>
      <c r="U593" s="7">
        <f>'1 prepared data'!T586</f>
        <v/>
      </c>
      <c r="V593" s="8">
        <f>$AC$12+D593*$AC$13+E593*$AC$14+F593*$AC$15+G593*$AC$16+H593*$AC$17+I593*$AC$18+J593*$AC$19+K593*$AC$20+L593*$AC$21+M593*$AC$22+N593*$AC$23+O593*$AC$24+P593*$AC$25+Q593*$AC$26+R593*$AC$27+S593*$AC$28+T593*$AC$29+U593*$AC$30</f>
        <v/>
      </c>
      <c r="W593" s="8">
        <f>1/(1+EXP(-V593))</f>
        <v/>
      </c>
      <c r="X593" s="9">
        <f>-IF(C593=1,LN(W593),LN(1-W593))</f>
        <v/>
      </c>
      <c r="Y593" s="10">
        <f>IF(W593&gt;$AC$33,1,0)</f>
        <v/>
      </c>
      <c r="Z593">
        <f>IF(Y593=C593,1,0)</f>
        <v/>
      </c>
    </row>
    <row r="594">
      <c r="A594">
        <f>'1 prepared data'!A587</f>
        <v/>
      </c>
      <c r="B594" s="5">
        <f>'1 prepared data'!U587</f>
        <v/>
      </c>
      <c r="C594">
        <f>'1 prepared data'!B587</f>
        <v/>
      </c>
      <c r="D594" s="7">
        <f>'1 prepared data'!C587</f>
        <v/>
      </c>
      <c r="E594" s="7">
        <f>'1 prepared data'!D587</f>
        <v/>
      </c>
      <c r="F594" s="7">
        <f>'1 prepared data'!E587</f>
        <v/>
      </c>
      <c r="G594" s="7">
        <f>'1 prepared data'!F587</f>
        <v/>
      </c>
      <c r="H594" s="7">
        <f>'1 prepared data'!G587</f>
        <v/>
      </c>
      <c r="I594" s="7">
        <f>'1 prepared data'!H587</f>
        <v/>
      </c>
      <c r="J594" s="7">
        <f>'1 prepared data'!I587</f>
        <v/>
      </c>
      <c r="K594" s="7">
        <f>'1 prepared data'!J587</f>
        <v/>
      </c>
      <c r="L594" s="7">
        <f>'1 prepared data'!K587</f>
        <v/>
      </c>
      <c r="M594" s="7">
        <f>'1 prepared data'!L587</f>
        <v/>
      </c>
      <c r="N594" s="7">
        <f>'1 prepared data'!M587</f>
        <v/>
      </c>
      <c r="O594" s="7">
        <f>'1 prepared data'!N587</f>
        <v/>
      </c>
      <c r="P594" s="7">
        <f>'1 prepared data'!O587</f>
        <v/>
      </c>
      <c r="Q594" s="7">
        <f>'1 prepared data'!P587</f>
        <v/>
      </c>
      <c r="R594" s="7">
        <f>'1 prepared data'!Q587</f>
        <v/>
      </c>
      <c r="S594" s="7">
        <f>'1 prepared data'!R587</f>
        <v/>
      </c>
      <c r="T594" s="7">
        <f>'1 prepared data'!S587</f>
        <v/>
      </c>
      <c r="U594" s="7">
        <f>'1 prepared data'!T587</f>
        <v/>
      </c>
      <c r="V594" s="8">
        <f>$AC$12+D594*$AC$13+E594*$AC$14+F594*$AC$15+G594*$AC$16+H594*$AC$17+I594*$AC$18+J594*$AC$19+K594*$AC$20+L594*$AC$21+M594*$AC$22+N594*$AC$23+O594*$AC$24+P594*$AC$25+Q594*$AC$26+R594*$AC$27+S594*$AC$28+T594*$AC$29+U594*$AC$30</f>
        <v/>
      </c>
      <c r="W594" s="8">
        <f>1/(1+EXP(-V594))</f>
        <v/>
      </c>
      <c r="X594" s="9">
        <f>-IF(C594=1,LN(W594),LN(1-W594))</f>
        <v/>
      </c>
      <c r="Y594" s="10">
        <f>IF(W594&gt;$AC$33,1,0)</f>
        <v/>
      </c>
      <c r="Z594">
        <f>IF(Y594=C594,1,0)</f>
        <v/>
      </c>
    </row>
    <row r="595">
      <c r="A595">
        <f>'1 prepared data'!A588</f>
        <v/>
      </c>
      <c r="B595" s="5">
        <f>'1 prepared data'!U588</f>
        <v/>
      </c>
      <c r="C595">
        <f>'1 prepared data'!B588</f>
        <v/>
      </c>
      <c r="D595" s="7">
        <f>'1 prepared data'!C588</f>
        <v/>
      </c>
      <c r="E595" s="7">
        <f>'1 prepared data'!D588</f>
        <v/>
      </c>
      <c r="F595" s="7">
        <f>'1 prepared data'!E588</f>
        <v/>
      </c>
      <c r="G595" s="7">
        <f>'1 prepared data'!F588</f>
        <v/>
      </c>
      <c r="H595" s="7">
        <f>'1 prepared data'!G588</f>
        <v/>
      </c>
      <c r="I595" s="7">
        <f>'1 prepared data'!H588</f>
        <v/>
      </c>
      <c r="J595" s="7">
        <f>'1 prepared data'!I588</f>
        <v/>
      </c>
      <c r="K595" s="7">
        <f>'1 prepared data'!J588</f>
        <v/>
      </c>
      <c r="L595" s="7">
        <f>'1 prepared data'!K588</f>
        <v/>
      </c>
      <c r="M595" s="7">
        <f>'1 prepared data'!L588</f>
        <v/>
      </c>
      <c r="N595" s="7">
        <f>'1 prepared data'!M588</f>
        <v/>
      </c>
      <c r="O595" s="7">
        <f>'1 prepared data'!N588</f>
        <v/>
      </c>
      <c r="P595" s="7">
        <f>'1 prepared data'!O588</f>
        <v/>
      </c>
      <c r="Q595" s="7">
        <f>'1 prepared data'!P588</f>
        <v/>
      </c>
      <c r="R595" s="7">
        <f>'1 prepared data'!Q588</f>
        <v/>
      </c>
      <c r="S595" s="7">
        <f>'1 prepared data'!R588</f>
        <v/>
      </c>
      <c r="T595" s="7">
        <f>'1 prepared data'!S588</f>
        <v/>
      </c>
      <c r="U595" s="7">
        <f>'1 prepared data'!T588</f>
        <v/>
      </c>
      <c r="V595" s="8">
        <f>$AC$12+D595*$AC$13+E595*$AC$14+F595*$AC$15+G595*$AC$16+H595*$AC$17+I595*$AC$18+J595*$AC$19+K595*$AC$20+L595*$AC$21+M595*$AC$22+N595*$AC$23+O595*$AC$24+P595*$AC$25+Q595*$AC$26+R595*$AC$27+S595*$AC$28+T595*$AC$29+U595*$AC$30</f>
        <v/>
      </c>
      <c r="W595" s="8">
        <f>1/(1+EXP(-V595))</f>
        <v/>
      </c>
      <c r="X595" s="9">
        <f>-IF(C595=1,LN(W595),LN(1-W595))</f>
        <v/>
      </c>
      <c r="Y595" s="10">
        <f>IF(W595&gt;$AC$33,1,0)</f>
        <v/>
      </c>
      <c r="Z595">
        <f>IF(Y595=C595,1,0)</f>
        <v/>
      </c>
    </row>
    <row r="596">
      <c r="A596">
        <f>'1 prepared data'!A589</f>
        <v/>
      </c>
      <c r="B596" s="5">
        <f>'1 prepared data'!U589</f>
        <v/>
      </c>
      <c r="C596">
        <f>'1 prepared data'!B589</f>
        <v/>
      </c>
      <c r="D596" s="7">
        <f>'1 prepared data'!C589</f>
        <v/>
      </c>
      <c r="E596" s="7">
        <f>'1 prepared data'!D589</f>
        <v/>
      </c>
      <c r="F596" s="7">
        <f>'1 prepared data'!E589</f>
        <v/>
      </c>
      <c r="G596" s="7">
        <f>'1 prepared data'!F589</f>
        <v/>
      </c>
      <c r="H596" s="7">
        <f>'1 prepared data'!G589</f>
        <v/>
      </c>
      <c r="I596" s="7">
        <f>'1 prepared data'!H589</f>
        <v/>
      </c>
      <c r="J596" s="7">
        <f>'1 prepared data'!I589</f>
        <v/>
      </c>
      <c r="K596" s="7">
        <f>'1 prepared data'!J589</f>
        <v/>
      </c>
      <c r="L596" s="7">
        <f>'1 prepared data'!K589</f>
        <v/>
      </c>
      <c r="M596" s="7">
        <f>'1 prepared data'!L589</f>
        <v/>
      </c>
      <c r="N596" s="7">
        <f>'1 prepared data'!M589</f>
        <v/>
      </c>
      <c r="O596" s="7">
        <f>'1 prepared data'!N589</f>
        <v/>
      </c>
      <c r="P596" s="7">
        <f>'1 prepared data'!O589</f>
        <v/>
      </c>
      <c r="Q596" s="7">
        <f>'1 prepared data'!P589</f>
        <v/>
      </c>
      <c r="R596" s="7">
        <f>'1 prepared data'!Q589</f>
        <v/>
      </c>
      <c r="S596" s="7">
        <f>'1 prepared data'!R589</f>
        <v/>
      </c>
      <c r="T596" s="7">
        <f>'1 prepared data'!S589</f>
        <v/>
      </c>
      <c r="U596" s="7">
        <f>'1 prepared data'!T589</f>
        <v/>
      </c>
      <c r="V596" s="8">
        <f>$AC$12+D596*$AC$13+E596*$AC$14+F596*$AC$15+G596*$AC$16+H596*$AC$17+I596*$AC$18+J596*$AC$19+K596*$AC$20+L596*$AC$21+M596*$AC$22+N596*$AC$23+O596*$AC$24+P596*$AC$25+Q596*$AC$26+R596*$AC$27+S596*$AC$28+T596*$AC$29+U596*$AC$30</f>
        <v/>
      </c>
      <c r="W596" s="8">
        <f>1/(1+EXP(-V596))</f>
        <v/>
      </c>
      <c r="X596" s="9">
        <f>-IF(C596=1,LN(W596),LN(1-W596))</f>
        <v/>
      </c>
      <c r="Y596" s="10">
        <f>IF(W596&gt;$AC$33,1,0)</f>
        <v/>
      </c>
      <c r="Z596">
        <f>IF(Y596=C596,1,0)</f>
        <v/>
      </c>
    </row>
    <row r="597">
      <c r="A597">
        <f>'1 prepared data'!A590</f>
        <v/>
      </c>
      <c r="B597" s="5">
        <f>'1 prepared data'!U590</f>
        <v/>
      </c>
      <c r="C597">
        <f>'1 prepared data'!B590</f>
        <v/>
      </c>
      <c r="D597" s="7">
        <f>'1 prepared data'!C590</f>
        <v/>
      </c>
      <c r="E597" s="7">
        <f>'1 prepared data'!D590</f>
        <v/>
      </c>
      <c r="F597" s="7">
        <f>'1 prepared data'!E590</f>
        <v/>
      </c>
      <c r="G597" s="7">
        <f>'1 prepared data'!F590</f>
        <v/>
      </c>
      <c r="H597" s="7">
        <f>'1 prepared data'!G590</f>
        <v/>
      </c>
      <c r="I597" s="7">
        <f>'1 prepared data'!H590</f>
        <v/>
      </c>
      <c r="J597" s="7">
        <f>'1 prepared data'!I590</f>
        <v/>
      </c>
      <c r="K597" s="7">
        <f>'1 prepared data'!J590</f>
        <v/>
      </c>
      <c r="L597" s="7">
        <f>'1 prepared data'!K590</f>
        <v/>
      </c>
      <c r="M597" s="7">
        <f>'1 prepared data'!L590</f>
        <v/>
      </c>
      <c r="N597" s="7">
        <f>'1 prepared data'!M590</f>
        <v/>
      </c>
      <c r="O597" s="7">
        <f>'1 prepared data'!N590</f>
        <v/>
      </c>
      <c r="P597" s="7">
        <f>'1 prepared data'!O590</f>
        <v/>
      </c>
      <c r="Q597" s="7">
        <f>'1 prepared data'!P590</f>
        <v/>
      </c>
      <c r="R597" s="7">
        <f>'1 prepared data'!Q590</f>
        <v/>
      </c>
      <c r="S597" s="7">
        <f>'1 prepared data'!R590</f>
        <v/>
      </c>
      <c r="T597" s="7">
        <f>'1 prepared data'!S590</f>
        <v/>
      </c>
      <c r="U597" s="7">
        <f>'1 prepared data'!T590</f>
        <v/>
      </c>
      <c r="V597" s="8">
        <f>$AC$12+D597*$AC$13+E597*$AC$14+F597*$AC$15+G597*$AC$16+H597*$AC$17+I597*$AC$18+J597*$AC$19+K597*$AC$20+L597*$AC$21+M597*$AC$22+N597*$AC$23+O597*$AC$24+P597*$AC$25+Q597*$AC$26+R597*$AC$27+S597*$AC$28+T597*$AC$29+U597*$AC$30</f>
        <v/>
      </c>
      <c r="W597" s="8">
        <f>1/(1+EXP(-V597))</f>
        <v/>
      </c>
      <c r="X597" s="9">
        <f>-IF(C597=1,LN(W597),LN(1-W597))</f>
        <v/>
      </c>
      <c r="Y597" s="10">
        <f>IF(W597&gt;$AC$33,1,0)</f>
        <v/>
      </c>
      <c r="Z597">
        <f>IF(Y597=C597,1,0)</f>
        <v/>
      </c>
    </row>
    <row r="598">
      <c r="A598">
        <f>'1 prepared data'!A591</f>
        <v/>
      </c>
      <c r="B598" s="5">
        <f>'1 prepared data'!U591</f>
        <v/>
      </c>
      <c r="C598">
        <f>'1 prepared data'!B591</f>
        <v/>
      </c>
      <c r="D598" s="7">
        <f>'1 prepared data'!C591</f>
        <v/>
      </c>
      <c r="E598" s="7">
        <f>'1 prepared data'!D591</f>
        <v/>
      </c>
      <c r="F598" s="7">
        <f>'1 prepared data'!E591</f>
        <v/>
      </c>
      <c r="G598" s="7">
        <f>'1 prepared data'!F591</f>
        <v/>
      </c>
      <c r="H598" s="7">
        <f>'1 prepared data'!G591</f>
        <v/>
      </c>
      <c r="I598" s="7">
        <f>'1 prepared data'!H591</f>
        <v/>
      </c>
      <c r="J598" s="7">
        <f>'1 prepared data'!I591</f>
        <v/>
      </c>
      <c r="K598" s="7">
        <f>'1 prepared data'!J591</f>
        <v/>
      </c>
      <c r="L598" s="7">
        <f>'1 prepared data'!K591</f>
        <v/>
      </c>
      <c r="M598" s="7">
        <f>'1 prepared data'!L591</f>
        <v/>
      </c>
      <c r="N598" s="7">
        <f>'1 prepared data'!M591</f>
        <v/>
      </c>
      <c r="O598" s="7">
        <f>'1 prepared data'!N591</f>
        <v/>
      </c>
      <c r="P598" s="7">
        <f>'1 prepared data'!O591</f>
        <v/>
      </c>
      <c r="Q598" s="7">
        <f>'1 prepared data'!P591</f>
        <v/>
      </c>
      <c r="R598" s="7">
        <f>'1 prepared data'!Q591</f>
        <v/>
      </c>
      <c r="S598" s="7">
        <f>'1 prepared data'!R591</f>
        <v/>
      </c>
      <c r="T598" s="7">
        <f>'1 prepared data'!S591</f>
        <v/>
      </c>
      <c r="U598" s="7">
        <f>'1 prepared data'!T591</f>
        <v/>
      </c>
      <c r="V598" s="8">
        <f>$AC$12+D598*$AC$13+E598*$AC$14+F598*$AC$15+G598*$AC$16+H598*$AC$17+I598*$AC$18+J598*$AC$19+K598*$AC$20+L598*$AC$21+M598*$AC$22+N598*$AC$23+O598*$AC$24+P598*$AC$25+Q598*$AC$26+R598*$AC$27+S598*$AC$28+T598*$AC$29+U598*$AC$30</f>
        <v/>
      </c>
      <c r="W598" s="8">
        <f>1/(1+EXP(-V598))</f>
        <v/>
      </c>
      <c r="X598" s="9">
        <f>-IF(C598=1,LN(W598),LN(1-W598))</f>
        <v/>
      </c>
      <c r="Y598" s="10">
        <f>IF(W598&gt;$AC$33,1,0)</f>
        <v/>
      </c>
      <c r="Z598">
        <f>IF(Y598=C598,1,0)</f>
        <v/>
      </c>
    </row>
    <row r="599">
      <c r="A599">
        <f>'1 prepared data'!A592</f>
        <v/>
      </c>
      <c r="B599" s="5">
        <f>'1 prepared data'!U592</f>
        <v/>
      </c>
      <c r="C599">
        <f>'1 prepared data'!B592</f>
        <v/>
      </c>
      <c r="D599" s="7">
        <f>'1 prepared data'!C592</f>
        <v/>
      </c>
      <c r="E599" s="7">
        <f>'1 prepared data'!D592</f>
        <v/>
      </c>
      <c r="F599" s="7">
        <f>'1 prepared data'!E592</f>
        <v/>
      </c>
      <c r="G599" s="7">
        <f>'1 prepared data'!F592</f>
        <v/>
      </c>
      <c r="H599" s="7">
        <f>'1 prepared data'!G592</f>
        <v/>
      </c>
      <c r="I599" s="7">
        <f>'1 prepared data'!H592</f>
        <v/>
      </c>
      <c r="J599" s="7">
        <f>'1 prepared data'!I592</f>
        <v/>
      </c>
      <c r="K599" s="7">
        <f>'1 prepared data'!J592</f>
        <v/>
      </c>
      <c r="L599" s="7">
        <f>'1 prepared data'!K592</f>
        <v/>
      </c>
      <c r="M599" s="7">
        <f>'1 prepared data'!L592</f>
        <v/>
      </c>
      <c r="N599" s="7">
        <f>'1 prepared data'!M592</f>
        <v/>
      </c>
      <c r="O599" s="7">
        <f>'1 prepared data'!N592</f>
        <v/>
      </c>
      <c r="P599" s="7">
        <f>'1 prepared data'!O592</f>
        <v/>
      </c>
      <c r="Q599" s="7">
        <f>'1 prepared data'!P592</f>
        <v/>
      </c>
      <c r="R599" s="7">
        <f>'1 prepared data'!Q592</f>
        <v/>
      </c>
      <c r="S599" s="7">
        <f>'1 prepared data'!R592</f>
        <v/>
      </c>
      <c r="T599" s="7">
        <f>'1 prepared data'!S592</f>
        <v/>
      </c>
      <c r="U599" s="7">
        <f>'1 prepared data'!T592</f>
        <v/>
      </c>
      <c r="V599" s="8">
        <f>$AC$12+D599*$AC$13+E599*$AC$14+F599*$AC$15+G599*$AC$16+H599*$AC$17+I599*$AC$18+J599*$AC$19+K599*$AC$20+L599*$AC$21+M599*$AC$22+N599*$AC$23+O599*$AC$24+P599*$AC$25+Q599*$AC$26+R599*$AC$27+S599*$AC$28+T599*$AC$29+U599*$AC$30</f>
        <v/>
      </c>
      <c r="W599" s="8">
        <f>1/(1+EXP(-V599))</f>
        <v/>
      </c>
      <c r="X599" s="9">
        <f>-IF(C599=1,LN(W599),LN(1-W599))</f>
        <v/>
      </c>
      <c r="Y599" s="10">
        <f>IF(W599&gt;$AC$33,1,0)</f>
        <v/>
      </c>
      <c r="Z599">
        <f>IF(Y599=C599,1,0)</f>
        <v/>
      </c>
    </row>
    <row r="600">
      <c r="A600">
        <f>'1 prepared data'!A593</f>
        <v/>
      </c>
      <c r="B600" s="5">
        <f>'1 prepared data'!U593</f>
        <v/>
      </c>
      <c r="C600">
        <f>'1 prepared data'!B593</f>
        <v/>
      </c>
      <c r="D600" s="7">
        <f>'1 prepared data'!C593</f>
        <v/>
      </c>
      <c r="E600" s="7">
        <f>'1 prepared data'!D593</f>
        <v/>
      </c>
      <c r="F600" s="7">
        <f>'1 prepared data'!E593</f>
        <v/>
      </c>
      <c r="G600" s="7">
        <f>'1 prepared data'!F593</f>
        <v/>
      </c>
      <c r="H600" s="7">
        <f>'1 prepared data'!G593</f>
        <v/>
      </c>
      <c r="I600" s="7">
        <f>'1 prepared data'!H593</f>
        <v/>
      </c>
      <c r="J600" s="7">
        <f>'1 prepared data'!I593</f>
        <v/>
      </c>
      <c r="K600" s="7">
        <f>'1 prepared data'!J593</f>
        <v/>
      </c>
      <c r="L600" s="7">
        <f>'1 prepared data'!K593</f>
        <v/>
      </c>
      <c r="M600" s="7">
        <f>'1 prepared data'!L593</f>
        <v/>
      </c>
      <c r="N600" s="7">
        <f>'1 prepared data'!M593</f>
        <v/>
      </c>
      <c r="O600" s="7">
        <f>'1 prepared data'!N593</f>
        <v/>
      </c>
      <c r="P600" s="7">
        <f>'1 prepared data'!O593</f>
        <v/>
      </c>
      <c r="Q600" s="7">
        <f>'1 prepared data'!P593</f>
        <v/>
      </c>
      <c r="R600" s="7">
        <f>'1 prepared data'!Q593</f>
        <v/>
      </c>
      <c r="S600" s="7">
        <f>'1 prepared data'!R593</f>
        <v/>
      </c>
      <c r="T600" s="7">
        <f>'1 prepared data'!S593</f>
        <v/>
      </c>
      <c r="U600" s="7">
        <f>'1 prepared data'!T593</f>
        <v/>
      </c>
      <c r="V600" s="8">
        <f>$AC$12+D600*$AC$13+E600*$AC$14+F600*$AC$15+G600*$AC$16+H600*$AC$17+I600*$AC$18+J600*$AC$19+K600*$AC$20+L600*$AC$21+M600*$AC$22+N600*$AC$23+O600*$AC$24+P600*$AC$25+Q600*$AC$26+R600*$AC$27+S600*$AC$28+T600*$AC$29+U600*$AC$30</f>
        <v/>
      </c>
      <c r="W600" s="8">
        <f>1/(1+EXP(-V600))</f>
        <v/>
      </c>
      <c r="X600" s="9">
        <f>-IF(C600=1,LN(W600),LN(1-W600))</f>
        <v/>
      </c>
      <c r="Y600" s="10">
        <f>IF(W600&gt;$AC$33,1,0)</f>
        <v/>
      </c>
      <c r="Z600">
        <f>IF(Y600=C600,1,0)</f>
        <v/>
      </c>
    </row>
    <row r="601">
      <c r="A601">
        <f>'1 prepared data'!A594</f>
        <v/>
      </c>
      <c r="B601" s="5">
        <f>'1 prepared data'!U594</f>
        <v/>
      </c>
      <c r="C601">
        <f>'1 prepared data'!B594</f>
        <v/>
      </c>
      <c r="D601" s="7">
        <f>'1 prepared data'!C594</f>
        <v/>
      </c>
      <c r="E601" s="7">
        <f>'1 prepared data'!D594</f>
        <v/>
      </c>
      <c r="F601" s="7">
        <f>'1 prepared data'!E594</f>
        <v/>
      </c>
      <c r="G601" s="7">
        <f>'1 prepared data'!F594</f>
        <v/>
      </c>
      <c r="H601" s="7">
        <f>'1 prepared data'!G594</f>
        <v/>
      </c>
      <c r="I601" s="7">
        <f>'1 prepared data'!H594</f>
        <v/>
      </c>
      <c r="J601" s="7">
        <f>'1 prepared data'!I594</f>
        <v/>
      </c>
      <c r="K601" s="7">
        <f>'1 prepared data'!J594</f>
        <v/>
      </c>
      <c r="L601" s="7">
        <f>'1 prepared data'!K594</f>
        <v/>
      </c>
      <c r="M601" s="7">
        <f>'1 prepared data'!L594</f>
        <v/>
      </c>
      <c r="N601" s="7">
        <f>'1 prepared data'!M594</f>
        <v/>
      </c>
      <c r="O601" s="7">
        <f>'1 prepared data'!N594</f>
        <v/>
      </c>
      <c r="P601" s="7">
        <f>'1 prepared data'!O594</f>
        <v/>
      </c>
      <c r="Q601" s="7">
        <f>'1 prepared data'!P594</f>
        <v/>
      </c>
      <c r="R601" s="7">
        <f>'1 prepared data'!Q594</f>
        <v/>
      </c>
      <c r="S601" s="7">
        <f>'1 prepared data'!R594</f>
        <v/>
      </c>
      <c r="T601" s="7">
        <f>'1 prepared data'!S594</f>
        <v/>
      </c>
      <c r="U601" s="7">
        <f>'1 prepared data'!T594</f>
        <v/>
      </c>
      <c r="V601" s="8">
        <f>$AC$12+D601*$AC$13+E601*$AC$14+F601*$AC$15+G601*$AC$16+H601*$AC$17+I601*$AC$18+J601*$AC$19+K601*$AC$20+L601*$AC$21+M601*$AC$22+N601*$AC$23+O601*$AC$24+P601*$AC$25+Q601*$AC$26+R601*$AC$27+S601*$AC$28+T601*$AC$29+U601*$AC$30</f>
        <v/>
      </c>
      <c r="W601" s="8">
        <f>1/(1+EXP(-V601))</f>
        <v/>
      </c>
      <c r="X601" s="9">
        <f>-IF(C601=1,LN(W601),LN(1-W601))</f>
        <v/>
      </c>
      <c r="Y601" s="10">
        <f>IF(W601&gt;$AC$33,1,0)</f>
        <v/>
      </c>
      <c r="Z601">
        <f>IF(Y601=C601,1,0)</f>
        <v/>
      </c>
    </row>
    <row r="602">
      <c r="A602">
        <f>'1 prepared data'!A595</f>
        <v/>
      </c>
      <c r="B602" s="5">
        <f>'1 prepared data'!U595</f>
        <v/>
      </c>
      <c r="C602">
        <f>'1 prepared data'!B595</f>
        <v/>
      </c>
      <c r="D602" s="7">
        <f>'1 prepared data'!C595</f>
        <v/>
      </c>
      <c r="E602" s="7">
        <f>'1 prepared data'!D595</f>
        <v/>
      </c>
      <c r="F602" s="7">
        <f>'1 prepared data'!E595</f>
        <v/>
      </c>
      <c r="G602" s="7">
        <f>'1 prepared data'!F595</f>
        <v/>
      </c>
      <c r="H602" s="7">
        <f>'1 prepared data'!G595</f>
        <v/>
      </c>
      <c r="I602" s="7">
        <f>'1 prepared data'!H595</f>
        <v/>
      </c>
      <c r="J602" s="7">
        <f>'1 prepared data'!I595</f>
        <v/>
      </c>
      <c r="K602" s="7">
        <f>'1 prepared data'!J595</f>
        <v/>
      </c>
      <c r="L602" s="7">
        <f>'1 prepared data'!K595</f>
        <v/>
      </c>
      <c r="M602" s="7">
        <f>'1 prepared data'!L595</f>
        <v/>
      </c>
      <c r="N602" s="7">
        <f>'1 prepared data'!M595</f>
        <v/>
      </c>
      <c r="O602" s="7">
        <f>'1 prepared data'!N595</f>
        <v/>
      </c>
      <c r="P602" s="7">
        <f>'1 prepared data'!O595</f>
        <v/>
      </c>
      <c r="Q602" s="7">
        <f>'1 prepared data'!P595</f>
        <v/>
      </c>
      <c r="R602" s="7">
        <f>'1 prepared data'!Q595</f>
        <v/>
      </c>
      <c r="S602" s="7">
        <f>'1 prepared data'!R595</f>
        <v/>
      </c>
      <c r="T602" s="7">
        <f>'1 prepared data'!S595</f>
        <v/>
      </c>
      <c r="U602" s="7">
        <f>'1 prepared data'!T595</f>
        <v/>
      </c>
      <c r="V602" s="8">
        <f>$AC$12+D602*$AC$13+E602*$AC$14+F602*$AC$15+G602*$AC$16+H602*$AC$17+I602*$AC$18+J602*$AC$19+K602*$AC$20+L602*$AC$21+M602*$AC$22+N602*$AC$23+O602*$AC$24+P602*$AC$25+Q602*$AC$26+R602*$AC$27+S602*$AC$28+T602*$AC$29+U602*$AC$30</f>
        <v/>
      </c>
      <c r="W602" s="8">
        <f>1/(1+EXP(-V602))</f>
        <v/>
      </c>
      <c r="X602" s="9">
        <f>-IF(C602=1,LN(W602),LN(1-W602))</f>
        <v/>
      </c>
      <c r="Y602" s="10">
        <f>IF(W602&gt;$AC$33,1,0)</f>
        <v/>
      </c>
      <c r="Z602">
        <f>IF(Y602=C602,1,0)</f>
        <v/>
      </c>
    </row>
    <row r="603">
      <c r="A603">
        <f>'1 prepared data'!A596</f>
        <v/>
      </c>
      <c r="B603" s="5">
        <f>'1 prepared data'!U596</f>
        <v/>
      </c>
      <c r="C603">
        <f>'1 prepared data'!B596</f>
        <v/>
      </c>
      <c r="D603" s="7">
        <f>'1 prepared data'!C596</f>
        <v/>
      </c>
      <c r="E603" s="7">
        <f>'1 prepared data'!D596</f>
        <v/>
      </c>
      <c r="F603" s="7">
        <f>'1 prepared data'!E596</f>
        <v/>
      </c>
      <c r="G603" s="7">
        <f>'1 prepared data'!F596</f>
        <v/>
      </c>
      <c r="H603" s="7">
        <f>'1 prepared data'!G596</f>
        <v/>
      </c>
      <c r="I603" s="7">
        <f>'1 prepared data'!H596</f>
        <v/>
      </c>
      <c r="J603" s="7">
        <f>'1 prepared data'!I596</f>
        <v/>
      </c>
      <c r="K603" s="7">
        <f>'1 prepared data'!J596</f>
        <v/>
      </c>
      <c r="L603" s="7">
        <f>'1 prepared data'!K596</f>
        <v/>
      </c>
      <c r="M603" s="7">
        <f>'1 prepared data'!L596</f>
        <v/>
      </c>
      <c r="N603" s="7">
        <f>'1 prepared data'!M596</f>
        <v/>
      </c>
      <c r="O603" s="7">
        <f>'1 prepared data'!N596</f>
        <v/>
      </c>
      <c r="P603" s="7">
        <f>'1 prepared data'!O596</f>
        <v/>
      </c>
      <c r="Q603" s="7">
        <f>'1 prepared data'!P596</f>
        <v/>
      </c>
      <c r="R603" s="7">
        <f>'1 prepared data'!Q596</f>
        <v/>
      </c>
      <c r="S603" s="7">
        <f>'1 prepared data'!R596</f>
        <v/>
      </c>
      <c r="T603" s="7">
        <f>'1 prepared data'!S596</f>
        <v/>
      </c>
      <c r="U603" s="7">
        <f>'1 prepared data'!T596</f>
        <v/>
      </c>
      <c r="V603" s="8">
        <f>$AC$12+D603*$AC$13+E603*$AC$14+F603*$AC$15+G603*$AC$16+H603*$AC$17+I603*$AC$18+J603*$AC$19+K603*$AC$20+L603*$AC$21+M603*$AC$22+N603*$AC$23+O603*$AC$24+P603*$AC$25+Q603*$AC$26+R603*$AC$27+S603*$AC$28+T603*$AC$29+U603*$AC$30</f>
        <v/>
      </c>
      <c r="W603" s="8">
        <f>1/(1+EXP(-V603))</f>
        <v/>
      </c>
      <c r="X603" s="9">
        <f>-IF(C603=1,LN(W603),LN(1-W603))</f>
        <v/>
      </c>
      <c r="Y603" s="10">
        <f>IF(W603&gt;$AC$33,1,0)</f>
        <v/>
      </c>
      <c r="Z603">
        <f>IF(Y603=C603,1,0)</f>
        <v/>
      </c>
    </row>
    <row r="604">
      <c r="A604">
        <f>'1 prepared data'!A597</f>
        <v/>
      </c>
      <c r="B604" s="5">
        <f>'1 prepared data'!U597</f>
        <v/>
      </c>
      <c r="C604">
        <f>'1 prepared data'!B597</f>
        <v/>
      </c>
      <c r="D604" s="7">
        <f>'1 prepared data'!C597</f>
        <v/>
      </c>
      <c r="E604" s="7">
        <f>'1 prepared data'!D597</f>
        <v/>
      </c>
      <c r="F604" s="7">
        <f>'1 prepared data'!E597</f>
        <v/>
      </c>
      <c r="G604" s="7">
        <f>'1 prepared data'!F597</f>
        <v/>
      </c>
      <c r="H604" s="7">
        <f>'1 prepared data'!G597</f>
        <v/>
      </c>
      <c r="I604" s="7">
        <f>'1 prepared data'!H597</f>
        <v/>
      </c>
      <c r="J604" s="7">
        <f>'1 prepared data'!I597</f>
        <v/>
      </c>
      <c r="K604" s="7">
        <f>'1 prepared data'!J597</f>
        <v/>
      </c>
      <c r="L604" s="7">
        <f>'1 prepared data'!K597</f>
        <v/>
      </c>
      <c r="M604" s="7">
        <f>'1 prepared data'!L597</f>
        <v/>
      </c>
      <c r="N604" s="7">
        <f>'1 prepared data'!M597</f>
        <v/>
      </c>
      <c r="O604" s="7">
        <f>'1 prepared data'!N597</f>
        <v/>
      </c>
      <c r="P604" s="7">
        <f>'1 prepared data'!O597</f>
        <v/>
      </c>
      <c r="Q604" s="7">
        <f>'1 prepared data'!P597</f>
        <v/>
      </c>
      <c r="R604" s="7">
        <f>'1 prepared data'!Q597</f>
        <v/>
      </c>
      <c r="S604" s="7">
        <f>'1 prepared data'!R597</f>
        <v/>
      </c>
      <c r="T604" s="7">
        <f>'1 prepared data'!S597</f>
        <v/>
      </c>
      <c r="U604" s="7">
        <f>'1 prepared data'!T597</f>
        <v/>
      </c>
      <c r="V604" s="8">
        <f>$AC$12+D604*$AC$13+E604*$AC$14+F604*$AC$15+G604*$AC$16+H604*$AC$17+I604*$AC$18+J604*$AC$19+K604*$AC$20+L604*$AC$21+M604*$AC$22+N604*$AC$23+O604*$AC$24+P604*$AC$25+Q604*$AC$26+R604*$AC$27+S604*$AC$28+T604*$AC$29+U604*$AC$30</f>
        <v/>
      </c>
      <c r="W604" s="8">
        <f>1/(1+EXP(-V604))</f>
        <v/>
      </c>
      <c r="X604" s="9">
        <f>-IF(C604=1,LN(W604),LN(1-W604))</f>
        <v/>
      </c>
      <c r="Y604" s="10">
        <f>IF(W604&gt;$AC$33,1,0)</f>
        <v/>
      </c>
      <c r="Z604">
        <f>IF(Y604=C604,1,0)</f>
        <v/>
      </c>
    </row>
    <row r="605">
      <c r="A605">
        <f>'1 prepared data'!A598</f>
        <v/>
      </c>
      <c r="B605" s="5">
        <f>'1 prepared data'!U598</f>
        <v/>
      </c>
      <c r="C605">
        <f>'1 prepared data'!B598</f>
        <v/>
      </c>
      <c r="D605" s="7">
        <f>'1 prepared data'!C598</f>
        <v/>
      </c>
      <c r="E605" s="7">
        <f>'1 prepared data'!D598</f>
        <v/>
      </c>
      <c r="F605" s="7">
        <f>'1 prepared data'!E598</f>
        <v/>
      </c>
      <c r="G605" s="7">
        <f>'1 prepared data'!F598</f>
        <v/>
      </c>
      <c r="H605" s="7">
        <f>'1 prepared data'!G598</f>
        <v/>
      </c>
      <c r="I605" s="7">
        <f>'1 prepared data'!H598</f>
        <v/>
      </c>
      <c r="J605" s="7">
        <f>'1 prepared data'!I598</f>
        <v/>
      </c>
      <c r="K605" s="7">
        <f>'1 prepared data'!J598</f>
        <v/>
      </c>
      <c r="L605" s="7">
        <f>'1 prepared data'!K598</f>
        <v/>
      </c>
      <c r="M605" s="7">
        <f>'1 prepared data'!L598</f>
        <v/>
      </c>
      <c r="N605" s="7">
        <f>'1 prepared data'!M598</f>
        <v/>
      </c>
      <c r="O605" s="7">
        <f>'1 prepared data'!N598</f>
        <v/>
      </c>
      <c r="P605" s="7">
        <f>'1 prepared data'!O598</f>
        <v/>
      </c>
      <c r="Q605" s="7">
        <f>'1 prepared data'!P598</f>
        <v/>
      </c>
      <c r="R605" s="7">
        <f>'1 prepared data'!Q598</f>
        <v/>
      </c>
      <c r="S605" s="7">
        <f>'1 prepared data'!R598</f>
        <v/>
      </c>
      <c r="T605" s="7">
        <f>'1 prepared data'!S598</f>
        <v/>
      </c>
      <c r="U605" s="7">
        <f>'1 prepared data'!T598</f>
        <v/>
      </c>
      <c r="V605" s="8">
        <f>$AC$12+D605*$AC$13+E605*$AC$14+F605*$AC$15+G605*$AC$16+H605*$AC$17+I605*$AC$18+J605*$AC$19+K605*$AC$20+L605*$AC$21+M605*$AC$22+N605*$AC$23+O605*$AC$24+P605*$AC$25+Q605*$AC$26+R605*$AC$27+S605*$AC$28+T605*$AC$29+U605*$AC$30</f>
        <v/>
      </c>
      <c r="W605" s="8">
        <f>1/(1+EXP(-V605))</f>
        <v/>
      </c>
      <c r="X605" s="9">
        <f>-IF(C605=1,LN(W605),LN(1-W605))</f>
        <v/>
      </c>
      <c r="Y605" s="10">
        <f>IF(W605&gt;$AC$33,1,0)</f>
        <v/>
      </c>
      <c r="Z605">
        <f>IF(Y605=C605,1,0)</f>
        <v/>
      </c>
    </row>
    <row r="606">
      <c r="A606">
        <f>'1 prepared data'!A599</f>
        <v/>
      </c>
      <c r="B606" s="5">
        <f>'1 prepared data'!U599</f>
        <v/>
      </c>
      <c r="C606">
        <f>'1 prepared data'!B599</f>
        <v/>
      </c>
      <c r="D606" s="7">
        <f>'1 prepared data'!C599</f>
        <v/>
      </c>
      <c r="E606" s="7">
        <f>'1 prepared data'!D599</f>
        <v/>
      </c>
      <c r="F606" s="7">
        <f>'1 prepared data'!E599</f>
        <v/>
      </c>
      <c r="G606" s="7">
        <f>'1 prepared data'!F599</f>
        <v/>
      </c>
      <c r="H606" s="7">
        <f>'1 prepared data'!G599</f>
        <v/>
      </c>
      <c r="I606" s="7">
        <f>'1 prepared data'!H599</f>
        <v/>
      </c>
      <c r="J606" s="7">
        <f>'1 prepared data'!I599</f>
        <v/>
      </c>
      <c r="K606" s="7">
        <f>'1 prepared data'!J599</f>
        <v/>
      </c>
      <c r="L606" s="7">
        <f>'1 prepared data'!K599</f>
        <v/>
      </c>
      <c r="M606" s="7">
        <f>'1 prepared data'!L599</f>
        <v/>
      </c>
      <c r="N606" s="7">
        <f>'1 prepared data'!M599</f>
        <v/>
      </c>
      <c r="O606" s="7">
        <f>'1 prepared data'!N599</f>
        <v/>
      </c>
      <c r="P606" s="7">
        <f>'1 prepared data'!O599</f>
        <v/>
      </c>
      <c r="Q606" s="7">
        <f>'1 prepared data'!P599</f>
        <v/>
      </c>
      <c r="R606" s="7">
        <f>'1 prepared data'!Q599</f>
        <v/>
      </c>
      <c r="S606" s="7">
        <f>'1 prepared data'!R599</f>
        <v/>
      </c>
      <c r="T606" s="7">
        <f>'1 prepared data'!S599</f>
        <v/>
      </c>
      <c r="U606" s="7">
        <f>'1 prepared data'!T599</f>
        <v/>
      </c>
      <c r="V606" s="8">
        <f>$AC$12+D606*$AC$13+E606*$AC$14+F606*$AC$15+G606*$AC$16+H606*$AC$17+I606*$AC$18+J606*$AC$19+K606*$AC$20+L606*$AC$21+M606*$AC$22+N606*$AC$23+O606*$AC$24+P606*$AC$25+Q606*$AC$26+R606*$AC$27+S606*$AC$28+T606*$AC$29+U606*$AC$30</f>
        <v/>
      </c>
      <c r="W606" s="8">
        <f>1/(1+EXP(-V606))</f>
        <v/>
      </c>
      <c r="X606" s="9">
        <f>-IF(C606=1,LN(W606),LN(1-W606))</f>
        <v/>
      </c>
      <c r="Y606" s="10">
        <f>IF(W606&gt;$AC$33,1,0)</f>
        <v/>
      </c>
      <c r="Z606">
        <f>IF(Y606=C606,1,0)</f>
        <v/>
      </c>
    </row>
    <row r="607">
      <c r="A607">
        <f>'1 prepared data'!A600</f>
        <v/>
      </c>
      <c r="B607" s="5">
        <f>'1 prepared data'!U600</f>
        <v/>
      </c>
      <c r="C607">
        <f>'1 prepared data'!B600</f>
        <v/>
      </c>
      <c r="D607" s="7">
        <f>'1 prepared data'!C600</f>
        <v/>
      </c>
      <c r="E607" s="7">
        <f>'1 prepared data'!D600</f>
        <v/>
      </c>
      <c r="F607" s="7">
        <f>'1 prepared data'!E600</f>
        <v/>
      </c>
      <c r="G607" s="7">
        <f>'1 prepared data'!F600</f>
        <v/>
      </c>
      <c r="H607" s="7">
        <f>'1 prepared data'!G600</f>
        <v/>
      </c>
      <c r="I607" s="7">
        <f>'1 prepared data'!H600</f>
        <v/>
      </c>
      <c r="J607" s="7">
        <f>'1 prepared data'!I600</f>
        <v/>
      </c>
      <c r="K607" s="7">
        <f>'1 prepared data'!J600</f>
        <v/>
      </c>
      <c r="L607" s="7">
        <f>'1 prepared data'!K600</f>
        <v/>
      </c>
      <c r="M607" s="7">
        <f>'1 prepared data'!L600</f>
        <v/>
      </c>
      <c r="N607" s="7">
        <f>'1 prepared data'!M600</f>
        <v/>
      </c>
      <c r="O607" s="7">
        <f>'1 prepared data'!N600</f>
        <v/>
      </c>
      <c r="P607" s="7">
        <f>'1 prepared data'!O600</f>
        <v/>
      </c>
      <c r="Q607" s="7">
        <f>'1 prepared data'!P600</f>
        <v/>
      </c>
      <c r="R607" s="7">
        <f>'1 prepared data'!Q600</f>
        <v/>
      </c>
      <c r="S607" s="7">
        <f>'1 prepared data'!R600</f>
        <v/>
      </c>
      <c r="T607" s="7">
        <f>'1 prepared data'!S600</f>
        <v/>
      </c>
      <c r="U607" s="7">
        <f>'1 prepared data'!T600</f>
        <v/>
      </c>
      <c r="V607" s="8">
        <f>$AC$12+D607*$AC$13+E607*$AC$14+F607*$AC$15+G607*$AC$16+H607*$AC$17+I607*$AC$18+J607*$AC$19+K607*$AC$20+L607*$AC$21+M607*$AC$22+N607*$AC$23+O607*$AC$24+P607*$AC$25+Q607*$AC$26+R607*$AC$27+S607*$AC$28+T607*$AC$29+U607*$AC$30</f>
        <v/>
      </c>
      <c r="W607" s="8">
        <f>1/(1+EXP(-V607))</f>
        <v/>
      </c>
      <c r="X607" s="9">
        <f>-IF(C607=1,LN(W607),LN(1-W607))</f>
        <v/>
      </c>
      <c r="Y607" s="10">
        <f>IF(W607&gt;$AC$33,1,0)</f>
        <v/>
      </c>
      <c r="Z607">
        <f>IF(Y607=C607,1,0)</f>
        <v/>
      </c>
    </row>
    <row r="608">
      <c r="A608">
        <f>'1 prepared data'!A601</f>
        <v/>
      </c>
      <c r="B608" s="5">
        <f>'1 prepared data'!U601</f>
        <v/>
      </c>
      <c r="C608">
        <f>'1 prepared data'!B601</f>
        <v/>
      </c>
      <c r="D608" s="7">
        <f>'1 prepared data'!C601</f>
        <v/>
      </c>
      <c r="E608" s="7">
        <f>'1 prepared data'!D601</f>
        <v/>
      </c>
      <c r="F608" s="7">
        <f>'1 prepared data'!E601</f>
        <v/>
      </c>
      <c r="G608" s="7">
        <f>'1 prepared data'!F601</f>
        <v/>
      </c>
      <c r="H608" s="7">
        <f>'1 prepared data'!G601</f>
        <v/>
      </c>
      <c r="I608" s="7">
        <f>'1 prepared data'!H601</f>
        <v/>
      </c>
      <c r="J608" s="7">
        <f>'1 prepared data'!I601</f>
        <v/>
      </c>
      <c r="K608" s="7">
        <f>'1 prepared data'!J601</f>
        <v/>
      </c>
      <c r="L608" s="7">
        <f>'1 prepared data'!K601</f>
        <v/>
      </c>
      <c r="M608" s="7">
        <f>'1 prepared data'!L601</f>
        <v/>
      </c>
      <c r="N608" s="7">
        <f>'1 prepared data'!M601</f>
        <v/>
      </c>
      <c r="O608" s="7">
        <f>'1 prepared data'!N601</f>
        <v/>
      </c>
      <c r="P608" s="7">
        <f>'1 prepared data'!O601</f>
        <v/>
      </c>
      <c r="Q608" s="7">
        <f>'1 prepared data'!P601</f>
        <v/>
      </c>
      <c r="R608" s="7">
        <f>'1 prepared data'!Q601</f>
        <v/>
      </c>
      <c r="S608" s="7">
        <f>'1 prepared data'!R601</f>
        <v/>
      </c>
      <c r="T608" s="7">
        <f>'1 prepared data'!S601</f>
        <v/>
      </c>
      <c r="U608" s="7">
        <f>'1 prepared data'!T601</f>
        <v/>
      </c>
      <c r="V608" s="8">
        <f>$AC$12+D608*$AC$13+E608*$AC$14+F608*$AC$15+G608*$AC$16+H608*$AC$17+I608*$AC$18+J608*$AC$19+K608*$AC$20+L608*$AC$21+M608*$AC$22+N608*$AC$23+O608*$AC$24+P608*$AC$25+Q608*$AC$26+R608*$AC$27+S608*$AC$28+T608*$AC$29+U608*$AC$30</f>
        <v/>
      </c>
      <c r="W608" s="8">
        <f>1/(1+EXP(-V608))</f>
        <v/>
      </c>
      <c r="X608" s="9">
        <f>-IF(C608=1,LN(W608),LN(1-W608))</f>
        <v/>
      </c>
      <c r="Y608" s="10">
        <f>IF(W608&gt;$AC$33,1,0)</f>
        <v/>
      </c>
      <c r="Z608">
        <f>IF(Y608=C608,1,0)</f>
        <v/>
      </c>
    </row>
    <row r="609">
      <c r="A609">
        <f>'1 prepared data'!A602</f>
        <v/>
      </c>
      <c r="B609" s="5">
        <f>'1 prepared data'!U602</f>
        <v/>
      </c>
      <c r="C609">
        <f>'1 prepared data'!B602</f>
        <v/>
      </c>
      <c r="D609" s="7">
        <f>'1 prepared data'!C602</f>
        <v/>
      </c>
      <c r="E609" s="7">
        <f>'1 prepared data'!D602</f>
        <v/>
      </c>
      <c r="F609" s="7">
        <f>'1 prepared data'!E602</f>
        <v/>
      </c>
      <c r="G609" s="7">
        <f>'1 prepared data'!F602</f>
        <v/>
      </c>
      <c r="H609" s="7">
        <f>'1 prepared data'!G602</f>
        <v/>
      </c>
      <c r="I609" s="7">
        <f>'1 prepared data'!H602</f>
        <v/>
      </c>
      <c r="J609" s="7">
        <f>'1 prepared data'!I602</f>
        <v/>
      </c>
      <c r="K609" s="7">
        <f>'1 prepared data'!J602</f>
        <v/>
      </c>
      <c r="L609" s="7">
        <f>'1 prepared data'!K602</f>
        <v/>
      </c>
      <c r="M609" s="7">
        <f>'1 prepared data'!L602</f>
        <v/>
      </c>
      <c r="N609" s="7">
        <f>'1 prepared data'!M602</f>
        <v/>
      </c>
      <c r="O609" s="7">
        <f>'1 prepared data'!N602</f>
        <v/>
      </c>
      <c r="P609" s="7">
        <f>'1 prepared data'!O602</f>
        <v/>
      </c>
      <c r="Q609" s="7">
        <f>'1 prepared data'!P602</f>
        <v/>
      </c>
      <c r="R609" s="7">
        <f>'1 prepared data'!Q602</f>
        <v/>
      </c>
      <c r="S609" s="7">
        <f>'1 prepared data'!R602</f>
        <v/>
      </c>
      <c r="T609" s="7">
        <f>'1 prepared data'!S602</f>
        <v/>
      </c>
      <c r="U609" s="7">
        <f>'1 prepared data'!T602</f>
        <v/>
      </c>
      <c r="V609" s="8">
        <f>$AC$12+D609*$AC$13+E609*$AC$14+F609*$AC$15+G609*$AC$16+H609*$AC$17+I609*$AC$18+J609*$AC$19+K609*$AC$20+L609*$AC$21+M609*$AC$22+N609*$AC$23+O609*$AC$24+P609*$AC$25+Q609*$AC$26+R609*$AC$27+S609*$AC$28+T609*$AC$29+U609*$AC$30</f>
        <v/>
      </c>
      <c r="W609" s="8">
        <f>1/(1+EXP(-V609))</f>
        <v/>
      </c>
      <c r="X609" s="9">
        <f>-IF(C609=1,LN(W609),LN(1-W609))</f>
        <v/>
      </c>
      <c r="Y609" s="10">
        <f>IF(W609&gt;$AC$33,1,0)</f>
        <v/>
      </c>
      <c r="Z609">
        <f>IF(Y609=C609,1,0)</f>
        <v/>
      </c>
    </row>
    <row r="610">
      <c r="A610">
        <f>'1 prepared data'!A603</f>
        <v/>
      </c>
      <c r="B610" s="5">
        <f>'1 prepared data'!U603</f>
        <v/>
      </c>
      <c r="C610">
        <f>'1 prepared data'!B603</f>
        <v/>
      </c>
      <c r="D610" s="7">
        <f>'1 prepared data'!C603</f>
        <v/>
      </c>
      <c r="E610" s="7">
        <f>'1 prepared data'!D603</f>
        <v/>
      </c>
      <c r="F610" s="7">
        <f>'1 prepared data'!E603</f>
        <v/>
      </c>
      <c r="G610" s="7">
        <f>'1 prepared data'!F603</f>
        <v/>
      </c>
      <c r="H610" s="7">
        <f>'1 prepared data'!G603</f>
        <v/>
      </c>
      <c r="I610" s="7">
        <f>'1 prepared data'!H603</f>
        <v/>
      </c>
      <c r="J610" s="7">
        <f>'1 prepared data'!I603</f>
        <v/>
      </c>
      <c r="K610" s="7">
        <f>'1 prepared data'!J603</f>
        <v/>
      </c>
      <c r="L610" s="7">
        <f>'1 prepared data'!K603</f>
        <v/>
      </c>
      <c r="M610" s="7">
        <f>'1 prepared data'!L603</f>
        <v/>
      </c>
      <c r="N610" s="7">
        <f>'1 prepared data'!M603</f>
        <v/>
      </c>
      <c r="O610" s="7">
        <f>'1 prepared data'!N603</f>
        <v/>
      </c>
      <c r="P610" s="7">
        <f>'1 prepared data'!O603</f>
        <v/>
      </c>
      <c r="Q610" s="7">
        <f>'1 prepared data'!P603</f>
        <v/>
      </c>
      <c r="R610" s="7">
        <f>'1 prepared data'!Q603</f>
        <v/>
      </c>
      <c r="S610" s="7">
        <f>'1 prepared data'!R603</f>
        <v/>
      </c>
      <c r="T610" s="7">
        <f>'1 prepared data'!S603</f>
        <v/>
      </c>
      <c r="U610" s="7">
        <f>'1 prepared data'!T603</f>
        <v/>
      </c>
      <c r="V610" s="8">
        <f>$AC$12+D610*$AC$13+E610*$AC$14+F610*$AC$15+G610*$AC$16+H610*$AC$17+I610*$AC$18+J610*$AC$19+K610*$AC$20+L610*$AC$21+M610*$AC$22+N610*$AC$23+O610*$AC$24+P610*$AC$25+Q610*$AC$26+R610*$AC$27+S610*$AC$28+T610*$AC$29+U610*$AC$30</f>
        <v/>
      </c>
      <c r="W610" s="8">
        <f>1/(1+EXP(-V610))</f>
        <v/>
      </c>
      <c r="X610" s="9">
        <f>-IF(C610=1,LN(W610),LN(1-W610))</f>
        <v/>
      </c>
      <c r="Y610" s="10">
        <f>IF(W610&gt;$AC$33,1,0)</f>
        <v/>
      </c>
      <c r="Z610">
        <f>IF(Y610=C610,1,0)</f>
        <v/>
      </c>
    </row>
    <row r="611">
      <c r="A611">
        <f>'1 prepared data'!A604</f>
        <v/>
      </c>
      <c r="B611" s="5">
        <f>'1 prepared data'!U604</f>
        <v/>
      </c>
      <c r="C611">
        <f>'1 prepared data'!B604</f>
        <v/>
      </c>
      <c r="D611" s="7">
        <f>'1 prepared data'!C604</f>
        <v/>
      </c>
      <c r="E611" s="7">
        <f>'1 prepared data'!D604</f>
        <v/>
      </c>
      <c r="F611" s="7">
        <f>'1 prepared data'!E604</f>
        <v/>
      </c>
      <c r="G611" s="7">
        <f>'1 prepared data'!F604</f>
        <v/>
      </c>
      <c r="H611" s="7">
        <f>'1 prepared data'!G604</f>
        <v/>
      </c>
      <c r="I611" s="7">
        <f>'1 prepared data'!H604</f>
        <v/>
      </c>
      <c r="J611" s="7">
        <f>'1 prepared data'!I604</f>
        <v/>
      </c>
      <c r="K611" s="7">
        <f>'1 prepared data'!J604</f>
        <v/>
      </c>
      <c r="L611" s="7">
        <f>'1 prepared data'!K604</f>
        <v/>
      </c>
      <c r="M611" s="7">
        <f>'1 prepared data'!L604</f>
        <v/>
      </c>
      <c r="N611" s="7">
        <f>'1 prepared data'!M604</f>
        <v/>
      </c>
      <c r="O611" s="7">
        <f>'1 prepared data'!N604</f>
        <v/>
      </c>
      <c r="P611" s="7">
        <f>'1 prepared data'!O604</f>
        <v/>
      </c>
      <c r="Q611" s="7">
        <f>'1 prepared data'!P604</f>
        <v/>
      </c>
      <c r="R611" s="7">
        <f>'1 prepared data'!Q604</f>
        <v/>
      </c>
      <c r="S611" s="7">
        <f>'1 prepared data'!R604</f>
        <v/>
      </c>
      <c r="T611" s="7">
        <f>'1 prepared data'!S604</f>
        <v/>
      </c>
      <c r="U611" s="7">
        <f>'1 prepared data'!T604</f>
        <v/>
      </c>
      <c r="V611" s="8">
        <f>$AC$12+D611*$AC$13+E611*$AC$14+F611*$AC$15+G611*$AC$16+H611*$AC$17+I611*$AC$18+J611*$AC$19+K611*$AC$20+L611*$AC$21+M611*$AC$22+N611*$AC$23+O611*$AC$24+P611*$AC$25+Q611*$AC$26+R611*$AC$27+S611*$AC$28+T611*$AC$29+U611*$AC$30</f>
        <v/>
      </c>
      <c r="W611" s="8">
        <f>1/(1+EXP(-V611))</f>
        <v/>
      </c>
      <c r="X611" s="9">
        <f>-IF(C611=1,LN(W611),LN(1-W611))</f>
        <v/>
      </c>
      <c r="Y611" s="10">
        <f>IF(W611&gt;$AC$33,1,0)</f>
        <v/>
      </c>
      <c r="Z611">
        <f>IF(Y611=C611,1,0)</f>
        <v/>
      </c>
    </row>
    <row r="612">
      <c r="A612">
        <f>'1 prepared data'!A605</f>
        <v/>
      </c>
      <c r="B612" s="5">
        <f>'1 prepared data'!U605</f>
        <v/>
      </c>
      <c r="C612">
        <f>'1 prepared data'!B605</f>
        <v/>
      </c>
      <c r="D612" s="7">
        <f>'1 prepared data'!C605</f>
        <v/>
      </c>
      <c r="E612" s="7">
        <f>'1 prepared data'!D605</f>
        <v/>
      </c>
      <c r="F612" s="7">
        <f>'1 prepared data'!E605</f>
        <v/>
      </c>
      <c r="G612" s="7">
        <f>'1 prepared data'!F605</f>
        <v/>
      </c>
      <c r="H612" s="7">
        <f>'1 prepared data'!G605</f>
        <v/>
      </c>
      <c r="I612" s="7">
        <f>'1 prepared data'!H605</f>
        <v/>
      </c>
      <c r="J612" s="7">
        <f>'1 prepared data'!I605</f>
        <v/>
      </c>
      <c r="K612" s="7">
        <f>'1 prepared data'!J605</f>
        <v/>
      </c>
      <c r="L612" s="7">
        <f>'1 prepared data'!K605</f>
        <v/>
      </c>
      <c r="M612" s="7">
        <f>'1 prepared data'!L605</f>
        <v/>
      </c>
      <c r="N612" s="7">
        <f>'1 prepared data'!M605</f>
        <v/>
      </c>
      <c r="O612" s="7">
        <f>'1 prepared data'!N605</f>
        <v/>
      </c>
      <c r="P612" s="7">
        <f>'1 prepared data'!O605</f>
        <v/>
      </c>
      <c r="Q612" s="7">
        <f>'1 prepared data'!P605</f>
        <v/>
      </c>
      <c r="R612" s="7">
        <f>'1 prepared data'!Q605</f>
        <v/>
      </c>
      <c r="S612" s="7">
        <f>'1 prepared data'!R605</f>
        <v/>
      </c>
      <c r="T612" s="7">
        <f>'1 prepared data'!S605</f>
        <v/>
      </c>
      <c r="U612" s="7">
        <f>'1 prepared data'!T605</f>
        <v/>
      </c>
      <c r="V612" s="8">
        <f>$AC$12+D612*$AC$13+E612*$AC$14+F612*$AC$15+G612*$AC$16+H612*$AC$17+I612*$AC$18+J612*$AC$19+K612*$AC$20+L612*$AC$21+M612*$AC$22+N612*$AC$23+O612*$AC$24+P612*$AC$25+Q612*$AC$26+R612*$AC$27+S612*$AC$28+T612*$AC$29+U612*$AC$30</f>
        <v/>
      </c>
      <c r="W612" s="8">
        <f>1/(1+EXP(-V612))</f>
        <v/>
      </c>
      <c r="X612" s="9">
        <f>-IF(C612=1,LN(W612),LN(1-W612))</f>
        <v/>
      </c>
      <c r="Y612" s="10">
        <f>IF(W612&gt;$AC$33,1,0)</f>
        <v/>
      </c>
      <c r="Z612">
        <f>IF(Y612=C612,1,0)</f>
        <v/>
      </c>
    </row>
    <row r="613">
      <c r="A613">
        <f>'1 prepared data'!A606</f>
        <v/>
      </c>
      <c r="B613" s="5">
        <f>'1 prepared data'!U606</f>
        <v/>
      </c>
      <c r="C613">
        <f>'1 prepared data'!B606</f>
        <v/>
      </c>
      <c r="D613" s="7">
        <f>'1 prepared data'!C606</f>
        <v/>
      </c>
      <c r="E613" s="7">
        <f>'1 prepared data'!D606</f>
        <v/>
      </c>
      <c r="F613" s="7">
        <f>'1 prepared data'!E606</f>
        <v/>
      </c>
      <c r="G613" s="7">
        <f>'1 prepared data'!F606</f>
        <v/>
      </c>
      <c r="H613" s="7">
        <f>'1 prepared data'!G606</f>
        <v/>
      </c>
      <c r="I613" s="7">
        <f>'1 prepared data'!H606</f>
        <v/>
      </c>
      <c r="J613" s="7">
        <f>'1 prepared data'!I606</f>
        <v/>
      </c>
      <c r="K613" s="7">
        <f>'1 prepared data'!J606</f>
        <v/>
      </c>
      <c r="L613" s="7">
        <f>'1 prepared data'!K606</f>
        <v/>
      </c>
      <c r="M613" s="7">
        <f>'1 prepared data'!L606</f>
        <v/>
      </c>
      <c r="N613" s="7">
        <f>'1 prepared data'!M606</f>
        <v/>
      </c>
      <c r="O613" s="7">
        <f>'1 prepared data'!N606</f>
        <v/>
      </c>
      <c r="P613" s="7">
        <f>'1 prepared data'!O606</f>
        <v/>
      </c>
      <c r="Q613" s="7">
        <f>'1 prepared data'!P606</f>
        <v/>
      </c>
      <c r="R613" s="7">
        <f>'1 prepared data'!Q606</f>
        <v/>
      </c>
      <c r="S613" s="7">
        <f>'1 prepared data'!R606</f>
        <v/>
      </c>
      <c r="T613" s="7">
        <f>'1 prepared data'!S606</f>
        <v/>
      </c>
      <c r="U613" s="7">
        <f>'1 prepared data'!T606</f>
        <v/>
      </c>
      <c r="V613" s="8">
        <f>$AC$12+D613*$AC$13+E613*$AC$14+F613*$AC$15+G613*$AC$16+H613*$AC$17+I613*$AC$18+J613*$AC$19+K613*$AC$20+L613*$AC$21+M613*$AC$22+N613*$AC$23+O613*$AC$24+P613*$AC$25+Q613*$AC$26+R613*$AC$27+S613*$AC$28+T613*$AC$29+U613*$AC$30</f>
        <v/>
      </c>
      <c r="W613" s="8">
        <f>1/(1+EXP(-V613))</f>
        <v/>
      </c>
      <c r="X613" s="9">
        <f>-IF(C613=1,LN(W613),LN(1-W613))</f>
        <v/>
      </c>
      <c r="Y613" s="10">
        <f>IF(W613&gt;$AC$33,1,0)</f>
        <v/>
      </c>
      <c r="Z613">
        <f>IF(Y613=C613,1,0)</f>
        <v/>
      </c>
    </row>
    <row r="614">
      <c r="A614">
        <f>'1 prepared data'!A607</f>
        <v/>
      </c>
      <c r="B614" s="5">
        <f>'1 prepared data'!U607</f>
        <v/>
      </c>
      <c r="C614">
        <f>'1 prepared data'!B607</f>
        <v/>
      </c>
      <c r="D614" s="7">
        <f>'1 prepared data'!C607</f>
        <v/>
      </c>
      <c r="E614" s="7">
        <f>'1 prepared data'!D607</f>
        <v/>
      </c>
      <c r="F614" s="7">
        <f>'1 prepared data'!E607</f>
        <v/>
      </c>
      <c r="G614" s="7">
        <f>'1 prepared data'!F607</f>
        <v/>
      </c>
      <c r="H614" s="7">
        <f>'1 prepared data'!G607</f>
        <v/>
      </c>
      <c r="I614" s="7">
        <f>'1 prepared data'!H607</f>
        <v/>
      </c>
      <c r="J614" s="7">
        <f>'1 prepared data'!I607</f>
        <v/>
      </c>
      <c r="K614" s="7">
        <f>'1 prepared data'!J607</f>
        <v/>
      </c>
      <c r="L614" s="7">
        <f>'1 prepared data'!K607</f>
        <v/>
      </c>
      <c r="M614" s="7">
        <f>'1 prepared data'!L607</f>
        <v/>
      </c>
      <c r="N614" s="7">
        <f>'1 prepared data'!M607</f>
        <v/>
      </c>
      <c r="O614" s="7">
        <f>'1 prepared data'!N607</f>
        <v/>
      </c>
      <c r="P614" s="7">
        <f>'1 prepared data'!O607</f>
        <v/>
      </c>
      <c r="Q614" s="7">
        <f>'1 prepared data'!P607</f>
        <v/>
      </c>
      <c r="R614" s="7">
        <f>'1 prepared data'!Q607</f>
        <v/>
      </c>
      <c r="S614" s="7">
        <f>'1 prepared data'!R607</f>
        <v/>
      </c>
      <c r="T614" s="7">
        <f>'1 prepared data'!S607</f>
        <v/>
      </c>
      <c r="U614" s="7">
        <f>'1 prepared data'!T607</f>
        <v/>
      </c>
      <c r="V614" s="8">
        <f>$AC$12+D614*$AC$13+E614*$AC$14+F614*$AC$15+G614*$AC$16+H614*$AC$17+I614*$AC$18+J614*$AC$19+K614*$AC$20+L614*$AC$21+M614*$AC$22+N614*$AC$23+O614*$AC$24+P614*$AC$25+Q614*$AC$26+R614*$AC$27+S614*$AC$28+T614*$AC$29+U614*$AC$30</f>
        <v/>
      </c>
      <c r="W614" s="8">
        <f>1/(1+EXP(-V614))</f>
        <v/>
      </c>
      <c r="X614" s="9">
        <f>-IF(C614=1,LN(W614),LN(1-W614))</f>
        <v/>
      </c>
      <c r="Y614" s="10">
        <f>IF(W614&gt;$AC$33,1,0)</f>
        <v/>
      </c>
      <c r="Z614">
        <f>IF(Y614=C614,1,0)</f>
        <v/>
      </c>
    </row>
    <row r="615">
      <c r="A615">
        <f>'1 prepared data'!A608</f>
        <v/>
      </c>
      <c r="B615" s="5">
        <f>'1 prepared data'!U608</f>
        <v/>
      </c>
      <c r="C615">
        <f>'1 prepared data'!B608</f>
        <v/>
      </c>
      <c r="D615" s="7">
        <f>'1 prepared data'!C608</f>
        <v/>
      </c>
      <c r="E615" s="7">
        <f>'1 prepared data'!D608</f>
        <v/>
      </c>
      <c r="F615" s="7">
        <f>'1 prepared data'!E608</f>
        <v/>
      </c>
      <c r="G615" s="7">
        <f>'1 prepared data'!F608</f>
        <v/>
      </c>
      <c r="H615" s="7">
        <f>'1 prepared data'!G608</f>
        <v/>
      </c>
      <c r="I615" s="7">
        <f>'1 prepared data'!H608</f>
        <v/>
      </c>
      <c r="J615" s="7">
        <f>'1 prepared data'!I608</f>
        <v/>
      </c>
      <c r="K615" s="7">
        <f>'1 prepared data'!J608</f>
        <v/>
      </c>
      <c r="L615" s="7">
        <f>'1 prepared data'!K608</f>
        <v/>
      </c>
      <c r="M615" s="7">
        <f>'1 prepared data'!L608</f>
        <v/>
      </c>
      <c r="N615" s="7">
        <f>'1 prepared data'!M608</f>
        <v/>
      </c>
      <c r="O615" s="7">
        <f>'1 prepared data'!N608</f>
        <v/>
      </c>
      <c r="P615" s="7">
        <f>'1 prepared data'!O608</f>
        <v/>
      </c>
      <c r="Q615" s="7">
        <f>'1 prepared data'!P608</f>
        <v/>
      </c>
      <c r="R615" s="7">
        <f>'1 prepared data'!Q608</f>
        <v/>
      </c>
      <c r="S615" s="7">
        <f>'1 prepared data'!R608</f>
        <v/>
      </c>
      <c r="T615" s="7">
        <f>'1 prepared data'!S608</f>
        <v/>
      </c>
      <c r="U615" s="7">
        <f>'1 prepared data'!T608</f>
        <v/>
      </c>
      <c r="V615" s="8">
        <f>$AC$12+D615*$AC$13+E615*$AC$14+F615*$AC$15+G615*$AC$16+H615*$AC$17+I615*$AC$18+J615*$AC$19+K615*$AC$20+L615*$AC$21+M615*$AC$22+N615*$AC$23+O615*$AC$24+P615*$AC$25+Q615*$AC$26+R615*$AC$27+S615*$AC$28+T615*$AC$29+U615*$AC$30</f>
        <v/>
      </c>
      <c r="W615" s="8">
        <f>1/(1+EXP(-V615))</f>
        <v/>
      </c>
      <c r="X615" s="9">
        <f>-IF(C615=1,LN(W615),LN(1-W615))</f>
        <v/>
      </c>
      <c r="Y615" s="10">
        <f>IF(W615&gt;$AC$33,1,0)</f>
        <v/>
      </c>
      <c r="Z615">
        <f>IF(Y615=C615,1,0)</f>
        <v/>
      </c>
    </row>
    <row r="616">
      <c r="A616">
        <f>'1 prepared data'!A609</f>
        <v/>
      </c>
      <c r="B616" s="5">
        <f>'1 prepared data'!U609</f>
        <v/>
      </c>
      <c r="C616">
        <f>'1 prepared data'!B609</f>
        <v/>
      </c>
      <c r="D616" s="7">
        <f>'1 prepared data'!C609</f>
        <v/>
      </c>
      <c r="E616" s="7">
        <f>'1 prepared data'!D609</f>
        <v/>
      </c>
      <c r="F616" s="7">
        <f>'1 prepared data'!E609</f>
        <v/>
      </c>
      <c r="G616" s="7">
        <f>'1 prepared data'!F609</f>
        <v/>
      </c>
      <c r="H616" s="7">
        <f>'1 prepared data'!G609</f>
        <v/>
      </c>
      <c r="I616" s="7">
        <f>'1 prepared data'!H609</f>
        <v/>
      </c>
      <c r="J616" s="7">
        <f>'1 prepared data'!I609</f>
        <v/>
      </c>
      <c r="K616" s="7">
        <f>'1 prepared data'!J609</f>
        <v/>
      </c>
      <c r="L616" s="7">
        <f>'1 prepared data'!K609</f>
        <v/>
      </c>
      <c r="M616" s="7">
        <f>'1 prepared data'!L609</f>
        <v/>
      </c>
      <c r="N616" s="7">
        <f>'1 prepared data'!M609</f>
        <v/>
      </c>
      <c r="O616" s="7">
        <f>'1 prepared data'!N609</f>
        <v/>
      </c>
      <c r="P616" s="7">
        <f>'1 prepared data'!O609</f>
        <v/>
      </c>
      <c r="Q616" s="7">
        <f>'1 prepared data'!P609</f>
        <v/>
      </c>
      <c r="R616" s="7">
        <f>'1 prepared data'!Q609</f>
        <v/>
      </c>
      <c r="S616" s="7">
        <f>'1 prepared data'!R609</f>
        <v/>
      </c>
      <c r="T616" s="7">
        <f>'1 prepared data'!S609</f>
        <v/>
      </c>
      <c r="U616" s="7">
        <f>'1 prepared data'!T609</f>
        <v/>
      </c>
      <c r="V616" s="8">
        <f>$AC$12+D616*$AC$13+E616*$AC$14+F616*$AC$15+G616*$AC$16+H616*$AC$17+I616*$AC$18+J616*$AC$19+K616*$AC$20+L616*$AC$21+M616*$AC$22+N616*$AC$23+O616*$AC$24+P616*$AC$25+Q616*$AC$26+R616*$AC$27+S616*$AC$28+T616*$AC$29+U616*$AC$30</f>
        <v/>
      </c>
      <c r="W616" s="8">
        <f>1/(1+EXP(-V616))</f>
        <v/>
      </c>
      <c r="X616" s="9">
        <f>-IF(C616=1,LN(W616),LN(1-W616))</f>
        <v/>
      </c>
      <c r="Y616" s="10">
        <f>IF(W616&gt;$AC$33,1,0)</f>
        <v/>
      </c>
      <c r="Z616">
        <f>IF(Y616=C616,1,0)</f>
        <v/>
      </c>
    </row>
    <row r="617">
      <c r="A617">
        <f>'1 prepared data'!A610</f>
        <v/>
      </c>
      <c r="B617" s="5">
        <f>'1 prepared data'!U610</f>
        <v/>
      </c>
      <c r="C617">
        <f>'1 prepared data'!B610</f>
        <v/>
      </c>
      <c r="D617" s="7">
        <f>'1 prepared data'!C610</f>
        <v/>
      </c>
      <c r="E617" s="7">
        <f>'1 prepared data'!D610</f>
        <v/>
      </c>
      <c r="F617" s="7">
        <f>'1 prepared data'!E610</f>
        <v/>
      </c>
      <c r="G617" s="7">
        <f>'1 prepared data'!F610</f>
        <v/>
      </c>
      <c r="H617" s="7">
        <f>'1 prepared data'!G610</f>
        <v/>
      </c>
      <c r="I617" s="7">
        <f>'1 prepared data'!H610</f>
        <v/>
      </c>
      <c r="J617" s="7">
        <f>'1 prepared data'!I610</f>
        <v/>
      </c>
      <c r="K617" s="7">
        <f>'1 prepared data'!J610</f>
        <v/>
      </c>
      <c r="L617" s="7">
        <f>'1 prepared data'!K610</f>
        <v/>
      </c>
      <c r="M617" s="7">
        <f>'1 prepared data'!L610</f>
        <v/>
      </c>
      <c r="N617" s="7">
        <f>'1 prepared data'!M610</f>
        <v/>
      </c>
      <c r="O617" s="7">
        <f>'1 prepared data'!N610</f>
        <v/>
      </c>
      <c r="P617" s="7">
        <f>'1 prepared data'!O610</f>
        <v/>
      </c>
      <c r="Q617" s="7">
        <f>'1 prepared data'!P610</f>
        <v/>
      </c>
      <c r="R617" s="7">
        <f>'1 prepared data'!Q610</f>
        <v/>
      </c>
      <c r="S617" s="7">
        <f>'1 prepared data'!R610</f>
        <v/>
      </c>
      <c r="T617" s="7">
        <f>'1 prepared data'!S610</f>
        <v/>
      </c>
      <c r="U617" s="7">
        <f>'1 prepared data'!T610</f>
        <v/>
      </c>
      <c r="V617" s="8">
        <f>$AC$12+D617*$AC$13+E617*$AC$14+F617*$AC$15+G617*$AC$16+H617*$AC$17+I617*$AC$18+J617*$AC$19+K617*$AC$20+L617*$AC$21+M617*$AC$22+N617*$AC$23+O617*$AC$24+P617*$AC$25+Q617*$AC$26+R617*$AC$27+S617*$AC$28+T617*$AC$29+U617*$AC$30</f>
        <v/>
      </c>
      <c r="W617" s="8">
        <f>1/(1+EXP(-V617))</f>
        <v/>
      </c>
      <c r="X617" s="9">
        <f>-IF(C617=1,LN(W617),LN(1-W617))</f>
        <v/>
      </c>
      <c r="Y617" s="10">
        <f>IF(W617&gt;$AC$33,1,0)</f>
        <v/>
      </c>
      <c r="Z617">
        <f>IF(Y617=C617,1,0)</f>
        <v/>
      </c>
    </row>
    <row r="618">
      <c r="A618">
        <f>'1 prepared data'!A611</f>
        <v/>
      </c>
      <c r="B618" s="5">
        <f>'1 prepared data'!U611</f>
        <v/>
      </c>
      <c r="C618">
        <f>'1 prepared data'!B611</f>
        <v/>
      </c>
      <c r="D618" s="7">
        <f>'1 prepared data'!C611</f>
        <v/>
      </c>
      <c r="E618" s="7">
        <f>'1 prepared data'!D611</f>
        <v/>
      </c>
      <c r="F618" s="7">
        <f>'1 prepared data'!E611</f>
        <v/>
      </c>
      <c r="G618" s="7">
        <f>'1 prepared data'!F611</f>
        <v/>
      </c>
      <c r="H618" s="7">
        <f>'1 prepared data'!G611</f>
        <v/>
      </c>
      <c r="I618" s="7">
        <f>'1 prepared data'!H611</f>
        <v/>
      </c>
      <c r="J618" s="7">
        <f>'1 prepared data'!I611</f>
        <v/>
      </c>
      <c r="K618" s="7">
        <f>'1 prepared data'!J611</f>
        <v/>
      </c>
      <c r="L618" s="7">
        <f>'1 prepared data'!K611</f>
        <v/>
      </c>
      <c r="M618" s="7">
        <f>'1 prepared data'!L611</f>
        <v/>
      </c>
      <c r="N618" s="7">
        <f>'1 prepared data'!M611</f>
        <v/>
      </c>
      <c r="O618" s="7">
        <f>'1 prepared data'!N611</f>
        <v/>
      </c>
      <c r="P618" s="7">
        <f>'1 prepared data'!O611</f>
        <v/>
      </c>
      <c r="Q618" s="7">
        <f>'1 prepared data'!P611</f>
        <v/>
      </c>
      <c r="R618" s="7">
        <f>'1 prepared data'!Q611</f>
        <v/>
      </c>
      <c r="S618" s="7">
        <f>'1 prepared data'!R611</f>
        <v/>
      </c>
      <c r="T618" s="7">
        <f>'1 prepared data'!S611</f>
        <v/>
      </c>
      <c r="U618" s="7">
        <f>'1 prepared data'!T611</f>
        <v/>
      </c>
      <c r="V618" s="8">
        <f>$AC$12+D618*$AC$13+E618*$AC$14+F618*$AC$15+G618*$AC$16+H618*$AC$17+I618*$AC$18+J618*$AC$19+K618*$AC$20+L618*$AC$21+M618*$AC$22+N618*$AC$23+O618*$AC$24+P618*$AC$25+Q618*$AC$26+R618*$AC$27+S618*$AC$28+T618*$AC$29+U618*$AC$30</f>
        <v/>
      </c>
      <c r="W618" s="8">
        <f>1/(1+EXP(-V618))</f>
        <v/>
      </c>
      <c r="X618" s="9">
        <f>-IF(C618=1,LN(W618),LN(1-W618))</f>
        <v/>
      </c>
      <c r="Y618" s="10">
        <f>IF(W618&gt;$AC$33,1,0)</f>
        <v/>
      </c>
      <c r="Z618">
        <f>IF(Y618=C618,1,0)</f>
        <v/>
      </c>
    </row>
    <row r="619">
      <c r="A619">
        <f>'1 prepared data'!A612</f>
        <v/>
      </c>
      <c r="B619" s="5">
        <f>'1 prepared data'!U612</f>
        <v/>
      </c>
      <c r="C619">
        <f>'1 prepared data'!B612</f>
        <v/>
      </c>
      <c r="D619" s="7">
        <f>'1 prepared data'!C612</f>
        <v/>
      </c>
      <c r="E619" s="7">
        <f>'1 prepared data'!D612</f>
        <v/>
      </c>
      <c r="F619" s="7">
        <f>'1 prepared data'!E612</f>
        <v/>
      </c>
      <c r="G619" s="7">
        <f>'1 prepared data'!F612</f>
        <v/>
      </c>
      <c r="H619" s="7">
        <f>'1 prepared data'!G612</f>
        <v/>
      </c>
      <c r="I619" s="7">
        <f>'1 prepared data'!H612</f>
        <v/>
      </c>
      <c r="J619" s="7">
        <f>'1 prepared data'!I612</f>
        <v/>
      </c>
      <c r="K619" s="7">
        <f>'1 prepared data'!J612</f>
        <v/>
      </c>
      <c r="L619" s="7">
        <f>'1 prepared data'!K612</f>
        <v/>
      </c>
      <c r="M619" s="7">
        <f>'1 prepared data'!L612</f>
        <v/>
      </c>
      <c r="N619" s="7">
        <f>'1 prepared data'!M612</f>
        <v/>
      </c>
      <c r="O619" s="7">
        <f>'1 prepared data'!N612</f>
        <v/>
      </c>
      <c r="P619" s="7">
        <f>'1 prepared data'!O612</f>
        <v/>
      </c>
      <c r="Q619" s="7">
        <f>'1 prepared data'!P612</f>
        <v/>
      </c>
      <c r="R619" s="7">
        <f>'1 prepared data'!Q612</f>
        <v/>
      </c>
      <c r="S619" s="7">
        <f>'1 prepared data'!R612</f>
        <v/>
      </c>
      <c r="T619" s="7">
        <f>'1 prepared data'!S612</f>
        <v/>
      </c>
      <c r="U619" s="7">
        <f>'1 prepared data'!T612</f>
        <v/>
      </c>
      <c r="V619" s="8">
        <f>$AC$12+D619*$AC$13+E619*$AC$14+F619*$AC$15+G619*$AC$16+H619*$AC$17+I619*$AC$18+J619*$AC$19+K619*$AC$20+L619*$AC$21+M619*$AC$22+N619*$AC$23+O619*$AC$24+P619*$AC$25+Q619*$AC$26+R619*$AC$27+S619*$AC$28+T619*$AC$29+U619*$AC$30</f>
        <v/>
      </c>
      <c r="W619" s="8">
        <f>1/(1+EXP(-V619))</f>
        <v/>
      </c>
      <c r="X619" s="9">
        <f>-IF(C619=1,LN(W619),LN(1-W619))</f>
        <v/>
      </c>
      <c r="Y619" s="10">
        <f>IF(W619&gt;$AC$33,1,0)</f>
        <v/>
      </c>
      <c r="Z619">
        <f>IF(Y619=C619,1,0)</f>
        <v/>
      </c>
    </row>
    <row r="620">
      <c r="A620">
        <f>'1 prepared data'!A613</f>
        <v/>
      </c>
      <c r="B620" s="5">
        <f>'1 prepared data'!U613</f>
        <v/>
      </c>
      <c r="C620">
        <f>'1 prepared data'!B613</f>
        <v/>
      </c>
      <c r="D620" s="7">
        <f>'1 prepared data'!C613</f>
        <v/>
      </c>
      <c r="E620" s="7">
        <f>'1 prepared data'!D613</f>
        <v/>
      </c>
      <c r="F620" s="7">
        <f>'1 prepared data'!E613</f>
        <v/>
      </c>
      <c r="G620" s="7">
        <f>'1 prepared data'!F613</f>
        <v/>
      </c>
      <c r="H620" s="7">
        <f>'1 prepared data'!G613</f>
        <v/>
      </c>
      <c r="I620" s="7">
        <f>'1 prepared data'!H613</f>
        <v/>
      </c>
      <c r="J620" s="7">
        <f>'1 prepared data'!I613</f>
        <v/>
      </c>
      <c r="K620" s="7">
        <f>'1 prepared data'!J613</f>
        <v/>
      </c>
      <c r="L620" s="7">
        <f>'1 prepared data'!K613</f>
        <v/>
      </c>
      <c r="M620" s="7">
        <f>'1 prepared data'!L613</f>
        <v/>
      </c>
      <c r="N620" s="7">
        <f>'1 prepared data'!M613</f>
        <v/>
      </c>
      <c r="O620" s="7">
        <f>'1 prepared data'!N613</f>
        <v/>
      </c>
      <c r="P620" s="7">
        <f>'1 prepared data'!O613</f>
        <v/>
      </c>
      <c r="Q620" s="7">
        <f>'1 prepared data'!P613</f>
        <v/>
      </c>
      <c r="R620" s="7">
        <f>'1 prepared data'!Q613</f>
        <v/>
      </c>
      <c r="S620" s="7">
        <f>'1 prepared data'!R613</f>
        <v/>
      </c>
      <c r="T620" s="7">
        <f>'1 prepared data'!S613</f>
        <v/>
      </c>
      <c r="U620" s="7">
        <f>'1 prepared data'!T613</f>
        <v/>
      </c>
      <c r="V620" s="8">
        <f>$AC$12+D620*$AC$13+E620*$AC$14+F620*$AC$15+G620*$AC$16+H620*$AC$17+I620*$AC$18+J620*$AC$19+K620*$AC$20+L620*$AC$21+M620*$AC$22+N620*$AC$23+O620*$AC$24+P620*$AC$25+Q620*$AC$26+R620*$AC$27+S620*$AC$28+T620*$AC$29+U620*$AC$30</f>
        <v/>
      </c>
      <c r="W620" s="8">
        <f>1/(1+EXP(-V620))</f>
        <v/>
      </c>
      <c r="X620" s="9">
        <f>-IF(C620=1,LN(W620),LN(1-W620))</f>
        <v/>
      </c>
      <c r="Y620" s="10">
        <f>IF(W620&gt;$AC$33,1,0)</f>
        <v/>
      </c>
      <c r="Z620">
        <f>IF(Y620=C620,1,0)</f>
        <v/>
      </c>
    </row>
    <row r="621">
      <c r="A621">
        <f>'1 prepared data'!A614</f>
        <v/>
      </c>
      <c r="B621" s="5">
        <f>'1 prepared data'!U614</f>
        <v/>
      </c>
      <c r="C621">
        <f>'1 prepared data'!B614</f>
        <v/>
      </c>
      <c r="D621" s="7">
        <f>'1 prepared data'!C614</f>
        <v/>
      </c>
      <c r="E621" s="7">
        <f>'1 prepared data'!D614</f>
        <v/>
      </c>
      <c r="F621" s="7">
        <f>'1 prepared data'!E614</f>
        <v/>
      </c>
      <c r="G621" s="7">
        <f>'1 prepared data'!F614</f>
        <v/>
      </c>
      <c r="H621" s="7">
        <f>'1 prepared data'!G614</f>
        <v/>
      </c>
      <c r="I621" s="7">
        <f>'1 prepared data'!H614</f>
        <v/>
      </c>
      <c r="J621" s="7">
        <f>'1 prepared data'!I614</f>
        <v/>
      </c>
      <c r="K621" s="7">
        <f>'1 prepared data'!J614</f>
        <v/>
      </c>
      <c r="L621" s="7">
        <f>'1 prepared data'!K614</f>
        <v/>
      </c>
      <c r="M621" s="7">
        <f>'1 prepared data'!L614</f>
        <v/>
      </c>
      <c r="N621" s="7">
        <f>'1 prepared data'!M614</f>
        <v/>
      </c>
      <c r="O621" s="7">
        <f>'1 prepared data'!N614</f>
        <v/>
      </c>
      <c r="P621" s="7">
        <f>'1 prepared data'!O614</f>
        <v/>
      </c>
      <c r="Q621" s="7">
        <f>'1 prepared data'!P614</f>
        <v/>
      </c>
      <c r="R621" s="7">
        <f>'1 prepared data'!Q614</f>
        <v/>
      </c>
      <c r="S621" s="7">
        <f>'1 prepared data'!R614</f>
        <v/>
      </c>
      <c r="T621" s="7">
        <f>'1 prepared data'!S614</f>
        <v/>
      </c>
      <c r="U621" s="7">
        <f>'1 prepared data'!T614</f>
        <v/>
      </c>
      <c r="V621" s="8">
        <f>$AC$12+D621*$AC$13+E621*$AC$14+F621*$AC$15+G621*$AC$16+H621*$AC$17+I621*$AC$18+J621*$AC$19+K621*$AC$20+L621*$AC$21+M621*$AC$22+N621*$AC$23+O621*$AC$24+P621*$AC$25+Q621*$AC$26+R621*$AC$27+S621*$AC$28+T621*$AC$29+U621*$AC$30</f>
        <v/>
      </c>
      <c r="W621" s="8">
        <f>1/(1+EXP(-V621))</f>
        <v/>
      </c>
      <c r="X621" s="9">
        <f>-IF(C621=1,LN(W621),LN(1-W621))</f>
        <v/>
      </c>
      <c r="Y621" s="10">
        <f>IF(W621&gt;$AC$33,1,0)</f>
        <v/>
      </c>
      <c r="Z621">
        <f>IF(Y621=C621,1,0)</f>
        <v/>
      </c>
    </row>
    <row r="622">
      <c r="A622">
        <f>'1 prepared data'!A615</f>
        <v/>
      </c>
      <c r="B622" s="5">
        <f>'1 prepared data'!U615</f>
        <v/>
      </c>
      <c r="C622">
        <f>'1 prepared data'!B615</f>
        <v/>
      </c>
      <c r="D622" s="7">
        <f>'1 prepared data'!C615</f>
        <v/>
      </c>
      <c r="E622" s="7">
        <f>'1 prepared data'!D615</f>
        <v/>
      </c>
      <c r="F622" s="7">
        <f>'1 prepared data'!E615</f>
        <v/>
      </c>
      <c r="G622" s="7">
        <f>'1 prepared data'!F615</f>
        <v/>
      </c>
      <c r="H622" s="7">
        <f>'1 prepared data'!G615</f>
        <v/>
      </c>
      <c r="I622" s="7">
        <f>'1 prepared data'!H615</f>
        <v/>
      </c>
      <c r="J622" s="7">
        <f>'1 prepared data'!I615</f>
        <v/>
      </c>
      <c r="K622" s="7">
        <f>'1 prepared data'!J615</f>
        <v/>
      </c>
      <c r="L622" s="7">
        <f>'1 prepared data'!K615</f>
        <v/>
      </c>
      <c r="M622" s="7">
        <f>'1 prepared data'!L615</f>
        <v/>
      </c>
      <c r="N622" s="7">
        <f>'1 prepared data'!M615</f>
        <v/>
      </c>
      <c r="O622" s="7">
        <f>'1 prepared data'!N615</f>
        <v/>
      </c>
      <c r="P622" s="7">
        <f>'1 prepared data'!O615</f>
        <v/>
      </c>
      <c r="Q622" s="7">
        <f>'1 prepared data'!P615</f>
        <v/>
      </c>
      <c r="R622" s="7">
        <f>'1 prepared data'!Q615</f>
        <v/>
      </c>
      <c r="S622" s="7">
        <f>'1 prepared data'!R615</f>
        <v/>
      </c>
      <c r="T622" s="7">
        <f>'1 prepared data'!S615</f>
        <v/>
      </c>
      <c r="U622" s="7">
        <f>'1 prepared data'!T615</f>
        <v/>
      </c>
      <c r="V622" s="8">
        <f>$AC$12+D622*$AC$13+E622*$AC$14+F622*$AC$15+G622*$AC$16+H622*$AC$17+I622*$AC$18+J622*$AC$19+K622*$AC$20+L622*$AC$21+M622*$AC$22+N622*$AC$23+O622*$AC$24+P622*$AC$25+Q622*$AC$26+R622*$AC$27+S622*$AC$28+T622*$AC$29+U622*$AC$30</f>
        <v/>
      </c>
      <c r="W622" s="8">
        <f>1/(1+EXP(-V622))</f>
        <v/>
      </c>
      <c r="X622" s="9">
        <f>-IF(C622=1,LN(W622),LN(1-W622))</f>
        <v/>
      </c>
      <c r="Y622" s="10">
        <f>IF(W622&gt;$AC$33,1,0)</f>
        <v/>
      </c>
      <c r="Z622">
        <f>IF(Y622=C622,1,0)</f>
        <v/>
      </c>
    </row>
    <row r="623">
      <c r="A623">
        <f>'1 prepared data'!A616</f>
        <v/>
      </c>
      <c r="B623" s="5">
        <f>'1 prepared data'!U616</f>
        <v/>
      </c>
      <c r="C623">
        <f>'1 prepared data'!B616</f>
        <v/>
      </c>
      <c r="D623" s="7">
        <f>'1 prepared data'!C616</f>
        <v/>
      </c>
      <c r="E623" s="7">
        <f>'1 prepared data'!D616</f>
        <v/>
      </c>
      <c r="F623" s="7">
        <f>'1 prepared data'!E616</f>
        <v/>
      </c>
      <c r="G623" s="7">
        <f>'1 prepared data'!F616</f>
        <v/>
      </c>
      <c r="H623" s="7">
        <f>'1 prepared data'!G616</f>
        <v/>
      </c>
      <c r="I623" s="7">
        <f>'1 prepared data'!H616</f>
        <v/>
      </c>
      <c r="J623" s="7">
        <f>'1 prepared data'!I616</f>
        <v/>
      </c>
      <c r="K623" s="7">
        <f>'1 prepared data'!J616</f>
        <v/>
      </c>
      <c r="L623" s="7">
        <f>'1 prepared data'!K616</f>
        <v/>
      </c>
      <c r="M623" s="7">
        <f>'1 prepared data'!L616</f>
        <v/>
      </c>
      <c r="N623" s="7">
        <f>'1 prepared data'!M616</f>
        <v/>
      </c>
      <c r="O623" s="7">
        <f>'1 prepared data'!N616</f>
        <v/>
      </c>
      <c r="P623" s="7">
        <f>'1 prepared data'!O616</f>
        <v/>
      </c>
      <c r="Q623" s="7">
        <f>'1 prepared data'!P616</f>
        <v/>
      </c>
      <c r="R623" s="7">
        <f>'1 prepared data'!Q616</f>
        <v/>
      </c>
      <c r="S623" s="7">
        <f>'1 prepared data'!R616</f>
        <v/>
      </c>
      <c r="T623" s="7">
        <f>'1 prepared data'!S616</f>
        <v/>
      </c>
      <c r="U623" s="7">
        <f>'1 prepared data'!T616</f>
        <v/>
      </c>
      <c r="V623" s="8">
        <f>$AC$12+D623*$AC$13+E623*$AC$14+F623*$AC$15+G623*$AC$16+H623*$AC$17+I623*$AC$18+J623*$AC$19+K623*$AC$20+L623*$AC$21+M623*$AC$22+N623*$AC$23+O623*$AC$24+P623*$AC$25+Q623*$AC$26+R623*$AC$27+S623*$AC$28+T623*$AC$29+U623*$AC$30</f>
        <v/>
      </c>
      <c r="W623" s="8">
        <f>1/(1+EXP(-V623))</f>
        <v/>
      </c>
      <c r="X623" s="9">
        <f>-IF(C623=1,LN(W623),LN(1-W623))</f>
        <v/>
      </c>
      <c r="Y623" s="10">
        <f>IF(W623&gt;$AC$33,1,0)</f>
        <v/>
      </c>
      <c r="Z623">
        <f>IF(Y623=C623,1,0)</f>
        <v/>
      </c>
    </row>
    <row r="624">
      <c r="A624">
        <f>'1 prepared data'!A617</f>
        <v/>
      </c>
      <c r="B624" s="5">
        <f>'1 prepared data'!U617</f>
        <v/>
      </c>
      <c r="C624">
        <f>'1 prepared data'!B617</f>
        <v/>
      </c>
      <c r="D624" s="7">
        <f>'1 prepared data'!C617</f>
        <v/>
      </c>
      <c r="E624" s="7">
        <f>'1 prepared data'!D617</f>
        <v/>
      </c>
      <c r="F624" s="7">
        <f>'1 prepared data'!E617</f>
        <v/>
      </c>
      <c r="G624" s="7">
        <f>'1 prepared data'!F617</f>
        <v/>
      </c>
      <c r="H624" s="7">
        <f>'1 prepared data'!G617</f>
        <v/>
      </c>
      <c r="I624" s="7">
        <f>'1 prepared data'!H617</f>
        <v/>
      </c>
      <c r="J624" s="7">
        <f>'1 prepared data'!I617</f>
        <v/>
      </c>
      <c r="K624" s="7">
        <f>'1 prepared data'!J617</f>
        <v/>
      </c>
      <c r="L624" s="7">
        <f>'1 prepared data'!K617</f>
        <v/>
      </c>
      <c r="M624" s="7">
        <f>'1 prepared data'!L617</f>
        <v/>
      </c>
      <c r="N624" s="7">
        <f>'1 prepared data'!M617</f>
        <v/>
      </c>
      <c r="O624" s="7">
        <f>'1 prepared data'!N617</f>
        <v/>
      </c>
      <c r="P624" s="7">
        <f>'1 prepared data'!O617</f>
        <v/>
      </c>
      <c r="Q624" s="7">
        <f>'1 prepared data'!P617</f>
        <v/>
      </c>
      <c r="R624" s="7">
        <f>'1 prepared data'!Q617</f>
        <v/>
      </c>
      <c r="S624" s="7">
        <f>'1 prepared data'!R617</f>
        <v/>
      </c>
      <c r="T624" s="7">
        <f>'1 prepared data'!S617</f>
        <v/>
      </c>
      <c r="U624" s="7">
        <f>'1 prepared data'!T617</f>
        <v/>
      </c>
      <c r="V624" s="8">
        <f>$AC$12+D624*$AC$13+E624*$AC$14+F624*$AC$15+G624*$AC$16+H624*$AC$17+I624*$AC$18+J624*$AC$19+K624*$AC$20+L624*$AC$21+M624*$AC$22+N624*$AC$23+O624*$AC$24+P624*$AC$25+Q624*$AC$26+R624*$AC$27+S624*$AC$28+T624*$AC$29+U624*$AC$30</f>
        <v/>
      </c>
      <c r="W624" s="8">
        <f>1/(1+EXP(-V624))</f>
        <v/>
      </c>
      <c r="X624" s="9">
        <f>-IF(C624=1,LN(W624),LN(1-W624))</f>
        <v/>
      </c>
      <c r="Y624" s="10">
        <f>IF(W624&gt;$AC$33,1,0)</f>
        <v/>
      </c>
      <c r="Z624">
        <f>IF(Y624=C624,1,0)</f>
        <v/>
      </c>
    </row>
    <row r="625">
      <c r="A625">
        <f>'1 prepared data'!A618</f>
        <v/>
      </c>
      <c r="B625" s="5">
        <f>'1 prepared data'!U618</f>
        <v/>
      </c>
      <c r="C625">
        <f>'1 prepared data'!B618</f>
        <v/>
      </c>
      <c r="D625" s="7">
        <f>'1 prepared data'!C618</f>
        <v/>
      </c>
      <c r="E625" s="7">
        <f>'1 prepared data'!D618</f>
        <v/>
      </c>
      <c r="F625" s="7">
        <f>'1 prepared data'!E618</f>
        <v/>
      </c>
      <c r="G625" s="7">
        <f>'1 prepared data'!F618</f>
        <v/>
      </c>
      <c r="H625" s="7">
        <f>'1 prepared data'!G618</f>
        <v/>
      </c>
      <c r="I625" s="7">
        <f>'1 prepared data'!H618</f>
        <v/>
      </c>
      <c r="J625" s="7">
        <f>'1 prepared data'!I618</f>
        <v/>
      </c>
      <c r="K625" s="7">
        <f>'1 prepared data'!J618</f>
        <v/>
      </c>
      <c r="L625" s="7">
        <f>'1 prepared data'!K618</f>
        <v/>
      </c>
      <c r="M625" s="7">
        <f>'1 prepared data'!L618</f>
        <v/>
      </c>
      <c r="N625" s="7">
        <f>'1 prepared data'!M618</f>
        <v/>
      </c>
      <c r="O625" s="7">
        <f>'1 prepared data'!N618</f>
        <v/>
      </c>
      <c r="P625" s="7">
        <f>'1 prepared data'!O618</f>
        <v/>
      </c>
      <c r="Q625" s="7">
        <f>'1 prepared data'!P618</f>
        <v/>
      </c>
      <c r="R625" s="7">
        <f>'1 prepared data'!Q618</f>
        <v/>
      </c>
      <c r="S625" s="7">
        <f>'1 prepared data'!R618</f>
        <v/>
      </c>
      <c r="T625" s="7">
        <f>'1 prepared data'!S618</f>
        <v/>
      </c>
      <c r="U625" s="7">
        <f>'1 prepared data'!T618</f>
        <v/>
      </c>
      <c r="V625" s="8">
        <f>$AC$12+D625*$AC$13+E625*$AC$14+F625*$AC$15+G625*$AC$16+H625*$AC$17+I625*$AC$18+J625*$AC$19+K625*$AC$20+L625*$AC$21+M625*$AC$22+N625*$AC$23+O625*$AC$24+P625*$AC$25+Q625*$AC$26+R625*$AC$27+S625*$AC$28+T625*$AC$29+U625*$AC$30</f>
        <v/>
      </c>
      <c r="W625" s="8">
        <f>1/(1+EXP(-V625))</f>
        <v/>
      </c>
      <c r="X625" s="9">
        <f>-IF(C625=1,LN(W625),LN(1-W625))</f>
        <v/>
      </c>
      <c r="Y625" s="10">
        <f>IF(W625&gt;$AC$33,1,0)</f>
        <v/>
      </c>
      <c r="Z625">
        <f>IF(Y625=C625,1,0)</f>
        <v/>
      </c>
    </row>
    <row r="626">
      <c r="A626">
        <f>'1 prepared data'!A619</f>
        <v/>
      </c>
      <c r="B626" s="5">
        <f>'1 prepared data'!U619</f>
        <v/>
      </c>
      <c r="C626">
        <f>'1 prepared data'!B619</f>
        <v/>
      </c>
      <c r="D626" s="7">
        <f>'1 prepared data'!C619</f>
        <v/>
      </c>
      <c r="E626" s="7">
        <f>'1 prepared data'!D619</f>
        <v/>
      </c>
      <c r="F626" s="7">
        <f>'1 prepared data'!E619</f>
        <v/>
      </c>
      <c r="G626" s="7">
        <f>'1 prepared data'!F619</f>
        <v/>
      </c>
      <c r="H626" s="7">
        <f>'1 prepared data'!G619</f>
        <v/>
      </c>
      <c r="I626" s="7">
        <f>'1 prepared data'!H619</f>
        <v/>
      </c>
      <c r="J626" s="7">
        <f>'1 prepared data'!I619</f>
        <v/>
      </c>
      <c r="K626" s="7">
        <f>'1 prepared data'!J619</f>
        <v/>
      </c>
      <c r="L626" s="7">
        <f>'1 prepared data'!K619</f>
        <v/>
      </c>
      <c r="M626" s="7">
        <f>'1 prepared data'!L619</f>
        <v/>
      </c>
      <c r="N626" s="7">
        <f>'1 prepared data'!M619</f>
        <v/>
      </c>
      <c r="O626" s="7">
        <f>'1 prepared data'!N619</f>
        <v/>
      </c>
      <c r="P626" s="7">
        <f>'1 prepared data'!O619</f>
        <v/>
      </c>
      <c r="Q626" s="7">
        <f>'1 prepared data'!P619</f>
        <v/>
      </c>
      <c r="R626" s="7">
        <f>'1 prepared data'!Q619</f>
        <v/>
      </c>
      <c r="S626" s="7">
        <f>'1 prepared data'!R619</f>
        <v/>
      </c>
      <c r="T626" s="7">
        <f>'1 prepared data'!S619</f>
        <v/>
      </c>
      <c r="U626" s="7">
        <f>'1 prepared data'!T619</f>
        <v/>
      </c>
      <c r="V626" s="8">
        <f>$AC$12+D626*$AC$13+E626*$AC$14+F626*$AC$15+G626*$AC$16+H626*$AC$17+I626*$AC$18+J626*$AC$19+K626*$AC$20+L626*$AC$21+M626*$AC$22+N626*$AC$23+O626*$AC$24+P626*$AC$25+Q626*$AC$26+R626*$AC$27+S626*$AC$28+T626*$AC$29+U626*$AC$30</f>
        <v/>
      </c>
      <c r="W626" s="8">
        <f>1/(1+EXP(-V626))</f>
        <v/>
      </c>
      <c r="X626" s="9">
        <f>-IF(C626=1,LN(W626),LN(1-W626))</f>
        <v/>
      </c>
      <c r="Y626" s="10">
        <f>IF(W626&gt;$AC$33,1,0)</f>
        <v/>
      </c>
      <c r="Z626">
        <f>IF(Y626=C626,1,0)</f>
        <v/>
      </c>
    </row>
    <row r="627">
      <c r="A627">
        <f>'1 prepared data'!A620</f>
        <v/>
      </c>
      <c r="B627" s="5">
        <f>'1 prepared data'!U620</f>
        <v/>
      </c>
      <c r="C627">
        <f>'1 prepared data'!B620</f>
        <v/>
      </c>
      <c r="D627" s="7">
        <f>'1 prepared data'!C620</f>
        <v/>
      </c>
      <c r="E627" s="7">
        <f>'1 prepared data'!D620</f>
        <v/>
      </c>
      <c r="F627" s="7">
        <f>'1 prepared data'!E620</f>
        <v/>
      </c>
      <c r="G627" s="7">
        <f>'1 prepared data'!F620</f>
        <v/>
      </c>
      <c r="H627" s="7">
        <f>'1 prepared data'!G620</f>
        <v/>
      </c>
      <c r="I627" s="7">
        <f>'1 prepared data'!H620</f>
        <v/>
      </c>
      <c r="J627" s="7">
        <f>'1 prepared data'!I620</f>
        <v/>
      </c>
      <c r="K627" s="7">
        <f>'1 prepared data'!J620</f>
        <v/>
      </c>
      <c r="L627" s="7">
        <f>'1 prepared data'!K620</f>
        <v/>
      </c>
      <c r="M627" s="7">
        <f>'1 prepared data'!L620</f>
        <v/>
      </c>
      <c r="N627" s="7">
        <f>'1 prepared data'!M620</f>
        <v/>
      </c>
      <c r="O627" s="7">
        <f>'1 prepared data'!N620</f>
        <v/>
      </c>
      <c r="P627" s="7">
        <f>'1 prepared data'!O620</f>
        <v/>
      </c>
      <c r="Q627" s="7">
        <f>'1 prepared data'!P620</f>
        <v/>
      </c>
      <c r="R627" s="7">
        <f>'1 prepared data'!Q620</f>
        <v/>
      </c>
      <c r="S627" s="7">
        <f>'1 prepared data'!R620</f>
        <v/>
      </c>
      <c r="T627" s="7">
        <f>'1 prepared data'!S620</f>
        <v/>
      </c>
      <c r="U627" s="7">
        <f>'1 prepared data'!T620</f>
        <v/>
      </c>
      <c r="V627" s="8">
        <f>$AC$12+D627*$AC$13+E627*$AC$14+F627*$AC$15+G627*$AC$16+H627*$AC$17+I627*$AC$18+J627*$AC$19+K627*$AC$20+L627*$AC$21+M627*$AC$22+N627*$AC$23+O627*$AC$24+P627*$AC$25+Q627*$AC$26+R627*$AC$27+S627*$AC$28+T627*$AC$29+U627*$AC$30</f>
        <v/>
      </c>
      <c r="W627" s="8">
        <f>1/(1+EXP(-V627))</f>
        <v/>
      </c>
      <c r="X627" s="9">
        <f>-IF(C627=1,LN(W627),LN(1-W627))</f>
        <v/>
      </c>
      <c r="Y627" s="10">
        <f>IF(W627&gt;$AC$33,1,0)</f>
        <v/>
      </c>
      <c r="Z627">
        <f>IF(Y627=C627,1,0)</f>
        <v/>
      </c>
    </row>
    <row r="628">
      <c r="A628">
        <f>'1 prepared data'!A621</f>
        <v/>
      </c>
      <c r="B628" s="5">
        <f>'1 prepared data'!U621</f>
        <v/>
      </c>
      <c r="C628">
        <f>'1 prepared data'!B621</f>
        <v/>
      </c>
      <c r="D628" s="7">
        <f>'1 prepared data'!C621</f>
        <v/>
      </c>
      <c r="E628" s="7">
        <f>'1 prepared data'!D621</f>
        <v/>
      </c>
      <c r="F628" s="7">
        <f>'1 prepared data'!E621</f>
        <v/>
      </c>
      <c r="G628" s="7">
        <f>'1 prepared data'!F621</f>
        <v/>
      </c>
      <c r="H628" s="7">
        <f>'1 prepared data'!G621</f>
        <v/>
      </c>
      <c r="I628" s="7">
        <f>'1 prepared data'!H621</f>
        <v/>
      </c>
      <c r="J628" s="7">
        <f>'1 prepared data'!I621</f>
        <v/>
      </c>
      <c r="K628" s="7">
        <f>'1 prepared data'!J621</f>
        <v/>
      </c>
      <c r="L628" s="7">
        <f>'1 prepared data'!K621</f>
        <v/>
      </c>
      <c r="M628" s="7">
        <f>'1 prepared data'!L621</f>
        <v/>
      </c>
      <c r="N628" s="7">
        <f>'1 prepared data'!M621</f>
        <v/>
      </c>
      <c r="O628" s="7">
        <f>'1 prepared data'!N621</f>
        <v/>
      </c>
      <c r="P628" s="7">
        <f>'1 prepared data'!O621</f>
        <v/>
      </c>
      <c r="Q628" s="7">
        <f>'1 prepared data'!P621</f>
        <v/>
      </c>
      <c r="R628" s="7">
        <f>'1 prepared data'!Q621</f>
        <v/>
      </c>
      <c r="S628" s="7">
        <f>'1 prepared data'!R621</f>
        <v/>
      </c>
      <c r="T628" s="7">
        <f>'1 prepared data'!S621</f>
        <v/>
      </c>
      <c r="U628" s="7">
        <f>'1 prepared data'!T621</f>
        <v/>
      </c>
      <c r="V628" s="8">
        <f>$AC$12+D628*$AC$13+E628*$AC$14+F628*$AC$15+G628*$AC$16+H628*$AC$17+I628*$AC$18+J628*$AC$19+K628*$AC$20+L628*$AC$21+M628*$AC$22+N628*$AC$23+O628*$AC$24+P628*$AC$25+Q628*$AC$26+R628*$AC$27+S628*$AC$28+T628*$AC$29+U628*$AC$30</f>
        <v/>
      </c>
      <c r="W628" s="8">
        <f>1/(1+EXP(-V628))</f>
        <v/>
      </c>
      <c r="X628" s="9">
        <f>-IF(C628=1,LN(W628),LN(1-W628))</f>
        <v/>
      </c>
      <c r="Y628" s="10">
        <f>IF(W628&gt;$AC$33,1,0)</f>
        <v/>
      </c>
      <c r="Z628">
        <f>IF(Y628=C628,1,0)</f>
        <v/>
      </c>
    </row>
    <row r="629">
      <c r="A629">
        <f>'1 prepared data'!A622</f>
        <v/>
      </c>
      <c r="B629" s="5">
        <f>'1 prepared data'!U622</f>
        <v/>
      </c>
      <c r="C629">
        <f>'1 prepared data'!B622</f>
        <v/>
      </c>
      <c r="D629" s="7">
        <f>'1 prepared data'!C622</f>
        <v/>
      </c>
      <c r="E629" s="7">
        <f>'1 prepared data'!D622</f>
        <v/>
      </c>
      <c r="F629" s="7">
        <f>'1 prepared data'!E622</f>
        <v/>
      </c>
      <c r="G629" s="7">
        <f>'1 prepared data'!F622</f>
        <v/>
      </c>
      <c r="H629" s="7">
        <f>'1 prepared data'!G622</f>
        <v/>
      </c>
      <c r="I629" s="7">
        <f>'1 prepared data'!H622</f>
        <v/>
      </c>
      <c r="J629" s="7">
        <f>'1 prepared data'!I622</f>
        <v/>
      </c>
      <c r="K629" s="7">
        <f>'1 prepared data'!J622</f>
        <v/>
      </c>
      <c r="L629" s="7">
        <f>'1 prepared data'!K622</f>
        <v/>
      </c>
      <c r="M629" s="7">
        <f>'1 prepared data'!L622</f>
        <v/>
      </c>
      <c r="N629" s="7">
        <f>'1 prepared data'!M622</f>
        <v/>
      </c>
      <c r="O629" s="7">
        <f>'1 prepared data'!N622</f>
        <v/>
      </c>
      <c r="P629" s="7">
        <f>'1 prepared data'!O622</f>
        <v/>
      </c>
      <c r="Q629" s="7">
        <f>'1 prepared data'!P622</f>
        <v/>
      </c>
      <c r="R629" s="7">
        <f>'1 prepared data'!Q622</f>
        <v/>
      </c>
      <c r="S629" s="7">
        <f>'1 prepared data'!R622</f>
        <v/>
      </c>
      <c r="T629" s="7">
        <f>'1 prepared data'!S622</f>
        <v/>
      </c>
      <c r="U629" s="7">
        <f>'1 prepared data'!T622</f>
        <v/>
      </c>
      <c r="V629" s="8">
        <f>$AC$12+D629*$AC$13+E629*$AC$14+F629*$AC$15+G629*$AC$16+H629*$AC$17+I629*$AC$18+J629*$AC$19+K629*$AC$20+L629*$AC$21+M629*$AC$22+N629*$AC$23+O629*$AC$24+P629*$AC$25+Q629*$AC$26+R629*$AC$27+S629*$AC$28+T629*$AC$29+U629*$AC$30</f>
        <v/>
      </c>
      <c r="W629" s="8">
        <f>1/(1+EXP(-V629))</f>
        <v/>
      </c>
      <c r="X629" s="9">
        <f>-IF(C629=1,LN(W629),LN(1-W629))</f>
        <v/>
      </c>
      <c r="Y629" s="10">
        <f>IF(W629&gt;$AC$33,1,0)</f>
        <v/>
      </c>
      <c r="Z629">
        <f>IF(Y629=C629,1,0)</f>
        <v/>
      </c>
    </row>
    <row r="630">
      <c r="A630">
        <f>'1 prepared data'!A623</f>
        <v/>
      </c>
      <c r="B630" s="5">
        <f>'1 prepared data'!U623</f>
        <v/>
      </c>
      <c r="C630">
        <f>'1 prepared data'!B623</f>
        <v/>
      </c>
      <c r="D630" s="7">
        <f>'1 prepared data'!C623</f>
        <v/>
      </c>
      <c r="E630" s="7">
        <f>'1 prepared data'!D623</f>
        <v/>
      </c>
      <c r="F630" s="7">
        <f>'1 prepared data'!E623</f>
        <v/>
      </c>
      <c r="G630" s="7">
        <f>'1 prepared data'!F623</f>
        <v/>
      </c>
      <c r="H630" s="7">
        <f>'1 prepared data'!G623</f>
        <v/>
      </c>
      <c r="I630" s="7">
        <f>'1 prepared data'!H623</f>
        <v/>
      </c>
      <c r="J630" s="7">
        <f>'1 prepared data'!I623</f>
        <v/>
      </c>
      <c r="K630" s="7">
        <f>'1 prepared data'!J623</f>
        <v/>
      </c>
      <c r="L630" s="7">
        <f>'1 prepared data'!K623</f>
        <v/>
      </c>
      <c r="M630" s="7">
        <f>'1 prepared data'!L623</f>
        <v/>
      </c>
      <c r="N630" s="7">
        <f>'1 prepared data'!M623</f>
        <v/>
      </c>
      <c r="O630" s="7">
        <f>'1 prepared data'!N623</f>
        <v/>
      </c>
      <c r="P630" s="7">
        <f>'1 prepared data'!O623</f>
        <v/>
      </c>
      <c r="Q630" s="7">
        <f>'1 prepared data'!P623</f>
        <v/>
      </c>
      <c r="R630" s="7">
        <f>'1 prepared data'!Q623</f>
        <v/>
      </c>
      <c r="S630" s="7">
        <f>'1 prepared data'!R623</f>
        <v/>
      </c>
      <c r="T630" s="7">
        <f>'1 prepared data'!S623</f>
        <v/>
      </c>
      <c r="U630" s="7">
        <f>'1 prepared data'!T623</f>
        <v/>
      </c>
      <c r="V630" s="8">
        <f>$AC$12+D630*$AC$13+E630*$AC$14+F630*$AC$15+G630*$AC$16+H630*$AC$17+I630*$AC$18+J630*$AC$19+K630*$AC$20+L630*$AC$21+M630*$AC$22+N630*$AC$23+O630*$AC$24+P630*$AC$25+Q630*$AC$26+R630*$AC$27+S630*$AC$28+T630*$AC$29+U630*$AC$30</f>
        <v/>
      </c>
      <c r="W630" s="8">
        <f>1/(1+EXP(-V630))</f>
        <v/>
      </c>
      <c r="X630" s="9">
        <f>-IF(C630=1,LN(W630),LN(1-W630))</f>
        <v/>
      </c>
      <c r="Y630" s="10">
        <f>IF(W630&gt;$AC$33,1,0)</f>
        <v/>
      </c>
      <c r="Z630">
        <f>IF(Y630=C630,1,0)</f>
        <v/>
      </c>
    </row>
    <row r="631">
      <c r="A631">
        <f>'1 prepared data'!A624</f>
        <v/>
      </c>
      <c r="B631" s="5">
        <f>'1 prepared data'!U624</f>
        <v/>
      </c>
      <c r="C631">
        <f>'1 prepared data'!B624</f>
        <v/>
      </c>
      <c r="D631" s="7">
        <f>'1 prepared data'!C624</f>
        <v/>
      </c>
      <c r="E631" s="7">
        <f>'1 prepared data'!D624</f>
        <v/>
      </c>
      <c r="F631" s="7">
        <f>'1 prepared data'!E624</f>
        <v/>
      </c>
      <c r="G631" s="7">
        <f>'1 prepared data'!F624</f>
        <v/>
      </c>
      <c r="H631" s="7">
        <f>'1 prepared data'!G624</f>
        <v/>
      </c>
      <c r="I631" s="7">
        <f>'1 prepared data'!H624</f>
        <v/>
      </c>
      <c r="J631" s="7">
        <f>'1 prepared data'!I624</f>
        <v/>
      </c>
      <c r="K631" s="7">
        <f>'1 prepared data'!J624</f>
        <v/>
      </c>
      <c r="L631" s="7">
        <f>'1 prepared data'!K624</f>
        <v/>
      </c>
      <c r="M631" s="7">
        <f>'1 prepared data'!L624</f>
        <v/>
      </c>
      <c r="N631" s="7">
        <f>'1 prepared data'!M624</f>
        <v/>
      </c>
      <c r="O631" s="7">
        <f>'1 prepared data'!N624</f>
        <v/>
      </c>
      <c r="P631" s="7">
        <f>'1 prepared data'!O624</f>
        <v/>
      </c>
      <c r="Q631" s="7">
        <f>'1 prepared data'!P624</f>
        <v/>
      </c>
      <c r="R631" s="7">
        <f>'1 prepared data'!Q624</f>
        <v/>
      </c>
      <c r="S631" s="7">
        <f>'1 prepared data'!R624</f>
        <v/>
      </c>
      <c r="T631" s="7">
        <f>'1 prepared data'!S624</f>
        <v/>
      </c>
      <c r="U631" s="7">
        <f>'1 prepared data'!T624</f>
        <v/>
      </c>
      <c r="V631" s="8">
        <f>$AC$12+D631*$AC$13+E631*$AC$14+F631*$AC$15+G631*$AC$16+H631*$AC$17+I631*$AC$18+J631*$AC$19+K631*$AC$20+L631*$AC$21+M631*$AC$22+N631*$AC$23+O631*$AC$24+P631*$AC$25+Q631*$AC$26+R631*$AC$27+S631*$AC$28+T631*$AC$29+U631*$AC$30</f>
        <v/>
      </c>
      <c r="W631" s="8">
        <f>1/(1+EXP(-V631))</f>
        <v/>
      </c>
      <c r="X631" s="9">
        <f>-IF(C631=1,LN(W631),LN(1-W631))</f>
        <v/>
      </c>
      <c r="Y631" s="10">
        <f>IF(W631&gt;$AC$33,1,0)</f>
        <v/>
      </c>
      <c r="Z631">
        <f>IF(Y631=C631,1,0)</f>
        <v/>
      </c>
    </row>
    <row r="632">
      <c r="A632">
        <f>'1 prepared data'!A625</f>
        <v/>
      </c>
      <c r="B632" s="5">
        <f>'1 prepared data'!U625</f>
        <v/>
      </c>
      <c r="C632">
        <f>'1 prepared data'!B625</f>
        <v/>
      </c>
      <c r="D632" s="7">
        <f>'1 prepared data'!C625</f>
        <v/>
      </c>
      <c r="E632" s="7">
        <f>'1 prepared data'!D625</f>
        <v/>
      </c>
      <c r="F632" s="7">
        <f>'1 prepared data'!E625</f>
        <v/>
      </c>
      <c r="G632" s="7">
        <f>'1 prepared data'!F625</f>
        <v/>
      </c>
      <c r="H632" s="7">
        <f>'1 prepared data'!G625</f>
        <v/>
      </c>
      <c r="I632" s="7">
        <f>'1 prepared data'!H625</f>
        <v/>
      </c>
      <c r="J632" s="7">
        <f>'1 prepared data'!I625</f>
        <v/>
      </c>
      <c r="K632" s="7">
        <f>'1 prepared data'!J625</f>
        <v/>
      </c>
      <c r="L632" s="7">
        <f>'1 prepared data'!K625</f>
        <v/>
      </c>
      <c r="M632" s="7">
        <f>'1 prepared data'!L625</f>
        <v/>
      </c>
      <c r="N632" s="7">
        <f>'1 prepared data'!M625</f>
        <v/>
      </c>
      <c r="O632" s="7">
        <f>'1 prepared data'!N625</f>
        <v/>
      </c>
      <c r="P632" s="7">
        <f>'1 prepared data'!O625</f>
        <v/>
      </c>
      <c r="Q632" s="7">
        <f>'1 prepared data'!P625</f>
        <v/>
      </c>
      <c r="R632" s="7">
        <f>'1 prepared data'!Q625</f>
        <v/>
      </c>
      <c r="S632" s="7">
        <f>'1 prepared data'!R625</f>
        <v/>
      </c>
      <c r="T632" s="7">
        <f>'1 prepared data'!S625</f>
        <v/>
      </c>
      <c r="U632" s="7">
        <f>'1 prepared data'!T625</f>
        <v/>
      </c>
      <c r="V632" s="8">
        <f>$AC$12+D632*$AC$13+E632*$AC$14+F632*$AC$15+G632*$AC$16+H632*$AC$17+I632*$AC$18+J632*$AC$19+K632*$AC$20+L632*$AC$21+M632*$AC$22+N632*$AC$23+O632*$AC$24+P632*$AC$25+Q632*$AC$26+R632*$AC$27+S632*$AC$28+T632*$AC$29+U632*$AC$30</f>
        <v/>
      </c>
      <c r="W632" s="8">
        <f>1/(1+EXP(-V632))</f>
        <v/>
      </c>
      <c r="X632" s="9">
        <f>-IF(C632=1,LN(W632),LN(1-W632))</f>
        <v/>
      </c>
      <c r="Y632" s="10">
        <f>IF(W632&gt;$AC$33,1,0)</f>
        <v/>
      </c>
      <c r="Z632">
        <f>IF(Y632=C632,1,0)</f>
        <v/>
      </c>
    </row>
    <row r="633">
      <c r="A633">
        <f>'1 prepared data'!A626</f>
        <v/>
      </c>
      <c r="B633" s="5">
        <f>'1 prepared data'!U626</f>
        <v/>
      </c>
      <c r="C633">
        <f>'1 prepared data'!B626</f>
        <v/>
      </c>
      <c r="D633" s="7">
        <f>'1 prepared data'!C626</f>
        <v/>
      </c>
      <c r="E633" s="7">
        <f>'1 prepared data'!D626</f>
        <v/>
      </c>
      <c r="F633" s="7">
        <f>'1 prepared data'!E626</f>
        <v/>
      </c>
      <c r="G633" s="7">
        <f>'1 prepared data'!F626</f>
        <v/>
      </c>
      <c r="H633" s="7">
        <f>'1 prepared data'!G626</f>
        <v/>
      </c>
      <c r="I633" s="7">
        <f>'1 prepared data'!H626</f>
        <v/>
      </c>
      <c r="J633" s="7">
        <f>'1 prepared data'!I626</f>
        <v/>
      </c>
      <c r="K633" s="7">
        <f>'1 prepared data'!J626</f>
        <v/>
      </c>
      <c r="L633" s="7">
        <f>'1 prepared data'!K626</f>
        <v/>
      </c>
      <c r="M633" s="7">
        <f>'1 prepared data'!L626</f>
        <v/>
      </c>
      <c r="N633" s="7">
        <f>'1 prepared data'!M626</f>
        <v/>
      </c>
      <c r="O633" s="7">
        <f>'1 prepared data'!N626</f>
        <v/>
      </c>
      <c r="P633" s="7">
        <f>'1 prepared data'!O626</f>
        <v/>
      </c>
      <c r="Q633" s="7">
        <f>'1 prepared data'!P626</f>
        <v/>
      </c>
      <c r="R633" s="7">
        <f>'1 prepared data'!Q626</f>
        <v/>
      </c>
      <c r="S633" s="7">
        <f>'1 prepared data'!R626</f>
        <v/>
      </c>
      <c r="T633" s="7">
        <f>'1 prepared data'!S626</f>
        <v/>
      </c>
      <c r="U633" s="7">
        <f>'1 prepared data'!T626</f>
        <v/>
      </c>
      <c r="V633" s="8">
        <f>$AC$12+D633*$AC$13+E633*$AC$14+F633*$AC$15+G633*$AC$16+H633*$AC$17+I633*$AC$18+J633*$AC$19+K633*$AC$20+L633*$AC$21+M633*$AC$22+N633*$AC$23+O633*$AC$24+P633*$AC$25+Q633*$AC$26+R633*$AC$27+S633*$AC$28+T633*$AC$29+U633*$AC$30</f>
        <v/>
      </c>
      <c r="W633" s="8">
        <f>1/(1+EXP(-V633))</f>
        <v/>
      </c>
      <c r="X633" s="9">
        <f>-IF(C633=1,LN(W633),LN(1-W633))</f>
        <v/>
      </c>
      <c r="Y633" s="10">
        <f>IF(W633&gt;$AC$33,1,0)</f>
        <v/>
      </c>
      <c r="Z633">
        <f>IF(Y633=C633,1,0)</f>
        <v/>
      </c>
    </row>
    <row r="634">
      <c r="A634">
        <f>'1 prepared data'!A627</f>
        <v/>
      </c>
      <c r="B634" s="5">
        <f>'1 prepared data'!U627</f>
        <v/>
      </c>
      <c r="C634">
        <f>'1 prepared data'!B627</f>
        <v/>
      </c>
      <c r="D634" s="7">
        <f>'1 prepared data'!C627</f>
        <v/>
      </c>
      <c r="E634" s="7">
        <f>'1 prepared data'!D627</f>
        <v/>
      </c>
      <c r="F634" s="7">
        <f>'1 prepared data'!E627</f>
        <v/>
      </c>
      <c r="G634" s="7">
        <f>'1 prepared data'!F627</f>
        <v/>
      </c>
      <c r="H634" s="7">
        <f>'1 prepared data'!G627</f>
        <v/>
      </c>
      <c r="I634" s="7">
        <f>'1 prepared data'!H627</f>
        <v/>
      </c>
      <c r="J634" s="7">
        <f>'1 prepared data'!I627</f>
        <v/>
      </c>
      <c r="K634" s="7">
        <f>'1 prepared data'!J627</f>
        <v/>
      </c>
      <c r="L634" s="7">
        <f>'1 prepared data'!K627</f>
        <v/>
      </c>
      <c r="M634" s="7">
        <f>'1 prepared data'!L627</f>
        <v/>
      </c>
      <c r="N634" s="7">
        <f>'1 prepared data'!M627</f>
        <v/>
      </c>
      <c r="O634" s="7">
        <f>'1 prepared data'!N627</f>
        <v/>
      </c>
      <c r="P634" s="7">
        <f>'1 prepared data'!O627</f>
        <v/>
      </c>
      <c r="Q634" s="7">
        <f>'1 prepared data'!P627</f>
        <v/>
      </c>
      <c r="R634" s="7">
        <f>'1 prepared data'!Q627</f>
        <v/>
      </c>
      <c r="S634" s="7">
        <f>'1 prepared data'!R627</f>
        <v/>
      </c>
      <c r="T634" s="7">
        <f>'1 prepared data'!S627</f>
        <v/>
      </c>
      <c r="U634" s="7">
        <f>'1 prepared data'!T627</f>
        <v/>
      </c>
      <c r="V634" s="8">
        <f>$AC$12+D634*$AC$13+E634*$AC$14+F634*$AC$15+G634*$AC$16+H634*$AC$17+I634*$AC$18+J634*$AC$19+K634*$AC$20+L634*$AC$21+M634*$AC$22+N634*$AC$23+O634*$AC$24+P634*$AC$25+Q634*$AC$26+R634*$AC$27+S634*$AC$28+T634*$AC$29+U634*$AC$30</f>
        <v/>
      </c>
      <c r="W634" s="8">
        <f>1/(1+EXP(-V634))</f>
        <v/>
      </c>
      <c r="X634" s="9">
        <f>-IF(C634=1,LN(W634),LN(1-W634))</f>
        <v/>
      </c>
      <c r="Y634" s="10">
        <f>IF(W634&gt;$AC$33,1,0)</f>
        <v/>
      </c>
      <c r="Z634">
        <f>IF(Y634=C634,1,0)</f>
        <v/>
      </c>
    </row>
    <row r="635">
      <c r="A635">
        <f>'1 prepared data'!A628</f>
        <v/>
      </c>
      <c r="B635" s="5">
        <f>'1 prepared data'!U628</f>
        <v/>
      </c>
      <c r="C635">
        <f>'1 prepared data'!B628</f>
        <v/>
      </c>
      <c r="D635" s="7">
        <f>'1 prepared data'!C628</f>
        <v/>
      </c>
      <c r="E635" s="7">
        <f>'1 prepared data'!D628</f>
        <v/>
      </c>
      <c r="F635" s="7">
        <f>'1 prepared data'!E628</f>
        <v/>
      </c>
      <c r="G635" s="7">
        <f>'1 prepared data'!F628</f>
        <v/>
      </c>
      <c r="H635" s="7">
        <f>'1 prepared data'!G628</f>
        <v/>
      </c>
      <c r="I635" s="7">
        <f>'1 prepared data'!H628</f>
        <v/>
      </c>
      <c r="J635" s="7">
        <f>'1 prepared data'!I628</f>
        <v/>
      </c>
      <c r="K635" s="7">
        <f>'1 prepared data'!J628</f>
        <v/>
      </c>
      <c r="L635" s="7">
        <f>'1 prepared data'!K628</f>
        <v/>
      </c>
      <c r="M635" s="7">
        <f>'1 prepared data'!L628</f>
        <v/>
      </c>
      <c r="N635" s="7">
        <f>'1 prepared data'!M628</f>
        <v/>
      </c>
      <c r="O635" s="7">
        <f>'1 prepared data'!N628</f>
        <v/>
      </c>
      <c r="P635" s="7">
        <f>'1 prepared data'!O628</f>
        <v/>
      </c>
      <c r="Q635" s="7">
        <f>'1 prepared data'!P628</f>
        <v/>
      </c>
      <c r="R635" s="7">
        <f>'1 prepared data'!Q628</f>
        <v/>
      </c>
      <c r="S635" s="7">
        <f>'1 prepared data'!R628</f>
        <v/>
      </c>
      <c r="T635" s="7">
        <f>'1 prepared data'!S628</f>
        <v/>
      </c>
      <c r="U635" s="7">
        <f>'1 prepared data'!T628</f>
        <v/>
      </c>
      <c r="V635" s="8">
        <f>$AC$12+D635*$AC$13+E635*$AC$14+F635*$AC$15+G635*$AC$16+H635*$AC$17+I635*$AC$18+J635*$AC$19+K635*$AC$20+L635*$AC$21+M635*$AC$22+N635*$AC$23+O635*$AC$24+P635*$AC$25+Q635*$AC$26+R635*$AC$27+S635*$AC$28+T635*$AC$29+U635*$AC$30</f>
        <v/>
      </c>
      <c r="W635" s="8">
        <f>1/(1+EXP(-V635))</f>
        <v/>
      </c>
      <c r="X635" s="9">
        <f>-IF(C635=1,LN(W635),LN(1-W635))</f>
        <v/>
      </c>
      <c r="Y635" s="10">
        <f>IF(W635&gt;$AC$33,1,0)</f>
        <v/>
      </c>
      <c r="Z635">
        <f>IF(Y635=C635,1,0)</f>
        <v/>
      </c>
    </row>
    <row r="636">
      <c r="A636">
        <f>'1 prepared data'!A629</f>
        <v/>
      </c>
      <c r="B636" s="5">
        <f>'1 prepared data'!U629</f>
        <v/>
      </c>
      <c r="C636">
        <f>'1 prepared data'!B629</f>
        <v/>
      </c>
      <c r="D636" s="7">
        <f>'1 prepared data'!C629</f>
        <v/>
      </c>
      <c r="E636" s="7">
        <f>'1 prepared data'!D629</f>
        <v/>
      </c>
      <c r="F636" s="7">
        <f>'1 prepared data'!E629</f>
        <v/>
      </c>
      <c r="G636" s="7">
        <f>'1 prepared data'!F629</f>
        <v/>
      </c>
      <c r="H636" s="7">
        <f>'1 prepared data'!G629</f>
        <v/>
      </c>
      <c r="I636" s="7">
        <f>'1 prepared data'!H629</f>
        <v/>
      </c>
      <c r="J636" s="7">
        <f>'1 prepared data'!I629</f>
        <v/>
      </c>
      <c r="K636" s="7">
        <f>'1 prepared data'!J629</f>
        <v/>
      </c>
      <c r="L636" s="7">
        <f>'1 prepared data'!K629</f>
        <v/>
      </c>
      <c r="M636" s="7">
        <f>'1 prepared data'!L629</f>
        <v/>
      </c>
      <c r="N636" s="7">
        <f>'1 prepared data'!M629</f>
        <v/>
      </c>
      <c r="O636" s="7">
        <f>'1 prepared data'!N629</f>
        <v/>
      </c>
      <c r="P636" s="7">
        <f>'1 prepared data'!O629</f>
        <v/>
      </c>
      <c r="Q636" s="7">
        <f>'1 prepared data'!P629</f>
        <v/>
      </c>
      <c r="R636" s="7">
        <f>'1 prepared data'!Q629</f>
        <v/>
      </c>
      <c r="S636" s="7">
        <f>'1 prepared data'!R629</f>
        <v/>
      </c>
      <c r="T636" s="7">
        <f>'1 prepared data'!S629</f>
        <v/>
      </c>
      <c r="U636" s="7">
        <f>'1 prepared data'!T629</f>
        <v/>
      </c>
      <c r="V636" s="8">
        <f>$AC$12+D636*$AC$13+E636*$AC$14+F636*$AC$15+G636*$AC$16+H636*$AC$17+I636*$AC$18+J636*$AC$19+K636*$AC$20+L636*$AC$21+M636*$AC$22+N636*$AC$23+O636*$AC$24+P636*$AC$25+Q636*$AC$26+R636*$AC$27+S636*$AC$28+T636*$AC$29+U636*$AC$30</f>
        <v/>
      </c>
      <c r="W636" s="8">
        <f>1/(1+EXP(-V636))</f>
        <v/>
      </c>
      <c r="X636" s="9">
        <f>-IF(C636=1,LN(W636),LN(1-W636))</f>
        <v/>
      </c>
      <c r="Y636" s="10">
        <f>IF(W636&gt;$AC$33,1,0)</f>
        <v/>
      </c>
      <c r="Z636">
        <f>IF(Y636=C636,1,0)</f>
        <v/>
      </c>
    </row>
    <row r="637">
      <c r="A637">
        <f>'1 prepared data'!A630</f>
        <v/>
      </c>
      <c r="B637" s="5">
        <f>'1 prepared data'!U630</f>
        <v/>
      </c>
      <c r="C637">
        <f>'1 prepared data'!B630</f>
        <v/>
      </c>
      <c r="D637" s="7">
        <f>'1 prepared data'!C630</f>
        <v/>
      </c>
      <c r="E637" s="7">
        <f>'1 prepared data'!D630</f>
        <v/>
      </c>
      <c r="F637" s="7">
        <f>'1 prepared data'!E630</f>
        <v/>
      </c>
      <c r="G637" s="7">
        <f>'1 prepared data'!F630</f>
        <v/>
      </c>
      <c r="H637" s="7">
        <f>'1 prepared data'!G630</f>
        <v/>
      </c>
      <c r="I637" s="7">
        <f>'1 prepared data'!H630</f>
        <v/>
      </c>
      <c r="J637" s="7">
        <f>'1 prepared data'!I630</f>
        <v/>
      </c>
      <c r="K637" s="7">
        <f>'1 prepared data'!J630</f>
        <v/>
      </c>
      <c r="L637" s="7">
        <f>'1 prepared data'!K630</f>
        <v/>
      </c>
      <c r="M637" s="7">
        <f>'1 prepared data'!L630</f>
        <v/>
      </c>
      <c r="N637" s="7">
        <f>'1 prepared data'!M630</f>
        <v/>
      </c>
      <c r="O637" s="7">
        <f>'1 prepared data'!N630</f>
        <v/>
      </c>
      <c r="P637" s="7">
        <f>'1 prepared data'!O630</f>
        <v/>
      </c>
      <c r="Q637" s="7">
        <f>'1 prepared data'!P630</f>
        <v/>
      </c>
      <c r="R637" s="7">
        <f>'1 prepared data'!Q630</f>
        <v/>
      </c>
      <c r="S637" s="7">
        <f>'1 prepared data'!R630</f>
        <v/>
      </c>
      <c r="T637" s="7">
        <f>'1 prepared data'!S630</f>
        <v/>
      </c>
      <c r="U637" s="7">
        <f>'1 prepared data'!T630</f>
        <v/>
      </c>
      <c r="V637" s="8">
        <f>$AC$12+D637*$AC$13+E637*$AC$14+F637*$AC$15+G637*$AC$16+H637*$AC$17+I637*$AC$18+J637*$AC$19+K637*$AC$20+L637*$AC$21+M637*$AC$22+N637*$AC$23+O637*$AC$24+P637*$AC$25+Q637*$AC$26+R637*$AC$27+S637*$AC$28+T637*$AC$29+U637*$AC$30</f>
        <v/>
      </c>
      <c r="W637" s="8">
        <f>1/(1+EXP(-V637))</f>
        <v/>
      </c>
      <c r="X637" s="9">
        <f>-IF(C637=1,LN(W637),LN(1-W637))</f>
        <v/>
      </c>
      <c r="Y637" s="10">
        <f>IF(W637&gt;$AC$33,1,0)</f>
        <v/>
      </c>
      <c r="Z637">
        <f>IF(Y637=C637,1,0)</f>
        <v/>
      </c>
    </row>
    <row r="638">
      <c r="A638">
        <f>'1 prepared data'!A631</f>
        <v/>
      </c>
      <c r="B638" s="5">
        <f>'1 prepared data'!U631</f>
        <v/>
      </c>
      <c r="C638">
        <f>'1 prepared data'!B631</f>
        <v/>
      </c>
      <c r="D638" s="7">
        <f>'1 prepared data'!C631</f>
        <v/>
      </c>
      <c r="E638" s="7">
        <f>'1 prepared data'!D631</f>
        <v/>
      </c>
      <c r="F638" s="7">
        <f>'1 prepared data'!E631</f>
        <v/>
      </c>
      <c r="G638" s="7">
        <f>'1 prepared data'!F631</f>
        <v/>
      </c>
      <c r="H638" s="7">
        <f>'1 prepared data'!G631</f>
        <v/>
      </c>
      <c r="I638" s="7">
        <f>'1 prepared data'!H631</f>
        <v/>
      </c>
      <c r="J638" s="7">
        <f>'1 prepared data'!I631</f>
        <v/>
      </c>
      <c r="K638" s="7">
        <f>'1 prepared data'!J631</f>
        <v/>
      </c>
      <c r="L638" s="7">
        <f>'1 prepared data'!K631</f>
        <v/>
      </c>
      <c r="M638" s="7">
        <f>'1 prepared data'!L631</f>
        <v/>
      </c>
      <c r="N638" s="7">
        <f>'1 prepared data'!M631</f>
        <v/>
      </c>
      <c r="O638" s="7">
        <f>'1 prepared data'!N631</f>
        <v/>
      </c>
      <c r="P638" s="7">
        <f>'1 prepared data'!O631</f>
        <v/>
      </c>
      <c r="Q638" s="7">
        <f>'1 prepared data'!P631</f>
        <v/>
      </c>
      <c r="R638" s="7">
        <f>'1 prepared data'!Q631</f>
        <v/>
      </c>
      <c r="S638" s="7">
        <f>'1 prepared data'!R631</f>
        <v/>
      </c>
      <c r="T638" s="7">
        <f>'1 prepared data'!S631</f>
        <v/>
      </c>
      <c r="U638" s="7">
        <f>'1 prepared data'!T631</f>
        <v/>
      </c>
      <c r="V638" s="8">
        <f>$AC$12+D638*$AC$13+E638*$AC$14+F638*$AC$15+G638*$AC$16+H638*$AC$17+I638*$AC$18+J638*$AC$19+K638*$AC$20+L638*$AC$21+M638*$AC$22+N638*$AC$23+O638*$AC$24+P638*$AC$25+Q638*$AC$26+R638*$AC$27+S638*$AC$28+T638*$AC$29+U638*$AC$30</f>
        <v/>
      </c>
      <c r="W638" s="8">
        <f>1/(1+EXP(-V638))</f>
        <v/>
      </c>
      <c r="X638" s="9">
        <f>-IF(C638=1,LN(W638),LN(1-W638))</f>
        <v/>
      </c>
      <c r="Y638" s="10">
        <f>IF(W638&gt;$AC$33,1,0)</f>
        <v/>
      </c>
      <c r="Z638">
        <f>IF(Y638=C638,1,0)</f>
        <v/>
      </c>
    </row>
    <row r="639">
      <c r="A639">
        <f>'1 prepared data'!A632</f>
        <v/>
      </c>
      <c r="B639" s="5">
        <f>'1 prepared data'!U632</f>
        <v/>
      </c>
      <c r="C639">
        <f>'1 prepared data'!B632</f>
        <v/>
      </c>
      <c r="D639" s="7">
        <f>'1 prepared data'!C632</f>
        <v/>
      </c>
      <c r="E639" s="7">
        <f>'1 prepared data'!D632</f>
        <v/>
      </c>
      <c r="F639" s="7">
        <f>'1 prepared data'!E632</f>
        <v/>
      </c>
      <c r="G639" s="7">
        <f>'1 prepared data'!F632</f>
        <v/>
      </c>
      <c r="H639" s="7">
        <f>'1 prepared data'!G632</f>
        <v/>
      </c>
      <c r="I639" s="7">
        <f>'1 prepared data'!H632</f>
        <v/>
      </c>
      <c r="J639" s="7">
        <f>'1 prepared data'!I632</f>
        <v/>
      </c>
      <c r="K639" s="7">
        <f>'1 prepared data'!J632</f>
        <v/>
      </c>
      <c r="L639" s="7">
        <f>'1 prepared data'!K632</f>
        <v/>
      </c>
      <c r="M639" s="7">
        <f>'1 prepared data'!L632</f>
        <v/>
      </c>
      <c r="N639" s="7">
        <f>'1 prepared data'!M632</f>
        <v/>
      </c>
      <c r="O639" s="7">
        <f>'1 prepared data'!N632</f>
        <v/>
      </c>
      <c r="P639" s="7">
        <f>'1 prepared data'!O632</f>
        <v/>
      </c>
      <c r="Q639" s="7">
        <f>'1 prepared data'!P632</f>
        <v/>
      </c>
      <c r="R639" s="7">
        <f>'1 prepared data'!Q632</f>
        <v/>
      </c>
      <c r="S639" s="7">
        <f>'1 prepared data'!R632</f>
        <v/>
      </c>
      <c r="T639" s="7">
        <f>'1 prepared data'!S632</f>
        <v/>
      </c>
      <c r="U639" s="7">
        <f>'1 prepared data'!T632</f>
        <v/>
      </c>
      <c r="V639" s="8">
        <f>$AC$12+D639*$AC$13+E639*$AC$14+F639*$AC$15+G639*$AC$16+H639*$AC$17+I639*$AC$18+J639*$AC$19+K639*$AC$20+L639*$AC$21+M639*$AC$22+N639*$AC$23+O639*$AC$24+P639*$AC$25+Q639*$AC$26+R639*$AC$27+S639*$AC$28+T639*$AC$29+U639*$AC$30</f>
        <v/>
      </c>
      <c r="W639" s="8">
        <f>1/(1+EXP(-V639))</f>
        <v/>
      </c>
      <c r="X639" s="9">
        <f>-IF(C639=1,LN(W639),LN(1-W639))</f>
        <v/>
      </c>
      <c r="Y639" s="10">
        <f>IF(W639&gt;$AC$33,1,0)</f>
        <v/>
      </c>
      <c r="Z639">
        <f>IF(Y639=C639,1,0)</f>
        <v/>
      </c>
    </row>
    <row r="640">
      <c r="A640">
        <f>'1 prepared data'!A633</f>
        <v/>
      </c>
      <c r="B640" s="5">
        <f>'1 prepared data'!U633</f>
        <v/>
      </c>
      <c r="C640">
        <f>'1 prepared data'!B633</f>
        <v/>
      </c>
      <c r="D640" s="7">
        <f>'1 prepared data'!C633</f>
        <v/>
      </c>
      <c r="E640" s="7">
        <f>'1 prepared data'!D633</f>
        <v/>
      </c>
      <c r="F640" s="7">
        <f>'1 prepared data'!E633</f>
        <v/>
      </c>
      <c r="G640" s="7">
        <f>'1 prepared data'!F633</f>
        <v/>
      </c>
      <c r="H640" s="7">
        <f>'1 prepared data'!G633</f>
        <v/>
      </c>
      <c r="I640" s="7">
        <f>'1 prepared data'!H633</f>
        <v/>
      </c>
      <c r="J640" s="7">
        <f>'1 prepared data'!I633</f>
        <v/>
      </c>
      <c r="K640" s="7">
        <f>'1 prepared data'!J633</f>
        <v/>
      </c>
      <c r="L640" s="7">
        <f>'1 prepared data'!K633</f>
        <v/>
      </c>
      <c r="M640" s="7">
        <f>'1 prepared data'!L633</f>
        <v/>
      </c>
      <c r="N640" s="7">
        <f>'1 prepared data'!M633</f>
        <v/>
      </c>
      <c r="O640" s="7">
        <f>'1 prepared data'!N633</f>
        <v/>
      </c>
      <c r="P640" s="7">
        <f>'1 prepared data'!O633</f>
        <v/>
      </c>
      <c r="Q640" s="7">
        <f>'1 prepared data'!P633</f>
        <v/>
      </c>
      <c r="R640" s="7">
        <f>'1 prepared data'!Q633</f>
        <v/>
      </c>
      <c r="S640" s="7">
        <f>'1 prepared data'!R633</f>
        <v/>
      </c>
      <c r="T640" s="7">
        <f>'1 prepared data'!S633</f>
        <v/>
      </c>
      <c r="U640" s="7">
        <f>'1 prepared data'!T633</f>
        <v/>
      </c>
      <c r="V640" s="8">
        <f>$AC$12+D640*$AC$13+E640*$AC$14+F640*$AC$15+G640*$AC$16+H640*$AC$17+I640*$AC$18+J640*$AC$19+K640*$AC$20+L640*$AC$21+M640*$AC$22+N640*$AC$23+O640*$AC$24+P640*$AC$25+Q640*$AC$26+R640*$AC$27+S640*$AC$28+T640*$AC$29+U640*$AC$30</f>
        <v/>
      </c>
      <c r="W640" s="8">
        <f>1/(1+EXP(-V640))</f>
        <v/>
      </c>
      <c r="X640" s="9">
        <f>-IF(C640=1,LN(W640),LN(1-W640))</f>
        <v/>
      </c>
      <c r="Y640" s="10">
        <f>IF(W640&gt;$AC$33,1,0)</f>
        <v/>
      </c>
      <c r="Z640">
        <f>IF(Y640=C640,1,0)</f>
        <v/>
      </c>
    </row>
    <row r="641">
      <c r="A641">
        <f>'1 prepared data'!A634</f>
        <v/>
      </c>
      <c r="B641" s="5">
        <f>'1 prepared data'!U634</f>
        <v/>
      </c>
      <c r="C641">
        <f>'1 prepared data'!B634</f>
        <v/>
      </c>
      <c r="D641" s="7">
        <f>'1 prepared data'!C634</f>
        <v/>
      </c>
      <c r="E641" s="7">
        <f>'1 prepared data'!D634</f>
        <v/>
      </c>
      <c r="F641" s="7">
        <f>'1 prepared data'!E634</f>
        <v/>
      </c>
      <c r="G641" s="7">
        <f>'1 prepared data'!F634</f>
        <v/>
      </c>
      <c r="H641" s="7">
        <f>'1 prepared data'!G634</f>
        <v/>
      </c>
      <c r="I641" s="7">
        <f>'1 prepared data'!H634</f>
        <v/>
      </c>
      <c r="J641" s="7">
        <f>'1 prepared data'!I634</f>
        <v/>
      </c>
      <c r="K641" s="7">
        <f>'1 prepared data'!J634</f>
        <v/>
      </c>
      <c r="L641" s="7">
        <f>'1 prepared data'!K634</f>
        <v/>
      </c>
      <c r="M641" s="7">
        <f>'1 prepared data'!L634</f>
        <v/>
      </c>
      <c r="N641" s="7">
        <f>'1 prepared data'!M634</f>
        <v/>
      </c>
      <c r="O641" s="7">
        <f>'1 prepared data'!N634</f>
        <v/>
      </c>
      <c r="P641" s="7">
        <f>'1 prepared data'!O634</f>
        <v/>
      </c>
      <c r="Q641" s="7">
        <f>'1 prepared data'!P634</f>
        <v/>
      </c>
      <c r="R641" s="7">
        <f>'1 prepared data'!Q634</f>
        <v/>
      </c>
      <c r="S641" s="7">
        <f>'1 prepared data'!R634</f>
        <v/>
      </c>
      <c r="T641" s="7">
        <f>'1 prepared data'!S634</f>
        <v/>
      </c>
      <c r="U641" s="7">
        <f>'1 prepared data'!T634</f>
        <v/>
      </c>
      <c r="V641" s="8">
        <f>$AC$12+D641*$AC$13+E641*$AC$14+F641*$AC$15+G641*$AC$16+H641*$AC$17+I641*$AC$18+J641*$AC$19+K641*$AC$20+L641*$AC$21+M641*$AC$22+N641*$AC$23+O641*$AC$24+P641*$AC$25+Q641*$AC$26+R641*$AC$27+S641*$AC$28+T641*$AC$29+U641*$AC$30</f>
        <v/>
      </c>
      <c r="W641" s="8">
        <f>1/(1+EXP(-V641))</f>
        <v/>
      </c>
      <c r="X641" s="9">
        <f>-IF(C641=1,LN(W641),LN(1-W641))</f>
        <v/>
      </c>
      <c r="Y641" s="10">
        <f>IF(W641&gt;$AC$33,1,0)</f>
        <v/>
      </c>
      <c r="Z641">
        <f>IF(Y641=C641,1,0)</f>
        <v/>
      </c>
    </row>
    <row r="642">
      <c r="A642">
        <f>'1 prepared data'!A635</f>
        <v/>
      </c>
      <c r="B642" s="5">
        <f>'1 prepared data'!U635</f>
        <v/>
      </c>
      <c r="C642">
        <f>'1 prepared data'!B635</f>
        <v/>
      </c>
      <c r="D642" s="7">
        <f>'1 prepared data'!C635</f>
        <v/>
      </c>
      <c r="E642" s="7">
        <f>'1 prepared data'!D635</f>
        <v/>
      </c>
      <c r="F642" s="7">
        <f>'1 prepared data'!E635</f>
        <v/>
      </c>
      <c r="G642" s="7">
        <f>'1 prepared data'!F635</f>
        <v/>
      </c>
      <c r="H642" s="7">
        <f>'1 prepared data'!G635</f>
        <v/>
      </c>
      <c r="I642" s="7">
        <f>'1 prepared data'!H635</f>
        <v/>
      </c>
      <c r="J642" s="7">
        <f>'1 prepared data'!I635</f>
        <v/>
      </c>
      <c r="K642" s="7">
        <f>'1 prepared data'!J635</f>
        <v/>
      </c>
      <c r="L642" s="7">
        <f>'1 prepared data'!K635</f>
        <v/>
      </c>
      <c r="M642" s="7">
        <f>'1 prepared data'!L635</f>
        <v/>
      </c>
      <c r="N642" s="7">
        <f>'1 prepared data'!M635</f>
        <v/>
      </c>
      <c r="O642" s="7">
        <f>'1 prepared data'!N635</f>
        <v/>
      </c>
      <c r="P642" s="7">
        <f>'1 prepared data'!O635</f>
        <v/>
      </c>
      <c r="Q642" s="7">
        <f>'1 prepared data'!P635</f>
        <v/>
      </c>
      <c r="R642" s="7">
        <f>'1 prepared data'!Q635</f>
        <v/>
      </c>
      <c r="S642" s="7">
        <f>'1 prepared data'!R635</f>
        <v/>
      </c>
      <c r="T642" s="7">
        <f>'1 prepared data'!S635</f>
        <v/>
      </c>
      <c r="U642" s="7">
        <f>'1 prepared data'!T635</f>
        <v/>
      </c>
      <c r="V642" s="8">
        <f>$AC$12+D642*$AC$13+E642*$AC$14+F642*$AC$15+G642*$AC$16+H642*$AC$17+I642*$AC$18+J642*$AC$19+K642*$AC$20+L642*$AC$21+M642*$AC$22+N642*$AC$23+O642*$AC$24+P642*$AC$25+Q642*$AC$26+R642*$AC$27+S642*$AC$28+T642*$AC$29+U642*$AC$30</f>
        <v/>
      </c>
      <c r="W642" s="8">
        <f>1/(1+EXP(-V642))</f>
        <v/>
      </c>
      <c r="X642" s="9">
        <f>-IF(C642=1,LN(W642),LN(1-W642))</f>
        <v/>
      </c>
      <c r="Y642" s="10">
        <f>IF(W642&gt;$AC$33,1,0)</f>
        <v/>
      </c>
      <c r="Z642">
        <f>IF(Y642=C642,1,0)</f>
        <v/>
      </c>
    </row>
    <row r="643">
      <c r="A643">
        <f>'1 prepared data'!A636</f>
        <v/>
      </c>
      <c r="B643" s="5">
        <f>'1 prepared data'!U636</f>
        <v/>
      </c>
      <c r="C643">
        <f>'1 prepared data'!B636</f>
        <v/>
      </c>
      <c r="D643" s="7">
        <f>'1 prepared data'!C636</f>
        <v/>
      </c>
      <c r="E643" s="7">
        <f>'1 prepared data'!D636</f>
        <v/>
      </c>
      <c r="F643" s="7">
        <f>'1 prepared data'!E636</f>
        <v/>
      </c>
      <c r="G643" s="7">
        <f>'1 prepared data'!F636</f>
        <v/>
      </c>
      <c r="H643" s="7">
        <f>'1 prepared data'!G636</f>
        <v/>
      </c>
      <c r="I643" s="7">
        <f>'1 prepared data'!H636</f>
        <v/>
      </c>
      <c r="J643" s="7">
        <f>'1 prepared data'!I636</f>
        <v/>
      </c>
      <c r="K643" s="7">
        <f>'1 prepared data'!J636</f>
        <v/>
      </c>
      <c r="L643" s="7">
        <f>'1 prepared data'!K636</f>
        <v/>
      </c>
      <c r="M643" s="7">
        <f>'1 prepared data'!L636</f>
        <v/>
      </c>
      <c r="N643" s="7">
        <f>'1 prepared data'!M636</f>
        <v/>
      </c>
      <c r="O643" s="7">
        <f>'1 prepared data'!N636</f>
        <v/>
      </c>
      <c r="P643" s="7">
        <f>'1 prepared data'!O636</f>
        <v/>
      </c>
      <c r="Q643" s="7">
        <f>'1 prepared data'!P636</f>
        <v/>
      </c>
      <c r="R643" s="7">
        <f>'1 prepared data'!Q636</f>
        <v/>
      </c>
      <c r="S643" s="7">
        <f>'1 prepared data'!R636</f>
        <v/>
      </c>
      <c r="T643" s="7">
        <f>'1 prepared data'!S636</f>
        <v/>
      </c>
      <c r="U643" s="7">
        <f>'1 prepared data'!T636</f>
        <v/>
      </c>
      <c r="V643" s="8">
        <f>$AC$12+D643*$AC$13+E643*$AC$14+F643*$AC$15+G643*$AC$16+H643*$AC$17+I643*$AC$18+J643*$AC$19+K643*$AC$20+L643*$AC$21+M643*$AC$22+N643*$AC$23+O643*$AC$24+P643*$AC$25+Q643*$AC$26+R643*$AC$27+S643*$AC$28+T643*$AC$29+U643*$AC$30</f>
        <v/>
      </c>
      <c r="W643" s="8">
        <f>1/(1+EXP(-V643))</f>
        <v/>
      </c>
      <c r="X643" s="9">
        <f>-IF(C643=1,LN(W643),LN(1-W643))</f>
        <v/>
      </c>
      <c r="Y643" s="10">
        <f>IF(W643&gt;$AC$33,1,0)</f>
        <v/>
      </c>
      <c r="Z643">
        <f>IF(Y643=C643,1,0)</f>
        <v/>
      </c>
    </row>
    <row r="644">
      <c r="A644">
        <f>'1 prepared data'!A637</f>
        <v/>
      </c>
      <c r="B644" s="5">
        <f>'1 prepared data'!U637</f>
        <v/>
      </c>
      <c r="C644">
        <f>'1 prepared data'!B637</f>
        <v/>
      </c>
      <c r="D644" s="7">
        <f>'1 prepared data'!C637</f>
        <v/>
      </c>
      <c r="E644" s="7">
        <f>'1 prepared data'!D637</f>
        <v/>
      </c>
      <c r="F644" s="7">
        <f>'1 prepared data'!E637</f>
        <v/>
      </c>
      <c r="G644" s="7">
        <f>'1 prepared data'!F637</f>
        <v/>
      </c>
      <c r="H644" s="7">
        <f>'1 prepared data'!G637</f>
        <v/>
      </c>
      <c r="I644" s="7">
        <f>'1 prepared data'!H637</f>
        <v/>
      </c>
      <c r="J644" s="7">
        <f>'1 prepared data'!I637</f>
        <v/>
      </c>
      <c r="K644" s="7">
        <f>'1 prepared data'!J637</f>
        <v/>
      </c>
      <c r="L644" s="7">
        <f>'1 prepared data'!K637</f>
        <v/>
      </c>
      <c r="M644" s="7">
        <f>'1 prepared data'!L637</f>
        <v/>
      </c>
      <c r="N644" s="7">
        <f>'1 prepared data'!M637</f>
        <v/>
      </c>
      <c r="O644" s="7">
        <f>'1 prepared data'!N637</f>
        <v/>
      </c>
      <c r="P644" s="7">
        <f>'1 prepared data'!O637</f>
        <v/>
      </c>
      <c r="Q644" s="7">
        <f>'1 prepared data'!P637</f>
        <v/>
      </c>
      <c r="R644" s="7">
        <f>'1 prepared data'!Q637</f>
        <v/>
      </c>
      <c r="S644" s="7">
        <f>'1 prepared data'!R637</f>
        <v/>
      </c>
      <c r="T644" s="7">
        <f>'1 prepared data'!S637</f>
        <v/>
      </c>
      <c r="U644" s="7">
        <f>'1 prepared data'!T637</f>
        <v/>
      </c>
      <c r="V644" s="8">
        <f>$AC$12+D644*$AC$13+E644*$AC$14+F644*$AC$15+G644*$AC$16+H644*$AC$17+I644*$AC$18+J644*$AC$19+K644*$AC$20+L644*$AC$21+M644*$AC$22+N644*$AC$23+O644*$AC$24+P644*$AC$25+Q644*$AC$26+R644*$AC$27+S644*$AC$28+T644*$AC$29+U644*$AC$30</f>
        <v/>
      </c>
      <c r="W644" s="8">
        <f>1/(1+EXP(-V644))</f>
        <v/>
      </c>
      <c r="X644" s="9">
        <f>-IF(C644=1,LN(W644),LN(1-W644))</f>
        <v/>
      </c>
      <c r="Y644" s="10">
        <f>IF(W644&gt;$AC$33,1,0)</f>
        <v/>
      </c>
      <c r="Z644">
        <f>IF(Y644=C644,1,0)</f>
        <v/>
      </c>
    </row>
    <row r="645">
      <c r="A645">
        <f>'1 prepared data'!A638</f>
        <v/>
      </c>
      <c r="B645" s="5">
        <f>'1 prepared data'!U638</f>
        <v/>
      </c>
      <c r="C645">
        <f>'1 prepared data'!B638</f>
        <v/>
      </c>
      <c r="D645" s="7">
        <f>'1 prepared data'!C638</f>
        <v/>
      </c>
      <c r="E645" s="7">
        <f>'1 prepared data'!D638</f>
        <v/>
      </c>
      <c r="F645" s="7">
        <f>'1 prepared data'!E638</f>
        <v/>
      </c>
      <c r="G645" s="7">
        <f>'1 prepared data'!F638</f>
        <v/>
      </c>
      <c r="H645" s="7">
        <f>'1 prepared data'!G638</f>
        <v/>
      </c>
      <c r="I645" s="7">
        <f>'1 prepared data'!H638</f>
        <v/>
      </c>
      <c r="J645" s="7">
        <f>'1 prepared data'!I638</f>
        <v/>
      </c>
      <c r="K645" s="7">
        <f>'1 prepared data'!J638</f>
        <v/>
      </c>
      <c r="L645" s="7">
        <f>'1 prepared data'!K638</f>
        <v/>
      </c>
      <c r="M645" s="7">
        <f>'1 prepared data'!L638</f>
        <v/>
      </c>
      <c r="N645" s="7">
        <f>'1 prepared data'!M638</f>
        <v/>
      </c>
      <c r="O645" s="7">
        <f>'1 prepared data'!N638</f>
        <v/>
      </c>
      <c r="P645" s="7">
        <f>'1 prepared data'!O638</f>
        <v/>
      </c>
      <c r="Q645" s="7">
        <f>'1 prepared data'!P638</f>
        <v/>
      </c>
      <c r="R645" s="7">
        <f>'1 prepared data'!Q638</f>
        <v/>
      </c>
      <c r="S645" s="7">
        <f>'1 prepared data'!R638</f>
        <v/>
      </c>
      <c r="T645" s="7">
        <f>'1 prepared data'!S638</f>
        <v/>
      </c>
      <c r="U645" s="7">
        <f>'1 prepared data'!T638</f>
        <v/>
      </c>
      <c r="V645" s="8">
        <f>$AC$12+D645*$AC$13+E645*$AC$14+F645*$AC$15+G645*$AC$16+H645*$AC$17+I645*$AC$18+J645*$AC$19+K645*$AC$20+L645*$AC$21+M645*$AC$22+N645*$AC$23+O645*$AC$24+P645*$AC$25+Q645*$AC$26+R645*$AC$27+S645*$AC$28+T645*$AC$29+U645*$AC$30</f>
        <v/>
      </c>
      <c r="W645" s="8">
        <f>1/(1+EXP(-V645))</f>
        <v/>
      </c>
      <c r="X645" s="9">
        <f>-IF(C645=1,LN(W645),LN(1-W645))</f>
        <v/>
      </c>
      <c r="Y645" s="10">
        <f>IF(W645&gt;$AC$33,1,0)</f>
        <v/>
      </c>
      <c r="Z645">
        <f>IF(Y645=C645,1,0)</f>
        <v/>
      </c>
    </row>
    <row r="646">
      <c r="A646">
        <f>'1 prepared data'!A639</f>
        <v/>
      </c>
      <c r="B646" s="5">
        <f>'1 prepared data'!U639</f>
        <v/>
      </c>
      <c r="C646">
        <f>'1 prepared data'!B639</f>
        <v/>
      </c>
      <c r="D646" s="7">
        <f>'1 prepared data'!C639</f>
        <v/>
      </c>
      <c r="E646" s="7">
        <f>'1 prepared data'!D639</f>
        <v/>
      </c>
      <c r="F646" s="7">
        <f>'1 prepared data'!E639</f>
        <v/>
      </c>
      <c r="G646" s="7">
        <f>'1 prepared data'!F639</f>
        <v/>
      </c>
      <c r="H646" s="7">
        <f>'1 prepared data'!G639</f>
        <v/>
      </c>
      <c r="I646" s="7">
        <f>'1 prepared data'!H639</f>
        <v/>
      </c>
      <c r="J646" s="7">
        <f>'1 prepared data'!I639</f>
        <v/>
      </c>
      <c r="K646" s="7">
        <f>'1 prepared data'!J639</f>
        <v/>
      </c>
      <c r="L646" s="7">
        <f>'1 prepared data'!K639</f>
        <v/>
      </c>
      <c r="M646" s="7">
        <f>'1 prepared data'!L639</f>
        <v/>
      </c>
      <c r="N646" s="7">
        <f>'1 prepared data'!M639</f>
        <v/>
      </c>
      <c r="O646" s="7">
        <f>'1 prepared data'!N639</f>
        <v/>
      </c>
      <c r="P646" s="7">
        <f>'1 prepared data'!O639</f>
        <v/>
      </c>
      <c r="Q646" s="7">
        <f>'1 prepared data'!P639</f>
        <v/>
      </c>
      <c r="R646" s="7">
        <f>'1 prepared data'!Q639</f>
        <v/>
      </c>
      <c r="S646" s="7">
        <f>'1 prepared data'!R639</f>
        <v/>
      </c>
      <c r="T646" s="7">
        <f>'1 prepared data'!S639</f>
        <v/>
      </c>
      <c r="U646" s="7">
        <f>'1 prepared data'!T639</f>
        <v/>
      </c>
      <c r="V646" s="8">
        <f>$AC$12+D646*$AC$13+E646*$AC$14+F646*$AC$15+G646*$AC$16+H646*$AC$17+I646*$AC$18+J646*$AC$19+K646*$AC$20+L646*$AC$21+M646*$AC$22+N646*$AC$23+O646*$AC$24+P646*$AC$25+Q646*$AC$26+R646*$AC$27+S646*$AC$28+T646*$AC$29+U646*$AC$30</f>
        <v/>
      </c>
      <c r="W646" s="8">
        <f>1/(1+EXP(-V646))</f>
        <v/>
      </c>
      <c r="X646" s="9">
        <f>-IF(C646=1,LN(W646),LN(1-W646))</f>
        <v/>
      </c>
      <c r="Y646" s="10">
        <f>IF(W646&gt;$AC$33,1,0)</f>
        <v/>
      </c>
      <c r="Z646">
        <f>IF(Y646=C646,1,0)</f>
        <v/>
      </c>
    </row>
    <row r="647">
      <c r="A647">
        <f>'1 prepared data'!A640</f>
        <v/>
      </c>
      <c r="B647" s="5">
        <f>'1 prepared data'!U640</f>
        <v/>
      </c>
      <c r="C647">
        <f>'1 prepared data'!B640</f>
        <v/>
      </c>
      <c r="D647" s="7">
        <f>'1 prepared data'!C640</f>
        <v/>
      </c>
      <c r="E647" s="7">
        <f>'1 prepared data'!D640</f>
        <v/>
      </c>
      <c r="F647" s="7">
        <f>'1 prepared data'!E640</f>
        <v/>
      </c>
      <c r="G647" s="7">
        <f>'1 prepared data'!F640</f>
        <v/>
      </c>
      <c r="H647" s="7">
        <f>'1 prepared data'!G640</f>
        <v/>
      </c>
      <c r="I647" s="7">
        <f>'1 prepared data'!H640</f>
        <v/>
      </c>
      <c r="J647" s="7">
        <f>'1 prepared data'!I640</f>
        <v/>
      </c>
      <c r="K647" s="7">
        <f>'1 prepared data'!J640</f>
        <v/>
      </c>
      <c r="L647" s="7">
        <f>'1 prepared data'!K640</f>
        <v/>
      </c>
      <c r="M647" s="7">
        <f>'1 prepared data'!L640</f>
        <v/>
      </c>
      <c r="N647" s="7">
        <f>'1 prepared data'!M640</f>
        <v/>
      </c>
      <c r="O647" s="7">
        <f>'1 prepared data'!N640</f>
        <v/>
      </c>
      <c r="P647" s="7">
        <f>'1 prepared data'!O640</f>
        <v/>
      </c>
      <c r="Q647" s="7">
        <f>'1 prepared data'!P640</f>
        <v/>
      </c>
      <c r="R647" s="7">
        <f>'1 prepared data'!Q640</f>
        <v/>
      </c>
      <c r="S647" s="7">
        <f>'1 prepared data'!R640</f>
        <v/>
      </c>
      <c r="T647" s="7">
        <f>'1 prepared data'!S640</f>
        <v/>
      </c>
      <c r="U647" s="7">
        <f>'1 prepared data'!T640</f>
        <v/>
      </c>
      <c r="V647" s="8">
        <f>$AC$12+D647*$AC$13+E647*$AC$14+F647*$AC$15+G647*$AC$16+H647*$AC$17+I647*$AC$18+J647*$AC$19+K647*$AC$20+L647*$AC$21+M647*$AC$22+N647*$AC$23+O647*$AC$24+P647*$AC$25+Q647*$AC$26+R647*$AC$27+S647*$AC$28+T647*$AC$29+U647*$AC$30</f>
        <v/>
      </c>
      <c r="W647" s="8">
        <f>1/(1+EXP(-V647))</f>
        <v/>
      </c>
      <c r="X647" s="9">
        <f>-IF(C647=1,LN(W647),LN(1-W647))</f>
        <v/>
      </c>
      <c r="Y647" s="10">
        <f>IF(W647&gt;$AC$33,1,0)</f>
        <v/>
      </c>
      <c r="Z647">
        <f>IF(Y647=C647,1,0)</f>
        <v/>
      </c>
    </row>
    <row r="648">
      <c r="A648">
        <f>'1 prepared data'!A641</f>
        <v/>
      </c>
      <c r="B648" s="5">
        <f>'1 prepared data'!U641</f>
        <v/>
      </c>
      <c r="C648">
        <f>'1 prepared data'!B641</f>
        <v/>
      </c>
      <c r="D648" s="7">
        <f>'1 prepared data'!C641</f>
        <v/>
      </c>
      <c r="E648" s="7">
        <f>'1 prepared data'!D641</f>
        <v/>
      </c>
      <c r="F648" s="7">
        <f>'1 prepared data'!E641</f>
        <v/>
      </c>
      <c r="G648" s="7">
        <f>'1 prepared data'!F641</f>
        <v/>
      </c>
      <c r="H648" s="7">
        <f>'1 prepared data'!G641</f>
        <v/>
      </c>
      <c r="I648" s="7">
        <f>'1 prepared data'!H641</f>
        <v/>
      </c>
      <c r="J648" s="7">
        <f>'1 prepared data'!I641</f>
        <v/>
      </c>
      <c r="K648" s="7">
        <f>'1 prepared data'!J641</f>
        <v/>
      </c>
      <c r="L648" s="7">
        <f>'1 prepared data'!K641</f>
        <v/>
      </c>
      <c r="M648" s="7">
        <f>'1 prepared data'!L641</f>
        <v/>
      </c>
      <c r="N648" s="7">
        <f>'1 prepared data'!M641</f>
        <v/>
      </c>
      <c r="O648" s="7">
        <f>'1 prepared data'!N641</f>
        <v/>
      </c>
      <c r="P648" s="7">
        <f>'1 prepared data'!O641</f>
        <v/>
      </c>
      <c r="Q648" s="7">
        <f>'1 prepared data'!P641</f>
        <v/>
      </c>
      <c r="R648" s="7">
        <f>'1 prepared data'!Q641</f>
        <v/>
      </c>
      <c r="S648" s="7">
        <f>'1 prepared data'!R641</f>
        <v/>
      </c>
      <c r="T648" s="7">
        <f>'1 prepared data'!S641</f>
        <v/>
      </c>
      <c r="U648" s="7">
        <f>'1 prepared data'!T641</f>
        <v/>
      </c>
      <c r="V648" s="8">
        <f>$AC$12+D648*$AC$13+E648*$AC$14+F648*$AC$15+G648*$AC$16+H648*$AC$17+I648*$AC$18+J648*$AC$19+K648*$AC$20+L648*$AC$21+M648*$AC$22+N648*$AC$23+O648*$AC$24+P648*$AC$25+Q648*$AC$26+R648*$AC$27+S648*$AC$28+T648*$AC$29+U648*$AC$30</f>
        <v/>
      </c>
      <c r="W648" s="8">
        <f>1/(1+EXP(-V648))</f>
        <v/>
      </c>
      <c r="X648" s="9">
        <f>-IF(C648=1,LN(W648),LN(1-W648))</f>
        <v/>
      </c>
      <c r="Y648" s="10">
        <f>IF(W648&gt;$AC$33,1,0)</f>
        <v/>
      </c>
      <c r="Z648">
        <f>IF(Y648=C648,1,0)</f>
        <v/>
      </c>
    </row>
    <row r="649">
      <c r="A649">
        <f>'1 prepared data'!A642</f>
        <v/>
      </c>
      <c r="B649" s="5">
        <f>'1 prepared data'!U642</f>
        <v/>
      </c>
      <c r="C649">
        <f>'1 prepared data'!B642</f>
        <v/>
      </c>
      <c r="D649" s="7">
        <f>'1 prepared data'!C642</f>
        <v/>
      </c>
      <c r="E649" s="7">
        <f>'1 prepared data'!D642</f>
        <v/>
      </c>
      <c r="F649" s="7">
        <f>'1 prepared data'!E642</f>
        <v/>
      </c>
      <c r="G649" s="7">
        <f>'1 prepared data'!F642</f>
        <v/>
      </c>
      <c r="H649" s="7">
        <f>'1 prepared data'!G642</f>
        <v/>
      </c>
      <c r="I649" s="7">
        <f>'1 prepared data'!H642</f>
        <v/>
      </c>
      <c r="J649" s="7">
        <f>'1 prepared data'!I642</f>
        <v/>
      </c>
      <c r="K649" s="7">
        <f>'1 prepared data'!J642</f>
        <v/>
      </c>
      <c r="L649" s="7">
        <f>'1 prepared data'!K642</f>
        <v/>
      </c>
      <c r="M649" s="7">
        <f>'1 prepared data'!L642</f>
        <v/>
      </c>
      <c r="N649" s="7">
        <f>'1 prepared data'!M642</f>
        <v/>
      </c>
      <c r="O649" s="7">
        <f>'1 prepared data'!N642</f>
        <v/>
      </c>
      <c r="P649" s="7">
        <f>'1 prepared data'!O642</f>
        <v/>
      </c>
      <c r="Q649" s="7">
        <f>'1 prepared data'!P642</f>
        <v/>
      </c>
      <c r="R649" s="7">
        <f>'1 prepared data'!Q642</f>
        <v/>
      </c>
      <c r="S649" s="7">
        <f>'1 prepared data'!R642</f>
        <v/>
      </c>
      <c r="T649" s="7">
        <f>'1 prepared data'!S642</f>
        <v/>
      </c>
      <c r="U649" s="7">
        <f>'1 prepared data'!T642</f>
        <v/>
      </c>
      <c r="V649" s="8">
        <f>$AC$12+D649*$AC$13+E649*$AC$14+F649*$AC$15+G649*$AC$16+H649*$AC$17+I649*$AC$18+J649*$AC$19+K649*$AC$20+L649*$AC$21+M649*$AC$22+N649*$AC$23+O649*$AC$24+P649*$AC$25+Q649*$AC$26+R649*$AC$27+S649*$AC$28+T649*$AC$29+U649*$AC$30</f>
        <v/>
      </c>
      <c r="W649" s="8">
        <f>1/(1+EXP(-V649))</f>
        <v/>
      </c>
      <c r="X649" s="9">
        <f>-IF(C649=1,LN(W649),LN(1-W649))</f>
        <v/>
      </c>
      <c r="Y649" s="10">
        <f>IF(W649&gt;$AC$33,1,0)</f>
        <v/>
      </c>
      <c r="Z649">
        <f>IF(Y649=C649,1,0)</f>
        <v/>
      </c>
    </row>
    <row r="650">
      <c r="A650">
        <f>'1 prepared data'!A643</f>
        <v/>
      </c>
      <c r="B650" s="5">
        <f>'1 prepared data'!U643</f>
        <v/>
      </c>
      <c r="C650">
        <f>'1 prepared data'!B643</f>
        <v/>
      </c>
      <c r="D650" s="7">
        <f>'1 prepared data'!C643</f>
        <v/>
      </c>
      <c r="E650" s="7">
        <f>'1 prepared data'!D643</f>
        <v/>
      </c>
      <c r="F650" s="7">
        <f>'1 prepared data'!E643</f>
        <v/>
      </c>
      <c r="G650" s="7">
        <f>'1 prepared data'!F643</f>
        <v/>
      </c>
      <c r="H650" s="7">
        <f>'1 prepared data'!G643</f>
        <v/>
      </c>
      <c r="I650" s="7">
        <f>'1 prepared data'!H643</f>
        <v/>
      </c>
      <c r="J650" s="7">
        <f>'1 prepared data'!I643</f>
        <v/>
      </c>
      <c r="K650" s="7">
        <f>'1 prepared data'!J643</f>
        <v/>
      </c>
      <c r="L650" s="7">
        <f>'1 prepared data'!K643</f>
        <v/>
      </c>
      <c r="M650" s="7">
        <f>'1 prepared data'!L643</f>
        <v/>
      </c>
      <c r="N650" s="7">
        <f>'1 prepared data'!M643</f>
        <v/>
      </c>
      <c r="O650" s="7">
        <f>'1 prepared data'!N643</f>
        <v/>
      </c>
      <c r="P650" s="7">
        <f>'1 prepared data'!O643</f>
        <v/>
      </c>
      <c r="Q650" s="7">
        <f>'1 prepared data'!P643</f>
        <v/>
      </c>
      <c r="R650" s="7">
        <f>'1 prepared data'!Q643</f>
        <v/>
      </c>
      <c r="S650" s="7">
        <f>'1 prepared data'!R643</f>
        <v/>
      </c>
      <c r="T650" s="7">
        <f>'1 prepared data'!S643</f>
        <v/>
      </c>
      <c r="U650" s="7">
        <f>'1 prepared data'!T643</f>
        <v/>
      </c>
      <c r="V650" s="8">
        <f>$AC$12+D650*$AC$13+E650*$AC$14+F650*$AC$15+G650*$AC$16+H650*$AC$17+I650*$AC$18+J650*$AC$19+K650*$AC$20+L650*$AC$21+M650*$AC$22+N650*$AC$23+O650*$AC$24+P650*$AC$25+Q650*$AC$26+R650*$AC$27+S650*$AC$28+T650*$AC$29+U650*$AC$30</f>
        <v/>
      </c>
      <c r="W650" s="8">
        <f>1/(1+EXP(-V650))</f>
        <v/>
      </c>
      <c r="X650" s="9">
        <f>-IF(C650=1,LN(W650),LN(1-W650))</f>
        <v/>
      </c>
      <c r="Y650" s="10">
        <f>IF(W650&gt;$AC$33,1,0)</f>
        <v/>
      </c>
      <c r="Z650">
        <f>IF(Y650=C650,1,0)</f>
        <v/>
      </c>
    </row>
    <row r="651">
      <c r="A651">
        <f>'1 prepared data'!A644</f>
        <v/>
      </c>
      <c r="B651" s="5">
        <f>'1 prepared data'!U644</f>
        <v/>
      </c>
      <c r="C651">
        <f>'1 prepared data'!B644</f>
        <v/>
      </c>
      <c r="D651" s="7">
        <f>'1 prepared data'!C644</f>
        <v/>
      </c>
      <c r="E651" s="7">
        <f>'1 prepared data'!D644</f>
        <v/>
      </c>
      <c r="F651" s="7">
        <f>'1 prepared data'!E644</f>
        <v/>
      </c>
      <c r="G651" s="7">
        <f>'1 prepared data'!F644</f>
        <v/>
      </c>
      <c r="H651" s="7">
        <f>'1 prepared data'!G644</f>
        <v/>
      </c>
      <c r="I651" s="7">
        <f>'1 prepared data'!H644</f>
        <v/>
      </c>
      <c r="J651" s="7">
        <f>'1 prepared data'!I644</f>
        <v/>
      </c>
      <c r="K651" s="7">
        <f>'1 prepared data'!J644</f>
        <v/>
      </c>
      <c r="L651" s="7">
        <f>'1 prepared data'!K644</f>
        <v/>
      </c>
      <c r="M651" s="7">
        <f>'1 prepared data'!L644</f>
        <v/>
      </c>
      <c r="N651" s="7">
        <f>'1 prepared data'!M644</f>
        <v/>
      </c>
      <c r="O651" s="7">
        <f>'1 prepared data'!N644</f>
        <v/>
      </c>
      <c r="P651" s="7">
        <f>'1 prepared data'!O644</f>
        <v/>
      </c>
      <c r="Q651" s="7">
        <f>'1 prepared data'!P644</f>
        <v/>
      </c>
      <c r="R651" s="7">
        <f>'1 prepared data'!Q644</f>
        <v/>
      </c>
      <c r="S651" s="7">
        <f>'1 prepared data'!R644</f>
        <v/>
      </c>
      <c r="T651" s="7">
        <f>'1 prepared data'!S644</f>
        <v/>
      </c>
      <c r="U651" s="7">
        <f>'1 prepared data'!T644</f>
        <v/>
      </c>
      <c r="V651" s="8">
        <f>$AC$12+D651*$AC$13+E651*$AC$14+F651*$AC$15+G651*$AC$16+H651*$AC$17+I651*$AC$18+J651*$AC$19+K651*$AC$20+L651*$AC$21+M651*$AC$22+N651*$AC$23+O651*$AC$24+P651*$AC$25+Q651*$AC$26+R651*$AC$27+S651*$AC$28+T651*$AC$29+U651*$AC$30</f>
        <v/>
      </c>
      <c r="W651" s="8">
        <f>1/(1+EXP(-V651))</f>
        <v/>
      </c>
      <c r="X651" s="9">
        <f>-IF(C651=1,LN(W651),LN(1-W651))</f>
        <v/>
      </c>
      <c r="Y651" s="10">
        <f>IF(W651&gt;$AC$33,1,0)</f>
        <v/>
      </c>
      <c r="Z651">
        <f>IF(Y651=C651,1,0)</f>
        <v/>
      </c>
    </row>
    <row r="652">
      <c r="A652">
        <f>'1 prepared data'!A645</f>
        <v/>
      </c>
      <c r="B652" s="5">
        <f>'1 prepared data'!U645</f>
        <v/>
      </c>
      <c r="C652">
        <f>'1 prepared data'!B645</f>
        <v/>
      </c>
      <c r="D652" s="7">
        <f>'1 prepared data'!C645</f>
        <v/>
      </c>
      <c r="E652" s="7">
        <f>'1 prepared data'!D645</f>
        <v/>
      </c>
      <c r="F652" s="7">
        <f>'1 prepared data'!E645</f>
        <v/>
      </c>
      <c r="G652" s="7">
        <f>'1 prepared data'!F645</f>
        <v/>
      </c>
      <c r="H652" s="7">
        <f>'1 prepared data'!G645</f>
        <v/>
      </c>
      <c r="I652" s="7">
        <f>'1 prepared data'!H645</f>
        <v/>
      </c>
      <c r="J652" s="7">
        <f>'1 prepared data'!I645</f>
        <v/>
      </c>
      <c r="K652" s="7">
        <f>'1 prepared data'!J645</f>
        <v/>
      </c>
      <c r="L652" s="7">
        <f>'1 prepared data'!K645</f>
        <v/>
      </c>
      <c r="M652" s="7">
        <f>'1 prepared data'!L645</f>
        <v/>
      </c>
      <c r="N652" s="7">
        <f>'1 prepared data'!M645</f>
        <v/>
      </c>
      <c r="O652" s="7">
        <f>'1 prepared data'!N645</f>
        <v/>
      </c>
      <c r="P652" s="7">
        <f>'1 prepared data'!O645</f>
        <v/>
      </c>
      <c r="Q652" s="7">
        <f>'1 prepared data'!P645</f>
        <v/>
      </c>
      <c r="R652" s="7">
        <f>'1 prepared data'!Q645</f>
        <v/>
      </c>
      <c r="S652" s="7">
        <f>'1 prepared data'!R645</f>
        <v/>
      </c>
      <c r="T652" s="7">
        <f>'1 prepared data'!S645</f>
        <v/>
      </c>
      <c r="U652" s="7">
        <f>'1 prepared data'!T645</f>
        <v/>
      </c>
      <c r="V652" s="8">
        <f>$AC$12+D652*$AC$13+E652*$AC$14+F652*$AC$15+G652*$AC$16+H652*$AC$17+I652*$AC$18+J652*$AC$19+K652*$AC$20+L652*$AC$21+M652*$AC$22+N652*$AC$23+O652*$AC$24+P652*$AC$25+Q652*$AC$26+R652*$AC$27+S652*$AC$28+T652*$AC$29+U652*$AC$30</f>
        <v/>
      </c>
      <c r="W652" s="8">
        <f>1/(1+EXP(-V652))</f>
        <v/>
      </c>
      <c r="X652" s="9">
        <f>-IF(C652=1,LN(W652),LN(1-W652))</f>
        <v/>
      </c>
      <c r="Y652" s="10">
        <f>IF(W652&gt;$AC$33,1,0)</f>
        <v/>
      </c>
      <c r="Z652">
        <f>IF(Y652=C652,1,0)</f>
        <v/>
      </c>
    </row>
    <row r="653">
      <c r="A653">
        <f>'1 prepared data'!A646</f>
        <v/>
      </c>
      <c r="B653" s="5">
        <f>'1 prepared data'!U646</f>
        <v/>
      </c>
      <c r="C653">
        <f>'1 prepared data'!B646</f>
        <v/>
      </c>
      <c r="D653" s="7">
        <f>'1 prepared data'!C646</f>
        <v/>
      </c>
      <c r="E653" s="7">
        <f>'1 prepared data'!D646</f>
        <v/>
      </c>
      <c r="F653" s="7">
        <f>'1 prepared data'!E646</f>
        <v/>
      </c>
      <c r="G653" s="7">
        <f>'1 prepared data'!F646</f>
        <v/>
      </c>
      <c r="H653" s="7">
        <f>'1 prepared data'!G646</f>
        <v/>
      </c>
      <c r="I653" s="7">
        <f>'1 prepared data'!H646</f>
        <v/>
      </c>
      <c r="J653" s="7">
        <f>'1 prepared data'!I646</f>
        <v/>
      </c>
      <c r="K653" s="7">
        <f>'1 prepared data'!J646</f>
        <v/>
      </c>
      <c r="L653" s="7">
        <f>'1 prepared data'!K646</f>
        <v/>
      </c>
      <c r="M653" s="7">
        <f>'1 prepared data'!L646</f>
        <v/>
      </c>
      <c r="N653" s="7">
        <f>'1 prepared data'!M646</f>
        <v/>
      </c>
      <c r="O653" s="7">
        <f>'1 prepared data'!N646</f>
        <v/>
      </c>
      <c r="P653" s="7">
        <f>'1 prepared data'!O646</f>
        <v/>
      </c>
      <c r="Q653" s="7">
        <f>'1 prepared data'!P646</f>
        <v/>
      </c>
      <c r="R653" s="7">
        <f>'1 prepared data'!Q646</f>
        <v/>
      </c>
      <c r="S653" s="7">
        <f>'1 prepared data'!R646</f>
        <v/>
      </c>
      <c r="T653" s="7">
        <f>'1 prepared data'!S646</f>
        <v/>
      </c>
      <c r="U653" s="7">
        <f>'1 prepared data'!T646</f>
        <v/>
      </c>
      <c r="V653" s="8">
        <f>$AC$12+D653*$AC$13+E653*$AC$14+F653*$AC$15+G653*$AC$16+H653*$AC$17+I653*$AC$18+J653*$AC$19+K653*$AC$20+L653*$AC$21+M653*$AC$22+N653*$AC$23+O653*$AC$24+P653*$AC$25+Q653*$AC$26+R653*$AC$27+S653*$AC$28+T653*$AC$29+U653*$AC$30</f>
        <v/>
      </c>
      <c r="W653" s="8">
        <f>1/(1+EXP(-V653))</f>
        <v/>
      </c>
      <c r="X653" s="9">
        <f>-IF(C653=1,LN(W653),LN(1-W653))</f>
        <v/>
      </c>
      <c r="Y653" s="10">
        <f>IF(W653&gt;$AC$33,1,0)</f>
        <v/>
      </c>
      <c r="Z653">
        <f>IF(Y653=C653,1,0)</f>
        <v/>
      </c>
    </row>
    <row r="654">
      <c r="A654">
        <f>'1 prepared data'!A647</f>
        <v/>
      </c>
      <c r="B654" s="5">
        <f>'1 prepared data'!U647</f>
        <v/>
      </c>
      <c r="C654">
        <f>'1 prepared data'!B647</f>
        <v/>
      </c>
      <c r="D654" s="7">
        <f>'1 prepared data'!C647</f>
        <v/>
      </c>
      <c r="E654" s="7">
        <f>'1 prepared data'!D647</f>
        <v/>
      </c>
      <c r="F654" s="7">
        <f>'1 prepared data'!E647</f>
        <v/>
      </c>
      <c r="G654" s="7">
        <f>'1 prepared data'!F647</f>
        <v/>
      </c>
      <c r="H654" s="7">
        <f>'1 prepared data'!G647</f>
        <v/>
      </c>
      <c r="I654" s="7">
        <f>'1 prepared data'!H647</f>
        <v/>
      </c>
      <c r="J654" s="7">
        <f>'1 prepared data'!I647</f>
        <v/>
      </c>
      <c r="K654" s="7">
        <f>'1 prepared data'!J647</f>
        <v/>
      </c>
      <c r="L654" s="7">
        <f>'1 prepared data'!K647</f>
        <v/>
      </c>
      <c r="M654" s="7">
        <f>'1 prepared data'!L647</f>
        <v/>
      </c>
      <c r="N654" s="7">
        <f>'1 prepared data'!M647</f>
        <v/>
      </c>
      <c r="O654" s="7">
        <f>'1 prepared data'!N647</f>
        <v/>
      </c>
      <c r="P654" s="7">
        <f>'1 prepared data'!O647</f>
        <v/>
      </c>
      <c r="Q654" s="7">
        <f>'1 prepared data'!P647</f>
        <v/>
      </c>
      <c r="R654" s="7">
        <f>'1 prepared data'!Q647</f>
        <v/>
      </c>
      <c r="S654" s="7">
        <f>'1 prepared data'!R647</f>
        <v/>
      </c>
      <c r="T654" s="7">
        <f>'1 prepared data'!S647</f>
        <v/>
      </c>
      <c r="U654" s="7">
        <f>'1 prepared data'!T647</f>
        <v/>
      </c>
      <c r="V654" s="8">
        <f>$AC$12+D654*$AC$13+E654*$AC$14+F654*$AC$15+G654*$AC$16+H654*$AC$17+I654*$AC$18+J654*$AC$19+K654*$AC$20+L654*$AC$21+M654*$AC$22+N654*$AC$23+O654*$AC$24+P654*$AC$25+Q654*$AC$26+R654*$AC$27+S654*$AC$28+T654*$AC$29+U654*$AC$30</f>
        <v/>
      </c>
      <c r="W654" s="8">
        <f>1/(1+EXP(-V654))</f>
        <v/>
      </c>
      <c r="X654" s="9">
        <f>-IF(C654=1,LN(W654),LN(1-W654))</f>
        <v/>
      </c>
      <c r="Y654" s="10">
        <f>IF(W654&gt;$AC$33,1,0)</f>
        <v/>
      </c>
      <c r="Z654">
        <f>IF(Y654=C654,1,0)</f>
        <v/>
      </c>
    </row>
    <row r="655">
      <c r="A655">
        <f>'1 prepared data'!A648</f>
        <v/>
      </c>
      <c r="B655" s="5">
        <f>'1 prepared data'!U648</f>
        <v/>
      </c>
      <c r="C655">
        <f>'1 prepared data'!B648</f>
        <v/>
      </c>
      <c r="D655" s="7">
        <f>'1 prepared data'!C648</f>
        <v/>
      </c>
      <c r="E655" s="7">
        <f>'1 prepared data'!D648</f>
        <v/>
      </c>
      <c r="F655" s="7">
        <f>'1 prepared data'!E648</f>
        <v/>
      </c>
      <c r="G655" s="7">
        <f>'1 prepared data'!F648</f>
        <v/>
      </c>
      <c r="H655" s="7">
        <f>'1 prepared data'!G648</f>
        <v/>
      </c>
      <c r="I655" s="7">
        <f>'1 prepared data'!H648</f>
        <v/>
      </c>
      <c r="J655" s="7">
        <f>'1 prepared data'!I648</f>
        <v/>
      </c>
      <c r="K655" s="7">
        <f>'1 prepared data'!J648</f>
        <v/>
      </c>
      <c r="L655" s="7">
        <f>'1 prepared data'!K648</f>
        <v/>
      </c>
      <c r="M655" s="7">
        <f>'1 prepared data'!L648</f>
        <v/>
      </c>
      <c r="N655" s="7">
        <f>'1 prepared data'!M648</f>
        <v/>
      </c>
      <c r="O655" s="7">
        <f>'1 prepared data'!N648</f>
        <v/>
      </c>
      <c r="P655" s="7">
        <f>'1 prepared data'!O648</f>
        <v/>
      </c>
      <c r="Q655" s="7">
        <f>'1 prepared data'!P648</f>
        <v/>
      </c>
      <c r="R655" s="7">
        <f>'1 prepared data'!Q648</f>
        <v/>
      </c>
      <c r="S655" s="7">
        <f>'1 prepared data'!R648</f>
        <v/>
      </c>
      <c r="T655" s="7">
        <f>'1 prepared data'!S648</f>
        <v/>
      </c>
      <c r="U655" s="7">
        <f>'1 prepared data'!T648</f>
        <v/>
      </c>
      <c r="V655" s="8">
        <f>$AC$12+D655*$AC$13+E655*$AC$14+F655*$AC$15+G655*$AC$16+H655*$AC$17+I655*$AC$18+J655*$AC$19+K655*$AC$20+L655*$AC$21+M655*$AC$22+N655*$AC$23+O655*$AC$24+P655*$AC$25+Q655*$AC$26+R655*$AC$27+S655*$AC$28+T655*$AC$29+U655*$AC$30</f>
        <v/>
      </c>
      <c r="W655" s="8">
        <f>1/(1+EXP(-V655))</f>
        <v/>
      </c>
      <c r="X655" s="9">
        <f>-IF(C655=1,LN(W655),LN(1-W655))</f>
        <v/>
      </c>
      <c r="Y655" s="10">
        <f>IF(W655&gt;$AC$33,1,0)</f>
        <v/>
      </c>
      <c r="Z655">
        <f>IF(Y655=C655,1,0)</f>
        <v/>
      </c>
    </row>
    <row r="656">
      <c r="A656">
        <f>'1 prepared data'!A649</f>
        <v/>
      </c>
      <c r="B656" s="5">
        <f>'1 prepared data'!U649</f>
        <v/>
      </c>
      <c r="C656">
        <f>'1 prepared data'!B649</f>
        <v/>
      </c>
      <c r="D656" s="7">
        <f>'1 prepared data'!C649</f>
        <v/>
      </c>
      <c r="E656" s="7">
        <f>'1 prepared data'!D649</f>
        <v/>
      </c>
      <c r="F656" s="7">
        <f>'1 prepared data'!E649</f>
        <v/>
      </c>
      <c r="G656" s="7">
        <f>'1 prepared data'!F649</f>
        <v/>
      </c>
      <c r="H656" s="7">
        <f>'1 prepared data'!G649</f>
        <v/>
      </c>
      <c r="I656" s="7">
        <f>'1 prepared data'!H649</f>
        <v/>
      </c>
      <c r="J656" s="7">
        <f>'1 prepared data'!I649</f>
        <v/>
      </c>
      <c r="K656" s="7">
        <f>'1 prepared data'!J649</f>
        <v/>
      </c>
      <c r="L656" s="7">
        <f>'1 prepared data'!K649</f>
        <v/>
      </c>
      <c r="M656" s="7">
        <f>'1 prepared data'!L649</f>
        <v/>
      </c>
      <c r="N656" s="7">
        <f>'1 prepared data'!M649</f>
        <v/>
      </c>
      <c r="O656" s="7">
        <f>'1 prepared data'!N649</f>
        <v/>
      </c>
      <c r="P656" s="7">
        <f>'1 prepared data'!O649</f>
        <v/>
      </c>
      <c r="Q656" s="7">
        <f>'1 prepared data'!P649</f>
        <v/>
      </c>
      <c r="R656" s="7">
        <f>'1 prepared data'!Q649</f>
        <v/>
      </c>
      <c r="S656" s="7">
        <f>'1 prepared data'!R649</f>
        <v/>
      </c>
      <c r="T656" s="7">
        <f>'1 prepared data'!S649</f>
        <v/>
      </c>
      <c r="U656" s="7">
        <f>'1 prepared data'!T649</f>
        <v/>
      </c>
      <c r="V656" s="8">
        <f>$AC$12+D656*$AC$13+E656*$AC$14+F656*$AC$15+G656*$AC$16+H656*$AC$17+I656*$AC$18+J656*$AC$19+K656*$AC$20+L656*$AC$21+M656*$AC$22+N656*$AC$23+O656*$AC$24+P656*$AC$25+Q656*$AC$26+R656*$AC$27+S656*$AC$28+T656*$AC$29+U656*$AC$30</f>
        <v/>
      </c>
      <c r="W656" s="8">
        <f>1/(1+EXP(-V656))</f>
        <v/>
      </c>
      <c r="X656" s="9">
        <f>-IF(C656=1,LN(W656),LN(1-W656))</f>
        <v/>
      </c>
      <c r="Y656" s="10">
        <f>IF(W656&gt;$AC$33,1,0)</f>
        <v/>
      </c>
      <c r="Z656">
        <f>IF(Y656=C656,1,0)</f>
        <v/>
      </c>
    </row>
    <row r="657">
      <c r="A657">
        <f>'1 prepared data'!A650</f>
        <v/>
      </c>
      <c r="B657" s="5">
        <f>'1 prepared data'!U650</f>
        <v/>
      </c>
      <c r="C657">
        <f>'1 prepared data'!B650</f>
        <v/>
      </c>
      <c r="D657" s="7">
        <f>'1 prepared data'!C650</f>
        <v/>
      </c>
      <c r="E657" s="7">
        <f>'1 prepared data'!D650</f>
        <v/>
      </c>
      <c r="F657" s="7">
        <f>'1 prepared data'!E650</f>
        <v/>
      </c>
      <c r="G657" s="7">
        <f>'1 prepared data'!F650</f>
        <v/>
      </c>
      <c r="H657" s="7">
        <f>'1 prepared data'!G650</f>
        <v/>
      </c>
      <c r="I657" s="7">
        <f>'1 prepared data'!H650</f>
        <v/>
      </c>
      <c r="J657" s="7">
        <f>'1 prepared data'!I650</f>
        <v/>
      </c>
      <c r="K657" s="7">
        <f>'1 prepared data'!J650</f>
        <v/>
      </c>
      <c r="L657" s="7">
        <f>'1 prepared data'!K650</f>
        <v/>
      </c>
      <c r="M657" s="7">
        <f>'1 prepared data'!L650</f>
        <v/>
      </c>
      <c r="N657" s="7">
        <f>'1 prepared data'!M650</f>
        <v/>
      </c>
      <c r="O657" s="7">
        <f>'1 prepared data'!N650</f>
        <v/>
      </c>
      <c r="P657" s="7">
        <f>'1 prepared data'!O650</f>
        <v/>
      </c>
      <c r="Q657" s="7">
        <f>'1 prepared data'!P650</f>
        <v/>
      </c>
      <c r="R657" s="7">
        <f>'1 prepared data'!Q650</f>
        <v/>
      </c>
      <c r="S657" s="7">
        <f>'1 prepared data'!R650</f>
        <v/>
      </c>
      <c r="T657" s="7">
        <f>'1 prepared data'!S650</f>
        <v/>
      </c>
      <c r="U657" s="7">
        <f>'1 prepared data'!T650</f>
        <v/>
      </c>
      <c r="V657" s="8">
        <f>$AC$12+D657*$AC$13+E657*$AC$14+F657*$AC$15+G657*$AC$16+H657*$AC$17+I657*$AC$18+J657*$AC$19+K657*$AC$20+L657*$AC$21+M657*$AC$22+N657*$AC$23+O657*$AC$24+P657*$AC$25+Q657*$AC$26+R657*$AC$27+S657*$AC$28+T657*$AC$29+U657*$AC$30</f>
        <v/>
      </c>
      <c r="W657" s="8">
        <f>1/(1+EXP(-V657))</f>
        <v/>
      </c>
      <c r="X657" s="9">
        <f>-IF(C657=1,LN(W657),LN(1-W657))</f>
        <v/>
      </c>
      <c r="Y657" s="10">
        <f>IF(W657&gt;$AC$33,1,0)</f>
        <v/>
      </c>
      <c r="Z657">
        <f>IF(Y657=C657,1,0)</f>
        <v/>
      </c>
    </row>
    <row r="658">
      <c r="A658">
        <f>'1 prepared data'!A651</f>
        <v/>
      </c>
      <c r="B658" s="5">
        <f>'1 prepared data'!U651</f>
        <v/>
      </c>
      <c r="C658">
        <f>'1 prepared data'!B651</f>
        <v/>
      </c>
      <c r="D658" s="7">
        <f>'1 prepared data'!C651</f>
        <v/>
      </c>
      <c r="E658" s="7">
        <f>'1 prepared data'!D651</f>
        <v/>
      </c>
      <c r="F658" s="7">
        <f>'1 prepared data'!E651</f>
        <v/>
      </c>
      <c r="G658" s="7">
        <f>'1 prepared data'!F651</f>
        <v/>
      </c>
      <c r="H658" s="7">
        <f>'1 prepared data'!G651</f>
        <v/>
      </c>
      <c r="I658" s="7">
        <f>'1 prepared data'!H651</f>
        <v/>
      </c>
      <c r="J658" s="7">
        <f>'1 prepared data'!I651</f>
        <v/>
      </c>
      <c r="K658" s="7">
        <f>'1 prepared data'!J651</f>
        <v/>
      </c>
      <c r="L658" s="7">
        <f>'1 prepared data'!K651</f>
        <v/>
      </c>
      <c r="M658" s="7">
        <f>'1 prepared data'!L651</f>
        <v/>
      </c>
      <c r="N658" s="7">
        <f>'1 prepared data'!M651</f>
        <v/>
      </c>
      <c r="O658" s="7">
        <f>'1 prepared data'!N651</f>
        <v/>
      </c>
      <c r="P658" s="7">
        <f>'1 prepared data'!O651</f>
        <v/>
      </c>
      <c r="Q658" s="7">
        <f>'1 prepared data'!P651</f>
        <v/>
      </c>
      <c r="R658" s="7">
        <f>'1 prepared data'!Q651</f>
        <v/>
      </c>
      <c r="S658" s="7">
        <f>'1 prepared data'!R651</f>
        <v/>
      </c>
      <c r="T658" s="7">
        <f>'1 prepared data'!S651</f>
        <v/>
      </c>
      <c r="U658" s="7">
        <f>'1 prepared data'!T651</f>
        <v/>
      </c>
      <c r="V658" s="8">
        <f>$AC$12+D658*$AC$13+E658*$AC$14+F658*$AC$15+G658*$AC$16+H658*$AC$17+I658*$AC$18+J658*$AC$19+K658*$AC$20+L658*$AC$21+M658*$AC$22+N658*$AC$23+O658*$AC$24+P658*$AC$25+Q658*$AC$26+R658*$AC$27+S658*$AC$28+T658*$AC$29+U658*$AC$30</f>
        <v/>
      </c>
      <c r="W658" s="8">
        <f>1/(1+EXP(-V658))</f>
        <v/>
      </c>
      <c r="X658" s="9">
        <f>-IF(C658=1,LN(W658),LN(1-W658))</f>
        <v/>
      </c>
      <c r="Y658" s="10">
        <f>IF(W658&gt;$AC$33,1,0)</f>
        <v/>
      </c>
      <c r="Z658">
        <f>IF(Y658=C658,1,0)</f>
        <v/>
      </c>
    </row>
    <row r="659">
      <c r="A659">
        <f>'1 prepared data'!A652</f>
        <v/>
      </c>
      <c r="B659" s="5">
        <f>'1 prepared data'!U652</f>
        <v/>
      </c>
      <c r="C659">
        <f>'1 prepared data'!B652</f>
        <v/>
      </c>
      <c r="D659" s="7">
        <f>'1 prepared data'!C652</f>
        <v/>
      </c>
      <c r="E659" s="7">
        <f>'1 prepared data'!D652</f>
        <v/>
      </c>
      <c r="F659" s="7">
        <f>'1 prepared data'!E652</f>
        <v/>
      </c>
      <c r="G659" s="7">
        <f>'1 prepared data'!F652</f>
        <v/>
      </c>
      <c r="H659" s="7">
        <f>'1 prepared data'!G652</f>
        <v/>
      </c>
      <c r="I659" s="7">
        <f>'1 prepared data'!H652</f>
        <v/>
      </c>
      <c r="J659" s="7">
        <f>'1 prepared data'!I652</f>
        <v/>
      </c>
      <c r="K659" s="7">
        <f>'1 prepared data'!J652</f>
        <v/>
      </c>
      <c r="L659" s="7">
        <f>'1 prepared data'!K652</f>
        <v/>
      </c>
      <c r="M659" s="7">
        <f>'1 prepared data'!L652</f>
        <v/>
      </c>
      <c r="N659" s="7">
        <f>'1 prepared data'!M652</f>
        <v/>
      </c>
      <c r="O659" s="7">
        <f>'1 prepared data'!N652</f>
        <v/>
      </c>
      <c r="P659" s="7">
        <f>'1 prepared data'!O652</f>
        <v/>
      </c>
      <c r="Q659" s="7">
        <f>'1 prepared data'!P652</f>
        <v/>
      </c>
      <c r="R659" s="7">
        <f>'1 prepared data'!Q652</f>
        <v/>
      </c>
      <c r="S659" s="7">
        <f>'1 prepared data'!R652</f>
        <v/>
      </c>
      <c r="T659" s="7">
        <f>'1 prepared data'!S652</f>
        <v/>
      </c>
      <c r="U659" s="7">
        <f>'1 prepared data'!T652</f>
        <v/>
      </c>
      <c r="V659" s="8">
        <f>$AC$12+D659*$AC$13+E659*$AC$14+F659*$AC$15+G659*$AC$16+H659*$AC$17+I659*$AC$18+J659*$AC$19+K659*$AC$20+L659*$AC$21+M659*$AC$22+N659*$AC$23+O659*$AC$24+P659*$AC$25+Q659*$AC$26+R659*$AC$27+S659*$AC$28+T659*$AC$29+U659*$AC$30</f>
        <v/>
      </c>
      <c r="W659" s="8">
        <f>1/(1+EXP(-V659))</f>
        <v/>
      </c>
      <c r="X659" s="9">
        <f>-IF(C659=1,LN(W659),LN(1-W659))</f>
        <v/>
      </c>
      <c r="Y659" s="10">
        <f>IF(W659&gt;$AC$33,1,0)</f>
        <v/>
      </c>
      <c r="Z659">
        <f>IF(Y659=C659,1,0)</f>
        <v/>
      </c>
    </row>
    <row r="660">
      <c r="A660">
        <f>'1 prepared data'!A653</f>
        <v/>
      </c>
      <c r="B660" s="5">
        <f>'1 prepared data'!U653</f>
        <v/>
      </c>
      <c r="C660">
        <f>'1 prepared data'!B653</f>
        <v/>
      </c>
      <c r="D660" s="7">
        <f>'1 prepared data'!C653</f>
        <v/>
      </c>
      <c r="E660" s="7">
        <f>'1 prepared data'!D653</f>
        <v/>
      </c>
      <c r="F660" s="7">
        <f>'1 prepared data'!E653</f>
        <v/>
      </c>
      <c r="G660" s="7">
        <f>'1 prepared data'!F653</f>
        <v/>
      </c>
      <c r="H660" s="7">
        <f>'1 prepared data'!G653</f>
        <v/>
      </c>
      <c r="I660" s="7">
        <f>'1 prepared data'!H653</f>
        <v/>
      </c>
      <c r="J660" s="7">
        <f>'1 prepared data'!I653</f>
        <v/>
      </c>
      <c r="K660" s="7">
        <f>'1 prepared data'!J653</f>
        <v/>
      </c>
      <c r="L660" s="7">
        <f>'1 prepared data'!K653</f>
        <v/>
      </c>
      <c r="M660" s="7">
        <f>'1 prepared data'!L653</f>
        <v/>
      </c>
      <c r="N660" s="7">
        <f>'1 prepared data'!M653</f>
        <v/>
      </c>
      <c r="O660" s="7">
        <f>'1 prepared data'!N653</f>
        <v/>
      </c>
      <c r="P660" s="7">
        <f>'1 prepared data'!O653</f>
        <v/>
      </c>
      <c r="Q660" s="7">
        <f>'1 prepared data'!P653</f>
        <v/>
      </c>
      <c r="R660" s="7">
        <f>'1 prepared data'!Q653</f>
        <v/>
      </c>
      <c r="S660" s="7">
        <f>'1 prepared data'!R653</f>
        <v/>
      </c>
      <c r="T660" s="7">
        <f>'1 prepared data'!S653</f>
        <v/>
      </c>
      <c r="U660" s="7">
        <f>'1 prepared data'!T653</f>
        <v/>
      </c>
      <c r="V660" s="8">
        <f>$AC$12+D660*$AC$13+E660*$AC$14+F660*$AC$15+G660*$AC$16+H660*$AC$17+I660*$AC$18+J660*$AC$19+K660*$AC$20+L660*$AC$21+M660*$AC$22+N660*$AC$23+O660*$AC$24+P660*$AC$25+Q660*$AC$26+R660*$AC$27+S660*$AC$28+T660*$AC$29+U660*$AC$30</f>
        <v/>
      </c>
      <c r="W660" s="8">
        <f>1/(1+EXP(-V660))</f>
        <v/>
      </c>
      <c r="X660" s="9">
        <f>-IF(C660=1,LN(W660),LN(1-W660))</f>
        <v/>
      </c>
      <c r="Y660" s="10">
        <f>IF(W660&gt;$AC$33,1,0)</f>
        <v/>
      </c>
      <c r="Z660">
        <f>IF(Y660=C660,1,0)</f>
        <v/>
      </c>
    </row>
    <row r="661">
      <c r="A661">
        <f>'1 prepared data'!A654</f>
        <v/>
      </c>
      <c r="B661" s="5">
        <f>'1 prepared data'!U654</f>
        <v/>
      </c>
      <c r="C661">
        <f>'1 prepared data'!B654</f>
        <v/>
      </c>
      <c r="D661" s="7">
        <f>'1 prepared data'!C654</f>
        <v/>
      </c>
      <c r="E661" s="7">
        <f>'1 prepared data'!D654</f>
        <v/>
      </c>
      <c r="F661" s="7">
        <f>'1 prepared data'!E654</f>
        <v/>
      </c>
      <c r="G661" s="7">
        <f>'1 prepared data'!F654</f>
        <v/>
      </c>
      <c r="H661" s="7">
        <f>'1 prepared data'!G654</f>
        <v/>
      </c>
      <c r="I661" s="7">
        <f>'1 prepared data'!H654</f>
        <v/>
      </c>
      <c r="J661" s="7">
        <f>'1 prepared data'!I654</f>
        <v/>
      </c>
      <c r="K661" s="7">
        <f>'1 prepared data'!J654</f>
        <v/>
      </c>
      <c r="L661" s="7">
        <f>'1 prepared data'!K654</f>
        <v/>
      </c>
      <c r="M661" s="7">
        <f>'1 prepared data'!L654</f>
        <v/>
      </c>
      <c r="N661" s="7">
        <f>'1 prepared data'!M654</f>
        <v/>
      </c>
      <c r="O661" s="7">
        <f>'1 prepared data'!N654</f>
        <v/>
      </c>
      <c r="P661" s="7">
        <f>'1 prepared data'!O654</f>
        <v/>
      </c>
      <c r="Q661" s="7">
        <f>'1 prepared data'!P654</f>
        <v/>
      </c>
      <c r="R661" s="7">
        <f>'1 prepared data'!Q654</f>
        <v/>
      </c>
      <c r="S661" s="7">
        <f>'1 prepared data'!R654</f>
        <v/>
      </c>
      <c r="T661" s="7">
        <f>'1 prepared data'!S654</f>
        <v/>
      </c>
      <c r="U661" s="7">
        <f>'1 prepared data'!T654</f>
        <v/>
      </c>
      <c r="V661" s="8">
        <f>$AC$12+D661*$AC$13+E661*$AC$14+F661*$AC$15+G661*$AC$16+H661*$AC$17+I661*$AC$18+J661*$AC$19+K661*$AC$20+L661*$AC$21+M661*$AC$22+N661*$AC$23+O661*$AC$24+P661*$AC$25+Q661*$AC$26+R661*$AC$27+S661*$AC$28+T661*$AC$29+U661*$AC$30</f>
        <v/>
      </c>
      <c r="W661" s="8">
        <f>1/(1+EXP(-V661))</f>
        <v/>
      </c>
      <c r="X661" s="9">
        <f>-IF(C661=1,LN(W661),LN(1-W661))</f>
        <v/>
      </c>
      <c r="Y661" s="10">
        <f>IF(W661&gt;$AC$33,1,0)</f>
        <v/>
      </c>
      <c r="Z661">
        <f>IF(Y661=C661,1,0)</f>
        <v/>
      </c>
    </row>
    <row r="662">
      <c r="A662">
        <f>'1 prepared data'!A655</f>
        <v/>
      </c>
      <c r="B662" s="5">
        <f>'1 prepared data'!U655</f>
        <v/>
      </c>
      <c r="C662">
        <f>'1 prepared data'!B655</f>
        <v/>
      </c>
      <c r="D662" s="7">
        <f>'1 prepared data'!C655</f>
        <v/>
      </c>
      <c r="E662" s="7">
        <f>'1 prepared data'!D655</f>
        <v/>
      </c>
      <c r="F662" s="7">
        <f>'1 prepared data'!E655</f>
        <v/>
      </c>
      <c r="G662" s="7">
        <f>'1 prepared data'!F655</f>
        <v/>
      </c>
      <c r="H662" s="7">
        <f>'1 prepared data'!G655</f>
        <v/>
      </c>
      <c r="I662" s="7">
        <f>'1 prepared data'!H655</f>
        <v/>
      </c>
      <c r="J662" s="7">
        <f>'1 prepared data'!I655</f>
        <v/>
      </c>
      <c r="K662" s="7">
        <f>'1 prepared data'!J655</f>
        <v/>
      </c>
      <c r="L662" s="7">
        <f>'1 prepared data'!K655</f>
        <v/>
      </c>
      <c r="M662" s="7">
        <f>'1 prepared data'!L655</f>
        <v/>
      </c>
      <c r="N662" s="7">
        <f>'1 prepared data'!M655</f>
        <v/>
      </c>
      <c r="O662" s="7">
        <f>'1 prepared data'!N655</f>
        <v/>
      </c>
      <c r="P662" s="7">
        <f>'1 prepared data'!O655</f>
        <v/>
      </c>
      <c r="Q662" s="7">
        <f>'1 prepared data'!P655</f>
        <v/>
      </c>
      <c r="R662" s="7">
        <f>'1 prepared data'!Q655</f>
        <v/>
      </c>
      <c r="S662" s="7">
        <f>'1 prepared data'!R655</f>
        <v/>
      </c>
      <c r="T662" s="7">
        <f>'1 prepared data'!S655</f>
        <v/>
      </c>
      <c r="U662" s="7">
        <f>'1 prepared data'!T655</f>
        <v/>
      </c>
      <c r="V662" s="8">
        <f>$AC$12+D662*$AC$13+E662*$AC$14+F662*$AC$15+G662*$AC$16+H662*$AC$17+I662*$AC$18+J662*$AC$19+K662*$AC$20+L662*$AC$21+M662*$AC$22+N662*$AC$23+O662*$AC$24+P662*$AC$25+Q662*$AC$26+R662*$AC$27+S662*$AC$28+T662*$AC$29+U662*$AC$30</f>
        <v/>
      </c>
      <c r="W662" s="8">
        <f>1/(1+EXP(-V662))</f>
        <v/>
      </c>
      <c r="X662" s="9">
        <f>-IF(C662=1,LN(W662),LN(1-W662))</f>
        <v/>
      </c>
      <c r="Y662" s="10">
        <f>IF(W662&gt;$AC$33,1,0)</f>
        <v/>
      </c>
      <c r="Z662">
        <f>IF(Y662=C662,1,0)</f>
        <v/>
      </c>
    </row>
    <row r="663">
      <c r="A663">
        <f>'1 prepared data'!A656</f>
        <v/>
      </c>
      <c r="B663" s="5">
        <f>'1 prepared data'!U656</f>
        <v/>
      </c>
      <c r="C663">
        <f>'1 prepared data'!B656</f>
        <v/>
      </c>
      <c r="D663" s="7">
        <f>'1 prepared data'!C656</f>
        <v/>
      </c>
      <c r="E663" s="7">
        <f>'1 prepared data'!D656</f>
        <v/>
      </c>
      <c r="F663" s="7">
        <f>'1 prepared data'!E656</f>
        <v/>
      </c>
      <c r="G663" s="7">
        <f>'1 prepared data'!F656</f>
        <v/>
      </c>
      <c r="H663" s="7">
        <f>'1 prepared data'!G656</f>
        <v/>
      </c>
      <c r="I663" s="7">
        <f>'1 prepared data'!H656</f>
        <v/>
      </c>
      <c r="J663" s="7">
        <f>'1 prepared data'!I656</f>
        <v/>
      </c>
      <c r="K663" s="7">
        <f>'1 prepared data'!J656</f>
        <v/>
      </c>
      <c r="L663" s="7">
        <f>'1 prepared data'!K656</f>
        <v/>
      </c>
      <c r="M663" s="7">
        <f>'1 prepared data'!L656</f>
        <v/>
      </c>
      <c r="N663" s="7">
        <f>'1 prepared data'!M656</f>
        <v/>
      </c>
      <c r="O663" s="7">
        <f>'1 prepared data'!N656</f>
        <v/>
      </c>
      <c r="P663" s="7">
        <f>'1 prepared data'!O656</f>
        <v/>
      </c>
      <c r="Q663" s="7">
        <f>'1 prepared data'!P656</f>
        <v/>
      </c>
      <c r="R663" s="7">
        <f>'1 prepared data'!Q656</f>
        <v/>
      </c>
      <c r="S663" s="7">
        <f>'1 prepared data'!R656</f>
        <v/>
      </c>
      <c r="T663" s="7">
        <f>'1 prepared data'!S656</f>
        <v/>
      </c>
      <c r="U663" s="7">
        <f>'1 prepared data'!T656</f>
        <v/>
      </c>
      <c r="V663" s="8">
        <f>$AC$12+D663*$AC$13+E663*$AC$14+F663*$AC$15+G663*$AC$16+H663*$AC$17+I663*$AC$18+J663*$AC$19+K663*$AC$20+L663*$AC$21+M663*$AC$22+N663*$AC$23+O663*$AC$24+P663*$AC$25+Q663*$AC$26+R663*$AC$27+S663*$AC$28+T663*$AC$29+U663*$AC$30</f>
        <v/>
      </c>
      <c r="W663" s="8">
        <f>1/(1+EXP(-V663))</f>
        <v/>
      </c>
      <c r="X663" s="9">
        <f>-IF(C663=1,LN(W663),LN(1-W663))</f>
        <v/>
      </c>
      <c r="Y663" s="10">
        <f>IF(W663&gt;$AC$33,1,0)</f>
        <v/>
      </c>
      <c r="Z663">
        <f>IF(Y663=C663,1,0)</f>
        <v/>
      </c>
    </row>
    <row r="664">
      <c r="A664">
        <f>'1 prepared data'!A657</f>
        <v/>
      </c>
      <c r="B664" s="5">
        <f>'1 prepared data'!U657</f>
        <v/>
      </c>
      <c r="C664">
        <f>'1 prepared data'!B657</f>
        <v/>
      </c>
      <c r="D664" s="7">
        <f>'1 prepared data'!C657</f>
        <v/>
      </c>
      <c r="E664" s="7">
        <f>'1 prepared data'!D657</f>
        <v/>
      </c>
      <c r="F664" s="7">
        <f>'1 prepared data'!E657</f>
        <v/>
      </c>
      <c r="G664" s="7">
        <f>'1 prepared data'!F657</f>
        <v/>
      </c>
      <c r="H664" s="7">
        <f>'1 prepared data'!G657</f>
        <v/>
      </c>
      <c r="I664" s="7">
        <f>'1 prepared data'!H657</f>
        <v/>
      </c>
      <c r="J664" s="7">
        <f>'1 prepared data'!I657</f>
        <v/>
      </c>
      <c r="K664" s="7">
        <f>'1 prepared data'!J657</f>
        <v/>
      </c>
      <c r="L664" s="7">
        <f>'1 prepared data'!K657</f>
        <v/>
      </c>
      <c r="M664" s="7">
        <f>'1 prepared data'!L657</f>
        <v/>
      </c>
      <c r="N664" s="7">
        <f>'1 prepared data'!M657</f>
        <v/>
      </c>
      <c r="O664" s="7">
        <f>'1 prepared data'!N657</f>
        <v/>
      </c>
      <c r="P664" s="7">
        <f>'1 prepared data'!O657</f>
        <v/>
      </c>
      <c r="Q664" s="7">
        <f>'1 prepared data'!P657</f>
        <v/>
      </c>
      <c r="R664" s="7">
        <f>'1 prepared data'!Q657</f>
        <v/>
      </c>
      <c r="S664" s="7">
        <f>'1 prepared data'!R657</f>
        <v/>
      </c>
      <c r="T664" s="7">
        <f>'1 prepared data'!S657</f>
        <v/>
      </c>
      <c r="U664" s="7">
        <f>'1 prepared data'!T657</f>
        <v/>
      </c>
      <c r="V664" s="8">
        <f>$AC$12+D664*$AC$13+E664*$AC$14+F664*$AC$15+G664*$AC$16+H664*$AC$17+I664*$AC$18+J664*$AC$19+K664*$AC$20+L664*$AC$21+M664*$AC$22+N664*$AC$23+O664*$AC$24+P664*$AC$25+Q664*$AC$26+R664*$AC$27+S664*$AC$28+T664*$AC$29+U664*$AC$30</f>
        <v/>
      </c>
      <c r="W664" s="8">
        <f>1/(1+EXP(-V664))</f>
        <v/>
      </c>
      <c r="X664" s="9">
        <f>-IF(C664=1,LN(W664),LN(1-W664))</f>
        <v/>
      </c>
      <c r="Y664" s="10">
        <f>IF(W664&gt;$AC$33,1,0)</f>
        <v/>
      </c>
      <c r="Z664">
        <f>IF(Y664=C664,1,0)</f>
        <v/>
      </c>
    </row>
    <row r="665">
      <c r="A665">
        <f>'1 prepared data'!A658</f>
        <v/>
      </c>
      <c r="B665" s="5">
        <f>'1 prepared data'!U658</f>
        <v/>
      </c>
      <c r="C665">
        <f>'1 prepared data'!B658</f>
        <v/>
      </c>
      <c r="D665" s="7">
        <f>'1 prepared data'!C658</f>
        <v/>
      </c>
      <c r="E665" s="7">
        <f>'1 prepared data'!D658</f>
        <v/>
      </c>
      <c r="F665" s="7">
        <f>'1 prepared data'!E658</f>
        <v/>
      </c>
      <c r="G665" s="7">
        <f>'1 prepared data'!F658</f>
        <v/>
      </c>
      <c r="H665" s="7">
        <f>'1 prepared data'!G658</f>
        <v/>
      </c>
      <c r="I665" s="7">
        <f>'1 prepared data'!H658</f>
        <v/>
      </c>
      <c r="J665" s="7">
        <f>'1 prepared data'!I658</f>
        <v/>
      </c>
      <c r="K665" s="7">
        <f>'1 prepared data'!J658</f>
        <v/>
      </c>
      <c r="L665" s="7">
        <f>'1 prepared data'!K658</f>
        <v/>
      </c>
      <c r="M665" s="7">
        <f>'1 prepared data'!L658</f>
        <v/>
      </c>
      <c r="N665" s="7">
        <f>'1 prepared data'!M658</f>
        <v/>
      </c>
      <c r="O665" s="7">
        <f>'1 prepared data'!N658</f>
        <v/>
      </c>
      <c r="P665" s="7">
        <f>'1 prepared data'!O658</f>
        <v/>
      </c>
      <c r="Q665" s="7">
        <f>'1 prepared data'!P658</f>
        <v/>
      </c>
      <c r="R665" s="7">
        <f>'1 prepared data'!Q658</f>
        <v/>
      </c>
      <c r="S665" s="7">
        <f>'1 prepared data'!R658</f>
        <v/>
      </c>
      <c r="T665" s="7">
        <f>'1 prepared data'!S658</f>
        <v/>
      </c>
      <c r="U665" s="7">
        <f>'1 prepared data'!T658</f>
        <v/>
      </c>
      <c r="V665" s="8">
        <f>$AC$12+D665*$AC$13+E665*$AC$14+F665*$AC$15+G665*$AC$16+H665*$AC$17+I665*$AC$18+J665*$AC$19+K665*$AC$20+L665*$AC$21+M665*$AC$22+N665*$AC$23+O665*$AC$24+P665*$AC$25+Q665*$AC$26+R665*$AC$27+S665*$AC$28+T665*$AC$29+U665*$AC$30</f>
        <v/>
      </c>
      <c r="W665" s="8">
        <f>1/(1+EXP(-V665))</f>
        <v/>
      </c>
      <c r="X665" s="9">
        <f>-IF(C665=1,LN(W665),LN(1-W665))</f>
        <v/>
      </c>
      <c r="Y665" s="10">
        <f>IF(W665&gt;$AC$33,1,0)</f>
        <v/>
      </c>
      <c r="Z665">
        <f>IF(Y665=C665,1,0)</f>
        <v/>
      </c>
    </row>
    <row r="666">
      <c r="A666">
        <f>'1 prepared data'!A659</f>
        <v/>
      </c>
      <c r="B666" s="5">
        <f>'1 prepared data'!U659</f>
        <v/>
      </c>
      <c r="C666">
        <f>'1 prepared data'!B659</f>
        <v/>
      </c>
      <c r="D666" s="7">
        <f>'1 prepared data'!C659</f>
        <v/>
      </c>
      <c r="E666" s="7">
        <f>'1 prepared data'!D659</f>
        <v/>
      </c>
      <c r="F666" s="7">
        <f>'1 prepared data'!E659</f>
        <v/>
      </c>
      <c r="G666" s="7">
        <f>'1 prepared data'!F659</f>
        <v/>
      </c>
      <c r="H666" s="7">
        <f>'1 prepared data'!G659</f>
        <v/>
      </c>
      <c r="I666" s="7">
        <f>'1 prepared data'!H659</f>
        <v/>
      </c>
      <c r="J666" s="7">
        <f>'1 prepared data'!I659</f>
        <v/>
      </c>
      <c r="K666" s="7">
        <f>'1 prepared data'!J659</f>
        <v/>
      </c>
      <c r="L666" s="7">
        <f>'1 prepared data'!K659</f>
        <v/>
      </c>
      <c r="M666" s="7">
        <f>'1 prepared data'!L659</f>
        <v/>
      </c>
      <c r="N666" s="7">
        <f>'1 prepared data'!M659</f>
        <v/>
      </c>
      <c r="O666" s="7">
        <f>'1 prepared data'!N659</f>
        <v/>
      </c>
      <c r="P666" s="7">
        <f>'1 prepared data'!O659</f>
        <v/>
      </c>
      <c r="Q666" s="7">
        <f>'1 prepared data'!P659</f>
        <v/>
      </c>
      <c r="R666" s="7">
        <f>'1 prepared data'!Q659</f>
        <v/>
      </c>
      <c r="S666" s="7">
        <f>'1 prepared data'!R659</f>
        <v/>
      </c>
      <c r="T666" s="7">
        <f>'1 prepared data'!S659</f>
        <v/>
      </c>
      <c r="U666" s="7">
        <f>'1 prepared data'!T659</f>
        <v/>
      </c>
      <c r="V666" s="8">
        <f>$AC$12+D666*$AC$13+E666*$AC$14+F666*$AC$15+G666*$AC$16+H666*$AC$17+I666*$AC$18+J666*$AC$19+K666*$AC$20+L666*$AC$21+M666*$AC$22+N666*$AC$23+O666*$AC$24+P666*$AC$25+Q666*$AC$26+R666*$AC$27+S666*$AC$28+T666*$AC$29+U666*$AC$30</f>
        <v/>
      </c>
      <c r="W666" s="8">
        <f>1/(1+EXP(-V666))</f>
        <v/>
      </c>
      <c r="X666" s="9">
        <f>-IF(C666=1,LN(W666),LN(1-W666))</f>
        <v/>
      </c>
      <c r="Y666" s="10">
        <f>IF(W666&gt;$AC$33,1,0)</f>
        <v/>
      </c>
      <c r="Z666">
        <f>IF(Y666=C666,1,0)</f>
        <v/>
      </c>
    </row>
    <row r="667">
      <c r="A667">
        <f>'1 prepared data'!A660</f>
        <v/>
      </c>
      <c r="B667" s="5">
        <f>'1 prepared data'!U660</f>
        <v/>
      </c>
      <c r="C667">
        <f>'1 prepared data'!B660</f>
        <v/>
      </c>
      <c r="D667" s="7">
        <f>'1 prepared data'!C660</f>
        <v/>
      </c>
      <c r="E667" s="7">
        <f>'1 prepared data'!D660</f>
        <v/>
      </c>
      <c r="F667" s="7">
        <f>'1 prepared data'!E660</f>
        <v/>
      </c>
      <c r="G667" s="7">
        <f>'1 prepared data'!F660</f>
        <v/>
      </c>
      <c r="H667" s="7">
        <f>'1 prepared data'!G660</f>
        <v/>
      </c>
      <c r="I667" s="7">
        <f>'1 prepared data'!H660</f>
        <v/>
      </c>
      <c r="J667" s="7">
        <f>'1 prepared data'!I660</f>
        <v/>
      </c>
      <c r="K667" s="7">
        <f>'1 prepared data'!J660</f>
        <v/>
      </c>
      <c r="L667" s="7">
        <f>'1 prepared data'!K660</f>
        <v/>
      </c>
      <c r="M667" s="7">
        <f>'1 prepared data'!L660</f>
        <v/>
      </c>
      <c r="N667" s="7">
        <f>'1 prepared data'!M660</f>
        <v/>
      </c>
      <c r="O667" s="7">
        <f>'1 prepared data'!N660</f>
        <v/>
      </c>
      <c r="P667" s="7">
        <f>'1 prepared data'!O660</f>
        <v/>
      </c>
      <c r="Q667" s="7">
        <f>'1 prepared data'!P660</f>
        <v/>
      </c>
      <c r="R667" s="7">
        <f>'1 prepared data'!Q660</f>
        <v/>
      </c>
      <c r="S667" s="7">
        <f>'1 prepared data'!R660</f>
        <v/>
      </c>
      <c r="T667" s="7">
        <f>'1 prepared data'!S660</f>
        <v/>
      </c>
      <c r="U667" s="7">
        <f>'1 prepared data'!T660</f>
        <v/>
      </c>
      <c r="V667" s="8">
        <f>$AC$12+D667*$AC$13+E667*$AC$14+F667*$AC$15+G667*$AC$16+H667*$AC$17+I667*$AC$18+J667*$AC$19+K667*$AC$20+L667*$AC$21+M667*$AC$22+N667*$AC$23+O667*$AC$24+P667*$AC$25+Q667*$AC$26+R667*$AC$27+S667*$AC$28+T667*$AC$29+U667*$AC$30</f>
        <v/>
      </c>
      <c r="W667" s="8">
        <f>1/(1+EXP(-V667))</f>
        <v/>
      </c>
      <c r="X667" s="9">
        <f>-IF(C667=1,LN(W667),LN(1-W667))</f>
        <v/>
      </c>
      <c r="Y667" s="10">
        <f>IF(W667&gt;$AC$33,1,0)</f>
        <v/>
      </c>
      <c r="Z667">
        <f>IF(Y667=C667,1,0)</f>
        <v/>
      </c>
    </row>
    <row r="668">
      <c r="A668">
        <f>'1 prepared data'!A661</f>
        <v/>
      </c>
      <c r="B668" s="5">
        <f>'1 prepared data'!U661</f>
        <v/>
      </c>
      <c r="C668">
        <f>'1 prepared data'!B661</f>
        <v/>
      </c>
      <c r="D668" s="7">
        <f>'1 prepared data'!C661</f>
        <v/>
      </c>
      <c r="E668" s="7">
        <f>'1 prepared data'!D661</f>
        <v/>
      </c>
      <c r="F668" s="7">
        <f>'1 prepared data'!E661</f>
        <v/>
      </c>
      <c r="G668" s="7">
        <f>'1 prepared data'!F661</f>
        <v/>
      </c>
      <c r="H668" s="7">
        <f>'1 prepared data'!G661</f>
        <v/>
      </c>
      <c r="I668" s="7">
        <f>'1 prepared data'!H661</f>
        <v/>
      </c>
      <c r="J668" s="7">
        <f>'1 prepared data'!I661</f>
        <v/>
      </c>
      <c r="K668" s="7">
        <f>'1 prepared data'!J661</f>
        <v/>
      </c>
      <c r="L668" s="7">
        <f>'1 prepared data'!K661</f>
        <v/>
      </c>
      <c r="M668" s="7">
        <f>'1 prepared data'!L661</f>
        <v/>
      </c>
      <c r="N668" s="7">
        <f>'1 prepared data'!M661</f>
        <v/>
      </c>
      <c r="O668" s="7">
        <f>'1 prepared data'!N661</f>
        <v/>
      </c>
      <c r="P668" s="7">
        <f>'1 prepared data'!O661</f>
        <v/>
      </c>
      <c r="Q668" s="7">
        <f>'1 prepared data'!P661</f>
        <v/>
      </c>
      <c r="R668" s="7">
        <f>'1 prepared data'!Q661</f>
        <v/>
      </c>
      <c r="S668" s="7">
        <f>'1 prepared data'!R661</f>
        <v/>
      </c>
      <c r="T668" s="7">
        <f>'1 prepared data'!S661</f>
        <v/>
      </c>
      <c r="U668" s="7">
        <f>'1 prepared data'!T661</f>
        <v/>
      </c>
      <c r="V668" s="8">
        <f>$AC$12+D668*$AC$13+E668*$AC$14+F668*$AC$15+G668*$AC$16+H668*$AC$17+I668*$AC$18+J668*$AC$19+K668*$AC$20+L668*$AC$21+M668*$AC$22+N668*$AC$23+O668*$AC$24+P668*$AC$25+Q668*$AC$26+R668*$AC$27+S668*$AC$28+T668*$AC$29+U668*$AC$30</f>
        <v/>
      </c>
      <c r="W668" s="8">
        <f>1/(1+EXP(-V668))</f>
        <v/>
      </c>
      <c r="X668" s="9">
        <f>-IF(C668=1,LN(W668),LN(1-W668))</f>
        <v/>
      </c>
      <c r="Y668" s="10">
        <f>IF(W668&gt;$AC$33,1,0)</f>
        <v/>
      </c>
      <c r="Z668">
        <f>IF(Y668=C668,1,0)</f>
        <v/>
      </c>
    </row>
    <row r="669">
      <c r="A669">
        <f>'1 prepared data'!A662</f>
        <v/>
      </c>
      <c r="B669" s="5">
        <f>'1 prepared data'!U662</f>
        <v/>
      </c>
      <c r="C669">
        <f>'1 prepared data'!B662</f>
        <v/>
      </c>
      <c r="D669" s="7">
        <f>'1 prepared data'!C662</f>
        <v/>
      </c>
      <c r="E669" s="7">
        <f>'1 prepared data'!D662</f>
        <v/>
      </c>
      <c r="F669" s="7">
        <f>'1 prepared data'!E662</f>
        <v/>
      </c>
      <c r="G669" s="7">
        <f>'1 prepared data'!F662</f>
        <v/>
      </c>
      <c r="H669" s="7">
        <f>'1 prepared data'!G662</f>
        <v/>
      </c>
      <c r="I669" s="7">
        <f>'1 prepared data'!H662</f>
        <v/>
      </c>
      <c r="J669" s="7">
        <f>'1 prepared data'!I662</f>
        <v/>
      </c>
      <c r="K669" s="7">
        <f>'1 prepared data'!J662</f>
        <v/>
      </c>
      <c r="L669" s="7">
        <f>'1 prepared data'!K662</f>
        <v/>
      </c>
      <c r="M669" s="7">
        <f>'1 prepared data'!L662</f>
        <v/>
      </c>
      <c r="N669" s="7">
        <f>'1 prepared data'!M662</f>
        <v/>
      </c>
      <c r="O669" s="7">
        <f>'1 prepared data'!N662</f>
        <v/>
      </c>
      <c r="P669" s="7">
        <f>'1 prepared data'!O662</f>
        <v/>
      </c>
      <c r="Q669" s="7">
        <f>'1 prepared data'!P662</f>
        <v/>
      </c>
      <c r="R669" s="7">
        <f>'1 prepared data'!Q662</f>
        <v/>
      </c>
      <c r="S669" s="7">
        <f>'1 prepared data'!R662</f>
        <v/>
      </c>
      <c r="T669" s="7">
        <f>'1 prepared data'!S662</f>
        <v/>
      </c>
      <c r="U669" s="7">
        <f>'1 prepared data'!T662</f>
        <v/>
      </c>
      <c r="V669" s="8">
        <f>$AC$12+D669*$AC$13+E669*$AC$14+F669*$AC$15+G669*$AC$16+H669*$AC$17+I669*$AC$18+J669*$AC$19+K669*$AC$20+L669*$AC$21+M669*$AC$22+N669*$AC$23+O669*$AC$24+P669*$AC$25+Q669*$AC$26+R669*$AC$27+S669*$AC$28+T669*$AC$29+U669*$AC$30</f>
        <v/>
      </c>
      <c r="W669" s="8">
        <f>1/(1+EXP(-V669))</f>
        <v/>
      </c>
      <c r="X669" s="9">
        <f>-IF(C669=1,LN(W669),LN(1-W669))</f>
        <v/>
      </c>
      <c r="Y669" s="10">
        <f>IF(W669&gt;$AC$33,1,0)</f>
        <v/>
      </c>
      <c r="Z669">
        <f>IF(Y669=C669,1,0)</f>
        <v/>
      </c>
    </row>
    <row r="670">
      <c r="A670">
        <f>'1 prepared data'!A663</f>
        <v/>
      </c>
      <c r="B670" s="5">
        <f>'1 prepared data'!U663</f>
        <v/>
      </c>
      <c r="C670">
        <f>'1 prepared data'!B663</f>
        <v/>
      </c>
      <c r="D670" s="7">
        <f>'1 prepared data'!C663</f>
        <v/>
      </c>
      <c r="E670" s="7">
        <f>'1 prepared data'!D663</f>
        <v/>
      </c>
      <c r="F670" s="7">
        <f>'1 prepared data'!E663</f>
        <v/>
      </c>
      <c r="G670" s="7">
        <f>'1 prepared data'!F663</f>
        <v/>
      </c>
      <c r="H670" s="7">
        <f>'1 prepared data'!G663</f>
        <v/>
      </c>
      <c r="I670" s="7">
        <f>'1 prepared data'!H663</f>
        <v/>
      </c>
      <c r="J670" s="7">
        <f>'1 prepared data'!I663</f>
        <v/>
      </c>
      <c r="K670" s="7">
        <f>'1 prepared data'!J663</f>
        <v/>
      </c>
      <c r="L670" s="7">
        <f>'1 prepared data'!K663</f>
        <v/>
      </c>
      <c r="M670" s="7">
        <f>'1 prepared data'!L663</f>
        <v/>
      </c>
      <c r="N670" s="7">
        <f>'1 prepared data'!M663</f>
        <v/>
      </c>
      <c r="O670" s="7">
        <f>'1 prepared data'!N663</f>
        <v/>
      </c>
      <c r="P670" s="7">
        <f>'1 prepared data'!O663</f>
        <v/>
      </c>
      <c r="Q670" s="7">
        <f>'1 prepared data'!P663</f>
        <v/>
      </c>
      <c r="R670" s="7">
        <f>'1 prepared data'!Q663</f>
        <v/>
      </c>
      <c r="S670" s="7">
        <f>'1 prepared data'!R663</f>
        <v/>
      </c>
      <c r="T670" s="7">
        <f>'1 prepared data'!S663</f>
        <v/>
      </c>
      <c r="U670" s="7">
        <f>'1 prepared data'!T663</f>
        <v/>
      </c>
      <c r="V670" s="8">
        <f>$AC$12+D670*$AC$13+E670*$AC$14+F670*$AC$15+G670*$AC$16+H670*$AC$17+I670*$AC$18+J670*$AC$19+K670*$AC$20+L670*$AC$21+M670*$AC$22+N670*$AC$23+O670*$AC$24+P670*$AC$25+Q670*$AC$26+R670*$AC$27+S670*$AC$28+T670*$AC$29+U670*$AC$30</f>
        <v/>
      </c>
      <c r="W670" s="8">
        <f>1/(1+EXP(-V670))</f>
        <v/>
      </c>
      <c r="X670" s="9">
        <f>-IF(C670=1,LN(W670),LN(1-W670))</f>
        <v/>
      </c>
      <c r="Y670" s="10">
        <f>IF(W670&gt;$AC$33,1,0)</f>
        <v/>
      </c>
      <c r="Z670">
        <f>IF(Y670=C670,1,0)</f>
        <v/>
      </c>
    </row>
    <row r="671">
      <c r="A671">
        <f>'1 prepared data'!A664</f>
        <v/>
      </c>
      <c r="B671" s="5">
        <f>'1 prepared data'!U664</f>
        <v/>
      </c>
      <c r="C671">
        <f>'1 prepared data'!B664</f>
        <v/>
      </c>
      <c r="D671" s="7">
        <f>'1 prepared data'!C664</f>
        <v/>
      </c>
      <c r="E671" s="7">
        <f>'1 prepared data'!D664</f>
        <v/>
      </c>
      <c r="F671" s="7">
        <f>'1 prepared data'!E664</f>
        <v/>
      </c>
      <c r="G671" s="7">
        <f>'1 prepared data'!F664</f>
        <v/>
      </c>
      <c r="H671" s="7">
        <f>'1 prepared data'!G664</f>
        <v/>
      </c>
      <c r="I671" s="7">
        <f>'1 prepared data'!H664</f>
        <v/>
      </c>
      <c r="J671" s="7">
        <f>'1 prepared data'!I664</f>
        <v/>
      </c>
      <c r="K671" s="7">
        <f>'1 prepared data'!J664</f>
        <v/>
      </c>
      <c r="L671" s="7">
        <f>'1 prepared data'!K664</f>
        <v/>
      </c>
      <c r="M671" s="7">
        <f>'1 prepared data'!L664</f>
        <v/>
      </c>
      <c r="N671" s="7">
        <f>'1 prepared data'!M664</f>
        <v/>
      </c>
      <c r="O671" s="7">
        <f>'1 prepared data'!N664</f>
        <v/>
      </c>
      <c r="P671" s="7">
        <f>'1 prepared data'!O664</f>
        <v/>
      </c>
      <c r="Q671" s="7">
        <f>'1 prepared data'!P664</f>
        <v/>
      </c>
      <c r="R671" s="7">
        <f>'1 prepared data'!Q664</f>
        <v/>
      </c>
      <c r="S671" s="7">
        <f>'1 prepared data'!R664</f>
        <v/>
      </c>
      <c r="T671" s="7">
        <f>'1 prepared data'!S664</f>
        <v/>
      </c>
      <c r="U671" s="7">
        <f>'1 prepared data'!T664</f>
        <v/>
      </c>
      <c r="V671" s="8">
        <f>$AC$12+D671*$AC$13+E671*$AC$14+F671*$AC$15+G671*$AC$16+H671*$AC$17+I671*$AC$18+J671*$AC$19+K671*$AC$20+L671*$AC$21+M671*$AC$22+N671*$AC$23+O671*$AC$24+P671*$AC$25+Q671*$AC$26+R671*$AC$27+S671*$AC$28+T671*$AC$29+U671*$AC$30</f>
        <v/>
      </c>
      <c r="W671" s="8">
        <f>1/(1+EXP(-V671))</f>
        <v/>
      </c>
      <c r="X671" s="9">
        <f>-IF(C671=1,LN(W671),LN(1-W671))</f>
        <v/>
      </c>
      <c r="Y671" s="10">
        <f>IF(W671&gt;$AC$33,1,0)</f>
        <v/>
      </c>
      <c r="Z671">
        <f>IF(Y671=C671,1,0)</f>
        <v/>
      </c>
    </row>
    <row r="672">
      <c r="A672">
        <f>'1 prepared data'!A665</f>
        <v/>
      </c>
      <c r="B672" s="5">
        <f>'1 prepared data'!U665</f>
        <v/>
      </c>
      <c r="C672">
        <f>'1 prepared data'!B665</f>
        <v/>
      </c>
      <c r="D672" s="7">
        <f>'1 prepared data'!C665</f>
        <v/>
      </c>
      <c r="E672" s="7">
        <f>'1 prepared data'!D665</f>
        <v/>
      </c>
      <c r="F672" s="7">
        <f>'1 prepared data'!E665</f>
        <v/>
      </c>
      <c r="G672" s="7">
        <f>'1 prepared data'!F665</f>
        <v/>
      </c>
      <c r="H672" s="7">
        <f>'1 prepared data'!G665</f>
        <v/>
      </c>
      <c r="I672" s="7">
        <f>'1 prepared data'!H665</f>
        <v/>
      </c>
      <c r="J672" s="7">
        <f>'1 prepared data'!I665</f>
        <v/>
      </c>
      <c r="K672" s="7">
        <f>'1 prepared data'!J665</f>
        <v/>
      </c>
      <c r="L672" s="7">
        <f>'1 prepared data'!K665</f>
        <v/>
      </c>
      <c r="M672" s="7">
        <f>'1 prepared data'!L665</f>
        <v/>
      </c>
      <c r="N672" s="7">
        <f>'1 prepared data'!M665</f>
        <v/>
      </c>
      <c r="O672" s="7">
        <f>'1 prepared data'!N665</f>
        <v/>
      </c>
      <c r="P672" s="7">
        <f>'1 prepared data'!O665</f>
        <v/>
      </c>
      <c r="Q672" s="7">
        <f>'1 prepared data'!P665</f>
        <v/>
      </c>
      <c r="R672" s="7">
        <f>'1 prepared data'!Q665</f>
        <v/>
      </c>
      <c r="S672" s="7">
        <f>'1 prepared data'!R665</f>
        <v/>
      </c>
      <c r="T672" s="7">
        <f>'1 prepared data'!S665</f>
        <v/>
      </c>
      <c r="U672" s="7">
        <f>'1 prepared data'!T665</f>
        <v/>
      </c>
      <c r="V672" s="8">
        <f>$AC$12+D672*$AC$13+E672*$AC$14+F672*$AC$15+G672*$AC$16+H672*$AC$17+I672*$AC$18+J672*$AC$19+K672*$AC$20+L672*$AC$21+M672*$AC$22+N672*$AC$23+O672*$AC$24+P672*$AC$25+Q672*$AC$26+R672*$AC$27+S672*$AC$28+T672*$AC$29+U672*$AC$30</f>
        <v/>
      </c>
      <c r="W672" s="8">
        <f>1/(1+EXP(-V672))</f>
        <v/>
      </c>
      <c r="X672" s="9">
        <f>-IF(C672=1,LN(W672),LN(1-W672))</f>
        <v/>
      </c>
      <c r="Y672" s="10">
        <f>IF(W672&gt;$AC$33,1,0)</f>
        <v/>
      </c>
      <c r="Z672">
        <f>IF(Y672=C672,1,0)</f>
        <v/>
      </c>
    </row>
    <row r="673">
      <c r="A673">
        <f>'1 prepared data'!A666</f>
        <v/>
      </c>
      <c r="B673" s="5">
        <f>'1 prepared data'!U666</f>
        <v/>
      </c>
      <c r="C673">
        <f>'1 prepared data'!B666</f>
        <v/>
      </c>
      <c r="D673" s="7">
        <f>'1 prepared data'!C666</f>
        <v/>
      </c>
      <c r="E673" s="7">
        <f>'1 prepared data'!D666</f>
        <v/>
      </c>
      <c r="F673" s="7">
        <f>'1 prepared data'!E666</f>
        <v/>
      </c>
      <c r="G673" s="7">
        <f>'1 prepared data'!F666</f>
        <v/>
      </c>
      <c r="H673" s="7">
        <f>'1 prepared data'!G666</f>
        <v/>
      </c>
      <c r="I673" s="7">
        <f>'1 prepared data'!H666</f>
        <v/>
      </c>
      <c r="J673" s="7">
        <f>'1 prepared data'!I666</f>
        <v/>
      </c>
      <c r="K673" s="7">
        <f>'1 prepared data'!J666</f>
        <v/>
      </c>
      <c r="L673" s="7">
        <f>'1 prepared data'!K666</f>
        <v/>
      </c>
      <c r="M673" s="7">
        <f>'1 prepared data'!L666</f>
        <v/>
      </c>
      <c r="N673" s="7">
        <f>'1 prepared data'!M666</f>
        <v/>
      </c>
      <c r="O673" s="7">
        <f>'1 prepared data'!N666</f>
        <v/>
      </c>
      <c r="P673" s="7">
        <f>'1 prepared data'!O666</f>
        <v/>
      </c>
      <c r="Q673" s="7">
        <f>'1 prepared data'!P666</f>
        <v/>
      </c>
      <c r="R673" s="7">
        <f>'1 prepared data'!Q666</f>
        <v/>
      </c>
      <c r="S673" s="7">
        <f>'1 prepared data'!R666</f>
        <v/>
      </c>
      <c r="T673" s="7">
        <f>'1 prepared data'!S666</f>
        <v/>
      </c>
      <c r="U673" s="7">
        <f>'1 prepared data'!T666</f>
        <v/>
      </c>
      <c r="V673" s="8">
        <f>$AC$12+D673*$AC$13+E673*$AC$14+F673*$AC$15+G673*$AC$16+H673*$AC$17+I673*$AC$18+J673*$AC$19+K673*$AC$20+L673*$AC$21+M673*$AC$22+N673*$AC$23+O673*$AC$24+P673*$AC$25+Q673*$AC$26+R673*$AC$27+S673*$AC$28+T673*$AC$29+U673*$AC$30</f>
        <v/>
      </c>
      <c r="W673" s="8">
        <f>1/(1+EXP(-V673))</f>
        <v/>
      </c>
      <c r="X673" s="9">
        <f>-IF(C673=1,LN(W673),LN(1-W673))</f>
        <v/>
      </c>
      <c r="Y673" s="10">
        <f>IF(W673&gt;$AC$33,1,0)</f>
        <v/>
      </c>
      <c r="Z673">
        <f>IF(Y673=C673,1,0)</f>
        <v/>
      </c>
    </row>
    <row r="674">
      <c r="A674">
        <f>'1 prepared data'!A667</f>
        <v/>
      </c>
      <c r="B674" s="5">
        <f>'1 prepared data'!U667</f>
        <v/>
      </c>
      <c r="C674">
        <f>'1 prepared data'!B667</f>
        <v/>
      </c>
      <c r="D674" s="7">
        <f>'1 prepared data'!C667</f>
        <v/>
      </c>
      <c r="E674" s="7">
        <f>'1 prepared data'!D667</f>
        <v/>
      </c>
      <c r="F674" s="7">
        <f>'1 prepared data'!E667</f>
        <v/>
      </c>
      <c r="G674" s="7">
        <f>'1 prepared data'!F667</f>
        <v/>
      </c>
      <c r="H674" s="7">
        <f>'1 prepared data'!G667</f>
        <v/>
      </c>
      <c r="I674" s="7">
        <f>'1 prepared data'!H667</f>
        <v/>
      </c>
      <c r="J674" s="7">
        <f>'1 prepared data'!I667</f>
        <v/>
      </c>
      <c r="K674" s="7">
        <f>'1 prepared data'!J667</f>
        <v/>
      </c>
      <c r="L674" s="7">
        <f>'1 prepared data'!K667</f>
        <v/>
      </c>
      <c r="M674" s="7">
        <f>'1 prepared data'!L667</f>
        <v/>
      </c>
      <c r="N674" s="7">
        <f>'1 prepared data'!M667</f>
        <v/>
      </c>
      <c r="O674" s="7">
        <f>'1 prepared data'!N667</f>
        <v/>
      </c>
      <c r="P674" s="7">
        <f>'1 prepared data'!O667</f>
        <v/>
      </c>
      <c r="Q674" s="7">
        <f>'1 prepared data'!P667</f>
        <v/>
      </c>
      <c r="R674" s="7">
        <f>'1 prepared data'!Q667</f>
        <v/>
      </c>
      <c r="S674" s="7">
        <f>'1 prepared data'!R667</f>
        <v/>
      </c>
      <c r="T674" s="7">
        <f>'1 prepared data'!S667</f>
        <v/>
      </c>
      <c r="U674" s="7">
        <f>'1 prepared data'!T667</f>
        <v/>
      </c>
      <c r="V674" s="8">
        <f>$AC$12+D674*$AC$13+E674*$AC$14+F674*$AC$15+G674*$AC$16+H674*$AC$17+I674*$AC$18+J674*$AC$19+K674*$AC$20+L674*$AC$21+M674*$AC$22+N674*$AC$23+O674*$AC$24+P674*$AC$25+Q674*$AC$26+R674*$AC$27+S674*$AC$28+T674*$AC$29+U674*$AC$30</f>
        <v/>
      </c>
      <c r="W674" s="8">
        <f>1/(1+EXP(-V674))</f>
        <v/>
      </c>
      <c r="X674" s="9">
        <f>-IF(C674=1,LN(W674),LN(1-W674))</f>
        <v/>
      </c>
      <c r="Y674" s="10">
        <f>IF(W674&gt;$AC$33,1,0)</f>
        <v/>
      </c>
      <c r="Z674">
        <f>IF(Y674=C674,1,0)</f>
        <v/>
      </c>
    </row>
    <row r="675">
      <c r="A675">
        <f>'1 prepared data'!A668</f>
        <v/>
      </c>
      <c r="B675" s="5">
        <f>'1 prepared data'!U668</f>
        <v/>
      </c>
      <c r="C675">
        <f>'1 prepared data'!B668</f>
        <v/>
      </c>
      <c r="D675" s="7">
        <f>'1 prepared data'!C668</f>
        <v/>
      </c>
      <c r="E675" s="7">
        <f>'1 prepared data'!D668</f>
        <v/>
      </c>
      <c r="F675" s="7">
        <f>'1 prepared data'!E668</f>
        <v/>
      </c>
      <c r="G675" s="7">
        <f>'1 prepared data'!F668</f>
        <v/>
      </c>
      <c r="H675" s="7">
        <f>'1 prepared data'!G668</f>
        <v/>
      </c>
      <c r="I675" s="7">
        <f>'1 prepared data'!H668</f>
        <v/>
      </c>
      <c r="J675" s="7">
        <f>'1 prepared data'!I668</f>
        <v/>
      </c>
      <c r="K675" s="7">
        <f>'1 prepared data'!J668</f>
        <v/>
      </c>
      <c r="L675" s="7">
        <f>'1 prepared data'!K668</f>
        <v/>
      </c>
      <c r="M675" s="7">
        <f>'1 prepared data'!L668</f>
        <v/>
      </c>
      <c r="N675" s="7">
        <f>'1 prepared data'!M668</f>
        <v/>
      </c>
      <c r="O675" s="7">
        <f>'1 prepared data'!N668</f>
        <v/>
      </c>
      <c r="P675" s="7">
        <f>'1 prepared data'!O668</f>
        <v/>
      </c>
      <c r="Q675" s="7">
        <f>'1 prepared data'!P668</f>
        <v/>
      </c>
      <c r="R675" s="7">
        <f>'1 prepared data'!Q668</f>
        <v/>
      </c>
      <c r="S675" s="7">
        <f>'1 prepared data'!R668</f>
        <v/>
      </c>
      <c r="T675" s="7">
        <f>'1 prepared data'!S668</f>
        <v/>
      </c>
      <c r="U675" s="7">
        <f>'1 prepared data'!T668</f>
        <v/>
      </c>
      <c r="V675" s="8">
        <f>$AC$12+D675*$AC$13+E675*$AC$14+F675*$AC$15+G675*$AC$16+H675*$AC$17+I675*$AC$18+J675*$AC$19+K675*$AC$20+L675*$AC$21+M675*$AC$22+N675*$AC$23+O675*$AC$24+P675*$AC$25+Q675*$AC$26+R675*$AC$27+S675*$AC$28+T675*$AC$29+U675*$AC$30</f>
        <v/>
      </c>
      <c r="W675" s="8">
        <f>1/(1+EXP(-V675))</f>
        <v/>
      </c>
      <c r="X675" s="9">
        <f>-IF(C675=1,LN(W675),LN(1-W675))</f>
        <v/>
      </c>
      <c r="Y675" s="10">
        <f>IF(W675&gt;$AC$33,1,0)</f>
        <v/>
      </c>
      <c r="Z675">
        <f>IF(Y675=C675,1,0)</f>
        <v/>
      </c>
    </row>
    <row r="676">
      <c r="A676">
        <f>'1 prepared data'!A669</f>
        <v/>
      </c>
      <c r="B676" s="5">
        <f>'1 prepared data'!U669</f>
        <v/>
      </c>
      <c r="C676">
        <f>'1 prepared data'!B669</f>
        <v/>
      </c>
      <c r="D676" s="7">
        <f>'1 prepared data'!C669</f>
        <v/>
      </c>
      <c r="E676" s="7">
        <f>'1 prepared data'!D669</f>
        <v/>
      </c>
      <c r="F676" s="7">
        <f>'1 prepared data'!E669</f>
        <v/>
      </c>
      <c r="G676" s="7">
        <f>'1 prepared data'!F669</f>
        <v/>
      </c>
      <c r="H676" s="7">
        <f>'1 prepared data'!G669</f>
        <v/>
      </c>
      <c r="I676" s="7">
        <f>'1 prepared data'!H669</f>
        <v/>
      </c>
      <c r="J676" s="7">
        <f>'1 prepared data'!I669</f>
        <v/>
      </c>
      <c r="K676" s="7">
        <f>'1 prepared data'!J669</f>
        <v/>
      </c>
      <c r="L676" s="7">
        <f>'1 prepared data'!K669</f>
        <v/>
      </c>
      <c r="M676" s="7">
        <f>'1 prepared data'!L669</f>
        <v/>
      </c>
      <c r="N676" s="7">
        <f>'1 prepared data'!M669</f>
        <v/>
      </c>
      <c r="O676" s="7">
        <f>'1 prepared data'!N669</f>
        <v/>
      </c>
      <c r="P676" s="7">
        <f>'1 prepared data'!O669</f>
        <v/>
      </c>
      <c r="Q676" s="7">
        <f>'1 prepared data'!P669</f>
        <v/>
      </c>
      <c r="R676" s="7">
        <f>'1 prepared data'!Q669</f>
        <v/>
      </c>
      <c r="S676" s="7">
        <f>'1 prepared data'!R669</f>
        <v/>
      </c>
      <c r="T676" s="7">
        <f>'1 prepared data'!S669</f>
        <v/>
      </c>
      <c r="U676" s="7">
        <f>'1 prepared data'!T669</f>
        <v/>
      </c>
      <c r="V676" s="8">
        <f>$AC$12+D676*$AC$13+E676*$AC$14+F676*$AC$15+G676*$AC$16+H676*$AC$17+I676*$AC$18+J676*$AC$19+K676*$AC$20+L676*$AC$21+M676*$AC$22+N676*$AC$23+O676*$AC$24+P676*$AC$25+Q676*$AC$26+R676*$AC$27+S676*$AC$28+T676*$AC$29+U676*$AC$30</f>
        <v/>
      </c>
      <c r="W676" s="8">
        <f>1/(1+EXP(-V676))</f>
        <v/>
      </c>
      <c r="X676" s="9">
        <f>-IF(C676=1,LN(W676),LN(1-W676))</f>
        <v/>
      </c>
      <c r="Y676" s="10">
        <f>IF(W676&gt;$AC$33,1,0)</f>
        <v/>
      </c>
      <c r="Z676">
        <f>IF(Y676=C676,1,0)</f>
        <v/>
      </c>
    </row>
    <row r="677">
      <c r="A677">
        <f>'1 prepared data'!A670</f>
        <v/>
      </c>
      <c r="B677" s="5">
        <f>'1 prepared data'!U670</f>
        <v/>
      </c>
      <c r="C677">
        <f>'1 prepared data'!B670</f>
        <v/>
      </c>
      <c r="D677" s="7">
        <f>'1 prepared data'!C670</f>
        <v/>
      </c>
      <c r="E677" s="7">
        <f>'1 prepared data'!D670</f>
        <v/>
      </c>
      <c r="F677" s="7">
        <f>'1 prepared data'!E670</f>
        <v/>
      </c>
      <c r="G677" s="7">
        <f>'1 prepared data'!F670</f>
        <v/>
      </c>
      <c r="H677" s="7">
        <f>'1 prepared data'!G670</f>
        <v/>
      </c>
      <c r="I677" s="7">
        <f>'1 prepared data'!H670</f>
        <v/>
      </c>
      <c r="J677" s="7">
        <f>'1 prepared data'!I670</f>
        <v/>
      </c>
      <c r="K677" s="7">
        <f>'1 prepared data'!J670</f>
        <v/>
      </c>
      <c r="L677" s="7">
        <f>'1 prepared data'!K670</f>
        <v/>
      </c>
      <c r="M677" s="7">
        <f>'1 prepared data'!L670</f>
        <v/>
      </c>
      <c r="N677" s="7">
        <f>'1 prepared data'!M670</f>
        <v/>
      </c>
      <c r="O677" s="7">
        <f>'1 prepared data'!N670</f>
        <v/>
      </c>
      <c r="P677" s="7">
        <f>'1 prepared data'!O670</f>
        <v/>
      </c>
      <c r="Q677" s="7">
        <f>'1 prepared data'!P670</f>
        <v/>
      </c>
      <c r="R677" s="7">
        <f>'1 prepared data'!Q670</f>
        <v/>
      </c>
      <c r="S677" s="7">
        <f>'1 prepared data'!R670</f>
        <v/>
      </c>
      <c r="T677" s="7">
        <f>'1 prepared data'!S670</f>
        <v/>
      </c>
      <c r="U677" s="7">
        <f>'1 prepared data'!T670</f>
        <v/>
      </c>
      <c r="V677" s="8">
        <f>$AC$12+D677*$AC$13+E677*$AC$14+F677*$AC$15+G677*$AC$16+H677*$AC$17+I677*$AC$18+J677*$AC$19+K677*$AC$20+L677*$AC$21+M677*$AC$22+N677*$AC$23+O677*$AC$24+P677*$AC$25+Q677*$AC$26+R677*$AC$27+S677*$AC$28+T677*$AC$29+U677*$AC$30</f>
        <v/>
      </c>
      <c r="W677" s="8">
        <f>1/(1+EXP(-V677))</f>
        <v/>
      </c>
      <c r="X677" s="9">
        <f>-IF(C677=1,LN(W677),LN(1-W677))</f>
        <v/>
      </c>
      <c r="Y677" s="10">
        <f>IF(W677&gt;$AC$33,1,0)</f>
        <v/>
      </c>
      <c r="Z677">
        <f>IF(Y677=C677,1,0)</f>
        <v/>
      </c>
    </row>
    <row r="678">
      <c r="A678">
        <f>'1 prepared data'!A671</f>
        <v/>
      </c>
      <c r="B678" s="5">
        <f>'1 prepared data'!U671</f>
        <v/>
      </c>
      <c r="C678">
        <f>'1 prepared data'!B671</f>
        <v/>
      </c>
      <c r="D678" s="7">
        <f>'1 prepared data'!C671</f>
        <v/>
      </c>
      <c r="E678" s="7">
        <f>'1 prepared data'!D671</f>
        <v/>
      </c>
      <c r="F678" s="7">
        <f>'1 prepared data'!E671</f>
        <v/>
      </c>
      <c r="G678" s="7">
        <f>'1 prepared data'!F671</f>
        <v/>
      </c>
      <c r="H678" s="7">
        <f>'1 prepared data'!G671</f>
        <v/>
      </c>
      <c r="I678" s="7">
        <f>'1 prepared data'!H671</f>
        <v/>
      </c>
      <c r="J678" s="7">
        <f>'1 prepared data'!I671</f>
        <v/>
      </c>
      <c r="K678" s="7">
        <f>'1 prepared data'!J671</f>
        <v/>
      </c>
      <c r="L678" s="7">
        <f>'1 prepared data'!K671</f>
        <v/>
      </c>
      <c r="M678" s="7">
        <f>'1 prepared data'!L671</f>
        <v/>
      </c>
      <c r="N678" s="7">
        <f>'1 prepared data'!M671</f>
        <v/>
      </c>
      <c r="O678" s="7">
        <f>'1 prepared data'!N671</f>
        <v/>
      </c>
      <c r="P678" s="7">
        <f>'1 prepared data'!O671</f>
        <v/>
      </c>
      <c r="Q678" s="7">
        <f>'1 prepared data'!P671</f>
        <v/>
      </c>
      <c r="R678" s="7">
        <f>'1 prepared data'!Q671</f>
        <v/>
      </c>
      <c r="S678" s="7">
        <f>'1 prepared data'!R671</f>
        <v/>
      </c>
      <c r="T678" s="7">
        <f>'1 prepared data'!S671</f>
        <v/>
      </c>
      <c r="U678" s="7">
        <f>'1 prepared data'!T671</f>
        <v/>
      </c>
      <c r="V678" s="8">
        <f>$AC$12+D678*$AC$13+E678*$AC$14+F678*$AC$15+G678*$AC$16+H678*$AC$17+I678*$AC$18+J678*$AC$19+K678*$AC$20+L678*$AC$21+M678*$AC$22+N678*$AC$23+O678*$AC$24+P678*$AC$25+Q678*$AC$26+R678*$AC$27+S678*$AC$28+T678*$AC$29+U678*$AC$30</f>
        <v/>
      </c>
      <c r="W678" s="8">
        <f>1/(1+EXP(-V678))</f>
        <v/>
      </c>
      <c r="X678" s="9">
        <f>-IF(C678=1,LN(W678),LN(1-W678))</f>
        <v/>
      </c>
      <c r="Y678" s="10">
        <f>IF(W678&gt;$AC$33,1,0)</f>
        <v/>
      </c>
      <c r="Z678">
        <f>IF(Y678=C678,1,0)</f>
        <v/>
      </c>
    </row>
    <row r="679">
      <c r="A679">
        <f>'1 prepared data'!A672</f>
        <v/>
      </c>
      <c r="B679" s="5">
        <f>'1 prepared data'!U672</f>
        <v/>
      </c>
      <c r="C679">
        <f>'1 prepared data'!B672</f>
        <v/>
      </c>
      <c r="D679" s="7">
        <f>'1 prepared data'!C672</f>
        <v/>
      </c>
      <c r="E679" s="7">
        <f>'1 prepared data'!D672</f>
        <v/>
      </c>
      <c r="F679" s="7">
        <f>'1 prepared data'!E672</f>
        <v/>
      </c>
      <c r="G679" s="7">
        <f>'1 prepared data'!F672</f>
        <v/>
      </c>
      <c r="H679" s="7">
        <f>'1 prepared data'!G672</f>
        <v/>
      </c>
      <c r="I679" s="7">
        <f>'1 prepared data'!H672</f>
        <v/>
      </c>
      <c r="J679" s="7">
        <f>'1 prepared data'!I672</f>
        <v/>
      </c>
      <c r="K679" s="7">
        <f>'1 prepared data'!J672</f>
        <v/>
      </c>
      <c r="L679" s="7">
        <f>'1 prepared data'!K672</f>
        <v/>
      </c>
      <c r="M679" s="7">
        <f>'1 prepared data'!L672</f>
        <v/>
      </c>
      <c r="N679" s="7">
        <f>'1 prepared data'!M672</f>
        <v/>
      </c>
      <c r="O679" s="7">
        <f>'1 prepared data'!N672</f>
        <v/>
      </c>
      <c r="P679" s="7">
        <f>'1 prepared data'!O672</f>
        <v/>
      </c>
      <c r="Q679" s="7">
        <f>'1 prepared data'!P672</f>
        <v/>
      </c>
      <c r="R679" s="7">
        <f>'1 prepared data'!Q672</f>
        <v/>
      </c>
      <c r="S679" s="7">
        <f>'1 prepared data'!R672</f>
        <v/>
      </c>
      <c r="T679" s="7">
        <f>'1 prepared data'!S672</f>
        <v/>
      </c>
      <c r="U679" s="7">
        <f>'1 prepared data'!T672</f>
        <v/>
      </c>
      <c r="V679" s="8">
        <f>$AC$12+D679*$AC$13+E679*$AC$14+F679*$AC$15+G679*$AC$16+H679*$AC$17+I679*$AC$18+J679*$AC$19+K679*$AC$20+L679*$AC$21+M679*$AC$22+N679*$AC$23+O679*$AC$24+P679*$AC$25+Q679*$AC$26+R679*$AC$27+S679*$AC$28+T679*$AC$29+U679*$AC$30</f>
        <v/>
      </c>
      <c r="W679" s="8">
        <f>1/(1+EXP(-V679))</f>
        <v/>
      </c>
      <c r="X679" s="9">
        <f>-IF(C679=1,LN(W679),LN(1-W679))</f>
        <v/>
      </c>
      <c r="Y679" s="10">
        <f>IF(W679&gt;$AC$33,1,0)</f>
        <v/>
      </c>
      <c r="Z679">
        <f>IF(Y679=C679,1,0)</f>
        <v/>
      </c>
    </row>
    <row r="680">
      <c r="A680">
        <f>'1 prepared data'!A673</f>
        <v/>
      </c>
      <c r="B680" s="5">
        <f>'1 prepared data'!U673</f>
        <v/>
      </c>
      <c r="C680">
        <f>'1 prepared data'!B673</f>
        <v/>
      </c>
      <c r="D680" s="7">
        <f>'1 prepared data'!C673</f>
        <v/>
      </c>
      <c r="E680" s="7">
        <f>'1 prepared data'!D673</f>
        <v/>
      </c>
      <c r="F680" s="7">
        <f>'1 prepared data'!E673</f>
        <v/>
      </c>
      <c r="G680" s="7">
        <f>'1 prepared data'!F673</f>
        <v/>
      </c>
      <c r="H680" s="7">
        <f>'1 prepared data'!G673</f>
        <v/>
      </c>
      <c r="I680" s="7">
        <f>'1 prepared data'!H673</f>
        <v/>
      </c>
      <c r="J680" s="7">
        <f>'1 prepared data'!I673</f>
        <v/>
      </c>
      <c r="K680" s="7">
        <f>'1 prepared data'!J673</f>
        <v/>
      </c>
      <c r="L680" s="7">
        <f>'1 prepared data'!K673</f>
        <v/>
      </c>
      <c r="M680" s="7">
        <f>'1 prepared data'!L673</f>
        <v/>
      </c>
      <c r="N680" s="7">
        <f>'1 prepared data'!M673</f>
        <v/>
      </c>
      <c r="O680" s="7">
        <f>'1 prepared data'!N673</f>
        <v/>
      </c>
      <c r="P680" s="7">
        <f>'1 prepared data'!O673</f>
        <v/>
      </c>
      <c r="Q680" s="7">
        <f>'1 prepared data'!P673</f>
        <v/>
      </c>
      <c r="R680" s="7">
        <f>'1 prepared data'!Q673</f>
        <v/>
      </c>
      <c r="S680" s="7">
        <f>'1 prepared data'!R673</f>
        <v/>
      </c>
      <c r="T680" s="7">
        <f>'1 prepared data'!S673</f>
        <v/>
      </c>
      <c r="U680" s="7">
        <f>'1 prepared data'!T673</f>
        <v/>
      </c>
      <c r="V680" s="8">
        <f>$AC$12+D680*$AC$13+E680*$AC$14+F680*$AC$15+G680*$AC$16+H680*$AC$17+I680*$AC$18+J680*$AC$19+K680*$AC$20+L680*$AC$21+M680*$AC$22+N680*$AC$23+O680*$AC$24+P680*$AC$25+Q680*$AC$26+R680*$AC$27+S680*$AC$28+T680*$AC$29+U680*$AC$30</f>
        <v/>
      </c>
      <c r="W680" s="8">
        <f>1/(1+EXP(-V680))</f>
        <v/>
      </c>
      <c r="X680" s="9">
        <f>-IF(C680=1,LN(W680),LN(1-W680))</f>
        <v/>
      </c>
      <c r="Y680" s="10">
        <f>IF(W680&gt;$AC$33,1,0)</f>
        <v/>
      </c>
      <c r="Z680">
        <f>IF(Y680=C680,1,0)</f>
        <v/>
      </c>
    </row>
    <row r="681">
      <c r="A681">
        <f>'1 prepared data'!A674</f>
        <v/>
      </c>
      <c r="B681" s="5">
        <f>'1 prepared data'!U674</f>
        <v/>
      </c>
      <c r="C681">
        <f>'1 prepared data'!B674</f>
        <v/>
      </c>
      <c r="D681" s="7">
        <f>'1 prepared data'!C674</f>
        <v/>
      </c>
      <c r="E681" s="7">
        <f>'1 prepared data'!D674</f>
        <v/>
      </c>
      <c r="F681" s="7">
        <f>'1 prepared data'!E674</f>
        <v/>
      </c>
      <c r="G681" s="7">
        <f>'1 prepared data'!F674</f>
        <v/>
      </c>
      <c r="H681" s="7">
        <f>'1 prepared data'!G674</f>
        <v/>
      </c>
      <c r="I681" s="7">
        <f>'1 prepared data'!H674</f>
        <v/>
      </c>
      <c r="J681" s="7">
        <f>'1 prepared data'!I674</f>
        <v/>
      </c>
      <c r="K681" s="7">
        <f>'1 prepared data'!J674</f>
        <v/>
      </c>
      <c r="L681" s="7">
        <f>'1 prepared data'!K674</f>
        <v/>
      </c>
      <c r="M681" s="7">
        <f>'1 prepared data'!L674</f>
        <v/>
      </c>
      <c r="N681" s="7">
        <f>'1 prepared data'!M674</f>
        <v/>
      </c>
      <c r="O681" s="7">
        <f>'1 prepared data'!N674</f>
        <v/>
      </c>
      <c r="P681" s="7">
        <f>'1 prepared data'!O674</f>
        <v/>
      </c>
      <c r="Q681" s="7">
        <f>'1 prepared data'!P674</f>
        <v/>
      </c>
      <c r="R681" s="7">
        <f>'1 prepared data'!Q674</f>
        <v/>
      </c>
      <c r="S681" s="7">
        <f>'1 prepared data'!R674</f>
        <v/>
      </c>
      <c r="T681" s="7">
        <f>'1 prepared data'!S674</f>
        <v/>
      </c>
      <c r="U681" s="7">
        <f>'1 prepared data'!T674</f>
        <v/>
      </c>
      <c r="V681" s="8">
        <f>$AC$12+D681*$AC$13+E681*$AC$14+F681*$AC$15+G681*$AC$16+H681*$AC$17+I681*$AC$18+J681*$AC$19+K681*$AC$20+L681*$AC$21+M681*$AC$22+N681*$AC$23+O681*$AC$24+P681*$AC$25+Q681*$AC$26+R681*$AC$27+S681*$AC$28+T681*$AC$29+U681*$AC$30</f>
        <v/>
      </c>
      <c r="W681" s="8">
        <f>1/(1+EXP(-V681))</f>
        <v/>
      </c>
      <c r="X681" s="9">
        <f>-IF(C681=1,LN(W681),LN(1-W681))</f>
        <v/>
      </c>
      <c r="Y681" s="10">
        <f>IF(W681&gt;$AC$33,1,0)</f>
        <v/>
      </c>
      <c r="Z681">
        <f>IF(Y681=C681,1,0)</f>
        <v/>
      </c>
    </row>
    <row r="682">
      <c r="A682">
        <f>'1 prepared data'!A675</f>
        <v/>
      </c>
      <c r="B682" s="5">
        <f>'1 prepared data'!U675</f>
        <v/>
      </c>
      <c r="C682">
        <f>'1 prepared data'!B675</f>
        <v/>
      </c>
      <c r="D682" s="7">
        <f>'1 prepared data'!C675</f>
        <v/>
      </c>
      <c r="E682" s="7">
        <f>'1 prepared data'!D675</f>
        <v/>
      </c>
      <c r="F682" s="7">
        <f>'1 prepared data'!E675</f>
        <v/>
      </c>
      <c r="G682" s="7">
        <f>'1 prepared data'!F675</f>
        <v/>
      </c>
      <c r="H682" s="7">
        <f>'1 prepared data'!G675</f>
        <v/>
      </c>
      <c r="I682" s="7">
        <f>'1 prepared data'!H675</f>
        <v/>
      </c>
      <c r="J682" s="7">
        <f>'1 prepared data'!I675</f>
        <v/>
      </c>
      <c r="K682" s="7">
        <f>'1 prepared data'!J675</f>
        <v/>
      </c>
      <c r="L682" s="7">
        <f>'1 prepared data'!K675</f>
        <v/>
      </c>
      <c r="M682" s="7">
        <f>'1 prepared data'!L675</f>
        <v/>
      </c>
      <c r="N682" s="7">
        <f>'1 prepared data'!M675</f>
        <v/>
      </c>
      <c r="O682" s="7">
        <f>'1 prepared data'!N675</f>
        <v/>
      </c>
      <c r="P682" s="7">
        <f>'1 prepared data'!O675</f>
        <v/>
      </c>
      <c r="Q682" s="7">
        <f>'1 prepared data'!P675</f>
        <v/>
      </c>
      <c r="R682" s="7">
        <f>'1 prepared data'!Q675</f>
        <v/>
      </c>
      <c r="S682" s="7">
        <f>'1 prepared data'!R675</f>
        <v/>
      </c>
      <c r="T682" s="7">
        <f>'1 prepared data'!S675</f>
        <v/>
      </c>
      <c r="U682" s="7">
        <f>'1 prepared data'!T675</f>
        <v/>
      </c>
      <c r="V682" s="8">
        <f>$AC$12+D682*$AC$13+E682*$AC$14+F682*$AC$15+G682*$AC$16+H682*$AC$17+I682*$AC$18+J682*$AC$19+K682*$AC$20+L682*$AC$21+M682*$AC$22+N682*$AC$23+O682*$AC$24+P682*$AC$25+Q682*$AC$26+R682*$AC$27+S682*$AC$28+T682*$AC$29+U682*$AC$30</f>
        <v/>
      </c>
      <c r="W682" s="8">
        <f>1/(1+EXP(-V682))</f>
        <v/>
      </c>
      <c r="X682" s="9">
        <f>-IF(C682=1,LN(W682),LN(1-W682))</f>
        <v/>
      </c>
      <c r="Y682" s="10">
        <f>IF(W682&gt;$AC$33,1,0)</f>
        <v/>
      </c>
      <c r="Z682">
        <f>IF(Y682=C682,1,0)</f>
        <v/>
      </c>
    </row>
    <row r="683">
      <c r="A683">
        <f>'1 prepared data'!A676</f>
        <v/>
      </c>
      <c r="B683" s="5">
        <f>'1 prepared data'!U676</f>
        <v/>
      </c>
      <c r="C683">
        <f>'1 prepared data'!B676</f>
        <v/>
      </c>
      <c r="D683" s="7">
        <f>'1 prepared data'!C676</f>
        <v/>
      </c>
      <c r="E683" s="7">
        <f>'1 prepared data'!D676</f>
        <v/>
      </c>
      <c r="F683" s="7">
        <f>'1 prepared data'!E676</f>
        <v/>
      </c>
      <c r="G683" s="7">
        <f>'1 prepared data'!F676</f>
        <v/>
      </c>
      <c r="H683" s="7">
        <f>'1 prepared data'!G676</f>
        <v/>
      </c>
      <c r="I683" s="7">
        <f>'1 prepared data'!H676</f>
        <v/>
      </c>
      <c r="J683" s="7">
        <f>'1 prepared data'!I676</f>
        <v/>
      </c>
      <c r="K683" s="7">
        <f>'1 prepared data'!J676</f>
        <v/>
      </c>
      <c r="L683" s="7">
        <f>'1 prepared data'!K676</f>
        <v/>
      </c>
      <c r="M683" s="7">
        <f>'1 prepared data'!L676</f>
        <v/>
      </c>
      <c r="N683" s="7">
        <f>'1 prepared data'!M676</f>
        <v/>
      </c>
      <c r="O683" s="7">
        <f>'1 prepared data'!N676</f>
        <v/>
      </c>
      <c r="P683" s="7">
        <f>'1 prepared data'!O676</f>
        <v/>
      </c>
      <c r="Q683" s="7">
        <f>'1 prepared data'!P676</f>
        <v/>
      </c>
      <c r="R683" s="7">
        <f>'1 prepared data'!Q676</f>
        <v/>
      </c>
      <c r="S683" s="7">
        <f>'1 prepared data'!R676</f>
        <v/>
      </c>
      <c r="T683" s="7">
        <f>'1 prepared data'!S676</f>
        <v/>
      </c>
      <c r="U683" s="7">
        <f>'1 prepared data'!T676</f>
        <v/>
      </c>
      <c r="V683" s="8">
        <f>$AC$12+D683*$AC$13+E683*$AC$14+F683*$AC$15+G683*$AC$16+H683*$AC$17+I683*$AC$18+J683*$AC$19+K683*$AC$20+L683*$AC$21+M683*$AC$22+N683*$AC$23+O683*$AC$24+P683*$AC$25+Q683*$AC$26+R683*$AC$27+S683*$AC$28+T683*$AC$29+U683*$AC$30</f>
        <v/>
      </c>
      <c r="W683" s="8">
        <f>1/(1+EXP(-V683))</f>
        <v/>
      </c>
      <c r="X683" s="9">
        <f>-IF(C683=1,LN(W683),LN(1-W683))</f>
        <v/>
      </c>
      <c r="Y683" s="10">
        <f>IF(W683&gt;$AC$33,1,0)</f>
        <v/>
      </c>
      <c r="Z683">
        <f>IF(Y683=C683,1,0)</f>
        <v/>
      </c>
    </row>
    <row r="684">
      <c r="A684">
        <f>'1 prepared data'!A677</f>
        <v/>
      </c>
      <c r="B684" s="5">
        <f>'1 prepared data'!U677</f>
        <v/>
      </c>
      <c r="C684">
        <f>'1 prepared data'!B677</f>
        <v/>
      </c>
      <c r="D684" s="7">
        <f>'1 prepared data'!C677</f>
        <v/>
      </c>
      <c r="E684" s="7">
        <f>'1 prepared data'!D677</f>
        <v/>
      </c>
      <c r="F684" s="7">
        <f>'1 prepared data'!E677</f>
        <v/>
      </c>
      <c r="G684" s="7">
        <f>'1 prepared data'!F677</f>
        <v/>
      </c>
      <c r="H684" s="7">
        <f>'1 prepared data'!G677</f>
        <v/>
      </c>
      <c r="I684" s="7">
        <f>'1 prepared data'!H677</f>
        <v/>
      </c>
      <c r="J684" s="7">
        <f>'1 prepared data'!I677</f>
        <v/>
      </c>
      <c r="K684" s="7">
        <f>'1 prepared data'!J677</f>
        <v/>
      </c>
      <c r="L684" s="7">
        <f>'1 prepared data'!K677</f>
        <v/>
      </c>
      <c r="M684" s="7">
        <f>'1 prepared data'!L677</f>
        <v/>
      </c>
      <c r="N684" s="7">
        <f>'1 prepared data'!M677</f>
        <v/>
      </c>
      <c r="O684" s="7">
        <f>'1 prepared data'!N677</f>
        <v/>
      </c>
      <c r="P684" s="7">
        <f>'1 prepared data'!O677</f>
        <v/>
      </c>
      <c r="Q684" s="7">
        <f>'1 prepared data'!P677</f>
        <v/>
      </c>
      <c r="R684" s="7">
        <f>'1 prepared data'!Q677</f>
        <v/>
      </c>
      <c r="S684" s="7">
        <f>'1 prepared data'!R677</f>
        <v/>
      </c>
      <c r="T684" s="7">
        <f>'1 prepared data'!S677</f>
        <v/>
      </c>
      <c r="U684" s="7">
        <f>'1 prepared data'!T677</f>
        <v/>
      </c>
      <c r="V684" s="8">
        <f>$AC$12+D684*$AC$13+E684*$AC$14+F684*$AC$15+G684*$AC$16+H684*$AC$17+I684*$AC$18+J684*$AC$19+K684*$AC$20+L684*$AC$21+M684*$AC$22+N684*$AC$23+O684*$AC$24+P684*$AC$25+Q684*$AC$26+R684*$AC$27+S684*$AC$28+T684*$AC$29+U684*$AC$30</f>
        <v/>
      </c>
      <c r="W684" s="8">
        <f>1/(1+EXP(-V684))</f>
        <v/>
      </c>
      <c r="X684" s="9">
        <f>-IF(C684=1,LN(W684),LN(1-W684))</f>
        <v/>
      </c>
      <c r="Y684" s="10">
        <f>IF(W684&gt;$AC$33,1,0)</f>
        <v/>
      </c>
      <c r="Z684">
        <f>IF(Y684=C684,1,0)</f>
        <v/>
      </c>
    </row>
    <row r="685">
      <c r="A685">
        <f>'1 prepared data'!A678</f>
        <v/>
      </c>
      <c r="B685" s="5">
        <f>'1 prepared data'!U678</f>
        <v/>
      </c>
      <c r="C685">
        <f>'1 prepared data'!B678</f>
        <v/>
      </c>
      <c r="D685" s="7">
        <f>'1 prepared data'!C678</f>
        <v/>
      </c>
      <c r="E685" s="7">
        <f>'1 prepared data'!D678</f>
        <v/>
      </c>
      <c r="F685" s="7">
        <f>'1 prepared data'!E678</f>
        <v/>
      </c>
      <c r="G685" s="7">
        <f>'1 prepared data'!F678</f>
        <v/>
      </c>
      <c r="H685" s="7">
        <f>'1 prepared data'!G678</f>
        <v/>
      </c>
      <c r="I685" s="7">
        <f>'1 prepared data'!H678</f>
        <v/>
      </c>
      <c r="J685" s="7">
        <f>'1 prepared data'!I678</f>
        <v/>
      </c>
      <c r="K685" s="7">
        <f>'1 prepared data'!J678</f>
        <v/>
      </c>
      <c r="L685" s="7">
        <f>'1 prepared data'!K678</f>
        <v/>
      </c>
      <c r="M685" s="7">
        <f>'1 prepared data'!L678</f>
        <v/>
      </c>
      <c r="N685" s="7">
        <f>'1 prepared data'!M678</f>
        <v/>
      </c>
      <c r="O685" s="7">
        <f>'1 prepared data'!N678</f>
        <v/>
      </c>
      <c r="P685" s="7">
        <f>'1 prepared data'!O678</f>
        <v/>
      </c>
      <c r="Q685" s="7">
        <f>'1 prepared data'!P678</f>
        <v/>
      </c>
      <c r="R685" s="7">
        <f>'1 prepared data'!Q678</f>
        <v/>
      </c>
      <c r="S685" s="7">
        <f>'1 prepared data'!R678</f>
        <v/>
      </c>
      <c r="T685" s="7">
        <f>'1 prepared data'!S678</f>
        <v/>
      </c>
      <c r="U685" s="7">
        <f>'1 prepared data'!T678</f>
        <v/>
      </c>
      <c r="V685" s="8">
        <f>$AC$12+D685*$AC$13+E685*$AC$14+F685*$AC$15+G685*$AC$16+H685*$AC$17+I685*$AC$18+J685*$AC$19+K685*$AC$20+L685*$AC$21+M685*$AC$22+N685*$AC$23+O685*$AC$24+P685*$AC$25+Q685*$AC$26+R685*$AC$27+S685*$AC$28+T685*$AC$29+U685*$AC$30</f>
        <v/>
      </c>
      <c r="W685" s="8">
        <f>1/(1+EXP(-V685))</f>
        <v/>
      </c>
      <c r="X685" s="9">
        <f>-IF(C685=1,LN(W685),LN(1-W685))</f>
        <v/>
      </c>
      <c r="Y685" s="10">
        <f>IF(W685&gt;$AC$33,1,0)</f>
        <v/>
      </c>
      <c r="Z685">
        <f>IF(Y685=C685,1,0)</f>
        <v/>
      </c>
    </row>
    <row r="686">
      <c r="A686">
        <f>'1 prepared data'!A679</f>
        <v/>
      </c>
      <c r="B686" s="5">
        <f>'1 prepared data'!U679</f>
        <v/>
      </c>
      <c r="C686">
        <f>'1 prepared data'!B679</f>
        <v/>
      </c>
      <c r="D686" s="7">
        <f>'1 prepared data'!C679</f>
        <v/>
      </c>
      <c r="E686" s="7">
        <f>'1 prepared data'!D679</f>
        <v/>
      </c>
      <c r="F686" s="7">
        <f>'1 prepared data'!E679</f>
        <v/>
      </c>
      <c r="G686" s="7">
        <f>'1 prepared data'!F679</f>
        <v/>
      </c>
      <c r="H686" s="7">
        <f>'1 prepared data'!G679</f>
        <v/>
      </c>
      <c r="I686" s="7">
        <f>'1 prepared data'!H679</f>
        <v/>
      </c>
      <c r="J686" s="7">
        <f>'1 prepared data'!I679</f>
        <v/>
      </c>
      <c r="K686" s="7">
        <f>'1 prepared data'!J679</f>
        <v/>
      </c>
      <c r="L686" s="7">
        <f>'1 prepared data'!K679</f>
        <v/>
      </c>
      <c r="M686" s="7">
        <f>'1 prepared data'!L679</f>
        <v/>
      </c>
      <c r="N686" s="7">
        <f>'1 prepared data'!M679</f>
        <v/>
      </c>
      <c r="O686" s="7">
        <f>'1 prepared data'!N679</f>
        <v/>
      </c>
      <c r="P686" s="7">
        <f>'1 prepared data'!O679</f>
        <v/>
      </c>
      <c r="Q686" s="7">
        <f>'1 prepared data'!P679</f>
        <v/>
      </c>
      <c r="R686" s="7">
        <f>'1 prepared data'!Q679</f>
        <v/>
      </c>
      <c r="S686" s="7">
        <f>'1 prepared data'!R679</f>
        <v/>
      </c>
      <c r="T686" s="7">
        <f>'1 prepared data'!S679</f>
        <v/>
      </c>
      <c r="U686" s="7">
        <f>'1 prepared data'!T679</f>
        <v/>
      </c>
      <c r="V686" s="8">
        <f>$AC$12+D686*$AC$13+E686*$AC$14+F686*$AC$15+G686*$AC$16+H686*$AC$17+I686*$AC$18+J686*$AC$19+K686*$AC$20+L686*$AC$21+M686*$AC$22+N686*$AC$23+O686*$AC$24+P686*$AC$25+Q686*$AC$26+R686*$AC$27+S686*$AC$28+T686*$AC$29+U686*$AC$30</f>
        <v/>
      </c>
      <c r="W686" s="8">
        <f>1/(1+EXP(-V686))</f>
        <v/>
      </c>
      <c r="X686" s="9">
        <f>-IF(C686=1,LN(W686),LN(1-W686))</f>
        <v/>
      </c>
      <c r="Y686" s="10">
        <f>IF(W686&gt;$AC$33,1,0)</f>
        <v/>
      </c>
      <c r="Z686">
        <f>IF(Y686=C686,1,0)</f>
        <v/>
      </c>
    </row>
    <row r="687">
      <c r="A687">
        <f>'1 prepared data'!A680</f>
        <v/>
      </c>
      <c r="B687" s="5">
        <f>'1 prepared data'!U680</f>
        <v/>
      </c>
      <c r="C687">
        <f>'1 prepared data'!B680</f>
        <v/>
      </c>
      <c r="D687" s="7">
        <f>'1 prepared data'!C680</f>
        <v/>
      </c>
      <c r="E687" s="7">
        <f>'1 prepared data'!D680</f>
        <v/>
      </c>
      <c r="F687" s="7">
        <f>'1 prepared data'!E680</f>
        <v/>
      </c>
      <c r="G687" s="7">
        <f>'1 prepared data'!F680</f>
        <v/>
      </c>
      <c r="H687" s="7">
        <f>'1 prepared data'!G680</f>
        <v/>
      </c>
      <c r="I687" s="7">
        <f>'1 prepared data'!H680</f>
        <v/>
      </c>
      <c r="J687" s="7">
        <f>'1 prepared data'!I680</f>
        <v/>
      </c>
      <c r="K687" s="7">
        <f>'1 prepared data'!J680</f>
        <v/>
      </c>
      <c r="L687" s="7">
        <f>'1 prepared data'!K680</f>
        <v/>
      </c>
      <c r="M687" s="7">
        <f>'1 prepared data'!L680</f>
        <v/>
      </c>
      <c r="N687" s="7">
        <f>'1 prepared data'!M680</f>
        <v/>
      </c>
      <c r="O687" s="7">
        <f>'1 prepared data'!N680</f>
        <v/>
      </c>
      <c r="P687" s="7">
        <f>'1 prepared data'!O680</f>
        <v/>
      </c>
      <c r="Q687" s="7">
        <f>'1 prepared data'!P680</f>
        <v/>
      </c>
      <c r="R687" s="7">
        <f>'1 prepared data'!Q680</f>
        <v/>
      </c>
      <c r="S687" s="7">
        <f>'1 prepared data'!R680</f>
        <v/>
      </c>
      <c r="T687" s="7">
        <f>'1 prepared data'!S680</f>
        <v/>
      </c>
      <c r="U687" s="7">
        <f>'1 prepared data'!T680</f>
        <v/>
      </c>
      <c r="V687" s="8">
        <f>$AC$12+D687*$AC$13+E687*$AC$14+F687*$AC$15+G687*$AC$16+H687*$AC$17+I687*$AC$18+J687*$AC$19+K687*$AC$20+L687*$AC$21+M687*$AC$22+N687*$AC$23+O687*$AC$24+P687*$AC$25+Q687*$AC$26+R687*$AC$27+S687*$AC$28+T687*$AC$29+U687*$AC$30</f>
        <v/>
      </c>
      <c r="W687" s="8">
        <f>1/(1+EXP(-V687))</f>
        <v/>
      </c>
      <c r="X687" s="9">
        <f>-IF(C687=1,LN(W687),LN(1-W687))</f>
        <v/>
      </c>
      <c r="Y687" s="10">
        <f>IF(W687&gt;$AC$33,1,0)</f>
        <v/>
      </c>
      <c r="Z687">
        <f>IF(Y687=C687,1,0)</f>
        <v/>
      </c>
    </row>
    <row r="688">
      <c r="A688">
        <f>'1 prepared data'!A681</f>
        <v/>
      </c>
      <c r="B688" s="5">
        <f>'1 prepared data'!U681</f>
        <v/>
      </c>
      <c r="C688">
        <f>'1 prepared data'!B681</f>
        <v/>
      </c>
      <c r="D688" s="7">
        <f>'1 prepared data'!C681</f>
        <v/>
      </c>
      <c r="E688" s="7">
        <f>'1 prepared data'!D681</f>
        <v/>
      </c>
      <c r="F688" s="7">
        <f>'1 prepared data'!E681</f>
        <v/>
      </c>
      <c r="G688" s="7">
        <f>'1 prepared data'!F681</f>
        <v/>
      </c>
      <c r="H688" s="7">
        <f>'1 prepared data'!G681</f>
        <v/>
      </c>
      <c r="I688" s="7">
        <f>'1 prepared data'!H681</f>
        <v/>
      </c>
      <c r="J688" s="7">
        <f>'1 prepared data'!I681</f>
        <v/>
      </c>
      <c r="K688" s="7">
        <f>'1 prepared data'!J681</f>
        <v/>
      </c>
      <c r="L688" s="7">
        <f>'1 prepared data'!K681</f>
        <v/>
      </c>
      <c r="M688" s="7">
        <f>'1 prepared data'!L681</f>
        <v/>
      </c>
      <c r="N688" s="7">
        <f>'1 prepared data'!M681</f>
        <v/>
      </c>
      <c r="O688" s="7">
        <f>'1 prepared data'!N681</f>
        <v/>
      </c>
      <c r="P688" s="7">
        <f>'1 prepared data'!O681</f>
        <v/>
      </c>
      <c r="Q688" s="7">
        <f>'1 prepared data'!P681</f>
        <v/>
      </c>
      <c r="R688" s="7">
        <f>'1 prepared data'!Q681</f>
        <v/>
      </c>
      <c r="S688" s="7">
        <f>'1 prepared data'!R681</f>
        <v/>
      </c>
      <c r="T688" s="7">
        <f>'1 prepared data'!S681</f>
        <v/>
      </c>
      <c r="U688" s="7">
        <f>'1 prepared data'!T681</f>
        <v/>
      </c>
      <c r="V688" s="8">
        <f>$AC$12+D688*$AC$13+E688*$AC$14+F688*$AC$15+G688*$AC$16+H688*$AC$17+I688*$AC$18+J688*$AC$19+K688*$AC$20+L688*$AC$21+M688*$AC$22+N688*$AC$23+O688*$AC$24+P688*$AC$25+Q688*$AC$26+R688*$AC$27+S688*$AC$28+T688*$AC$29+U688*$AC$30</f>
        <v/>
      </c>
      <c r="W688" s="8">
        <f>1/(1+EXP(-V688))</f>
        <v/>
      </c>
      <c r="X688" s="9">
        <f>-IF(C688=1,LN(W688),LN(1-W688))</f>
        <v/>
      </c>
      <c r="Y688" s="10">
        <f>IF(W688&gt;$AC$33,1,0)</f>
        <v/>
      </c>
      <c r="Z688">
        <f>IF(Y688=C688,1,0)</f>
        <v/>
      </c>
    </row>
    <row r="689">
      <c r="A689">
        <f>'1 prepared data'!A682</f>
        <v/>
      </c>
      <c r="B689" s="5">
        <f>'1 prepared data'!U682</f>
        <v/>
      </c>
      <c r="C689">
        <f>'1 prepared data'!B682</f>
        <v/>
      </c>
      <c r="D689" s="7">
        <f>'1 prepared data'!C682</f>
        <v/>
      </c>
      <c r="E689" s="7">
        <f>'1 prepared data'!D682</f>
        <v/>
      </c>
      <c r="F689" s="7">
        <f>'1 prepared data'!E682</f>
        <v/>
      </c>
      <c r="G689" s="7">
        <f>'1 prepared data'!F682</f>
        <v/>
      </c>
      <c r="H689" s="7">
        <f>'1 prepared data'!G682</f>
        <v/>
      </c>
      <c r="I689" s="7">
        <f>'1 prepared data'!H682</f>
        <v/>
      </c>
      <c r="J689" s="7">
        <f>'1 prepared data'!I682</f>
        <v/>
      </c>
      <c r="K689" s="7">
        <f>'1 prepared data'!J682</f>
        <v/>
      </c>
      <c r="L689" s="7">
        <f>'1 prepared data'!K682</f>
        <v/>
      </c>
      <c r="M689" s="7">
        <f>'1 prepared data'!L682</f>
        <v/>
      </c>
      <c r="N689" s="7">
        <f>'1 prepared data'!M682</f>
        <v/>
      </c>
      <c r="O689" s="7">
        <f>'1 prepared data'!N682</f>
        <v/>
      </c>
      <c r="P689" s="7">
        <f>'1 prepared data'!O682</f>
        <v/>
      </c>
      <c r="Q689" s="7">
        <f>'1 prepared data'!P682</f>
        <v/>
      </c>
      <c r="R689" s="7">
        <f>'1 prepared data'!Q682</f>
        <v/>
      </c>
      <c r="S689" s="7">
        <f>'1 prepared data'!R682</f>
        <v/>
      </c>
      <c r="T689" s="7">
        <f>'1 prepared data'!S682</f>
        <v/>
      </c>
      <c r="U689" s="7">
        <f>'1 prepared data'!T682</f>
        <v/>
      </c>
      <c r="V689" s="8">
        <f>$AC$12+D689*$AC$13+E689*$AC$14+F689*$AC$15+G689*$AC$16+H689*$AC$17+I689*$AC$18+J689*$AC$19+K689*$AC$20+L689*$AC$21+M689*$AC$22+N689*$AC$23+O689*$AC$24+P689*$AC$25+Q689*$AC$26+R689*$AC$27+S689*$AC$28+T689*$AC$29+U689*$AC$30</f>
        <v/>
      </c>
      <c r="W689" s="8">
        <f>1/(1+EXP(-V689))</f>
        <v/>
      </c>
      <c r="X689" s="9">
        <f>-IF(C689=1,LN(W689),LN(1-W689))</f>
        <v/>
      </c>
      <c r="Y689" s="10">
        <f>IF(W689&gt;$AC$33,1,0)</f>
        <v/>
      </c>
      <c r="Z689">
        <f>IF(Y689=C689,1,0)</f>
        <v/>
      </c>
    </row>
    <row r="690">
      <c r="A690">
        <f>'1 prepared data'!A683</f>
        <v/>
      </c>
      <c r="B690" s="5">
        <f>'1 prepared data'!U683</f>
        <v/>
      </c>
      <c r="C690">
        <f>'1 prepared data'!B683</f>
        <v/>
      </c>
      <c r="D690" s="7">
        <f>'1 prepared data'!C683</f>
        <v/>
      </c>
      <c r="E690" s="7">
        <f>'1 prepared data'!D683</f>
        <v/>
      </c>
      <c r="F690" s="7">
        <f>'1 prepared data'!E683</f>
        <v/>
      </c>
      <c r="G690" s="7">
        <f>'1 prepared data'!F683</f>
        <v/>
      </c>
      <c r="H690" s="7">
        <f>'1 prepared data'!G683</f>
        <v/>
      </c>
      <c r="I690" s="7">
        <f>'1 prepared data'!H683</f>
        <v/>
      </c>
      <c r="J690" s="7">
        <f>'1 prepared data'!I683</f>
        <v/>
      </c>
      <c r="K690" s="7">
        <f>'1 prepared data'!J683</f>
        <v/>
      </c>
      <c r="L690" s="7">
        <f>'1 prepared data'!K683</f>
        <v/>
      </c>
      <c r="M690" s="7">
        <f>'1 prepared data'!L683</f>
        <v/>
      </c>
      <c r="N690" s="7">
        <f>'1 prepared data'!M683</f>
        <v/>
      </c>
      <c r="O690" s="7">
        <f>'1 prepared data'!N683</f>
        <v/>
      </c>
      <c r="P690" s="7">
        <f>'1 prepared data'!O683</f>
        <v/>
      </c>
      <c r="Q690" s="7">
        <f>'1 prepared data'!P683</f>
        <v/>
      </c>
      <c r="R690" s="7">
        <f>'1 prepared data'!Q683</f>
        <v/>
      </c>
      <c r="S690" s="7">
        <f>'1 prepared data'!R683</f>
        <v/>
      </c>
      <c r="T690" s="7">
        <f>'1 prepared data'!S683</f>
        <v/>
      </c>
      <c r="U690" s="7">
        <f>'1 prepared data'!T683</f>
        <v/>
      </c>
      <c r="V690" s="8">
        <f>$AC$12+D690*$AC$13+E690*$AC$14+F690*$AC$15+G690*$AC$16+H690*$AC$17+I690*$AC$18+J690*$AC$19+K690*$AC$20+L690*$AC$21+M690*$AC$22+N690*$AC$23+O690*$AC$24+P690*$AC$25+Q690*$AC$26+R690*$AC$27+S690*$AC$28+T690*$AC$29+U690*$AC$30</f>
        <v/>
      </c>
      <c r="W690" s="8">
        <f>1/(1+EXP(-V690))</f>
        <v/>
      </c>
      <c r="X690" s="9">
        <f>-IF(C690=1,LN(W690),LN(1-W690))</f>
        <v/>
      </c>
      <c r="Y690" s="10">
        <f>IF(W690&gt;$AC$33,1,0)</f>
        <v/>
      </c>
      <c r="Z690">
        <f>IF(Y690=C690,1,0)</f>
        <v/>
      </c>
    </row>
    <row r="691">
      <c r="A691">
        <f>'1 prepared data'!A684</f>
        <v/>
      </c>
      <c r="B691" s="5">
        <f>'1 prepared data'!U684</f>
        <v/>
      </c>
      <c r="C691">
        <f>'1 prepared data'!B684</f>
        <v/>
      </c>
      <c r="D691" s="7">
        <f>'1 prepared data'!C684</f>
        <v/>
      </c>
      <c r="E691" s="7">
        <f>'1 prepared data'!D684</f>
        <v/>
      </c>
      <c r="F691" s="7">
        <f>'1 prepared data'!E684</f>
        <v/>
      </c>
      <c r="G691" s="7">
        <f>'1 prepared data'!F684</f>
        <v/>
      </c>
      <c r="H691" s="7">
        <f>'1 prepared data'!G684</f>
        <v/>
      </c>
      <c r="I691" s="7">
        <f>'1 prepared data'!H684</f>
        <v/>
      </c>
      <c r="J691" s="7">
        <f>'1 prepared data'!I684</f>
        <v/>
      </c>
      <c r="K691" s="7">
        <f>'1 prepared data'!J684</f>
        <v/>
      </c>
      <c r="L691" s="7">
        <f>'1 prepared data'!K684</f>
        <v/>
      </c>
      <c r="M691" s="7">
        <f>'1 prepared data'!L684</f>
        <v/>
      </c>
      <c r="N691" s="7">
        <f>'1 prepared data'!M684</f>
        <v/>
      </c>
      <c r="O691" s="7">
        <f>'1 prepared data'!N684</f>
        <v/>
      </c>
      <c r="P691" s="7">
        <f>'1 prepared data'!O684</f>
        <v/>
      </c>
      <c r="Q691" s="7">
        <f>'1 prepared data'!P684</f>
        <v/>
      </c>
      <c r="R691" s="7">
        <f>'1 prepared data'!Q684</f>
        <v/>
      </c>
      <c r="S691" s="7">
        <f>'1 prepared data'!R684</f>
        <v/>
      </c>
      <c r="T691" s="7">
        <f>'1 prepared data'!S684</f>
        <v/>
      </c>
      <c r="U691" s="7">
        <f>'1 prepared data'!T684</f>
        <v/>
      </c>
      <c r="V691" s="8">
        <f>$AC$12+D691*$AC$13+E691*$AC$14+F691*$AC$15+G691*$AC$16+H691*$AC$17+I691*$AC$18+J691*$AC$19+K691*$AC$20+L691*$AC$21+M691*$AC$22+N691*$AC$23+O691*$AC$24+P691*$AC$25+Q691*$AC$26+R691*$AC$27+S691*$AC$28+T691*$AC$29+U691*$AC$30</f>
        <v/>
      </c>
      <c r="W691" s="8">
        <f>1/(1+EXP(-V691))</f>
        <v/>
      </c>
      <c r="X691" s="9">
        <f>-IF(C691=1,LN(W691),LN(1-W691))</f>
        <v/>
      </c>
      <c r="Y691" s="10">
        <f>IF(W691&gt;$AC$33,1,0)</f>
        <v/>
      </c>
      <c r="Z691">
        <f>IF(Y691=C691,1,0)</f>
        <v/>
      </c>
    </row>
    <row r="692">
      <c r="A692">
        <f>'1 prepared data'!A685</f>
        <v/>
      </c>
      <c r="B692" s="5">
        <f>'1 prepared data'!U685</f>
        <v/>
      </c>
      <c r="C692">
        <f>'1 prepared data'!B685</f>
        <v/>
      </c>
      <c r="D692" s="7">
        <f>'1 prepared data'!C685</f>
        <v/>
      </c>
      <c r="E692" s="7">
        <f>'1 prepared data'!D685</f>
        <v/>
      </c>
      <c r="F692" s="7">
        <f>'1 prepared data'!E685</f>
        <v/>
      </c>
      <c r="G692" s="7">
        <f>'1 prepared data'!F685</f>
        <v/>
      </c>
      <c r="H692" s="7">
        <f>'1 prepared data'!G685</f>
        <v/>
      </c>
      <c r="I692" s="7">
        <f>'1 prepared data'!H685</f>
        <v/>
      </c>
      <c r="J692" s="7">
        <f>'1 prepared data'!I685</f>
        <v/>
      </c>
      <c r="K692" s="7">
        <f>'1 prepared data'!J685</f>
        <v/>
      </c>
      <c r="L692" s="7">
        <f>'1 prepared data'!K685</f>
        <v/>
      </c>
      <c r="M692" s="7">
        <f>'1 prepared data'!L685</f>
        <v/>
      </c>
      <c r="N692" s="7">
        <f>'1 prepared data'!M685</f>
        <v/>
      </c>
      <c r="O692" s="7">
        <f>'1 prepared data'!N685</f>
        <v/>
      </c>
      <c r="P692" s="7">
        <f>'1 prepared data'!O685</f>
        <v/>
      </c>
      <c r="Q692" s="7">
        <f>'1 prepared data'!P685</f>
        <v/>
      </c>
      <c r="R692" s="7">
        <f>'1 prepared data'!Q685</f>
        <v/>
      </c>
      <c r="S692" s="7">
        <f>'1 prepared data'!R685</f>
        <v/>
      </c>
      <c r="T692" s="7">
        <f>'1 prepared data'!S685</f>
        <v/>
      </c>
      <c r="U692" s="7">
        <f>'1 prepared data'!T685</f>
        <v/>
      </c>
      <c r="V692" s="8">
        <f>$AC$12+D692*$AC$13+E692*$AC$14+F692*$AC$15+G692*$AC$16+H692*$AC$17+I692*$AC$18+J692*$AC$19+K692*$AC$20+L692*$AC$21+M692*$AC$22+N692*$AC$23+O692*$AC$24+P692*$AC$25+Q692*$AC$26+R692*$AC$27+S692*$AC$28+T692*$AC$29+U692*$AC$30</f>
        <v/>
      </c>
      <c r="W692" s="8">
        <f>1/(1+EXP(-V692))</f>
        <v/>
      </c>
      <c r="X692" s="9">
        <f>-IF(C692=1,LN(W692),LN(1-W692))</f>
        <v/>
      </c>
      <c r="Y692" s="10">
        <f>IF(W692&gt;$AC$33,1,0)</f>
        <v/>
      </c>
      <c r="Z692">
        <f>IF(Y692=C692,1,0)</f>
        <v/>
      </c>
    </row>
    <row r="693">
      <c r="A693">
        <f>'1 prepared data'!A686</f>
        <v/>
      </c>
      <c r="B693" s="5">
        <f>'1 prepared data'!U686</f>
        <v/>
      </c>
      <c r="C693">
        <f>'1 prepared data'!B686</f>
        <v/>
      </c>
      <c r="D693" s="7">
        <f>'1 prepared data'!C686</f>
        <v/>
      </c>
      <c r="E693" s="7">
        <f>'1 prepared data'!D686</f>
        <v/>
      </c>
      <c r="F693" s="7">
        <f>'1 prepared data'!E686</f>
        <v/>
      </c>
      <c r="G693" s="7">
        <f>'1 prepared data'!F686</f>
        <v/>
      </c>
      <c r="H693" s="7">
        <f>'1 prepared data'!G686</f>
        <v/>
      </c>
      <c r="I693" s="7">
        <f>'1 prepared data'!H686</f>
        <v/>
      </c>
      <c r="J693" s="7">
        <f>'1 prepared data'!I686</f>
        <v/>
      </c>
      <c r="K693" s="7">
        <f>'1 prepared data'!J686</f>
        <v/>
      </c>
      <c r="L693" s="7">
        <f>'1 prepared data'!K686</f>
        <v/>
      </c>
      <c r="M693" s="7">
        <f>'1 prepared data'!L686</f>
        <v/>
      </c>
      <c r="N693" s="7">
        <f>'1 prepared data'!M686</f>
        <v/>
      </c>
      <c r="O693" s="7">
        <f>'1 prepared data'!N686</f>
        <v/>
      </c>
      <c r="P693" s="7">
        <f>'1 prepared data'!O686</f>
        <v/>
      </c>
      <c r="Q693" s="7">
        <f>'1 prepared data'!P686</f>
        <v/>
      </c>
      <c r="R693" s="7">
        <f>'1 prepared data'!Q686</f>
        <v/>
      </c>
      <c r="S693" s="7">
        <f>'1 prepared data'!R686</f>
        <v/>
      </c>
      <c r="T693" s="7">
        <f>'1 prepared data'!S686</f>
        <v/>
      </c>
      <c r="U693" s="7">
        <f>'1 prepared data'!T686</f>
        <v/>
      </c>
      <c r="V693" s="8">
        <f>$AC$12+D693*$AC$13+E693*$AC$14+F693*$AC$15+G693*$AC$16+H693*$AC$17+I693*$AC$18+J693*$AC$19+K693*$AC$20+L693*$AC$21+M693*$AC$22+N693*$AC$23+O693*$AC$24+P693*$AC$25+Q693*$AC$26+R693*$AC$27+S693*$AC$28+T693*$AC$29+U693*$AC$30</f>
        <v/>
      </c>
      <c r="W693" s="8">
        <f>1/(1+EXP(-V693))</f>
        <v/>
      </c>
      <c r="X693" s="9">
        <f>-IF(C693=1,LN(W693),LN(1-W693))</f>
        <v/>
      </c>
      <c r="Y693" s="10">
        <f>IF(W693&gt;$AC$33,1,0)</f>
        <v/>
      </c>
      <c r="Z693">
        <f>IF(Y693=C693,1,0)</f>
        <v/>
      </c>
    </row>
    <row r="694">
      <c r="A694">
        <f>'1 prepared data'!A687</f>
        <v/>
      </c>
      <c r="B694" s="5">
        <f>'1 prepared data'!U687</f>
        <v/>
      </c>
      <c r="C694">
        <f>'1 prepared data'!B687</f>
        <v/>
      </c>
      <c r="D694" s="7">
        <f>'1 prepared data'!C687</f>
        <v/>
      </c>
      <c r="E694" s="7">
        <f>'1 prepared data'!D687</f>
        <v/>
      </c>
      <c r="F694" s="7">
        <f>'1 prepared data'!E687</f>
        <v/>
      </c>
      <c r="G694" s="7">
        <f>'1 prepared data'!F687</f>
        <v/>
      </c>
      <c r="H694" s="7">
        <f>'1 prepared data'!G687</f>
        <v/>
      </c>
      <c r="I694" s="7">
        <f>'1 prepared data'!H687</f>
        <v/>
      </c>
      <c r="J694" s="7">
        <f>'1 prepared data'!I687</f>
        <v/>
      </c>
      <c r="K694" s="7">
        <f>'1 prepared data'!J687</f>
        <v/>
      </c>
      <c r="L694" s="7">
        <f>'1 prepared data'!K687</f>
        <v/>
      </c>
      <c r="M694" s="7">
        <f>'1 prepared data'!L687</f>
        <v/>
      </c>
      <c r="N694" s="7">
        <f>'1 prepared data'!M687</f>
        <v/>
      </c>
      <c r="O694" s="7">
        <f>'1 prepared data'!N687</f>
        <v/>
      </c>
      <c r="P694" s="7">
        <f>'1 prepared data'!O687</f>
        <v/>
      </c>
      <c r="Q694" s="7">
        <f>'1 prepared data'!P687</f>
        <v/>
      </c>
      <c r="R694" s="7">
        <f>'1 prepared data'!Q687</f>
        <v/>
      </c>
      <c r="S694" s="7">
        <f>'1 prepared data'!R687</f>
        <v/>
      </c>
      <c r="T694" s="7">
        <f>'1 prepared data'!S687</f>
        <v/>
      </c>
      <c r="U694" s="7">
        <f>'1 prepared data'!T687</f>
        <v/>
      </c>
      <c r="V694" s="8">
        <f>$AC$12+D694*$AC$13+E694*$AC$14+F694*$AC$15+G694*$AC$16+H694*$AC$17+I694*$AC$18+J694*$AC$19+K694*$AC$20+L694*$AC$21+M694*$AC$22+N694*$AC$23+O694*$AC$24+P694*$AC$25+Q694*$AC$26+R694*$AC$27+S694*$AC$28+T694*$AC$29+U694*$AC$30</f>
        <v/>
      </c>
      <c r="W694" s="8">
        <f>1/(1+EXP(-V694))</f>
        <v/>
      </c>
      <c r="X694" s="9">
        <f>-IF(C694=1,LN(W694),LN(1-W694))</f>
        <v/>
      </c>
      <c r="Y694" s="10">
        <f>IF(W694&gt;$AC$33,1,0)</f>
        <v/>
      </c>
      <c r="Z694">
        <f>IF(Y694=C694,1,0)</f>
        <v/>
      </c>
    </row>
    <row r="695">
      <c r="A695">
        <f>'1 prepared data'!A688</f>
        <v/>
      </c>
      <c r="B695" s="5">
        <f>'1 prepared data'!U688</f>
        <v/>
      </c>
      <c r="C695">
        <f>'1 prepared data'!B688</f>
        <v/>
      </c>
      <c r="D695" s="7">
        <f>'1 prepared data'!C688</f>
        <v/>
      </c>
      <c r="E695" s="7">
        <f>'1 prepared data'!D688</f>
        <v/>
      </c>
      <c r="F695" s="7">
        <f>'1 prepared data'!E688</f>
        <v/>
      </c>
      <c r="G695" s="7">
        <f>'1 prepared data'!F688</f>
        <v/>
      </c>
      <c r="H695" s="7">
        <f>'1 prepared data'!G688</f>
        <v/>
      </c>
      <c r="I695" s="7">
        <f>'1 prepared data'!H688</f>
        <v/>
      </c>
      <c r="J695" s="7">
        <f>'1 prepared data'!I688</f>
        <v/>
      </c>
      <c r="K695" s="7">
        <f>'1 prepared data'!J688</f>
        <v/>
      </c>
      <c r="L695" s="7">
        <f>'1 prepared data'!K688</f>
        <v/>
      </c>
      <c r="M695" s="7">
        <f>'1 prepared data'!L688</f>
        <v/>
      </c>
      <c r="N695" s="7">
        <f>'1 prepared data'!M688</f>
        <v/>
      </c>
      <c r="O695" s="7">
        <f>'1 prepared data'!N688</f>
        <v/>
      </c>
      <c r="P695" s="7">
        <f>'1 prepared data'!O688</f>
        <v/>
      </c>
      <c r="Q695" s="7">
        <f>'1 prepared data'!P688</f>
        <v/>
      </c>
      <c r="R695" s="7">
        <f>'1 prepared data'!Q688</f>
        <v/>
      </c>
      <c r="S695" s="7">
        <f>'1 prepared data'!R688</f>
        <v/>
      </c>
      <c r="T695" s="7">
        <f>'1 prepared data'!S688</f>
        <v/>
      </c>
      <c r="U695" s="7">
        <f>'1 prepared data'!T688</f>
        <v/>
      </c>
      <c r="V695" s="8">
        <f>$AC$12+D695*$AC$13+E695*$AC$14+F695*$AC$15+G695*$AC$16+H695*$AC$17+I695*$AC$18+J695*$AC$19+K695*$AC$20+L695*$AC$21+M695*$AC$22+N695*$AC$23+O695*$AC$24+P695*$AC$25+Q695*$AC$26+R695*$AC$27+S695*$AC$28+T695*$AC$29+U695*$AC$30</f>
        <v/>
      </c>
      <c r="W695" s="8">
        <f>1/(1+EXP(-V695))</f>
        <v/>
      </c>
      <c r="X695" s="9">
        <f>-IF(C695=1,LN(W695),LN(1-W695))</f>
        <v/>
      </c>
      <c r="Y695" s="10">
        <f>IF(W695&gt;$AC$33,1,0)</f>
        <v/>
      </c>
      <c r="Z695">
        <f>IF(Y695=C695,1,0)</f>
        <v/>
      </c>
    </row>
    <row r="696">
      <c r="A696">
        <f>'1 prepared data'!A689</f>
        <v/>
      </c>
      <c r="B696" s="5">
        <f>'1 prepared data'!U689</f>
        <v/>
      </c>
      <c r="C696">
        <f>'1 prepared data'!B689</f>
        <v/>
      </c>
      <c r="D696" s="7">
        <f>'1 prepared data'!C689</f>
        <v/>
      </c>
      <c r="E696" s="7">
        <f>'1 prepared data'!D689</f>
        <v/>
      </c>
      <c r="F696" s="7">
        <f>'1 prepared data'!E689</f>
        <v/>
      </c>
      <c r="G696" s="7">
        <f>'1 prepared data'!F689</f>
        <v/>
      </c>
      <c r="H696" s="7">
        <f>'1 prepared data'!G689</f>
        <v/>
      </c>
      <c r="I696" s="7">
        <f>'1 prepared data'!H689</f>
        <v/>
      </c>
      <c r="J696" s="7">
        <f>'1 prepared data'!I689</f>
        <v/>
      </c>
      <c r="K696" s="7">
        <f>'1 prepared data'!J689</f>
        <v/>
      </c>
      <c r="L696" s="7">
        <f>'1 prepared data'!K689</f>
        <v/>
      </c>
      <c r="M696" s="7">
        <f>'1 prepared data'!L689</f>
        <v/>
      </c>
      <c r="N696" s="7">
        <f>'1 prepared data'!M689</f>
        <v/>
      </c>
      <c r="O696" s="7">
        <f>'1 prepared data'!N689</f>
        <v/>
      </c>
      <c r="P696" s="7">
        <f>'1 prepared data'!O689</f>
        <v/>
      </c>
      <c r="Q696" s="7">
        <f>'1 prepared data'!P689</f>
        <v/>
      </c>
      <c r="R696" s="7">
        <f>'1 prepared data'!Q689</f>
        <v/>
      </c>
      <c r="S696" s="7">
        <f>'1 prepared data'!R689</f>
        <v/>
      </c>
      <c r="T696" s="7">
        <f>'1 prepared data'!S689</f>
        <v/>
      </c>
      <c r="U696" s="7">
        <f>'1 prepared data'!T689</f>
        <v/>
      </c>
      <c r="V696" s="8">
        <f>$AC$12+D696*$AC$13+E696*$AC$14+F696*$AC$15+G696*$AC$16+H696*$AC$17+I696*$AC$18+J696*$AC$19+K696*$AC$20+L696*$AC$21+M696*$AC$22+N696*$AC$23+O696*$AC$24+P696*$AC$25+Q696*$AC$26+R696*$AC$27+S696*$AC$28+T696*$AC$29+U696*$AC$30</f>
        <v/>
      </c>
      <c r="W696" s="8">
        <f>1/(1+EXP(-V696))</f>
        <v/>
      </c>
      <c r="X696" s="9">
        <f>-IF(C696=1,LN(W696),LN(1-W696))</f>
        <v/>
      </c>
      <c r="Y696" s="10">
        <f>IF(W696&gt;$AC$33,1,0)</f>
        <v/>
      </c>
      <c r="Z696">
        <f>IF(Y696=C696,1,0)</f>
        <v/>
      </c>
    </row>
    <row r="697">
      <c r="A697">
        <f>'1 prepared data'!A690</f>
        <v/>
      </c>
      <c r="B697" s="5">
        <f>'1 prepared data'!U690</f>
        <v/>
      </c>
      <c r="C697">
        <f>'1 prepared data'!B690</f>
        <v/>
      </c>
      <c r="D697" s="7">
        <f>'1 prepared data'!C690</f>
        <v/>
      </c>
      <c r="E697" s="7">
        <f>'1 prepared data'!D690</f>
        <v/>
      </c>
      <c r="F697" s="7">
        <f>'1 prepared data'!E690</f>
        <v/>
      </c>
      <c r="G697" s="7">
        <f>'1 prepared data'!F690</f>
        <v/>
      </c>
      <c r="H697" s="7">
        <f>'1 prepared data'!G690</f>
        <v/>
      </c>
      <c r="I697" s="7">
        <f>'1 prepared data'!H690</f>
        <v/>
      </c>
      <c r="J697" s="7">
        <f>'1 prepared data'!I690</f>
        <v/>
      </c>
      <c r="K697" s="7">
        <f>'1 prepared data'!J690</f>
        <v/>
      </c>
      <c r="L697" s="7">
        <f>'1 prepared data'!K690</f>
        <v/>
      </c>
      <c r="M697" s="7">
        <f>'1 prepared data'!L690</f>
        <v/>
      </c>
      <c r="N697" s="7">
        <f>'1 prepared data'!M690</f>
        <v/>
      </c>
      <c r="O697" s="7">
        <f>'1 prepared data'!N690</f>
        <v/>
      </c>
      <c r="P697" s="7">
        <f>'1 prepared data'!O690</f>
        <v/>
      </c>
      <c r="Q697" s="7">
        <f>'1 prepared data'!P690</f>
        <v/>
      </c>
      <c r="R697" s="7">
        <f>'1 prepared data'!Q690</f>
        <v/>
      </c>
      <c r="S697" s="7">
        <f>'1 prepared data'!R690</f>
        <v/>
      </c>
      <c r="T697" s="7">
        <f>'1 prepared data'!S690</f>
        <v/>
      </c>
      <c r="U697" s="7">
        <f>'1 prepared data'!T690</f>
        <v/>
      </c>
      <c r="V697" s="8">
        <f>$AC$12+D697*$AC$13+E697*$AC$14+F697*$AC$15+G697*$AC$16+H697*$AC$17+I697*$AC$18+J697*$AC$19+K697*$AC$20+L697*$AC$21+M697*$AC$22+N697*$AC$23+O697*$AC$24+P697*$AC$25+Q697*$AC$26+R697*$AC$27+S697*$AC$28+T697*$AC$29+U697*$AC$30</f>
        <v/>
      </c>
      <c r="W697" s="8">
        <f>1/(1+EXP(-V697))</f>
        <v/>
      </c>
      <c r="X697" s="9">
        <f>-IF(C697=1,LN(W697),LN(1-W697))</f>
        <v/>
      </c>
      <c r="Y697" s="10">
        <f>IF(W697&gt;$AC$33,1,0)</f>
        <v/>
      </c>
      <c r="Z697">
        <f>IF(Y697=C697,1,0)</f>
        <v/>
      </c>
    </row>
    <row r="698">
      <c r="A698">
        <f>'1 prepared data'!A691</f>
        <v/>
      </c>
      <c r="B698" s="5">
        <f>'1 prepared data'!U691</f>
        <v/>
      </c>
      <c r="C698">
        <f>'1 prepared data'!B691</f>
        <v/>
      </c>
      <c r="D698" s="7">
        <f>'1 prepared data'!C691</f>
        <v/>
      </c>
      <c r="E698" s="7">
        <f>'1 prepared data'!D691</f>
        <v/>
      </c>
      <c r="F698" s="7">
        <f>'1 prepared data'!E691</f>
        <v/>
      </c>
      <c r="G698" s="7">
        <f>'1 prepared data'!F691</f>
        <v/>
      </c>
      <c r="H698" s="7">
        <f>'1 prepared data'!G691</f>
        <v/>
      </c>
      <c r="I698" s="7">
        <f>'1 prepared data'!H691</f>
        <v/>
      </c>
      <c r="J698" s="7">
        <f>'1 prepared data'!I691</f>
        <v/>
      </c>
      <c r="K698" s="7">
        <f>'1 prepared data'!J691</f>
        <v/>
      </c>
      <c r="L698" s="7">
        <f>'1 prepared data'!K691</f>
        <v/>
      </c>
      <c r="M698" s="7">
        <f>'1 prepared data'!L691</f>
        <v/>
      </c>
      <c r="N698" s="7">
        <f>'1 prepared data'!M691</f>
        <v/>
      </c>
      <c r="O698" s="7">
        <f>'1 prepared data'!N691</f>
        <v/>
      </c>
      <c r="P698" s="7">
        <f>'1 prepared data'!O691</f>
        <v/>
      </c>
      <c r="Q698" s="7">
        <f>'1 prepared data'!P691</f>
        <v/>
      </c>
      <c r="R698" s="7">
        <f>'1 prepared data'!Q691</f>
        <v/>
      </c>
      <c r="S698" s="7">
        <f>'1 prepared data'!R691</f>
        <v/>
      </c>
      <c r="T698" s="7">
        <f>'1 prepared data'!S691</f>
        <v/>
      </c>
      <c r="U698" s="7">
        <f>'1 prepared data'!T691</f>
        <v/>
      </c>
      <c r="V698" s="8">
        <f>$AC$12+D698*$AC$13+E698*$AC$14+F698*$AC$15+G698*$AC$16+H698*$AC$17+I698*$AC$18+J698*$AC$19+K698*$AC$20+L698*$AC$21+M698*$AC$22+N698*$AC$23+O698*$AC$24+P698*$AC$25+Q698*$AC$26+R698*$AC$27+S698*$AC$28+T698*$AC$29+U698*$AC$30</f>
        <v/>
      </c>
      <c r="W698" s="8">
        <f>1/(1+EXP(-V698))</f>
        <v/>
      </c>
      <c r="X698" s="9">
        <f>-IF(C698=1,LN(W698),LN(1-W698))</f>
        <v/>
      </c>
      <c r="Y698" s="10">
        <f>IF(W698&gt;$AC$33,1,0)</f>
        <v/>
      </c>
      <c r="Z698">
        <f>IF(Y698=C698,1,0)</f>
        <v/>
      </c>
    </row>
    <row r="699">
      <c r="A699">
        <f>'1 prepared data'!A692</f>
        <v/>
      </c>
      <c r="B699" s="5">
        <f>'1 prepared data'!U692</f>
        <v/>
      </c>
      <c r="C699">
        <f>'1 prepared data'!B692</f>
        <v/>
      </c>
      <c r="D699" s="7">
        <f>'1 prepared data'!C692</f>
        <v/>
      </c>
      <c r="E699" s="7">
        <f>'1 prepared data'!D692</f>
        <v/>
      </c>
      <c r="F699" s="7">
        <f>'1 prepared data'!E692</f>
        <v/>
      </c>
      <c r="G699" s="7">
        <f>'1 prepared data'!F692</f>
        <v/>
      </c>
      <c r="H699" s="7">
        <f>'1 prepared data'!G692</f>
        <v/>
      </c>
      <c r="I699" s="7">
        <f>'1 prepared data'!H692</f>
        <v/>
      </c>
      <c r="J699" s="7">
        <f>'1 prepared data'!I692</f>
        <v/>
      </c>
      <c r="K699" s="7">
        <f>'1 prepared data'!J692</f>
        <v/>
      </c>
      <c r="L699" s="7">
        <f>'1 prepared data'!K692</f>
        <v/>
      </c>
      <c r="M699" s="7">
        <f>'1 prepared data'!L692</f>
        <v/>
      </c>
      <c r="N699" s="7">
        <f>'1 prepared data'!M692</f>
        <v/>
      </c>
      <c r="O699" s="7">
        <f>'1 prepared data'!N692</f>
        <v/>
      </c>
      <c r="P699" s="7">
        <f>'1 prepared data'!O692</f>
        <v/>
      </c>
      <c r="Q699" s="7">
        <f>'1 prepared data'!P692</f>
        <v/>
      </c>
      <c r="R699" s="7">
        <f>'1 prepared data'!Q692</f>
        <v/>
      </c>
      <c r="S699" s="7">
        <f>'1 prepared data'!R692</f>
        <v/>
      </c>
      <c r="T699" s="7">
        <f>'1 prepared data'!S692</f>
        <v/>
      </c>
      <c r="U699" s="7">
        <f>'1 prepared data'!T692</f>
        <v/>
      </c>
      <c r="V699" s="8">
        <f>$AC$12+D699*$AC$13+E699*$AC$14+F699*$AC$15+G699*$AC$16+H699*$AC$17+I699*$AC$18+J699*$AC$19+K699*$AC$20+L699*$AC$21+M699*$AC$22+N699*$AC$23+O699*$AC$24+P699*$AC$25+Q699*$AC$26+R699*$AC$27+S699*$AC$28+T699*$AC$29+U699*$AC$30</f>
        <v/>
      </c>
      <c r="W699" s="8">
        <f>1/(1+EXP(-V699))</f>
        <v/>
      </c>
      <c r="X699" s="9">
        <f>-IF(C699=1,LN(W699),LN(1-W699))</f>
        <v/>
      </c>
      <c r="Y699" s="10">
        <f>IF(W699&gt;$AC$33,1,0)</f>
        <v/>
      </c>
      <c r="Z699">
        <f>IF(Y699=C699,1,0)</f>
        <v/>
      </c>
    </row>
    <row r="700">
      <c r="A700">
        <f>'1 prepared data'!A693</f>
        <v/>
      </c>
      <c r="B700" s="5">
        <f>'1 prepared data'!U693</f>
        <v/>
      </c>
      <c r="C700">
        <f>'1 prepared data'!B693</f>
        <v/>
      </c>
      <c r="D700" s="7">
        <f>'1 prepared data'!C693</f>
        <v/>
      </c>
      <c r="E700" s="7">
        <f>'1 prepared data'!D693</f>
        <v/>
      </c>
      <c r="F700" s="7">
        <f>'1 prepared data'!E693</f>
        <v/>
      </c>
      <c r="G700" s="7">
        <f>'1 prepared data'!F693</f>
        <v/>
      </c>
      <c r="H700" s="7">
        <f>'1 prepared data'!G693</f>
        <v/>
      </c>
      <c r="I700" s="7">
        <f>'1 prepared data'!H693</f>
        <v/>
      </c>
      <c r="J700" s="7">
        <f>'1 prepared data'!I693</f>
        <v/>
      </c>
      <c r="K700" s="7">
        <f>'1 prepared data'!J693</f>
        <v/>
      </c>
      <c r="L700" s="7">
        <f>'1 prepared data'!K693</f>
        <v/>
      </c>
      <c r="M700" s="7">
        <f>'1 prepared data'!L693</f>
        <v/>
      </c>
      <c r="N700" s="7">
        <f>'1 prepared data'!M693</f>
        <v/>
      </c>
      <c r="O700" s="7">
        <f>'1 prepared data'!N693</f>
        <v/>
      </c>
      <c r="P700" s="7">
        <f>'1 prepared data'!O693</f>
        <v/>
      </c>
      <c r="Q700" s="7">
        <f>'1 prepared data'!P693</f>
        <v/>
      </c>
      <c r="R700" s="7">
        <f>'1 prepared data'!Q693</f>
        <v/>
      </c>
      <c r="S700" s="7">
        <f>'1 prepared data'!R693</f>
        <v/>
      </c>
      <c r="T700" s="7">
        <f>'1 prepared data'!S693</f>
        <v/>
      </c>
      <c r="U700" s="7">
        <f>'1 prepared data'!T693</f>
        <v/>
      </c>
      <c r="V700" s="8">
        <f>$AC$12+D700*$AC$13+E700*$AC$14+F700*$AC$15+G700*$AC$16+H700*$AC$17+I700*$AC$18+J700*$AC$19+K700*$AC$20+L700*$AC$21+M700*$AC$22+N700*$AC$23+O700*$AC$24+P700*$AC$25+Q700*$AC$26+R700*$AC$27+S700*$AC$28+T700*$AC$29+U700*$AC$30</f>
        <v/>
      </c>
      <c r="W700" s="8">
        <f>1/(1+EXP(-V700))</f>
        <v/>
      </c>
      <c r="X700" s="9">
        <f>-IF(C700=1,LN(W700),LN(1-W700))</f>
        <v/>
      </c>
      <c r="Y700" s="10">
        <f>IF(W700&gt;$AC$33,1,0)</f>
        <v/>
      </c>
      <c r="Z700">
        <f>IF(Y700=C700,1,0)</f>
        <v/>
      </c>
    </row>
    <row r="701">
      <c r="A701">
        <f>'1 prepared data'!A694</f>
        <v/>
      </c>
      <c r="B701" s="5">
        <f>'1 prepared data'!U694</f>
        <v/>
      </c>
      <c r="C701">
        <f>'1 prepared data'!B694</f>
        <v/>
      </c>
      <c r="D701" s="7">
        <f>'1 prepared data'!C694</f>
        <v/>
      </c>
      <c r="E701" s="7">
        <f>'1 prepared data'!D694</f>
        <v/>
      </c>
      <c r="F701" s="7">
        <f>'1 prepared data'!E694</f>
        <v/>
      </c>
      <c r="G701" s="7">
        <f>'1 prepared data'!F694</f>
        <v/>
      </c>
      <c r="H701" s="7">
        <f>'1 prepared data'!G694</f>
        <v/>
      </c>
      <c r="I701" s="7">
        <f>'1 prepared data'!H694</f>
        <v/>
      </c>
      <c r="J701" s="7">
        <f>'1 prepared data'!I694</f>
        <v/>
      </c>
      <c r="K701" s="7">
        <f>'1 prepared data'!J694</f>
        <v/>
      </c>
      <c r="L701" s="7">
        <f>'1 prepared data'!K694</f>
        <v/>
      </c>
      <c r="M701" s="7">
        <f>'1 prepared data'!L694</f>
        <v/>
      </c>
      <c r="N701" s="7">
        <f>'1 prepared data'!M694</f>
        <v/>
      </c>
      <c r="O701" s="7">
        <f>'1 prepared data'!N694</f>
        <v/>
      </c>
      <c r="P701" s="7">
        <f>'1 prepared data'!O694</f>
        <v/>
      </c>
      <c r="Q701" s="7">
        <f>'1 prepared data'!P694</f>
        <v/>
      </c>
      <c r="R701" s="7">
        <f>'1 prepared data'!Q694</f>
        <v/>
      </c>
      <c r="S701" s="7">
        <f>'1 prepared data'!R694</f>
        <v/>
      </c>
      <c r="T701" s="7">
        <f>'1 prepared data'!S694</f>
        <v/>
      </c>
      <c r="U701" s="7">
        <f>'1 prepared data'!T694</f>
        <v/>
      </c>
      <c r="V701" s="8">
        <f>$AC$12+D701*$AC$13+E701*$AC$14+F701*$AC$15+G701*$AC$16+H701*$AC$17+I701*$AC$18+J701*$AC$19+K701*$AC$20+L701*$AC$21+M701*$AC$22+N701*$AC$23+O701*$AC$24+P701*$AC$25+Q701*$AC$26+R701*$AC$27+S701*$AC$28+T701*$AC$29+U701*$AC$30</f>
        <v/>
      </c>
      <c r="W701" s="8">
        <f>1/(1+EXP(-V701))</f>
        <v/>
      </c>
      <c r="X701" s="9">
        <f>-IF(C701=1,LN(W701),LN(1-W701))</f>
        <v/>
      </c>
      <c r="Y701" s="10">
        <f>IF(W701&gt;$AC$33,1,0)</f>
        <v/>
      </c>
      <c r="Z701">
        <f>IF(Y701=C701,1,0)</f>
        <v/>
      </c>
    </row>
    <row r="702">
      <c r="A702">
        <f>'1 prepared data'!A695</f>
        <v/>
      </c>
      <c r="B702" s="5">
        <f>'1 prepared data'!U695</f>
        <v/>
      </c>
      <c r="C702">
        <f>'1 prepared data'!B695</f>
        <v/>
      </c>
      <c r="D702" s="7">
        <f>'1 prepared data'!C695</f>
        <v/>
      </c>
      <c r="E702" s="7">
        <f>'1 prepared data'!D695</f>
        <v/>
      </c>
      <c r="F702" s="7">
        <f>'1 prepared data'!E695</f>
        <v/>
      </c>
      <c r="G702" s="7">
        <f>'1 prepared data'!F695</f>
        <v/>
      </c>
      <c r="H702" s="7">
        <f>'1 prepared data'!G695</f>
        <v/>
      </c>
      <c r="I702" s="7">
        <f>'1 prepared data'!H695</f>
        <v/>
      </c>
      <c r="J702" s="7">
        <f>'1 prepared data'!I695</f>
        <v/>
      </c>
      <c r="K702" s="7">
        <f>'1 prepared data'!J695</f>
        <v/>
      </c>
      <c r="L702" s="7">
        <f>'1 prepared data'!K695</f>
        <v/>
      </c>
      <c r="M702" s="7">
        <f>'1 prepared data'!L695</f>
        <v/>
      </c>
      <c r="N702" s="7">
        <f>'1 prepared data'!M695</f>
        <v/>
      </c>
      <c r="O702" s="7">
        <f>'1 prepared data'!N695</f>
        <v/>
      </c>
      <c r="P702" s="7">
        <f>'1 prepared data'!O695</f>
        <v/>
      </c>
      <c r="Q702" s="7">
        <f>'1 prepared data'!P695</f>
        <v/>
      </c>
      <c r="R702" s="7">
        <f>'1 prepared data'!Q695</f>
        <v/>
      </c>
      <c r="S702" s="7">
        <f>'1 prepared data'!R695</f>
        <v/>
      </c>
      <c r="T702" s="7">
        <f>'1 prepared data'!S695</f>
        <v/>
      </c>
      <c r="U702" s="7">
        <f>'1 prepared data'!T695</f>
        <v/>
      </c>
      <c r="V702" s="8">
        <f>$AC$12+D702*$AC$13+E702*$AC$14+F702*$AC$15+G702*$AC$16+H702*$AC$17+I702*$AC$18+J702*$AC$19+K702*$AC$20+L702*$AC$21+M702*$AC$22+N702*$AC$23+O702*$AC$24+P702*$AC$25+Q702*$AC$26+R702*$AC$27+S702*$AC$28+T702*$AC$29+U702*$AC$30</f>
        <v/>
      </c>
      <c r="W702" s="8">
        <f>1/(1+EXP(-V702))</f>
        <v/>
      </c>
      <c r="X702" s="9">
        <f>-IF(C702=1,LN(W702),LN(1-W702))</f>
        <v/>
      </c>
      <c r="Y702" s="10">
        <f>IF(W702&gt;$AC$33,1,0)</f>
        <v/>
      </c>
      <c r="Z702">
        <f>IF(Y702=C702,1,0)</f>
        <v/>
      </c>
    </row>
    <row r="703">
      <c r="A703">
        <f>'1 prepared data'!A696</f>
        <v/>
      </c>
      <c r="B703" s="5">
        <f>'1 prepared data'!U696</f>
        <v/>
      </c>
      <c r="C703">
        <f>'1 prepared data'!B696</f>
        <v/>
      </c>
      <c r="D703" s="7">
        <f>'1 prepared data'!C696</f>
        <v/>
      </c>
      <c r="E703" s="7">
        <f>'1 prepared data'!D696</f>
        <v/>
      </c>
      <c r="F703" s="7">
        <f>'1 prepared data'!E696</f>
        <v/>
      </c>
      <c r="G703" s="7">
        <f>'1 prepared data'!F696</f>
        <v/>
      </c>
      <c r="H703" s="7">
        <f>'1 prepared data'!G696</f>
        <v/>
      </c>
      <c r="I703" s="7">
        <f>'1 prepared data'!H696</f>
        <v/>
      </c>
      <c r="J703" s="7">
        <f>'1 prepared data'!I696</f>
        <v/>
      </c>
      <c r="K703" s="7">
        <f>'1 prepared data'!J696</f>
        <v/>
      </c>
      <c r="L703" s="7">
        <f>'1 prepared data'!K696</f>
        <v/>
      </c>
      <c r="M703" s="7">
        <f>'1 prepared data'!L696</f>
        <v/>
      </c>
      <c r="N703" s="7">
        <f>'1 prepared data'!M696</f>
        <v/>
      </c>
      <c r="O703" s="7">
        <f>'1 prepared data'!N696</f>
        <v/>
      </c>
      <c r="P703" s="7">
        <f>'1 prepared data'!O696</f>
        <v/>
      </c>
      <c r="Q703" s="7">
        <f>'1 prepared data'!P696</f>
        <v/>
      </c>
      <c r="R703" s="7">
        <f>'1 prepared data'!Q696</f>
        <v/>
      </c>
      <c r="S703" s="7">
        <f>'1 prepared data'!R696</f>
        <v/>
      </c>
      <c r="T703" s="7">
        <f>'1 prepared data'!S696</f>
        <v/>
      </c>
      <c r="U703" s="7">
        <f>'1 prepared data'!T696</f>
        <v/>
      </c>
      <c r="V703" s="8">
        <f>$AC$12+D703*$AC$13+E703*$AC$14+F703*$AC$15+G703*$AC$16+H703*$AC$17+I703*$AC$18+J703*$AC$19+K703*$AC$20+L703*$AC$21+M703*$AC$22+N703*$AC$23+O703*$AC$24+P703*$AC$25+Q703*$AC$26+R703*$AC$27+S703*$AC$28+T703*$AC$29+U703*$AC$30</f>
        <v/>
      </c>
      <c r="W703" s="8">
        <f>1/(1+EXP(-V703))</f>
        <v/>
      </c>
      <c r="X703" s="9">
        <f>-IF(C703=1,LN(W703),LN(1-W703))</f>
        <v/>
      </c>
      <c r="Y703" s="10">
        <f>IF(W703&gt;$AC$33,1,0)</f>
        <v/>
      </c>
      <c r="Z703">
        <f>IF(Y703=C703,1,0)</f>
        <v/>
      </c>
    </row>
    <row r="704">
      <c r="A704">
        <f>'1 prepared data'!A697</f>
        <v/>
      </c>
      <c r="B704" s="5">
        <f>'1 prepared data'!U697</f>
        <v/>
      </c>
      <c r="C704">
        <f>'1 prepared data'!B697</f>
        <v/>
      </c>
      <c r="D704" s="7">
        <f>'1 prepared data'!C697</f>
        <v/>
      </c>
      <c r="E704" s="7">
        <f>'1 prepared data'!D697</f>
        <v/>
      </c>
      <c r="F704" s="7">
        <f>'1 prepared data'!E697</f>
        <v/>
      </c>
      <c r="G704" s="7">
        <f>'1 prepared data'!F697</f>
        <v/>
      </c>
      <c r="H704" s="7">
        <f>'1 prepared data'!G697</f>
        <v/>
      </c>
      <c r="I704" s="7">
        <f>'1 prepared data'!H697</f>
        <v/>
      </c>
      <c r="J704" s="7">
        <f>'1 prepared data'!I697</f>
        <v/>
      </c>
      <c r="K704" s="7">
        <f>'1 prepared data'!J697</f>
        <v/>
      </c>
      <c r="L704" s="7">
        <f>'1 prepared data'!K697</f>
        <v/>
      </c>
      <c r="M704" s="7">
        <f>'1 prepared data'!L697</f>
        <v/>
      </c>
      <c r="N704" s="7">
        <f>'1 prepared data'!M697</f>
        <v/>
      </c>
      <c r="O704" s="7">
        <f>'1 prepared data'!N697</f>
        <v/>
      </c>
      <c r="P704" s="7">
        <f>'1 prepared data'!O697</f>
        <v/>
      </c>
      <c r="Q704" s="7">
        <f>'1 prepared data'!P697</f>
        <v/>
      </c>
      <c r="R704" s="7">
        <f>'1 prepared data'!Q697</f>
        <v/>
      </c>
      <c r="S704" s="7">
        <f>'1 prepared data'!R697</f>
        <v/>
      </c>
      <c r="T704" s="7">
        <f>'1 prepared data'!S697</f>
        <v/>
      </c>
      <c r="U704" s="7">
        <f>'1 prepared data'!T697</f>
        <v/>
      </c>
      <c r="V704" s="8">
        <f>$AC$12+D704*$AC$13+E704*$AC$14+F704*$AC$15+G704*$AC$16+H704*$AC$17+I704*$AC$18+J704*$AC$19+K704*$AC$20+L704*$AC$21+M704*$AC$22+N704*$AC$23+O704*$AC$24+P704*$AC$25+Q704*$AC$26+R704*$AC$27+S704*$AC$28+T704*$AC$29+U704*$AC$30</f>
        <v/>
      </c>
      <c r="W704" s="8">
        <f>1/(1+EXP(-V704))</f>
        <v/>
      </c>
      <c r="X704" s="9">
        <f>-IF(C704=1,LN(W704),LN(1-W704))</f>
        <v/>
      </c>
      <c r="Y704" s="10">
        <f>IF(W704&gt;$AC$33,1,0)</f>
        <v/>
      </c>
      <c r="Z704">
        <f>IF(Y704=C704,1,0)</f>
        <v/>
      </c>
    </row>
    <row r="705">
      <c r="A705">
        <f>'1 prepared data'!A698</f>
        <v/>
      </c>
      <c r="B705" s="5">
        <f>'1 prepared data'!U698</f>
        <v/>
      </c>
      <c r="C705">
        <f>'1 prepared data'!B698</f>
        <v/>
      </c>
      <c r="D705" s="7">
        <f>'1 prepared data'!C698</f>
        <v/>
      </c>
      <c r="E705" s="7">
        <f>'1 prepared data'!D698</f>
        <v/>
      </c>
      <c r="F705" s="7">
        <f>'1 prepared data'!E698</f>
        <v/>
      </c>
      <c r="G705" s="7">
        <f>'1 prepared data'!F698</f>
        <v/>
      </c>
      <c r="H705" s="7">
        <f>'1 prepared data'!G698</f>
        <v/>
      </c>
      <c r="I705" s="7">
        <f>'1 prepared data'!H698</f>
        <v/>
      </c>
      <c r="J705" s="7">
        <f>'1 prepared data'!I698</f>
        <v/>
      </c>
      <c r="K705" s="7">
        <f>'1 prepared data'!J698</f>
        <v/>
      </c>
      <c r="L705" s="7">
        <f>'1 prepared data'!K698</f>
        <v/>
      </c>
      <c r="M705" s="7">
        <f>'1 prepared data'!L698</f>
        <v/>
      </c>
      <c r="N705" s="7">
        <f>'1 prepared data'!M698</f>
        <v/>
      </c>
      <c r="O705" s="7">
        <f>'1 prepared data'!N698</f>
        <v/>
      </c>
      <c r="P705" s="7">
        <f>'1 prepared data'!O698</f>
        <v/>
      </c>
      <c r="Q705" s="7">
        <f>'1 prepared data'!P698</f>
        <v/>
      </c>
      <c r="R705" s="7">
        <f>'1 prepared data'!Q698</f>
        <v/>
      </c>
      <c r="S705" s="7">
        <f>'1 prepared data'!R698</f>
        <v/>
      </c>
      <c r="T705" s="7">
        <f>'1 prepared data'!S698</f>
        <v/>
      </c>
      <c r="U705" s="7">
        <f>'1 prepared data'!T698</f>
        <v/>
      </c>
      <c r="V705" s="8">
        <f>$AC$12+D705*$AC$13+E705*$AC$14+F705*$AC$15+G705*$AC$16+H705*$AC$17+I705*$AC$18+J705*$AC$19+K705*$AC$20+L705*$AC$21+M705*$AC$22+N705*$AC$23+O705*$AC$24+P705*$AC$25+Q705*$AC$26+R705*$AC$27+S705*$AC$28+T705*$AC$29+U705*$AC$30</f>
        <v/>
      </c>
      <c r="W705" s="8">
        <f>1/(1+EXP(-V705))</f>
        <v/>
      </c>
      <c r="X705" s="9">
        <f>-IF(C705=1,LN(W705),LN(1-W705))</f>
        <v/>
      </c>
      <c r="Y705" s="10">
        <f>IF(W705&gt;$AC$33,1,0)</f>
        <v/>
      </c>
      <c r="Z705">
        <f>IF(Y705=C705,1,0)</f>
        <v/>
      </c>
    </row>
    <row r="706">
      <c r="A706">
        <f>'1 prepared data'!A699</f>
        <v/>
      </c>
      <c r="B706" s="5">
        <f>'1 prepared data'!U699</f>
        <v/>
      </c>
      <c r="C706">
        <f>'1 prepared data'!B699</f>
        <v/>
      </c>
      <c r="D706" s="7">
        <f>'1 prepared data'!C699</f>
        <v/>
      </c>
      <c r="E706" s="7">
        <f>'1 prepared data'!D699</f>
        <v/>
      </c>
      <c r="F706" s="7">
        <f>'1 prepared data'!E699</f>
        <v/>
      </c>
      <c r="G706" s="7">
        <f>'1 prepared data'!F699</f>
        <v/>
      </c>
      <c r="H706" s="7">
        <f>'1 prepared data'!G699</f>
        <v/>
      </c>
      <c r="I706" s="7">
        <f>'1 prepared data'!H699</f>
        <v/>
      </c>
      <c r="J706" s="7">
        <f>'1 prepared data'!I699</f>
        <v/>
      </c>
      <c r="K706" s="7">
        <f>'1 prepared data'!J699</f>
        <v/>
      </c>
      <c r="L706" s="7">
        <f>'1 prepared data'!K699</f>
        <v/>
      </c>
      <c r="M706" s="7">
        <f>'1 prepared data'!L699</f>
        <v/>
      </c>
      <c r="N706" s="7">
        <f>'1 prepared data'!M699</f>
        <v/>
      </c>
      <c r="O706" s="7">
        <f>'1 prepared data'!N699</f>
        <v/>
      </c>
      <c r="P706" s="7">
        <f>'1 prepared data'!O699</f>
        <v/>
      </c>
      <c r="Q706" s="7">
        <f>'1 prepared data'!P699</f>
        <v/>
      </c>
      <c r="R706" s="7">
        <f>'1 prepared data'!Q699</f>
        <v/>
      </c>
      <c r="S706" s="7">
        <f>'1 prepared data'!R699</f>
        <v/>
      </c>
      <c r="T706" s="7">
        <f>'1 prepared data'!S699</f>
        <v/>
      </c>
      <c r="U706" s="7">
        <f>'1 prepared data'!T699</f>
        <v/>
      </c>
      <c r="V706" s="8">
        <f>$AC$12+D706*$AC$13+E706*$AC$14+F706*$AC$15+G706*$AC$16+H706*$AC$17+I706*$AC$18+J706*$AC$19+K706*$AC$20+L706*$AC$21+M706*$AC$22+N706*$AC$23+O706*$AC$24+P706*$AC$25+Q706*$AC$26+R706*$AC$27+S706*$AC$28+T706*$AC$29+U706*$AC$30</f>
        <v/>
      </c>
      <c r="W706" s="8">
        <f>1/(1+EXP(-V706))</f>
        <v/>
      </c>
      <c r="X706" s="9">
        <f>-IF(C706=1,LN(W706),LN(1-W706))</f>
        <v/>
      </c>
      <c r="Y706" s="10">
        <f>IF(W706&gt;$AC$33,1,0)</f>
        <v/>
      </c>
      <c r="Z706">
        <f>IF(Y706=C706,1,0)</f>
        <v/>
      </c>
    </row>
    <row r="707">
      <c r="A707">
        <f>'1 prepared data'!A700</f>
        <v/>
      </c>
      <c r="B707" s="5">
        <f>'1 prepared data'!U700</f>
        <v/>
      </c>
      <c r="C707">
        <f>'1 prepared data'!B700</f>
        <v/>
      </c>
      <c r="D707" s="7">
        <f>'1 prepared data'!C700</f>
        <v/>
      </c>
      <c r="E707" s="7">
        <f>'1 prepared data'!D700</f>
        <v/>
      </c>
      <c r="F707" s="7">
        <f>'1 prepared data'!E700</f>
        <v/>
      </c>
      <c r="G707" s="7">
        <f>'1 prepared data'!F700</f>
        <v/>
      </c>
      <c r="H707" s="7">
        <f>'1 prepared data'!G700</f>
        <v/>
      </c>
      <c r="I707" s="7">
        <f>'1 prepared data'!H700</f>
        <v/>
      </c>
      <c r="J707" s="7">
        <f>'1 prepared data'!I700</f>
        <v/>
      </c>
      <c r="K707" s="7">
        <f>'1 prepared data'!J700</f>
        <v/>
      </c>
      <c r="L707" s="7">
        <f>'1 prepared data'!K700</f>
        <v/>
      </c>
      <c r="M707" s="7">
        <f>'1 prepared data'!L700</f>
        <v/>
      </c>
      <c r="N707" s="7">
        <f>'1 prepared data'!M700</f>
        <v/>
      </c>
      <c r="O707" s="7">
        <f>'1 prepared data'!N700</f>
        <v/>
      </c>
      <c r="P707" s="7">
        <f>'1 prepared data'!O700</f>
        <v/>
      </c>
      <c r="Q707" s="7">
        <f>'1 prepared data'!P700</f>
        <v/>
      </c>
      <c r="R707" s="7">
        <f>'1 prepared data'!Q700</f>
        <v/>
      </c>
      <c r="S707" s="7">
        <f>'1 prepared data'!R700</f>
        <v/>
      </c>
      <c r="T707" s="7">
        <f>'1 prepared data'!S700</f>
        <v/>
      </c>
      <c r="U707" s="7">
        <f>'1 prepared data'!T700</f>
        <v/>
      </c>
      <c r="V707" s="8">
        <f>$AC$12+D707*$AC$13+E707*$AC$14+F707*$AC$15+G707*$AC$16+H707*$AC$17+I707*$AC$18+J707*$AC$19+K707*$AC$20+L707*$AC$21+M707*$AC$22+N707*$AC$23+O707*$AC$24+P707*$AC$25+Q707*$AC$26+R707*$AC$27+S707*$AC$28+T707*$AC$29+U707*$AC$30</f>
        <v/>
      </c>
      <c r="W707" s="8">
        <f>1/(1+EXP(-V707))</f>
        <v/>
      </c>
      <c r="X707" s="9">
        <f>-IF(C707=1,LN(W707),LN(1-W707))</f>
        <v/>
      </c>
      <c r="Y707" s="10">
        <f>IF(W707&gt;$AC$33,1,0)</f>
        <v/>
      </c>
      <c r="Z707">
        <f>IF(Y707=C707,1,0)</f>
        <v/>
      </c>
    </row>
    <row r="708">
      <c r="A708">
        <f>'1 prepared data'!A701</f>
        <v/>
      </c>
      <c r="B708" s="5">
        <f>'1 prepared data'!U701</f>
        <v/>
      </c>
      <c r="C708">
        <f>'1 prepared data'!B701</f>
        <v/>
      </c>
      <c r="D708" s="7">
        <f>'1 prepared data'!C701</f>
        <v/>
      </c>
      <c r="E708" s="7">
        <f>'1 prepared data'!D701</f>
        <v/>
      </c>
      <c r="F708" s="7">
        <f>'1 prepared data'!E701</f>
        <v/>
      </c>
      <c r="G708" s="7">
        <f>'1 prepared data'!F701</f>
        <v/>
      </c>
      <c r="H708" s="7">
        <f>'1 prepared data'!G701</f>
        <v/>
      </c>
      <c r="I708" s="7">
        <f>'1 prepared data'!H701</f>
        <v/>
      </c>
      <c r="J708" s="7">
        <f>'1 prepared data'!I701</f>
        <v/>
      </c>
      <c r="K708" s="7">
        <f>'1 prepared data'!J701</f>
        <v/>
      </c>
      <c r="L708" s="7">
        <f>'1 prepared data'!K701</f>
        <v/>
      </c>
      <c r="M708" s="7">
        <f>'1 prepared data'!L701</f>
        <v/>
      </c>
      <c r="N708" s="7">
        <f>'1 prepared data'!M701</f>
        <v/>
      </c>
      <c r="O708" s="7">
        <f>'1 prepared data'!N701</f>
        <v/>
      </c>
      <c r="P708" s="7">
        <f>'1 prepared data'!O701</f>
        <v/>
      </c>
      <c r="Q708" s="7">
        <f>'1 prepared data'!P701</f>
        <v/>
      </c>
      <c r="R708" s="7">
        <f>'1 prepared data'!Q701</f>
        <v/>
      </c>
      <c r="S708" s="7">
        <f>'1 prepared data'!R701</f>
        <v/>
      </c>
      <c r="T708" s="7">
        <f>'1 prepared data'!S701</f>
        <v/>
      </c>
      <c r="U708" s="7">
        <f>'1 prepared data'!T701</f>
        <v/>
      </c>
      <c r="V708" s="8">
        <f>$AC$12+D708*$AC$13+E708*$AC$14+F708*$AC$15+G708*$AC$16+H708*$AC$17+I708*$AC$18+J708*$AC$19+K708*$AC$20+L708*$AC$21+M708*$AC$22+N708*$AC$23+O708*$AC$24+P708*$AC$25+Q708*$AC$26+R708*$AC$27+S708*$AC$28+T708*$AC$29+U708*$AC$30</f>
        <v/>
      </c>
      <c r="W708" s="8">
        <f>1/(1+EXP(-V708))</f>
        <v/>
      </c>
      <c r="X708" s="9">
        <f>-IF(C708=1,LN(W708),LN(1-W708))</f>
        <v/>
      </c>
      <c r="Y708" s="10">
        <f>IF(W708&gt;$AC$33,1,0)</f>
        <v/>
      </c>
      <c r="Z708">
        <f>IF(Y708=C708,1,0)</f>
        <v/>
      </c>
    </row>
    <row r="709">
      <c r="A709">
        <f>'1 prepared data'!A702</f>
        <v/>
      </c>
      <c r="B709" s="5">
        <f>'1 prepared data'!U702</f>
        <v/>
      </c>
      <c r="C709">
        <f>'1 prepared data'!B702</f>
        <v/>
      </c>
      <c r="D709" s="7">
        <f>'1 prepared data'!C702</f>
        <v/>
      </c>
      <c r="E709" s="7">
        <f>'1 prepared data'!D702</f>
        <v/>
      </c>
      <c r="F709" s="7">
        <f>'1 prepared data'!E702</f>
        <v/>
      </c>
      <c r="G709" s="7">
        <f>'1 prepared data'!F702</f>
        <v/>
      </c>
      <c r="H709" s="7">
        <f>'1 prepared data'!G702</f>
        <v/>
      </c>
      <c r="I709" s="7">
        <f>'1 prepared data'!H702</f>
        <v/>
      </c>
      <c r="J709" s="7">
        <f>'1 prepared data'!I702</f>
        <v/>
      </c>
      <c r="K709" s="7">
        <f>'1 prepared data'!J702</f>
        <v/>
      </c>
      <c r="L709" s="7">
        <f>'1 prepared data'!K702</f>
        <v/>
      </c>
      <c r="M709" s="7">
        <f>'1 prepared data'!L702</f>
        <v/>
      </c>
      <c r="N709" s="7">
        <f>'1 prepared data'!M702</f>
        <v/>
      </c>
      <c r="O709" s="7">
        <f>'1 prepared data'!N702</f>
        <v/>
      </c>
      <c r="P709" s="7">
        <f>'1 prepared data'!O702</f>
        <v/>
      </c>
      <c r="Q709" s="7">
        <f>'1 prepared data'!P702</f>
        <v/>
      </c>
      <c r="R709" s="7">
        <f>'1 prepared data'!Q702</f>
        <v/>
      </c>
      <c r="S709" s="7">
        <f>'1 prepared data'!R702</f>
        <v/>
      </c>
      <c r="T709" s="7">
        <f>'1 prepared data'!S702</f>
        <v/>
      </c>
      <c r="U709" s="7">
        <f>'1 prepared data'!T702</f>
        <v/>
      </c>
      <c r="V709" s="8">
        <f>$AC$12+D709*$AC$13+E709*$AC$14+F709*$AC$15+G709*$AC$16+H709*$AC$17+I709*$AC$18+J709*$AC$19+K709*$AC$20+L709*$AC$21+M709*$AC$22+N709*$AC$23+O709*$AC$24+P709*$AC$25+Q709*$AC$26+R709*$AC$27+S709*$AC$28+T709*$AC$29+U709*$AC$30</f>
        <v/>
      </c>
      <c r="W709" s="8">
        <f>1/(1+EXP(-V709))</f>
        <v/>
      </c>
      <c r="X709" s="9">
        <f>-IF(C709=1,LN(W709),LN(1-W709))</f>
        <v/>
      </c>
      <c r="Y709" s="10">
        <f>IF(W709&gt;$AC$33,1,0)</f>
        <v/>
      </c>
      <c r="Z709">
        <f>IF(Y709=C709,1,0)</f>
        <v/>
      </c>
    </row>
    <row r="710">
      <c r="A710">
        <f>'1 prepared data'!A703</f>
        <v/>
      </c>
      <c r="B710" s="5">
        <f>'1 prepared data'!U703</f>
        <v/>
      </c>
      <c r="C710">
        <f>'1 prepared data'!B703</f>
        <v/>
      </c>
      <c r="D710" s="7">
        <f>'1 prepared data'!C703</f>
        <v/>
      </c>
      <c r="E710" s="7">
        <f>'1 prepared data'!D703</f>
        <v/>
      </c>
      <c r="F710" s="7">
        <f>'1 prepared data'!E703</f>
        <v/>
      </c>
      <c r="G710" s="7">
        <f>'1 prepared data'!F703</f>
        <v/>
      </c>
      <c r="H710" s="7">
        <f>'1 prepared data'!G703</f>
        <v/>
      </c>
      <c r="I710" s="7">
        <f>'1 prepared data'!H703</f>
        <v/>
      </c>
      <c r="J710" s="7">
        <f>'1 prepared data'!I703</f>
        <v/>
      </c>
      <c r="K710" s="7">
        <f>'1 prepared data'!J703</f>
        <v/>
      </c>
      <c r="L710" s="7">
        <f>'1 prepared data'!K703</f>
        <v/>
      </c>
      <c r="M710" s="7">
        <f>'1 prepared data'!L703</f>
        <v/>
      </c>
      <c r="N710" s="7">
        <f>'1 prepared data'!M703</f>
        <v/>
      </c>
      <c r="O710" s="7">
        <f>'1 prepared data'!N703</f>
        <v/>
      </c>
      <c r="P710" s="7">
        <f>'1 prepared data'!O703</f>
        <v/>
      </c>
      <c r="Q710" s="7">
        <f>'1 prepared data'!P703</f>
        <v/>
      </c>
      <c r="R710" s="7">
        <f>'1 prepared data'!Q703</f>
        <v/>
      </c>
      <c r="S710" s="7">
        <f>'1 prepared data'!R703</f>
        <v/>
      </c>
      <c r="T710" s="7">
        <f>'1 prepared data'!S703</f>
        <v/>
      </c>
      <c r="U710" s="7">
        <f>'1 prepared data'!T703</f>
        <v/>
      </c>
      <c r="V710" s="8">
        <f>$AC$12+D710*$AC$13+E710*$AC$14+F710*$AC$15+G710*$AC$16+H710*$AC$17+I710*$AC$18+J710*$AC$19+K710*$AC$20+L710*$AC$21+M710*$AC$22+N710*$AC$23+O710*$AC$24+P710*$AC$25+Q710*$AC$26+R710*$AC$27+S710*$AC$28+T710*$AC$29+U710*$AC$30</f>
        <v/>
      </c>
      <c r="W710" s="8">
        <f>1/(1+EXP(-V710))</f>
        <v/>
      </c>
      <c r="X710" s="9">
        <f>-IF(C710=1,LN(W710),LN(1-W710))</f>
        <v/>
      </c>
      <c r="Y710" s="10">
        <f>IF(W710&gt;$AC$33,1,0)</f>
        <v/>
      </c>
      <c r="Z710">
        <f>IF(Y710=C710,1,0)</f>
        <v/>
      </c>
    </row>
    <row r="711">
      <c r="A711">
        <f>'1 prepared data'!A704</f>
        <v/>
      </c>
      <c r="B711" s="5">
        <f>'1 prepared data'!U704</f>
        <v/>
      </c>
      <c r="C711">
        <f>'1 prepared data'!B704</f>
        <v/>
      </c>
      <c r="D711" s="7">
        <f>'1 prepared data'!C704</f>
        <v/>
      </c>
      <c r="E711" s="7">
        <f>'1 prepared data'!D704</f>
        <v/>
      </c>
      <c r="F711" s="7">
        <f>'1 prepared data'!E704</f>
        <v/>
      </c>
      <c r="G711" s="7">
        <f>'1 prepared data'!F704</f>
        <v/>
      </c>
      <c r="H711" s="7">
        <f>'1 prepared data'!G704</f>
        <v/>
      </c>
      <c r="I711" s="7">
        <f>'1 prepared data'!H704</f>
        <v/>
      </c>
      <c r="J711" s="7">
        <f>'1 prepared data'!I704</f>
        <v/>
      </c>
      <c r="K711" s="7">
        <f>'1 prepared data'!J704</f>
        <v/>
      </c>
      <c r="L711" s="7">
        <f>'1 prepared data'!K704</f>
        <v/>
      </c>
      <c r="M711" s="7">
        <f>'1 prepared data'!L704</f>
        <v/>
      </c>
      <c r="N711" s="7">
        <f>'1 prepared data'!M704</f>
        <v/>
      </c>
      <c r="O711" s="7">
        <f>'1 prepared data'!N704</f>
        <v/>
      </c>
      <c r="P711" s="7">
        <f>'1 prepared data'!O704</f>
        <v/>
      </c>
      <c r="Q711" s="7">
        <f>'1 prepared data'!P704</f>
        <v/>
      </c>
      <c r="R711" s="7">
        <f>'1 prepared data'!Q704</f>
        <v/>
      </c>
      <c r="S711" s="7">
        <f>'1 prepared data'!R704</f>
        <v/>
      </c>
      <c r="T711" s="7">
        <f>'1 prepared data'!S704</f>
        <v/>
      </c>
      <c r="U711" s="7">
        <f>'1 prepared data'!T704</f>
        <v/>
      </c>
      <c r="V711" s="8">
        <f>$AC$12+D711*$AC$13+E711*$AC$14+F711*$AC$15+G711*$AC$16+H711*$AC$17+I711*$AC$18+J711*$AC$19+K711*$AC$20+L711*$AC$21+M711*$AC$22+N711*$AC$23+O711*$AC$24+P711*$AC$25+Q711*$AC$26+R711*$AC$27+S711*$AC$28+T711*$AC$29+U711*$AC$30</f>
        <v/>
      </c>
      <c r="W711" s="8">
        <f>1/(1+EXP(-V711))</f>
        <v/>
      </c>
      <c r="X711" s="9">
        <f>-IF(C711=1,LN(W711),LN(1-W711))</f>
        <v/>
      </c>
      <c r="Y711" s="10">
        <f>IF(W711&gt;$AC$33,1,0)</f>
        <v/>
      </c>
      <c r="Z711">
        <f>IF(Y711=C711,1,0)</f>
        <v/>
      </c>
    </row>
    <row r="712">
      <c r="A712">
        <f>'1 prepared data'!A705</f>
        <v/>
      </c>
      <c r="B712" s="5">
        <f>'1 prepared data'!U705</f>
        <v/>
      </c>
      <c r="C712">
        <f>'1 prepared data'!B705</f>
        <v/>
      </c>
      <c r="D712" s="7">
        <f>'1 prepared data'!C705</f>
        <v/>
      </c>
      <c r="E712" s="7">
        <f>'1 prepared data'!D705</f>
        <v/>
      </c>
      <c r="F712" s="7">
        <f>'1 prepared data'!E705</f>
        <v/>
      </c>
      <c r="G712" s="7">
        <f>'1 prepared data'!F705</f>
        <v/>
      </c>
      <c r="H712" s="7">
        <f>'1 prepared data'!G705</f>
        <v/>
      </c>
      <c r="I712" s="7">
        <f>'1 prepared data'!H705</f>
        <v/>
      </c>
      <c r="J712" s="7">
        <f>'1 prepared data'!I705</f>
        <v/>
      </c>
      <c r="K712" s="7">
        <f>'1 prepared data'!J705</f>
        <v/>
      </c>
      <c r="L712" s="7">
        <f>'1 prepared data'!K705</f>
        <v/>
      </c>
      <c r="M712" s="7">
        <f>'1 prepared data'!L705</f>
        <v/>
      </c>
      <c r="N712" s="7">
        <f>'1 prepared data'!M705</f>
        <v/>
      </c>
      <c r="O712" s="7">
        <f>'1 prepared data'!N705</f>
        <v/>
      </c>
      <c r="P712" s="7">
        <f>'1 prepared data'!O705</f>
        <v/>
      </c>
      <c r="Q712" s="7">
        <f>'1 prepared data'!P705</f>
        <v/>
      </c>
      <c r="R712" s="7">
        <f>'1 prepared data'!Q705</f>
        <v/>
      </c>
      <c r="S712" s="7">
        <f>'1 prepared data'!R705</f>
        <v/>
      </c>
      <c r="T712" s="7">
        <f>'1 prepared data'!S705</f>
        <v/>
      </c>
      <c r="U712" s="7">
        <f>'1 prepared data'!T705</f>
        <v/>
      </c>
      <c r="V712" s="8">
        <f>$AC$12+D712*$AC$13+E712*$AC$14+F712*$AC$15+G712*$AC$16+H712*$AC$17+I712*$AC$18+J712*$AC$19+K712*$AC$20+L712*$AC$21+M712*$AC$22+N712*$AC$23+O712*$AC$24+P712*$AC$25+Q712*$AC$26+R712*$AC$27+S712*$AC$28+T712*$AC$29+U712*$AC$30</f>
        <v/>
      </c>
      <c r="W712" s="8">
        <f>1/(1+EXP(-V712))</f>
        <v/>
      </c>
      <c r="X712" s="9">
        <f>-IF(C712=1,LN(W712),LN(1-W712))</f>
        <v/>
      </c>
      <c r="Y712" s="10">
        <f>IF(W712&gt;$AC$33,1,0)</f>
        <v/>
      </c>
      <c r="Z712">
        <f>IF(Y712=C712,1,0)</f>
        <v/>
      </c>
    </row>
    <row r="713">
      <c r="A713">
        <f>'1 prepared data'!A706</f>
        <v/>
      </c>
      <c r="B713" s="5">
        <f>'1 prepared data'!U706</f>
        <v/>
      </c>
      <c r="C713">
        <f>'1 prepared data'!B706</f>
        <v/>
      </c>
      <c r="D713" s="7">
        <f>'1 prepared data'!C706</f>
        <v/>
      </c>
      <c r="E713" s="7">
        <f>'1 prepared data'!D706</f>
        <v/>
      </c>
      <c r="F713" s="7">
        <f>'1 prepared data'!E706</f>
        <v/>
      </c>
      <c r="G713" s="7">
        <f>'1 prepared data'!F706</f>
        <v/>
      </c>
      <c r="H713" s="7">
        <f>'1 prepared data'!G706</f>
        <v/>
      </c>
      <c r="I713" s="7">
        <f>'1 prepared data'!H706</f>
        <v/>
      </c>
      <c r="J713" s="7">
        <f>'1 prepared data'!I706</f>
        <v/>
      </c>
      <c r="K713" s="7">
        <f>'1 prepared data'!J706</f>
        <v/>
      </c>
      <c r="L713" s="7">
        <f>'1 prepared data'!K706</f>
        <v/>
      </c>
      <c r="M713" s="7">
        <f>'1 prepared data'!L706</f>
        <v/>
      </c>
      <c r="N713" s="7">
        <f>'1 prepared data'!M706</f>
        <v/>
      </c>
      <c r="O713" s="7">
        <f>'1 prepared data'!N706</f>
        <v/>
      </c>
      <c r="P713" s="7">
        <f>'1 prepared data'!O706</f>
        <v/>
      </c>
      <c r="Q713" s="7">
        <f>'1 prepared data'!P706</f>
        <v/>
      </c>
      <c r="R713" s="7">
        <f>'1 prepared data'!Q706</f>
        <v/>
      </c>
      <c r="S713" s="7">
        <f>'1 prepared data'!R706</f>
        <v/>
      </c>
      <c r="T713" s="7">
        <f>'1 prepared data'!S706</f>
        <v/>
      </c>
      <c r="U713" s="7">
        <f>'1 prepared data'!T706</f>
        <v/>
      </c>
      <c r="V713" s="8">
        <f>$AC$12+D713*$AC$13+E713*$AC$14+F713*$AC$15+G713*$AC$16+H713*$AC$17+I713*$AC$18+J713*$AC$19+K713*$AC$20+L713*$AC$21+M713*$AC$22+N713*$AC$23+O713*$AC$24+P713*$AC$25+Q713*$AC$26+R713*$AC$27+S713*$AC$28+T713*$AC$29+U713*$AC$30</f>
        <v/>
      </c>
      <c r="W713" s="8">
        <f>1/(1+EXP(-V713))</f>
        <v/>
      </c>
      <c r="X713" s="9">
        <f>-IF(C713=1,LN(W713),LN(1-W713))</f>
        <v/>
      </c>
      <c r="Y713" s="10">
        <f>IF(W713&gt;$AC$33,1,0)</f>
        <v/>
      </c>
      <c r="Z713">
        <f>IF(Y713=C713,1,0)</f>
        <v/>
      </c>
    </row>
    <row r="714">
      <c r="A714">
        <f>'1 prepared data'!A707</f>
        <v/>
      </c>
      <c r="B714" s="5">
        <f>'1 prepared data'!U707</f>
        <v/>
      </c>
      <c r="C714">
        <f>'1 prepared data'!B707</f>
        <v/>
      </c>
      <c r="D714" s="7">
        <f>'1 prepared data'!C707</f>
        <v/>
      </c>
      <c r="E714" s="7">
        <f>'1 prepared data'!D707</f>
        <v/>
      </c>
      <c r="F714" s="7">
        <f>'1 prepared data'!E707</f>
        <v/>
      </c>
      <c r="G714" s="7">
        <f>'1 prepared data'!F707</f>
        <v/>
      </c>
      <c r="H714" s="7">
        <f>'1 prepared data'!G707</f>
        <v/>
      </c>
      <c r="I714" s="7">
        <f>'1 prepared data'!H707</f>
        <v/>
      </c>
      <c r="J714" s="7">
        <f>'1 prepared data'!I707</f>
        <v/>
      </c>
      <c r="K714" s="7">
        <f>'1 prepared data'!J707</f>
        <v/>
      </c>
      <c r="L714" s="7">
        <f>'1 prepared data'!K707</f>
        <v/>
      </c>
      <c r="M714" s="7">
        <f>'1 prepared data'!L707</f>
        <v/>
      </c>
      <c r="N714" s="7">
        <f>'1 prepared data'!M707</f>
        <v/>
      </c>
      <c r="O714" s="7">
        <f>'1 prepared data'!N707</f>
        <v/>
      </c>
      <c r="P714" s="7">
        <f>'1 prepared data'!O707</f>
        <v/>
      </c>
      <c r="Q714" s="7">
        <f>'1 prepared data'!P707</f>
        <v/>
      </c>
      <c r="R714" s="7">
        <f>'1 prepared data'!Q707</f>
        <v/>
      </c>
      <c r="S714" s="7">
        <f>'1 prepared data'!R707</f>
        <v/>
      </c>
      <c r="T714" s="7">
        <f>'1 prepared data'!S707</f>
        <v/>
      </c>
      <c r="U714" s="7">
        <f>'1 prepared data'!T707</f>
        <v/>
      </c>
      <c r="V714" s="8">
        <f>$AC$12+D714*$AC$13+E714*$AC$14+F714*$AC$15+G714*$AC$16+H714*$AC$17+I714*$AC$18+J714*$AC$19+K714*$AC$20+L714*$AC$21+M714*$AC$22+N714*$AC$23+O714*$AC$24+P714*$AC$25+Q714*$AC$26+R714*$AC$27+S714*$AC$28+T714*$AC$29+U714*$AC$30</f>
        <v/>
      </c>
      <c r="W714" s="8">
        <f>1/(1+EXP(-V714))</f>
        <v/>
      </c>
      <c r="X714" s="9">
        <f>-IF(C714=1,LN(W714),LN(1-W714))</f>
        <v/>
      </c>
      <c r="Y714" s="10">
        <f>IF(W714&gt;$AC$33,1,0)</f>
        <v/>
      </c>
      <c r="Z714">
        <f>IF(Y714=C714,1,0)</f>
        <v/>
      </c>
    </row>
    <row r="715">
      <c r="A715">
        <f>'1 prepared data'!A708</f>
        <v/>
      </c>
      <c r="B715" s="5">
        <f>'1 prepared data'!U708</f>
        <v/>
      </c>
      <c r="C715">
        <f>'1 prepared data'!B708</f>
        <v/>
      </c>
      <c r="D715" s="7">
        <f>'1 prepared data'!C708</f>
        <v/>
      </c>
      <c r="E715" s="7">
        <f>'1 prepared data'!D708</f>
        <v/>
      </c>
      <c r="F715" s="7">
        <f>'1 prepared data'!E708</f>
        <v/>
      </c>
      <c r="G715" s="7">
        <f>'1 prepared data'!F708</f>
        <v/>
      </c>
      <c r="H715" s="7">
        <f>'1 prepared data'!G708</f>
        <v/>
      </c>
      <c r="I715" s="7">
        <f>'1 prepared data'!H708</f>
        <v/>
      </c>
      <c r="J715" s="7">
        <f>'1 prepared data'!I708</f>
        <v/>
      </c>
      <c r="K715" s="7">
        <f>'1 prepared data'!J708</f>
        <v/>
      </c>
      <c r="L715" s="7">
        <f>'1 prepared data'!K708</f>
        <v/>
      </c>
      <c r="M715" s="7">
        <f>'1 prepared data'!L708</f>
        <v/>
      </c>
      <c r="N715" s="7">
        <f>'1 prepared data'!M708</f>
        <v/>
      </c>
      <c r="O715" s="7">
        <f>'1 prepared data'!N708</f>
        <v/>
      </c>
      <c r="P715" s="7">
        <f>'1 prepared data'!O708</f>
        <v/>
      </c>
      <c r="Q715" s="7">
        <f>'1 prepared data'!P708</f>
        <v/>
      </c>
      <c r="R715" s="7">
        <f>'1 prepared data'!Q708</f>
        <v/>
      </c>
      <c r="S715" s="7">
        <f>'1 prepared data'!R708</f>
        <v/>
      </c>
      <c r="T715" s="7">
        <f>'1 prepared data'!S708</f>
        <v/>
      </c>
      <c r="U715" s="7">
        <f>'1 prepared data'!T708</f>
        <v/>
      </c>
      <c r="V715" s="8">
        <f>$AC$12+D715*$AC$13+E715*$AC$14+F715*$AC$15+G715*$AC$16+H715*$AC$17+I715*$AC$18+J715*$AC$19+K715*$AC$20+L715*$AC$21+M715*$AC$22+N715*$AC$23+O715*$AC$24+P715*$AC$25+Q715*$AC$26+R715*$AC$27+S715*$AC$28+T715*$AC$29+U715*$AC$30</f>
        <v/>
      </c>
      <c r="W715" s="8">
        <f>1/(1+EXP(-V715))</f>
        <v/>
      </c>
      <c r="X715" s="9">
        <f>-IF(C715=1,LN(W715),LN(1-W715))</f>
        <v/>
      </c>
      <c r="Y715" s="10">
        <f>IF(W715&gt;$AC$33,1,0)</f>
        <v/>
      </c>
      <c r="Z715">
        <f>IF(Y715=C715,1,0)</f>
        <v/>
      </c>
    </row>
    <row r="716">
      <c r="A716">
        <f>'1 prepared data'!A709</f>
        <v/>
      </c>
      <c r="B716" s="5">
        <f>'1 prepared data'!U709</f>
        <v/>
      </c>
      <c r="C716">
        <f>'1 prepared data'!B709</f>
        <v/>
      </c>
      <c r="D716" s="7">
        <f>'1 prepared data'!C709</f>
        <v/>
      </c>
      <c r="E716" s="7">
        <f>'1 prepared data'!D709</f>
        <v/>
      </c>
      <c r="F716" s="7">
        <f>'1 prepared data'!E709</f>
        <v/>
      </c>
      <c r="G716" s="7">
        <f>'1 prepared data'!F709</f>
        <v/>
      </c>
      <c r="H716" s="7">
        <f>'1 prepared data'!G709</f>
        <v/>
      </c>
      <c r="I716" s="7">
        <f>'1 prepared data'!H709</f>
        <v/>
      </c>
      <c r="J716" s="7">
        <f>'1 prepared data'!I709</f>
        <v/>
      </c>
      <c r="K716" s="7">
        <f>'1 prepared data'!J709</f>
        <v/>
      </c>
      <c r="L716" s="7">
        <f>'1 prepared data'!K709</f>
        <v/>
      </c>
      <c r="M716" s="7">
        <f>'1 prepared data'!L709</f>
        <v/>
      </c>
      <c r="N716" s="7">
        <f>'1 prepared data'!M709</f>
        <v/>
      </c>
      <c r="O716" s="7">
        <f>'1 prepared data'!N709</f>
        <v/>
      </c>
      <c r="P716" s="7">
        <f>'1 prepared data'!O709</f>
        <v/>
      </c>
      <c r="Q716" s="7">
        <f>'1 prepared data'!P709</f>
        <v/>
      </c>
      <c r="R716" s="7">
        <f>'1 prepared data'!Q709</f>
        <v/>
      </c>
      <c r="S716" s="7">
        <f>'1 prepared data'!R709</f>
        <v/>
      </c>
      <c r="T716" s="7">
        <f>'1 prepared data'!S709</f>
        <v/>
      </c>
      <c r="U716" s="7">
        <f>'1 prepared data'!T709</f>
        <v/>
      </c>
      <c r="V716" s="8">
        <f>$AC$12+D716*$AC$13+E716*$AC$14+F716*$AC$15+G716*$AC$16+H716*$AC$17+I716*$AC$18+J716*$AC$19+K716*$AC$20+L716*$AC$21+M716*$AC$22+N716*$AC$23+O716*$AC$24+P716*$AC$25+Q716*$AC$26+R716*$AC$27+S716*$AC$28+T716*$AC$29+U716*$AC$30</f>
        <v/>
      </c>
      <c r="W716" s="8">
        <f>1/(1+EXP(-V716))</f>
        <v/>
      </c>
      <c r="X716" s="9">
        <f>-IF(C716=1,LN(W716),LN(1-W716))</f>
        <v/>
      </c>
      <c r="Y716" s="10">
        <f>IF(W716&gt;$AC$33,1,0)</f>
        <v/>
      </c>
      <c r="Z716">
        <f>IF(Y716=C716,1,0)</f>
        <v/>
      </c>
    </row>
    <row r="717">
      <c r="A717">
        <f>'1 prepared data'!A710</f>
        <v/>
      </c>
      <c r="B717" s="5">
        <f>'1 prepared data'!U710</f>
        <v/>
      </c>
      <c r="C717">
        <f>'1 prepared data'!B710</f>
        <v/>
      </c>
      <c r="D717" s="7">
        <f>'1 prepared data'!C710</f>
        <v/>
      </c>
      <c r="E717" s="7">
        <f>'1 prepared data'!D710</f>
        <v/>
      </c>
      <c r="F717" s="7">
        <f>'1 prepared data'!E710</f>
        <v/>
      </c>
      <c r="G717" s="7">
        <f>'1 prepared data'!F710</f>
        <v/>
      </c>
      <c r="H717" s="7">
        <f>'1 prepared data'!G710</f>
        <v/>
      </c>
      <c r="I717" s="7">
        <f>'1 prepared data'!H710</f>
        <v/>
      </c>
      <c r="J717" s="7">
        <f>'1 prepared data'!I710</f>
        <v/>
      </c>
      <c r="K717" s="7">
        <f>'1 prepared data'!J710</f>
        <v/>
      </c>
      <c r="L717" s="7">
        <f>'1 prepared data'!K710</f>
        <v/>
      </c>
      <c r="M717" s="7">
        <f>'1 prepared data'!L710</f>
        <v/>
      </c>
      <c r="N717" s="7">
        <f>'1 prepared data'!M710</f>
        <v/>
      </c>
      <c r="O717" s="7">
        <f>'1 prepared data'!N710</f>
        <v/>
      </c>
      <c r="P717" s="7">
        <f>'1 prepared data'!O710</f>
        <v/>
      </c>
      <c r="Q717" s="7">
        <f>'1 prepared data'!P710</f>
        <v/>
      </c>
      <c r="R717" s="7">
        <f>'1 prepared data'!Q710</f>
        <v/>
      </c>
      <c r="S717" s="7">
        <f>'1 prepared data'!R710</f>
        <v/>
      </c>
      <c r="T717" s="7">
        <f>'1 prepared data'!S710</f>
        <v/>
      </c>
      <c r="U717" s="7">
        <f>'1 prepared data'!T710</f>
        <v/>
      </c>
      <c r="V717" s="8">
        <f>$AC$12+D717*$AC$13+E717*$AC$14+F717*$AC$15+G717*$AC$16+H717*$AC$17+I717*$AC$18+J717*$AC$19+K717*$AC$20+L717*$AC$21+M717*$AC$22+N717*$AC$23+O717*$AC$24+P717*$AC$25+Q717*$AC$26+R717*$AC$27+S717*$AC$28+T717*$AC$29+U717*$AC$30</f>
        <v/>
      </c>
      <c r="W717" s="8">
        <f>1/(1+EXP(-V717))</f>
        <v/>
      </c>
      <c r="X717" s="9">
        <f>-IF(C717=1,LN(W717),LN(1-W717))</f>
        <v/>
      </c>
      <c r="Y717" s="10">
        <f>IF(W717&gt;$AC$33,1,0)</f>
        <v/>
      </c>
      <c r="Z717">
        <f>IF(Y717=C717,1,0)</f>
        <v/>
      </c>
    </row>
    <row r="718">
      <c r="A718">
        <f>'1 prepared data'!A711</f>
        <v/>
      </c>
      <c r="B718" s="5">
        <f>'1 prepared data'!U711</f>
        <v/>
      </c>
      <c r="C718">
        <f>'1 prepared data'!B711</f>
        <v/>
      </c>
      <c r="D718" s="7">
        <f>'1 prepared data'!C711</f>
        <v/>
      </c>
      <c r="E718" s="7">
        <f>'1 prepared data'!D711</f>
        <v/>
      </c>
      <c r="F718" s="7">
        <f>'1 prepared data'!E711</f>
        <v/>
      </c>
      <c r="G718" s="7">
        <f>'1 prepared data'!F711</f>
        <v/>
      </c>
      <c r="H718" s="7">
        <f>'1 prepared data'!G711</f>
        <v/>
      </c>
      <c r="I718" s="7">
        <f>'1 prepared data'!H711</f>
        <v/>
      </c>
      <c r="J718" s="7">
        <f>'1 prepared data'!I711</f>
        <v/>
      </c>
      <c r="K718" s="7">
        <f>'1 prepared data'!J711</f>
        <v/>
      </c>
      <c r="L718" s="7">
        <f>'1 prepared data'!K711</f>
        <v/>
      </c>
      <c r="M718" s="7">
        <f>'1 prepared data'!L711</f>
        <v/>
      </c>
      <c r="N718" s="7">
        <f>'1 prepared data'!M711</f>
        <v/>
      </c>
      <c r="O718" s="7">
        <f>'1 prepared data'!N711</f>
        <v/>
      </c>
      <c r="P718" s="7">
        <f>'1 prepared data'!O711</f>
        <v/>
      </c>
      <c r="Q718" s="7">
        <f>'1 prepared data'!P711</f>
        <v/>
      </c>
      <c r="R718" s="7">
        <f>'1 prepared data'!Q711</f>
        <v/>
      </c>
      <c r="S718" s="7">
        <f>'1 prepared data'!R711</f>
        <v/>
      </c>
      <c r="T718" s="7">
        <f>'1 prepared data'!S711</f>
        <v/>
      </c>
      <c r="U718" s="7">
        <f>'1 prepared data'!T711</f>
        <v/>
      </c>
      <c r="V718" s="8">
        <f>$AC$12+D718*$AC$13+E718*$AC$14+F718*$AC$15+G718*$AC$16+H718*$AC$17+I718*$AC$18+J718*$AC$19+K718*$AC$20+L718*$AC$21+M718*$AC$22+N718*$AC$23+O718*$AC$24+P718*$AC$25+Q718*$AC$26+R718*$AC$27+S718*$AC$28+T718*$AC$29+U718*$AC$30</f>
        <v/>
      </c>
      <c r="W718" s="8">
        <f>1/(1+EXP(-V718))</f>
        <v/>
      </c>
      <c r="X718" s="9">
        <f>-IF(C718=1,LN(W718),LN(1-W718))</f>
        <v/>
      </c>
      <c r="Y718" s="10">
        <f>IF(W718&gt;$AC$33,1,0)</f>
        <v/>
      </c>
      <c r="Z718">
        <f>IF(Y718=C718,1,0)</f>
        <v/>
      </c>
    </row>
    <row r="719">
      <c r="A719">
        <f>'1 prepared data'!A712</f>
        <v/>
      </c>
      <c r="B719" s="5">
        <f>'1 prepared data'!U712</f>
        <v/>
      </c>
      <c r="C719">
        <f>'1 prepared data'!B712</f>
        <v/>
      </c>
      <c r="D719" s="7">
        <f>'1 prepared data'!C712</f>
        <v/>
      </c>
      <c r="E719" s="7">
        <f>'1 prepared data'!D712</f>
        <v/>
      </c>
      <c r="F719" s="7">
        <f>'1 prepared data'!E712</f>
        <v/>
      </c>
      <c r="G719" s="7">
        <f>'1 prepared data'!F712</f>
        <v/>
      </c>
      <c r="H719" s="7">
        <f>'1 prepared data'!G712</f>
        <v/>
      </c>
      <c r="I719" s="7">
        <f>'1 prepared data'!H712</f>
        <v/>
      </c>
      <c r="J719" s="7">
        <f>'1 prepared data'!I712</f>
        <v/>
      </c>
      <c r="K719" s="7">
        <f>'1 prepared data'!J712</f>
        <v/>
      </c>
      <c r="L719" s="7">
        <f>'1 prepared data'!K712</f>
        <v/>
      </c>
      <c r="M719" s="7">
        <f>'1 prepared data'!L712</f>
        <v/>
      </c>
      <c r="N719" s="7">
        <f>'1 prepared data'!M712</f>
        <v/>
      </c>
      <c r="O719" s="7">
        <f>'1 prepared data'!N712</f>
        <v/>
      </c>
      <c r="P719" s="7">
        <f>'1 prepared data'!O712</f>
        <v/>
      </c>
      <c r="Q719" s="7">
        <f>'1 prepared data'!P712</f>
        <v/>
      </c>
      <c r="R719" s="7">
        <f>'1 prepared data'!Q712</f>
        <v/>
      </c>
      <c r="S719" s="7">
        <f>'1 prepared data'!R712</f>
        <v/>
      </c>
      <c r="T719" s="7">
        <f>'1 prepared data'!S712</f>
        <v/>
      </c>
      <c r="U719" s="7">
        <f>'1 prepared data'!T712</f>
        <v/>
      </c>
      <c r="V719" s="8">
        <f>$AC$12+D719*$AC$13+E719*$AC$14+F719*$AC$15+G719*$AC$16+H719*$AC$17+I719*$AC$18+J719*$AC$19+K719*$AC$20+L719*$AC$21+M719*$AC$22+N719*$AC$23+O719*$AC$24+P719*$AC$25+Q719*$AC$26+R719*$AC$27+S719*$AC$28+T719*$AC$29+U719*$AC$30</f>
        <v/>
      </c>
      <c r="W719" s="8">
        <f>1/(1+EXP(-V719))</f>
        <v/>
      </c>
      <c r="X719" s="9">
        <f>-IF(C719=1,LN(W719),LN(1-W719))</f>
        <v/>
      </c>
      <c r="Y719" s="10">
        <f>IF(W719&gt;$AC$33,1,0)</f>
        <v/>
      </c>
      <c r="Z719">
        <f>IF(Y719=C719,1,0)</f>
        <v/>
      </c>
    </row>
    <row r="720">
      <c r="A720">
        <f>'1 prepared data'!A713</f>
        <v/>
      </c>
      <c r="B720" s="5">
        <f>'1 prepared data'!U713</f>
        <v/>
      </c>
      <c r="C720">
        <f>'1 prepared data'!B713</f>
        <v/>
      </c>
      <c r="D720" s="7">
        <f>'1 prepared data'!C713</f>
        <v/>
      </c>
      <c r="E720" s="7">
        <f>'1 prepared data'!D713</f>
        <v/>
      </c>
      <c r="F720" s="7">
        <f>'1 prepared data'!E713</f>
        <v/>
      </c>
      <c r="G720" s="7">
        <f>'1 prepared data'!F713</f>
        <v/>
      </c>
      <c r="H720" s="7">
        <f>'1 prepared data'!G713</f>
        <v/>
      </c>
      <c r="I720" s="7">
        <f>'1 prepared data'!H713</f>
        <v/>
      </c>
      <c r="J720" s="7">
        <f>'1 prepared data'!I713</f>
        <v/>
      </c>
      <c r="K720" s="7">
        <f>'1 prepared data'!J713</f>
        <v/>
      </c>
      <c r="L720" s="7">
        <f>'1 prepared data'!K713</f>
        <v/>
      </c>
      <c r="M720" s="7">
        <f>'1 prepared data'!L713</f>
        <v/>
      </c>
      <c r="N720" s="7">
        <f>'1 prepared data'!M713</f>
        <v/>
      </c>
      <c r="O720" s="7">
        <f>'1 prepared data'!N713</f>
        <v/>
      </c>
      <c r="P720" s="7">
        <f>'1 prepared data'!O713</f>
        <v/>
      </c>
      <c r="Q720" s="7">
        <f>'1 prepared data'!P713</f>
        <v/>
      </c>
      <c r="R720" s="7">
        <f>'1 prepared data'!Q713</f>
        <v/>
      </c>
      <c r="S720" s="7">
        <f>'1 prepared data'!R713</f>
        <v/>
      </c>
      <c r="T720" s="7">
        <f>'1 prepared data'!S713</f>
        <v/>
      </c>
      <c r="U720" s="7">
        <f>'1 prepared data'!T713</f>
        <v/>
      </c>
      <c r="V720" s="8">
        <f>$AC$12+D720*$AC$13+E720*$AC$14+F720*$AC$15+G720*$AC$16+H720*$AC$17+I720*$AC$18+J720*$AC$19+K720*$AC$20+L720*$AC$21+M720*$AC$22+N720*$AC$23+O720*$AC$24+P720*$AC$25+Q720*$AC$26+R720*$AC$27+S720*$AC$28+T720*$AC$29+U720*$AC$30</f>
        <v/>
      </c>
      <c r="W720" s="8">
        <f>1/(1+EXP(-V720))</f>
        <v/>
      </c>
      <c r="X720" s="9">
        <f>-IF(C720=1,LN(W720),LN(1-W720))</f>
        <v/>
      </c>
      <c r="Y720" s="10">
        <f>IF(W720&gt;$AC$33,1,0)</f>
        <v/>
      </c>
      <c r="Z720">
        <f>IF(Y720=C720,1,0)</f>
        <v/>
      </c>
    </row>
    <row r="721">
      <c r="A721">
        <f>'1 prepared data'!A714</f>
        <v/>
      </c>
      <c r="B721" s="5">
        <f>'1 prepared data'!U714</f>
        <v/>
      </c>
      <c r="C721">
        <f>'1 prepared data'!B714</f>
        <v/>
      </c>
      <c r="D721" s="7">
        <f>'1 prepared data'!C714</f>
        <v/>
      </c>
      <c r="E721" s="7">
        <f>'1 prepared data'!D714</f>
        <v/>
      </c>
      <c r="F721" s="7">
        <f>'1 prepared data'!E714</f>
        <v/>
      </c>
      <c r="G721" s="7">
        <f>'1 prepared data'!F714</f>
        <v/>
      </c>
      <c r="H721" s="7">
        <f>'1 prepared data'!G714</f>
        <v/>
      </c>
      <c r="I721" s="7">
        <f>'1 prepared data'!H714</f>
        <v/>
      </c>
      <c r="J721" s="7">
        <f>'1 prepared data'!I714</f>
        <v/>
      </c>
      <c r="K721" s="7">
        <f>'1 prepared data'!J714</f>
        <v/>
      </c>
      <c r="L721" s="7">
        <f>'1 prepared data'!K714</f>
        <v/>
      </c>
      <c r="M721" s="7">
        <f>'1 prepared data'!L714</f>
        <v/>
      </c>
      <c r="N721" s="7">
        <f>'1 prepared data'!M714</f>
        <v/>
      </c>
      <c r="O721" s="7">
        <f>'1 prepared data'!N714</f>
        <v/>
      </c>
      <c r="P721" s="7">
        <f>'1 prepared data'!O714</f>
        <v/>
      </c>
      <c r="Q721" s="7">
        <f>'1 prepared data'!P714</f>
        <v/>
      </c>
      <c r="R721" s="7">
        <f>'1 prepared data'!Q714</f>
        <v/>
      </c>
      <c r="S721" s="7">
        <f>'1 prepared data'!R714</f>
        <v/>
      </c>
      <c r="T721" s="7">
        <f>'1 prepared data'!S714</f>
        <v/>
      </c>
      <c r="U721" s="7">
        <f>'1 prepared data'!T714</f>
        <v/>
      </c>
      <c r="V721" s="8">
        <f>$AC$12+D721*$AC$13+E721*$AC$14+F721*$AC$15+G721*$AC$16+H721*$AC$17+I721*$AC$18+J721*$AC$19+K721*$AC$20+L721*$AC$21+M721*$AC$22+N721*$AC$23+O721*$AC$24+P721*$AC$25+Q721*$AC$26+R721*$AC$27+S721*$AC$28+T721*$AC$29+U721*$AC$30</f>
        <v/>
      </c>
      <c r="W721" s="8">
        <f>1/(1+EXP(-V721))</f>
        <v/>
      </c>
      <c r="X721" s="9">
        <f>-IF(C721=1,LN(W721),LN(1-W721))</f>
        <v/>
      </c>
      <c r="Y721" s="10">
        <f>IF(W721&gt;$AC$33,1,0)</f>
        <v/>
      </c>
      <c r="Z721">
        <f>IF(Y721=C721,1,0)</f>
        <v/>
      </c>
    </row>
    <row r="722">
      <c r="A722">
        <f>'1 prepared data'!A715</f>
        <v/>
      </c>
      <c r="B722" s="5">
        <f>'1 prepared data'!U715</f>
        <v/>
      </c>
      <c r="C722">
        <f>'1 prepared data'!B715</f>
        <v/>
      </c>
      <c r="D722" s="7">
        <f>'1 prepared data'!C715</f>
        <v/>
      </c>
      <c r="E722" s="7">
        <f>'1 prepared data'!D715</f>
        <v/>
      </c>
      <c r="F722" s="7">
        <f>'1 prepared data'!E715</f>
        <v/>
      </c>
      <c r="G722" s="7">
        <f>'1 prepared data'!F715</f>
        <v/>
      </c>
      <c r="H722" s="7">
        <f>'1 prepared data'!G715</f>
        <v/>
      </c>
      <c r="I722" s="7">
        <f>'1 prepared data'!H715</f>
        <v/>
      </c>
      <c r="J722" s="7">
        <f>'1 prepared data'!I715</f>
        <v/>
      </c>
      <c r="K722" s="7">
        <f>'1 prepared data'!J715</f>
        <v/>
      </c>
      <c r="L722" s="7">
        <f>'1 prepared data'!K715</f>
        <v/>
      </c>
      <c r="M722" s="7">
        <f>'1 prepared data'!L715</f>
        <v/>
      </c>
      <c r="N722" s="7">
        <f>'1 prepared data'!M715</f>
        <v/>
      </c>
      <c r="O722" s="7">
        <f>'1 prepared data'!N715</f>
        <v/>
      </c>
      <c r="P722" s="7">
        <f>'1 prepared data'!O715</f>
        <v/>
      </c>
      <c r="Q722" s="7">
        <f>'1 prepared data'!P715</f>
        <v/>
      </c>
      <c r="R722" s="7">
        <f>'1 prepared data'!Q715</f>
        <v/>
      </c>
      <c r="S722" s="7">
        <f>'1 prepared data'!R715</f>
        <v/>
      </c>
      <c r="T722" s="7">
        <f>'1 prepared data'!S715</f>
        <v/>
      </c>
      <c r="U722" s="7">
        <f>'1 prepared data'!T715</f>
        <v/>
      </c>
      <c r="V722" s="8">
        <f>$AC$12+D722*$AC$13+E722*$AC$14+F722*$AC$15+G722*$AC$16+H722*$AC$17+I722*$AC$18+J722*$AC$19+K722*$AC$20+L722*$AC$21+M722*$AC$22+N722*$AC$23+O722*$AC$24+P722*$AC$25+Q722*$AC$26+R722*$AC$27+S722*$AC$28+T722*$AC$29+U722*$AC$30</f>
        <v/>
      </c>
      <c r="W722" s="8">
        <f>1/(1+EXP(-V722))</f>
        <v/>
      </c>
      <c r="X722" s="9">
        <f>-IF(C722=1,LN(W722),LN(1-W722))</f>
        <v/>
      </c>
      <c r="Y722" s="10">
        <f>IF(W722&gt;$AC$33,1,0)</f>
        <v/>
      </c>
      <c r="Z722">
        <f>IF(Y722=C722,1,0)</f>
        <v/>
      </c>
    </row>
    <row r="723">
      <c r="A723">
        <f>'1 prepared data'!A716</f>
        <v/>
      </c>
      <c r="B723" s="5">
        <f>'1 prepared data'!U716</f>
        <v/>
      </c>
      <c r="C723">
        <f>'1 prepared data'!B716</f>
        <v/>
      </c>
      <c r="D723" s="7">
        <f>'1 prepared data'!C716</f>
        <v/>
      </c>
      <c r="E723" s="7">
        <f>'1 prepared data'!D716</f>
        <v/>
      </c>
      <c r="F723" s="7">
        <f>'1 prepared data'!E716</f>
        <v/>
      </c>
      <c r="G723" s="7">
        <f>'1 prepared data'!F716</f>
        <v/>
      </c>
      <c r="H723" s="7">
        <f>'1 prepared data'!G716</f>
        <v/>
      </c>
      <c r="I723" s="7">
        <f>'1 prepared data'!H716</f>
        <v/>
      </c>
      <c r="J723" s="7">
        <f>'1 prepared data'!I716</f>
        <v/>
      </c>
      <c r="K723" s="7">
        <f>'1 prepared data'!J716</f>
        <v/>
      </c>
      <c r="L723" s="7">
        <f>'1 prepared data'!K716</f>
        <v/>
      </c>
      <c r="M723" s="7">
        <f>'1 prepared data'!L716</f>
        <v/>
      </c>
      <c r="N723" s="7">
        <f>'1 prepared data'!M716</f>
        <v/>
      </c>
      <c r="O723" s="7">
        <f>'1 prepared data'!N716</f>
        <v/>
      </c>
      <c r="P723" s="7">
        <f>'1 prepared data'!O716</f>
        <v/>
      </c>
      <c r="Q723" s="7">
        <f>'1 prepared data'!P716</f>
        <v/>
      </c>
      <c r="R723" s="7">
        <f>'1 prepared data'!Q716</f>
        <v/>
      </c>
      <c r="S723" s="7">
        <f>'1 prepared data'!R716</f>
        <v/>
      </c>
      <c r="T723" s="7">
        <f>'1 prepared data'!S716</f>
        <v/>
      </c>
      <c r="U723" s="7">
        <f>'1 prepared data'!T716</f>
        <v/>
      </c>
      <c r="V723" s="8">
        <f>$AC$12+D723*$AC$13+E723*$AC$14+F723*$AC$15+G723*$AC$16+H723*$AC$17+I723*$AC$18+J723*$AC$19+K723*$AC$20+L723*$AC$21+M723*$AC$22+N723*$AC$23+O723*$AC$24+P723*$AC$25+Q723*$AC$26+R723*$AC$27+S723*$AC$28+T723*$AC$29+U723*$AC$30</f>
        <v/>
      </c>
      <c r="W723" s="8">
        <f>1/(1+EXP(-V723))</f>
        <v/>
      </c>
      <c r="X723" s="9">
        <f>-IF(C723=1,LN(W723),LN(1-W723))</f>
        <v/>
      </c>
      <c r="Y723" s="10">
        <f>IF(W723&gt;$AC$33,1,0)</f>
        <v/>
      </c>
      <c r="Z723">
        <f>IF(Y723=C723,1,0)</f>
        <v/>
      </c>
    </row>
    <row r="724">
      <c r="A724">
        <f>'1 prepared data'!A717</f>
        <v/>
      </c>
      <c r="B724" s="5">
        <f>'1 prepared data'!U717</f>
        <v/>
      </c>
      <c r="C724">
        <f>'1 prepared data'!B717</f>
        <v/>
      </c>
      <c r="D724" s="7">
        <f>'1 prepared data'!C717</f>
        <v/>
      </c>
      <c r="E724" s="7">
        <f>'1 prepared data'!D717</f>
        <v/>
      </c>
      <c r="F724" s="7">
        <f>'1 prepared data'!E717</f>
        <v/>
      </c>
      <c r="G724" s="7">
        <f>'1 prepared data'!F717</f>
        <v/>
      </c>
      <c r="H724" s="7">
        <f>'1 prepared data'!G717</f>
        <v/>
      </c>
      <c r="I724" s="7">
        <f>'1 prepared data'!H717</f>
        <v/>
      </c>
      <c r="J724" s="7">
        <f>'1 prepared data'!I717</f>
        <v/>
      </c>
      <c r="K724" s="7">
        <f>'1 prepared data'!J717</f>
        <v/>
      </c>
      <c r="L724" s="7">
        <f>'1 prepared data'!K717</f>
        <v/>
      </c>
      <c r="M724" s="7">
        <f>'1 prepared data'!L717</f>
        <v/>
      </c>
      <c r="N724" s="7">
        <f>'1 prepared data'!M717</f>
        <v/>
      </c>
      <c r="O724" s="7">
        <f>'1 prepared data'!N717</f>
        <v/>
      </c>
      <c r="P724" s="7">
        <f>'1 prepared data'!O717</f>
        <v/>
      </c>
      <c r="Q724" s="7">
        <f>'1 prepared data'!P717</f>
        <v/>
      </c>
      <c r="R724" s="7">
        <f>'1 prepared data'!Q717</f>
        <v/>
      </c>
      <c r="S724" s="7">
        <f>'1 prepared data'!R717</f>
        <v/>
      </c>
      <c r="T724" s="7">
        <f>'1 prepared data'!S717</f>
        <v/>
      </c>
      <c r="U724" s="7">
        <f>'1 prepared data'!T717</f>
        <v/>
      </c>
      <c r="V724" s="8">
        <f>$AC$12+D724*$AC$13+E724*$AC$14+F724*$AC$15+G724*$AC$16+H724*$AC$17+I724*$AC$18+J724*$AC$19+K724*$AC$20+L724*$AC$21+M724*$AC$22+N724*$AC$23+O724*$AC$24+P724*$AC$25+Q724*$AC$26+R724*$AC$27+S724*$AC$28+T724*$AC$29+U724*$AC$30</f>
        <v/>
      </c>
      <c r="W724" s="8">
        <f>1/(1+EXP(-V724))</f>
        <v/>
      </c>
      <c r="X724" s="9">
        <f>-IF(C724=1,LN(W724),LN(1-W724))</f>
        <v/>
      </c>
      <c r="Y724" s="10">
        <f>IF(W724&gt;$AC$33,1,0)</f>
        <v/>
      </c>
      <c r="Z724">
        <f>IF(Y724=C724,1,0)</f>
        <v/>
      </c>
    </row>
    <row r="725">
      <c r="A725">
        <f>'1 prepared data'!A718</f>
        <v/>
      </c>
      <c r="B725" s="5">
        <f>'1 prepared data'!U718</f>
        <v/>
      </c>
      <c r="C725">
        <f>'1 prepared data'!B718</f>
        <v/>
      </c>
      <c r="D725" s="7">
        <f>'1 prepared data'!C718</f>
        <v/>
      </c>
      <c r="E725" s="7">
        <f>'1 prepared data'!D718</f>
        <v/>
      </c>
      <c r="F725" s="7">
        <f>'1 prepared data'!E718</f>
        <v/>
      </c>
      <c r="G725" s="7">
        <f>'1 prepared data'!F718</f>
        <v/>
      </c>
      <c r="H725" s="7">
        <f>'1 prepared data'!G718</f>
        <v/>
      </c>
      <c r="I725" s="7">
        <f>'1 prepared data'!H718</f>
        <v/>
      </c>
      <c r="J725" s="7">
        <f>'1 prepared data'!I718</f>
        <v/>
      </c>
      <c r="K725" s="7">
        <f>'1 prepared data'!J718</f>
        <v/>
      </c>
      <c r="L725" s="7">
        <f>'1 prepared data'!K718</f>
        <v/>
      </c>
      <c r="M725" s="7">
        <f>'1 prepared data'!L718</f>
        <v/>
      </c>
      <c r="N725" s="7">
        <f>'1 prepared data'!M718</f>
        <v/>
      </c>
      <c r="O725" s="7">
        <f>'1 prepared data'!N718</f>
        <v/>
      </c>
      <c r="P725" s="7">
        <f>'1 prepared data'!O718</f>
        <v/>
      </c>
      <c r="Q725" s="7">
        <f>'1 prepared data'!P718</f>
        <v/>
      </c>
      <c r="R725" s="7">
        <f>'1 prepared data'!Q718</f>
        <v/>
      </c>
      <c r="S725" s="7">
        <f>'1 prepared data'!R718</f>
        <v/>
      </c>
      <c r="T725" s="7">
        <f>'1 prepared data'!S718</f>
        <v/>
      </c>
      <c r="U725" s="7">
        <f>'1 prepared data'!T718</f>
        <v/>
      </c>
      <c r="V725" s="8">
        <f>$AC$12+D725*$AC$13+E725*$AC$14+F725*$AC$15+G725*$AC$16+H725*$AC$17+I725*$AC$18+J725*$AC$19+K725*$AC$20+L725*$AC$21+M725*$AC$22+N725*$AC$23+O725*$AC$24+P725*$AC$25+Q725*$AC$26+R725*$AC$27+S725*$AC$28+T725*$AC$29+U725*$AC$30</f>
        <v/>
      </c>
      <c r="W725" s="8">
        <f>1/(1+EXP(-V725))</f>
        <v/>
      </c>
      <c r="X725" s="9">
        <f>-IF(C725=1,LN(W725),LN(1-W725))</f>
        <v/>
      </c>
      <c r="Y725" s="10">
        <f>IF(W725&gt;$AC$33,1,0)</f>
        <v/>
      </c>
      <c r="Z725">
        <f>IF(Y725=C725,1,0)</f>
        <v/>
      </c>
    </row>
    <row r="726">
      <c r="A726">
        <f>'1 prepared data'!A719</f>
        <v/>
      </c>
      <c r="B726" s="5">
        <f>'1 prepared data'!U719</f>
        <v/>
      </c>
      <c r="C726">
        <f>'1 prepared data'!B719</f>
        <v/>
      </c>
      <c r="D726" s="7">
        <f>'1 prepared data'!C719</f>
        <v/>
      </c>
      <c r="E726" s="7">
        <f>'1 prepared data'!D719</f>
        <v/>
      </c>
      <c r="F726" s="7">
        <f>'1 prepared data'!E719</f>
        <v/>
      </c>
      <c r="G726" s="7">
        <f>'1 prepared data'!F719</f>
        <v/>
      </c>
      <c r="H726" s="7">
        <f>'1 prepared data'!G719</f>
        <v/>
      </c>
      <c r="I726" s="7">
        <f>'1 prepared data'!H719</f>
        <v/>
      </c>
      <c r="J726" s="7">
        <f>'1 prepared data'!I719</f>
        <v/>
      </c>
      <c r="K726" s="7">
        <f>'1 prepared data'!J719</f>
        <v/>
      </c>
      <c r="L726" s="7">
        <f>'1 prepared data'!K719</f>
        <v/>
      </c>
      <c r="M726" s="7">
        <f>'1 prepared data'!L719</f>
        <v/>
      </c>
      <c r="N726" s="7">
        <f>'1 prepared data'!M719</f>
        <v/>
      </c>
      <c r="O726" s="7">
        <f>'1 prepared data'!N719</f>
        <v/>
      </c>
      <c r="P726" s="7">
        <f>'1 prepared data'!O719</f>
        <v/>
      </c>
      <c r="Q726" s="7">
        <f>'1 prepared data'!P719</f>
        <v/>
      </c>
      <c r="R726" s="7">
        <f>'1 prepared data'!Q719</f>
        <v/>
      </c>
      <c r="S726" s="7">
        <f>'1 prepared data'!R719</f>
        <v/>
      </c>
      <c r="T726" s="7">
        <f>'1 prepared data'!S719</f>
        <v/>
      </c>
      <c r="U726" s="7">
        <f>'1 prepared data'!T719</f>
        <v/>
      </c>
      <c r="V726" s="8">
        <f>$AC$12+D726*$AC$13+E726*$AC$14+F726*$AC$15+G726*$AC$16+H726*$AC$17+I726*$AC$18+J726*$AC$19+K726*$AC$20+L726*$AC$21+M726*$AC$22+N726*$AC$23+O726*$AC$24+P726*$AC$25+Q726*$AC$26+R726*$AC$27+S726*$AC$28+T726*$AC$29+U726*$AC$30</f>
        <v/>
      </c>
      <c r="W726" s="8">
        <f>1/(1+EXP(-V726))</f>
        <v/>
      </c>
      <c r="X726" s="9">
        <f>-IF(C726=1,LN(W726),LN(1-W726))</f>
        <v/>
      </c>
      <c r="Y726" s="10">
        <f>IF(W726&gt;$AC$33,1,0)</f>
        <v/>
      </c>
      <c r="Z726">
        <f>IF(Y726=C726,1,0)</f>
        <v/>
      </c>
    </row>
    <row r="727">
      <c r="A727">
        <f>'1 prepared data'!A720</f>
        <v/>
      </c>
      <c r="B727" s="5">
        <f>'1 prepared data'!U720</f>
        <v/>
      </c>
      <c r="C727">
        <f>'1 prepared data'!B720</f>
        <v/>
      </c>
      <c r="D727" s="7">
        <f>'1 prepared data'!C720</f>
        <v/>
      </c>
      <c r="E727" s="7">
        <f>'1 prepared data'!D720</f>
        <v/>
      </c>
      <c r="F727" s="7">
        <f>'1 prepared data'!E720</f>
        <v/>
      </c>
      <c r="G727" s="7">
        <f>'1 prepared data'!F720</f>
        <v/>
      </c>
      <c r="H727" s="7">
        <f>'1 prepared data'!G720</f>
        <v/>
      </c>
      <c r="I727" s="7">
        <f>'1 prepared data'!H720</f>
        <v/>
      </c>
      <c r="J727" s="7">
        <f>'1 prepared data'!I720</f>
        <v/>
      </c>
      <c r="K727" s="7">
        <f>'1 prepared data'!J720</f>
        <v/>
      </c>
      <c r="L727" s="7">
        <f>'1 prepared data'!K720</f>
        <v/>
      </c>
      <c r="M727" s="7">
        <f>'1 prepared data'!L720</f>
        <v/>
      </c>
      <c r="N727" s="7">
        <f>'1 prepared data'!M720</f>
        <v/>
      </c>
      <c r="O727" s="7">
        <f>'1 prepared data'!N720</f>
        <v/>
      </c>
      <c r="P727" s="7">
        <f>'1 prepared data'!O720</f>
        <v/>
      </c>
      <c r="Q727" s="7">
        <f>'1 prepared data'!P720</f>
        <v/>
      </c>
      <c r="R727" s="7">
        <f>'1 prepared data'!Q720</f>
        <v/>
      </c>
      <c r="S727" s="7">
        <f>'1 prepared data'!R720</f>
        <v/>
      </c>
      <c r="T727" s="7">
        <f>'1 prepared data'!S720</f>
        <v/>
      </c>
      <c r="U727" s="7">
        <f>'1 prepared data'!T720</f>
        <v/>
      </c>
      <c r="V727" s="8">
        <f>$AC$12+D727*$AC$13+E727*$AC$14+F727*$AC$15+G727*$AC$16+H727*$AC$17+I727*$AC$18+J727*$AC$19+K727*$AC$20+L727*$AC$21+M727*$AC$22+N727*$AC$23+O727*$AC$24+P727*$AC$25+Q727*$AC$26+R727*$AC$27+S727*$AC$28+T727*$AC$29+U727*$AC$30</f>
        <v/>
      </c>
      <c r="W727" s="8">
        <f>1/(1+EXP(-V727))</f>
        <v/>
      </c>
      <c r="X727" s="9">
        <f>-IF(C727=1,LN(W727),LN(1-W727))</f>
        <v/>
      </c>
      <c r="Y727" s="10">
        <f>IF(W727&gt;$AC$33,1,0)</f>
        <v/>
      </c>
      <c r="Z727">
        <f>IF(Y727=C727,1,0)</f>
        <v/>
      </c>
    </row>
    <row r="728">
      <c r="A728">
        <f>'1 prepared data'!A721</f>
        <v/>
      </c>
      <c r="B728" s="5">
        <f>'1 prepared data'!U721</f>
        <v/>
      </c>
      <c r="C728">
        <f>'1 prepared data'!B721</f>
        <v/>
      </c>
      <c r="D728" s="7">
        <f>'1 prepared data'!C721</f>
        <v/>
      </c>
      <c r="E728" s="7">
        <f>'1 prepared data'!D721</f>
        <v/>
      </c>
      <c r="F728" s="7">
        <f>'1 prepared data'!E721</f>
        <v/>
      </c>
      <c r="G728" s="7">
        <f>'1 prepared data'!F721</f>
        <v/>
      </c>
      <c r="H728" s="7">
        <f>'1 prepared data'!G721</f>
        <v/>
      </c>
      <c r="I728" s="7">
        <f>'1 prepared data'!H721</f>
        <v/>
      </c>
      <c r="J728" s="7">
        <f>'1 prepared data'!I721</f>
        <v/>
      </c>
      <c r="K728" s="7">
        <f>'1 prepared data'!J721</f>
        <v/>
      </c>
      <c r="L728" s="7">
        <f>'1 prepared data'!K721</f>
        <v/>
      </c>
      <c r="M728" s="7">
        <f>'1 prepared data'!L721</f>
        <v/>
      </c>
      <c r="N728" s="7">
        <f>'1 prepared data'!M721</f>
        <v/>
      </c>
      <c r="O728" s="7">
        <f>'1 prepared data'!N721</f>
        <v/>
      </c>
      <c r="P728" s="7">
        <f>'1 prepared data'!O721</f>
        <v/>
      </c>
      <c r="Q728" s="7">
        <f>'1 prepared data'!P721</f>
        <v/>
      </c>
      <c r="R728" s="7">
        <f>'1 prepared data'!Q721</f>
        <v/>
      </c>
      <c r="S728" s="7">
        <f>'1 prepared data'!R721</f>
        <v/>
      </c>
      <c r="T728" s="7">
        <f>'1 prepared data'!S721</f>
        <v/>
      </c>
      <c r="U728" s="7">
        <f>'1 prepared data'!T721</f>
        <v/>
      </c>
      <c r="V728" s="8">
        <f>$AC$12+D728*$AC$13+E728*$AC$14+F728*$AC$15+G728*$AC$16+H728*$AC$17+I728*$AC$18+J728*$AC$19+K728*$AC$20+L728*$AC$21+M728*$AC$22+N728*$AC$23+O728*$AC$24+P728*$AC$25+Q728*$AC$26+R728*$AC$27+S728*$AC$28+T728*$AC$29+U728*$AC$30</f>
        <v/>
      </c>
      <c r="W728" s="8">
        <f>1/(1+EXP(-V728))</f>
        <v/>
      </c>
      <c r="X728" s="9">
        <f>-IF(C728=1,LN(W728),LN(1-W728))</f>
        <v/>
      </c>
      <c r="Y728" s="10">
        <f>IF(W728&gt;$AC$33,1,0)</f>
        <v/>
      </c>
      <c r="Z728">
        <f>IF(Y728=C728,1,0)</f>
        <v/>
      </c>
    </row>
    <row r="729">
      <c r="A729">
        <f>'1 prepared data'!A722</f>
        <v/>
      </c>
      <c r="B729" s="5">
        <f>'1 prepared data'!U722</f>
        <v/>
      </c>
      <c r="C729">
        <f>'1 prepared data'!B722</f>
        <v/>
      </c>
      <c r="D729" s="7">
        <f>'1 prepared data'!C722</f>
        <v/>
      </c>
      <c r="E729" s="7">
        <f>'1 prepared data'!D722</f>
        <v/>
      </c>
      <c r="F729" s="7">
        <f>'1 prepared data'!E722</f>
        <v/>
      </c>
      <c r="G729" s="7">
        <f>'1 prepared data'!F722</f>
        <v/>
      </c>
      <c r="H729" s="7">
        <f>'1 prepared data'!G722</f>
        <v/>
      </c>
      <c r="I729" s="7">
        <f>'1 prepared data'!H722</f>
        <v/>
      </c>
      <c r="J729" s="7">
        <f>'1 prepared data'!I722</f>
        <v/>
      </c>
      <c r="K729" s="7">
        <f>'1 prepared data'!J722</f>
        <v/>
      </c>
      <c r="L729" s="7">
        <f>'1 prepared data'!K722</f>
        <v/>
      </c>
      <c r="M729" s="7">
        <f>'1 prepared data'!L722</f>
        <v/>
      </c>
      <c r="N729" s="7">
        <f>'1 prepared data'!M722</f>
        <v/>
      </c>
      <c r="O729" s="7">
        <f>'1 prepared data'!N722</f>
        <v/>
      </c>
      <c r="P729" s="7">
        <f>'1 prepared data'!O722</f>
        <v/>
      </c>
      <c r="Q729" s="7">
        <f>'1 prepared data'!P722</f>
        <v/>
      </c>
      <c r="R729" s="7">
        <f>'1 prepared data'!Q722</f>
        <v/>
      </c>
      <c r="S729" s="7">
        <f>'1 prepared data'!R722</f>
        <v/>
      </c>
      <c r="T729" s="7">
        <f>'1 prepared data'!S722</f>
        <v/>
      </c>
      <c r="U729" s="7">
        <f>'1 prepared data'!T722</f>
        <v/>
      </c>
      <c r="V729" s="8">
        <f>$AC$12+D729*$AC$13+E729*$AC$14+F729*$AC$15+G729*$AC$16+H729*$AC$17+I729*$AC$18+J729*$AC$19+K729*$AC$20+L729*$AC$21+M729*$AC$22+N729*$AC$23+O729*$AC$24+P729*$AC$25+Q729*$AC$26+R729*$AC$27+S729*$AC$28+T729*$AC$29+U729*$AC$30</f>
        <v/>
      </c>
      <c r="W729" s="8">
        <f>1/(1+EXP(-V729))</f>
        <v/>
      </c>
      <c r="X729" s="9">
        <f>-IF(C729=1,LN(W729),LN(1-W729))</f>
        <v/>
      </c>
      <c r="Y729" s="10">
        <f>IF(W729&gt;$AC$33,1,0)</f>
        <v/>
      </c>
      <c r="Z729">
        <f>IF(Y729=C729,1,0)</f>
        <v/>
      </c>
    </row>
    <row r="730">
      <c r="A730">
        <f>'1 prepared data'!A723</f>
        <v/>
      </c>
      <c r="B730" s="5">
        <f>'1 prepared data'!U723</f>
        <v/>
      </c>
      <c r="C730">
        <f>'1 prepared data'!B723</f>
        <v/>
      </c>
      <c r="D730" s="7">
        <f>'1 prepared data'!C723</f>
        <v/>
      </c>
      <c r="E730" s="7">
        <f>'1 prepared data'!D723</f>
        <v/>
      </c>
      <c r="F730" s="7">
        <f>'1 prepared data'!E723</f>
        <v/>
      </c>
      <c r="G730" s="7">
        <f>'1 prepared data'!F723</f>
        <v/>
      </c>
      <c r="H730" s="7">
        <f>'1 prepared data'!G723</f>
        <v/>
      </c>
      <c r="I730" s="7">
        <f>'1 prepared data'!H723</f>
        <v/>
      </c>
      <c r="J730" s="7">
        <f>'1 prepared data'!I723</f>
        <v/>
      </c>
      <c r="K730" s="7">
        <f>'1 prepared data'!J723</f>
        <v/>
      </c>
      <c r="L730" s="7">
        <f>'1 prepared data'!K723</f>
        <v/>
      </c>
      <c r="M730" s="7">
        <f>'1 prepared data'!L723</f>
        <v/>
      </c>
      <c r="N730" s="7">
        <f>'1 prepared data'!M723</f>
        <v/>
      </c>
      <c r="O730" s="7">
        <f>'1 prepared data'!N723</f>
        <v/>
      </c>
      <c r="P730" s="7">
        <f>'1 prepared data'!O723</f>
        <v/>
      </c>
      <c r="Q730" s="7">
        <f>'1 prepared data'!P723</f>
        <v/>
      </c>
      <c r="R730" s="7">
        <f>'1 prepared data'!Q723</f>
        <v/>
      </c>
      <c r="S730" s="7">
        <f>'1 prepared data'!R723</f>
        <v/>
      </c>
      <c r="T730" s="7">
        <f>'1 prepared data'!S723</f>
        <v/>
      </c>
      <c r="U730" s="7">
        <f>'1 prepared data'!T723</f>
        <v/>
      </c>
      <c r="V730" s="8">
        <f>$AC$12+D730*$AC$13+E730*$AC$14+F730*$AC$15+G730*$AC$16+H730*$AC$17+I730*$AC$18+J730*$AC$19+K730*$AC$20+L730*$AC$21+M730*$AC$22+N730*$AC$23+O730*$AC$24+P730*$AC$25+Q730*$AC$26+R730*$AC$27+S730*$AC$28+T730*$AC$29+U730*$AC$30</f>
        <v/>
      </c>
      <c r="W730" s="8">
        <f>1/(1+EXP(-V730))</f>
        <v/>
      </c>
      <c r="X730" s="9">
        <f>-IF(C730=1,LN(W730),LN(1-W730))</f>
        <v/>
      </c>
      <c r="Y730" s="10">
        <f>IF(W730&gt;$AC$33,1,0)</f>
        <v/>
      </c>
      <c r="Z730">
        <f>IF(Y730=C730,1,0)</f>
        <v/>
      </c>
    </row>
    <row r="731">
      <c r="A731">
        <f>'1 prepared data'!A724</f>
        <v/>
      </c>
      <c r="B731" s="5">
        <f>'1 prepared data'!U724</f>
        <v/>
      </c>
      <c r="C731">
        <f>'1 prepared data'!B724</f>
        <v/>
      </c>
      <c r="D731" s="7">
        <f>'1 prepared data'!C724</f>
        <v/>
      </c>
      <c r="E731" s="7">
        <f>'1 prepared data'!D724</f>
        <v/>
      </c>
      <c r="F731" s="7">
        <f>'1 prepared data'!E724</f>
        <v/>
      </c>
      <c r="G731" s="7">
        <f>'1 prepared data'!F724</f>
        <v/>
      </c>
      <c r="H731" s="7">
        <f>'1 prepared data'!G724</f>
        <v/>
      </c>
      <c r="I731" s="7">
        <f>'1 prepared data'!H724</f>
        <v/>
      </c>
      <c r="J731" s="7">
        <f>'1 prepared data'!I724</f>
        <v/>
      </c>
      <c r="K731" s="7">
        <f>'1 prepared data'!J724</f>
        <v/>
      </c>
      <c r="L731" s="7">
        <f>'1 prepared data'!K724</f>
        <v/>
      </c>
      <c r="M731" s="7">
        <f>'1 prepared data'!L724</f>
        <v/>
      </c>
      <c r="N731" s="7">
        <f>'1 prepared data'!M724</f>
        <v/>
      </c>
      <c r="O731" s="7">
        <f>'1 prepared data'!N724</f>
        <v/>
      </c>
      <c r="P731" s="7">
        <f>'1 prepared data'!O724</f>
        <v/>
      </c>
      <c r="Q731" s="7">
        <f>'1 prepared data'!P724</f>
        <v/>
      </c>
      <c r="R731" s="7">
        <f>'1 prepared data'!Q724</f>
        <v/>
      </c>
      <c r="S731" s="7">
        <f>'1 prepared data'!R724</f>
        <v/>
      </c>
      <c r="T731" s="7">
        <f>'1 prepared data'!S724</f>
        <v/>
      </c>
      <c r="U731" s="7">
        <f>'1 prepared data'!T724</f>
        <v/>
      </c>
      <c r="V731" s="8">
        <f>$AC$12+D731*$AC$13+E731*$AC$14+F731*$AC$15+G731*$AC$16+H731*$AC$17+I731*$AC$18+J731*$AC$19+K731*$AC$20+L731*$AC$21+M731*$AC$22+N731*$AC$23+O731*$AC$24+P731*$AC$25+Q731*$AC$26+R731*$AC$27+S731*$AC$28+T731*$AC$29+U731*$AC$30</f>
        <v/>
      </c>
      <c r="W731" s="8">
        <f>1/(1+EXP(-V731))</f>
        <v/>
      </c>
      <c r="X731" s="9">
        <f>-IF(C731=1,LN(W731),LN(1-W731))</f>
        <v/>
      </c>
      <c r="Y731" s="10">
        <f>IF(W731&gt;$AC$33,1,0)</f>
        <v/>
      </c>
      <c r="Z731">
        <f>IF(Y731=C731,1,0)</f>
        <v/>
      </c>
    </row>
    <row r="732">
      <c r="A732">
        <f>'1 prepared data'!A725</f>
        <v/>
      </c>
      <c r="B732" s="5">
        <f>'1 prepared data'!U725</f>
        <v/>
      </c>
      <c r="C732">
        <f>'1 prepared data'!B725</f>
        <v/>
      </c>
      <c r="D732" s="7">
        <f>'1 prepared data'!C725</f>
        <v/>
      </c>
      <c r="E732" s="7">
        <f>'1 prepared data'!D725</f>
        <v/>
      </c>
      <c r="F732" s="7">
        <f>'1 prepared data'!E725</f>
        <v/>
      </c>
      <c r="G732" s="7">
        <f>'1 prepared data'!F725</f>
        <v/>
      </c>
      <c r="H732" s="7">
        <f>'1 prepared data'!G725</f>
        <v/>
      </c>
      <c r="I732" s="7">
        <f>'1 prepared data'!H725</f>
        <v/>
      </c>
      <c r="J732" s="7">
        <f>'1 prepared data'!I725</f>
        <v/>
      </c>
      <c r="K732" s="7">
        <f>'1 prepared data'!J725</f>
        <v/>
      </c>
      <c r="L732" s="7">
        <f>'1 prepared data'!K725</f>
        <v/>
      </c>
      <c r="M732" s="7">
        <f>'1 prepared data'!L725</f>
        <v/>
      </c>
      <c r="N732" s="7">
        <f>'1 prepared data'!M725</f>
        <v/>
      </c>
      <c r="O732" s="7">
        <f>'1 prepared data'!N725</f>
        <v/>
      </c>
      <c r="P732" s="7">
        <f>'1 prepared data'!O725</f>
        <v/>
      </c>
      <c r="Q732" s="7">
        <f>'1 prepared data'!P725</f>
        <v/>
      </c>
      <c r="R732" s="7">
        <f>'1 prepared data'!Q725</f>
        <v/>
      </c>
      <c r="S732" s="7">
        <f>'1 prepared data'!R725</f>
        <v/>
      </c>
      <c r="T732" s="7">
        <f>'1 prepared data'!S725</f>
        <v/>
      </c>
      <c r="U732" s="7">
        <f>'1 prepared data'!T725</f>
        <v/>
      </c>
      <c r="V732" s="8">
        <f>$AC$12+D732*$AC$13+E732*$AC$14+F732*$AC$15+G732*$AC$16+H732*$AC$17+I732*$AC$18+J732*$AC$19+K732*$AC$20+L732*$AC$21+M732*$AC$22+N732*$AC$23+O732*$AC$24+P732*$AC$25+Q732*$AC$26+R732*$AC$27+S732*$AC$28+T732*$AC$29+U732*$AC$30</f>
        <v/>
      </c>
      <c r="W732" s="8">
        <f>1/(1+EXP(-V732))</f>
        <v/>
      </c>
      <c r="X732" s="9">
        <f>-IF(C732=1,LN(W732),LN(1-W732))</f>
        <v/>
      </c>
      <c r="Y732" s="10">
        <f>IF(W732&gt;$AC$33,1,0)</f>
        <v/>
      </c>
      <c r="Z732">
        <f>IF(Y732=C732,1,0)</f>
        <v/>
      </c>
    </row>
    <row r="733">
      <c r="A733">
        <f>'1 prepared data'!A726</f>
        <v/>
      </c>
      <c r="B733" s="5">
        <f>'1 prepared data'!U726</f>
        <v/>
      </c>
      <c r="C733">
        <f>'1 prepared data'!B726</f>
        <v/>
      </c>
      <c r="D733" s="7">
        <f>'1 prepared data'!C726</f>
        <v/>
      </c>
      <c r="E733" s="7">
        <f>'1 prepared data'!D726</f>
        <v/>
      </c>
      <c r="F733" s="7">
        <f>'1 prepared data'!E726</f>
        <v/>
      </c>
      <c r="G733" s="7">
        <f>'1 prepared data'!F726</f>
        <v/>
      </c>
      <c r="H733" s="7">
        <f>'1 prepared data'!G726</f>
        <v/>
      </c>
      <c r="I733" s="7">
        <f>'1 prepared data'!H726</f>
        <v/>
      </c>
      <c r="J733" s="7">
        <f>'1 prepared data'!I726</f>
        <v/>
      </c>
      <c r="K733" s="7">
        <f>'1 prepared data'!J726</f>
        <v/>
      </c>
      <c r="L733" s="7">
        <f>'1 prepared data'!K726</f>
        <v/>
      </c>
      <c r="M733" s="7">
        <f>'1 prepared data'!L726</f>
        <v/>
      </c>
      <c r="N733" s="7">
        <f>'1 prepared data'!M726</f>
        <v/>
      </c>
      <c r="O733" s="7">
        <f>'1 prepared data'!N726</f>
        <v/>
      </c>
      <c r="P733" s="7">
        <f>'1 prepared data'!O726</f>
        <v/>
      </c>
      <c r="Q733" s="7">
        <f>'1 prepared data'!P726</f>
        <v/>
      </c>
      <c r="R733" s="7">
        <f>'1 prepared data'!Q726</f>
        <v/>
      </c>
      <c r="S733" s="7">
        <f>'1 prepared data'!R726</f>
        <v/>
      </c>
      <c r="T733" s="7">
        <f>'1 prepared data'!S726</f>
        <v/>
      </c>
      <c r="U733" s="7">
        <f>'1 prepared data'!T726</f>
        <v/>
      </c>
      <c r="V733" s="8">
        <f>$AC$12+D733*$AC$13+E733*$AC$14+F733*$AC$15+G733*$AC$16+H733*$AC$17+I733*$AC$18+J733*$AC$19+K733*$AC$20+L733*$AC$21+M733*$AC$22+N733*$AC$23+O733*$AC$24+P733*$AC$25+Q733*$AC$26+R733*$AC$27+S733*$AC$28+T733*$AC$29+U733*$AC$30</f>
        <v/>
      </c>
      <c r="W733" s="8">
        <f>1/(1+EXP(-V733))</f>
        <v/>
      </c>
      <c r="X733" s="9">
        <f>-IF(C733=1,LN(W733),LN(1-W733))</f>
        <v/>
      </c>
      <c r="Y733" s="10">
        <f>IF(W733&gt;$AC$33,1,0)</f>
        <v/>
      </c>
      <c r="Z733">
        <f>IF(Y733=C733,1,0)</f>
        <v/>
      </c>
    </row>
    <row r="734">
      <c r="A734">
        <f>'1 prepared data'!A727</f>
        <v/>
      </c>
      <c r="B734" s="5">
        <f>'1 prepared data'!U727</f>
        <v/>
      </c>
      <c r="C734">
        <f>'1 prepared data'!B727</f>
        <v/>
      </c>
      <c r="D734" s="7">
        <f>'1 prepared data'!C727</f>
        <v/>
      </c>
      <c r="E734" s="7">
        <f>'1 prepared data'!D727</f>
        <v/>
      </c>
      <c r="F734" s="7">
        <f>'1 prepared data'!E727</f>
        <v/>
      </c>
      <c r="G734" s="7">
        <f>'1 prepared data'!F727</f>
        <v/>
      </c>
      <c r="H734" s="7">
        <f>'1 prepared data'!G727</f>
        <v/>
      </c>
      <c r="I734" s="7">
        <f>'1 prepared data'!H727</f>
        <v/>
      </c>
      <c r="J734" s="7">
        <f>'1 prepared data'!I727</f>
        <v/>
      </c>
      <c r="K734" s="7">
        <f>'1 prepared data'!J727</f>
        <v/>
      </c>
      <c r="L734" s="7">
        <f>'1 prepared data'!K727</f>
        <v/>
      </c>
      <c r="M734" s="7">
        <f>'1 prepared data'!L727</f>
        <v/>
      </c>
      <c r="N734" s="7">
        <f>'1 prepared data'!M727</f>
        <v/>
      </c>
      <c r="O734" s="7">
        <f>'1 prepared data'!N727</f>
        <v/>
      </c>
      <c r="P734" s="7">
        <f>'1 prepared data'!O727</f>
        <v/>
      </c>
      <c r="Q734" s="7">
        <f>'1 prepared data'!P727</f>
        <v/>
      </c>
      <c r="R734" s="7">
        <f>'1 prepared data'!Q727</f>
        <v/>
      </c>
      <c r="S734" s="7">
        <f>'1 prepared data'!R727</f>
        <v/>
      </c>
      <c r="T734" s="7">
        <f>'1 prepared data'!S727</f>
        <v/>
      </c>
      <c r="U734" s="7">
        <f>'1 prepared data'!T727</f>
        <v/>
      </c>
      <c r="V734" s="8">
        <f>$AC$12+D734*$AC$13+E734*$AC$14+F734*$AC$15+G734*$AC$16+H734*$AC$17+I734*$AC$18+J734*$AC$19+K734*$AC$20+L734*$AC$21+M734*$AC$22+N734*$AC$23+O734*$AC$24+P734*$AC$25+Q734*$AC$26+R734*$AC$27+S734*$AC$28+T734*$AC$29+U734*$AC$30</f>
        <v/>
      </c>
      <c r="W734" s="8">
        <f>1/(1+EXP(-V734))</f>
        <v/>
      </c>
      <c r="X734" s="9">
        <f>-IF(C734=1,LN(W734),LN(1-W734))</f>
        <v/>
      </c>
      <c r="Y734" s="10">
        <f>IF(W734&gt;$AC$33,1,0)</f>
        <v/>
      </c>
      <c r="Z734">
        <f>IF(Y734=C734,1,0)</f>
        <v/>
      </c>
    </row>
    <row r="735">
      <c r="A735">
        <f>'1 prepared data'!A728</f>
        <v/>
      </c>
      <c r="B735" s="5">
        <f>'1 prepared data'!U728</f>
        <v/>
      </c>
      <c r="C735">
        <f>'1 prepared data'!B728</f>
        <v/>
      </c>
      <c r="D735" s="7">
        <f>'1 prepared data'!C728</f>
        <v/>
      </c>
      <c r="E735" s="7">
        <f>'1 prepared data'!D728</f>
        <v/>
      </c>
      <c r="F735" s="7">
        <f>'1 prepared data'!E728</f>
        <v/>
      </c>
      <c r="G735" s="7">
        <f>'1 prepared data'!F728</f>
        <v/>
      </c>
      <c r="H735" s="7">
        <f>'1 prepared data'!G728</f>
        <v/>
      </c>
      <c r="I735" s="7">
        <f>'1 prepared data'!H728</f>
        <v/>
      </c>
      <c r="J735" s="7">
        <f>'1 prepared data'!I728</f>
        <v/>
      </c>
      <c r="K735" s="7">
        <f>'1 prepared data'!J728</f>
        <v/>
      </c>
      <c r="L735" s="7">
        <f>'1 prepared data'!K728</f>
        <v/>
      </c>
      <c r="M735" s="7">
        <f>'1 prepared data'!L728</f>
        <v/>
      </c>
      <c r="N735" s="7">
        <f>'1 prepared data'!M728</f>
        <v/>
      </c>
      <c r="O735" s="7">
        <f>'1 prepared data'!N728</f>
        <v/>
      </c>
      <c r="P735" s="7">
        <f>'1 prepared data'!O728</f>
        <v/>
      </c>
      <c r="Q735" s="7">
        <f>'1 prepared data'!P728</f>
        <v/>
      </c>
      <c r="R735" s="7">
        <f>'1 prepared data'!Q728</f>
        <v/>
      </c>
      <c r="S735" s="7">
        <f>'1 prepared data'!R728</f>
        <v/>
      </c>
      <c r="T735" s="7">
        <f>'1 prepared data'!S728</f>
        <v/>
      </c>
      <c r="U735" s="7">
        <f>'1 prepared data'!T728</f>
        <v/>
      </c>
      <c r="V735" s="8">
        <f>$AC$12+D735*$AC$13+E735*$AC$14+F735*$AC$15+G735*$AC$16+H735*$AC$17+I735*$AC$18+J735*$AC$19+K735*$AC$20+L735*$AC$21+M735*$AC$22+N735*$AC$23+O735*$AC$24+P735*$AC$25+Q735*$AC$26+R735*$AC$27+S735*$AC$28+T735*$AC$29+U735*$AC$30</f>
        <v/>
      </c>
      <c r="W735" s="8">
        <f>1/(1+EXP(-V735))</f>
        <v/>
      </c>
      <c r="X735" s="9">
        <f>-IF(C735=1,LN(W735),LN(1-W735))</f>
        <v/>
      </c>
      <c r="Y735" s="10">
        <f>IF(W735&gt;$AC$33,1,0)</f>
        <v/>
      </c>
      <c r="Z735">
        <f>IF(Y735=C735,1,0)</f>
        <v/>
      </c>
    </row>
    <row r="736">
      <c r="A736">
        <f>'1 prepared data'!A729</f>
        <v/>
      </c>
      <c r="B736" s="5">
        <f>'1 prepared data'!U729</f>
        <v/>
      </c>
      <c r="C736">
        <f>'1 prepared data'!B729</f>
        <v/>
      </c>
      <c r="D736" s="7">
        <f>'1 prepared data'!C729</f>
        <v/>
      </c>
      <c r="E736" s="7">
        <f>'1 prepared data'!D729</f>
        <v/>
      </c>
      <c r="F736" s="7">
        <f>'1 prepared data'!E729</f>
        <v/>
      </c>
      <c r="G736" s="7">
        <f>'1 prepared data'!F729</f>
        <v/>
      </c>
      <c r="H736" s="7">
        <f>'1 prepared data'!G729</f>
        <v/>
      </c>
      <c r="I736" s="7">
        <f>'1 prepared data'!H729</f>
        <v/>
      </c>
      <c r="J736" s="7">
        <f>'1 prepared data'!I729</f>
        <v/>
      </c>
      <c r="K736" s="7">
        <f>'1 prepared data'!J729</f>
        <v/>
      </c>
      <c r="L736" s="7">
        <f>'1 prepared data'!K729</f>
        <v/>
      </c>
      <c r="M736" s="7">
        <f>'1 prepared data'!L729</f>
        <v/>
      </c>
      <c r="N736" s="7">
        <f>'1 prepared data'!M729</f>
        <v/>
      </c>
      <c r="O736" s="7">
        <f>'1 prepared data'!N729</f>
        <v/>
      </c>
      <c r="P736" s="7">
        <f>'1 prepared data'!O729</f>
        <v/>
      </c>
      <c r="Q736" s="7">
        <f>'1 prepared data'!P729</f>
        <v/>
      </c>
      <c r="R736" s="7">
        <f>'1 prepared data'!Q729</f>
        <v/>
      </c>
      <c r="S736" s="7">
        <f>'1 prepared data'!R729</f>
        <v/>
      </c>
      <c r="T736" s="7">
        <f>'1 prepared data'!S729</f>
        <v/>
      </c>
      <c r="U736" s="7">
        <f>'1 prepared data'!T729</f>
        <v/>
      </c>
      <c r="V736" s="8">
        <f>$AC$12+D736*$AC$13+E736*$AC$14+F736*$AC$15+G736*$AC$16+H736*$AC$17+I736*$AC$18+J736*$AC$19+K736*$AC$20+L736*$AC$21+M736*$AC$22+N736*$AC$23+O736*$AC$24+P736*$AC$25+Q736*$AC$26+R736*$AC$27+S736*$AC$28+T736*$AC$29+U736*$AC$30</f>
        <v/>
      </c>
      <c r="W736" s="8">
        <f>1/(1+EXP(-V736))</f>
        <v/>
      </c>
      <c r="X736" s="9">
        <f>-IF(C736=1,LN(W736),LN(1-W736))</f>
        <v/>
      </c>
      <c r="Y736" s="10">
        <f>IF(W736&gt;$AC$33,1,0)</f>
        <v/>
      </c>
      <c r="Z736">
        <f>IF(Y736=C736,1,0)</f>
        <v/>
      </c>
    </row>
    <row r="737">
      <c r="A737">
        <f>'1 prepared data'!A730</f>
        <v/>
      </c>
      <c r="B737" s="5">
        <f>'1 prepared data'!U730</f>
        <v/>
      </c>
      <c r="C737">
        <f>'1 prepared data'!B730</f>
        <v/>
      </c>
      <c r="D737" s="7">
        <f>'1 prepared data'!C730</f>
        <v/>
      </c>
      <c r="E737" s="7">
        <f>'1 prepared data'!D730</f>
        <v/>
      </c>
      <c r="F737" s="7">
        <f>'1 prepared data'!E730</f>
        <v/>
      </c>
      <c r="G737" s="7">
        <f>'1 prepared data'!F730</f>
        <v/>
      </c>
      <c r="H737" s="7">
        <f>'1 prepared data'!G730</f>
        <v/>
      </c>
      <c r="I737" s="7">
        <f>'1 prepared data'!H730</f>
        <v/>
      </c>
      <c r="J737" s="7">
        <f>'1 prepared data'!I730</f>
        <v/>
      </c>
      <c r="K737" s="7">
        <f>'1 prepared data'!J730</f>
        <v/>
      </c>
      <c r="L737" s="7">
        <f>'1 prepared data'!K730</f>
        <v/>
      </c>
      <c r="M737" s="7">
        <f>'1 prepared data'!L730</f>
        <v/>
      </c>
      <c r="N737" s="7">
        <f>'1 prepared data'!M730</f>
        <v/>
      </c>
      <c r="O737" s="7">
        <f>'1 prepared data'!N730</f>
        <v/>
      </c>
      <c r="P737" s="7">
        <f>'1 prepared data'!O730</f>
        <v/>
      </c>
      <c r="Q737" s="7">
        <f>'1 prepared data'!P730</f>
        <v/>
      </c>
      <c r="R737" s="7">
        <f>'1 prepared data'!Q730</f>
        <v/>
      </c>
      <c r="S737" s="7">
        <f>'1 prepared data'!R730</f>
        <v/>
      </c>
      <c r="T737" s="7">
        <f>'1 prepared data'!S730</f>
        <v/>
      </c>
      <c r="U737" s="7">
        <f>'1 prepared data'!T730</f>
        <v/>
      </c>
      <c r="V737" s="8">
        <f>$AC$12+D737*$AC$13+E737*$AC$14+F737*$AC$15+G737*$AC$16+H737*$AC$17+I737*$AC$18+J737*$AC$19+K737*$AC$20+L737*$AC$21+M737*$AC$22+N737*$AC$23+O737*$AC$24+P737*$AC$25+Q737*$AC$26+R737*$AC$27+S737*$AC$28+T737*$AC$29+U737*$AC$30</f>
        <v/>
      </c>
      <c r="W737" s="8">
        <f>1/(1+EXP(-V737))</f>
        <v/>
      </c>
      <c r="X737" s="9">
        <f>-IF(C737=1,LN(W737),LN(1-W737))</f>
        <v/>
      </c>
      <c r="Y737" s="10">
        <f>IF(W737&gt;$AC$33,1,0)</f>
        <v/>
      </c>
      <c r="Z737">
        <f>IF(Y737=C737,1,0)</f>
        <v/>
      </c>
    </row>
    <row r="738">
      <c r="A738">
        <f>'1 prepared data'!A731</f>
        <v/>
      </c>
      <c r="B738" s="5">
        <f>'1 prepared data'!U731</f>
        <v/>
      </c>
      <c r="C738">
        <f>'1 prepared data'!B731</f>
        <v/>
      </c>
      <c r="D738" s="7">
        <f>'1 prepared data'!C731</f>
        <v/>
      </c>
      <c r="E738" s="7">
        <f>'1 prepared data'!D731</f>
        <v/>
      </c>
      <c r="F738" s="7">
        <f>'1 prepared data'!E731</f>
        <v/>
      </c>
      <c r="G738" s="7">
        <f>'1 prepared data'!F731</f>
        <v/>
      </c>
      <c r="H738" s="7">
        <f>'1 prepared data'!G731</f>
        <v/>
      </c>
      <c r="I738" s="7">
        <f>'1 prepared data'!H731</f>
        <v/>
      </c>
      <c r="J738" s="7">
        <f>'1 prepared data'!I731</f>
        <v/>
      </c>
      <c r="K738" s="7">
        <f>'1 prepared data'!J731</f>
        <v/>
      </c>
      <c r="L738" s="7">
        <f>'1 prepared data'!K731</f>
        <v/>
      </c>
      <c r="M738" s="7">
        <f>'1 prepared data'!L731</f>
        <v/>
      </c>
      <c r="N738" s="7">
        <f>'1 prepared data'!M731</f>
        <v/>
      </c>
      <c r="O738" s="7">
        <f>'1 prepared data'!N731</f>
        <v/>
      </c>
      <c r="P738" s="7">
        <f>'1 prepared data'!O731</f>
        <v/>
      </c>
      <c r="Q738" s="7">
        <f>'1 prepared data'!P731</f>
        <v/>
      </c>
      <c r="R738" s="7">
        <f>'1 prepared data'!Q731</f>
        <v/>
      </c>
      <c r="S738" s="7">
        <f>'1 prepared data'!R731</f>
        <v/>
      </c>
      <c r="T738" s="7">
        <f>'1 prepared data'!S731</f>
        <v/>
      </c>
      <c r="U738" s="7">
        <f>'1 prepared data'!T731</f>
        <v/>
      </c>
      <c r="V738" s="8">
        <f>$AC$12+D738*$AC$13+E738*$AC$14+F738*$AC$15+G738*$AC$16+H738*$AC$17+I738*$AC$18+J738*$AC$19+K738*$AC$20+L738*$AC$21+M738*$AC$22+N738*$AC$23+O738*$AC$24+P738*$AC$25+Q738*$AC$26+R738*$AC$27+S738*$AC$28+T738*$AC$29+U738*$AC$30</f>
        <v/>
      </c>
      <c r="W738" s="8">
        <f>1/(1+EXP(-V738))</f>
        <v/>
      </c>
      <c r="X738" s="9">
        <f>-IF(C738=1,LN(W738),LN(1-W738))</f>
        <v/>
      </c>
      <c r="Y738" s="10">
        <f>IF(W738&gt;$AC$33,1,0)</f>
        <v/>
      </c>
      <c r="Z738">
        <f>IF(Y738=C738,1,0)</f>
        <v/>
      </c>
    </row>
    <row r="739">
      <c r="A739">
        <f>'1 prepared data'!A732</f>
        <v/>
      </c>
      <c r="B739" s="5">
        <f>'1 prepared data'!U732</f>
        <v/>
      </c>
      <c r="C739">
        <f>'1 prepared data'!B732</f>
        <v/>
      </c>
      <c r="D739" s="7">
        <f>'1 prepared data'!C732</f>
        <v/>
      </c>
      <c r="E739" s="7">
        <f>'1 prepared data'!D732</f>
        <v/>
      </c>
      <c r="F739" s="7">
        <f>'1 prepared data'!E732</f>
        <v/>
      </c>
      <c r="G739" s="7">
        <f>'1 prepared data'!F732</f>
        <v/>
      </c>
      <c r="H739" s="7">
        <f>'1 prepared data'!G732</f>
        <v/>
      </c>
      <c r="I739" s="7">
        <f>'1 prepared data'!H732</f>
        <v/>
      </c>
      <c r="J739" s="7">
        <f>'1 prepared data'!I732</f>
        <v/>
      </c>
      <c r="K739" s="7">
        <f>'1 prepared data'!J732</f>
        <v/>
      </c>
      <c r="L739" s="7">
        <f>'1 prepared data'!K732</f>
        <v/>
      </c>
      <c r="M739" s="7">
        <f>'1 prepared data'!L732</f>
        <v/>
      </c>
      <c r="N739" s="7">
        <f>'1 prepared data'!M732</f>
        <v/>
      </c>
      <c r="O739" s="7">
        <f>'1 prepared data'!N732</f>
        <v/>
      </c>
      <c r="P739" s="7">
        <f>'1 prepared data'!O732</f>
        <v/>
      </c>
      <c r="Q739" s="7">
        <f>'1 prepared data'!P732</f>
        <v/>
      </c>
      <c r="R739" s="7">
        <f>'1 prepared data'!Q732</f>
        <v/>
      </c>
      <c r="S739" s="7">
        <f>'1 prepared data'!R732</f>
        <v/>
      </c>
      <c r="T739" s="7">
        <f>'1 prepared data'!S732</f>
        <v/>
      </c>
      <c r="U739" s="7">
        <f>'1 prepared data'!T732</f>
        <v/>
      </c>
      <c r="V739" s="8">
        <f>$AC$12+D739*$AC$13+E739*$AC$14+F739*$AC$15+G739*$AC$16+H739*$AC$17+I739*$AC$18+J739*$AC$19+K739*$AC$20+L739*$AC$21+M739*$AC$22+N739*$AC$23+O739*$AC$24+P739*$AC$25+Q739*$AC$26+R739*$AC$27+S739*$AC$28+T739*$AC$29+U739*$AC$30</f>
        <v/>
      </c>
      <c r="W739" s="8">
        <f>1/(1+EXP(-V739))</f>
        <v/>
      </c>
      <c r="X739" s="9">
        <f>-IF(C739=1,LN(W739),LN(1-W739))</f>
        <v/>
      </c>
      <c r="Y739" s="10">
        <f>IF(W739&gt;$AC$33,1,0)</f>
        <v/>
      </c>
      <c r="Z739">
        <f>IF(Y739=C739,1,0)</f>
        <v/>
      </c>
    </row>
    <row r="740">
      <c r="A740">
        <f>'1 prepared data'!A733</f>
        <v/>
      </c>
      <c r="B740" s="5">
        <f>'1 prepared data'!U733</f>
        <v/>
      </c>
      <c r="C740">
        <f>'1 prepared data'!B733</f>
        <v/>
      </c>
      <c r="D740" s="7">
        <f>'1 prepared data'!C733</f>
        <v/>
      </c>
      <c r="E740" s="7">
        <f>'1 prepared data'!D733</f>
        <v/>
      </c>
      <c r="F740" s="7">
        <f>'1 prepared data'!E733</f>
        <v/>
      </c>
      <c r="G740" s="7">
        <f>'1 prepared data'!F733</f>
        <v/>
      </c>
      <c r="H740" s="7">
        <f>'1 prepared data'!G733</f>
        <v/>
      </c>
      <c r="I740" s="7">
        <f>'1 prepared data'!H733</f>
        <v/>
      </c>
      <c r="J740" s="7">
        <f>'1 prepared data'!I733</f>
        <v/>
      </c>
      <c r="K740" s="7">
        <f>'1 prepared data'!J733</f>
        <v/>
      </c>
      <c r="L740" s="7">
        <f>'1 prepared data'!K733</f>
        <v/>
      </c>
      <c r="M740" s="7">
        <f>'1 prepared data'!L733</f>
        <v/>
      </c>
      <c r="N740" s="7">
        <f>'1 prepared data'!M733</f>
        <v/>
      </c>
      <c r="O740" s="7">
        <f>'1 prepared data'!N733</f>
        <v/>
      </c>
      <c r="P740" s="7">
        <f>'1 prepared data'!O733</f>
        <v/>
      </c>
      <c r="Q740" s="7">
        <f>'1 prepared data'!P733</f>
        <v/>
      </c>
      <c r="R740" s="7">
        <f>'1 prepared data'!Q733</f>
        <v/>
      </c>
      <c r="S740" s="7">
        <f>'1 prepared data'!R733</f>
        <v/>
      </c>
      <c r="T740" s="7">
        <f>'1 prepared data'!S733</f>
        <v/>
      </c>
      <c r="U740" s="7">
        <f>'1 prepared data'!T733</f>
        <v/>
      </c>
      <c r="V740" s="8">
        <f>$AC$12+D740*$AC$13+E740*$AC$14+F740*$AC$15+G740*$AC$16+H740*$AC$17+I740*$AC$18+J740*$AC$19+K740*$AC$20+L740*$AC$21+M740*$AC$22+N740*$AC$23+O740*$AC$24+P740*$AC$25+Q740*$AC$26+R740*$AC$27+S740*$AC$28+T740*$AC$29+U740*$AC$30</f>
        <v/>
      </c>
      <c r="W740" s="8">
        <f>1/(1+EXP(-V740))</f>
        <v/>
      </c>
      <c r="X740" s="9">
        <f>-IF(C740=1,LN(W740),LN(1-W740))</f>
        <v/>
      </c>
      <c r="Y740" s="10">
        <f>IF(W740&gt;$AC$33,1,0)</f>
        <v/>
      </c>
      <c r="Z740">
        <f>IF(Y740=C740,1,0)</f>
        <v/>
      </c>
    </row>
    <row r="741">
      <c r="A741">
        <f>'1 prepared data'!A734</f>
        <v/>
      </c>
      <c r="B741" s="5">
        <f>'1 prepared data'!U734</f>
        <v/>
      </c>
      <c r="C741">
        <f>'1 prepared data'!B734</f>
        <v/>
      </c>
      <c r="D741" s="7">
        <f>'1 prepared data'!C734</f>
        <v/>
      </c>
      <c r="E741" s="7">
        <f>'1 prepared data'!D734</f>
        <v/>
      </c>
      <c r="F741" s="7">
        <f>'1 prepared data'!E734</f>
        <v/>
      </c>
      <c r="G741" s="7">
        <f>'1 prepared data'!F734</f>
        <v/>
      </c>
      <c r="H741" s="7">
        <f>'1 prepared data'!G734</f>
        <v/>
      </c>
      <c r="I741" s="7">
        <f>'1 prepared data'!H734</f>
        <v/>
      </c>
      <c r="J741" s="7">
        <f>'1 prepared data'!I734</f>
        <v/>
      </c>
      <c r="K741" s="7">
        <f>'1 prepared data'!J734</f>
        <v/>
      </c>
      <c r="L741" s="7">
        <f>'1 prepared data'!K734</f>
        <v/>
      </c>
      <c r="M741" s="7">
        <f>'1 prepared data'!L734</f>
        <v/>
      </c>
      <c r="N741" s="7">
        <f>'1 prepared data'!M734</f>
        <v/>
      </c>
      <c r="O741" s="7">
        <f>'1 prepared data'!N734</f>
        <v/>
      </c>
      <c r="P741" s="7">
        <f>'1 prepared data'!O734</f>
        <v/>
      </c>
      <c r="Q741" s="7">
        <f>'1 prepared data'!P734</f>
        <v/>
      </c>
      <c r="R741" s="7">
        <f>'1 prepared data'!Q734</f>
        <v/>
      </c>
      <c r="S741" s="7">
        <f>'1 prepared data'!R734</f>
        <v/>
      </c>
      <c r="T741" s="7">
        <f>'1 prepared data'!S734</f>
        <v/>
      </c>
      <c r="U741" s="7">
        <f>'1 prepared data'!T734</f>
        <v/>
      </c>
      <c r="V741" s="8">
        <f>$AC$12+D741*$AC$13+E741*$AC$14+F741*$AC$15+G741*$AC$16+H741*$AC$17+I741*$AC$18+J741*$AC$19+K741*$AC$20+L741*$AC$21+M741*$AC$22+N741*$AC$23+O741*$AC$24+P741*$AC$25+Q741*$AC$26+R741*$AC$27+S741*$AC$28+T741*$AC$29+U741*$AC$30</f>
        <v/>
      </c>
      <c r="W741" s="8">
        <f>1/(1+EXP(-V741))</f>
        <v/>
      </c>
      <c r="X741" s="9">
        <f>-IF(C741=1,LN(W741),LN(1-W741))</f>
        <v/>
      </c>
      <c r="Y741" s="10">
        <f>IF(W741&gt;$AC$33,1,0)</f>
        <v/>
      </c>
      <c r="Z741">
        <f>IF(Y741=C741,1,0)</f>
        <v/>
      </c>
    </row>
    <row r="742">
      <c r="A742">
        <f>'1 prepared data'!A735</f>
        <v/>
      </c>
      <c r="B742" s="5">
        <f>'1 prepared data'!U735</f>
        <v/>
      </c>
      <c r="C742">
        <f>'1 prepared data'!B735</f>
        <v/>
      </c>
      <c r="D742" s="7">
        <f>'1 prepared data'!C735</f>
        <v/>
      </c>
      <c r="E742" s="7">
        <f>'1 prepared data'!D735</f>
        <v/>
      </c>
      <c r="F742" s="7">
        <f>'1 prepared data'!E735</f>
        <v/>
      </c>
      <c r="G742" s="7">
        <f>'1 prepared data'!F735</f>
        <v/>
      </c>
      <c r="H742" s="7">
        <f>'1 prepared data'!G735</f>
        <v/>
      </c>
      <c r="I742" s="7">
        <f>'1 prepared data'!H735</f>
        <v/>
      </c>
      <c r="J742" s="7">
        <f>'1 prepared data'!I735</f>
        <v/>
      </c>
      <c r="K742" s="7">
        <f>'1 prepared data'!J735</f>
        <v/>
      </c>
      <c r="L742" s="7">
        <f>'1 prepared data'!K735</f>
        <v/>
      </c>
      <c r="M742" s="7">
        <f>'1 prepared data'!L735</f>
        <v/>
      </c>
      <c r="N742" s="7">
        <f>'1 prepared data'!M735</f>
        <v/>
      </c>
      <c r="O742" s="7">
        <f>'1 prepared data'!N735</f>
        <v/>
      </c>
      <c r="P742" s="7">
        <f>'1 prepared data'!O735</f>
        <v/>
      </c>
      <c r="Q742" s="7">
        <f>'1 prepared data'!P735</f>
        <v/>
      </c>
      <c r="R742" s="7">
        <f>'1 prepared data'!Q735</f>
        <v/>
      </c>
      <c r="S742" s="7">
        <f>'1 prepared data'!R735</f>
        <v/>
      </c>
      <c r="T742" s="7">
        <f>'1 prepared data'!S735</f>
        <v/>
      </c>
      <c r="U742" s="7">
        <f>'1 prepared data'!T735</f>
        <v/>
      </c>
      <c r="V742" s="8">
        <f>$AC$12+D742*$AC$13+E742*$AC$14+F742*$AC$15+G742*$AC$16+H742*$AC$17+I742*$AC$18+J742*$AC$19+K742*$AC$20+L742*$AC$21+M742*$AC$22+N742*$AC$23+O742*$AC$24+P742*$AC$25+Q742*$AC$26+R742*$AC$27+S742*$AC$28+T742*$AC$29+U742*$AC$30</f>
        <v/>
      </c>
      <c r="W742" s="8">
        <f>1/(1+EXP(-V742))</f>
        <v/>
      </c>
      <c r="X742" s="9">
        <f>-IF(C742=1,LN(W742),LN(1-W742))</f>
        <v/>
      </c>
      <c r="Y742" s="10">
        <f>IF(W742&gt;$AC$33,1,0)</f>
        <v/>
      </c>
      <c r="Z742">
        <f>IF(Y742=C742,1,0)</f>
        <v/>
      </c>
    </row>
    <row r="743">
      <c r="A743">
        <f>'1 prepared data'!A736</f>
        <v/>
      </c>
      <c r="B743" s="5">
        <f>'1 prepared data'!U736</f>
        <v/>
      </c>
      <c r="C743">
        <f>'1 prepared data'!B736</f>
        <v/>
      </c>
      <c r="D743" s="7">
        <f>'1 prepared data'!C736</f>
        <v/>
      </c>
      <c r="E743" s="7">
        <f>'1 prepared data'!D736</f>
        <v/>
      </c>
      <c r="F743" s="7">
        <f>'1 prepared data'!E736</f>
        <v/>
      </c>
      <c r="G743" s="7">
        <f>'1 prepared data'!F736</f>
        <v/>
      </c>
      <c r="H743" s="7">
        <f>'1 prepared data'!G736</f>
        <v/>
      </c>
      <c r="I743" s="7">
        <f>'1 prepared data'!H736</f>
        <v/>
      </c>
      <c r="J743" s="7">
        <f>'1 prepared data'!I736</f>
        <v/>
      </c>
      <c r="K743" s="7">
        <f>'1 prepared data'!J736</f>
        <v/>
      </c>
      <c r="L743" s="7">
        <f>'1 prepared data'!K736</f>
        <v/>
      </c>
      <c r="M743" s="7">
        <f>'1 prepared data'!L736</f>
        <v/>
      </c>
      <c r="N743" s="7">
        <f>'1 prepared data'!M736</f>
        <v/>
      </c>
      <c r="O743" s="7">
        <f>'1 prepared data'!N736</f>
        <v/>
      </c>
      <c r="P743" s="7">
        <f>'1 prepared data'!O736</f>
        <v/>
      </c>
      <c r="Q743" s="7">
        <f>'1 prepared data'!P736</f>
        <v/>
      </c>
      <c r="R743" s="7">
        <f>'1 prepared data'!Q736</f>
        <v/>
      </c>
      <c r="S743" s="7">
        <f>'1 prepared data'!R736</f>
        <v/>
      </c>
      <c r="T743" s="7">
        <f>'1 prepared data'!S736</f>
        <v/>
      </c>
      <c r="U743" s="7">
        <f>'1 prepared data'!T736</f>
        <v/>
      </c>
      <c r="V743" s="8">
        <f>$AC$12+D743*$AC$13+E743*$AC$14+F743*$AC$15+G743*$AC$16+H743*$AC$17+I743*$AC$18+J743*$AC$19+K743*$AC$20+L743*$AC$21+M743*$AC$22+N743*$AC$23+O743*$AC$24+P743*$AC$25+Q743*$AC$26+R743*$AC$27+S743*$AC$28+T743*$AC$29+U743*$AC$30</f>
        <v/>
      </c>
      <c r="W743" s="8">
        <f>1/(1+EXP(-V743))</f>
        <v/>
      </c>
      <c r="X743" s="9">
        <f>-IF(C743=1,LN(W743),LN(1-W743))</f>
        <v/>
      </c>
      <c r="Y743" s="10">
        <f>IF(W743&gt;$AC$33,1,0)</f>
        <v/>
      </c>
      <c r="Z743">
        <f>IF(Y743=C743,1,0)</f>
        <v/>
      </c>
    </row>
    <row r="744">
      <c r="A744">
        <f>'1 prepared data'!A737</f>
        <v/>
      </c>
      <c r="B744" s="5">
        <f>'1 prepared data'!U737</f>
        <v/>
      </c>
      <c r="C744">
        <f>'1 prepared data'!B737</f>
        <v/>
      </c>
      <c r="D744" s="7">
        <f>'1 prepared data'!C737</f>
        <v/>
      </c>
      <c r="E744" s="7">
        <f>'1 prepared data'!D737</f>
        <v/>
      </c>
      <c r="F744" s="7">
        <f>'1 prepared data'!E737</f>
        <v/>
      </c>
      <c r="G744" s="7">
        <f>'1 prepared data'!F737</f>
        <v/>
      </c>
      <c r="H744" s="7">
        <f>'1 prepared data'!G737</f>
        <v/>
      </c>
      <c r="I744" s="7">
        <f>'1 prepared data'!H737</f>
        <v/>
      </c>
      <c r="J744" s="7">
        <f>'1 prepared data'!I737</f>
        <v/>
      </c>
      <c r="K744" s="7">
        <f>'1 prepared data'!J737</f>
        <v/>
      </c>
      <c r="L744" s="7">
        <f>'1 prepared data'!K737</f>
        <v/>
      </c>
      <c r="M744" s="7">
        <f>'1 prepared data'!L737</f>
        <v/>
      </c>
      <c r="N744" s="7">
        <f>'1 prepared data'!M737</f>
        <v/>
      </c>
      <c r="O744" s="7">
        <f>'1 prepared data'!N737</f>
        <v/>
      </c>
      <c r="P744" s="7">
        <f>'1 prepared data'!O737</f>
        <v/>
      </c>
      <c r="Q744" s="7">
        <f>'1 prepared data'!P737</f>
        <v/>
      </c>
      <c r="R744" s="7">
        <f>'1 prepared data'!Q737</f>
        <v/>
      </c>
      <c r="S744" s="7">
        <f>'1 prepared data'!R737</f>
        <v/>
      </c>
      <c r="T744" s="7">
        <f>'1 prepared data'!S737</f>
        <v/>
      </c>
      <c r="U744" s="7">
        <f>'1 prepared data'!T737</f>
        <v/>
      </c>
      <c r="V744" s="8">
        <f>$AC$12+D744*$AC$13+E744*$AC$14+F744*$AC$15+G744*$AC$16+H744*$AC$17+I744*$AC$18+J744*$AC$19+K744*$AC$20+L744*$AC$21+M744*$AC$22+N744*$AC$23+O744*$AC$24+P744*$AC$25+Q744*$AC$26+R744*$AC$27+S744*$AC$28+T744*$AC$29+U744*$AC$30</f>
        <v/>
      </c>
      <c r="W744" s="8">
        <f>1/(1+EXP(-V744))</f>
        <v/>
      </c>
      <c r="X744" s="9">
        <f>-IF(C744=1,LN(W744),LN(1-W744))</f>
        <v/>
      </c>
      <c r="Y744" s="10">
        <f>IF(W744&gt;$AC$33,1,0)</f>
        <v/>
      </c>
      <c r="Z744">
        <f>IF(Y744=C744,1,0)</f>
        <v/>
      </c>
    </row>
    <row r="745">
      <c r="A745">
        <f>'1 prepared data'!A738</f>
        <v/>
      </c>
      <c r="B745" s="5">
        <f>'1 prepared data'!U738</f>
        <v/>
      </c>
      <c r="C745">
        <f>'1 prepared data'!B738</f>
        <v/>
      </c>
      <c r="D745" s="7">
        <f>'1 prepared data'!C738</f>
        <v/>
      </c>
      <c r="E745" s="7">
        <f>'1 prepared data'!D738</f>
        <v/>
      </c>
      <c r="F745" s="7">
        <f>'1 prepared data'!E738</f>
        <v/>
      </c>
      <c r="G745" s="7">
        <f>'1 prepared data'!F738</f>
        <v/>
      </c>
      <c r="H745" s="7">
        <f>'1 prepared data'!G738</f>
        <v/>
      </c>
      <c r="I745" s="7">
        <f>'1 prepared data'!H738</f>
        <v/>
      </c>
      <c r="J745" s="7">
        <f>'1 prepared data'!I738</f>
        <v/>
      </c>
      <c r="K745" s="7">
        <f>'1 prepared data'!J738</f>
        <v/>
      </c>
      <c r="L745" s="7">
        <f>'1 prepared data'!K738</f>
        <v/>
      </c>
      <c r="M745" s="7">
        <f>'1 prepared data'!L738</f>
        <v/>
      </c>
      <c r="N745" s="7">
        <f>'1 prepared data'!M738</f>
        <v/>
      </c>
      <c r="O745" s="7">
        <f>'1 prepared data'!N738</f>
        <v/>
      </c>
      <c r="P745" s="7">
        <f>'1 prepared data'!O738</f>
        <v/>
      </c>
      <c r="Q745" s="7">
        <f>'1 prepared data'!P738</f>
        <v/>
      </c>
      <c r="R745" s="7">
        <f>'1 prepared data'!Q738</f>
        <v/>
      </c>
      <c r="S745" s="7">
        <f>'1 prepared data'!R738</f>
        <v/>
      </c>
      <c r="T745" s="7">
        <f>'1 prepared data'!S738</f>
        <v/>
      </c>
      <c r="U745" s="7">
        <f>'1 prepared data'!T738</f>
        <v/>
      </c>
      <c r="V745" s="8">
        <f>$AC$12+D745*$AC$13+E745*$AC$14+F745*$AC$15+G745*$AC$16+H745*$AC$17+I745*$AC$18+J745*$AC$19+K745*$AC$20+L745*$AC$21+M745*$AC$22+N745*$AC$23+O745*$AC$24+P745*$AC$25+Q745*$AC$26+R745*$AC$27+S745*$AC$28+T745*$AC$29+U745*$AC$30</f>
        <v/>
      </c>
      <c r="W745" s="8">
        <f>1/(1+EXP(-V745))</f>
        <v/>
      </c>
      <c r="X745" s="9">
        <f>-IF(C745=1,LN(W745),LN(1-W745))</f>
        <v/>
      </c>
      <c r="Y745" s="10">
        <f>IF(W745&gt;$AC$33,1,0)</f>
        <v/>
      </c>
      <c r="Z745">
        <f>IF(Y745=C745,1,0)</f>
        <v/>
      </c>
    </row>
    <row r="746">
      <c r="A746">
        <f>'1 prepared data'!A739</f>
        <v/>
      </c>
      <c r="B746" s="5">
        <f>'1 prepared data'!U739</f>
        <v/>
      </c>
      <c r="C746">
        <f>'1 prepared data'!B739</f>
        <v/>
      </c>
      <c r="D746" s="7">
        <f>'1 prepared data'!C739</f>
        <v/>
      </c>
      <c r="E746" s="7">
        <f>'1 prepared data'!D739</f>
        <v/>
      </c>
      <c r="F746" s="7">
        <f>'1 prepared data'!E739</f>
        <v/>
      </c>
      <c r="G746" s="7">
        <f>'1 prepared data'!F739</f>
        <v/>
      </c>
      <c r="H746" s="7">
        <f>'1 prepared data'!G739</f>
        <v/>
      </c>
      <c r="I746" s="7">
        <f>'1 prepared data'!H739</f>
        <v/>
      </c>
      <c r="J746" s="7">
        <f>'1 prepared data'!I739</f>
        <v/>
      </c>
      <c r="K746" s="7">
        <f>'1 prepared data'!J739</f>
        <v/>
      </c>
      <c r="L746" s="7">
        <f>'1 prepared data'!K739</f>
        <v/>
      </c>
      <c r="M746" s="7">
        <f>'1 prepared data'!L739</f>
        <v/>
      </c>
      <c r="N746" s="7">
        <f>'1 prepared data'!M739</f>
        <v/>
      </c>
      <c r="O746" s="7">
        <f>'1 prepared data'!N739</f>
        <v/>
      </c>
      <c r="P746" s="7">
        <f>'1 prepared data'!O739</f>
        <v/>
      </c>
      <c r="Q746" s="7">
        <f>'1 prepared data'!P739</f>
        <v/>
      </c>
      <c r="R746" s="7">
        <f>'1 prepared data'!Q739</f>
        <v/>
      </c>
      <c r="S746" s="7">
        <f>'1 prepared data'!R739</f>
        <v/>
      </c>
      <c r="T746" s="7">
        <f>'1 prepared data'!S739</f>
        <v/>
      </c>
      <c r="U746" s="7">
        <f>'1 prepared data'!T739</f>
        <v/>
      </c>
      <c r="V746" s="8">
        <f>$AC$12+D746*$AC$13+E746*$AC$14+F746*$AC$15+G746*$AC$16+H746*$AC$17+I746*$AC$18+J746*$AC$19+K746*$AC$20+L746*$AC$21+M746*$AC$22+N746*$AC$23+O746*$AC$24+P746*$AC$25+Q746*$AC$26+R746*$AC$27+S746*$AC$28+T746*$AC$29+U746*$AC$30</f>
        <v/>
      </c>
      <c r="W746" s="8">
        <f>1/(1+EXP(-V746))</f>
        <v/>
      </c>
      <c r="X746" s="9">
        <f>-IF(C746=1,LN(W746),LN(1-W746))</f>
        <v/>
      </c>
      <c r="Y746" s="10">
        <f>IF(W746&gt;$AC$33,1,0)</f>
        <v/>
      </c>
      <c r="Z746">
        <f>IF(Y746=C746,1,0)</f>
        <v/>
      </c>
    </row>
    <row r="747">
      <c r="A747">
        <f>'1 prepared data'!A740</f>
        <v/>
      </c>
      <c r="B747" s="5">
        <f>'1 prepared data'!U740</f>
        <v/>
      </c>
      <c r="C747">
        <f>'1 prepared data'!B740</f>
        <v/>
      </c>
      <c r="D747" s="7">
        <f>'1 prepared data'!C740</f>
        <v/>
      </c>
      <c r="E747" s="7">
        <f>'1 prepared data'!D740</f>
        <v/>
      </c>
      <c r="F747" s="7">
        <f>'1 prepared data'!E740</f>
        <v/>
      </c>
      <c r="G747" s="7">
        <f>'1 prepared data'!F740</f>
        <v/>
      </c>
      <c r="H747" s="7">
        <f>'1 prepared data'!G740</f>
        <v/>
      </c>
      <c r="I747" s="7">
        <f>'1 prepared data'!H740</f>
        <v/>
      </c>
      <c r="J747" s="7">
        <f>'1 prepared data'!I740</f>
        <v/>
      </c>
      <c r="K747" s="7">
        <f>'1 prepared data'!J740</f>
        <v/>
      </c>
      <c r="L747" s="7">
        <f>'1 prepared data'!K740</f>
        <v/>
      </c>
      <c r="M747" s="7">
        <f>'1 prepared data'!L740</f>
        <v/>
      </c>
      <c r="N747" s="7">
        <f>'1 prepared data'!M740</f>
        <v/>
      </c>
      <c r="O747" s="7">
        <f>'1 prepared data'!N740</f>
        <v/>
      </c>
      <c r="P747" s="7">
        <f>'1 prepared data'!O740</f>
        <v/>
      </c>
      <c r="Q747" s="7">
        <f>'1 prepared data'!P740</f>
        <v/>
      </c>
      <c r="R747" s="7">
        <f>'1 prepared data'!Q740</f>
        <v/>
      </c>
      <c r="S747" s="7">
        <f>'1 prepared data'!R740</f>
        <v/>
      </c>
      <c r="T747" s="7">
        <f>'1 prepared data'!S740</f>
        <v/>
      </c>
      <c r="U747" s="7">
        <f>'1 prepared data'!T740</f>
        <v/>
      </c>
      <c r="V747" s="8">
        <f>$AC$12+D747*$AC$13+E747*$AC$14+F747*$AC$15+G747*$AC$16+H747*$AC$17+I747*$AC$18+J747*$AC$19+K747*$AC$20+L747*$AC$21+M747*$AC$22+N747*$AC$23+O747*$AC$24+P747*$AC$25+Q747*$AC$26+R747*$AC$27+S747*$AC$28+T747*$AC$29+U747*$AC$30</f>
        <v/>
      </c>
      <c r="W747" s="8">
        <f>1/(1+EXP(-V747))</f>
        <v/>
      </c>
      <c r="X747" s="9">
        <f>-IF(C747=1,LN(W747),LN(1-W747))</f>
        <v/>
      </c>
      <c r="Y747" s="10">
        <f>IF(W747&gt;$AC$33,1,0)</f>
        <v/>
      </c>
      <c r="Z747">
        <f>IF(Y747=C747,1,0)</f>
        <v/>
      </c>
    </row>
    <row r="748">
      <c r="A748">
        <f>'1 prepared data'!A741</f>
        <v/>
      </c>
      <c r="B748" s="5">
        <f>'1 prepared data'!U741</f>
        <v/>
      </c>
      <c r="C748">
        <f>'1 prepared data'!B741</f>
        <v/>
      </c>
      <c r="D748" s="7">
        <f>'1 prepared data'!C741</f>
        <v/>
      </c>
      <c r="E748" s="7">
        <f>'1 prepared data'!D741</f>
        <v/>
      </c>
      <c r="F748" s="7">
        <f>'1 prepared data'!E741</f>
        <v/>
      </c>
      <c r="G748" s="7">
        <f>'1 prepared data'!F741</f>
        <v/>
      </c>
      <c r="H748" s="7">
        <f>'1 prepared data'!G741</f>
        <v/>
      </c>
      <c r="I748" s="7">
        <f>'1 prepared data'!H741</f>
        <v/>
      </c>
      <c r="J748" s="7">
        <f>'1 prepared data'!I741</f>
        <v/>
      </c>
      <c r="K748" s="7">
        <f>'1 prepared data'!J741</f>
        <v/>
      </c>
      <c r="L748" s="7">
        <f>'1 prepared data'!K741</f>
        <v/>
      </c>
      <c r="M748" s="7">
        <f>'1 prepared data'!L741</f>
        <v/>
      </c>
      <c r="N748" s="7">
        <f>'1 prepared data'!M741</f>
        <v/>
      </c>
      <c r="O748" s="7">
        <f>'1 prepared data'!N741</f>
        <v/>
      </c>
      <c r="P748" s="7">
        <f>'1 prepared data'!O741</f>
        <v/>
      </c>
      <c r="Q748" s="7">
        <f>'1 prepared data'!P741</f>
        <v/>
      </c>
      <c r="R748" s="7">
        <f>'1 prepared data'!Q741</f>
        <v/>
      </c>
      <c r="S748" s="7">
        <f>'1 prepared data'!R741</f>
        <v/>
      </c>
      <c r="T748" s="7">
        <f>'1 prepared data'!S741</f>
        <v/>
      </c>
      <c r="U748" s="7">
        <f>'1 prepared data'!T741</f>
        <v/>
      </c>
      <c r="V748" s="8">
        <f>$AC$12+D748*$AC$13+E748*$AC$14+F748*$AC$15+G748*$AC$16+H748*$AC$17+I748*$AC$18+J748*$AC$19+K748*$AC$20+L748*$AC$21+M748*$AC$22+N748*$AC$23+O748*$AC$24+P748*$AC$25+Q748*$AC$26+R748*$AC$27+S748*$AC$28+T748*$AC$29+U748*$AC$30</f>
        <v/>
      </c>
      <c r="W748" s="8">
        <f>1/(1+EXP(-V748))</f>
        <v/>
      </c>
      <c r="X748" s="9">
        <f>-IF(C748=1,LN(W748),LN(1-W748))</f>
        <v/>
      </c>
      <c r="Y748" s="10">
        <f>IF(W748&gt;$AC$33,1,0)</f>
        <v/>
      </c>
      <c r="Z748">
        <f>IF(Y748=C748,1,0)</f>
        <v/>
      </c>
    </row>
    <row r="749">
      <c r="A749">
        <f>'1 prepared data'!A742</f>
        <v/>
      </c>
      <c r="B749" s="5">
        <f>'1 prepared data'!U742</f>
        <v/>
      </c>
      <c r="C749">
        <f>'1 prepared data'!B742</f>
        <v/>
      </c>
      <c r="D749" s="7">
        <f>'1 prepared data'!C742</f>
        <v/>
      </c>
      <c r="E749" s="7">
        <f>'1 prepared data'!D742</f>
        <v/>
      </c>
      <c r="F749" s="7">
        <f>'1 prepared data'!E742</f>
        <v/>
      </c>
      <c r="G749" s="7">
        <f>'1 prepared data'!F742</f>
        <v/>
      </c>
      <c r="H749" s="7">
        <f>'1 prepared data'!G742</f>
        <v/>
      </c>
      <c r="I749" s="7">
        <f>'1 prepared data'!H742</f>
        <v/>
      </c>
      <c r="J749" s="7">
        <f>'1 prepared data'!I742</f>
        <v/>
      </c>
      <c r="K749" s="7">
        <f>'1 prepared data'!J742</f>
        <v/>
      </c>
      <c r="L749" s="7">
        <f>'1 prepared data'!K742</f>
        <v/>
      </c>
      <c r="M749" s="7">
        <f>'1 prepared data'!L742</f>
        <v/>
      </c>
      <c r="N749" s="7">
        <f>'1 prepared data'!M742</f>
        <v/>
      </c>
      <c r="O749" s="7">
        <f>'1 prepared data'!N742</f>
        <v/>
      </c>
      <c r="P749" s="7">
        <f>'1 prepared data'!O742</f>
        <v/>
      </c>
      <c r="Q749" s="7">
        <f>'1 prepared data'!P742</f>
        <v/>
      </c>
      <c r="R749" s="7">
        <f>'1 prepared data'!Q742</f>
        <v/>
      </c>
      <c r="S749" s="7">
        <f>'1 prepared data'!R742</f>
        <v/>
      </c>
      <c r="T749" s="7">
        <f>'1 prepared data'!S742</f>
        <v/>
      </c>
      <c r="U749" s="7">
        <f>'1 prepared data'!T742</f>
        <v/>
      </c>
      <c r="V749" s="8">
        <f>$AC$12+D749*$AC$13+E749*$AC$14+F749*$AC$15+G749*$AC$16+H749*$AC$17+I749*$AC$18+J749*$AC$19+K749*$AC$20+L749*$AC$21+M749*$AC$22+N749*$AC$23+O749*$AC$24+P749*$AC$25+Q749*$AC$26+R749*$AC$27+S749*$AC$28+T749*$AC$29+U749*$AC$30</f>
        <v/>
      </c>
      <c r="W749" s="8">
        <f>1/(1+EXP(-V749))</f>
        <v/>
      </c>
      <c r="X749" s="9">
        <f>-IF(C749=1,LN(W749),LN(1-W749))</f>
        <v/>
      </c>
      <c r="Y749" s="10">
        <f>IF(W749&gt;$AC$33,1,0)</f>
        <v/>
      </c>
      <c r="Z749">
        <f>IF(Y749=C749,1,0)</f>
        <v/>
      </c>
    </row>
    <row r="750">
      <c r="A750">
        <f>'1 prepared data'!A743</f>
        <v/>
      </c>
      <c r="B750" s="5">
        <f>'1 prepared data'!U743</f>
        <v/>
      </c>
      <c r="C750">
        <f>'1 prepared data'!B743</f>
        <v/>
      </c>
      <c r="D750" s="7">
        <f>'1 prepared data'!C743</f>
        <v/>
      </c>
      <c r="E750" s="7">
        <f>'1 prepared data'!D743</f>
        <v/>
      </c>
      <c r="F750" s="7">
        <f>'1 prepared data'!E743</f>
        <v/>
      </c>
      <c r="G750" s="7">
        <f>'1 prepared data'!F743</f>
        <v/>
      </c>
      <c r="H750" s="7">
        <f>'1 prepared data'!G743</f>
        <v/>
      </c>
      <c r="I750" s="7">
        <f>'1 prepared data'!H743</f>
        <v/>
      </c>
      <c r="J750" s="7">
        <f>'1 prepared data'!I743</f>
        <v/>
      </c>
      <c r="K750" s="7">
        <f>'1 prepared data'!J743</f>
        <v/>
      </c>
      <c r="L750" s="7">
        <f>'1 prepared data'!K743</f>
        <v/>
      </c>
      <c r="M750" s="7">
        <f>'1 prepared data'!L743</f>
        <v/>
      </c>
      <c r="N750" s="7">
        <f>'1 prepared data'!M743</f>
        <v/>
      </c>
      <c r="O750" s="7">
        <f>'1 prepared data'!N743</f>
        <v/>
      </c>
      <c r="P750" s="7">
        <f>'1 prepared data'!O743</f>
        <v/>
      </c>
      <c r="Q750" s="7">
        <f>'1 prepared data'!P743</f>
        <v/>
      </c>
      <c r="R750" s="7">
        <f>'1 prepared data'!Q743</f>
        <v/>
      </c>
      <c r="S750" s="7">
        <f>'1 prepared data'!R743</f>
        <v/>
      </c>
      <c r="T750" s="7">
        <f>'1 prepared data'!S743</f>
        <v/>
      </c>
      <c r="U750" s="7">
        <f>'1 prepared data'!T743</f>
        <v/>
      </c>
      <c r="V750" s="8">
        <f>$AC$12+D750*$AC$13+E750*$AC$14+F750*$AC$15+G750*$AC$16+H750*$AC$17+I750*$AC$18+J750*$AC$19+K750*$AC$20+L750*$AC$21+M750*$AC$22+N750*$AC$23+O750*$AC$24+P750*$AC$25+Q750*$AC$26+R750*$AC$27+S750*$AC$28+T750*$AC$29+U750*$AC$30</f>
        <v/>
      </c>
      <c r="W750" s="8">
        <f>1/(1+EXP(-V750))</f>
        <v/>
      </c>
      <c r="X750" s="9">
        <f>-IF(C750=1,LN(W750),LN(1-W750))</f>
        <v/>
      </c>
      <c r="Y750" s="10">
        <f>IF(W750&gt;$AC$33,1,0)</f>
        <v/>
      </c>
      <c r="Z750">
        <f>IF(Y750=C750,1,0)</f>
        <v/>
      </c>
    </row>
    <row r="751">
      <c r="A751">
        <f>'1 prepared data'!A744</f>
        <v/>
      </c>
      <c r="B751" s="5">
        <f>'1 prepared data'!U744</f>
        <v/>
      </c>
      <c r="C751">
        <f>'1 prepared data'!B744</f>
        <v/>
      </c>
      <c r="D751" s="7">
        <f>'1 prepared data'!C744</f>
        <v/>
      </c>
      <c r="E751" s="7">
        <f>'1 prepared data'!D744</f>
        <v/>
      </c>
      <c r="F751" s="7">
        <f>'1 prepared data'!E744</f>
        <v/>
      </c>
      <c r="G751" s="7">
        <f>'1 prepared data'!F744</f>
        <v/>
      </c>
      <c r="H751" s="7">
        <f>'1 prepared data'!G744</f>
        <v/>
      </c>
      <c r="I751" s="7">
        <f>'1 prepared data'!H744</f>
        <v/>
      </c>
      <c r="J751" s="7">
        <f>'1 prepared data'!I744</f>
        <v/>
      </c>
      <c r="K751" s="7">
        <f>'1 prepared data'!J744</f>
        <v/>
      </c>
      <c r="L751" s="7">
        <f>'1 prepared data'!K744</f>
        <v/>
      </c>
      <c r="M751" s="7">
        <f>'1 prepared data'!L744</f>
        <v/>
      </c>
      <c r="N751" s="7">
        <f>'1 prepared data'!M744</f>
        <v/>
      </c>
      <c r="O751" s="7">
        <f>'1 prepared data'!N744</f>
        <v/>
      </c>
      <c r="P751" s="7">
        <f>'1 prepared data'!O744</f>
        <v/>
      </c>
      <c r="Q751" s="7">
        <f>'1 prepared data'!P744</f>
        <v/>
      </c>
      <c r="R751" s="7">
        <f>'1 prepared data'!Q744</f>
        <v/>
      </c>
      <c r="S751" s="7">
        <f>'1 prepared data'!R744</f>
        <v/>
      </c>
      <c r="T751" s="7">
        <f>'1 prepared data'!S744</f>
        <v/>
      </c>
      <c r="U751" s="7">
        <f>'1 prepared data'!T744</f>
        <v/>
      </c>
      <c r="V751" s="8">
        <f>$AC$12+D751*$AC$13+E751*$AC$14+F751*$AC$15+G751*$AC$16+H751*$AC$17+I751*$AC$18+J751*$AC$19+K751*$AC$20+L751*$AC$21+M751*$AC$22+N751*$AC$23+O751*$AC$24+P751*$AC$25+Q751*$AC$26+R751*$AC$27+S751*$AC$28+T751*$AC$29+U751*$AC$30</f>
        <v/>
      </c>
      <c r="W751" s="8">
        <f>1/(1+EXP(-V751))</f>
        <v/>
      </c>
      <c r="X751" s="9">
        <f>-IF(C751=1,LN(W751),LN(1-W751))</f>
        <v/>
      </c>
      <c r="Y751" s="10">
        <f>IF(W751&gt;$AC$33,1,0)</f>
        <v/>
      </c>
      <c r="Z751">
        <f>IF(Y751=C751,1,0)</f>
        <v/>
      </c>
    </row>
    <row r="752">
      <c r="A752">
        <f>'1 prepared data'!A745</f>
        <v/>
      </c>
      <c r="B752" s="5">
        <f>'1 prepared data'!U745</f>
        <v/>
      </c>
      <c r="C752">
        <f>'1 prepared data'!B745</f>
        <v/>
      </c>
      <c r="D752" s="7">
        <f>'1 prepared data'!C745</f>
        <v/>
      </c>
      <c r="E752" s="7">
        <f>'1 prepared data'!D745</f>
        <v/>
      </c>
      <c r="F752" s="7">
        <f>'1 prepared data'!E745</f>
        <v/>
      </c>
      <c r="G752" s="7">
        <f>'1 prepared data'!F745</f>
        <v/>
      </c>
      <c r="H752" s="7">
        <f>'1 prepared data'!G745</f>
        <v/>
      </c>
      <c r="I752" s="7">
        <f>'1 prepared data'!H745</f>
        <v/>
      </c>
      <c r="J752" s="7">
        <f>'1 prepared data'!I745</f>
        <v/>
      </c>
      <c r="K752" s="7">
        <f>'1 prepared data'!J745</f>
        <v/>
      </c>
      <c r="L752" s="7">
        <f>'1 prepared data'!K745</f>
        <v/>
      </c>
      <c r="M752" s="7">
        <f>'1 prepared data'!L745</f>
        <v/>
      </c>
      <c r="N752" s="7">
        <f>'1 prepared data'!M745</f>
        <v/>
      </c>
      <c r="O752" s="7">
        <f>'1 prepared data'!N745</f>
        <v/>
      </c>
      <c r="P752" s="7">
        <f>'1 prepared data'!O745</f>
        <v/>
      </c>
      <c r="Q752" s="7">
        <f>'1 prepared data'!P745</f>
        <v/>
      </c>
      <c r="R752" s="7">
        <f>'1 prepared data'!Q745</f>
        <v/>
      </c>
      <c r="S752" s="7">
        <f>'1 prepared data'!R745</f>
        <v/>
      </c>
      <c r="T752" s="7">
        <f>'1 prepared data'!S745</f>
        <v/>
      </c>
      <c r="U752" s="7">
        <f>'1 prepared data'!T745</f>
        <v/>
      </c>
      <c r="V752" s="8">
        <f>$AC$12+D752*$AC$13+E752*$AC$14+F752*$AC$15+G752*$AC$16+H752*$AC$17+I752*$AC$18+J752*$AC$19+K752*$AC$20+L752*$AC$21+M752*$AC$22+N752*$AC$23+O752*$AC$24+P752*$AC$25+Q752*$AC$26+R752*$AC$27+S752*$AC$28+T752*$AC$29+U752*$AC$30</f>
        <v/>
      </c>
      <c r="W752" s="8">
        <f>1/(1+EXP(-V752))</f>
        <v/>
      </c>
      <c r="X752" s="9">
        <f>-IF(C752=1,LN(W752),LN(1-W752))</f>
        <v/>
      </c>
      <c r="Y752" s="10">
        <f>IF(W752&gt;$AC$33,1,0)</f>
        <v/>
      </c>
      <c r="Z752">
        <f>IF(Y752=C752,1,0)</f>
        <v/>
      </c>
    </row>
    <row r="753">
      <c r="A753">
        <f>'1 prepared data'!A746</f>
        <v/>
      </c>
      <c r="B753" s="5">
        <f>'1 prepared data'!U746</f>
        <v/>
      </c>
      <c r="C753">
        <f>'1 prepared data'!B746</f>
        <v/>
      </c>
      <c r="D753" s="7">
        <f>'1 prepared data'!C746</f>
        <v/>
      </c>
      <c r="E753" s="7">
        <f>'1 prepared data'!D746</f>
        <v/>
      </c>
      <c r="F753" s="7">
        <f>'1 prepared data'!E746</f>
        <v/>
      </c>
      <c r="G753" s="7">
        <f>'1 prepared data'!F746</f>
        <v/>
      </c>
      <c r="H753" s="7">
        <f>'1 prepared data'!G746</f>
        <v/>
      </c>
      <c r="I753" s="7">
        <f>'1 prepared data'!H746</f>
        <v/>
      </c>
      <c r="J753" s="7">
        <f>'1 prepared data'!I746</f>
        <v/>
      </c>
      <c r="K753" s="7">
        <f>'1 prepared data'!J746</f>
        <v/>
      </c>
      <c r="L753" s="7">
        <f>'1 prepared data'!K746</f>
        <v/>
      </c>
      <c r="M753" s="7">
        <f>'1 prepared data'!L746</f>
        <v/>
      </c>
      <c r="N753" s="7">
        <f>'1 prepared data'!M746</f>
        <v/>
      </c>
      <c r="O753" s="7">
        <f>'1 prepared data'!N746</f>
        <v/>
      </c>
      <c r="P753" s="7">
        <f>'1 prepared data'!O746</f>
        <v/>
      </c>
      <c r="Q753" s="7">
        <f>'1 prepared data'!P746</f>
        <v/>
      </c>
      <c r="R753" s="7">
        <f>'1 prepared data'!Q746</f>
        <v/>
      </c>
      <c r="S753" s="7">
        <f>'1 prepared data'!R746</f>
        <v/>
      </c>
      <c r="T753" s="7">
        <f>'1 prepared data'!S746</f>
        <v/>
      </c>
      <c r="U753" s="7">
        <f>'1 prepared data'!T746</f>
        <v/>
      </c>
      <c r="V753" s="8">
        <f>$AC$12+D753*$AC$13+E753*$AC$14+F753*$AC$15+G753*$AC$16+H753*$AC$17+I753*$AC$18+J753*$AC$19+K753*$AC$20+L753*$AC$21+M753*$AC$22+N753*$AC$23+O753*$AC$24+P753*$AC$25+Q753*$AC$26+R753*$AC$27+S753*$AC$28+T753*$AC$29+U753*$AC$30</f>
        <v/>
      </c>
      <c r="W753" s="8">
        <f>1/(1+EXP(-V753))</f>
        <v/>
      </c>
      <c r="X753" s="9">
        <f>-IF(C753=1,LN(W753),LN(1-W753))</f>
        <v/>
      </c>
      <c r="Y753" s="10">
        <f>IF(W753&gt;$AC$33,1,0)</f>
        <v/>
      </c>
      <c r="Z753">
        <f>IF(Y753=C753,1,0)</f>
        <v/>
      </c>
    </row>
    <row r="754">
      <c r="A754">
        <f>'1 prepared data'!A747</f>
        <v/>
      </c>
      <c r="B754" s="5">
        <f>'1 prepared data'!U747</f>
        <v/>
      </c>
      <c r="C754">
        <f>'1 prepared data'!B747</f>
        <v/>
      </c>
      <c r="D754" s="7">
        <f>'1 prepared data'!C747</f>
        <v/>
      </c>
      <c r="E754" s="7">
        <f>'1 prepared data'!D747</f>
        <v/>
      </c>
      <c r="F754" s="7">
        <f>'1 prepared data'!E747</f>
        <v/>
      </c>
      <c r="G754" s="7">
        <f>'1 prepared data'!F747</f>
        <v/>
      </c>
      <c r="H754" s="7">
        <f>'1 prepared data'!G747</f>
        <v/>
      </c>
      <c r="I754" s="7">
        <f>'1 prepared data'!H747</f>
        <v/>
      </c>
      <c r="J754" s="7">
        <f>'1 prepared data'!I747</f>
        <v/>
      </c>
      <c r="K754" s="7">
        <f>'1 prepared data'!J747</f>
        <v/>
      </c>
      <c r="L754" s="7">
        <f>'1 prepared data'!K747</f>
        <v/>
      </c>
      <c r="M754" s="7">
        <f>'1 prepared data'!L747</f>
        <v/>
      </c>
      <c r="N754" s="7">
        <f>'1 prepared data'!M747</f>
        <v/>
      </c>
      <c r="O754" s="7">
        <f>'1 prepared data'!N747</f>
        <v/>
      </c>
      <c r="P754" s="7">
        <f>'1 prepared data'!O747</f>
        <v/>
      </c>
      <c r="Q754" s="7">
        <f>'1 prepared data'!P747</f>
        <v/>
      </c>
      <c r="R754" s="7">
        <f>'1 prepared data'!Q747</f>
        <v/>
      </c>
      <c r="S754" s="7">
        <f>'1 prepared data'!R747</f>
        <v/>
      </c>
      <c r="T754" s="7">
        <f>'1 prepared data'!S747</f>
        <v/>
      </c>
      <c r="U754" s="7">
        <f>'1 prepared data'!T747</f>
        <v/>
      </c>
      <c r="V754" s="8">
        <f>$AC$12+D754*$AC$13+E754*$AC$14+F754*$AC$15+G754*$AC$16+H754*$AC$17+I754*$AC$18+J754*$AC$19+K754*$AC$20+L754*$AC$21+M754*$AC$22+N754*$AC$23+O754*$AC$24+P754*$AC$25+Q754*$AC$26+R754*$AC$27+S754*$AC$28+T754*$AC$29+U754*$AC$30</f>
        <v/>
      </c>
      <c r="W754" s="8">
        <f>1/(1+EXP(-V754))</f>
        <v/>
      </c>
      <c r="X754" s="9">
        <f>-IF(C754=1,LN(W754),LN(1-W754))</f>
        <v/>
      </c>
      <c r="Y754" s="10">
        <f>IF(W754&gt;$AC$33,1,0)</f>
        <v/>
      </c>
      <c r="Z754">
        <f>IF(Y754=C754,1,0)</f>
        <v/>
      </c>
    </row>
    <row r="755">
      <c r="A755">
        <f>'1 prepared data'!A748</f>
        <v/>
      </c>
      <c r="B755" s="5">
        <f>'1 prepared data'!U748</f>
        <v/>
      </c>
      <c r="C755">
        <f>'1 prepared data'!B748</f>
        <v/>
      </c>
      <c r="D755" s="7">
        <f>'1 prepared data'!C748</f>
        <v/>
      </c>
      <c r="E755" s="7">
        <f>'1 prepared data'!D748</f>
        <v/>
      </c>
      <c r="F755" s="7">
        <f>'1 prepared data'!E748</f>
        <v/>
      </c>
      <c r="G755" s="7">
        <f>'1 prepared data'!F748</f>
        <v/>
      </c>
      <c r="H755" s="7">
        <f>'1 prepared data'!G748</f>
        <v/>
      </c>
      <c r="I755" s="7">
        <f>'1 prepared data'!H748</f>
        <v/>
      </c>
      <c r="J755" s="7">
        <f>'1 prepared data'!I748</f>
        <v/>
      </c>
      <c r="K755" s="7">
        <f>'1 prepared data'!J748</f>
        <v/>
      </c>
      <c r="L755" s="7">
        <f>'1 prepared data'!K748</f>
        <v/>
      </c>
      <c r="M755" s="7">
        <f>'1 prepared data'!L748</f>
        <v/>
      </c>
      <c r="N755" s="7">
        <f>'1 prepared data'!M748</f>
        <v/>
      </c>
      <c r="O755" s="7">
        <f>'1 prepared data'!N748</f>
        <v/>
      </c>
      <c r="P755" s="7">
        <f>'1 prepared data'!O748</f>
        <v/>
      </c>
      <c r="Q755" s="7">
        <f>'1 prepared data'!P748</f>
        <v/>
      </c>
      <c r="R755" s="7">
        <f>'1 prepared data'!Q748</f>
        <v/>
      </c>
      <c r="S755" s="7">
        <f>'1 prepared data'!R748</f>
        <v/>
      </c>
      <c r="T755" s="7">
        <f>'1 prepared data'!S748</f>
        <v/>
      </c>
      <c r="U755" s="7">
        <f>'1 prepared data'!T748</f>
        <v/>
      </c>
      <c r="V755" s="8">
        <f>$AC$12+D755*$AC$13+E755*$AC$14+F755*$AC$15+G755*$AC$16+H755*$AC$17+I755*$AC$18+J755*$AC$19+K755*$AC$20+L755*$AC$21+M755*$AC$22+N755*$AC$23+O755*$AC$24+P755*$AC$25+Q755*$AC$26+R755*$AC$27+S755*$AC$28+T755*$AC$29+U755*$AC$30</f>
        <v/>
      </c>
      <c r="W755" s="8">
        <f>1/(1+EXP(-V755))</f>
        <v/>
      </c>
      <c r="X755" s="9">
        <f>-IF(C755=1,LN(W755),LN(1-W755))</f>
        <v/>
      </c>
      <c r="Y755" s="10">
        <f>IF(W755&gt;$AC$33,1,0)</f>
        <v/>
      </c>
      <c r="Z755">
        <f>IF(Y755=C755,1,0)</f>
        <v/>
      </c>
    </row>
    <row r="756">
      <c r="A756">
        <f>'1 prepared data'!A749</f>
        <v/>
      </c>
      <c r="B756" s="5">
        <f>'1 prepared data'!U749</f>
        <v/>
      </c>
      <c r="C756">
        <f>'1 prepared data'!B749</f>
        <v/>
      </c>
      <c r="D756" s="7">
        <f>'1 prepared data'!C749</f>
        <v/>
      </c>
      <c r="E756" s="7">
        <f>'1 prepared data'!D749</f>
        <v/>
      </c>
      <c r="F756" s="7">
        <f>'1 prepared data'!E749</f>
        <v/>
      </c>
      <c r="G756" s="7">
        <f>'1 prepared data'!F749</f>
        <v/>
      </c>
      <c r="H756" s="7">
        <f>'1 prepared data'!G749</f>
        <v/>
      </c>
      <c r="I756" s="7">
        <f>'1 prepared data'!H749</f>
        <v/>
      </c>
      <c r="J756" s="7">
        <f>'1 prepared data'!I749</f>
        <v/>
      </c>
      <c r="K756" s="7">
        <f>'1 prepared data'!J749</f>
        <v/>
      </c>
      <c r="L756" s="7">
        <f>'1 prepared data'!K749</f>
        <v/>
      </c>
      <c r="M756" s="7">
        <f>'1 prepared data'!L749</f>
        <v/>
      </c>
      <c r="N756" s="7">
        <f>'1 prepared data'!M749</f>
        <v/>
      </c>
      <c r="O756" s="7">
        <f>'1 prepared data'!N749</f>
        <v/>
      </c>
      <c r="P756" s="7">
        <f>'1 prepared data'!O749</f>
        <v/>
      </c>
      <c r="Q756" s="7">
        <f>'1 prepared data'!P749</f>
        <v/>
      </c>
      <c r="R756" s="7">
        <f>'1 prepared data'!Q749</f>
        <v/>
      </c>
      <c r="S756" s="7">
        <f>'1 prepared data'!R749</f>
        <v/>
      </c>
      <c r="T756" s="7">
        <f>'1 prepared data'!S749</f>
        <v/>
      </c>
      <c r="U756" s="7">
        <f>'1 prepared data'!T749</f>
        <v/>
      </c>
      <c r="V756" s="8">
        <f>$AC$12+D756*$AC$13+E756*$AC$14+F756*$AC$15+G756*$AC$16+H756*$AC$17+I756*$AC$18+J756*$AC$19+K756*$AC$20+L756*$AC$21+M756*$AC$22+N756*$AC$23+O756*$AC$24+P756*$AC$25+Q756*$AC$26+R756*$AC$27+S756*$AC$28+T756*$AC$29+U756*$AC$30</f>
        <v/>
      </c>
      <c r="W756" s="8">
        <f>1/(1+EXP(-V756))</f>
        <v/>
      </c>
      <c r="X756" s="9">
        <f>-IF(C756=1,LN(W756),LN(1-W756))</f>
        <v/>
      </c>
      <c r="Y756" s="10">
        <f>IF(W756&gt;$AC$33,1,0)</f>
        <v/>
      </c>
      <c r="Z756">
        <f>IF(Y756=C756,1,0)</f>
        <v/>
      </c>
    </row>
    <row r="757">
      <c r="A757">
        <f>'1 prepared data'!A750</f>
        <v/>
      </c>
      <c r="B757" s="5">
        <f>'1 prepared data'!U750</f>
        <v/>
      </c>
      <c r="C757">
        <f>'1 prepared data'!B750</f>
        <v/>
      </c>
      <c r="D757" s="7">
        <f>'1 prepared data'!C750</f>
        <v/>
      </c>
      <c r="E757" s="7">
        <f>'1 prepared data'!D750</f>
        <v/>
      </c>
      <c r="F757" s="7">
        <f>'1 prepared data'!E750</f>
        <v/>
      </c>
      <c r="G757" s="7">
        <f>'1 prepared data'!F750</f>
        <v/>
      </c>
      <c r="H757" s="7">
        <f>'1 prepared data'!G750</f>
        <v/>
      </c>
      <c r="I757" s="7">
        <f>'1 prepared data'!H750</f>
        <v/>
      </c>
      <c r="J757" s="7">
        <f>'1 prepared data'!I750</f>
        <v/>
      </c>
      <c r="K757" s="7">
        <f>'1 prepared data'!J750</f>
        <v/>
      </c>
      <c r="L757" s="7">
        <f>'1 prepared data'!K750</f>
        <v/>
      </c>
      <c r="M757" s="7">
        <f>'1 prepared data'!L750</f>
        <v/>
      </c>
      <c r="N757" s="7">
        <f>'1 prepared data'!M750</f>
        <v/>
      </c>
      <c r="O757" s="7">
        <f>'1 prepared data'!N750</f>
        <v/>
      </c>
      <c r="P757" s="7">
        <f>'1 prepared data'!O750</f>
        <v/>
      </c>
      <c r="Q757" s="7">
        <f>'1 prepared data'!P750</f>
        <v/>
      </c>
      <c r="R757" s="7">
        <f>'1 prepared data'!Q750</f>
        <v/>
      </c>
      <c r="S757" s="7">
        <f>'1 prepared data'!R750</f>
        <v/>
      </c>
      <c r="T757" s="7">
        <f>'1 prepared data'!S750</f>
        <v/>
      </c>
      <c r="U757" s="7">
        <f>'1 prepared data'!T750</f>
        <v/>
      </c>
      <c r="V757" s="8">
        <f>$AC$12+D757*$AC$13+E757*$AC$14+F757*$AC$15+G757*$AC$16+H757*$AC$17+I757*$AC$18+J757*$AC$19+K757*$AC$20+L757*$AC$21+M757*$AC$22+N757*$AC$23+O757*$AC$24+P757*$AC$25+Q757*$AC$26+R757*$AC$27+S757*$AC$28+T757*$AC$29+U757*$AC$30</f>
        <v/>
      </c>
      <c r="W757" s="8">
        <f>1/(1+EXP(-V757))</f>
        <v/>
      </c>
      <c r="X757" s="9">
        <f>-IF(C757=1,LN(W757),LN(1-W757))</f>
        <v/>
      </c>
      <c r="Y757" s="10">
        <f>IF(W757&gt;$AC$33,1,0)</f>
        <v/>
      </c>
      <c r="Z757">
        <f>IF(Y757=C757,1,0)</f>
        <v/>
      </c>
    </row>
    <row r="758">
      <c r="A758">
        <f>'1 prepared data'!A751</f>
        <v/>
      </c>
      <c r="B758" s="5">
        <f>'1 prepared data'!U751</f>
        <v/>
      </c>
      <c r="C758">
        <f>'1 prepared data'!B751</f>
        <v/>
      </c>
      <c r="D758" s="7">
        <f>'1 prepared data'!C751</f>
        <v/>
      </c>
      <c r="E758" s="7">
        <f>'1 prepared data'!D751</f>
        <v/>
      </c>
      <c r="F758" s="7">
        <f>'1 prepared data'!E751</f>
        <v/>
      </c>
      <c r="G758" s="7">
        <f>'1 prepared data'!F751</f>
        <v/>
      </c>
      <c r="H758" s="7">
        <f>'1 prepared data'!G751</f>
        <v/>
      </c>
      <c r="I758" s="7">
        <f>'1 prepared data'!H751</f>
        <v/>
      </c>
      <c r="J758" s="7">
        <f>'1 prepared data'!I751</f>
        <v/>
      </c>
      <c r="K758" s="7">
        <f>'1 prepared data'!J751</f>
        <v/>
      </c>
      <c r="L758" s="7">
        <f>'1 prepared data'!K751</f>
        <v/>
      </c>
      <c r="M758" s="7">
        <f>'1 prepared data'!L751</f>
        <v/>
      </c>
      <c r="N758" s="7">
        <f>'1 prepared data'!M751</f>
        <v/>
      </c>
      <c r="O758" s="7">
        <f>'1 prepared data'!N751</f>
        <v/>
      </c>
      <c r="P758" s="7">
        <f>'1 prepared data'!O751</f>
        <v/>
      </c>
      <c r="Q758" s="7">
        <f>'1 prepared data'!P751</f>
        <v/>
      </c>
      <c r="R758" s="7">
        <f>'1 prepared data'!Q751</f>
        <v/>
      </c>
      <c r="S758" s="7">
        <f>'1 prepared data'!R751</f>
        <v/>
      </c>
      <c r="T758" s="7">
        <f>'1 prepared data'!S751</f>
        <v/>
      </c>
      <c r="U758" s="7">
        <f>'1 prepared data'!T751</f>
        <v/>
      </c>
      <c r="V758" s="8">
        <f>$AC$12+D758*$AC$13+E758*$AC$14+F758*$AC$15+G758*$AC$16+H758*$AC$17+I758*$AC$18+J758*$AC$19+K758*$AC$20+L758*$AC$21+M758*$AC$22+N758*$AC$23+O758*$AC$24+P758*$AC$25+Q758*$AC$26+R758*$AC$27+S758*$AC$28+T758*$AC$29+U758*$AC$30</f>
        <v/>
      </c>
      <c r="W758" s="8">
        <f>1/(1+EXP(-V758))</f>
        <v/>
      </c>
      <c r="X758" s="9">
        <f>-IF(C758=1,LN(W758),LN(1-W758))</f>
        <v/>
      </c>
      <c r="Y758" s="10">
        <f>IF(W758&gt;$AC$33,1,0)</f>
        <v/>
      </c>
      <c r="Z758">
        <f>IF(Y758=C758,1,0)</f>
        <v/>
      </c>
    </row>
    <row r="759">
      <c r="A759">
        <f>'1 prepared data'!A752</f>
        <v/>
      </c>
      <c r="B759" s="5">
        <f>'1 prepared data'!U752</f>
        <v/>
      </c>
      <c r="C759">
        <f>'1 prepared data'!B752</f>
        <v/>
      </c>
      <c r="D759" s="7">
        <f>'1 prepared data'!C752</f>
        <v/>
      </c>
      <c r="E759" s="7">
        <f>'1 prepared data'!D752</f>
        <v/>
      </c>
      <c r="F759" s="7">
        <f>'1 prepared data'!E752</f>
        <v/>
      </c>
      <c r="G759" s="7">
        <f>'1 prepared data'!F752</f>
        <v/>
      </c>
      <c r="H759" s="7">
        <f>'1 prepared data'!G752</f>
        <v/>
      </c>
      <c r="I759" s="7">
        <f>'1 prepared data'!H752</f>
        <v/>
      </c>
      <c r="J759" s="7">
        <f>'1 prepared data'!I752</f>
        <v/>
      </c>
      <c r="K759" s="7">
        <f>'1 prepared data'!J752</f>
        <v/>
      </c>
      <c r="L759" s="7">
        <f>'1 prepared data'!K752</f>
        <v/>
      </c>
      <c r="M759" s="7">
        <f>'1 prepared data'!L752</f>
        <v/>
      </c>
      <c r="N759" s="7">
        <f>'1 prepared data'!M752</f>
        <v/>
      </c>
      <c r="O759" s="7">
        <f>'1 prepared data'!N752</f>
        <v/>
      </c>
      <c r="P759" s="7">
        <f>'1 prepared data'!O752</f>
        <v/>
      </c>
      <c r="Q759" s="7">
        <f>'1 prepared data'!P752</f>
        <v/>
      </c>
      <c r="R759" s="7">
        <f>'1 prepared data'!Q752</f>
        <v/>
      </c>
      <c r="S759" s="7">
        <f>'1 prepared data'!R752</f>
        <v/>
      </c>
      <c r="T759" s="7">
        <f>'1 prepared data'!S752</f>
        <v/>
      </c>
      <c r="U759" s="7">
        <f>'1 prepared data'!T752</f>
        <v/>
      </c>
      <c r="V759" s="8">
        <f>$AC$12+D759*$AC$13+E759*$AC$14+F759*$AC$15+G759*$AC$16+H759*$AC$17+I759*$AC$18+J759*$AC$19+K759*$AC$20+L759*$AC$21+M759*$AC$22+N759*$AC$23+O759*$AC$24+P759*$AC$25+Q759*$AC$26+R759*$AC$27+S759*$AC$28+T759*$AC$29+U759*$AC$30</f>
        <v/>
      </c>
      <c r="W759" s="8">
        <f>1/(1+EXP(-V759))</f>
        <v/>
      </c>
      <c r="X759" s="9">
        <f>-IF(C759=1,LN(W759),LN(1-W759))</f>
        <v/>
      </c>
      <c r="Y759" s="10">
        <f>IF(W759&gt;$AC$33,1,0)</f>
        <v/>
      </c>
      <c r="Z759">
        <f>IF(Y759=C759,1,0)</f>
        <v/>
      </c>
    </row>
    <row r="760">
      <c r="A760">
        <f>'1 prepared data'!A753</f>
        <v/>
      </c>
      <c r="B760" s="5">
        <f>'1 prepared data'!U753</f>
        <v/>
      </c>
      <c r="C760">
        <f>'1 prepared data'!B753</f>
        <v/>
      </c>
      <c r="D760" s="7">
        <f>'1 prepared data'!C753</f>
        <v/>
      </c>
      <c r="E760" s="7">
        <f>'1 prepared data'!D753</f>
        <v/>
      </c>
      <c r="F760" s="7">
        <f>'1 prepared data'!E753</f>
        <v/>
      </c>
      <c r="G760" s="7">
        <f>'1 prepared data'!F753</f>
        <v/>
      </c>
      <c r="H760" s="7">
        <f>'1 prepared data'!G753</f>
        <v/>
      </c>
      <c r="I760" s="7">
        <f>'1 prepared data'!H753</f>
        <v/>
      </c>
      <c r="J760" s="7">
        <f>'1 prepared data'!I753</f>
        <v/>
      </c>
      <c r="K760" s="7">
        <f>'1 prepared data'!J753</f>
        <v/>
      </c>
      <c r="L760" s="7">
        <f>'1 prepared data'!K753</f>
        <v/>
      </c>
      <c r="M760" s="7">
        <f>'1 prepared data'!L753</f>
        <v/>
      </c>
      <c r="N760" s="7">
        <f>'1 prepared data'!M753</f>
        <v/>
      </c>
      <c r="O760" s="7">
        <f>'1 prepared data'!N753</f>
        <v/>
      </c>
      <c r="P760" s="7">
        <f>'1 prepared data'!O753</f>
        <v/>
      </c>
      <c r="Q760" s="7">
        <f>'1 prepared data'!P753</f>
        <v/>
      </c>
      <c r="R760" s="7">
        <f>'1 prepared data'!Q753</f>
        <v/>
      </c>
      <c r="S760" s="7">
        <f>'1 prepared data'!R753</f>
        <v/>
      </c>
      <c r="T760" s="7">
        <f>'1 prepared data'!S753</f>
        <v/>
      </c>
      <c r="U760" s="7">
        <f>'1 prepared data'!T753</f>
        <v/>
      </c>
      <c r="V760" s="8">
        <f>$AC$12+D760*$AC$13+E760*$AC$14+F760*$AC$15+G760*$AC$16+H760*$AC$17+I760*$AC$18+J760*$AC$19+K760*$AC$20+L760*$AC$21+M760*$AC$22+N760*$AC$23+O760*$AC$24+P760*$AC$25+Q760*$AC$26+R760*$AC$27+S760*$AC$28+T760*$AC$29+U760*$AC$30</f>
        <v/>
      </c>
      <c r="W760" s="8">
        <f>1/(1+EXP(-V760))</f>
        <v/>
      </c>
      <c r="X760" s="9">
        <f>-IF(C760=1,LN(W760),LN(1-W760))</f>
        <v/>
      </c>
      <c r="Y760" s="10">
        <f>IF(W760&gt;$AC$33,1,0)</f>
        <v/>
      </c>
      <c r="Z760">
        <f>IF(Y760=C760,1,0)</f>
        <v/>
      </c>
    </row>
    <row r="761">
      <c r="A761">
        <f>'1 prepared data'!A754</f>
        <v/>
      </c>
      <c r="B761" s="5">
        <f>'1 prepared data'!U754</f>
        <v/>
      </c>
      <c r="C761">
        <f>'1 prepared data'!B754</f>
        <v/>
      </c>
      <c r="D761" s="7">
        <f>'1 prepared data'!C754</f>
        <v/>
      </c>
      <c r="E761" s="7">
        <f>'1 prepared data'!D754</f>
        <v/>
      </c>
      <c r="F761" s="7">
        <f>'1 prepared data'!E754</f>
        <v/>
      </c>
      <c r="G761" s="7">
        <f>'1 prepared data'!F754</f>
        <v/>
      </c>
      <c r="H761" s="7">
        <f>'1 prepared data'!G754</f>
        <v/>
      </c>
      <c r="I761" s="7">
        <f>'1 prepared data'!H754</f>
        <v/>
      </c>
      <c r="J761" s="7">
        <f>'1 prepared data'!I754</f>
        <v/>
      </c>
      <c r="K761" s="7">
        <f>'1 prepared data'!J754</f>
        <v/>
      </c>
      <c r="L761" s="7">
        <f>'1 prepared data'!K754</f>
        <v/>
      </c>
      <c r="M761" s="7">
        <f>'1 prepared data'!L754</f>
        <v/>
      </c>
      <c r="N761" s="7">
        <f>'1 prepared data'!M754</f>
        <v/>
      </c>
      <c r="O761" s="7">
        <f>'1 prepared data'!N754</f>
        <v/>
      </c>
      <c r="P761" s="7">
        <f>'1 prepared data'!O754</f>
        <v/>
      </c>
      <c r="Q761" s="7">
        <f>'1 prepared data'!P754</f>
        <v/>
      </c>
      <c r="R761" s="7">
        <f>'1 prepared data'!Q754</f>
        <v/>
      </c>
      <c r="S761" s="7">
        <f>'1 prepared data'!R754</f>
        <v/>
      </c>
      <c r="T761" s="7">
        <f>'1 prepared data'!S754</f>
        <v/>
      </c>
      <c r="U761" s="7">
        <f>'1 prepared data'!T754</f>
        <v/>
      </c>
      <c r="V761" s="8">
        <f>$AC$12+D761*$AC$13+E761*$AC$14+F761*$AC$15+G761*$AC$16+H761*$AC$17+I761*$AC$18+J761*$AC$19+K761*$AC$20+L761*$AC$21+M761*$AC$22+N761*$AC$23+O761*$AC$24+P761*$AC$25+Q761*$AC$26+R761*$AC$27+S761*$AC$28+T761*$AC$29+U761*$AC$30</f>
        <v/>
      </c>
      <c r="W761" s="8">
        <f>1/(1+EXP(-V761))</f>
        <v/>
      </c>
      <c r="X761" s="9">
        <f>-IF(C761=1,LN(W761),LN(1-W761))</f>
        <v/>
      </c>
      <c r="Y761" s="10">
        <f>IF(W761&gt;$AC$33,1,0)</f>
        <v/>
      </c>
      <c r="Z761">
        <f>IF(Y761=C761,1,0)</f>
        <v/>
      </c>
    </row>
    <row r="762">
      <c r="A762">
        <f>'1 prepared data'!A755</f>
        <v/>
      </c>
      <c r="B762" s="5">
        <f>'1 prepared data'!U755</f>
        <v/>
      </c>
      <c r="C762">
        <f>'1 prepared data'!B755</f>
        <v/>
      </c>
      <c r="D762" s="7">
        <f>'1 prepared data'!C755</f>
        <v/>
      </c>
      <c r="E762" s="7">
        <f>'1 prepared data'!D755</f>
        <v/>
      </c>
      <c r="F762" s="7">
        <f>'1 prepared data'!E755</f>
        <v/>
      </c>
      <c r="G762" s="7">
        <f>'1 prepared data'!F755</f>
        <v/>
      </c>
      <c r="H762" s="7">
        <f>'1 prepared data'!G755</f>
        <v/>
      </c>
      <c r="I762" s="7">
        <f>'1 prepared data'!H755</f>
        <v/>
      </c>
      <c r="J762" s="7">
        <f>'1 prepared data'!I755</f>
        <v/>
      </c>
      <c r="K762" s="7">
        <f>'1 prepared data'!J755</f>
        <v/>
      </c>
      <c r="L762" s="7">
        <f>'1 prepared data'!K755</f>
        <v/>
      </c>
      <c r="M762" s="7">
        <f>'1 prepared data'!L755</f>
        <v/>
      </c>
      <c r="N762" s="7">
        <f>'1 prepared data'!M755</f>
        <v/>
      </c>
      <c r="O762" s="7">
        <f>'1 prepared data'!N755</f>
        <v/>
      </c>
      <c r="P762" s="7">
        <f>'1 prepared data'!O755</f>
        <v/>
      </c>
      <c r="Q762" s="7">
        <f>'1 prepared data'!P755</f>
        <v/>
      </c>
      <c r="R762" s="7">
        <f>'1 prepared data'!Q755</f>
        <v/>
      </c>
      <c r="S762" s="7">
        <f>'1 prepared data'!R755</f>
        <v/>
      </c>
      <c r="T762" s="7">
        <f>'1 prepared data'!S755</f>
        <v/>
      </c>
      <c r="U762" s="7">
        <f>'1 prepared data'!T755</f>
        <v/>
      </c>
      <c r="V762" s="8">
        <f>$AC$12+D762*$AC$13+E762*$AC$14+F762*$AC$15+G762*$AC$16+H762*$AC$17+I762*$AC$18+J762*$AC$19+K762*$AC$20+L762*$AC$21+M762*$AC$22+N762*$AC$23+O762*$AC$24+P762*$AC$25+Q762*$AC$26+R762*$AC$27+S762*$AC$28+T762*$AC$29+U762*$AC$30</f>
        <v/>
      </c>
      <c r="W762" s="8">
        <f>1/(1+EXP(-V762))</f>
        <v/>
      </c>
      <c r="X762" s="9">
        <f>-IF(C762=1,LN(W762),LN(1-W762))</f>
        <v/>
      </c>
      <c r="Y762" s="10">
        <f>IF(W762&gt;$AC$33,1,0)</f>
        <v/>
      </c>
      <c r="Z762">
        <f>IF(Y762=C762,1,0)</f>
        <v/>
      </c>
    </row>
    <row r="763">
      <c r="A763">
        <f>'1 prepared data'!A756</f>
        <v/>
      </c>
      <c r="B763" s="5">
        <f>'1 prepared data'!U756</f>
        <v/>
      </c>
      <c r="C763">
        <f>'1 prepared data'!B756</f>
        <v/>
      </c>
      <c r="D763" s="7">
        <f>'1 prepared data'!C756</f>
        <v/>
      </c>
      <c r="E763" s="7">
        <f>'1 prepared data'!D756</f>
        <v/>
      </c>
      <c r="F763" s="7">
        <f>'1 prepared data'!E756</f>
        <v/>
      </c>
      <c r="G763" s="7">
        <f>'1 prepared data'!F756</f>
        <v/>
      </c>
      <c r="H763" s="7">
        <f>'1 prepared data'!G756</f>
        <v/>
      </c>
      <c r="I763" s="7">
        <f>'1 prepared data'!H756</f>
        <v/>
      </c>
      <c r="J763" s="7">
        <f>'1 prepared data'!I756</f>
        <v/>
      </c>
      <c r="K763" s="7">
        <f>'1 prepared data'!J756</f>
        <v/>
      </c>
      <c r="L763" s="7">
        <f>'1 prepared data'!K756</f>
        <v/>
      </c>
      <c r="M763" s="7">
        <f>'1 prepared data'!L756</f>
        <v/>
      </c>
      <c r="N763" s="7">
        <f>'1 prepared data'!M756</f>
        <v/>
      </c>
      <c r="O763" s="7">
        <f>'1 prepared data'!N756</f>
        <v/>
      </c>
      <c r="P763" s="7">
        <f>'1 prepared data'!O756</f>
        <v/>
      </c>
      <c r="Q763" s="7">
        <f>'1 prepared data'!P756</f>
        <v/>
      </c>
      <c r="R763" s="7">
        <f>'1 prepared data'!Q756</f>
        <v/>
      </c>
      <c r="S763" s="7">
        <f>'1 prepared data'!R756</f>
        <v/>
      </c>
      <c r="T763" s="7">
        <f>'1 prepared data'!S756</f>
        <v/>
      </c>
      <c r="U763" s="7">
        <f>'1 prepared data'!T756</f>
        <v/>
      </c>
      <c r="V763" s="8">
        <f>$AC$12+D763*$AC$13+E763*$AC$14+F763*$AC$15+G763*$AC$16+H763*$AC$17+I763*$AC$18+J763*$AC$19+K763*$AC$20+L763*$AC$21+M763*$AC$22+N763*$AC$23+O763*$AC$24+P763*$AC$25+Q763*$AC$26+R763*$AC$27+S763*$AC$28+T763*$AC$29+U763*$AC$30</f>
        <v/>
      </c>
      <c r="W763" s="8">
        <f>1/(1+EXP(-V763))</f>
        <v/>
      </c>
      <c r="X763" s="9">
        <f>-IF(C763=1,LN(W763),LN(1-W763))</f>
        <v/>
      </c>
      <c r="Y763" s="10">
        <f>IF(W763&gt;$AC$33,1,0)</f>
        <v/>
      </c>
      <c r="Z763">
        <f>IF(Y763=C763,1,0)</f>
        <v/>
      </c>
    </row>
    <row r="764">
      <c r="A764">
        <f>'1 prepared data'!A757</f>
        <v/>
      </c>
      <c r="B764" s="5">
        <f>'1 prepared data'!U757</f>
        <v/>
      </c>
      <c r="C764">
        <f>'1 prepared data'!B757</f>
        <v/>
      </c>
      <c r="D764" s="7">
        <f>'1 prepared data'!C757</f>
        <v/>
      </c>
      <c r="E764" s="7">
        <f>'1 prepared data'!D757</f>
        <v/>
      </c>
      <c r="F764" s="7">
        <f>'1 prepared data'!E757</f>
        <v/>
      </c>
      <c r="G764" s="7">
        <f>'1 prepared data'!F757</f>
        <v/>
      </c>
      <c r="H764" s="7">
        <f>'1 prepared data'!G757</f>
        <v/>
      </c>
      <c r="I764" s="7">
        <f>'1 prepared data'!H757</f>
        <v/>
      </c>
      <c r="J764" s="7">
        <f>'1 prepared data'!I757</f>
        <v/>
      </c>
      <c r="K764" s="7">
        <f>'1 prepared data'!J757</f>
        <v/>
      </c>
      <c r="L764" s="7">
        <f>'1 prepared data'!K757</f>
        <v/>
      </c>
      <c r="M764" s="7">
        <f>'1 prepared data'!L757</f>
        <v/>
      </c>
      <c r="N764" s="7">
        <f>'1 prepared data'!M757</f>
        <v/>
      </c>
      <c r="O764" s="7">
        <f>'1 prepared data'!N757</f>
        <v/>
      </c>
      <c r="P764" s="7">
        <f>'1 prepared data'!O757</f>
        <v/>
      </c>
      <c r="Q764" s="7">
        <f>'1 prepared data'!P757</f>
        <v/>
      </c>
      <c r="R764" s="7">
        <f>'1 prepared data'!Q757</f>
        <v/>
      </c>
      <c r="S764" s="7">
        <f>'1 prepared data'!R757</f>
        <v/>
      </c>
      <c r="T764" s="7">
        <f>'1 prepared data'!S757</f>
        <v/>
      </c>
      <c r="U764" s="7">
        <f>'1 prepared data'!T757</f>
        <v/>
      </c>
      <c r="V764" s="8">
        <f>$AC$12+D764*$AC$13+E764*$AC$14+F764*$AC$15+G764*$AC$16+H764*$AC$17+I764*$AC$18+J764*$AC$19+K764*$AC$20+L764*$AC$21+M764*$AC$22+N764*$AC$23+O764*$AC$24+P764*$AC$25+Q764*$AC$26+R764*$AC$27+S764*$AC$28+T764*$AC$29+U764*$AC$30</f>
        <v/>
      </c>
      <c r="W764" s="8">
        <f>1/(1+EXP(-V764))</f>
        <v/>
      </c>
      <c r="X764" s="9">
        <f>-IF(C764=1,LN(W764),LN(1-W764))</f>
        <v/>
      </c>
      <c r="Y764" s="10">
        <f>IF(W764&gt;$AC$33,1,0)</f>
        <v/>
      </c>
      <c r="Z764">
        <f>IF(Y764=C764,1,0)</f>
        <v/>
      </c>
    </row>
    <row r="765">
      <c r="A765">
        <f>'1 prepared data'!A758</f>
        <v/>
      </c>
      <c r="B765" s="5">
        <f>'1 prepared data'!U758</f>
        <v/>
      </c>
      <c r="C765">
        <f>'1 prepared data'!B758</f>
        <v/>
      </c>
      <c r="D765" s="7">
        <f>'1 prepared data'!C758</f>
        <v/>
      </c>
      <c r="E765" s="7">
        <f>'1 prepared data'!D758</f>
        <v/>
      </c>
      <c r="F765" s="7">
        <f>'1 prepared data'!E758</f>
        <v/>
      </c>
      <c r="G765" s="7">
        <f>'1 prepared data'!F758</f>
        <v/>
      </c>
      <c r="H765" s="7">
        <f>'1 prepared data'!G758</f>
        <v/>
      </c>
      <c r="I765" s="7">
        <f>'1 prepared data'!H758</f>
        <v/>
      </c>
      <c r="J765" s="7">
        <f>'1 prepared data'!I758</f>
        <v/>
      </c>
      <c r="K765" s="7">
        <f>'1 prepared data'!J758</f>
        <v/>
      </c>
      <c r="L765" s="7">
        <f>'1 prepared data'!K758</f>
        <v/>
      </c>
      <c r="M765" s="7">
        <f>'1 prepared data'!L758</f>
        <v/>
      </c>
      <c r="N765" s="7">
        <f>'1 prepared data'!M758</f>
        <v/>
      </c>
      <c r="O765" s="7">
        <f>'1 prepared data'!N758</f>
        <v/>
      </c>
      <c r="P765" s="7">
        <f>'1 prepared data'!O758</f>
        <v/>
      </c>
      <c r="Q765" s="7">
        <f>'1 prepared data'!P758</f>
        <v/>
      </c>
      <c r="R765" s="7">
        <f>'1 prepared data'!Q758</f>
        <v/>
      </c>
      <c r="S765" s="7">
        <f>'1 prepared data'!R758</f>
        <v/>
      </c>
      <c r="T765" s="7">
        <f>'1 prepared data'!S758</f>
        <v/>
      </c>
      <c r="U765" s="7">
        <f>'1 prepared data'!T758</f>
        <v/>
      </c>
      <c r="V765" s="8">
        <f>$AC$12+D765*$AC$13+E765*$AC$14+F765*$AC$15+G765*$AC$16+H765*$AC$17+I765*$AC$18+J765*$AC$19+K765*$AC$20+L765*$AC$21+M765*$AC$22+N765*$AC$23+O765*$AC$24+P765*$AC$25+Q765*$AC$26+R765*$AC$27+S765*$AC$28+T765*$AC$29+U765*$AC$30</f>
        <v/>
      </c>
      <c r="W765" s="8">
        <f>1/(1+EXP(-V765))</f>
        <v/>
      </c>
      <c r="X765" s="9">
        <f>-IF(C765=1,LN(W765),LN(1-W765))</f>
        <v/>
      </c>
      <c r="Y765" s="10">
        <f>IF(W765&gt;$AC$33,1,0)</f>
        <v/>
      </c>
      <c r="Z765">
        <f>IF(Y765=C765,1,0)</f>
        <v/>
      </c>
    </row>
    <row r="766">
      <c r="A766">
        <f>'1 prepared data'!A759</f>
        <v/>
      </c>
      <c r="B766" s="5">
        <f>'1 prepared data'!U759</f>
        <v/>
      </c>
      <c r="C766">
        <f>'1 prepared data'!B759</f>
        <v/>
      </c>
      <c r="D766" s="7">
        <f>'1 prepared data'!C759</f>
        <v/>
      </c>
      <c r="E766" s="7">
        <f>'1 prepared data'!D759</f>
        <v/>
      </c>
      <c r="F766" s="7">
        <f>'1 prepared data'!E759</f>
        <v/>
      </c>
      <c r="G766" s="7">
        <f>'1 prepared data'!F759</f>
        <v/>
      </c>
      <c r="H766" s="7">
        <f>'1 prepared data'!G759</f>
        <v/>
      </c>
      <c r="I766" s="7">
        <f>'1 prepared data'!H759</f>
        <v/>
      </c>
      <c r="J766" s="7">
        <f>'1 prepared data'!I759</f>
        <v/>
      </c>
      <c r="K766" s="7">
        <f>'1 prepared data'!J759</f>
        <v/>
      </c>
      <c r="L766" s="7">
        <f>'1 prepared data'!K759</f>
        <v/>
      </c>
      <c r="M766" s="7">
        <f>'1 prepared data'!L759</f>
        <v/>
      </c>
      <c r="N766" s="7">
        <f>'1 prepared data'!M759</f>
        <v/>
      </c>
      <c r="O766" s="7">
        <f>'1 prepared data'!N759</f>
        <v/>
      </c>
      <c r="P766" s="7">
        <f>'1 prepared data'!O759</f>
        <v/>
      </c>
      <c r="Q766" s="7">
        <f>'1 prepared data'!P759</f>
        <v/>
      </c>
      <c r="R766" s="7">
        <f>'1 prepared data'!Q759</f>
        <v/>
      </c>
      <c r="S766" s="7">
        <f>'1 prepared data'!R759</f>
        <v/>
      </c>
      <c r="T766" s="7">
        <f>'1 prepared data'!S759</f>
        <v/>
      </c>
      <c r="U766" s="7">
        <f>'1 prepared data'!T759</f>
        <v/>
      </c>
      <c r="V766" s="8">
        <f>$AC$12+D766*$AC$13+E766*$AC$14+F766*$AC$15+G766*$AC$16+H766*$AC$17+I766*$AC$18+J766*$AC$19+K766*$AC$20+L766*$AC$21+M766*$AC$22+N766*$AC$23+O766*$AC$24+P766*$AC$25+Q766*$AC$26+R766*$AC$27+S766*$AC$28+T766*$AC$29+U766*$AC$30</f>
        <v/>
      </c>
      <c r="W766" s="8">
        <f>1/(1+EXP(-V766))</f>
        <v/>
      </c>
      <c r="X766" s="9">
        <f>-IF(C766=1,LN(W766),LN(1-W766))</f>
        <v/>
      </c>
      <c r="Y766" s="10">
        <f>IF(W766&gt;$AC$33,1,0)</f>
        <v/>
      </c>
      <c r="Z766">
        <f>IF(Y766=C766,1,0)</f>
        <v/>
      </c>
    </row>
    <row r="767">
      <c r="A767">
        <f>'1 prepared data'!A760</f>
        <v/>
      </c>
      <c r="B767" s="5">
        <f>'1 prepared data'!U760</f>
        <v/>
      </c>
      <c r="C767">
        <f>'1 prepared data'!B760</f>
        <v/>
      </c>
      <c r="D767" s="7">
        <f>'1 prepared data'!C760</f>
        <v/>
      </c>
      <c r="E767" s="7">
        <f>'1 prepared data'!D760</f>
        <v/>
      </c>
      <c r="F767" s="7">
        <f>'1 prepared data'!E760</f>
        <v/>
      </c>
      <c r="G767" s="7">
        <f>'1 prepared data'!F760</f>
        <v/>
      </c>
      <c r="H767" s="7">
        <f>'1 prepared data'!G760</f>
        <v/>
      </c>
      <c r="I767" s="7">
        <f>'1 prepared data'!H760</f>
        <v/>
      </c>
      <c r="J767" s="7">
        <f>'1 prepared data'!I760</f>
        <v/>
      </c>
      <c r="K767" s="7">
        <f>'1 prepared data'!J760</f>
        <v/>
      </c>
      <c r="L767" s="7">
        <f>'1 prepared data'!K760</f>
        <v/>
      </c>
      <c r="M767" s="7">
        <f>'1 prepared data'!L760</f>
        <v/>
      </c>
      <c r="N767" s="7">
        <f>'1 prepared data'!M760</f>
        <v/>
      </c>
      <c r="O767" s="7">
        <f>'1 prepared data'!N760</f>
        <v/>
      </c>
      <c r="P767" s="7">
        <f>'1 prepared data'!O760</f>
        <v/>
      </c>
      <c r="Q767" s="7">
        <f>'1 prepared data'!P760</f>
        <v/>
      </c>
      <c r="R767" s="7">
        <f>'1 prepared data'!Q760</f>
        <v/>
      </c>
      <c r="S767" s="7">
        <f>'1 prepared data'!R760</f>
        <v/>
      </c>
      <c r="T767" s="7">
        <f>'1 prepared data'!S760</f>
        <v/>
      </c>
      <c r="U767" s="7">
        <f>'1 prepared data'!T760</f>
        <v/>
      </c>
      <c r="V767" s="8">
        <f>$AC$12+D767*$AC$13+E767*$AC$14+F767*$AC$15+G767*$AC$16+H767*$AC$17+I767*$AC$18+J767*$AC$19+K767*$AC$20+L767*$AC$21+M767*$AC$22+N767*$AC$23+O767*$AC$24+P767*$AC$25+Q767*$AC$26+R767*$AC$27+S767*$AC$28+T767*$AC$29+U767*$AC$30</f>
        <v/>
      </c>
      <c r="W767" s="8">
        <f>1/(1+EXP(-V767))</f>
        <v/>
      </c>
      <c r="X767" s="9">
        <f>-IF(C767=1,LN(W767),LN(1-W767))</f>
        <v/>
      </c>
      <c r="Y767" s="10">
        <f>IF(W767&gt;$AC$33,1,0)</f>
        <v/>
      </c>
      <c r="Z767">
        <f>IF(Y767=C767,1,0)</f>
        <v/>
      </c>
    </row>
    <row r="768">
      <c r="A768">
        <f>'1 prepared data'!A761</f>
        <v/>
      </c>
      <c r="B768" s="5">
        <f>'1 prepared data'!U761</f>
        <v/>
      </c>
      <c r="C768">
        <f>'1 prepared data'!B761</f>
        <v/>
      </c>
      <c r="D768" s="7">
        <f>'1 prepared data'!C761</f>
        <v/>
      </c>
      <c r="E768" s="7">
        <f>'1 prepared data'!D761</f>
        <v/>
      </c>
      <c r="F768" s="7">
        <f>'1 prepared data'!E761</f>
        <v/>
      </c>
      <c r="G768" s="7">
        <f>'1 prepared data'!F761</f>
        <v/>
      </c>
      <c r="H768" s="7">
        <f>'1 prepared data'!G761</f>
        <v/>
      </c>
      <c r="I768" s="7">
        <f>'1 prepared data'!H761</f>
        <v/>
      </c>
      <c r="J768" s="7">
        <f>'1 prepared data'!I761</f>
        <v/>
      </c>
      <c r="K768" s="7">
        <f>'1 prepared data'!J761</f>
        <v/>
      </c>
      <c r="L768" s="7">
        <f>'1 prepared data'!K761</f>
        <v/>
      </c>
      <c r="M768" s="7">
        <f>'1 prepared data'!L761</f>
        <v/>
      </c>
      <c r="N768" s="7">
        <f>'1 prepared data'!M761</f>
        <v/>
      </c>
      <c r="O768" s="7">
        <f>'1 prepared data'!N761</f>
        <v/>
      </c>
      <c r="P768" s="7">
        <f>'1 prepared data'!O761</f>
        <v/>
      </c>
      <c r="Q768" s="7">
        <f>'1 prepared data'!P761</f>
        <v/>
      </c>
      <c r="R768" s="7">
        <f>'1 prepared data'!Q761</f>
        <v/>
      </c>
      <c r="S768" s="7">
        <f>'1 prepared data'!R761</f>
        <v/>
      </c>
      <c r="T768" s="7">
        <f>'1 prepared data'!S761</f>
        <v/>
      </c>
      <c r="U768" s="7">
        <f>'1 prepared data'!T761</f>
        <v/>
      </c>
      <c r="V768" s="8">
        <f>$AC$12+D768*$AC$13+E768*$AC$14+F768*$AC$15+G768*$AC$16+H768*$AC$17+I768*$AC$18+J768*$AC$19+K768*$AC$20+L768*$AC$21+M768*$AC$22+N768*$AC$23+O768*$AC$24+P768*$AC$25+Q768*$AC$26+R768*$AC$27+S768*$AC$28+T768*$AC$29+U768*$AC$30</f>
        <v/>
      </c>
      <c r="W768" s="8">
        <f>1/(1+EXP(-V768))</f>
        <v/>
      </c>
      <c r="X768" s="9">
        <f>-IF(C768=1,LN(W768),LN(1-W768))</f>
        <v/>
      </c>
      <c r="Y768" s="10">
        <f>IF(W768&gt;$AC$33,1,0)</f>
        <v/>
      </c>
      <c r="Z768">
        <f>IF(Y768=C768,1,0)</f>
        <v/>
      </c>
    </row>
    <row r="769">
      <c r="A769">
        <f>'1 prepared data'!A762</f>
        <v/>
      </c>
      <c r="B769" s="5">
        <f>'1 prepared data'!U762</f>
        <v/>
      </c>
      <c r="C769">
        <f>'1 prepared data'!B762</f>
        <v/>
      </c>
      <c r="D769" s="7">
        <f>'1 prepared data'!C762</f>
        <v/>
      </c>
      <c r="E769" s="7">
        <f>'1 prepared data'!D762</f>
        <v/>
      </c>
      <c r="F769" s="7">
        <f>'1 prepared data'!E762</f>
        <v/>
      </c>
      <c r="G769" s="7">
        <f>'1 prepared data'!F762</f>
        <v/>
      </c>
      <c r="H769" s="7">
        <f>'1 prepared data'!G762</f>
        <v/>
      </c>
      <c r="I769" s="7">
        <f>'1 prepared data'!H762</f>
        <v/>
      </c>
      <c r="J769" s="7">
        <f>'1 prepared data'!I762</f>
        <v/>
      </c>
      <c r="K769" s="7">
        <f>'1 prepared data'!J762</f>
        <v/>
      </c>
      <c r="L769" s="7">
        <f>'1 prepared data'!K762</f>
        <v/>
      </c>
      <c r="M769" s="7">
        <f>'1 prepared data'!L762</f>
        <v/>
      </c>
      <c r="N769" s="7">
        <f>'1 prepared data'!M762</f>
        <v/>
      </c>
      <c r="O769" s="7">
        <f>'1 prepared data'!N762</f>
        <v/>
      </c>
      <c r="P769" s="7">
        <f>'1 prepared data'!O762</f>
        <v/>
      </c>
      <c r="Q769" s="7">
        <f>'1 prepared data'!P762</f>
        <v/>
      </c>
      <c r="R769" s="7">
        <f>'1 prepared data'!Q762</f>
        <v/>
      </c>
      <c r="S769" s="7">
        <f>'1 prepared data'!R762</f>
        <v/>
      </c>
      <c r="T769" s="7">
        <f>'1 prepared data'!S762</f>
        <v/>
      </c>
      <c r="U769" s="7">
        <f>'1 prepared data'!T762</f>
        <v/>
      </c>
      <c r="V769" s="8">
        <f>$AC$12+D769*$AC$13+E769*$AC$14+F769*$AC$15+G769*$AC$16+H769*$AC$17+I769*$AC$18+J769*$AC$19+K769*$AC$20+L769*$AC$21+M769*$AC$22+N769*$AC$23+O769*$AC$24+P769*$AC$25+Q769*$AC$26+R769*$AC$27+S769*$AC$28+T769*$AC$29+U769*$AC$30</f>
        <v/>
      </c>
      <c r="W769" s="8">
        <f>1/(1+EXP(-V769))</f>
        <v/>
      </c>
      <c r="X769" s="9">
        <f>-IF(C769=1,LN(W769),LN(1-W769))</f>
        <v/>
      </c>
      <c r="Y769" s="10">
        <f>IF(W769&gt;$AC$33,1,0)</f>
        <v/>
      </c>
      <c r="Z769">
        <f>IF(Y769=C769,1,0)</f>
        <v/>
      </c>
    </row>
    <row r="770">
      <c r="A770">
        <f>'1 prepared data'!A763</f>
        <v/>
      </c>
      <c r="B770" s="5">
        <f>'1 prepared data'!U763</f>
        <v/>
      </c>
      <c r="C770">
        <f>'1 prepared data'!B763</f>
        <v/>
      </c>
      <c r="D770" s="7">
        <f>'1 prepared data'!C763</f>
        <v/>
      </c>
      <c r="E770" s="7">
        <f>'1 prepared data'!D763</f>
        <v/>
      </c>
      <c r="F770" s="7">
        <f>'1 prepared data'!E763</f>
        <v/>
      </c>
      <c r="G770" s="7">
        <f>'1 prepared data'!F763</f>
        <v/>
      </c>
      <c r="H770" s="7">
        <f>'1 prepared data'!G763</f>
        <v/>
      </c>
      <c r="I770" s="7">
        <f>'1 prepared data'!H763</f>
        <v/>
      </c>
      <c r="J770" s="7">
        <f>'1 prepared data'!I763</f>
        <v/>
      </c>
      <c r="K770" s="7">
        <f>'1 prepared data'!J763</f>
        <v/>
      </c>
      <c r="L770" s="7">
        <f>'1 prepared data'!K763</f>
        <v/>
      </c>
      <c r="M770" s="7">
        <f>'1 prepared data'!L763</f>
        <v/>
      </c>
      <c r="N770" s="7">
        <f>'1 prepared data'!M763</f>
        <v/>
      </c>
      <c r="O770" s="7">
        <f>'1 prepared data'!N763</f>
        <v/>
      </c>
      <c r="P770" s="7">
        <f>'1 prepared data'!O763</f>
        <v/>
      </c>
      <c r="Q770" s="7">
        <f>'1 prepared data'!P763</f>
        <v/>
      </c>
      <c r="R770" s="7">
        <f>'1 prepared data'!Q763</f>
        <v/>
      </c>
      <c r="S770" s="7">
        <f>'1 prepared data'!R763</f>
        <v/>
      </c>
      <c r="T770" s="7">
        <f>'1 prepared data'!S763</f>
        <v/>
      </c>
      <c r="U770" s="7">
        <f>'1 prepared data'!T763</f>
        <v/>
      </c>
      <c r="V770" s="8">
        <f>$AC$12+D770*$AC$13+E770*$AC$14+F770*$AC$15+G770*$AC$16+H770*$AC$17+I770*$AC$18+J770*$AC$19+K770*$AC$20+L770*$AC$21+M770*$AC$22+N770*$AC$23+O770*$AC$24+P770*$AC$25+Q770*$AC$26+R770*$AC$27+S770*$AC$28+T770*$AC$29+U770*$AC$30</f>
        <v/>
      </c>
      <c r="W770" s="8">
        <f>1/(1+EXP(-V770))</f>
        <v/>
      </c>
      <c r="X770" s="9">
        <f>-IF(C770=1,LN(W770),LN(1-W770))</f>
        <v/>
      </c>
      <c r="Y770" s="10">
        <f>IF(W770&gt;$AC$33,1,0)</f>
        <v/>
      </c>
      <c r="Z770">
        <f>IF(Y770=C770,1,0)</f>
        <v/>
      </c>
    </row>
    <row r="771">
      <c r="A771">
        <f>'1 prepared data'!A764</f>
        <v/>
      </c>
      <c r="B771" s="5">
        <f>'1 prepared data'!U764</f>
        <v/>
      </c>
      <c r="C771">
        <f>'1 prepared data'!B764</f>
        <v/>
      </c>
      <c r="D771" s="7">
        <f>'1 prepared data'!C764</f>
        <v/>
      </c>
      <c r="E771" s="7">
        <f>'1 prepared data'!D764</f>
        <v/>
      </c>
      <c r="F771" s="7">
        <f>'1 prepared data'!E764</f>
        <v/>
      </c>
      <c r="G771" s="7">
        <f>'1 prepared data'!F764</f>
        <v/>
      </c>
      <c r="H771" s="7">
        <f>'1 prepared data'!G764</f>
        <v/>
      </c>
      <c r="I771" s="7">
        <f>'1 prepared data'!H764</f>
        <v/>
      </c>
      <c r="J771" s="7">
        <f>'1 prepared data'!I764</f>
        <v/>
      </c>
      <c r="K771" s="7">
        <f>'1 prepared data'!J764</f>
        <v/>
      </c>
      <c r="L771" s="7">
        <f>'1 prepared data'!K764</f>
        <v/>
      </c>
      <c r="M771" s="7">
        <f>'1 prepared data'!L764</f>
        <v/>
      </c>
      <c r="N771" s="7">
        <f>'1 prepared data'!M764</f>
        <v/>
      </c>
      <c r="O771" s="7">
        <f>'1 prepared data'!N764</f>
        <v/>
      </c>
      <c r="P771" s="7">
        <f>'1 prepared data'!O764</f>
        <v/>
      </c>
      <c r="Q771" s="7">
        <f>'1 prepared data'!P764</f>
        <v/>
      </c>
      <c r="R771" s="7">
        <f>'1 prepared data'!Q764</f>
        <v/>
      </c>
      <c r="S771" s="7">
        <f>'1 prepared data'!R764</f>
        <v/>
      </c>
      <c r="T771" s="7">
        <f>'1 prepared data'!S764</f>
        <v/>
      </c>
      <c r="U771" s="7">
        <f>'1 prepared data'!T764</f>
        <v/>
      </c>
      <c r="V771" s="8">
        <f>$AC$12+D771*$AC$13+E771*$AC$14+F771*$AC$15+G771*$AC$16+H771*$AC$17+I771*$AC$18+J771*$AC$19+K771*$AC$20+L771*$AC$21+M771*$AC$22+N771*$AC$23+O771*$AC$24+P771*$AC$25+Q771*$AC$26+R771*$AC$27+S771*$AC$28+T771*$AC$29+U771*$AC$30</f>
        <v/>
      </c>
      <c r="W771" s="8">
        <f>1/(1+EXP(-V771))</f>
        <v/>
      </c>
      <c r="X771" s="9">
        <f>-IF(C771=1,LN(W771),LN(1-W771))</f>
        <v/>
      </c>
      <c r="Y771" s="10">
        <f>IF(W771&gt;$AC$33,1,0)</f>
        <v/>
      </c>
      <c r="Z771">
        <f>IF(Y771=C771,1,0)</f>
        <v/>
      </c>
    </row>
    <row r="772">
      <c r="A772">
        <f>'1 prepared data'!A765</f>
        <v/>
      </c>
      <c r="B772" s="5">
        <f>'1 prepared data'!U765</f>
        <v/>
      </c>
      <c r="C772">
        <f>'1 prepared data'!B765</f>
        <v/>
      </c>
      <c r="D772" s="7">
        <f>'1 prepared data'!C765</f>
        <v/>
      </c>
      <c r="E772" s="7">
        <f>'1 prepared data'!D765</f>
        <v/>
      </c>
      <c r="F772" s="7">
        <f>'1 prepared data'!E765</f>
        <v/>
      </c>
      <c r="G772" s="7">
        <f>'1 prepared data'!F765</f>
        <v/>
      </c>
      <c r="H772" s="7">
        <f>'1 prepared data'!G765</f>
        <v/>
      </c>
      <c r="I772" s="7">
        <f>'1 prepared data'!H765</f>
        <v/>
      </c>
      <c r="J772" s="7">
        <f>'1 prepared data'!I765</f>
        <v/>
      </c>
      <c r="K772" s="7">
        <f>'1 prepared data'!J765</f>
        <v/>
      </c>
      <c r="L772" s="7">
        <f>'1 prepared data'!K765</f>
        <v/>
      </c>
      <c r="M772" s="7">
        <f>'1 prepared data'!L765</f>
        <v/>
      </c>
      <c r="N772" s="7">
        <f>'1 prepared data'!M765</f>
        <v/>
      </c>
      <c r="O772" s="7">
        <f>'1 prepared data'!N765</f>
        <v/>
      </c>
      <c r="P772" s="7">
        <f>'1 prepared data'!O765</f>
        <v/>
      </c>
      <c r="Q772" s="7">
        <f>'1 prepared data'!P765</f>
        <v/>
      </c>
      <c r="R772" s="7">
        <f>'1 prepared data'!Q765</f>
        <v/>
      </c>
      <c r="S772" s="7">
        <f>'1 prepared data'!R765</f>
        <v/>
      </c>
      <c r="T772" s="7">
        <f>'1 prepared data'!S765</f>
        <v/>
      </c>
      <c r="U772" s="7">
        <f>'1 prepared data'!T765</f>
        <v/>
      </c>
      <c r="V772" s="8">
        <f>$AC$12+D772*$AC$13+E772*$AC$14+F772*$AC$15+G772*$AC$16+H772*$AC$17+I772*$AC$18+J772*$AC$19+K772*$AC$20+L772*$AC$21+M772*$AC$22+N772*$AC$23+O772*$AC$24+P772*$AC$25+Q772*$AC$26+R772*$AC$27+S772*$AC$28+T772*$AC$29+U772*$AC$30</f>
        <v/>
      </c>
      <c r="W772" s="8">
        <f>1/(1+EXP(-V772))</f>
        <v/>
      </c>
      <c r="X772" s="9">
        <f>-IF(C772=1,LN(W772),LN(1-W772))</f>
        <v/>
      </c>
      <c r="Y772" s="10">
        <f>IF(W772&gt;$AC$33,1,0)</f>
        <v/>
      </c>
      <c r="Z772">
        <f>IF(Y772=C772,1,0)</f>
        <v/>
      </c>
    </row>
    <row r="773">
      <c r="A773">
        <f>'1 prepared data'!A766</f>
        <v/>
      </c>
      <c r="B773" s="5">
        <f>'1 prepared data'!U766</f>
        <v/>
      </c>
      <c r="C773">
        <f>'1 prepared data'!B766</f>
        <v/>
      </c>
      <c r="D773" s="7">
        <f>'1 prepared data'!C766</f>
        <v/>
      </c>
      <c r="E773" s="7">
        <f>'1 prepared data'!D766</f>
        <v/>
      </c>
      <c r="F773" s="7">
        <f>'1 prepared data'!E766</f>
        <v/>
      </c>
      <c r="G773" s="7">
        <f>'1 prepared data'!F766</f>
        <v/>
      </c>
      <c r="H773" s="7">
        <f>'1 prepared data'!G766</f>
        <v/>
      </c>
      <c r="I773" s="7">
        <f>'1 prepared data'!H766</f>
        <v/>
      </c>
      <c r="J773" s="7">
        <f>'1 prepared data'!I766</f>
        <v/>
      </c>
      <c r="K773" s="7">
        <f>'1 prepared data'!J766</f>
        <v/>
      </c>
      <c r="L773" s="7">
        <f>'1 prepared data'!K766</f>
        <v/>
      </c>
      <c r="M773" s="7">
        <f>'1 prepared data'!L766</f>
        <v/>
      </c>
      <c r="N773" s="7">
        <f>'1 prepared data'!M766</f>
        <v/>
      </c>
      <c r="O773" s="7">
        <f>'1 prepared data'!N766</f>
        <v/>
      </c>
      <c r="P773" s="7">
        <f>'1 prepared data'!O766</f>
        <v/>
      </c>
      <c r="Q773" s="7">
        <f>'1 prepared data'!P766</f>
        <v/>
      </c>
      <c r="R773" s="7">
        <f>'1 prepared data'!Q766</f>
        <v/>
      </c>
      <c r="S773" s="7">
        <f>'1 prepared data'!R766</f>
        <v/>
      </c>
      <c r="T773" s="7">
        <f>'1 prepared data'!S766</f>
        <v/>
      </c>
      <c r="U773" s="7">
        <f>'1 prepared data'!T766</f>
        <v/>
      </c>
      <c r="V773" s="8">
        <f>$AC$12+D773*$AC$13+E773*$AC$14+F773*$AC$15+G773*$AC$16+H773*$AC$17+I773*$AC$18+J773*$AC$19+K773*$AC$20+L773*$AC$21+M773*$AC$22+N773*$AC$23+O773*$AC$24+P773*$AC$25+Q773*$AC$26+R773*$AC$27+S773*$AC$28+T773*$AC$29+U773*$AC$30</f>
        <v/>
      </c>
      <c r="W773" s="8">
        <f>1/(1+EXP(-V773))</f>
        <v/>
      </c>
      <c r="X773" s="9">
        <f>-IF(C773=1,LN(W773),LN(1-W773))</f>
        <v/>
      </c>
      <c r="Y773" s="10">
        <f>IF(W773&gt;$AC$33,1,0)</f>
        <v/>
      </c>
      <c r="Z773">
        <f>IF(Y773=C773,1,0)</f>
        <v/>
      </c>
    </row>
    <row r="774">
      <c r="A774">
        <f>'1 prepared data'!A767</f>
        <v/>
      </c>
      <c r="B774" s="5">
        <f>'1 prepared data'!U767</f>
        <v/>
      </c>
      <c r="C774">
        <f>'1 prepared data'!B767</f>
        <v/>
      </c>
      <c r="D774" s="7">
        <f>'1 prepared data'!C767</f>
        <v/>
      </c>
      <c r="E774" s="7">
        <f>'1 prepared data'!D767</f>
        <v/>
      </c>
      <c r="F774" s="7">
        <f>'1 prepared data'!E767</f>
        <v/>
      </c>
      <c r="G774" s="7">
        <f>'1 prepared data'!F767</f>
        <v/>
      </c>
      <c r="H774" s="7">
        <f>'1 prepared data'!G767</f>
        <v/>
      </c>
      <c r="I774" s="7">
        <f>'1 prepared data'!H767</f>
        <v/>
      </c>
      <c r="J774" s="7">
        <f>'1 prepared data'!I767</f>
        <v/>
      </c>
      <c r="K774" s="7">
        <f>'1 prepared data'!J767</f>
        <v/>
      </c>
      <c r="L774" s="7">
        <f>'1 prepared data'!K767</f>
        <v/>
      </c>
      <c r="M774" s="7">
        <f>'1 prepared data'!L767</f>
        <v/>
      </c>
      <c r="N774" s="7">
        <f>'1 prepared data'!M767</f>
        <v/>
      </c>
      <c r="O774" s="7">
        <f>'1 prepared data'!N767</f>
        <v/>
      </c>
      <c r="P774" s="7">
        <f>'1 prepared data'!O767</f>
        <v/>
      </c>
      <c r="Q774" s="7">
        <f>'1 prepared data'!P767</f>
        <v/>
      </c>
      <c r="R774" s="7">
        <f>'1 prepared data'!Q767</f>
        <v/>
      </c>
      <c r="S774" s="7">
        <f>'1 prepared data'!R767</f>
        <v/>
      </c>
      <c r="T774" s="7">
        <f>'1 prepared data'!S767</f>
        <v/>
      </c>
      <c r="U774" s="7">
        <f>'1 prepared data'!T767</f>
        <v/>
      </c>
      <c r="V774" s="8">
        <f>$AC$12+D774*$AC$13+E774*$AC$14+F774*$AC$15+G774*$AC$16+H774*$AC$17+I774*$AC$18+J774*$AC$19+K774*$AC$20+L774*$AC$21+M774*$AC$22+N774*$AC$23+O774*$AC$24+P774*$AC$25+Q774*$AC$26+R774*$AC$27+S774*$AC$28+T774*$AC$29+U774*$AC$30</f>
        <v/>
      </c>
      <c r="W774" s="8">
        <f>1/(1+EXP(-V774))</f>
        <v/>
      </c>
      <c r="X774" s="9">
        <f>-IF(C774=1,LN(W774),LN(1-W774))</f>
        <v/>
      </c>
      <c r="Y774" s="10">
        <f>IF(W774&gt;$AC$33,1,0)</f>
        <v/>
      </c>
      <c r="Z774">
        <f>IF(Y774=C774,1,0)</f>
        <v/>
      </c>
    </row>
    <row r="775">
      <c r="A775">
        <f>'1 prepared data'!A768</f>
        <v/>
      </c>
      <c r="B775" s="5">
        <f>'1 prepared data'!U768</f>
        <v/>
      </c>
      <c r="C775">
        <f>'1 prepared data'!B768</f>
        <v/>
      </c>
      <c r="D775" s="7">
        <f>'1 prepared data'!C768</f>
        <v/>
      </c>
      <c r="E775" s="7">
        <f>'1 prepared data'!D768</f>
        <v/>
      </c>
      <c r="F775" s="7">
        <f>'1 prepared data'!E768</f>
        <v/>
      </c>
      <c r="G775" s="7">
        <f>'1 prepared data'!F768</f>
        <v/>
      </c>
      <c r="H775" s="7">
        <f>'1 prepared data'!G768</f>
        <v/>
      </c>
      <c r="I775" s="7">
        <f>'1 prepared data'!H768</f>
        <v/>
      </c>
      <c r="J775" s="7">
        <f>'1 prepared data'!I768</f>
        <v/>
      </c>
      <c r="K775" s="7">
        <f>'1 prepared data'!J768</f>
        <v/>
      </c>
      <c r="L775" s="7">
        <f>'1 prepared data'!K768</f>
        <v/>
      </c>
      <c r="M775" s="7">
        <f>'1 prepared data'!L768</f>
        <v/>
      </c>
      <c r="N775" s="7">
        <f>'1 prepared data'!M768</f>
        <v/>
      </c>
      <c r="O775" s="7">
        <f>'1 prepared data'!N768</f>
        <v/>
      </c>
      <c r="P775" s="7">
        <f>'1 prepared data'!O768</f>
        <v/>
      </c>
      <c r="Q775" s="7">
        <f>'1 prepared data'!P768</f>
        <v/>
      </c>
      <c r="R775" s="7">
        <f>'1 prepared data'!Q768</f>
        <v/>
      </c>
      <c r="S775" s="7">
        <f>'1 prepared data'!R768</f>
        <v/>
      </c>
      <c r="T775" s="7">
        <f>'1 prepared data'!S768</f>
        <v/>
      </c>
      <c r="U775" s="7">
        <f>'1 prepared data'!T768</f>
        <v/>
      </c>
      <c r="V775" s="8">
        <f>$AC$12+D775*$AC$13+E775*$AC$14+F775*$AC$15+G775*$AC$16+H775*$AC$17+I775*$AC$18+J775*$AC$19+K775*$AC$20+L775*$AC$21+M775*$AC$22+N775*$AC$23+O775*$AC$24+P775*$AC$25+Q775*$AC$26+R775*$AC$27+S775*$AC$28+T775*$AC$29+U775*$AC$30</f>
        <v/>
      </c>
      <c r="W775" s="8">
        <f>1/(1+EXP(-V775))</f>
        <v/>
      </c>
      <c r="X775" s="9">
        <f>-IF(C775=1,LN(W775),LN(1-W775))</f>
        <v/>
      </c>
      <c r="Y775" s="10">
        <f>IF(W775&gt;$AC$33,1,0)</f>
        <v/>
      </c>
      <c r="Z775">
        <f>IF(Y775=C775,1,0)</f>
        <v/>
      </c>
    </row>
    <row r="776">
      <c r="A776">
        <f>'1 prepared data'!A769</f>
        <v/>
      </c>
      <c r="B776" s="5">
        <f>'1 prepared data'!U769</f>
        <v/>
      </c>
      <c r="C776">
        <f>'1 prepared data'!B769</f>
        <v/>
      </c>
      <c r="D776" s="7">
        <f>'1 prepared data'!C769</f>
        <v/>
      </c>
      <c r="E776" s="7">
        <f>'1 prepared data'!D769</f>
        <v/>
      </c>
      <c r="F776" s="7">
        <f>'1 prepared data'!E769</f>
        <v/>
      </c>
      <c r="G776" s="7">
        <f>'1 prepared data'!F769</f>
        <v/>
      </c>
      <c r="H776" s="7">
        <f>'1 prepared data'!G769</f>
        <v/>
      </c>
      <c r="I776" s="7">
        <f>'1 prepared data'!H769</f>
        <v/>
      </c>
      <c r="J776" s="7">
        <f>'1 prepared data'!I769</f>
        <v/>
      </c>
      <c r="K776" s="7">
        <f>'1 prepared data'!J769</f>
        <v/>
      </c>
      <c r="L776" s="7">
        <f>'1 prepared data'!K769</f>
        <v/>
      </c>
      <c r="M776" s="7">
        <f>'1 prepared data'!L769</f>
        <v/>
      </c>
      <c r="N776" s="7">
        <f>'1 prepared data'!M769</f>
        <v/>
      </c>
      <c r="O776" s="7">
        <f>'1 prepared data'!N769</f>
        <v/>
      </c>
      <c r="P776" s="7">
        <f>'1 prepared data'!O769</f>
        <v/>
      </c>
      <c r="Q776" s="7">
        <f>'1 prepared data'!P769</f>
        <v/>
      </c>
      <c r="R776" s="7">
        <f>'1 prepared data'!Q769</f>
        <v/>
      </c>
      <c r="S776" s="7">
        <f>'1 prepared data'!R769</f>
        <v/>
      </c>
      <c r="T776" s="7">
        <f>'1 prepared data'!S769</f>
        <v/>
      </c>
      <c r="U776" s="7">
        <f>'1 prepared data'!T769</f>
        <v/>
      </c>
      <c r="V776" s="8">
        <f>$AC$12+D776*$AC$13+E776*$AC$14+F776*$AC$15+G776*$AC$16+H776*$AC$17+I776*$AC$18+J776*$AC$19+K776*$AC$20+L776*$AC$21+M776*$AC$22+N776*$AC$23+O776*$AC$24+P776*$AC$25+Q776*$AC$26+R776*$AC$27+S776*$AC$28+T776*$AC$29+U776*$AC$30</f>
        <v/>
      </c>
      <c r="W776" s="8">
        <f>1/(1+EXP(-V776))</f>
        <v/>
      </c>
      <c r="X776" s="9">
        <f>-IF(C776=1,LN(W776),LN(1-W776))</f>
        <v/>
      </c>
      <c r="Y776" s="10">
        <f>IF(W776&gt;$AC$33,1,0)</f>
        <v/>
      </c>
      <c r="Z776">
        <f>IF(Y776=C776,1,0)</f>
        <v/>
      </c>
    </row>
    <row r="777">
      <c r="A777">
        <f>'1 prepared data'!A770</f>
        <v/>
      </c>
      <c r="B777" s="5">
        <f>'1 prepared data'!U770</f>
        <v/>
      </c>
      <c r="C777">
        <f>'1 prepared data'!B770</f>
        <v/>
      </c>
      <c r="D777" s="7">
        <f>'1 prepared data'!C770</f>
        <v/>
      </c>
      <c r="E777" s="7">
        <f>'1 prepared data'!D770</f>
        <v/>
      </c>
      <c r="F777" s="7">
        <f>'1 prepared data'!E770</f>
        <v/>
      </c>
      <c r="G777" s="7">
        <f>'1 prepared data'!F770</f>
        <v/>
      </c>
      <c r="H777" s="7">
        <f>'1 prepared data'!G770</f>
        <v/>
      </c>
      <c r="I777" s="7">
        <f>'1 prepared data'!H770</f>
        <v/>
      </c>
      <c r="J777" s="7">
        <f>'1 prepared data'!I770</f>
        <v/>
      </c>
      <c r="K777" s="7">
        <f>'1 prepared data'!J770</f>
        <v/>
      </c>
      <c r="L777" s="7">
        <f>'1 prepared data'!K770</f>
        <v/>
      </c>
      <c r="M777" s="7">
        <f>'1 prepared data'!L770</f>
        <v/>
      </c>
      <c r="N777" s="7">
        <f>'1 prepared data'!M770</f>
        <v/>
      </c>
      <c r="O777" s="7">
        <f>'1 prepared data'!N770</f>
        <v/>
      </c>
      <c r="P777" s="7">
        <f>'1 prepared data'!O770</f>
        <v/>
      </c>
      <c r="Q777" s="7">
        <f>'1 prepared data'!P770</f>
        <v/>
      </c>
      <c r="R777" s="7">
        <f>'1 prepared data'!Q770</f>
        <v/>
      </c>
      <c r="S777" s="7">
        <f>'1 prepared data'!R770</f>
        <v/>
      </c>
      <c r="T777" s="7">
        <f>'1 prepared data'!S770</f>
        <v/>
      </c>
      <c r="U777" s="7">
        <f>'1 prepared data'!T770</f>
        <v/>
      </c>
      <c r="V777" s="8">
        <f>$AC$12+D777*$AC$13+E777*$AC$14+F777*$AC$15+G777*$AC$16+H777*$AC$17+I777*$AC$18+J777*$AC$19+K777*$AC$20+L777*$AC$21+M777*$AC$22+N777*$AC$23+O777*$AC$24+P777*$AC$25+Q777*$AC$26+R777*$AC$27+S777*$AC$28+T777*$AC$29+U777*$AC$30</f>
        <v/>
      </c>
      <c r="W777" s="8">
        <f>1/(1+EXP(-V777))</f>
        <v/>
      </c>
      <c r="X777" s="9">
        <f>-IF(C777=1,LN(W777),LN(1-W777))</f>
        <v/>
      </c>
      <c r="Y777" s="10">
        <f>IF(W777&gt;$AC$33,1,0)</f>
        <v/>
      </c>
      <c r="Z777">
        <f>IF(Y777=C777,1,0)</f>
        <v/>
      </c>
    </row>
    <row r="778">
      <c r="A778">
        <f>'1 prepared data'!A771</f>
        <v/>
      </c>
      <c r="B778" s="5">
        <f>'1 prepared data'!U771</f>
        <v/>
      </c>
      <c r="C778">
        <f>'1 prepared data'!B771</f>
        <v/>
      </c>
      <c r="D778" s="7">
        <f>'1 prepared data'!C771</f>
        <v/>
      </c>
      <c r="E778" s="7">
        <f>'1 prepared data'!D771</f>
        <v/>
      </c>
      <c r="F778" s="7">
        <f>'1 prepared data'!E771</f>
        <v/>
      </c>
      <c r="G778" s="7">
        <f>'1 prepared data'!F771</f>
        <v/>
      </c>
      <c r="H778" s="7">
        <f>'1 prepared data'!G771</f>
        <v/>
      </c>
      <c r="I778" s="7">
        <f>'1 prepared data'!H771</f>
        <v/>
      </c>
      <c r="J778" s="7">
        <f>'1 prepared data'!I771</f>
        <v/>
      </c>
      <c r="K778" s="7">
        <f>'1 prepared data'!J771</f>
        <v/>
      </c>
      <c r="L778" s="7">
        <f>'1 prepared data'!K771</f>
        <v/>
      </c>
      <c r="M778" s="7">
        <f>'1 prepared data'!L771</f>
        <v/>
      </c>
      <c r="N778" s="7">
        <f>'1 prepared data'!M771</f>
        <v/>
      </c>
      <c r="O778" s="7">
        <f>'1 prepared data'!N771</f>
        <v/>
      </c>
      <c r="P778" s="7">
        <f>'1 prepared data'!O771</f>
        <v/>
      </c>
      <c r="Q778" s="7">
        <f>'1 prepared data'!P771</f>
        <v/>
      </c>
      <c r="R778" s="7">
        <f>'1 prepared data'!Q771</f>
        <v/>
      </c>
      <c r="S778" s="7">
        <f>'1 prepared data'!R771</f>
        <v/>
      </c>
      <c r="T778" s="7">
        <f>'1 prepared data'!S771</f>
        <v/>
      </c>
      <c r="U778" s="7">
        <f>'1 prepared data'!T771</f>
        <v/>
      </c>
      <c r="V778" s="8">
        <f>$AC$12+D778*$AC$13+E778*$AC$14+F778*$AC$15+G778*$AC$16+H778*$AC$17+I778*$AC$18+J778*$AC$19+K778*$AC$20+L778*$AC$21+M778*$AC$22+N778*$AC$23+O778*$AC$24+P778*$AC$25+Q778*$AC$26+R778*$AC$27+S778*$AC$28+T778*$AC$29+U778*$AC$30</f>
        <v/>
      </c>
      <c r="W778" s="8">
        <f>1/(1+EXP(-V778))</f>
        <v/>
      </c>
      <c r="X778" s="9">
        <f>-IF(C778=1,LN(W778),LN(1-W778))</f>
        <v/>
      </c>
      <c r="Y778" s="10">
        <f>IF(W778&gt;$AC$33,1,0)</f>
        <v/>
      </c>
      <c r="Z778">
        <f>IF(Y778=C778,1,0)</f>
        <v/>
      </c>
    </row>
    <row r="779">
      <c r="A779">
        <f>'1 prepared data'!A772</f>
        <v/>
      </c>
      <c r="B779" s="5">
        <f>'1 prepared data'!U772</f>
        <v/>
      </c>
      <c r="C779">
        <f>'1 prepared data'!B772</f>
        <v/>
      </c>
      <c r="D779" s="7">
        <f>'1 prepared data'!C772</f>
        <v/>
      </c>
      <c r="E779" s="7">
        <f>'1 prepared data'!D772</f>
        <v/>
      </c>
      <c r="F779" s="7">
        <f>'1 prepared data'!E772</f>
        <v/>
      </c>
      <c r="G779" s="7">
        <f>'1 prepared data'!F772</f>
        <v/>
      </c>
      <c r="H779" s="7">
        <f>'1 prepared data'!G772</f>
        <v/>
      </c>
      <c r="I779" s="7">
        <f>'1 prepared data'!H772</f>
        <v/>
      </c>
      <c r="J779" s="7">
        <f>'1 prepared data'!I772</f>
        <v/>
      </c>
      <c r="K779" s="7">
        <f>'1 prepared data'!J772</f>
        <v/>
      </c>
      <c r="L779" s="7">
        <f>'1 prepared data'!K772</f>
        <v/>
      </c>
      <c r="M779" s="7">
        <f>'1 prepared data'!L772</f>
        <v/>
      </c>
      <c r="N779" s="7">
        <f>'1 prepared data'!M772</f>
        <v/>
      </c>
      <c r="O779" s="7">
        <f>'1 prepared data'!N772</f>
        <v/>
      </c>
      <c r="P779" s="7">
        <f>'1 prepared data'!O772</f>
        <v/>
      </c>
      <c r="Q779" s="7">
        <f>'1 prepared data'!P772</f>
        <v/>
      </c>
      <c r="R779" s="7">
        <f>'1 prepared data'!Q772</f>
        <v/>
      </c>
      <c r="S779" s="7">
        <f>'1 prepared data'!R772</f>
        <v/>
      </c>
      <c r="T779" s="7">
        <f>'1 prepared data'!S772</f>
        <v/>
      </c>
      <c r="U779" s="7">
        <f>'1 prepared data'!T772</f>
        <v/>
      </c>
      <c r="V779" s="8">
        <f>$AC$12+D779*$AC$13+E779*$AC$14+F779*$AC$15+G779*$AC$16+H779*$AC$17+I779*$AC$18+J779*$AC$19+K779*$AC$20+L779*$AC$21+M779*$AC$22+N779*$AC$23+O779*$AC$24+P779*$AC$25+Q779*$AC$26+R779*$AC$27+S779*$AC$28+T779*$AC$29+U779*$AC$30</f>
        <v/>
      </c>
      <c r="W779" s="8">
        <f>1/(1+EXP(-V779))</f>
        <v/>
      </c>
      <c r="X779" s="9">
        <f>-IF(C779=1,LN(W779),LN(1-W779))</f>
        <v/>
      </c>
      <c r="Y779" s="10">
        <f>IF(W779&gt;$AC$33,1,0)</f>
        <v/>
      </c>
      <c r="Z779">
        <f>IF(Y779=C779,1,0)</f>
        <v/>
      </c>
    </row>
    <row r="780">
      <c r="A780">
        <f>'1 prepared data'!A773</f>
        <v/>
      </c>
      <c r="B780" s="5">
        <f>'1 prepared data'!U773</f>
        <v/>
      </c>
      <c r="C780">
        <f>'1 prepared data'!B773</f>
        <v/>
      </c>
      <c r="D780" s="7">
        <f>'1 prepared data'!C773</f>
        <v/>
      </c>
      <c r="E780" s="7">
        <f>'1 prepared data'!D773</f>
        <v/>
      </c>
      <c r="F780" s="7">
        <f>'1 prepared data'!E773</f>
        <v/>
      </c>
      <c r="G780" s="7">
        <f>'1 prepared data'!F773</f>
        <v/>
      </c>
      <c r="H780" s="7">
        <f>'1 prepared data'!G773</f>
        <v/>
      </c>
      <c r="I780" s="7">
        <f>'1 prepared data'!H773</f>
        <v/>
      </c>
      <c r="J780" s="7">
        <f>'1 prepared data'!I773</f>
        <v/>
      </c>
      <c r="K780" s="7">
        <f>'1 prepared data'!J773</f>
        <v/>
      </c>
      <c r="L780" s="7">
        <f>'1 prepared data'!K773</f>
        <v/>
      </c>
      <c r="M780" s="7">
        <f>'1 prepared data'!L773</f>
        <v/>
      </c>
      <c r="N780" s="7">
        <f>'1 prepared data'!M773</f>
        <v/>
      </c>
      <c r="O780" s="7">
        <f>'1 prepared data'!N773</f>
        <v/>
      </c>
      <c r="P780" s="7">
        <f>'1 prepared data'!O773</f>
        <v/>
      </c>
      <c r="Q780" s="7">
        <f>'1 prepared data'!P773</f>
        <v/>
      </c>
      <c r="R780" s="7">
        <f>'1 prepared data'!Q773</f>
        <v/>
      </c>
      <c r="S780" s="7">
        <f>'1 prepared data'!R773</f>
        <v/>
      </c>
      <c r="T780" s="7">
        <f>'1 prepared data'!S773</f>
        <v/>
      </c>
      <c r="U780" s="7">
        <f>'1 prepared data'!T773</f>
        <v/>
      </c>
      <c r="V780" s="8">
        <f>$AC$12+D780*$AC$13+E780*$AC$14+F780*$AC$15+G780*$AC$16+H780*$AC$17+I780*$AC$18+J780*$AC$19+K780*$AC$20+L780*$AC$21+M780*$AC$22+N780*$AC$23+O780*$AC$24+P780*$AC$25+Q780*$AC$26+R780*$AC$27+S780*$AC$28+T780*$AC$29+U780*$AC$30</f>
        <v/>
      </c>
      <c r="W780" s="8">
        <f>1/(1+EXP(-V780))</f>
        <v/>
      </c>
      <c r="X780" s="9">
        <f>-IF(C780=1,LN(W780),LN(1-W780))</f>
        <v/>
      </c>
      <c r="Y780" s="10">
        <f>IF(W780&gt;$AC$33,1,0)</f>
        <v/>
      </c>
      <c r="Z780">
        <f>IF(Y780=C780,1,0)</f>
        <v/>
      </c>
    </row>
    <row r="781">
      <c r="A781">
        <f>'1 prepared data'!A774</f>
        <v/>
      </c>
      <c r="B781" s="5">
        <f>'1 prepared data'!U774</f>
        <v/>
      </c>
      <c r="C781">
        <f>'1 prepared data'!B774</f>
        <v/>
      </c>
      <c r="D781" s="7">
        <f>'1 prepared data'!C774</f>
        <v/>
      </c>
      <c r="E781" s="7">
        <f>'1 prepared data'!D774</f>
        <v/>
      </c>
      <c r="F781" s="7">
        <f>'1 prepared data'!E774</f>
        <v/>
      </c>
      <c r="G781" s="7">
        <f>'1 prepared data'!F774</f>
        <v/>
      </c>
      <c r="H781" s="7">
        <f>'1 prepared data'!G774</f>
        <v/>
      </c>
      <c r="I781" s="7">
        <f>'1 prepared data'!H774</f>
        <v/>
      </c>
      <c r="J781" s="7">
        <f>'1 prepared data'!I774</f>
        <v/>
      </c>
      <c r="K781" s="7">
        <f>'1 prepared data'!J774</f>
        <v/>
      </c>
      <c r="L781" s="7">
        <f>'1 prepared data'!K774</f>
        <v/>
      </c>
      <c r="M781" s="7">
        <f>'1 prepared data'!L774</f>
        <v/>
      </c>
      <c r="N781" s="7">
        <f>'1 prepared data'!M774</f>
        <v/>
      </c>
      <c r="O781" s="7">
        <f>'1 prepared data'!N774</f>
        <v/>
      </c>
      <c r="P781" s="7">
        <f>'1 prepared data'!O774</f>
        <v/>
      </c>
      <c r="Q781" s="7">
        <f>'1 prepared data'!P774</f>
        <v/>
      </c>
      <c r="R781" s="7">
        <f>'1 prepared data'!Q774</f>
        <v/>
      </c>
      <c r="S781" s="7">
        <f>'1 prepared data'!R774</f>
        <v/>
      </c>
      <c r="T781" s="7">
        <f>'1 prepared data'!S774</f>
        <v/>
      </c>
      <c r="U781" s="7">
        <f>'1 prepared data'!T774</f>
        <v/>
      </c>
      <c r="V781" s="8">
        <f>$AC$12+D781*$AC$13+E781*$AC$14+F781*$AC$15+G781*$AC$16+H781*$AC$17+I781*$AC$18+J781*$AC$19+K781*$AC$20+L781*$AC$21+M781*$AC$22+N781*$AC$23+O781*$AC$24+P781*$AC$25+Q781*$AC$26+R781*$AC$27+S781*$AC$28+T781*$AC$29+U781*$AC$30</f>
        <v/>
      </c>
      <c r="W781" s="8">
        <f>1/(1+EXP(-V781))</f>
        <v/>
      </c>
      <c r="X781" s="9">
        <f>-IF(C781=1,LN(W781),LN(1-W781))</f>
        <v/>
      </c>
      <c r="Y781" s="10">
        <f>IF(W781&gt;$AC$33,1,0)</f>
        <v/>
      </c>
      <c r="Z781">
        <f>IF(Y781=C781,1,0)</f>
        <v/>
      </c>
    </row>
    <row r="782">
      <c r="A782">
        <f>'1 prepared data'!A775</f>
        <v/>
      </c>
      <c r="B782" s="5">
        <f>'1 prepared data'!U775</f>
        <v/>
      </c>
      <c r="C782">
        <f>'1 prepared data'!B775</f>
        <v/>
      </c>
      <c r="D782" s="7">
        <f>'1 prepared data'!C775</f>
        <v/>
      </c>
      <c r="E782" s="7">
        <f>'1 prepared data'!D775</f>
        <v/>
      </c>
      <c r="F782" s="7">
        <f>'1 prepared data'!E775</f>
        <v/>
      </c>
      <c r="G782" s="7">
        <f>'1 prepared data'!F775</f>
        <v/>
      </c>
      <c r="H782" s="7">
        <f>'1 prepared data'!G775</f>
        <v/>
      </c>
      <c r="I782" s="7">
        <f>'1 prepared data'!H775</f>
        <v/>
      </c>
      <c r="J782" s="7">
        <f>'1 prepared data'!I775</f>
        <v/>
      </c>
      <c r="K782" s="7">
        <f>'1 prepared data'!J775</f>
        <v/>
      </c>
      <c r="L782" s="7">
        <f>'1 prepared data'!K775</f>
        <v/>
      </c>
      <c r="M782" s="7">
        <f>'1 prepared data'!L775</f>
        <v/>
      </c>
      <c r="N782" s="7">
        <f>'1 prepared data'!M775</f>
        <v/>
      </c>
      <c r="O782" s="7">
        <f>'1 prepared data'!N775</f>
        <v/>
      </c>
      <c r="P782" s="7">
        <f>'1 prepared data'!O775</f>
        <v/>
      </c>
      <c r="Q782" s="7">
        <f>'1 prepared data'!P775</f>
        <v/>
      </c>
      <c r="R782" s="7">
        <f>'1 prepared data'!Q775</f>
        <v/>
      </c>
      <c r="S782" s="7">
        <f>'1 prepared data'!R775</f>
        <v/>
      </c>
      <c r="T782" s="7">
        <f>'1 prepared data'!S775</f>
        <v/>
      </c>
      <c r="U782" s="7">
        <f>'1 prepared data'!T775</f>
        <v/>
      </c>
      <c r="V782" s="8">
        <f>$AC$12+D782*$AC$13+E782*$AC$14+F782*$AC$15+G782*$AC$16+H782*$AC$17+I782*$AC$18+J782*$AC$19+K782*$AC$20+L782*$AC$21+M782*$AC$22+N782*$AC$23+O782*$AC$24+P782*$AC$25+Q782*$AC$26+R782*$AC$27+S782*$AC$28+T782*$AC$29+U782*$AC$30</f>
        <v/>
      </c>
      <c r="W782" s="8">
        <f>1/(1+EXP(-V782))</f>
        <v/>
      </c>
      <c r="X782" s="9">
        <f>-IF(C782=1,LN(W782),LN(1-W782))</f>
        <v/>
      </c>
      <c r="Y782" s="10">
        <f>IF(W782&gt;$AC$33,1,0)</f>
        <v/>
      </c>
      <c r="Z782">
        <f>IF(Y782=C782,1,0)</f>
        <v/>
      </c>
    </row>
    <row r="783">
      <c r="A783">
        <f>'1 prepared data'!A776</f>
        <v/>
      </c>
      <c r="B783" s="5">
        <f>'1 prepared data'!U776</f>
        <v/>
      </c>
      <c r="C783">
        <f>'1 prepared data'!B776</f>
        <v/>
      </c>
      <c r="D783" s="7">
        <f>'1 prepared data'!C776</f>
        <v/>
      </c>
      <c r="E783" s="7">
        <f>'1 prepared data'!D776</f>
        <v/>
      </c>
      <c r="F783" s="7">
        <f>'1 prepared data'!E776</f>
        <v/>
      </c>
      <c r="G783" s="7">
        <f>'1 prepared data'!F776</f>
        <v/>
      </c>
      <c r="H783" s="7">
        <f>'1 prepared data'!G776</f>
        <v/>
      </c>
      <c r="I783" s="7">
        <f>'1 prepared data'!H776</f>
        <v/>
      </c>
      <c r="J783" s="7">
        <f>'1 prepared data'!I776</f>
        <v/>
      </c>
      <c r="K783" s="7">
        <f>'1 prepared data'!J776</f>
        <v/>
      </c>
      <c r="L783" s="7">
        <f>'1 prepared data'!K776</f>
        <v/>
      </c>
      <c r="M783" s="7">
        <f>'1 prepared data'!L776</f>
        <v/>
      </c>
      <c r="N783" s="7">
        <f>'1 prepared data'!M776</f>
        <v/>
      </c>
      <c r="O783" s="7">
        <f>'1 prepared data'!N776</f>
        <v/>
      </c>
      <c r="P783" s="7">
        <f>'1 prepared data'!O776</f>
        <v/>
      </c>
      <c r="Q783" s="7">
        <f>'1 prepared data'!P776</f>
        <v/>
      </c>
      <c r="R783" s="7">
        <f>'1 prepared data'!Q776</f>
        <v/>
      </c>
      <c r="S783" s="7">
        <f>'1 prepared data'!R776</f>
        <v/>
      </c>
      <c r="T783" s="7">
        <f>'1 prepared data'!S776</f>
        <v/>
      </c>
      <c r="U783" s="7">
        <f>'1 prepared data'!T776</f>
        <v/>
      </c>
      <c r="V783" s="8">
        <f>$AC$12+D783*$AC$13+E783*$AC$14+F783*$AC$15+G783*$AC$16+H783*$AC$17+I783*$AC$18+J783*$AC$19+K783*$AC$20+L783*$AC$21+M783*$AC$22+N783*$AC$23+O783*$AC$24+P783*$AC$25+Q783*$AC$26+R783*$AC$27+S783*$AC$28+T783*$AC$29+U783*$AC$30</f>
        <v/>
      </c>
      <c r="W783" s="8">
        <f>1/(1+EXP(-V783))</f>
        <v/>
      </c>
      <c r="X783" s="9">
        <f>-IF(C783=1,LN(W783),LN(1-W783))</f>
        <v/>
      </c>
      <c r="Y783" s="10">
        <f>IF(W783&gt;$AC$33,1,0)</f>
        <v/>
      </c>
      <c r="Z783">
        <f>IF(Y783=C783,1,0)</f>
        <v/>
      </c>
    </row>
    <row r="784">
      <c r="A784">
        <f>'1 prepared data'!A777</f>
        <v/>
      </c>
      <c r="B784" s="5">
        <f>'1 prepared data'!U777</f>
        <v/>
      </c>
      <c r="C784">
        <f>'1 prepared data'!B777</f>
        <v/>
      </c>
      <c r="D784" s="7">
        <f>'1 prepared data'!C777</f>
        <v/>
      </c>
      <c r="E784" s="7">
        <f>'1 prepared data'!D777</f>
        <v/>
      </c>
      <c r="F784" s="7">
        <f>'1 prepared data'!E777</f>
        <v/>
      </c>
      <c r="G784" s="7">
        <f>'1 prepared data'!F777</f>
        <v/>
      </c>
      <c r="H784" s="7">
        <f>'1 prepared data'!G777</f>
        <v/>
      </c>
      <c r="I784" s="7">
        <f>'1 prepared data'!H777</f>
        <v/>
      </c>
      <c r="J784" s="7">
        <f>'1 prepared data'!I777</f>
        <v/>
      </c>
      <c r="K784" s="7">
        <f>'1 prepared data'!J777</f>
        <v/>
      </c>
      <c r="L784" s="7">
        <f>'1 prepared data'!K777</f>
        <v/>
      </c>
      <c r="M784" s="7">
        <f>'1 prepared data'!L777</f>
        <v/>
      </c>
      <c r="N784" s="7">
        <f>'1 prepared data'!M777</f>
        <v/>
      </c>
      <c r="O784" s="7">
        <f>'1 prepared data'!N777</f>
        <v/>
      </c>
      <c r="P784" s="7">
        <f>'1 prepared data'!O777</f>
        <v/>
      </c>
      <c r="Q784" s="7">
        <f>'1 prepared data'!P777</f>
        <v/>
      </c>
      <c r="R784" s="7">
        <f>'1 prepared data'!Q777</f>
        <v/>
      </c>
      <c r="S784" s="7">
        <f>'1 prepared data'!R777</f>
        <v/>
      </c>
      <c r="T784" s="7">
        <f>'1 prepared data'!S777</f>
        <v/>
      </c>
      <c r="U784" s="7">
        <f>'1 prepared data'!T777</f>
        <v/>
      </c>
      <c r="V784" s="8">
        <f>$AC$12+D784*$AC$13+E784*$AC$14+F784*$AC$15+G784*$AC$16+H784*$AC$17+I784*$AC$18+J784*$AC$19+K784*$AC$20+L784*$AC$21+M784*$AC$22+N784*$AC$23+O784*$AC$24+P784*$AC$25+Q784*$AC$26+R784*$AC$27+S784*$AC$28+T784*$AC$29+U784*$AC$30</f>
        <v/>
      </c>
      <c r="W784" s="8">
        <f>1/(1+EXP(-V784))</f>
        <v/>
      </c>
      <c r="X784" s="9">
        <f>-IF(C784=1,LN(W784),LN(1-W784))</f>
        <v/>
      </c>
      <c r="Y784" s="10">
        <f>IF(W784&gt;$AC$33,1,0)</f>
        <v/>
      </c>
      <c r="Z784">
        <f>IF(Y784=C784,1,0)</f>
        <v/>
      </c>
    </row>
    <row r="785">
      <c r="A785">
        <f>'1 prepared data'!A778</f>
        <v/>
      </c>
      <c r="B785" s="5">
        <f>'1 prepared data'!U778</f>
        <v/>
      </c>
      <c r="C785">
        <f>'1 prepared data'!B778</f>
        <v/>
      </c>
      <c r="D785" s="7">
        <f>'1 prepared data'!C778</f>
        <v/>
      </c>
      <c r="E785" s="7">
        <f>'1 prepared data'!D778</f>
        <v/>
      </c>
      <c r="F785" s="7">
        <f>'1 prepared data'!E778</f>
        <v/>
      </c>
      <c r="G785" s="7">
        <f>'1 prepared data'!F778</f>
        <v/>
      </c>
      <c r="H785" s="7">
        <f>'1 prepared data'!G778</f>
        <v/>
      </c>
      <c r="I785" s="7">
        <f>'1 prepared data'!H778</f>
        <v/>
      </c>
      <c r="J785" s="7">
        <f>'1 prepared data'!I778</f>
        <v/>
      </c>
      <c r="K785" s="7">
        <f>'1 prepared data'!J778</f>
        <v/>
      </c>
      <c r="L785" s="7">
        <f>'1 prepared data'!K778</f>
        <v/>
      </c>
      <c r="M785" s="7">
        <f>'1 prepared data'!L778</f>
        <v/>
      </c>
      <c r="N785" s="7">
        <f>'1 prepared data'!M778</f>
        <v/>
      </c>
      <c r="O785" s="7">
        <f>'1 prepared data'!N778</f>
        <v/>
      </c>
      <c r="P785" s="7">
        <f>'1 prepared data'!O778</f>
        <v/>
      </c>
      <c r="Q785" s="7">
        <f>'1 prepared data'!P778</f>
        <v/>
      </c>
      <c r="R785" s="7">
        <f>'1 prepared data'!Q778</f>
        <v/>
      </c>
      <c r="S785" s="7">
        <f>'1 prepared data'!R778</f>
        <v/>
      </c>
      <c r="T785" s="7">
        <f>'1 prepared data'!S778</f>
        <v/>
      </c>
      <c r="U785" s="7">
        <f>'1 prepared data'!T778</f>
        <v/>
      </c>
      <c r="V785" s="8">
        <f>$AC$12+D785*$AC$13+E785*$AC$14+F785*$AC$15+G785*$AC$16+H785*$AC$17+I785*$AC$18+J785*$AC$19+K785*$AC$20+L785*$AC$21+M785*$AC$22+N785*$AC$23+O785*$AC$24+P785*$AC$25+Q785*$AC$26+R785*$AC$27+S785*$AC$28+T785*$AC$29+U785*$AC$30</f>
        <v/>
      </c>
      <c r="W785" s="8">
        <f>1/(1+EXP(-V785))</f>
        <v/>
      </c>
      <c r="X785" s="9">
        <f>-IF(C785=1,LN(W785),LN(1-W785))</f>
        <v/>
      </c>
      <c r="Y785" s="10">
        <f>IF(W785&gt;$AC$33,1,0)</f>
        <v/>
      </c>
      <c r="Z785">
        <f>IF(Y785=C785,1,0)</f>
        <v/>
      </c>
    </row>
    <row r="786">
      <c r="A786">
        <f>'1 prepared data'!A779</f>
        <v/>
      </c>
      <c r="B786" s="5">
        <f>'1 prepared data'!U779</f>
        <v/>
      </c>
      <c r="C786">
        <f>'1 prepared data'!B779</f>
        <v/>
      </c>
      <c r="D786" s="7">
        <f>'1 prepared data'!C779</f>
        <v/>
      </c>
      <c r="E786" s="7">
        <f>'1 prepared data'!D779</f>
        <v/>
      </c>
      <c r="F786" s="7">
        <f>'1 prepared data'!E779</f>
        <v/>
      </c>
      <c r="G786" s="7">
        <f>'1 prepared data'!F779</f>
        <v/>
      </c>
      <c r="H786" s="7">
        <f>'1 prepared data'!G779</f>
        <v/>
      </c>
      <c r="I786" s="7">
        <f>'1 prepared data'!H779</f>
        <v/>
      </c>
      <c r="J786" s="7">
        <f>'1 prepared data'!I779</f>
        <v/>
      </c>
      <c r="K786" s="7">
        <f>'1 prepared data'!J779</f>
        <v/>
      </c>
      <c r="L786" s="7">
        <f>'1 prepared data'!K779</f>
        <v/>
      </c>
      <c r="M786" s="7">
        <f>'1 prepared data'!L779</f>
        <v/>
      </c>
      <c r="N786" s="7">
        <f>'1 prepared data'!M779</f>
        <v/>
      </c>
      <c r="O786" s="7">
        <f>'1 prepared data'!N779</f>
        <v/>
      </c>
      <c r="P786" s="7">
        <f>'1 prepared data'!O779</f>
        <v/>
      </c>
      <c r="Q786" s="7">
        <f>'1 prepared data'!P779</f>
        <v/>
      </c>
      <c r="R786" s="7">
        <f>'1 prepared data'!Q779</f>
        <v/>
      </c>
      <c r="S786" s="7">
        <f>'1 prepared data'!R779</f>
        <v/>
      </c>
      <c r="T786" s="7">
        <f>'1 prepared data'!S779</f>
        <v/>
      </c>
      <c r="U786" s="7">
        <f>'1 prepared data'!T779</f>
        <v/>
      </c>
      <c r="V786" s="8">
        <f>$AC$12+D786*$AC$13+E786*$AC$14+F786*$AC$15+G786*$AC$16+H786*$AC$17+I786*$AC$18+J786*$AC$19+K786*$AC$20+L786*$AC$21+M786*$AC$22+N786*$AC$23+O786*$AC$24+P786*$AC$25+Q786*$AC$26+R786*$AC$27+S786*$AC$28+T786*$AC$29+U786*$AC$30</f>
        <v/>
      </c>
      <c r="W786" s="8">
        <f>1/(1+EXP(-V786))</f>
        <v/>
      </c>
      <c r="X786" s="9">
        <f>-IF(C786=1,LN(W786),LN(1-W786))</f>
        <v/>
      </c>
      <c r="Y786" s="10">
        <f>IF(W786&gt;$AC$33,1,0)</f>
        <v/>
      </c>
      <c r="Z786">
        <f>IF(Y786=C786,1,0)</f>
        <v/>
      </c>
    </row>
    <row r="787">
      <c r="A787">
        <f>'1 prepared data'!A780</f>
        <v/>
      </c>
      <c r="B787" s="5">
        <f>'1 prepared data'!U780</f>
        <v/>
      </c>
      <c r="C787">
        <f>'1 prepared data'!B780</f>
        <v/>
      </c>
      <c r="D787" s="7">
        <f>'1 prepared data'!C780</f>
        <v/>
      </c>
      <c r="E787" s="7">
        <f>'1 prepared data'!D780</f>
        <v/>
      </c>
      <c r="F787" s="7">
        <f>'1 prepared data'!E780</f>
        <v/>
      </c>
      <c r="G787" s="7">
        <f>'1 prepared data'!F780</f>
        <v/>
      </c>
      <c r="H787" s="7">
        <f>'1 prepared data'!G780</f>
        <v/>
      </c>
      <c r="I787" s="7">
        <f>'1 prepared data'!H780</f>
        <v/>
      </c>
      <c r="J787" s="7">
        <f>'1 prepared data'!I780</f>
        <v/>
      </c>
      <c r="K787" s="7">
        <f>'1 prepared data'!J780</f>
        <v/>
      </c>
      <c r="L787" s="7">
        <f>'1 prepared data'!K780</f>
        <v/>
      </c>
      <c r="M787" s="7">
        <f>'1 prepared data'!L780</f>
        <v/>
      </c>
      <c r="N787" s="7">
        <f>'1 prepared data'!M780</f>
        <v/>
      </c>
      <c r="O787" s="7">
        <f>'1 prepared data'!N780</f>
        <v/>
      </c>
      <c r="P787" s="7">
        <f>'1 prepared data'!O780</f>
        <v/>
      </c>
      <c r="Q787" s="7">
        <f>'1 prepared data'!P780</f>
        <v/>
      </c>
      <c r="R787" s="7">
        <f>'1 prepared data'!Q780</f>
        <v/>
      </c>
      <c r="S787" s="7">
        <f>'1 prepared data'!R780</f>
        <v/>
      </c>
      <c r="T787" s="7">
        <f>'1 prepared data'!S780</f>
        <v/>
      </c>
      <c r="U787" s="7">
        <f>'1 prepared data'!T780</f>
        <v/>
      </c>
      <c r="V787" s="8">
        <f>$AC$12+D787*$AC$13+E787*$AC$14+F787*$AC$15+G787*$AC$16+H787*$AC$17+I787*$AC$18+J787*$AC$19+K787*$AC$20+L787*$AC$21+M787*$AC$22+N787*$AC$23+O787*$AC$24+P787*$AC$25+Q787*$AC$26+R787*$AC$27+S787*$AC$28+T787*$AC$29+U787*$AC$30</f>
        <v/>
      </c>
      <c r="W787" s="8">
        <f>1/(1+EXP(-V787))</f>
        <v/>
      </c>
      <c r="X787" s="9">
        <f>-IF(C787=1,LN(W787),LN(1-W787))</f>
        <v/>
      </c>
      <c r="Y787" s="10">
        <f>IF(W787&gt;$AC$33,1,0)</f>
        <v/>
      </c>
      <c r="Z787">
        <f>IF(Y787=C787,1,0)</f>
        <v/>
      </c>
    </row>
    <row r="788">
      <c r="A788">
        <f>'1 prepared data'!A781</f>
        <v/>
      </c>
      <c r="B788" s="5">
        <f>'1 prepared data'!U781</f>
        <v/>
      </c>
      <c r="C788">
        <f>'1 prepared data'!B781</f>
        <v/>
      </c>
      <c r="D788" s="7">
        <f>'1 prepared data'!C781</f>
        <v/>
      </c>
      <c r="E788" s="7">
        <f>'1 prepared data'!D781</f>
        <v/>
      </c>
      <c r="F788" s="7">
        <f>'1 prepared data'!E781</f>
        <v/>
      </c>
      <c r="G788" s="7">
        <f>'1 prepared data'!F781</f>
        <v/>
      </c>
      <c r="H788" s="7">
        <f>'1 prepared data'!G781</f>
        <v/>
      </c>
      <c r="I788" s="7">
        <f>'1 prepared data'!H781</f>
        <v/>
      </c>
      <c r="J788" s="7">
        <f>'1 prepared data'!I781</f>
        <v/>
      </c>
      <c r="K788" s="7">
        <f>'1 prepared data'!J781</f>
        <v/>
      </c>
      <c r="L788" s="7">
        <f>'1 prepared data'!K781</f>
        <v/>
      </c>
      <c r="M788" s="7">
        <f>'1 prepared data'!L781</f>
        <v/>
      </c>
      <c r="N788" s="7">
        <f>'1 prepared data'!M781</f>
        <v/>
      </c>
      <c r="O788" s="7">
        <f>'1 prepared data'!N781</f>
        <v/>
      </c>
      <c r="P788" s="7">
        <f>'1 prepared data'!O781</f>
        <v/>
      </c>
      <c r="Q788" s="7">
        <f>'1 prepared data'!P781</f>
        <v/>
      </c>
      <c r="R788" s="7">
        <f>'1 prepared data'!Q781</f>
        <v/>
      </c>
      <c r="S788" s="7">
        <f>'1 prepared data'!R781</f>
        <v/>
      </c>
      <c r="T788" s="7">
        <f>'1 prepared data'!S781</f>
        <v/>
      </c>
      <c r="U788" s="7">
        <f>'1 prepared data'!T781</f>
        <v/>
      </c>
      <c r="V788" s="8">
        <f>$AC$12+D788*$AC$13+E788*$AC$14+F788*$AC$15+G788*$AC$16+H788*$AC$17+I788*$AC$18+J788*$AC$19+K788*$AC$20+L788*$AC$21+M788*$AC$22+N788*$AC$23+O788*$AC$24+P788*$AC$25+Q788*$AC$26+R788*$AC$27+S788*$AC$28+T788*$AC$29+U788*$AC$30</f>
        <v/>
      </c>
      <c r="W788" s="8">
        <f>1/(1+EXP(-V788))</f>
        <v/>
      </c>
      <c r="X788" s="9">
        <f>-IF(C788=1,LN(W788),LN(1-W788))</f>
        <v/>
      </c>
      <c r="Y788" s="10">
        <f>IF(W788&gt;$AC$33,1,0)</f>
        <v/>
      </c>
      <c r="Z788">
        <f>IF(Y788=C788,1,0)</f>
        <v/>
      </c>
    </row>
    <row r="789">
      <c r="A789">
        <f>'1 prepared data'!A782</f>
        <v/>
      </c>
      <c r="B789" s="5">
        <f>'1 prepared data'!U782</f>
        <v/>
      </c>
      <c r="C789">
        <f>'1 prepared data'!B782</f>
        <v/>
      </c>
      <c r="D789" s="7">
        <f>'1 prepared data'!C782</f>
        <v/>
      </c>
      <c r="E789" s="7">
        <f>'1 prepared data'!D782</f>
        <v/>
      </c>
      <c r="F789" s="7">
        <f>'1 prepared data'!E782</f>
        <v/>
      </c>
      <c r="G789" s="7">
        <f>'1 prepared data'!F782</f>
        <v/>
      </c>
      <c r="H789" s="7">
        <f>'1 prepared data'!G782</f>
        <v/>
      </c>
      <c r="I789" s="7">
        <f>'1 prepared data'!H782</f>
        <v/>
      </c>
      <c r="J789" s="7">
        <f>'1 prepared data'!I782</f>
        <v/>
      </c>
      <c r="K789" s="7">
        <f>'1 prepared data'!J782</f>
        <v/>
      </c>
      <c r="L789" s="7">
        <f>'1 prepared data'!K782</f>
        <v/>
      </c>
      <c r="M789" s="7">
        <f>'1 prepared data'!L782</f>
        <v/>
      </c>
      <c r="N789" s="7">
        <f>'1 prepared data'!M782</f>
        <v/>
      </c>
      <c r="O789" s="7">
        <f>'1 prepared data'!N782</f>
        <v/>
      </c>
      <c r="P789" s="7">
        <f>'1 prepared data'!O782</f>
        <v/>
      </c>
      <c r="Q789" s="7">
        <f>'1 prepared data'!P782</f>
        <v/>
      </c>
      <c r="R789" s="7">
        <f>'1 prepared data'!Q782</f>
        <v/>
      </c>
      <c r="S789" s="7">
        <f>'1 prepared data'!R782</f>
        <v/>
      </c>
      <c r="T789" s="7">
        <f>'1 prepared data'!S782</f>
        <v/>
      </c>
      <c r="U789" s="7">
        <f>'1 prepared data'!T782</f>
        <v/>
      </c>
      <c r="V789" s="8">
        <f>$AC$12+D789*$AC$13+E789*$AC$14+F789*$AC$15+G789*$AC$16+H789*$AC$17+I789*$AC$18+J789*$AC$19+K789*$AC$20+L789*$AC$21+M789*$AC$22+N789*$AC$23+O789*$AC$24+P789*$AC$25+Q789*$AC$26+R789*$AC$27+S789*$AC$28+T789*$AC$29+U789*$AC$30</f>
        <v/>
      </c>
      <c r="W789" s="8">
        <f>1/(1+EXP(-V789))</f>
        <v/>
      </c>
      <c r="X789" s="9">
        <f>-IF(C789=1,LN(W789),LN(1-W789))</f>
        <v/>
      </c>
      <c r="Y789" s="10">
        <f>IF(W789&gt;$AC$33,1,0)</f>
        <v/>
      </c>
      <c r="Z789">
        <f>IF(Y789=C789,1,0)</f>
        <v/>
      </c>
    </row>
    <row r="790">
      <c r="A790">
        <f>'1 prepared data'!A783</f>
        <v/>
      </c>
      <c r="B790" s="5">
        <f>'1 prepared data'!U783</f>
        <v/>
      </c>
      <c r="C790">
        <f>'1 prepared data'!B783</f>
        <v/>
      </c>
      <c r="D790" s="7">
        <f>'1 prepared data'!C783</f>
        <v/>
      </c>
      <c r="E790" s="7">
        <f>'1 prepared data'!D783</f>
        <v/>
      </c>
      <c r="F790" s="7">
        <f>'1 prepared data'!E783</f>
        <v/>
      </c>
      <c r="G790" s="7">
        <f>'1 prepared data'!F783</f>
        <v/>
      </c>
      <c r="H790" s="7">
        <f>'1 prepared data'!G783</f>
        <v/>
      </c>
      <c r="I790" s="7">
        <f>'1 prepared data'!H783</f>
        <v/>
      </c>
      <c r="J790" s="7">
        <f>'1 prepared data'!I783</f>
        <v/>
      </c>
      <c r="K790" s="7">
        <f>'1 prepared data'!J783</f>
        <v/>
      </c>
      <c r="L790" s="7">
        <f>'1 prepared data'!K783</f>
        <v/>
      </c>
      <c r="M790" s="7">
        <f>'1 prepared data'!L783</f>
        <v/>
      </c>
      <c r="N790" s="7">
        <f>'1 prepared data'!M783</f>
        <v/>
      </c>
      <c r="O790" s="7">
        <f>'1 prepared data'!N783</f>
        <v/>
      </c>
      <c r="P790" s="7">
        <f>'1 prepared data'!O783</f>
        <v/>
      </c>
      <c r="Q790" s="7">
        <f>'1 prepared data'!P783</f>
        <v/>
      </c>
      <c r="R790" s="7">
        <f>'1 prepared data'!Q783</f>
        <v/>
      </c>
      <c r="S790" s="7">
        <f>'1 prepared data'!R783</f>
        <v/>
      </c>
      <c r="T790" s="7">
        <f>'1 prepared data'!S783</f>
        <v/>
      </c>
      <c r="U790" s="7">
        <f>'1 prepared data'!T783</f>
        <v/>
      </c>
      <c r="V790" s="8">
        <f>$AC$12+D790*$AC$13+E790*$AC$14+F790*$AC$15+G790*$AC$16+H790*$AC$17+I790*$AC$18+J790*$AC$19+K790*$AC$20+L790*$AC$21+M790*$AC$22+N790*$AC$23+O790*$AC$24+P790*$AC$25+Q790*$AC$26+R790*$AC$27+S790*$AC$28+T790*$AC$29+U790*$AC$30</f>
        <v/>
      </c>
      <c r="W790" s="8">
        <f>1/(1+EXP(-V790))</f>
        <v/>
      </c>
      <c r="X790" s="9">
        <f>-IF(C790=1,LN(W790),LN(1-W790))</f>
        <v/>
      </c>
      <c r="Y790" s="10">
        <f>IF(W790&gt;$AC$33,1,0)</f>
        <v/>
      </c>
      <c r="Z790">
        <f>IF(Y790=C790,1,0)</f>
        <v/>
      </c>
    </row>
    <row r="791">
      <c r="A791">
        <f>'1 prepared data'!A784</f>
        <v/>
      </c>
      <c r="B791" s="5">
        <f>'1 prepared data'!U784</f>
        <v/>
      </c>
      <c r="C791">
        <f>'1 prepared data'!B784</f>
        <v/>
      </c>
      <c r="D791" s="7">
        <f>'1 prepared data'!C784</f>
        <v/>
      </c>
      <c r="E791" s="7">
        <f>'1 prepared data'!D784</f>
        <v/>
      </c>
      <c r="F791" s="7">
        <f>'1 prepared data'!E784</f>
        <v/>
      </c>
      <c r="G791" s="7">
        <f>'1 prepared data'!F784</f>
        <v/>
      </c>
      <c r="H791" s="7">
        <f>'1 prepared data'!G784</f>
        <v/>
      </c>
      <c r="I791" s="7">
        <f>'1 prepared data'!H784</f>
        <v/>
      </c>
      <c r="J791" s="7">
        <f>'1 prepared data'!I784</f>
        <v/>
      </c>
      <c r="K791" s="7">
        <f>'1 prepared data'!J784</f>
        <v/>
      </c>
      <c r="L791" s="7">
        <f>'1 prepared data'!K784</f>
        <v/>
      </c>
      <c r="M791" s="7">
        <f>'1 prepared data'!L784</f>
        <v/>
      </c>
      <c r="N791" s="7">
        <f>'1 prepared data'!M784</f>
        <v/>
      </c>
      <c r="O791" s="7">
        <f>'1 prepared data'!N784</f>
        <v/>
      </c>
      <c r="P791" s="7">
        <f>'1 prepared data'!O784</f>
        <v/>
      </c>
      <c r="Q791" s="7">
        <f>'1 prepared data'!P784</f>
        <v/>
      </c>
      <c r="R791" s="7">
        <f>'1 prepared data'!Q784</f>
        <v/>
      </c>
      <c r="S791" s="7">
        <f>'1 prepared data'!R784</f>
        <v/>
      </c>
      <c r="T791" s="7">
        <f>'1 prepared data'!S784</f>
        <v/>
      </c>
      <c r="U791" s="7">
        <f>'1 prepared data'!T784</f>
        <v/>
      </c>
      <c r="V791" s="8">
        <f>$AC$12+D791*$AC$13+E791*$AC$14+F791*$AC$15+G791*$AC$16+H791*$AC$17+I791*$AC$18+J791*$AC$19+K791*$AC$20+L791*$AC$21+M791*$AC$22+N791*$AC$23+O791*$AC$24+P791*$AC$25+Q791*$AC$26+R791*$AC$27+S791*$AC$28+T791*$AC$29+U791*$AC$30</f>
        <v/>
      </c>
      <c r="W791" s="8">
        <f>1/(1+EXP(-V791))</f>
        <v/>
      </c>
      <c r="X791" s="9">
        <f>-IF(C791=1,LN(W791),LN(1-W791))</f>
        <v/>
      </c>
      <c r="Y791" s="10">
        <f>IF(W791&gt;$AC$33,1,0)</f>
        <v/>
      </c>
      <c r="Z791">
        <f>IF(Y791=C791,1,0)</f>
        <v/>
      </c>
    </row>
    <row r="792">
      <c r="A792">
        <f>'1 prepared data'!A785</f>
        <v/>
      </c>
      <c r="B792" s="5">
        <f>'1 prepared data'!U785</f>
        <v/>
      </c>
      <c r="C792">
        <f>'1 prepared data'!B785</f>
        <v/>
      </c>
      <c r="D792" s="7">
        <f>'1 prepared data'!C785</f>
        <v/>
      </c>
      <c r="E792" s="7">
        <f>'1 prepared data'!D785</f>
        <v/>
      </c>
      <c r="F792" s="7">
        <f>'1 prepared data'!E785</f>
        <v/>
      </c>
      <c r="G792" s="7">
        <f>'1 prepared data'!F785</f>
        <v/>
      </c>
      <c r="H792" s="7">
        <f>'1 prepared data'!G785</f>
        <v/>
      </c>
      <c r="I792" s="7">
        <f>'1 prepared data'!H785</f>
        <v/>
      </c>
      <c r="J792" s="7">
        <f>'1 prepared data'!I785</f>
        <v/>
      </c>
      <c r="K792" s="7">
        <f>'1 prepared data'!J785</f>
        <v/>
      </c>
      <c r="L792" s="7">
        <f>'1 prepared data'!K785</f>
        <v/>
      </c>
      <c r="M792" s="7">
        <f>'1 prepared data'!L785</f>
        <v/>
      </c>
      <c r="N792" s="7">
        <f>'1 prepared data'!M785</f>
        <v/>
      </c>
      <c r="O792" s="7">
        <f>'1 prepared data'!N785</f>
        <v/>
      </c>
      <c r="P792" s="7">
        <f>'1 prepared data'!O785</f>
        <v/>
      </c>
      <c r="Q792" s="7">
        <f>'1 prepared data'!P785</f>
        <v/>
      </c>
      <c r="R792" s="7">
        <f>'1 prepared data'!Q785</f>
        <v/>
      </c>
      <c r="S792" s="7">
        <f>'1 prepared data'!R785</f>
        <v/>
      </c>
      <c r="T792" s="7">
        <f>'1 prepared data'!S785</f>
        <v/>
      </c>
      <c r="U792" s="7">
        <f>'1 prepared data'!T785</f>
        <v/>
      </c>
      <c r="V792" s="8">
        <f>$AC$12+D792*$AC$13+E792*$AC$14+F792*$AC$15+G792*$AC$16+H792*$AC$17+I792*$AC$18+J792*$AC$19+K792*$AC$20+L792*$AC$21+M792*$AC$22+N792*$AC$23+O792*$AC$24+P792*$AC$25+Q792*$AC$26+R792*$AC$27+S792*$AC$28+T792*$AC$29+U792*$AC$30</f>
        <v/>
      </c>
      <c r="W792" s="8">
        <f>1/(1+EXP(-V792))</f>
        <v/>
      </c>
      <c r="X792" s="9">
        <f>-IF(C792=1,LN(W792),LN(1-W792))</f>
        <v/>
      </c>
      <c r="Y792" s="10">
        <f>IF(W792&gt;$AC$33,1,0)</f>
        <v/>
      </c>
      <c r="Z792">
        <f>IF(Y792=C792,1,0)</f>
        <v/>
      </c>
    </row>
    <row r="793">
      <c r="A793">
        <f>'1 prepared data'!A786</f>
        <v/>
      </c>
      <c r="B793" s="5">
        <f>'1 prepared data'!U786</f>
        <v/>
      </c>
      <c r="C793">
        <f>'1 prepared data'!B786</f>
        <v/>
      </c>
      <c r="D793" s="7">
        <f>'1 prepared data'!C786</f>
        <v/>
      </c>
      <c r="E793" s="7">
        <f>'1 prepared data'!D786</f>
        <v/>
      </c>
      <c r="F793" s="7">
        <f>'1 prepared data'!E786</f>
        <v/>
      </c>
      <c r="G793" s="7">
        <f>'1 prepared data'!F786</f>
        <v/>
      </c>
      <c r="H793" s="7">
        <f>'1 prepared data'!G786</f>
        <v/>
      </c>
      <c r="I793" s="7">
        <f>'1 prepared data'!H786</f>
        <v/>
      </c>
      <c r="J793" s="7">
        <f>'1 prepared data'!I786</f>
        <v/>
      </c>
      <c r="K793" s="7">
        <f>'1 prepared data'!J786</f>
        <v/>
      </c>
      <c r="L793" s="7">
        <f>'1 prepared data'!K786</f>
        <v/>
      </c>
      <c r="M793" s="7">
        <f>'1 prepared data'!L786</f>
        <v/>
      </c>
      <c r="N793" s="7">
        <f>'1 prepared data'!M786</f>
        <v/>
      </c>
      <c r="O793" s="7">
        <f>'1 prepared data'!N786</f>
        <v/>
      </c>
      <c r="P793" s="7">
        <f>'1 prepared data'!O786</f>
        <v/>
      </c>
      <c r="Q793" s="7">
        <f>'1 prepared data'!P786</f>
        <v/>
      </c>
      <c r="R793" s="7">
        <f>'1 prepared data'!Q786</f>
        <v/>
      </c>
      <c r="S793" s="7">
        <f>'1 prepared data'!R786</f>
        <v/>
      </c>
      <c r="T793" s="7">
        <f>'1 prepared data'!S786</f>
        <v/>
      </c>
      <c r="U793" s="7">
        <f>'1 prepared data'!T786</f>
        <v/>
      </c>
      <c r="V793" s="8">
        <f>$AC$12+D793*$AC$13+E793*$AC$14+F793*$AC$15+G793*$AC$16+H793*$AC$17+I793*$AC$18+J793*$AC$19+K793*$AC$20+L793*$AC$21+M793*$AC$22+N793*$AC$23+O793*$AC$24+P793*$AC$25+Q793*$AC$26+R793*$AC$27+S793*$AC$28+T793*$AC$29+U793*$AC$30</f>
        <v/>
      </c>
      <c r="W793" s="8">
        <f>1/(1+EXP(-V793))</f>
        <v/>
      </c>
      <c r="X793" s="9">
        <f>-IF(C793=1,LN(W793),LN(1-W793))</f>
        <v/>
      </c>
      <c r="Y793" s="10">
        <f>IF(W793&gt;$AC$33,1,0)</f>
        <v/>
      </c>
      <c r="Z793">
        <f>IF(Y793=C793,1,0)</f>
        <v/>
      </c>
    </row>
    <row r="794">
      <c r="A794">
        <f>'1 prepared data'!A787</f>
        <v/>
      </c>
      <c r="B794" s="5">
        <f>'1 prepared data'!U787</f>
        <v/>
      </c>
      <c r="C794">
        <f>'1 prepared data'!B787</f>
        <v/>
      </c>
      <c r="D794" s="7">
        <f>'1 prepared data'!C787</f>
        <v/>
      </c>
      <c r="E794" s="7">
        <f>'1 prepared data'!D787</f>
        <v/>
      </c>
      <c r="F794" s="7">
        <f>'1 prepared data'!E787</f>
        <v/>
      </c>
      <c r="G794" s="7">
        <f>'1 prepared data'!F787</f>
        <v/>
      </c>
      <c r="H794" s="7">
        <f>'1 prepared data'!G787</f>
        <v/>
      </c>
      <c r="I794" s="7">
        <f>'1 prepared data'!H787</f>
        <v/>
      </c>
      <c r="J794" s="7">
        <f>'1 prepared data'!I787</f>
        <v/>
      </c>
      <c r="K794" s="7">
        <f>'1 prepared data'!J787</f>
        <v/>
      </c>
      <c r="L794" s="7">
        <f>'1 prepared data'!K787</f>
        <v/>
      </c>
      <c r="M794" s="7">
        <f>'1 prepared data'!L787</f>
        <v/>
      </c>
      <c r="N794" s="7">
        <f>'1 prepared data'!M787</f>
        <v/>
      </c>
      <c r="O794" s="7">
        <f>'1 prepared data'!N787</f>
        <v/>
      </c>
      <c r="P794" s="7">
        <f>'1 prepared data'!O787</f>
        <v/>
      </c>
      <c r="Q794" s="7">
        <f>'1 prepared data'!P787</f>
        <v/>
      </c>
      <c r="R794" s="7">
        <f>'1 prepared data'!Q787</f>
        <v/>
      </c>
      <c r="S794" s="7">
        <f>'1 prepared data'!R787</f>
        <v/>
      </c>
      <c r="T794" s="7">
        <f>'1 prepared data'!S787</f>
        <v/>
      </c>
      <c r="U794" s="7">
        <f>'1 prepared data'!T787</f>
        <v/>
      </c>
      <c r="V794" s="8">
        <f>$AC$12+D794*$AC$13+E794*$AC$14+F794*$AC$15+G794*$AC$16+H794*$AC$17+I794*$AC$18+J794*$AC$19+K794*$AC$20+L794*$AC$21+M794*$AC$22+N794*$AC$23+O794*$AC$24+P794*$AC$25+Q794*$AC$26+R794*$AC$27+S794*$AC$28+T794*$AC$29+U794*$AC$30</f>
        <v/>
      </c>
      <c r="W794" s="8">
        <f>1/(1+EXP(-V794))</f>
        <v/>
      </c>
      <c r="X794" s="9">
        <f>-IF(C794=1,LN(W794),LN(1-W794))</f>
        <v/>
      </c>
      <c r="Y794" s="10">
        <f>IF(W794&gt;$AC$33,1,0)</f>
        <v/>
      </c>
      <c r="Z794">
        <f>IF(Y794=C794,1,0)</f>
        <v/>
      </c>
    </row>
    <row r="795">
      <c r="A795">
        <f>'1 prepared data'!A788</f>
        <v/>
      </c>
      <c r="B795" s="5">
        <f>'1 prepared data'!U788</f>
        <v/>
      </c>
      <c r="C795">
        <f>'1 prepared data'!B788</f>
        <v/>
      </c>
      <c r="D795" s="7">
        <f>'1 prepared data'!C788</f>
        <v/>
      </c>
      <c r="E795" s="7">
        <f>'1 prepared data'!D788</f>
        <v/>
      </c>
      <c r="F795" s="7">
        <f>'1 prepared data'!E788</f>
        <v/>
      </c>
      <c r="G795" s="7">
        <f>'1 prepared data'!F788</f>
        <v/>
      </c>
      <c r="H795" s="7">
        <f>'1 prepared data'!G788</f>
        <v/>
      </c>
      <c r="I795" s="7">
        <f>'1 prepared data'!H788</f>
        <v/>
      </c>
      <c r="J795" s="7">
        <f>'1 prepared data'!I788</f>
        <v/>
      </c>
      <c r="K795" s="7">
        <f>'1 prepared data'!J788</f>
        <v/>
      </c>
      <c r="L795" s="7">
        <f>'1 prepared data'!K788</f>
        <v/>
      </c>
      <c r="M795" s="7">
        <f>'1 prepared data'!L788</f>
        <v/>
      </c>
      <c r="N795" s="7">
        <f>'1 prepared data'!M788</f>
        <v/>
      </c>
      <c r="O795" s="7">
        <f>'1 prepared data'!N788</f>
        <v/>
      </c>
      <c r="P795" s="7">
        <f>'1 prepared data'!O788</f>
        <v/>
      </c>
      <c r="Q795" s="7">
        <f>'1 prepared data'!P788</f>
        <v/>
      </c>
      <c r="R795" s="7">
        <f>'1 prepared data'!Q788</f>
        <v/>
      </c>
      <c r="S795" s="7">
        <f>'1 prepared data'!R788</f>
        <v/>
      </c>
      <c r="T795" s="7">
        <f>'1 prepared data'!S788</f>
        <v/>
      </c>
      <c r="U795" s="7">
        <f>'1 prepared data'!T788</f>
        <v/>
      </c>
      <c r="V795" s="8">
        <f>$AC$12+D795*$AC$13+E795*$AC$14+F795*$AC$15+G795*$AC$16+H795*$AC$17+I795*$AC$18+J795*$AC$19+K795*$AC$20+L795*$AC$21+M795*$AC$22+N795*$AC$23+O795*$AC$24+P795*$AC$25+Q795*$AC$26+R795*$AC$27+S795*$AC$28+T795*$AC$29+U795*$AC$30</f>
        <v/>
      </c>
      <c r="W795" s="8">
        <f>1/(1+EXP(-V795))</f>
        <v/>
      </c>
      <c r="X795" s="9">
        <f>-IF(C795=1,LN(W795),LN(1-W795))</f>
        <v/>
      </c>
      <c r="Y795" s="10">
        <f>IF(W795&gt;$AC$33,1,0)</f>
        <v/>
      </c>
      <c r="Z795">
        <f>IF(Y795=C795,1,0)</f>
        <v/>
      </c>
    </row>
    <row r="796">
      <c r="A796">
        <f>'1 prepared data'!A789</f>
        <v/>
      </c>
      <c r="B796" s="5">
        <f>'1 prepared data'!U789</f>
        <v/>
      </c>
      <c r="C796">
        <f>'1 prepared data'!B789</f>
        <v/>
      </c>
      <c r="D796" s="7">
        <f>'1 prepared data'!C789</f>
        <v/>
      </c>
      <c r="E796" s="7">
        <f>'1 prepared data'!D789</f>
        <v/>
      </c>
      <c r="F796" s="7">
        <f>'1 prepared data'!E789</f>
        <v/>
      </c>
      <c r="G796" s="7">
        <f>'1 prepared data'!F789</f>
        <v/>
      </c>
      <c r="H796" s="7">
        <f>'1 prepared data'!G789</f>
        <v/>
      </c>
      <c r="I796" s="7">
        <f>'1 prepared data'!H789</f>
        <v/>
      </c>
      <c r="J796" s="7">
        <f>'1 prepared data'!I789</f>
        <v/>
      </c>
      <c r="K796" s="7">
        <f>'1 prepared data'!J789</f>
        <v/>
      </c>
      <c r="L796" s="7">
        <f>'1 prepared data'!K789</f>
        <v/>
      </c>
      <c r="M796" s="7">
        <f>'1 prepared data'!L789</f>
        <v/>
      </c>
      <c r="N796" s="7">
        <f>'1 prepared data'!M789</f>
        <v/>
      </c>
      <c r="O796" s="7">
        <f>'1 prepared data'!N789</f>
        <v/>
      </c>
      <c r="P796" s="7">
        <f>'1 prepared data'!O789</f>
        <v/>
      </c>
      <c r="Q796" s="7">
        <f>'1 prepared data'!P789</f>
        <v/>
      </c>
      <c r="R796" s="7">
        <f>'1 prepared data'!Q789</f>
        <v/>
      </c>
      <c r="S796" s="7">
        <f>'1 prepared data'!R789</f>
        <v/>
      </c>
      <c r="T796" s="7">
        <f>'1 prepared data'!S789</f>
        <v/>
      </c>
      <c r="U796" s="7">
        <f>'1 prepared data'!T789</f>
        <v/>
      </c>
      <c r="V796" s="8">
        <f>$AC$12+D796*$AC$13+E796*$AC$14+F796*$AC$15+G796*$AC$16+H796*$AC$17+I796*$AC$18+J796*$AC$19+K796*$AC$20+L796*$AC$21+M796*$AC$22+N796*$AC$23+O796*$AC$24+P796*$AC$25+Q796*$AC$26+R796*$AC$27+S796*$AC$28+T796*$AC$29+U796*$AC$30</f>
        <v/>
      </c>
      <c r="W796" s="8">
        <f>1/(1+EXP(-V796))</f>
        <v/>
      </c>
      <c r="X796" s="9">
        <f>-IF(C796=1,LN(W796),LN(1-W796))</f>
        <v/>
      </c>
      <c r="Y796" s="10">
        <f>IF(W796&gt;$AC$33,1,0)</f>
        <v/>
      </c>
      <c r="Z796">
        <f>IF(Y796=C796,1,0)</f>
        <v/>
      </c>
    </row>
    <row r="797">
      <c r="A797">
        <f>'1 prepared data'!A790</f>
        <v/>
      </c>
      <c r="B797" s="5">
        <f>'1 prepared data'!U790</f>
        <v/>
      </c>
      <c r="C797">
        <f>'1 prepared data'!B790</f>
        <v/>
      </c>
      <c r="D797" s="7">
        <f>'1 prepared data'!C790</f>
        <v/>
      </c>
      <c r="E797" s="7">
        <f>'1 prepared data'!D790</f>
        <v/>
      </c>
      <c r="F797" s="7">
        <f>'1 prepared data'!E790</f>
        <v/>
      </c>
      <c r="G797" s="7">
        <f>'1 prepared data'!F790</f>
        <v/>
      </c>
      <c r="H797" s="7">
        <f>'1 prepared data'!G790</f>
        <v/>
      </c>
      <c r="I797" s="7">
        <f>'1 prepared data'!H790</f>
        <v/>
      </c>
      <c r="J797" s="7">
        <f>'1 prepared data'!I790</f>
        <v/>
      </c>
      <c r="K797" s="7">
        <f>'1 prepared data'!J790</f>
        <v/>
      </c>
      <c r="L797" s="7">
        <f>'1 prepared data'!K790</f>
        <v/>
      </c>
      <c r="M797" s="7">
        <f>'1 prepared data'!L790</f>
        <v/>
      </c>
      <c r="N797" s="7">
        <f>'1 prepared data'!M790</f>
        <v/>
      </c>
      <c r="O797" s="7">
        <f>'1 prepared data'!N790</f>
        <v/>
      </c>
      <c r="P797" s="7">
        <f>'1 prepared data'!O790</f>
        <v/>
      </c>
      <c r="Q797" s="7">
        <f>'1 prepared data'!P790</f>
        <v/>
      </c>
      <c r="R797" s="7">
        <f>'1 prepared data'!Q790</f>
        <v/>
      </c>
      <c r="S797" s="7">
        <f>'1 prepared data'!R790</f>
        <v/>
      </c>
      <c r="T797" s="7">
        <f>'1 prepared data'!S790</f>
        <v/>
      </c>
      <c r="U797" s="7">
        <f>'1 prepared data'!T790</f>
        <v/>
      </c>
      <c r="V797" s="8">
        <f>$AC$12+D797*$AC$13+E797*$AC$14+F797*$AC$15+G797*$AC$16+H797*$AC$17+I797*$AC$18+J797*$AC$19+K797*$AC$20+L797*$AC$21+M797*$AC$22+N797*$AC$23+O797*$AC$24+P797*$AC$25+Q797*$AC$26+R797*$AC$27+S797*$AC$28+T797*$AC$29+U797*$AC$30</f>
        <v/>
      </c>
      <c r="W797" s="8">
        <f>1/(1+EXP(-V797))</f>
        <v/>
      </c>
      <c r="X797" s="9">
        <f>-IF(C797=1,LN(W797),LN(1-W797))</f>
        <v/>
      </c>
      <c r="Y797" s="10">
        <f>IF(W797&gt;$AC$33,1,0)</f>
        <v/>
      </c>
      <c r="Z797">
        <f>IF(Y797=C797,1,0)</f>
        <v/>
      </c>
    </row>
    <row r="798">
      <c r="A798">
        <f>'1 prepared data'!A791</f>
        <v/>
      </c>
      <c r="B798" s="5">
        <f>'1 prepared data'!U791</f>
        <v/>
      </c>
      <c r="C798">
        <f>'1 prepared data'!B791</f>
        <v/>
      </c>
      <c r="D798" s="7">
        <f>'1 prepared data'!C791</f>
        <v/>
      </c>
      <c r="E798" s="7">
        <f>'1 prepared data'!D791</f>
        <v/>
      </c>
      <c r="F798" s="7">
        <f>'1 prepared data'!E791</f>
        <v/>
      </c>
      <c r="G798" s="7">
        <f>'1 prepared data'!F791</f>
        <v/>
      </c>
      <c r="H798" s="7">
        <f>'1 prepared data'!G791</f>
        <v/>
      </c>
      <c r="I798" s="7">
        <f>'1 prepared data'!H791</f>
        <v/>
      </c>
      <c r="J798" s="7">
        <f>'1 prepared data'!I791</f>
        <v/>
      </c>
      <c r="K798" s="7">
        <f>'1 prepared data'!J791</f>
        <v/>
      </c>
      <c r="L798" s="7">
        <f>'1 prepared data'!K791</f>
        <v/>
      </c>
      <c r="M798" s="7">
        <f>'1 prepared data'!L791</f>
        <v/>
      </c>
      <c r="N798" s="7">
        <f>'1 prepared data'!M791</f>
        <v/>
      </c>
      <c r="O798" s="7">
        <f>'1 prepared data'!N791</f>
        <v/>
      </c>
      <c r="P798" s="7">
        <f>'1 prepared data'!O791</f>
        <v/>
      </c>
      <c r="Q798" s="7">
        <f>'1 prepared data'!P791</f>
        <v/>
      </c>
      <c r="R798" s="7">
        <f>'1 prepared data'!Q791</f>
        <v/>
      </c>
      <c r="S798" s="7">
        <f>'1 prepared data'!R791</f>
        <v/>
      </c>
      <c r="T798" s="7">
        <f>'1 prepared data'!S791</f>
        <v/>
      </c>
      <c r="U798" s="7">
        <f>'1 prepared data'!T791</f>
        <v/>
      </c>
      <c r="V798" s="8">
        <f>$AC$12+D798*$AC$13+E798*$AC$14+F798*$AC$15+G798*$AC$16+H798*$AC$17+I798*$AC$18+J798*$AC$19+K798*$AC$20+L798*$AC$21+M798*$AC$22+N798*$AC$23+O798*$AC$24+P798*$AC$25+Q798*$AC$26+R798*$AC$27+S798*$AC$28+T798*$AC$29+U798*$AC$30</f>
        <v/>
      </c>
      <c r="W798" s="8">
        <f>1/(1+EXP(-V798))</f>
        <v/>
      </c>
      <c r="X798" s="9">
        <f>-IF(C798=1,LN(W798),LN(1-W798))</f>
        <v/>
      </c>
      <c r="Y798" s="10">
        <f>IF(W798&gt;$AC$33,1,0)</f>
        <v/>
      </c>
      <c r="Z798">
        <f>IF(Y798=C798,1,0)</f>
        <v/>
      </c>
    </row>
    <row r="799">
      <c r="A799">
        <f>'1 prepared data'!A792</f>
        <v/>
      </c>
      <c r="B799" s="5">
        <f>'1 prepared data'!U792</f>
        <v/>
      </c>
      <c r="C799">
        <f>'1 prepared data'!B792</f>
        <v/>
      </c>
      <c r="D799" s="7">
        <f>'1 prepared data'!C792</f>
        <v/>
      </c>
      <c r="E799" s="7">
        <f>'1 prepared data'!D792</f>
        <v/>
      </c>
      <c r="F799" s="7">
        <f>'1 prepared data'!E792</f>
        <v/>
      </c>
      <c r="G799" s="7">
        <f>'1 prepared data'!F792</f>
        <v/>
      </c>
      <c r="H799" s="7">
        <f>'1 prepared data'!G792</f>
        <v/>
      </c>
      <c r="I799" s="7">
        <f>'1 prepared data'!H792</f>
        <v/>
      </c>
      <c r="J799" s="7">
        <f>'1 prepared data'!I792</f>
        <v/>
      </c>
      <c r="K799" s="7">
        <f>'1 prepared data'!J792</f>
        <v/>
      </c>
      <c r="L799" s="7">
        <f>'1 prepared data'!K792</f>
        <v/>
      </c>
      <c r="M799" s="7">
        <f>'1 prepared data'!L792</f>
        <v/>
      </c>
      <c r="N799" s="7">
        <f>'1 prepared data'!M792</f>
        <v/>
      </c>
      <c r="O799" s="7">
        <f>'1 prepared data'!N792</f>
        <v/>
      </c>
      <c r="P799" s="7">
        <f>'1 prepared data'!O792</f>
        <v/>
      </c>
      <c r="Q799" s="7">
        <f>'1 prepared data'!P792</f>
        <v/>
      </c>
      <c r="R799" s="7">
        <f>'1 prepared data'!Q792</f>
        <v/>
      </c>
      <c r="S799" s="7">
        <f>'1 prepared data'!R792</f>
        <v/>
      </c>
      <c r="T799" s="7">
        <f>'1 prepared data'!S792</f>
        <v/>
      </c>
      <c r="U799" s="7">
        <f>'1 prepared data'!T792</f>
        <v/>
      </c>
      <c r="V799" s="8">
        <f>$AC$12+D799*$AC$13+E799*$AC$14+F799*$AC$15+G799*$AC$16+H799*$AC$17+I799*$AC$18+J799*$AC$19+K799*$AC$20+L799*$AC$21+M799*$AC$22+N799*$AC$23+O799*$AC$24+P799*$AC$25+Q799*$AC$26+R799*$AC$27+S799*$AC$28+T799*$AC$29+U799*$AC$30</f>
        <v/>
      </c>
      <c r="W799" s="8">
        <f>1/(1+EXP(-V799))</f>
        <v/>
      </c>
      <c r="X799" s="9">
        <f>-IF(C799=1,LN(W799),LN(1-W799))</f>
        <v/>
      </c>
      <c r="Y799" s="10">
        <f>IF(W799&gt;$AC$33,1,0)</f>
        <v/>
      </c>
      <c r="Z799">
        <f>IF(Y799=C799,1,0)</f>
        <v/>
      </c>
    </row>
    <row r="800">
      <c r="A800">
        <f>'1 prepared data'!A793</f>
        <v/>
      </c>
      <c r="B800" s="5">
        <f>'1 prepared data'!U793</f>
        <v/>
      </c>
      <c r="C800">
        <f>'1 prepared data'!B793</f>
        <v/>
      </c>
      <c r="D800" s="7">
        <f>'1 prepared data'!C793</f>
        <v/>
      </c>
      <c r="E800" s="7">
        <f>'1 prepared data'!D793</f>
        <v/>
      </c>
      <c r="F800" s="7">
        <f>'1 prepared data'!E793</f>
        <v/>
      </c>
      <c r="G800" s="7">
        <f>'1 prepared data'!F793</f>
        <v/>
      </c>
      <c r="H800" s="7">
        <f>'1 prepared data'!G793</f>
        <v/>
      </c>
      <c r="I800" s="7">
        <f>'1 prepared data'!H793</f>
        <v/>
      </c>
      <c r="J800" s="7">
        <f>'1 prepared data'!I793</f>
        <v/>
      </c>
      <c r="K800" s="7">
        <f>'1 prepared data'!J793</f>
        <v/>
      </c>
      <c r="L800" s="7">
        <f>'1 prepared data'!K793</f>
        <v/>
      </c>
      <c r="M800" s="7">
        <f>'1 prepared data'!L793</f>
        <v/>
      </c>
      <c r="N800" s="7">
        <f>'1 prepared data'!M793</f>
        <v/>
      </c>
      <c r="O800" s="7">
        <f>'1 prepared data'!N793</f>
        <v/>
      </c>
      <c r="P800" s="7">
        <f>'1 prepared data'!O793</f>
        <v/>
      </c>
      <c r="Q800" s="7">
        <f>'1 prepared data'!P793</f>
        <v/>
      </c>
      <c r="R800" s="7">
        <f>'1 prepared data'!Q793</f>
        <v/>
      </c>
      <c r="S800" s="7">
        <f>'1 prepared data'!R793</f>
        <v/>
      </c>
      <c r="T800" s="7">
        <f>'1 prepared data'!S793</f>
        <v/>
      </c>
      <c r="U800" s="7">
        <f>'1 prepared data'!T793</f>
        <v/>
      </c>
      <c r="V800" s="8">
        <f>$AC$12+D800*$AC$13+E800*$AC$14+F800*$AC$15+G800*$AC$16+H800*$AC$17+I800*$AC$18+J800*$AC$19+K800*$AC$20+L800*$AC$21+M800*$AC$22+N800*$AC$23+O800*$AC$24+P800*$AC$25+Q800*$AC$26+R800*$AC$27+S800*$AC$28+T800*$AC$29+U800*$AC$30</f>
        <v/>
      </c>
      <c r="W800" s="8">
        <f>1/(1+EXP(-V800))</f>
        <v/>
      </c>
      <c r="X800" s="9">
        <f>-IF(C800=1,LN(W800),LN(1-W800))</f>
        <v/>
      </c>
      <c r="Y800" s="10">
        <f>IF(W800&gt;$AC$33,1,0)</f>
        <v/>
      </c>
      <c r="Z800">
        <f>IF(Y800=C800,1,0)</f>
        <v/>
      </c>
    </row>
    <row r="801">
      <c r="A801">
        <f>'1 prepared data'!A794</f>
        <v/>
      </c>
      <c r="B801" s="5">
        <f>'1 prepared data'!U794</f>
        <v/>
      </c>
      <c r="C801">
        <f>'1 prepared data'!B794</f>
        <v/>
      </c>
      <c r="D801" s="7">
        <f>'1 prepared data'!C794</f>
        <v/>
      </c>
      <c r="E801" s="7">
        <f>'1 prepared data'!D794</f>
        <v/>
      </c>
      <c r="F801" s="7">
        <f>'1 prepared data'!E794</f>
        <v/>
      </c>
      <c r="G801" s="7">
        <f>'1 prepared data'!F794</f>
        <v/>
      </c>
      <c r="H801" s="7">
        <f>'1 prepared data'!G794</f>
        <v/>
      </c>
      <c r="I801" s="7">
        <f>'1 prepared data'!H794</f>
        <v/>
      </c>
      <c r="J801" s="7">
        <f>'1 prepared data'!I794</f>
        <v/>
      </c>
      <c r="K801" s="7">
        <f>'1 prepared data'!J794</f>
        <v/>
      </c>
      <c r="L801" s="7">
        <f>'1 prepared data'!K794</f>
        <v/>
      </c>
      <c r="M801" s="7">
        <f>'1 prepared data'!L794</f>
        <v/>
      </c>
      <c r="N801" s="7">
        <f>'1 prepared data'!M794</f>
        <v/>
      </c>
      <c r="O801" s="7">
        <f>'1 prepared data'!N794</f>
        <v/>
      </c>
      <c r="P801" s="7">
        <f>'1 prepared data'!O794</f>
        <v/>
      </c>
      <c r="Q801" s="7">
        <f>'1 prepared data'!P794</f>
        <v/>
      </c>
      <c r="R801" s="7">
        <f>'1 prepared data'!Q794</f>
        <v/>
      </c>
      <c r="S801" s="7">
        <f>'1 prepared data'!R794</f>
        <v/>
      </c>
      <c r="T801" s="7">
        <f>'1 prepared data'!S794</f>
        <v/>
      </c>
      <c r="U801" s="7">
        <f>'1 prepared data'!T794</f>
        <v/>
      </c>
      <c r="V801" s="8">
        <f>$AC$12+D801*$AC$13+E801*$AC$14+F801*$AC$15+G801*$AC$16+H801*$AC$17+I801*$AC$18+J801*$AC$19+K801*$AC$20+L801*$AC$21+M801*$AC$22+N801*$AC$23+O801*$AC$24+P801*$AC$25+Q801*$AC$26+R801*$AC$27+S801*$AC$28+T801*$AC$29+U801*$AC$30</f>
        <v/>
      </c>
      <c r="W801" s="8">
        <f>1/(1+EXP(-V801))</f>
        <v/>
      </c>
      <c r="X801" s="9">
        <f>-IF(C801=1,LN(W801),LN(1-W801))</f>
        <v/>
      </c>
      <c r="Y801" s="10">
        <f>IF(W801&gt;$AC$33,1,0)</f>
        <v/>
      </c>
      <c r="Z801">
        <f>IF(Y801=C801,1,0)</f>
        <v/>
      </c>
    </row>
    <row r="802">
      <c r="A802">
        <f>'1 prepared data'!A795</f>
        <v/>
      </c>
      <c r="B802" s="5">
        <f>'1 prepared data'!U795</f>
        <v/>
      </c>
      <c r="C802">
        <f>'1 prepared data'!B795</f>
        <v/>
      </c>
      <c r="D802" s="7">
        <f>'1 prepared data'!C795</f>
        <v/>
      </c>
      <c r="E802" s="7">
        <f>'1 prepared data'!D795</f>
        <v/>
      </c>
      <c r="F802" s="7">
        <f>'1 prepared data'!E795</f>
        <v/>
      </c>
      <c r="G802" s="7">
        <f>'1 prepared data'!F795</f>
        <v/>
      </c>
      <c r="H802" s="7">
        <f>'1 prepared data'!G795</f>
        <v/>
      </c>
      <c r="I802" s="7">
        <f>'1 prepared data'!H795</f>
        <v/>
      </c>
      <c r="J802" s="7">
        <f>'1 prepared data'!I795</f>
        <v/>
      </c>
      <c r="K802" s="7">
        <f>'1 prepared data'!J795</f>
        <v/>
      </c>
      <c r="L802" s="7">
        <f>'1 prepared data'!K795</f>
        <v/>
      </c>
      <c r="M802" s="7">
        <f>'1 prepared data'!L795</f>
        <v/>
      </c>
      <c r="N802" s="7">
        <f>'1 prepared data'!M795</f>
        <v/>
      </c>
      <c r="O802" s="7">
        <f>'1 prepared data'!N795</f>
        <v/>
      </c>
      <c r="P802" s="7">
        <f>'1 prepared data'!O795</f>
        <v/>
      </c>
      <c r="Q802" s="7">
        <f>'1 prepared data'!P795</f>
        <v/>
      </c>
      <c r="R802" s="7">
        <f>'1 prepared data'!Q795</f>
        <v/>
      </c>
      <c r="S802" s="7">
        <f>'1 prepared data'!R795</f>
        <v/>
      </c>
      <c r="T802" s="7">
        <f>'1 prepared data'!S795</f>
        <v/>
      </c>
      <c r="U802" s="7">
        <f>'1 prepared data'!T795</f>
        <v/>
      </c>
      <c r="V802" s="8">
        <f>$AC$12+D802*$AC$13+E802*$AC$14+F802*$AC$15+G802*$AC$16+H802*$AC$17+I802*$AC$18+J802*$AC$19+K802*$AC$20+L802*$AC$21+M802*$AC$22+N802*$AC$23+O802*$AC$24+P802*$AC$25+Q802*$AC$26+R802*$AC$27+S802*$AC$28+T802*$AC$29+U802*$AC$30</f>
        <v/>
      </c>
      <c r="W802" s="8">
        <f>1/(1+EXP(-V802))</f>
        <v/>
      </c>
      <c r="X802" s="9">
        <f>-IF(C802=1,LN(W802),LN(1-W802))</f>
        <v/>
      </c>
      <c r="Y802" s="10">
        <f>IF(W802&gt;$AC$33,1,0)</f>
        <v/>
      </c>
      <c r="Z802">
        <f>IF(Y802=C802,1,0)</f>
        <v/>
      </c>
    </row>
    <row r="803">
      <c r="A803">
        <f>'1 prepared data'!A796</f>
        <v/>
      </c>
      <c r="B803" s="5">
        <f>'1 prepared data'!U796</f>
        <v/>
      </c>
      <c r="C803">
        <f>'1 prepared data'!B796</f>
        <v/>
      </c>
      <c r="D803" s="7">
        <f>'1 prepared data'!C796</f>
        <v/>
      </c>
      <c r="E803" s="7">
        <f>'1 prepared data'!D796</f>
        <v/>
      </c>
      <c r="F803" s="7">
        <f>'1 prepared data'!E796</f>
        <v/>
      </c>
      <c r="G803" s="7">
        <f>'1 prepared data'!F796</f>
        <v/>
      </c>
      <c r="H803" s="7">
        <f>'1 prepared data'!G796</f>
        <v/>
      </c>
      <c r="I803" s="7">
        <f>'1 prepared data'!H796</f>
        <v/>
      </c>
      <c r="J803" s="7">
        <f>'1 prepared data'!I796</f>
        <v/>
      </c>
      <c r="K803" s="7">
        <f>'1 prepared data'!J796</f>
        <v/>
      </c>
      <c r="L803" s="7">
        <f>'1 prepared data'!K796</f>
        <v/>
      </c>
      <c r="M803" s="7">
        <f>'1 prepared data'!L796</f>
        <v/>
      </c>
      <c r="N803" s="7">
        <f>'1 prepared data'!M796</f>
        <v/>
      </c>
      <c r="O803" s="7">
        <f>'1 prepared data'!N796</f>
        <v/>
      </c>
      <c r="P803" s="7">
        <f>'1 prepared data'!O796</f>
        <v/>
      </c>
      <c r="Q803" s="7">
        <f>'1 prepared data'!P796</f>
        <v/>
      </c>
      <c r="R803" s="7">
        <f>'1 prepared data'!Q796</f>
        <v/>
      </c>
      <c r="S803" s="7">
        <f>'1 prepared data'!R796</f>
        <v/>
      </c>
      <c r="T803" s="7">
        <f>'1 prepared data'!S796</f>
        <v/>
      </c>
      <c r="U803" s="7">
        <f>'1 prepared data'!T796</f>
        <v/>
      </c>
      <c r="V803" s="8">
        <f>$AC$12+D803*$AC$13+E803*$AC$14+F803*$AC$15+G803*$AC$16+H803*$AC$17+I803*$AC$18+J803*$AC$19+K803*$AC$20+L803*$AC$21+M803*$AC$22+N803*$AC$23+O803*$AC$24+P803*$AC$25+Q803*$AC$26+R803*$AC$27+S803*$AC$28+T803*$AC$29+U803*$AC$30</f>
        <v/>
      </c>
      <c r="W803" s="8">
        <f>1/(1+EXP(-V803))</f>
        <v/>
      </c>
      <c r="X803" s="9">
        <f>-IF(C803=1,LN(W803),LN(1-W803))</f>
        <v/>
      </c>
      <c r="Y803" s="10">
        <f>IF(W803&gt;$AC$33,1,0)</f>
        <v/>
      </c>
      <c r="Z803">
        <f>IF(Y803=C803,1,0)</f>
        <v/>
      </c>
    </row>
    <row r="804">
      <c r="A804">
        <f>'1 prepared data'!A797</f>
        <v/>
      </c>
      <c r="B804" s="5">
        <f>'1 prepared data'!U797</f>
        <v/>
      </c>
      <c r="C804">
        <f>'1 prepared data'!B797</f>
        <v/>
      </c>
      <c r="D804" s="7">
        <f>'1 prepared data'!C797</f>
        <v/>
      </c>
      <c r="E804" s="7">
        <f>'1 prepared data'!D797</f>
        <v/>
      </c>
      <c r="F804" s="7">
        <f>'1 prepared data'!E797</f>
        <v/>
      </c>
      <c r="G804" s="7">
        <f>'1 prepared data'!F797</f>
        <v/>
      </c>
      <c r="H804" s="7">
        <f>'1 prepared data'!G797</f>
        <v/>
      </c>
      <c r="I804" s="7">
        <f>'1 prepared data'!H797</f>
        <v/>
      </c>
      <c r="J804" s="7">
        <f>'1 prepared data'!I797</f>
        <v/>
      </c>
      <c r="K804" s="7">
        <f>'1 prepared data'!J797</f>
        <v/>
      </c>
      <c r="L804" s="7">
        <f>'1 prepared data'!K797</f>
        <v/>
      </c>
      <c r="M804" s="7">
        <f>'1 prepared data'!L797</f>
        <v/>
      </c>
      <c r="N804" s="7">
        <f>'1 prepared data'!M797</f>
        <v/>
      </c>
      <c r="O804" s="7">
        <f>'1 prepared data'!N797</f>
        <v/>
      </c>
      <c r="P804" s="7">
        <f>'1 prepared data'!O797</f>
        <v/>
      </c>
      <c r="Q804" s="7">
        <f>'1 prepared data'!P797</f>
        <v/>
      </c>
      <c r="R804" s="7">
        <f>'1 prepared data'!Q797</f>
        <v/>
      </c>
      <c r="S804" s="7">
        <f>'1 prepared data'!R797</f>
        <v/>
      </c>
      <c r="T804" s="7">
        <f>'1 prepared data'!S797</f>
        <v/>
      </c>
      <c r="U804" s="7">
        <f>'1 prepared data'!T797</f>
        <v/>
      </c>
      <c r="V804" s="8">
        <f>$AC$12+D804*$AC$13+E804*$AC$14+F804*$AC$15+G804*$AC$16+H804*$AC$17+I804*$AC$18+J804*$AC$19+K804*$AC$20+L804*$AC$21+M804*$AC$22+N804*$AC$23+O804*$AC$24+P804*$AC$25+Q804*$AC$26+R804*$AC$27+S804*$AC$28+T804*$AC$29+U804*$AC$30</f>
        <v/>
      </c>
      <c r="W804" s="8">
        <f>1/(1+EXP(-V804))</f>
        <v/>
      </c>
      <c r="X804" s="9">
        <f>-IF(C804=1,LN(W804),LN(1-W804))</f>
        <v/>
      </c>
      <c r="Y804" s="10">
        <f>IF(W804&gt;$AC$33,1,0)</f>
        <v/>
      </c>
      <c r="Z804">
        <f>IF(Y804=C804,1,0)</f>
        <v/>
      </c>
    </row>
    <row r="805">
      <c r="A805">
        <f>'1 prepared data'!A798</f>
        <v/>
      </c>
      <c r="B805" s="5">
        <f>'1 prepared data'!U798</f>
        <v/>
      </c>
      <c r="C805">
        <f>'1 prepared data'!B798</f>
        <v/>
      </c>
      <c r="D805" s="7">
        <f>'1 prepared data'!C798</f>
        <v/>
      </c>
      <c r="E805" s="7">
        <f>'1 prepared data'!D798</f>
        <v/>
      </c>
      <c r="F805" s="7">
        <f>'1 prepared data'!E798</f>
        <v/>
      </c>
      <c r="G805" s="7">
        <f>'1 prepared data'!F798</f>
        <v/>
      </c>
      <c r="H805" s="7">
        <f>'1 prepared data'!G798</f>
        <v/>
      </c>
      <c r="I805" s="7">
        <f>'1 prepared data'!H798</f>
        <v/>
      </c>
      <c r="J805" s="7">
        <f>'1 prepared data'!I798</f>
        <v/>
      </c>
      <c r="K805" s="7">
        <f>'1 prepared data'!J798</f>
        <v/>
      </c>
      <c r="L805" s="7">
        <f>'1 prepared data'!K798</f>
        <v/>
      </c>
      <c r="M805" s="7">
        <f>'1 prepared data'!L798</f>
        <v/>
      </c>
      <c r="N805" s="7">
        <f>'1 prepared data'!M798</f>
        <v/>
      </c>
      <c r="O805" s="7">
        <f>'1 prepared data'!N798</f>
        <v/>
      </c>
      <c r="P805" s="7">
        <f>'1 prepared data'!O798</f>
        <v/>
      </c>
      <c r="Q805" s="7">
        <f>'1 prepared data'!P798</f>
        <v/>
      </c>
      <c r="R805" s="7">
        <f>'1 prepared data'!Q798</f>
        <v/>
      </c>
      <c r="S805" s="7">
        <f>'1 prepared data'!R798</f>
        <v/>
      </c>
      <c r="T805" s="7">
        <f>'1 prepared data'!S798</f>
        <v/>
      </c>
      <c r="U805" s="7">
        <f>'1 prepared data'!T798</f>
        <v/>
      </c>
      <c r="V805" s="8">
        <f>$AC$12+D805*$AC$13+E805*$AC$14+F805*$AC$15+G805*$AC$16+H805*$AC$17+I805*$AC$18+J805*$AC$19+K805*$AC$20+L805*$AC$21+M805*$AC$22+N805*$AC$23+O805*$AC$24+P805*$AC$25+Q805*$AC$26+R805*$AC$27+S805*$AC$28+T805*$AC$29+U805*$AC$30</f>
        <v/>
      </c>
      <c r="W805" s="8">
        <f>1/(1+EXP(-V805))</f>
        <v/>
      </c>
      <c r="X805" s="9">
        <f>-IF(C805=1,LN(W805),LN(1-W805))</f>
        <v/>
      </c>
      <c r="Y805" s="10">
        <f>IF(W805&gt;$AC$33,1,0)</f>
        <v/>
      </c>
      <c r="Z805">
        <f>IF(Y805=C805,1,0)</f>
        <v/>
      </c>
    </row>
    <row r="806">
      <c r="A806">
        <f>'1 prepared data'!A799</f>
        <v/>
      </c>
      <c r="B806" s="5">
        <f>'1 prepared data'!U799</f>
        <v/>
      </c>
      <c r="C806">
        <f>'1 prepared data'!B799</f>
        <v/>
      </c>
      <c r="D806" s="7">
        <f>'1 prepared data'!C799</f>
        <v/>
      </c>
      <c r="E806" s="7">
        <f>'1 prepared data'!D799</f>
        <v/>
      </c>
      <c r="F806" s="7">
        <f>'1 prepared data'!E799</f>
        <v/>
      </c>
      <c r="G806" s="7">
        <f>'1 prepared data'!F799</f>
        <v/>
      </c>
      <c r="H806" s="7">
        <f>'1 prepared data'!G799</f>
        <v/>
      </c>
      <c r="I806" s="7">
        <f>'1 prepared data'!H799</f>
        <v/>
      </c>
      <c r="J806" s="7">
        <f>'1 prepared data'!I799</f>
        <v/>
      </c>
      <c r="K806" s="7">
        <f>'1 prepared data'!J799</f>
        <v/>
      </c>
      <c r="L806" s="7">
        <f>'1 prepared data'!K799</f>
        <v/>
      </c>
      <c r="M806" s="7">
        <f>'1 prepared data'!L799</f>
        <v/>
      </c>
      <c r="N806" s="7">
        <f>'1 prepared data'!M799</f>
        <v/>
      </c>
      <c r="O806" s="7">
        <f>'1 prepared data'!N799</f>
        <v/>
      </c>
      <c r="P806" s="7">
        <f>'1 prepared data'!O799</f>
        <v/>
      </c>
      <c r="Q806" s="7">
        <f>'1 prepared data'!P799</f>
        <v/>
      </c>
      <c r="R806" s="7">
        <f>'1 prepared data'!Q799</f>
        <v/>
      </c>
      <c r="S806" s="7">
        <f>'1 prepared data'!R799</f>
        <v/>
      </c>
      <c r="T806" s="7">
        <f>'1 prepared data'!S799</f>
        <v/>
      </c>
      <c r="U806" s="7">
        <f>'1 prepared data'!T799</f>
        <v/>
      </c>
      <c r="V806" s="8">
        <f>$AC$12+D806*$AC$13+E806*$AC$14+F806*$AC$15+G806*$AC$16+H806*$AC$17+I806*$AC$18+J806*$AC$19+K806*$AC$20+L806*$AC$21+M806*$AC$22+N806*$AC$23+O806*$AC$24+P806*$AC$25+Q806*$AC$26+R806*$AC$27+S806*$AC$28+T806*$AC$29+U806*$AC$30</f>
        <v/>
      </c>
      <c r="W806" s="8">
        <f>1/(1+EXP(-V806))</f>
        <v/>
      </c>
      <c r="X806" s="9">
        <f>-IF(C806=1,LN(W806),LN(1-W806))</f>
        <v/>
      </c>
      <c r="Y806" s="10">
        <f>IF(W806&gt;$AC$33,1,0)</f>
        <v/>
      </c>
      <c r="Z806">
        <f>IF(Y806=C806,1,0)</f>
        <v/>
      </c>
    </row>
    <row r="807">
      <c r="A807">
        <f>'1 prepared data'!A800</f>
        <v/>
      </c>
      <c r="B807" s="5">
        <f>'1 prepared data'!U800</f>
        <v/>
      </c>
      <c r="C807">
        <f>'1 prepared data'!B800</f>
        <v/>
      </c>
      <c r="D807" s="7">
        <f>'1 prepared data'!C800</f>
        <v/>
      </c>
      <c r="E807" s="7">
        <f>'1 prepared data'!D800</f>
        <v/>
      </c>
      <c r="F807" s="7">
        <f>'1 prepared data'!E800</f>
        <v/>
      </c>
      <c r="G807" s="7">
        <f>'1 prepared data'!F800</f>
        <v/>
      </c>
      <c r="H807" s="7">
        <f>'1 prepared data'!G800</f>
        <v/>
      </c>
      <c r="I807" s="7">
        <f>'1 prepared data'!H800</f>
        <v/>
      </c>
      <c r="J807" s="7">
        <f>'1 prepared data'!I800</f>
        <v/>
      </c>
      <c r="K807" s="7">
        <f>'1 prepared data'!J800</f>
        <v/>
      </c>
      <c r="L807" s="7">
        <f>'1 prepared data'!K800</f>
        <v/>
      </c>
      <c r="M807" s="7">
        <f>'1 prepared data'!L800</f>
        <v/>
      </c>
      <c r="N807" s="7">
        <f>'1 prepared data'!M800</f>
        <v/>
      </c>
      <c r="O807" s="7">
        <f>'1 prepared data'!N800</f>
        <v/>
      </c>
      <c r="P807" s="7">
        <f>'1 prepared data'!O800</f>
        <v/>
      </c>
      <c r="Q807" s="7">
        <f>'1 prepared data'!P800</f>
        <v/>
      </c>
      <c r="R807" s="7">
        <f>'1 prepared data'!Q800</f>
        <v/>
      </c>
      <c r="S807" s="7">
        <f>'1 prepared data'!R800</f>
        <v/>
      </c>
      <c r="T807" s="7">
        <f>'1 prepared data'!S800</f>
        <v/>
      </c>
      <c r="U807" s="7">
        <f>'1 prepared data'!T800</f>
        <v/>
      </c>
      <c r="V807" s="8">
        <f>$AC$12+D807*$AC$13+E807*$AC$14+F807*$AC$15+G807*$AC$16+H807*$AC$17+I807*$AC$18+J807*$AC$19+K807*$AC$20+L807*$AC$21+M807*$AC$22+N807*$AC$23+O807*$AC$24+P807*$AC$25+Q807*$AC$26+R807*$AC$27+S807*$AC$28+T807*$AC$29+U807*$AC$30</f>
        <v/>
      </c>
      <c r="W807" s="8">
        <f>1/(1+EXP(-V807))</f>
        <v/>
      </c>
      <c r="X807" s="9">
        <f>-IF(C807=1,LN(W807),LN(1-W807))</f>
        <v/>
      </c>
      <c r="Y807" s="10">
        <f>IF(W807&gt;$AC$33,1,0)</f>
        <v/>
      </c>
      <c r="Z807">
        <f>IF(Y807=C807,1,0)</f>
        <v/>
      </c>
    </row>
    <row r="808">
      <c r="A808">
        <f>'1 prepared data'!A801</f>
        <v/>
      </c>
      <c r="B808" s="5">
        <f>'1 prepared data'!U801</f>
        <v/>
      </c>
      <c r="C808">
        <f>'1 prepared data'!B801</f>
        <v/>
      </c>
      <c r="D808" s="7">
        <f>'1 prepared data'!C801</f>
        <v/>
      </c>
      <c r="E808" s="7">
        <f>'1 prepared data'!D801</f>
        <v/>
      </c>
      <c r="F808" s="7">
        <f>'1 prepared data'!E801</f>
        <v/>
      </c>
      <c r="G808" s="7">
        <f>'1 prepared data'!F801</f>
        <v/>
      </c>
      <c r="H808" s="7">
        <f>'1 prepared data'!G801</f>
        <v/>
      </c>
      <c r="I808" s="7">
        <f>'1 prepared data'!H801</f>
        <v/>
      </c>
      <c r="J808" s="7">
        <f>'1 prepared data'!I801</f>
        <v/>
      </c>
      <c r="K808" s="7">
        <f>'1 prepared data'!J801</f>
        <v/>
      </c>
      <c r="L808" s="7">
        <f>'1 prepared data'!K801</f>
        <v/>
      </c>
      <c r="M808" s="7">
        <f>'1 prepared data'!L801</f>
        <v/>
      </c>
      <c r="N808" s="7">
        <f>'1 prepared data'!M801</f>
        <v/>
      </c>
      <c r="O808" s="7">
        <f>'1 prepared data'!N801</f>
        <v/>
      </c>
      <c r="P808" s="7">
        <f>'1 prepared data'!O801</f>
        <v/>
      </c>
      <c r="Q808" s="7">
        <f>'1 prepared data'!P801</f>
        <v/>
      </c>
      <c r="R808" s="7">
        <f>'1 prepared data'!Q801</f>
        <v/>
      </c>
      <c r="S808" s="7">
        <f>'1 prepared data'!R801</f>
        <v/>
      </c>
      <c r="T808" s="7">
        <f>'1 prepared data'!S801</f>
        <v/>
      </c>
      <c r="U808" s="7">
        <f>'1 prepared data'!T801</f>
        <v/>
      </c>
      <c r="V808" s="8">
        <f>$AC$12+D808*$AC$13+E808*$AC$14+F808*$AC$15+G808*$AC$16+H808*$AC$17+I808*$AC$18+J808*$AC$19+K808*$AC$20+L808*$AC$21+M808*$AC$22+N808*$AC$23+O808*$AC$24+P808*$AC$25+Q808*$AC$26+R808*$AC$27+S808*$AC$28+T808*$AC$29+U808*$AC$30</f>
        <v/>
      </c>
      <c r="W808" s="8">
        <f>1/(1+EXP(-V808))</f>
        <v/>
      </c>
      <c r="X808" s="9">
        <f>-IF(C808=1,LN(W808),LN(1-W808))</f>
        <v/>
      </c>
      <c r="Y808" s="10">
        <f>IF(W808&gt;$AC$33,1,0)</f>
        <v/>
      </c>
      <c r="Z808">
        <f>IF(Y808=C808,1,0)</f>
        <v/>
      </c>
    </row>
    <row r="809">
      <c r="A809">
        <f>'1 prepared data'!A802</f>
        <v/>
      </c>
      <c r="B809" s="5">
        <f>'1 prepared data'!U802</f>
        <v/>
      </c>
      <c r="C809">
        <f>'1 prepared data'!B802</f>
        <v/>
      </c>
      <c r="D809" s="7">
        <f>'1 prepared data'!C802</f>
        <v/>
      </c>
      <c r="E809" s="7">
        <f>'1 prepared data'!D802</f>
        <v/>
      </c>
      <c r="F809" s="7">
        <f>'1 prepared data'!E802</f>
        <v/>
      </c>
      <c r="G809" s="7">
        <f>'1 prepared data'!F802</f>
        <v/>
      </c>
      <c r="H809" s="7">
        <f>'1 prepared data'!G802</f>
        <v/>
      </c>
      <c r="I809" s="7">
        <f>'1 prepared data'!H802</f>
        <v/>
      </c>
      <c r="J809" s="7">
        <f>'1 prepared data'!I802</f>
        <v/>
      </c>
      <c r="K809" s="7">
        <f>'1 prepared data'!J802</f>
        <v/>
      </c>
      <c r="L809" s="7">
        <f>'1 prepared data'!K802</f>
        <v/>
      </c>
      <c r="M809" s="7">
        <f>'1 prepared data'!L802</f>
        <v/>
      </c>
      <c r="N809" s="7">
        <f>'1 prepared data'!M802</f>
        <v/>
      </c>
      <c r="O809" s="7">
        <f>'1 prepared data'!N802</f>
        <v/>
      </c>
      <c r="P809" s="7">
        <f>'1 prepared data'!O802</f>
        <v/>
      </c>
      <c r="Q809" s="7">
        <f>'1 prepared data'!P802</f>
        <v/>
      </c>
      <c r="R809" s="7">
        <f>'1 prepared data'!Q802</f>
        <v/>
      </c>
      <c r="S809" s="7">
        <f>'1 prepared data'!R802</f>
        <v/>
      </c>
      <c r="T809" s="7">
        <f>'1 prepared data'!S802</f>
        <v/>
      </c>
      <c r="U809" s="7">
        <f>'1 prepared data'!T802</f>
        <v/>
      </c>
      <c r="V809" s="8">
        <f>$AC$12+D809*$AC$13+E809*$AC$14+F809*$AC$15+G809*$AC$16+H809*$AC$17+I809*$AC$18+J809*$AC$19+K809*$AC$20+L809*$AC$21+M809*$AC$22+N809*$AC$23+O809*$AC$24+P809*$AC$25+Q809*$AC$26+R809*$AC$27+S809*$AC$28+T809*$AC$29+U809*$AC$30</f>
        <v/>
      </c>
      <c r="W809" s="8">
        <f>1/(1+EXP(-V809))</f>
        <v/>
      </c>
      <c r="X809" s="9">
        <f>-IF(C809=1,LN(W809),LN(1-W809))</f>
        <v/>
      </c>
      <c r="Y809" s="10">
        <f>IF(W809&gt;$AC$33,1,0)</f>
        <v/>
      </c>
      <c r="Z809">
        <f>IF(Y809=C809,1,0)</f>
        <v/>
      </c>
    </row>
    <row r="810">
      <c r="A810">
        <f>'1 prepared data'!A803</f>
        <v/>
      </c>
      <c r="B810" s="5">
        <f>'1 prepared data'!U803</f>
        <v/>
      </c>
      <c r="C810">
        <f>'1 prepared data'!B803</f>
        <v/>
      </c>
      <c r="D810" s="7">
        <f>'1 prepared data'!C803</f>
        <v/>
      </c>
      <c r="E810" s="7">
        <f>'1 prepared data'!D803</f>
        <v/>
      </c>
      <c r="F810" s="7">
        <f>'1 prepared data'!E803</f>
        <v/>
      </c>
      <c r="G810" s="7">
        <f>'1 prepared data'!F803</f>
        <v/>
      </c>
      <c r="H810" s="7">
        <f>'1 prepared data'!G803</f>
        <v/>
      </c>
      <c r="I810" s="7">
        <f>'1 prepared data'!H803</f>
        <v/>
      </c>
      <c r="J810" s="7">
        <f>'1 prepared data'!I803</f>
        <v/>
      </c>
      <c r="K810" s="7">
        <f>'1 prepared data'!J803</f>
        <v/>
      </c>
      <c r="L810" s="7">
        <f>'1 prepared data'!K803</f>
        <v/>
      </c>
      <c r="M810" s="7">
        <f>'1 prepared data'!L803</f>
        <v/>
      </c>
      <c r="N810" s="7">
        <f>'1 prepared data'!M803</f>
        <v/>
      </c>
      <c r="O810" s="7">
        <f>'1 prepared data'!N803</f>
        <v/>
      </c>
      <c r="P810" s="7">
        <f>'1 prepared data'!O803</f>
        <v/>
      </c>
      <c r="Q810" s="7">
        <f>'1 prepared data'!P803</f>
        <v/>
      </c>
      <c r="R810" s="7">
        <f>'1 prepared data'!Q803</f>
        <v/>
      </c>
      <c r="S810" s="7">
        <f>'1 prepared data'!R803</f>
        <v/>
      </c>
      <c r="T810" s="7">
        <f>'1 prepared data'!S803</f>
        <v/>
      </c>
      <c r="U810" s="7">
        <f>'1 prepared data'!T803</f>
        <v/>
      </c>
      <c r="V810" s="8">
        <f>$AC$12+D810*$AC$13+E810*$AC$14+F810*$AC$15+G810*$AC$16+H810*$AC$17+I810*$AC$18+J810*$AC$19+K810*$AC$20+L810*$AC$21+M810*$AC$22+N810*$AC$23+O810*$AC$24+P810*$AC$25+Q810*$AC$26+R810*$AC$27+S810*$AC$28+T810*$AC$29+U810*$AC$30</f>
        <v/>
      </c>
      <c r="W810" s="8">
        <f>1/(1+EXP(-V810))</f>
        <v/>
      </c>
      <c r="X810" s="9">
        <f>-IF(C810=1,LN(W810),LN(1-W810))</f>
        <v/>
      </c>
      <c r="Y810" s="10">
        <f>IF(W810&gt;$AC$33,1,0)</f>
        <v/>
      </c>
      <c r="Z810">
        <f>IF(Y810=C810,1,0)</f>
        <v/>
      </c>
    </row>
    <row r="811">
      <c r="A811">
        <f>'1 prepared data'!A804</f>
        <v/>
      </c>
      <c r="B811" s="5">
        <f>'1 prepared data'!U804</f>
        <v/>
      </c>
      <c r="C811">
        <f>'1 prepared data'!B804</f>
        <v/>
      </c>
      <c r="D811" s="7">
        <f>'1 prepared data'!C804</f>
        <v/>
      </c>
      <c r="E811" s="7">
        <f>'1 prepared data'!D804</f>
        <v/>
      </c>
      <c r="F811" s="7">
        <f>'1 prepared data'!E804</f>
        <v/>
      </c>
      <c r="G811" s="7">
        <f>'1 prepared data'!F804</f>
        <v/>
      </c>
      <c r="H811" s="7">
        <f>'1 prepared data'!G804</f>
        <v/>
      </c>
      <c r="I811" s="7">
        <f>'1 prepared data'!H804</f>
        <v/>
      </c>
      <c r="J811" s="7">
        <f>'1 prepared data'!I804</f>
        <v/>
      </c>
      <c r="K811" s="7">
        <f>'1 prepared data'!J804</f>
        <v/>
      </c>
      <c r="L811" s="7">
        <f>'1 prepared data'!K804</f>
        <v/>
      </c>
      <c r="M811" s="7">
        <f>'1 prepared data'!L804</f>
        <v/>
      </c>
      <c r="N811" s="7">
        <f>'1 prepared data'!M804</f>
        <v/>
      </c>
      <c r="O811" s="7">
        <f>'1 prepared data'!N804</f>
        <v/>
      </c>
      <c r="P811" s="7">
        <f>'1 prepared data'!O804</f>
        <v/>
      </c>
      <c r="Q811" s="7">
        <f>'1 prepared data'!P804</f>
        <v/>
      </c>
      <c r="R811" s="7">
        <f>'1 prepared data'!Q804</f>
        <v/>
      </c>
      <c r="S811" s="7">
        <f>'1 prepared data'!R804</f>
        <v/>
      </c>
      <c r="T811" s="7">
        <f>'1 prepared data'!S804</f>
        <v/>
      </c>
      <c r="U811" s="7">
        <f>'1 prepared data'!T804</f>
        <v/>
      </c>
      <c r="V811" s="8">
        <f>$AC$12+D811*$AC$13+E811*$AC$14+F811*$AC$15+G811*$AC$16+H811*$AC$17+I811*$AC$18+J811*$AC$19+K811*$AC$20+L811*$AC$21+M811*$AC$22+N811*$AC$23+O811*$AC$24+P811*$AC$25+Q811*$AC$26+R811*$AC$27+S811*$AC$28+T811*$AC$29+U811*$AC$30</f>
        <v/>
      </c>
      <c r="W811" s="8">
        <f>1/(1+EXP(-V811))</f>
        <v/>
      </c>
      <c r="X811" s="9">
        <f>-IF(C811=1,LN(W811),LN(1-W811))</f>
        <v/>
      </c>
      <c r="Y811" s="10">
        <f>IF(W811&gt;$AC$33,1,0)</f>
        <v/>
      </c>
      <c r="Z811">
        <f>IF(Y811=C811,1,0)</f>
        <v/>
      </c>
    </row>
    <row r="812">
      <c r="A812">
        <f>'1 prepared data'!A805</f>
        <v/>
      </c>
      <c r="B812" s="5">
        <f>'1 prepared data'!U805</f>
        <v/>
      </c>
      <c r="C812">
        <f>'1 prepared data'!B805</f>
        <v/>
      </c>
      <c r="D812" s="7">
        <f>'1 prepared data'!C805</f>
        <v/>
      </c>
      <c r="E812" s="7">
        <f>'1 prepared data'!D805</f>
        <v/>
      </c>
      <c r="F812" s="7">
        <f>'1 prepared data'!E805</f>
        <v/>
      </c>
      <c r="G812" s="7">
        <f>'1 prepared data'!F805</f>
        <v/>
      </c>
      <c r="H812" s="7">
        <f>'1 prepared data'!G805</f>
        <v/>
      </c>
      <c r="I812" s="7">
        <f>'1 prepared data'!H805</f>
        <v/>
      </c>
      <c r="J812" s="7">
        <f>'1 prepared data'!I805</f>
        <v/>
      </c>
      <c r="K812" s="7">
        <f>'1 prepared data'!J805</f>
        <v/>
      </c>
      <c r="L812" s="7">
        <f>'1 prepared data'!K805</f>
        <v/>
      </c>
      <c r="M812" s="7">
        <f>'1 prepared data'!L805</f>
        <v/>
      </c>
      <c r="N812" s="7">
        <f>'1 prepared data'!M805</f>
        <v/>
      </c>
      <c r="O812" s="7">
        <f>'1 prepared data'!N805</f>
        <v/>
      </c>
      <c r="P812" s="7">
        <f>'1 prepared data'!O805</f>
        <v/>
      </c>
      <c r="Q812" s="7">
        <f>'1 prepared data'!P805</f>
        <v/>
      </c>
      <c r="R812" s="7">
        <f>'1 prepared data'!Q805</f>
        <v/>
      </c>
      <c r="S812" s="7">
        <f>'1 prepared data'!R805</f>
        <v/>
      </c>
      <c r="T812" s="7">
        <f>'1 prepared data'!S805</f>
        <v/>
      </c>
      <c r="U812" s="7">
        <f>'1 prepared data'!T805</f>
        <v/>
      </c>
      <c r="V812" s="8">
        <f>$AC$12+D812*$AC$13+E812*$AC$14+F812*$AC$15+G812*$AC$16+H812*$AC$17+I812*$AC$18+J812*$AC$19+K812*$AC$20+L812*$AC$21+M812*$AC$22+N812*$AC$23+O812*$AC$24+P812*$AC$25+Q812*$AC$26+R812*$AC$27+S812*$AC$28+T812*$AC$29+U812*$AC$30</f>
        <v/>
      </c>
      <c r="W812" s="8">
        <f>1/(1+EXP(-V812))</f>
        <v/>
      </c>
      <c r="X812" s="9">
        <f>-IF(C812=1,LN(W812),LN(1-W812))</f>
        <v/>
      </c>
      <c r="Y812" s="10">
        <f>IF(W812&gt;$AC$33,1,0)</f>
        <v/>
      </c>
      <c r="Z812">
        <f>IF(Y812=C812,1,0)</f>
        <v/>
      </c>
    </row>
    <row r="813">
      <c r="A813">
        <f>'1 prepared data'!A806</f>
        <v/>
      </c>
      <c r="B813" s="5">
        <f>'1 prepared data'!U806</f>
        <v/>
      </c>
      <c r="C813">
        <f>'1 prepared data'!B806</f>
        <v/>
      </c>
      <c r="D813" s="7">
        <f>'1 prepared data'!C806</f>
        <v/>
      </c>
      <c r="E813" s="7">
        <f>'1 prepared data'!D806</f>
        <v/>
      </c>
      <c r="F813" s="7">
        <f>'1 prepared data'!E806</f>
        <v/>
      </c>
      <c r="G813" s="7">
        <f>'1 prepared data'!F806</f>
        <v/>
      </c>
      <c r="H813" s="7">
        <f>'1 prepared data'!G806</f>
        <v/>
      </c>
      <c r="I813" s="7">
        <f>'1 prepared data'!H806</f>
        <v/>
      </c>
      <c r="J813" s="7">
        <f>'1 prepared data'!I806</f>
        <v/>
      </c>
      <c r="K813" s="7">
        <f>'1 prepared data'!J806</f>
        <v/>
      </c>
      <c r="L813" s="7">
        <f>'1 prepared data'!K806</f>
        <v/>
      </c>
      <c r="M813" s="7">
        <f>'1 prepared data'!L806</f>
        <v/>
      </c>
      <c r="N813" s="7">
        <f>'1 prepared data'!M806</f>
        <v/>
      </c>
      <c r="O813" s="7">
        <f>'1 prepared data'!N806</f>
        <v/>
      </c>
      <c r="P813" s="7">
        <f>'1 prepared data'!O806</f>
        <v/>
      </c>
      <c r="Q813" s="7">
        <f>'1 prepared data'!P806</f>
        <v/>
      </c>
      <c r="R813" s="7">
        <f>'1 prepared data'!Q806</f>
        <v/>
      </c>
      <c r="S813" s="7">
        <f>'1 prepared data'!R806</f>
        <v/>
      </c>
      <c r="T813" s="7">
        <f>'1 prepared data'!S806</f>
        <v/>
      </c>
      <c r="U813" s="7">
        <f>'1 prepared data'!T806</f>
        <v/>
      </c>
      <c r="V813" s="8">
        <f>$AC$12+D813*$AC$13+E813*$AC$14+F813*$AC$15+G813*$AC$16+H813*$AC$17+I813*$AC$18+J813*$AC$19+K813*$AC$20+L813*$AC$21+M813*$AC$22+N813*$AC$23+O813*$AC$24+P813*$AC$25+Q813*$AC$26+R813*$AC$27+S813*$AC$28+T813*$AC$29+U813*$AC$30</f>
        <v/>
      </c>
      <c r="W813" s="8">
        <f>1/(1+EXP(-V813))</f>
        <v/>
      </c>
      <c r="X813" s="9">
        <f>-IF(C813=1,LN(W813),LN(1-W813))</f>
        <v/>
      </c>
      <c r="Y813" s="10">
        <f>IF(W813&gt;$AC$33,1,0)</f>
        <v/>
      </c>
      <c r="Z813">
        <f>IF(Y813=C813,1,0)</f>
        <v/>
      </c>
    </row>
    <row r="814">
      <c r="A814">
        <f>'1 prepared data'!A807</f>
        <v/>
      </c>
      <c r="B814" s="5">
        <f>'1 prepared data'!U807</f>
        <v/>
      </c>
      <c r="C814">
        <f>'1 prepared data'!B807</f>
        <v/>
      </c>
      <c r="D814" s="7">
        <f>'1 prepared data'!C807</f>
        <v/>
      </c>
      <c r="E814" s="7">
        <f>'1 prepared data'!D807</f>
        <v/>
      </c>
      <c r="F814" s="7">
        <f>'1 prepared data'!E807</f>
        <v/>
      </c>
      <c r="G814" s="7">
        <f>'1 prepared data'!F807</f>
        <v/>
      </c>
      <c r="H814" s="7">
        <f>'1 prepared data'!G807</f>
        <v/>
      </c>
      <c r="I814" s="7">
        <f>'1 prepared data'!H807</f>
        <v/>
      </c>
      <c r="J814" s="7">
        <f>'1 prepared data'!I807</f>
        <v/>
      </c>
      <c r="K814" s="7">
        <f>'1 prepared data'!J807</f>
        <v/>
      </c>
      <c r="L814" s="7">
        <f>'1 prepared data'!K807</f>
        <v/>
      </c>
      <c r="M814" s="7">
        <f>'1 prepared data'!L807</f>
        <v/>
      </c>
      <c r="N814" s="7">
        <f>'1 prepared data'!M807</f>
        <v/>
      </c>
      <c r="O814" s="7">
        <f>'1 prepared data'!N807</f>
        <v/>
      </c>
      <c r="P814" s="7">
        <f>'1 prepared data'!O807</f>
        <v/>
      </c>
      <c r="Q814" s="7">
        <f>'1 prepared data'!P807</f>
        <v/>
      </c>
      <c r="R814" s="7">
        <f>'1 prepared data'!Q807</f>
        <v/>
      </c>
      <c r="S814" s="7">
        <f>'1 prepared data'!R807</f>
        <v/>
      </c>
      <c r="T814" s="7">
        <f>'1 prepared data'!S807</f>
        <v/>
      </c>
      <c r="U814" s="7">
        <f>'1 prepared data'!T807</f>
        <v/>
      </c>
      <c r="V814" s="8">
        <f>$AC$12+D814*$AC$13+E814*$AC$14+F814*$AC$15+G814*$AC$16+H814*$AC$17+I814*$AC$18+J814*$AC$19+K814*$AC$20+L814*$AC$21+M814*$AC$22+N814*$AC$23+O814*$AC$24+P814*$AC$25+Q814*$AC$26+R814*$AC$27+S814*$AC$28+T814*$AC$29+U814*$AC$30</f>
        <v/>
      </c>
      <c r="W814" s="8">
        <f>1/(1+EXP(-V814))</f>
        <v/>
      </c>
      <c r="X814" s="9">
        <f>-IF(C814=1,LN(W814),LN(1-W814))</f>
        <v/>
      </c>
      <c r="Y814" s="10">
        <f>IF(W814&gt;$AC$33,1,0)</f>
        <v/>
      </c>
      <c r="Z814">
        <f>IF(Y814=C814,1,0)</f>
        <v/>
      </c>
    </row>
    <row r="815">
      <c r="A815">
        <f>'1 prepared data'!A808</f>
        <v/>
      </c>
      <c r="B815" s="5">
        <f>'1 prepared data'!U808</f>
        <v/>
      </c>
      <c r="C815">
        <f>'1 prepared data'!B808</f>
        <v/>
      </c>
      <c r="D815" s="7">
        <f>'1 prepared data'!C808</f>
        <v/>
      </c>
      <c r="E815" s="7">
        <f>'1 prepared data'!D808</f>
        <v/>
      </c>
      <c r="F815" s="7">
        <f>'1 prepared data'!E808</f>
        <v/>
      </c>
      <c r="G815" s="7">
        <f>'1 prepared data'!F808</f>
        <v/>
      </c>
      <c r="H815" s="7">
        <f>'1 prepared data'!G808</f>
        <v/>
      </c>
      <c r="I815" s="7">
        <f>'1 prepared data'!H808</f>
        <v/>
      </c>
      <c r="J815" s="7">
        <f>'1 prepared data'!I808</f>
        <v/>
      </c>
      <c r="K815" s="7">
        <f>'1 prepared data'!J808</f>
        <v/>
      </c>
      <c r="L815" s="7">
        <f>'1 prepared data'!K808</f>
        <v/>
      </c>
      <c r="M815" s="7">
        <f>'1 prepared data'!L808</f>
        <v/>
      </c>
      <c r="N815" s="7">
        <f>'1 prepared data'!M808</f>
        <v/>
      </c>
      <c r="O815" s="7">
        <f>'1 prepared data'!N808</f>
        <v/>
      </c>
      <c r="P815" s="7">
        <f>'1 prepared data'!O808</f>
        <v/>
      </c>
      <c r="Q815" s="7">
        <f>'1 prepared data'!P808</f>
        <v/>
      </c>
      <c r="R815" s="7">
        <f>'1 prepared data'!Q808</f>
        <v/>
      </c>
      <c r="S815" s="7">
        <f>'1 prepared data'!R808</f>
        <v/>
      </c>
      <c r="T815" s="7">
        <f>'1 prepared data'!S808</f>
        <v/>
      </c>
      <c r="U815" s="7">
        <f>'1 prepared data'!T808</f>
        <v/>
      </c>
      <c r="V815" s="8">
        <f>$AC$12+D815*$AC$13+E815*$AC$14+F815*$AC$15+G815*$AC$16+H815*$AC$17+I815*$AC$18+J815*$AC$19+K815*$AC$20+L815*$AC$21+M815*$AC$22+N815*$AC$23+O815*$AC$24+P815*$AC$25+Q815*$AC$26+R815*$AC$27+S815*$AC$28+T815*$AC$29+U815*$AC$30</f>
        <v/>
      </c>
      <c r="W815" s="8">
        <f>1/(1+EXP(-V815))</f>
        <v/>
      </c>
      <c r="X815" s="9">
        <f>-IF(C815=1,LN(W815),LN(1-W815))</f>
        <v/>
      </c>
      <c r="Y815" s="10">
        <f>IF(W815&gt;$AC$33,1,0)</f>
        <v/>
      </c>
      <c r="Z815">
        <f>IF(Y815=C815,1,0)</f>
        <v/>
      </c>
    </row>
    <row r="816">
      <c r="A816">
        <f>'1 prepared data'!A809</f>
        <v/>
      </c>
      <c r="B816" s="5">
        <f>'1 prepared data'!U809</f>
        <v/>
      </c>
      <c r="C816">
        <f>'1 prepared data'!B809</f>
        <v/>
      </c>
      <c r="D816" s="7">
        <f>'1 prepared data'!C809</f>
        <v/>
      </c>
      <c r="E816" s="7">
        <f>'1 prepared data'!D809</f>
        <v/>
      </c>
      <c r="F816" s="7">
        <f>'1 prepared data'!E809</f>
        <v/>
      </c>
      <c r="G816" s="7">
        <f>'1 prepared data'!F809</f>
        <v/>
      </c>
      <c r="H816" s="7">
        <f>'1 prepared data'!G809</f>
        <v/>
      </c>
      <c r="I816" s="7">
        <f>'1 prepared data'!H809</f>
        <v/>
      </c>
      <c r="J816" s="7">
        <f>'1 prepared data'!I809</f>
        <v/>
      </c>
      <c r="K816" s="7">
        <f>'1 prepared data'!J809</f>
        <v/>
      </c>
      <c r="L816" s="7">
        <f>'1 prepared data'!K809</f>
        <v/>
      </c>
      <c r="M816" s="7">
        <f>'1 prepared data'!L809</f>
        <v/>
      </c>
      <c r="N816" s="7">
        <f>'1 prepared data'!M809</f>
        <v/>
      </c>
      <c r="O816" s="7">
        <f>'1 prepared data'!N809</f>
        <v/>
      </c>
      <c r="P816" s="7">
        <f>'1 prepared data'!O809</f>
        <v/>
      </c>
      <c r="Q816" s="7">
        <f>'1 prepared data'!P809</f>
        <v/>
      </c>
      <c r="R816" s="7">
        <f>'1 prepared data'!Q809</f>
        <v/>
      </c>
      <c r="S816" s="7">
        <f>'1 prepared data'!R809</f>
        <v/>
      </c>
      <c r="T816" s="7">
        <f>'1 prepared data'!S809</f>
        <v/>
      </c>
      <c r="U816" s="7">
        <f>'1 prepared data'!T809</f>
        <v/>
      </c>
      <c r="V816" s="8">
        <f>$AC$12+D816*$AC$13+E816*$AC$14+F816*$AC$15+G816*$AC$16+H816*$AC$17+I816*$AC$18+J816*$AC$19+K816*$AC$20+L816*$AC$21+M816*$AC$22+N816*$AC$23+O816*$AC$24+P816*$AC$25+Q816*$AC$26+R816*$AC$27+S816*$AC$28+T816*$AC$29+U816*$AC$30</f>
        <v/>
      </c>
      <c r="W816" s="8">
        <f>1/(1+EXP(-V816))</f>
        <v/>
      </c>
      <c r="X816" s="9">
        <f>-IF(C816=1,LN(W816),LN(1-W816))</f>
        <v/>
      </c>
      <c r="Y816" s="10">
        <f>IF(W816&gt;$AC$33,1,0)</f>
        <v/>
      </c>
      <c r="Z816">
        <f>IF(Y816=C816,1,0)</f>
        <v/>
      </c>
    </row>
    <row r="817">
      <c r="A817">
        <f>'1 prepared data'!A810</f>
        <v/>
      </c>
      <c r="B817" s="5">
        <f>'1 prepared data'!U810</f>
        <v/>
      </c>
      <c r="C817">
        <f>'1 prepared data'!B810</f>
        <v/>
      </c>
      <c r="D817" s="7">
        <f>'1 prepared data'!C810</f>
        <v/>
      </c>
      <c r="E817" s="7">
        <f>'1 prepared data'!D810</f>
        <v/>
      </c>
      <c r="F817" s="7">
        <f>'1 prepared data'!E810</f>
        <v/>
      </c>
      <c r="G817" s="7">
        <f>'1 prepared data'!F810</f>
        <v/>
      </c>
      <c r="H817" s="7">
        <f>'1 prepared data'!G810</f>
        <v/>
      </c>
      <c r="I817" s="7">
        <f>'1 prepared data'!H810</f>
        <v/>
      </c>
      <c r="J817" s="7">
        <f>'1 prepared data'!I810</f>
        <v/>
      </c>
      <c r="K817" s="7">
        <f>'1 prepared data'!J810</f>
        <v/>
      </c>
      <c r="L817" s="7">
        <f>'1 prepared data'!K810</f>
        <v/>
      </c>
      <c r="M817" s="7">
        <f>'1 prepared data'!L810</f>
        <v/>
      </c>
      <c r="N817" s="7">
        <f>'1 prepared data'!M810</f>
        <v/>
      </c>
      <c r="O817" s="7">
        <f>'1 prepared data'!N810</f>
        <v/>
      </c>
      <c r="P817" s="7">
        <f>'1 prepared data'!O810</f>
        <v/>
      </c>
      <c r="Q817" s="7">
        <f>'1 prepared data'!P810</f>
        <v/>
      </c>
      <c r="R817" s="7">
        <f>'1 prepared data'!Q810</f>
        <v/>
      </c>
      <c r="S817" s="7">
        <f>'1 prepared data'!R810</f>
        <v/>
      </c>
      <c r="T817" s="7">
        <f>'1 prepared data'!S810</f>
        <v/>
      </c>
      <c r="U817" s="7">
        <f>'1 prepared data'!T810</f>
        <v/>
      </c>
      <c r="V817" s="8">
        <f>$AC$12+D817*$AC$13+E817*$AC$14+F817*$AC$15+G817*$AC$16+H817*$AC$17+I817*$AC$18+J817*$AC$19+K817*$AC$20+L817*$AC$21+M817*$AC$22+N817*$AC$23+O817*$AC$24+P817*$AC$25+Q817*$AC$26+R817*$AC$27+S817*$AC$28+T817*$AC$29+U817*$AC$30</f>
        <v/>
      </c>
      <c r="W817" s="8">
        <f>1/(1+EXP(-V817))</f>
        <v/>
      </c>
      <c r="X817" s="9">
        <f>-IF(C817=1,LN(W817),LN(1-W817))</f>
        <v/>
      </c>
      <c r="Y817" s="10">
        <f>IF(W817&gt;$AC$33,1,0)</f>
        <v/>
      </c>
      <c r="Z817">
        <f>IF(Y817=C817,1,0)</f>
        <v/>
      </c>
    </row>
    <row r="818">
      <c r="A818">
        <f>'1 prepared data'!A811</f>
        <v/>
      </c>
      <c r="B818" s="5">
        <f>'1 prepared data'!U811</f>
        <v/>
      </c>
      <c r="C818">
        <f>'1 prepared data'!B811</f>
        <v/>
      </c>
      <c r="D818" s="7">
        <f>'1 prepared data'!C811</f>
        <v/>
      </c>
      <c r="E818" s="7">
        <f>'1 prepared data'!D811</f>
        <v/>
      </c>
      <c r="F818" s="7">
        <f>'1 prepared data'!E811</f>
        <v/>
      </c>
      <c r="G818" s="7">
        <f>'1 prepared data'!F811</f>
        <v/>
      </c>
      <c r="H818" s="7">
        <f>'1 prepared data'!G811</f>
        <v/>
      </c>
      <c r="I818" s="7">
        <f>'1 prepared data'!H811</f>
        <v/>
      </c>
      <c r="J818" s="7">
        <f>'1 prepared data'!I811</f>
        <v/>
      </c>
      <c r="K818" s="7">
        <f>'1 prepared data'!J811</f>
        <v/>
      </c>
      <c r="L818" s="7">
        <f>'1 prepared data'!K811</f>
        <v/>
      </c>
      <c r="M818" s="7">
        <f>'1 prepared data'!L811</f>
        <v/>
      </c>
      <c r="N818" s="7">
        <f>'1 prepared data'!M811</f>
        <v/>
      </c>
      <c r="O818" s="7">
        <f>'1 prepared data'!N811</f>
        <v/>
      </c>
      <c r="P818" s="7">
        <f>'1 prepared data'!O811</f>
        <v/>
      </c>
      <c r="Q818" s="7">
        <f>'1 prepared data'!P811</f>
        <v/>
      </c>
      <c r="R818" s="7">
        <f>'1 prepared data'!Q811</f>
        <v/>
      </c>
      <c r="S818" s="7">
        <f>'1 prepared data'!R811</f>
        <v/>
      </c>
      <c r="T818" s="7">
        <f>'1 prepared data'!S811</f>
        <v/>
      </c>
      <c r="U818" s="7">
        <f>'1 prepared data'!T811</f>
        <v/>
      </c>
      <c r="V818" s="8">
        <f>$AC$12+D818*$AC$13+E818*$AC$14+F818*$AC$15+G818*$AC$16+H818*$AC$17+I818*$AC$18+J818*$AC$19+K818*$AC$20+L818*$AC$21+M818*$AC$22+N818*$AC$23+O818*$AC$24+P818*$AC$25+Q818*$AC$26+R818*$AC$27+S818*$AC$28+T818*$AC$29+U818*$AC$30</f>
        <v/>
      </c>
      <c r="W818" s="8">
        <f>1/(1+EXP(-V818))</f>
        <v/>
      </c>
      <c r="X818" s="9">
        <f>-IF(C818=1,LN(W818),LN(1-W818))</f>
        <v/>
      </c>
      <c r="Y818" s="10">
        <f>IF(W818&gt;$AC$33,1,0)</f>
        <v/>
      </c>
      <c r="Z818">
        <f>IF(Y818=C818,1,0)</f>
        <v/>
      </c>
    </row>
    <row r="819">
      <c r="A819">
        <f>'1 prepared data'!A812</f>
        <v/>
      </c>
      <c r="B819" s="5">
        <f>'1 prepared data'!U812</f>
        <v/>
      </c>
      <c r="C819">
        <f>'1 prepared data'!B812</f>
        <v/>
      </c>
      <c r="D819" s="7">
        <f>'1 prepared data'!C812</f>
        <v/>
      </c>
      <c r="E819" s="7">
        <f>'1 prepared data'!D812</f>
        <v/>
      </c>
      <c r="F819" s="7">
        <f>'1 prepared data'!E812</f>
        <v/>
      </c>
      <c r="G819" s="7">
        <f>'1 prepared data'!F812</f>
        <v/>
      </c>
      <c r="H819" s="7">
        <f>'1 prepared data'!G812</f>
        <v/>
      </c>
      <c r="I819" s="7">
        <f>'1 prepared data'!H812</f>
        <v/>
      </c>
      <c r="J819" s="7">
        <f>'1 prepared data'!I812</f>
        <v/>
      </c>
      <c r="K819" s="7">
        <f>'1 prepared data'!J812</f>
        <v/>
      </c>
      <c r="L819" s="7">
        <f>'1 prepared data'!K812</f>
        <v/>
      </c>
      <c r="M819" s="7">
        <f>'1 prepared data'!L812</f>
        <v/>
      </c>
      <c r="N819" s="7">
        <f>'1 prepared data'!M812</f>
        <v/>
      </c>
      <c r="O819" s="7">
        <f>'1 prepared data'!N812</f>
        <v/>
      </c>
      <c r="P819" s="7">
        <f>'1 prepared data'!O812</f>
        <v/>
      </c>
      <c r="Q819" s="7">
        <f>'1 prepared data'!P812</f>
        <v/>
      </c>
      <c r="R819" s="7">
        <f>'1 prepared data'!Q812</f>
        <v/>
      </c>
      <c r="S819" s="7">
        <f>'1 prepared data'!R812</f>
        <v/>
      </c>
      <c r="T819" s="7">
        <f>'1 prepared data'!S812</f>
        <v/>
      </c>
      <c r="U819" s="7">
        <f>'1 prepared data'!T812</f>
        <v/>
      </c>
      <c r="V819" s="8">
        <f>$AC$12+D819*$AC$13+E819*$AC$14+F819*$AC$15+G819*$AC$16+H819*$AC$17+I819*$AC$18+J819*$AC$19+K819*$AC$20+L819*$AC$21+M819*$AC$22+N819*$AC$23+O819*$AC$24+P819*$AC$25+Q819*$AC$26+R819*$AC$27+S819*$AC$28+T819*$AC$29+U819*$AC$30</f>
        <v/>
      </c>
      <c r="W819" s="8">
        <f>1/(1+EXP(-V819))</f>
        <v/>
      </c>
      <c r="X819" s="9">
        <f>-IF(C819=1,LN(W819),LN(1-W819))</f>
        <v/>
      </c>
      <c r="Y819" s="10">
        <f>IF(W819&gt;$AC$33,1,0)</f>
        <v/>
      </c>
      <c r="Z819">
        <f>IF(Y819=C819,1,0)</f>
        <v/>
      </c>
    </row>
    <row r="820">
      <c r="A820">
        <f>'1 prepared data'!A813</f>
        <v/>
      </c>
      <c r="B820" s="5">
        <f>'1 prepared data'!U813</f>
        <v/>
      </c>
      <c r="C820">
        <f>'1 prepared data'!B813</f>
        <v/>
      </c>
      <c r="D820" s="7">
        <f>'1 prepared data'!C813</f>
        <v/>
      </c>
      <c r="E820" s="7">
        <f>'1 prepared data'!D813</f>
        <v/>
      </c>
      <c r="F820" s="7">
        <f>'1 prepared data'!E813</f>
        <v/>
      </c>
      <c r="G820" s="7">
        <f>'1 prepared data'!F813</f>
        <v/>
      </c>
      <c r="H820" s="7">
        <f>'1 prepared data'!G813</f>
        <v/>
      </c>
      <c r="I820" s="7">
        <f>'1 prepared data'!H813</f>
        <v/>
      </c>
      <c r="J820" s="7">
        <f>'1 prepared data'!I813</f>
        <v/>
      </c>
      <c r="K820" s="7">
        <f>'1 prepared data'!J813</f>
        <v/>
      </c>
      <c r="L820" s="7">
        <f>'1 prepared data'!K813</f>
        <v/>
      </c>
      <c r="M820" s="7">
        <f>'1 prepared data'!L813</f>
        <v/>
      </c>
      <c r="N820" s="7">
        <f>'1 prepared data'!M813</f>
        <v/>
      </c>
      <c r="O820" s="7">
        <f>'1 prepared data'!N813</f>
        <v/>
      </c>
      <c r="P820" s="7">
        <f>'1 prepared data'!O813</f>
        <v/>
      </c>
      <c r="Q820" s="7">
        <f>'1 prepared data'!P813</f>
        <v/>
      </c>
      <c r="R820" s="7">
        <f>'1 prepared data'!Q813</f>
        <v/>
      </c>
      <c r="S820" s="7">
        <f>'1 prepared data'!R813</f>
        <v/>
      </c>
      <c r="T820" s="7">
        <f>'1 prepared data'!S813</f>
        <v/>
      </c>
      <c r="U820" s="7">
        <f>'1 prepared data'!T813</f>
        <v/>
      </c>
      <c r="V820" s="8">
        <f>$AC$12+D820*$AC$13+E820*$AC$14+F820*$AC$15+G820*$AC$16+H820*$AC$17+I820*$AC$18+J820*$AC$19+K820*$AC$20+L820*$AC$21+M820*$AC$22+N820*$AC$23+O820*$AC$24+P820*$AC$25+Q820*$AC$26+R820*$AC$27+S820*$AC$28+T820*$AC$29+U820*$AC$30</f>
        <v/>
      </c>
      <c r="W820" s="8">
        <f>1/(1+EXP(-V820))</f>
        <v/>
      </c>
      <c r="X820" s="9">
        <f>-IF(C820=1,LN(W820),LN(1-W820))</f>
        <v/>
      </c>
      <c r="Y820" s="10">
        <f>IF(W820&gt;$AC$33,1,0)</f>
        <v/>
      </c>
      <c r="Z820">
        <f>IF(Y820=C820,1,0)</f>
        <v/>
      </c>
    </row>
    <row r="821">
      <c r="A821">
        <f>'1 prepared data'!A814</f>
        <v/>
      </c>
      <c r="B821" s="5">
        <f>'1 prepared data'!U814</f>
        <v/>
      </c>
      <c r="C821">
        <f>'1 prepared data'!B814</f>
        <v/>
      </c>
      <c r="D821" s="7">
        <f>'1 prepared data'!C814</f>
        <v/>
      </c>
      <c r="E821" s="7">
        <f>'1 prepared data'!D814</f>
        <v/>
      </c>
      <c r="F821" s="7">
        <f>'1 prepared data'!E814</f>
        <v/>
      </c>
      <c r="G821" s="7">
        <f>'1 prepared data'!F814</f>
        <v/>
      </c>
      <c r="H821" s="7">
        <f>'1 prepared data'!G814</f>
        <v/>
      </c>
      <c r="I821" s="7">
        <f>'1 prepared data'!H814</f>
        <v/>
      </c>
      <c r="J821" s="7">
        <f>'1 prepared data'!I814</f>
        <v/>
      </c>
      <c r="K821" s="7">
        <f>'1 prepared data'!J814</f>
        <v/>
      </c>
      <c r="L821" s="7">
        <f>'1 prepared data'!K814</f>
        <v/>
      </c>
      <c r="M821" s="7">
        <f>'1 prepared data'!L814</f>
        <v/>
      </c>
      <c r="N821" s="7">
        <f>'1 prepared data'!M814</f>
        <v/>
      </c>
      <c r="O821" s="7">
        <f>'1 prepared data'!N814</f>
        <v/>
      </c>
      <c r="P821" s="7">
        <f>'1 prepared data'!O814</f>
        <v/>
      </c>
      <c r="Q821" s="7">
        <f>'1 prepared data'!P814</f>
        <v/>
      </c>
      <c r="R821" s="7">
        <f>'1 prepared data'!Q814</f>
        <v/>
      </c>
      <c r="S821" s="7">
        <f>'1 prepared data'!R814</f>
        <v/>
      </c>
      <c r="T821" s="7">
        <f>'1 prepared data'!S814</f>
        <v/>
      </c>
      <c r="U821" s="7">
        <f>'1 prepared data'!T814</f>
        <v/>
      </c>
      <c r="V821" s="8">
        <f>$AC$12+D821*$AC$13+E821*$AC$14+F821*$AC$15+G821*$AC$16+H821*$AC$17+I821*$AC$18+J821*$AC$19+K821*$AC$20+L821*$AC$21+M821*$AC$22+N821*$AC$23+O821*$AC$24+P821*$AC$25+Q821*$AC$26+R821*$AC$27+S821*$AC$28+T821*$AC$29+U821*$AC$30</f>
        <v/>
      </c>
      <c r="W821" s="8">
        <f>1/(1+EXP(-V821))</f>
        <v/>
      </c>
      <c r="X821" s="9">
        <f>-IF(C821=1,LN(W821),LN(1-W821))</f>
        <v/>
      </c>
      <c r="Y821" s="10">
        <f>IF(W821&gt;$AC$33,1,0)</f>
        <v/>
      </c>
      <c r="Z821">
        <f>IF(Y821=C821,1,0)</f>
        <v/>
      </c>
    </row>
    <row r="822">
      <c r="A822">
        <f>'1 prepared data'!A815</f>
        <v/>
      </c>
      <c r="B822" s="5">
        <f>'1 prepared data'!U815</f>
        <v/>
      </c>
      <c r="C822">
        <f>'1 prepared data'!B815</f>
        <v/>
      </c>
      <c r="D822" s="7">
        <f>'1 prepared data'!C815</f>
        <v/>
      </c>
      <c r="E822" s="7">
        <f>'1 prepared data'!D815</f>
        <v/>
      </c>
      <c r="F822" s="7">
        <f>'1 prepared data'!E815</f>
        <v/>
      </c>
      <c r="G822" s="7">
        <f>'1 prepared data'!F815</f>
        <v/>
      </c>
      <c r="H822" s="7">
        <f>'1 prepared data'!G815</f>
        <v/>
      </c>
      <c r="I822" s="7">
        <f>'1 prepared data'!H815</f>
        <v/>
      </c>
      <c r="J822" s="7">
        <f>'1 prepared data'!I815</f>
        <v/>
      </c>
      <c r="K822" s="7">
        <f>'1 prepared data'!J815</f>
        <v/>
      </c>
      <c r="L822" s="7">
        <f>'1 prepared data'!K815</f>
        <v/>
      </c>
      <c r="M822" s="7">
        <f>'1 prepared data'!L815</f>
        <v/>
      </c>
      <c r="N822" s="7">
        <f>'1 prepared data'!M815</f>
        <v/>
      </c>
      <c r="O822" s="7">
        <f>'1 prepared data'!N815</f>
        <v/>
      </c>
      <c r="P822" s="7">
        <f>'1 prepared data'!O815</f>
        <v/>
      </c>
      <c r="Q822" s="7">
        <f>'1 prepared data'!P815</f>
        <v/>
      </c>
      <c r="R822" s="7">
        <f>'1 prepared data'!Q815</f>
        <v/>
      </c>
      <c r="S822" s="7">
        <f>'1 prepared data'!R815</f>
        <v/>
      </c>
      <c r="T822" s="7">
        <f>'1 prepared data'!S815</f>
        <v/>
      </c>
      <c r="U822" s="7">
        <f>'1 prepared data'!T815</f>
        <v/>
      </c>
      <c r="V822" s="8">
        <f>$AC$12+D822*$AC$13+E822*$AC$14+F822*$AC$15+G822*$AC$16+H822*$AC$17+I822*$AC$18+J822*$AC$19+K822*$AC$20+L822*$AC$21+M822*$AC$22+N822*$AC$23+O822*$AC$24+P822*$AC$25+Q822*$AC$26+R822*$AC$27+S822*$AC$28+T822*$AC$29+U822*$AC$30</f>
        <v/>
      </c>
      <c r="W822" s="8">
        <f>1/(1+EXP(-V822))</f>
        <v/>
      </c>
      <c r="X822" s="9">
        <f>-IF(C822=1,LN(W822),LN(1-W822))</f>
        <v/>
      </c>
      <c r="Y822" s="10">
        <f>IF(W822&gt;$AC$33,1,0)</f>
        <v/>
      </c>
      <c r="Z822">
        <f>IF(Y822=C822,1,0)</f>
        <v/>
      </c>
    </row>
    <row r="823">
      <c r="A823">
        <f>'1 prepared data'!A816</f>
        <v/>
      </c>
      <c r="B823" s="5">
        <f>'1 prepared data'!U816</f>
        <v/>
      </c>
      <c r="C823">
        <f>'1 prepared data'!B816</f>
        <v/>
      </c>
      <c r="D823" s="7">
        <f>'1 prepared data'!C816</f>
        <v/>
      </c>
      <c r="E823" s="7">
        <f>'1 prepared data'!D816</f>
        <v/>
      </c>
      <c r="F823" s="7">
        <f>'1 prepared data'!E816</f>
        <v/>
      </c>
      <c r="G823" s="7">
        <f>'1 prepared data'!F816</f>
        <v/>
      </c>
      <c r="H823" s="7">
        <f>'1 prepared data'!G816</f>
        <v/>
      </c>
      <c r="I823" s="7">
        <f>'1 prepared data'!H816</f>
        <v/>
      </c>
      <c r="J823" s="7">
        <f>'1 prepared data'!I816</f>
        <v/>
      </c>
      <c r="K823" s="7">
        <f>'1 prepared data'!J816</f>
        <v/>
      </c>
      <c r="L823" s="7">
        <f>'1 prepared data'!K816</f>
        <v/>
      </c>
      <c r="M823" s="7">
        <f>'1 prepared data'!L816</f>
        <v/>
      </c>
      <c r="N823" s="7">
        <f>'1 prepared data'!M816</f>
        <v/>
      </c>
      <c r="O823" s="7">
        <f>'1 prepared data'!N816</f>
        <v/>
      </c>
      <c r="P823" s="7">
        <f>'1 prepared data'!O816</f>
        <v/>
      </c>
      <c r="Q823" s="7">
        <f>'1 prepared data'!P816</f>
        <v/>
      </c>
      <c r="R823" s="7">
        <f>'1 prepared data'!Q816</f>
        <v/>
      </c>
      <c r="S823" s="7">
        <f>'1 prepared data'!R816</f>
        <v/>
      </c>
      <c r="T823" s="7">
        <f>'1 prepared data'!S816</f>
        <v/>
      </c>
      <c r="U823" s="7">
        <f>'1 prepared data'!T816</f>
        <v/>
      </c>
      <c r="V823" s="8">
        <f>$AC$12+D823*$AC$13+E823*$AC$14+F823*$AC$15+G823*$AC$16+H823*$AC$17+I823*$AC$18+J823*$AC$19+K823*$AC$20+L823*$AC$21+M823*$AC$22+N823*$AC$23+O823*$AC$24+P823*$AC$25+Q823*$AC$26+R823*$AC$27+S823*$AC$28+T823*$AC$29+U823*$AC$30</f>
        <v/>
      </c>
      <c r="W823" s="8">
        <f>1/(1+EXP(-V823))</f>
        <v/>
      </c>
      <c r="X823" s="9">
        <f>-IF(C823=1,LN(W823),LN(1-W823))</f>
        <v/>
      </c>
      <c r="Y823" s="10">
        <f>IF(W823&gt;$AC$33,1,0)</f>
        <v/>
      </c>
      <c r="Z823">
        <f>IF(Y823=C823,1,0)</f>
        <v/>
      </c>
    </row>
    <row r="824">
      <c r="A824">
        <f>'1 prepared data'!A817</f>
        <v/>
      </c>
      <c r="B824" s="5">
        <f>'1 prepared data'!U817</f>
        <v/>
      </c>
      <c r="C824">
        <f>'1 prepared data'!B817</f>
        <v/>
      </c>
      <c r="D824" s="7">
        <f>'1 prepared data'!C817</f>
        <v/>
      </c>
      <c r="E824" s="7">
        <f>'1 prepared data'!D817</f>
        <v/>
      </c>
      <c r="F824" s="7">
        <f>'1 prepared data'!E817</f>
        <v/>
      </c>
      <c r="G824" s="7">
        <f>'1 prepared data'!F817</f>
        <v/>
      </c>
      <c r="H824" s="7">
        <f>'1 prepared data'!G817</f>
        <v/>
      </c>
      <c r="I824" s="7">
        <f>'1 prepared data'!H817</f>
        <v/>
      </c>
      <c r="J824" s="7">
        <f>'1 prepared data'!I817</f>
        <v/>
      </c>
      <c r="K824" s="7">
        <f>'1 prepared data'!J817</f>
        <v/>
      </c>
      <c r="L824" s="7">
        <f>'1 prepared data'!K817</f>
        <v/>
      </c>
      <c r="M824" s="7">
        <f>'1 prepared data'!L817</f>
        <v/>
      </c>
      <c r="N824" s="7">
        <f>'1 prepared data'!M817</f>
        <v/>
      </c>
      <c r="O824" s="7">
        <f>'1 prepared data'!N817</f>
        <v/>
      </c>
      <c r="P824" s="7">
        <f>'1 prepared data'!O817</f>
        <v/>
      </c>
      <c r="Q824" s="7">
        <f>'1 prepared data'!P817</f>
        <v/>
      </c>
      <c r="R824" s="7">
        <f>'1 prepared data'!Q817</f>
        <v/>
      </c>
      <c r="S824" s="7">
        <f>'1 prepared data'!R817</f>
        <v/>
      </c>
      <c r="T824" s="7">
        <f>'1 prepared data'!S817</f>
        <v/>
      </c>
      <c r="U824" s="7">
        <f>'1 prepared data'!T817</f>
        <v/>
      </c>
      <c r="V824" s="8">
        <f>$AC$12+D824*$AC$13+E824*$AC$14+F824*$AC$15+G824*$AC$16+H824*$AC$17+I824*$AC$18+J824*$AC$19+K824*$AC$20+L824*$AC$21+M824*$AC$22+N824*$AC$23+O824*$AC$24+P824*$AC$25+Q824*$AC$26+R824*$AC$27+S824*$AC$28+T824*$AC$29+U824*$AC$30</f>
        <v/>
      </c>
      <c r="W824" s="8">
        <f>1/(1+EXP(-V824))</f>
        <v/>
      </c>
      <c r="X824" s="9">
        <f>-IF(C824=1,LN(W824),LN(1-W824))</f>
        <v/>
      </c>
      <c r="Y824" s="10">
        <f>IF(W824&gt;$AC$33,1,0)</f>
        <v/>
      </c>
      <c r="Z824">
        <f>IF(Y824=C824,1,0)</f>
        <v/>
      </c>
    </row>
    <row r="825">
      <c r="A825">
        <f>'1 prepared data'!A818</f>
        <v/>
      </c>
      <c r="B825" s="5">
        <f>'1 prepared data'!U818</f>
        <v/>
      </c>
      <c r="C825">
        <f>'1 prepared data'!B818</f>
        <v/>
      </c>
      <c r="D825" s="7">
        <f>'1 prepared data'!C818</f>
        <v/>
      </c>
      <c r="E825" s="7">
        <f>'1 prepared data'!D818</f>
        <v/>
      </c>
      <c r="F825" s="7">
        <f>'1 prepared data'!E818</f>
        <v/>
      </c>
      <c r="G825" s="7">
        <f>'1 prepared data'!F818</f>
        <v/>
      </c>
      <c r="H825" s="7">
        <f>'1 prepared data'!G818</f>
        <v/>
      </c>
      <c r="I825" s="7">
        <f>'1 prepared data'!H818</f>
        <v/>
      </c>
      <c r="J825" s="7">
        <f>'1 prepared data'!I818</f>
        <v/>
      </c>
      <c r="K825" s="7">
        <f>'1 prepared data'!J818</f>
        <v/>
      </c>
      <c r="L825" s="7">
        <f>'1 prepared data'!K818</f>
        <v/>
      </c>
      <c r="M825" s="7">
        <f>'1 prepared data'!L818</f>
        <v/>
      </c>
      <c r="N825" s="7">
        <f>'1 prepared data'!M818</f>
        <v/>
      </c>
      <c r="O825" s="7">
        <f>'1 prepared data'!N818</f>
        <v/>
      </c>
      <c r="P825" s="7">
        <f>'1 prepared data'!O818</f>
        <v/>
      </c>
      <c r="Q825" s="7">
        <f>'1 prepared data'!P818</f>
        <v/>
      </c>
      <c r="R825" s="7">
        <f>'1 prepared data'!Q818</f>
        <v/>
      </c>
      <c r="S825" s="7">
        <f>'1 prepared data'!R818</f>
        <v/>
      </c>
      <c r="T825" s="7">
        <f>'1 prepared data'!S818</f>
        <v/>
      </c>
      <c r="U825" s="7">
        <f>'1 prepared data'!T818</f>
        <v/>
      </c>
      <c r="V825" s="8">
        <f>$AC$12+D825*$AC$13+E825*$AC$14+F825*$AC$15+G825*$AC$16+H825*$AC$17+I825*$AC$18+J825*$AC$19+K825*$AC$20+L825*$AC$21+M825*$AC$22+N825*$AC$23+O825*$AC$24+P825*$AC$25+Q825*$AC$26+R825*$AC$27+S825*$AC$28+T825*$AC$29+U825*$AC$30</f>
        <v/>
      </c>
      <c r="W825" s="8">
        <f>1/(1+EXP(-V825))</f>
        <v/>
      </c>
      <c r="X825" s="9">
        <f>-IF(C825=1,LN(W825),LN(1-W825))</f>
        <v/>
      </c>
      <c r="Y825" s="10">
        <f>IF(W825&gt;$AC$33,1,0)</f>
        <v/>
      </c>
      <c r="Z825">
        <f>IF(Y825=C825,1,0)</f>
        <v/>
      </c>
    </row>
    <row r="826">
      <c r="A826">
        <f>'1 prepared data'!A819</f>
        <v/>
      </c>
      <c r="B826" s="5">
        <f>'1 prepared data'!U819</f>
        <v/>
      </c>
      <c r="C826">
        <f>'1 prepared data'!B819</f>
        <v/>
      </c>
      <c r="D826" s="7">
        <f>'1 prepared data'!C819</f>
        <v/>
      </c>
      <c r="E826" s="7">
        <f>'1 prepared data'!D819</f>
        <v/>
      </c>
      <c r="F826" s="7">
        <f>'1 prepared data'!E819</f>
        <v/>
      </c>
      <c r="G826" s="7">
        <f>'1 prepared data'!F819</f>
        <v/>
      </c>
      <c r="H826" s="7">
        <f>'1 prepared data'!G819</f>
        <v/>
      </c>
      <c r="I826" s="7">
        <f>'1 prepared data'!H819</f>
        <v/>
      </c>
      <c r="J826" s="7">
        <f>'1 prepared data'!I819</f>
        <v/>
      </c>
      <c r="K826" s="7">
        <f>'1 prepared data'!J819</f>
        <v/>
      </c>
      <c r="L826" s="7">
        <f>'1 prepared data'!K819</f>
        <v/>
      </c>
      <c r="M826" s="7">
        <f>'1 prepared data'!L819</f>
        <v/>
      </c>
      <c r="N826" s="7">
        <f>'1 prepared data'!M819</f>
        <v/>
      </c>
      <c r="O826" s="7">
        <f>'1 prepared data'!N819</f>
        <v/>
      </c>
      <c r="P826" s="7">
        <f>'1 prepared data'!O819</f>
        <v/>
      </c>
      <c r="Q826" s="7">
        <f>'1 prepared data'!P819</f>
        <v/>
      </c>
      <c r="R826" s="7">
        <f>'1 prepared data'!Q819</f>
        <v/>
      </c>
      <c r="S826" s="7">
        <f>'1 prepared data'!R819</f>
        <v/>
      </c>
      <c r="T826" s="7">
        <f>'1 prepared data'!S819</f>
        <v/>
      </c>
      <c r="U826" s="7">
        <f>'1 prepared data'!T819</f>
        <v/>
      </c>
      <c r="V826" s="8">
        <f>$AC$12+D826*$AC$13+E826*$AC$14+F826*$AC$15+G826*$AC$16+H826*$AC$17+I826*$AC$18+J826*$AC$19+K826*$AC$20+L826*$AC$21+M826*$AC$22+N826*$AC$23+O826*$AC$24+P826*$AC$25+Q826*$AC$26+R826*$AC$27+S826*$AC$28+T826*$AC$29+U826*$AC$30</f>
        <v/>
      </c>
      <c r="W826" s="8">
        <f>1/(1+EXP(-V826))</f>
        <v/>
      </c>
      <c r="X826" s="9">
        <f>-IF(C826=1,LN(W826),LN(1-W826))</f>
        <v/>
      </c>
      <c r="Y826" s="10">
        <f>IF(W826&gt;$AC$33,1,0)</f>
        <v/>
      </c>
      <c r="Z826">
        <f>IF(Y826=C826,1,0)</f>
        <v/>
      </c>
    </row>
    <row r="827">
      <c r="A827">
        <f>'1 prepared data'!A820</f>
        <v/>
      </c>
      <c r="B827" s="5">
        <f>'1 prepared data'!U820</f>
        <v/>
      </c>
      <c r="C827">
        <f>'1 prepared data'!B820</f>
        <v/>
      </c>
      <c r="D827" s="7">
        <f>'1 prepared data'!C820</f>
        <v/>
      </c>
      <c r="E827" s="7">
        <f>'1 prepared data'!D820</f>
        <v/>
      </c>
      <c r="F827" s="7">
        <f>'1 prepared data'!E820</f>
        <v/>
      </c>
      <c r="G827" s="7">
        <f>'1 prepared data'!F820</f>
        <v/>
      </c>
      <c r="H827" s="7">
        <f>'1 prepared data'!G820</f>
        <v/>
      </c>
      <c r="I827" s="7">
        <f>'1 prepared data'!H820</f>
        <v/>
      </c>
      <c r="J827" s="7">
        <f>'1 prepared data'!I820</f>
        <v/>
      </c>
      <c r="K827" s="7">
        <f>'1 prepared data'!J820</f>
        <v/>
      </c>
      <c r="L827" s="7">
        <f>'1 prepared data'!K820</f>
        <v/>
      </c>
      <c r="M827" s="7">
        <f>'1 prepared data'!L820</f>
        <v/>
      </c>
      <c r="N827" s="7">
        <f>'1 prepared data'!M820</f>
        <v/>
      </c>
      <c r="O827" s="7">
        <f>'1 prepared data'!N820</f>
        <v/>
      </c>
      <c r="P827" s="7">
        <f>'1 prepared data'!O820</f>
        <v/>
      </c>
      <c r="Q827" s="7">
        <f>'1 prepared data'!P820</f>
        <v/>
      </c>
      <c r="R827" s="7">
        <f>'1 prepared data'!Q820</f>
        <v/>
      </c>
      <c r="S827" s="7">
        <f>'1 prepared data'!R820</f>
        <v/>
      </c>
      <c r="T827" s="7">
        <f>'1 prepared data'!S820</f>
        <v/>
      </c>
      <c r="U827" s="7">
        <f>'1 prepared data'!T820</f>
        <v/>
      </c>
      <c r="V827" s="8">
        <f>$AC$12+D827*$AC$13+E827*$AC$14+F827*$AC$15+G827*$AC$16+H827*$AC$17+I827*$AC$18+J827*$AC$19+K827*$AC$20+L827*$AC$21+M827*$AC$22+N827*$AC$23+O827*$AC$24+P827*$AC$25+Q827*$AC$26+R827*$AC$27+S827*$AC$28+T827*$AC$29+U827*$AC$30</f>
        <v/>
      </c>
      <c r="W827" s="8">
        <f>1/(1+EXP(-V827))</f>
        <v/>
      </c>
      <c r="X827" s="9">
        <f>-IF(C827=1,LN(W827),LN(1-W827))</f>
        <v/>
      </c>
      <c r="Y827" s="10">
        <f>IF(W827&gt;$AC$33,1,0)</f>
        <v/>
      </c>
      <c r="Z827">
        <f>IF(Y827=C827,1,0)</f>
        <v/>
      </c>
    </row>
    <row r="828">
      <c r="A828">
        <f>'1 prepared data'!A821</f>
        <v/>
      </c>
      <c r="B828" s="5">
        <f>'1 prepared data'!U821</f>
        <v/>
      </c>
      <c r="C828">
        <f>'1 prepared data'!B821</f>
        <v/>
      </c>
      <c r="D828" s="7">
        <f>'1 prepared data'!C821</f>
        <v/>
      </c>
      <c r="E828" s="7">
        <f>'1 prepared data'!D821</f>
        <v/>
      </c>
      <c r="F828" s="7">
        <f>'1 prepared data'!E821</f>
        <v/>
      </c>
      <c r="G828" s="7">
        <f>'1 prepared data'!F821</f>
        <v/>
      </c>
      <c r="H828" s="7">
        <f>'1 prepared data'!G821</f>
        <v/>
      </c>
      <c r="I828" s="7">
        <f>'1 prepared data'!H821</f>
        <v/>
      </c>
      <c r="J828" s="7">
        <f>'1 prepared data'!I821</f>
        <v/>
      </c>
      <c r="K828" s="7">
        <f>'1 prepared data'!J821</f>
        <v/>
      </c>
      <c r="L828" s="7">
        <f>'1 prepared data'!K821</f>
        <v/>
      </c>
      <c r="M828" s="7">
        <f>'1 prepared data'!L821</f>
        <v/>
      </c>
      <c r="N828" s="7">
        <f>'1 prepared data'!M821</f>
        <v/>
      </c>
      <c r="O828" s="7">
        <f>'1 prepared data'!N821</f>
        <v/>
      </c>
      <c r="P828" s="7">
        <f>'1 prepared data'!O821</f>
        <v/>
      </c>
      <c r="Q828" s="7">
        <f>'1 prepared data'!P821</f>
        <v/>
      </c>
      <c r="R828" s="7">
        <f>'1 prepared data'!Q821</f>
        <v/>
      </c>
      <c r="S828" s="7">
        <f>'1 prepared data'!R821</f>
        <v/>
      </c>
      <c r="T828" s="7">
        <f>'1 prepared data'!S821</f>
        <v/>
      </c>
      <c r="U828" s="7">
        <f>'1 prepared data'!T821</f>
        <v/>
      </c>
      <c r="V828" s="8">
        <f>$AC$12+D828*$AC$13+E828*$AC$14+F828*$AC$15+G828*$AC$16+H828*$AC$17+I828*$AC$18+J828*$AC$19+K828*$AC$20+L828*$AC$21+M828*$AC$22+N828*$AC$23+O828*$AC$24+P828*$AC$25+Q828*$AC$26+R828*$AC$27+S828*$AC$28+T828*$AC$29+U828*$AC$30</f>
        <v/>
      </c>
      <c r="W828" s="8">
        <f>1/(1+EXP(-V828))</f>
        <v/>
      </c>
      <c r="X828" s="9">
        <f>-IF(C828=1,LN(W828),LN(1-W828))</f>
        <v/>
      </c>
      <c r="Y828" s="10">
        <f>IF(W828&gt;$AC$33,1,0)</f>
        <v/>
      </c>
      <c r="Z828">
        <f>IF(Y828=C828,1,0)</f>
        <v/>
      </c>
    </row>
    <row r="829">
      <c r="A829">
        <f>'1 prepared data'!A822</f>
        <v/>
      </c>
      <c r="B829" s="5">
        <f>'1 prepared data'!U822</f>
        <v/>
      </c>
      <c r="C829">
        <f>'1 prepared data'!B822</f>
        <v/>
      </c>
      <c r="D829" s="7">
        <f>'1 prepared data'!C822</f>
        <v/>
      </c>
      <c r="E829" s="7">
        <f>'1 prepared data'!D822</f>
        <v/>
      </c>
      <c r="F829" s="7">
        <f>'1 prepared data'!E822</f>
        <v/>
      </c>
      <c r="G829" s="7">
        <f>'1 prepared data'!F822</f>
        <v/>
      </c>
      <c r="H829" s="7">
        <f>'1 prepared data'!G822</f>
        <v/>
      </c>
      <c r="I829" s="7">
        <f>'1 prepared data'!H822</f>
        <v/>
      </c>
      <c r="J829" s="7">
        <f>'1 prepared data'!I822</f>
        <v/>
      </c>
      <c r="K829" s="7">
        <f>'1 prepared data'!J822</f>
        <v/>
      </c>
      <c r="L829" s="7">
        <f>'1 prepared data'!K822</f>
        <v/>
      </c>
      <c r="M829" s="7">
        <f>'1 prepared data'!L822</f>
        <v/>
      </c>
      <c r="N829" s="7">
        <f>'1 prepared data'!M822</f>
        <v/>
      </c>
      <c r="O829" s="7">
        <f>'1 prepared data'!N822</f>
        <v/>
      </c>
      <c r="P829" s="7">
        <f>'1 prepared data'!O822</f>
        <v/>
      </c>
      <c r="Q829" s="7">
        <f>'1 prepared data'!P822</f>
        <v/>
      </c>
      <c r="R829" s="7">
        <f>'1 prepared data'!Q822</f>
        <v/>
      </c>
      <c r="S829" s="7">
        <f>'1 prepared data'!R822</f>
        <v/>
      </c>
      <c r="T829" s="7">
        <f>'1 prepared data'!S822</f>
        <v/>
      </c>
      <c r="U829" s="7">
        <f>'1 prepared data'!T822</f>
        <v/>
      </c>
      <c r="V829" s="8">
        <f>$AC$12+D829*$AC$13+E829*$AC$14+F829*$AC$15+G829*$AC$16+H829*$AC$17+I829*$AC$18+J829*$AC$19+K829*$AC$20+L829*$AC$21+M829*$AC$22+N829*$AC$23+O829*$AC$24+P829*$AC$25+Q829*$AC$26+R829*$AC$27+S829*$AC$28+T829*$AC$29+U829*$AC$30</f>
        <v/>
      </c>
      <c r="W829" s="8">
        <f>1/(1+EXP(-V829))</f>
        <v/>
      </c>
      <c r="X829" s="9">
        <f>-IF(C829=1,LN(W829),LN(1-W829))</f>
        <v/>
      </c>
      <c r="Y829" s="10">
        <f>IF(W829&gt;$AC$33,1,0)</f>
        <v/>
      </c>
      <c r="Z829">
        <f>IF(Y829=C829,1,0)</f>
        <v/>
      </c>
    </row>
    <row r="830">
      <c r="A830">
        <f>'1 prepared data'!A823</f>
        <v/>
      </c>
      <c r="B830" s="5">
        <f>'1 prepared data'!U823</f>
        <v/>
      </c>
      <c r="C830">
        <f>'1 prepared data'!B823</f>
        <v/>
      </c>
      <c r="D830" s="7">
        <f>'1 prepared data'!C823</f>
        <v/>
      </c>
      <c r="E830" s="7">
        <f>'1 prepared data'!D823</f>
        <v/>
      </c>
      <c r="F830" s="7">
        <f>'1 prepared data'!E823</f>
        <v/>
      </c>
      <c r="G830" s="7">
        <f>'1 prepared data'!F823</f>
        <v/>
      </c>
      <c r="H830" s="7">
        <f>'1 prepared data'!G823</f>
        <v/>
      </c>
      <c r="I830" s="7">
        <f>'1 prepared data'!H823</f>
        <v/>
      </c>
      <c r="J830" s="7">
        <f>'1 prepared data'!I823</f>
        <v/>
      </c>
      <c r="K830" s="7">
        <f>'1 prepared data'!J823</f>
        <v/>
      </c>
      <c r="L830" s="7">
        <f>'1 prepared data'!K823</f>
        <v/>
      </c>
      <c r="M830" s="7">
        <f>'1 prepared data'!L823</f>
        <v/>
      </c>
      <c r="N830" s="7">
        <f>'1 prepared data'!M823</f>
        <v/>
      </c>
      <c r="O830" s="7">
        <f>'1 prepared data'!N823</f>
        <v/>
      </c>
      <c r="P830" s="7">
        <f>'1 prepared data'!O823</f>
        <v/>
      </c>
      <c r="Q830" s="7">
        <f>'1 prepared data'!P823</f>
        <v/>
      </c>
      <c r="R830" s="7">
        <f>'1 prepared data'!Q823</f>
        <v/>
      </c>
      <c r="S830" s="7">
        <f>'1 prepared data'!R823</f>
        <v/>
      </c>
      <c r="T830" s="7">
        <f>'1 prepared data'!S823</f>
        <v/>
      </c>
      <c r="U830" s="7">
        <f>'1 prepared data'!T823</f>
        <v/>
      </c>
      <c r="V830" s="8">
        <f>$AC$12+D830*$AC$13+E830*$AC$14+F830*$AC$15+G830*$AC$16+H830*$AC$17+I830*$AC$18+J830*$AC$19+K830*$AC$20+L830*$AC$21+M830*$AC$22+N830*$AC$23+O830*$AC$24+P830*$AC$25+Q830*$AC$26+R830*$AC$27+S830*$AC$28+T830*$AC$29+U830*$AC$30</f>
        <v/>
      </c>
      <c r="W830" s="8">
        <f>1/(1+EXP(-V830))</f>
        <v/>
      </c>
      <c r="X830" s="9">
        <f>-IF(C830=1,LN(W830),LN(1-W830))</f>
        <v/>
      </c>
      <c r="Y830" s="10">
        <f>IF(W830&gt;$AC$33,1,0)</f>
        <v/>
      </c>
      <c r="Z830">
        <f>IF(Y830=C830,1,0)</f>
        <v/>
      </c>
    </row>
    <row r="831">
      <c r="A831">
        <f>'1 prepared data'!A824</f>
        <v/>
      </c>
      <c r="B831" s="5">
        <f>'1 prepared data'!U824</f>
        <v/>
      </c>
      <c r="C831">
        <f>'1 prepared data'!B824</f>
        <v/>
      </c>
      <c r="D831" s="7">
        <f>'1 prepared data'!C824</f>
        <v/>
      </c>
      <c r="E831" s="7">
        <f>'1 prepared data'!D824</f>
        <v/>
      </c>
      <c r="F831" s="7">
        <f>'1 prepared data'!E824</f>
        <v/>
      </c>
      <c r="G831" s="7">
        <f>'1 prepared data'!F824</f>
        <v/>
      </c>
      <c r="H831" s="7">
        <f>'1 prepared data'!G824</f>
        <v/>
      </c>
      <c r="I831" s="7">
        <f>'1 prepared data'!H824</f>
        <v/>
      </c>
      <c r="J831" s="7">
        <f>'1 prepared data'!I824</f>
        <v/>
      </c>
      <c r="K831" s="7">
        <f>'1 prepared data'!J824</f>
        <v/>
      </c>
      <c r="L831" s="7">
        <f>'1 prepared data'!K824</f>
        <v/>
      </c>
      <c r="M831" s="7">
        <f>'1 prepared data'!L824</f>
        <v/>
      </c>
      <c r="N831" s="7">
        <f>'1 prepared data'!M824</f>
        <v/>
      </c>
      <c r="O831" s="7">
        <f>'1 prepared data'!N824</f>
        <v/>
      </c>
      <c r="P831" s="7">
        <f>'1 prepared data'!O824</f>
        <v/>
      </c>
      <c r="Q831" s="7">
        <f>'1 prepared data'!P824</f>
        <v/>
      </c>
      <c r="R831" s="7">
        <f>'1 prepared data'!Q824</f>
        <v/>
      </c>
      <c r="S831" s="7">
        <f>'1 prepared data'!R824</f>
        <v/>
      </c>
      <c r="T831" s="7">
        <f>'1 prepared data'!S824</f>
        <v/>
      </c>
      <c r="U831" s="7">
        <f>'1 prepared data'!T824</f>
        <v/>
      </c>
      <c r="V831" s="8">
        <f>$AC$12+D831*$AC$13+E831*$AC$14+F831*$AC$15+G831*$AC$16+H831*$AC$17+I831*$AC$18+J831*$AC$19+K831*$AC$20+L831*$AC$21+M831*$AC$22+N831*$AC$23+O831*$AC$24+P831*$AC$25+Q831*$AC$26+R831*$AC$27+S831*$AC$28+T831*$AC$29+U831*$AC$30</f>
        <v/>
      </c>
      <c r="W831" s="8">
        <f>1/(1+EXP(-V831))</f>
        <v/>
      </c>
      <c r="X831" s="9">
        <f>-IF(C831=1,LN(W831),LN(1-W831))</f>
        <v/>
      </c>
      <c r="Y831" s="10">
        <f>IF(W831&gt;$AC$33,1,0)</f>
        <v/>
      </c>
      <c r="Z831">
        <f>IF(Y831=C831,1,0)</f>
        <v/>
      </c>
    </row>
    <row r="832">
      <c r="A832">
        <f>'1 prepared data'!A825</f>
        <v/>
      </c>
      <c r="B832" s="5">
        <f>'1 prepared data'!U825</f>
        <v/>
      </c>
      <c r="C832">
        <f>'1 prepared data'!B825</f>
        <v/>
      </c>
      <c r="D832" s="7">
        <f>'1 prepared data'!C825</f>
        <v/>
      </c>
      <c r="E832" s="7">
        <f>'1 prepared data'!D825</f>
        <v/>
      </c>
      <c r="F832" s="7">
        <f>'1 prepared data'!E825</f>
        <v/>
      </c>
      <c r="G832" s="7">
        <f>'1 prepared data'!F825</f>
        <v/>
      </c>
      <c r="H832" s="7">
        <f>'1 prepared data'!G825</f>
        <v/>
      </c>
      <c r="I832" s="7">
        <f>'1 prepared data'!H825</f>
        <v/>
      </c>
      <c r="J832" s="7">
        <f>'1 prepared data'!I825</f>
        <v/>
      </c>
      <c r="K832" s="7">
        <f>'1 prepared data'!J825</f>
        <v/>
      </c>
      <c r="L832" s="7">
        <f>'1 prepared data'!K825</f>
        <v/>
      </c>
      <c r="M832" s="7">
        <f>'1 prepared data'!L825</f>
        <v/>
      </c>
      <c r="N832" s="7">
        <f>'1 prepared data'!M825</f>
        <v/>
      </c>
      <c r="O832" s="7">
        <f>'1 prepared data'!N825</f>
        <v/>
      </c>
      <c r="P832" s="7">
        <f>'1 prepared data'!O825</f>
        <v/>
      </c>
      <c r="Q832" s="7">
        <f>'1 prepared data'!P825</f>
        <v/>
      </c>
      <c r="R832" s="7">
        <f>'1 prepared data'!Q825</f>
        <v/>
      </c>
      <c r="S832" s="7">
        <f>'1 prepared data'!R825</f>
        <v/>
      </c>
      <c r="T832" s="7">
        <f>'1 prepared data'!S825</f>
        <v/>
      </c>
      <c r="U832" s="7">
        <f>'1 prepared data'!T825</f>
        <v/>
      </c>
      <c r="V832" s="8">
        <f>$AC$12+D832*$AC$13+E832*$AC$14+F832*$AC$15+G832*$AC$16+H832*$AC$17+I832*$AC$18+J832*$AC$19+K832*$AC$20+L832*$AC$21+M832*$AC$22+N832*$AC$23+O832*$AC$24+P832*$AC$25+Q832*$AC$26+R832*$AC$27+S832*$AC$28+T832*$AC$29+U832*$AC$30</f>
        <v/>
      </c>
      <c r="W832" s="8">
        <f>1/(1+EXP(-V832))</f>
        <v/>
      </c>
      <c r="X832" s="9">
        <f>-IF(C832=1,LN(W832),LN(1-W832))</f>
        <v/>
      </c>
      <c r="Y832" s="10">
        <f>IF(W832&gt;$AC$33,1,0)</f>
        <v/>
      </c>
      <c r="Z832">
        <f>IF(Y832=C832,1,0)</f>
        <v/>
      </c>
    </row>
    <row r="833">
      <c r="A833">
        <f>'1 prepared data'!A826</f>
        <v/>
      </c>
      <c r="B833" s="5">
        <f>'1 prepared data'!U826</f>
        <v/>
      </c>
      <c r="C833">
        <f>'1 prepared data'!B826</f>
        <v/>
      </c>
      <c r="D833" s="7">
        <f>'1 prepared data'!C826</f>
        <v/>
      </c>
      <c r="E833" s="7">
        <f>'1 prepared data'!D826</f>
        <v/>
      </c>
      <c r="F833" s="7">
        <f>'1 prepared data'!E826</f>
        <v/>
      </c>
      <c r="G833" s="7">
        <f>'1 prepared data'!F826</f>
        <v/>
      </c>
      <c r="H833" s="7">
        <f>'1 prepared data'!G826</f>
        <v/>
      </c>
      <c r="I833" s="7">
        <f>'1 prepared data'!H826</f>
        <v/>
      </c>
      <c r="J833" s="7">
        <f>'1 prepared data'!I826</f>
        <v/>
      </c>
      <c r="K833" s="7">
        <f>'1 prepared data'!J826</f>
        <v/>
      </c>
      <c r="L833" s="7">
        <f>'1 prepared data'!K826</f>
        <v/>
      </c>
      <c r="M833" s="7">
        <f>'1 prepared data'!L826</f>
        <v/>
      </c>
      <c r="N833" s="7">
        <f>'1 prepared data'!M826</f>
        <v/>
      </c>
      <c r="O833" s="7">
        <f>'1 prepared data'!N826</f>
        <v/>
      </c>
      <c r="P833" s="7">
        <f>'1 prepared data'!O826</f>
        <v/>
      </c>
      <c r="Q833" s="7">
        <f>'1 prepared data'!P826</f>
        <v/>
      </c>
      <c r="R833" s="7">
        <f>'1 prepared data'!Q826</f>
        <v/>
      </c>
      <c r="S833" s="7">
        <f>'1 prepared data'!R826</f>
        <v/>
      </c>
      <c r="T833" s="7">
        <f>'1 prepared data'!S826</f>
        <v/>
      </c>
      <c r="U833" s="7">
        <f>'1 prepared data'!T826</f>
        <v/>
      </c>
      <c r="V833" s="8">
        <f>$AC$12+D833*$AC$13+E833*$AC$14+F833*$AC$15+G833*$AC$16+H833*$AC$17+I833*$AC$18+J833*$AC$19+K833*$AC$20+L833*$AC$21+M833*$AC$22+N833*$AC$23+O833*$AC$24+P833*$AC$25+Q833*$AC$26+R833*$AC$27+S833*$AC$28+T833*$AC$29+U833*$AC$30</f>
        <v/>
      </c>
      <c r="W833" s="8">
        <f>1/(1+EXP(-V833))</f>
        <v/>
      </c>
      <c r="X833" s="9">
        <f>-IF(C833=1,LN(W833),LN(1-W833))</f>
        <v/>
      </c>
      <c r="Y833" s="10">
        <f>IF(W833&gt;$AC$33,1,0)</f>
        <v/>
      </c>
      <c r="Z833">
        <f>IF(Y833=C833,1,0)</f>
        <v/>
      </c>
    </row>
    <row r="834">
      <c r="A834">
        <f>'1 prepared data'!A827</f>
        <v/>
      </c>
      <c r="B834" s="5">
        <f>'1 prepared data'!U827</f>
        <v/>
      </c>
      <c r="C834">
        <f>'1 prepared data'!B827</f>
        <v/>
      </c>
      <c r="D834" s="7">
        <f>'1 prepared data'!C827</f>
        <v/>
      </c>
      <c r="E834" s="7">
        <f>'1 prepared data'!D827</f>
        <v/>
      </c>
      <c r="F834" s="7">
        <f>'1 prepared data'!E827</f>
        <v/>
      </c>
      <c r="G834" s="7">
        <f>'1 prepared data'!F827</f>
        <v/>
      </c>
      <c r="H834" s="7">
        <f>'1 prepared data'!G827</f>
        <v/>
      </c>
      <c r="I834" s="7">
        <f>'1 prepared data'!H827</f>
        <v/>
      </c>
      <c r="J834" s="7">
        <f>'1 prepared data'!I827</f>
        <v/>
      </c>
      <c r="K834" s="7">
        <f>'1 prepared data'!J827</f>
        <v/>
      </c>
      <c r="L834" s="7">
        <f>'1 prepared data'!K827</f>
        <v/>
      </c>
      <c r="M834" s="7">
        <f>'1 prepared data'!L827</f>
        <v/>
      </c>
      <c r="N834" s="7">
        <f>'1 prepared data'!M827</f>
        <v/>
      </c>
      <c r="O834" s="7">
        <f>'1 prepared data'!N827</f>
        <v/>
      </c>
      <c r="P834" s="7">
        <f>'1 prepared data'!O827</f>
        <v/>
      </c>
      <c r="Q834" s="7">
        <f>'1 prepared data'!P827</f>
        <v/>
      </c>
      <c r="R834" s="7">
        <f>'1 prepared data'!Q827</f>
        <v/>
      </c>
      <c r="S834" s="7">
        <f>'1 prepared data'!R827</f>
        <v/>
      </c>
      <c r="T834" s="7">
        <f>'1 prepared data'!S827</f>
        <v/>
      </c>
      <c r="U834" s="7">
        <f>'1 prepared data'!T827</f>
        <v/>
      </c>
      <c r="V834" s="8">
        <f>$AC$12+D834*$AC$13+E834*$AC$14+F834*$AC$15+G834*$AC$16+H834*$AC$17+I834*$AC$18+J834*$AC$19+K834*$AC$20+L834*$AC$21+M834*$AC$22+N834*$AC$23+O834*$AC$24+P834*$AC$25+Q834*$AC$26+R834*$AC$27+S834*$AC$28+T834*$AC$29+U834*$AC$30</f>
        <v/>
      </c>
      <c r="W834" s="8">
        <f>1/(1+EXP(-V834))</f>
        <v/>
      </c>
      <c r="X834" s="9">
        <f>-IF(C834=1,LN(W834),LN(1-W834))</f>
        <v/>
      </c>
      <c r="Y834" s="10">
        <f>IF(W834&gt;$AC$33,1,0)</f>
        <v/>
      </c>
      <c r="Z834">
        <f>IF(Y834=C834,1,0)</f>
        <v/>
      </c>
    </row>
    <row r="835">
      <c r="A835">
        <f>'1 prepared data'!A828</f>
        <v/>
      </c>
      <c r="B835" s="5">
        <f>'1 prepared data'!U828</f>
        <v/>
      </c>
      <c r="C835">
        <f>'1 prepared data'!B828</f>
        <v/>
      </c>
      <c r="D835" s="7">
        <f>'1 prepared data'!C828</f>
        <v/>
      </c>
      <c r="E835" s="7">
        <f>'1 prepared data'!D828</f>
        <v/>
      </c>
      <c r="F835" s="7">
        <f>'1 prepared data'!E828</f>
        <v/>
      </c>
      <c r="G835" s="7">
        <f>'1 prepared data'!F828</f>
        <v/>
      </c>
      <c r="H835" s="7">
        <f>'1 prepared data'!G828</f>
        <v/>
      </c>
      <c r="I835" s="7">
        <f>'1 prepared data'!H828</f>
        <v/>
      </c>
      <c r="J835" s="7">
        <f>'1 prepared data'!I828</f>
        <v/>
      </c>
      <c r="K835" s="7">
        <f>'1 prepared data'!J828</f>
        <v/>
      </c>
      <c r="L835" s="7">
        <f>'1 prepared data'!K828</f>
        <v/>
      </c>
      <c r="M835" s="7">
        <f>'1 prepared data'!L828</f>
        <v/>
      </c>
      <c r="N835" s="7">
        <f>'1 prepared data'!M828</f>
        <v/>
      </c>
      <c r="O835" s="7">
        <f>'1 prepared data'!N828</f>
        <v/>
      </c>
      <c r="P835" s="7">
        <f>'1 prepared data'!O828</f>
        <v/>
      </c>
      <c r="Q835" s="7">
        <f>'1 prepared data'!P828</f>
        <v/>
      </c>
      <c r="R835" s="7">
        <f>'1 prepared data'!Q828</f>
        <v/>
      </c>
      <c r="S835" s="7">
        <f>'1 prepared data'!R828</f>
        <v/>
      </c>
      <c r="T835" s="7">
        <f>'1 prepared data'!S828</f>
        <v/>
      </c>
      <c r="U835" s="7">
        <f>'1 prepared data'!T828</f>
        <v/>
      </c>
      <c r="V835" s="8">
        <f>$AC$12+D835*$AC$13+E835*$AC$14+F835*$AC$15+G835*$AC$16+H835*$AC$17+I835*$AC$18+J835*$AC$19+K835*$AC$20+L835*$AC$21+M835*$AC$22+N835*$AC$23+O835*$AC$24+P835*$AC$25+Q835*$AC$26+R835*$AC$27+S835*$AC$28+T835*$AC$29+U835*$AC$30</f>
        <v/>
      </c>
      <c r="W835" s="8">
        <f>1/(1+EXP(-V835))</f>
        <v/>
      </c>
      <c r="X835" s="9">
        <f>-IF(C835=1,LN(W835),LN(1-W835))</f>
        <v/>
      </c>
      <c r="Y835" s="10">
        <f>IF(W835&gt;$AC$33,1,0)</f>
        <v/>
      </c>
      <c r="Z835">
        <f>IF(Y835=C835,1,0)</f>
        <v/>
      </c>
    </row>
    <row r="836">
      <c r="A836">
        <f>'1 prepared data'!A829</f>
        <v/>
      </c>
      <c r="B836" s="5">
        <f>'1 prepared data'!U829</f>
        <v/>
      </c>
      <c r="C836">
        <f>'1 prepared data'!B829</f>
        <v/>
      </c>
      <c r="D836" s="7">
        <f>'1 prepared data'!C829</f>
        <v/>
      </c>
      <c r="E836" s="7">
        <f>'1 prepared data'!D829</f>
        <v/>
      </c>
      <c r="F836" s="7">
        <f>'1 prepared data'!E829</f>
        <v/>
      </c>
      <c r="G836" s="7">
        <f>'1 prepared data'!F829</f>
        <v/>
      </c>
      <c r="H836" s="7">
        <f>'1 prepared data'!G829</f>
        <v/>
      </c>
      <c r="I836" s="7">
        <f>'1 prepared data'!H829</f>
        <v/>
      </c>
      <c r="J836" s="7">
        <f>'1 prepared data'!I829</f>
        <v/>
      </c>
      <c r="K836" s="7">
        <f>'1 prepared data'!J829</f>
        <v/>
      </c>
      <c r="L836" s="7">
        <f>'1 prepared data'!K829</f>
        <v/>
      </c>
      <c r="M836" s="7">
        <f>'1 prepared data'!L829</f>
        <v/>
      </c>
      <c r="N836" s="7">
        <f>'1 prepared data'!M829</f>
        <v/>
      </c>
      <c r="O836" s="7">
        <f>'1 prepared data'!N829</f>
        <v/>
      </c>
      <c r="P836" s="7">
        <f>'1 prepared data'!O829</f>
        <v/>
      </c>
      <c r="Q836" s="7">
        <f>'1 prepared data'!P829</f>
        <v/>
      </c>
      <c r="R836" s="7">
        <f>'1 prepared data'!Q829</f>
        <v/>
      </c>
      <c r="S836" s="7">
        <f>'1 prepared data'!R829</f>
        <v/>
      </c>
      <c r="T836" s="7">
        <f>'1 prepared data'!S829</f>
        <v/>
      </c>
      <c r="U836" s="7">
        <f>'1 prepared data'!T829</f>
        <v/>
      </c>
      <c r="V836" s="8">
        <f>$AC$12+D836*$AC$13+E836*$AC$14+F836*$AC$15+G836*$AC$16+H836*$AC$17+I836*$AC$18+J836*$AC$19+K836*$AC$20+L836*$AC$21+M836*$AC$22+N836*$AC$23+O836*$AC$24+P836*$AC$25+Q836*$AC$26+R836*$AC$27+S836*$AC$28+T836*$AC$29+U836*$AC$30</f>
        <v/>
      </c>
      <c r="W836" s="8">
        <f>1/(1+EXP(-V836))</f>
        <v/>
      </c>
      <c r="X836" s="9">
        <f>-IF(C836=1,LN(W836),LN(1-W836))</f>
        <v/>
      </c>
      <c r="Y836" s="10">
        <f>IF(W836&gt;$AC$33,1,0)</f>
        <v/>
      </c>
      <c r="Z836">
        <f>IF(Y836=C836,1,0)</f>
        <v/>
      </c>
    </row>
    <row r="837">
      <c r="A837">
        <f>'1 prepared data'!A830</f>
        <v/>
      </c>
      <c r="B837" s="5">
        <f>'1 prepared data'!U830</f>
        <v/>
      </c>
      <c r="C837">
        <f>'1 prepared data'!B830</f>
        <v/>
      </c>
      <c r="D837" s="7">
        <f>'1 prepared data'!C830</f>
        <v/>
      </c>
      <c r="E837" s="7">
        <f>'1 prepared data'!D830</f>
        <v/>
      </c>
      <c r="F837" s="7">
        <f>'1 prepared data'!E830</f>
        <v/>
      </c>
      <c r="G837" s="7">
        <f>'1 prepared data'!F830</f>
        <v/>
      </c>
      <c r="H837" s="7">
        <f>'1 prepared data'!G830</f>
        <v/>
      </c>
      <c r="I837" s="7">
        <f>'1 prepared data'!H830</f>
        <v/>
      </c>
      <c r="J837" s="7">
        <f>'1 prepared data'!I830</f>
        <v/>
      </c>
      <c r="K837" s="7">
        <f>'1 prepared data'!J830</f>
        <v/>
      </c>
      <c r="L837" s="7">
        <f>'1 prepared data'!K830</f>
        <v/>
      </c>
      <c r="M837" s="7">
        <f>'1 prepared data'!L830</f>
        <v/>
      </c>
      <c r="N837" s="7">
        <f>'1 prepared data'!M830</f>
        <v/>
      </c>
      <c r="O837" s="7">
        <f>'1 prepared data'!N830</f>
        <v/>
      </c>
      <c r="P837" s="7">
        <f>'1 prepared data'!O830</f>
        <v/>
      </c>
      <c r="Q837" s="7">
        <f>'1 prepared data'!P830</f>
        <v/>
      </c>
      <c r="R837" s="7">
        <f>'1 prepared data'!Q830</f>
        <v/>
      </c>
      <c r="S837" s="7">
        <f>'1 prepared data'!R830</f>
        <v/>
      </c>
      <c r="T837" s="7">
        <f>'1 prepared data'!S830</f>
        <v/>
      </c>
      <c r="U837" s="7">
        <f>'1 prepared data'!T830</f>
        <v/>
      </c>
      <c r="V837" s="8">
        <f>$AC$12+D837*$AC$13+E837*$AC$14+F837*$AC$15+G837*$AC$16+H837*$AC$17+I837*$AC$18+J837*$AC$19+K837*$AC$20+L837*$AC$21+M837*$AC$22+N837*$AC$23+O837*$AC$24+P837*$AC$25+Q837*$AC$26+R837*$AC$27+S837*$AC$28+T837*$AC$29+U837*$AC$30</f>
        <v/>
      </c>
      <c r="W837" s="8">
        <f>1/(1+EXP(-V837))</f>
        <v/>
      </c>
      <c r="X837" s="9">
        <f>-IF(C837=1,LN(W837),LN(1-W837))</f>
        <v/>
      </c>
      <c r="Y837" s="10">
        <f>IF(W837&gt;$AC$33,1,0)</f>
        <v/>
      </c>
      <c r="Z837">
        <f>IF(Y837=C837,1,0)</f>
        <v/>
      </c>
    </row>
    <row r="838">
      <c r="A838">
        <f>'1 prepared data'!A831</f>
        <v/>
      </c>
      <c r="B838" s="5">
        <f>'1 prepared data'!U831</f>
        <v/>
      </c>
      <c r="C838">
        <f>'1 prepared data'!B831</f>
        <v/>
      </c>
      <c r="D838" s="7">
        <f>'1 prepared data'!C831</f>
        <v/>
      </c>
      <c r="E838" s="7">
        <f>'1 prepared data'!D831</f>
        <v/>
      </c>
      <c r="F838" s="7">
        <f>'1 prepared data'!E831</f>
        <v/>
      </c>
      <c r="G838" s="7">
        <f>'1 prepared data'!F831</f>
        <v/>
      </c>
      <c r="H838" s="7">
        <f>'1 prepared data'!G831</f>
        <v/>
      </c>
      <c r="I838" s="7">
        <f>'1 prepared data'!H831</f>
        <v/>
      </c>
      <c r="J838" s="7">
        <f>'1 prepared data'!I831</f>
        <v/>
      </c>
      <c r="K838" s="7">
        <f>'1 prepared data'!J831</f>
        <v/>
      </c>
      <c r="L838" s="7">
        <f>'1 prepared data'!K831</f>
        <v/>
      </c>
      <c r="M838" s="7">
        <f>'1 prepared data'!L831</f>
        <v/>
      </c>
      <c r="N838" s="7">
        <f>'1 prepared data'!M831</f>
        <v/>
      </c>
      <c r="O838" s="7">
        <f>'1 prepared data'!N831</f>
        <v/>
      </c>
      <c r="P838" s="7">
        <f>'1 prepared data'!O831</f>
        <v/>
      </c>
      <c r="Q838" s="7">
        <f>'1 prepared data'!P831</f>
        <v/>
      </c>
      <c r="R838" s="7">
        <f>'1 prepared data'!Q831</f>
        <v/>
      </c>
      <c r="S838" s="7">
        <f>'1 prepared data'!R831</f>
        <v/>
      </c>
      <c r="T838" s="7">
        <f>'1 prepared data'!S831</f>
        <v/>
      </c>
      <c r="U838" s="7">
        <f>'1 prepared data'!T831</f>
        <v/>
      </c>
      <c r="V838" s="8">
        <f>$AC$12+D838*$AC$13+E838*$AC$14+F838*$AC$15+G838*$AC$16+H838*$AC$17+I838*$AC$18+J838*$AC$19+K838*$AC$20+L838*$AC$21+M838*$AC$22+N838*$AC$23+O838*$AC$24+P838*$AC$25+Q838*$AC$26+R838*$AC$27+S838*$AC$28+T838*$AC$29+U838*$AC$30</f>
        <v/>
      </c>
      <c r="W838" s="8">
        <f>1/(1+EXP(-V838))</f>
        <v/>
      </c>
      <c r="X838" s="9">
        <f>-IF(C838=1,LN(W838),LN(1-W838))</f>
        <v/>
      </c>
      <c r="Y838" s="10">
        <f>IF(W838&gt;$AC$33,1,0)</f>
        <v/>
      </c>
      <c r="Z838">
        <f>IF(Y838=C838,1,0)</f>
        <v/>
      </c>
    </row>
    <row r="839">
      <c r="A839">
        <f>'1 prepared data'!A832</f>
        <v/>
      </c>
      <c r="B839" s="5">
        <f>'1 prepared data'!U832</f>
        <v/>
      </c>
      <c r="C839">
        <f>'1 prepared data'!B832</f>
        <v/>
      </c>
      <c r="D839" s="7">
        <f>'1 prepared data'!C832</f>
        <v/>
      </c>
      <c r="E839" s="7">
        <f>'1 prepared data'!D832</f>
        <v/>
      </c>
      <c r="F839" s="7">
        <f>'1 prepared data'!E832</f>
        <v/>
      </c>
      <c r="G839" s="7">
        <f>'1 prepared data'!F832</f>
        <v/>
      </c>
      <c r="H839" s="7">
        <f>'1 prepared data'!G832</f>
        <v/>
      </c>
      <c r="I839" s="7">
        <f>'1 prepared data'!H832</f>
        <v/>
      </c>
      <c r="J839" s="7">
        <f>'1 prepared data'!I832</f>
        <v/>
      </c>
      <c r="K839" s="7">
        <f>'1 prepared data'!J832</f>
        <v/>
      </c>
      <c r="L839" s="7">
        <f>'1 prepared data'!K832</f>
        <v/>
      </c>
      <c r="M839" s="7">
        <f>'1 prepared data'!L832</f>
        <v/>
      </c>
      <c r="N839" s="7">
        <f>'1 prepared data'!M832</f>
        <v/>
      </c>
      <c r="O839" s="7">
        <f>'1 prepared data'!N832</f>
        <v/>
      </c>
      <c r="P839" s="7">
        <f>'1 prepared data'!O832</f>
        <v/>
      </c>
      <c r="Q839" s="7">
        <f>'1 prepared data'!P832</f>
        <v/>
      </c>
      <c r="R839" s="7">
        <f>'1 prepared data'!Q832</f>
        <v/>
      </c>
      <c r="S839" s="7">
        <f>'1 prepared data'!R832</f>
        <v/>
      </c>
      <c r="T839" s="7">
        <f>'1 prepared data'!S832</f>
        <v/>
      </c>
      <c r="U839" s="7">
        <f>'1 prepared data'!T832</f>
        <v/>
      </c>
      <c r="V839" s="8">
        <f>$AC$12+D839*$AC$13+E839*$AC$14+F839*$AC$15+G839*$AC$16+H839*$AC$17+I839*$AC$18+J839*$AC$19+K839*$AC$20+L839*$AC$21+M839*$AC$22+N839*$AC$23+O839*$AC$24+P839*$AC$25+Q839*$AC$26+R839*$AC$27+S839*$AC$28+T839*$AC$29+U839*$AC$30</f>
        <v/>
      </c>
      <c r="W839" s="8">
        <f>1/(1+EXP(-V839))</f>
        <v/>
      </c>
      <c r="X839" s="9">
        <f>-IF(C839=1,LN(W839),LN(1-W839))</f>
        <v/>
      </c>
      <c r="Y839" s="10">
        <f>IF(W839&gt;$AC$33,1,0)</f>
        <v/>
      </c>
      <c r="Z839">
        <f>IF(Y839=C839,1,0)</f>
        <v/>
      </c>
    </row>
    <row r="840">
      <c r="A840">
        <f>'1 prepared data'!A833</f>
        <v/>
      </c>
      <c r="B840" s="5">
        <f>'1 prepared data'!U833</f>
        <v/>
      </c>
      <c r="C840">
        <f>'1 prepared data'!B833</f>
        <v/>
      </c>
      <c r="D840" s="7">
        <f>'1 prepared data'!C833</f>
        <v/>
      </c>
      <c r="E840" s="7">
        <f>'1 prepared data'!D833</f>
        <v/>
      </c>
      <c r="F840" s="7">
        <f>'1 prepared data'!E833</f>
        <v/>
      </c>
      <c r="G840" s="7">
        <f>'1 prepared data'!F833</f>
        <v/>
      </c>
      <c r="H840" s="7">
        <f>'1 prepared data'!G833</f>
        <v/>
      </c>
      <c r="I840" s="7">
        <f>'1 prepared data'!H833</f>
        <v/>
      </c>
      <c r="J840" s="7">
        <f>'1 prepared data'!I833</f>
        <v/>
      </c>
      <c r="K840" s="7">
        <f>'1 prepared data'!J833</f>
        <v/>
      </c>
      <c r="L840" s="7">
        <f>'1 prepared data'!K833</f>
        <v/>
      </c>
      <c r="M840" s="7">
        <f>'1 prepared data'!L833</f>
        <v/>
      </c>
      <c r="N840" s="7">
        <f>'1 prepared data'!M833</f>
        <v/>
      </c>
      <c r="O840" s="7">
        <f>'1 prepared data'!N833</f>
        <v/>
      </c>
      <c r="P840" s="7">
        <f>'1 prepared data'!O833</f>
        <v/>
      </c>
      <c r="Q840" s="7">
        <f>'1 prepared data'!P833</f>
        <v/>
      </c>
      <c r="R840" s="7">
        <f>'1 prepared data'!Q833</f>
        <v/>
      </c>
      <c r="S840" s="7">
        <f>'1 prepared data'!R833</f>
        <v/>
      </c>
      <c r="T840" s="7">
        <f>'1 prepared data'!S833</f>
        <v/>
      </c>
      <c r="U840" s="7">
        <f>'1 prepared data'!T833</f>
        <v/>
      </c>
      <c r="V840" s="8">
        <f>$AC$12+D840*$AC$13+E840*$AC$14+F840*$AC$15+G840*$AC$16+H840*$AC$17+I840*$AC$18+J840*$AC$19+K840*$AC$20+L840*$AC$21+M840*$AC$22+N840*$AC$23+O840*$AC$24+P840*$AC$25+Q840*$AC$26+R840*$AC$27+S840*$AC$28+T840*$AC$29+U840*$AC$30</f>
        <v/>
      </c>
      <c r="W840" s="8">
        <f>1/(1+EXP(-V840))</f>
        <v/>
      </c>
      <c r="X840" s="9">
        <f>-IF(C840=1,LN(W840),LN(1-W840))</f>
        <v/>
      </c>
      <c r="Y840" s="10">
        <f>IF(W840&gt;$AC$33,1,0)</f>
        <v/>
      </c>
      <c r="Z840">
        <f>IF(Y840=C840,1,0)</f>
        <v/>
      </c>
    </row>
    <row r="841">
      <c r="A841">
        <f>'1 prepared data'!A834</f>
        <v/>
      </c>
      <c r="B841" s="5">
        <f>'1 prepared data'!U834</f>
        <v/>
      </c>
      <c r="C841">
        <f>'1 prepared data'!B834</f>
        <v/>
      </c>
      <c r="D841" s="7">
        <f>'1 prepared data'!C834</f>
        <v/>
      </c>
      <c r="E841" s="7">
        <f>'1 prepared data'!D834</f>
        <v/>
      </c>
      <c r="F841" s="7">
        <f>'1 prepared data'!E834</f>
        <v/>
      </c>
      <c r="G841" s="7">
        <f>'1 prepared data'!F834</f>
        <v/>
      </c>
      <c r="H841" s="7">
        <f>'1 prepared data'!G834</f>
        <v/>
      </c>
      <c r="I841" s="7">
        <f>'1 prepared data'!H834</f>
        <v/>
      </c>
      <c r="J841" s="7">
        <f>'1 prepared data'!I834</f>
        <v/>
      </c>
      <c r="K841" s="7">
        <f>'1 prepared data'!J834</f>
        <v/>
      </c>
      <c r="L841" s="7">
        <f>'1 prepared data'!K834</f>
        <v/>
      </c>
      <c r="M841" s="7">
        <f>'1 prepared data'!L834</f>
        <v/>
      </c>
      <c r="N841" s="7">
        <f>'1 prepared data'!M834</f>
        <v/>
      </c>
      <c r="O841" s="7">
        <f>'1 prepared data'!N834</f>
        <v/>
      </c>
      <c r="P841" s="7">
        <f>'1 prepared data'!O834</f>
        <v/>
      </c>
      <c r="Q841" s="7">
        <f>'1 prepared data'!P834</f>
        <v/>
      </c>
      <c r="R841" s="7">
        <f>'1 prepared data'!Q834</f>
        <v/>
      </c>
      <c r="S841" s="7">
        <f>'1 prepared data'!R834</f>
        <v/>
      </c>
      <c r="T841" s="7">
        <f>'1 prepared data'!S834</f>
        <v/>
      </c>
      <c r="U841" s="7">
        <f>'1 prepared data'!T834</f>
        <v/>
      </c>
      <c r="V841" s="8">
        <f>$AC$12+D841*$AC$13+E841*$AC$14+F841*$AC$15+G841*$AC$16+H841*$AC$17+I841*$AC$18+J841*$AC$19+K841*$AC$20+L841*$AC$21+M841*$AC$22+N841*$AC$23+O841*$AC$24+P841*$AC$25+Q841*$AC$26+R841*$AC$27+S841*$AC$28+T841*$AC$29+U841*$AC$30</f>
        <v/>
      </c>
      <c r="W841" s="8">
        <f>1/(1+EXP(-V841))</f>
        <v/>
      </c>
      <c r="X841" s="9">
        <f>-IF(C841=1,LN(W841),LN(1-W841))</f>
        <v/>
      </c>
      <c r="Y841" s="10">
        <f>IF(W841&gt;$AC$33,1,0)</f>
        <v/>
      </c>
      <c r="Z841">
        <f>IF(Y841=C841,1,0)</f>
        <v/>
      </c>
    </row>
    <row r="842">
      <c r="A842">
        <f>'1 prepared data'!A835</f>
        <v/>
      </c>
      <c r="B842" s="5">
        <f>'1 prepared data'!U835</f>
        <v/>
      </c>
      <c r="C842">
        <f>'1 prepared data'!B835</f>
        <v/>
      </c>
      <c r="D842" s="7">
        <f>'1 prepared data'!C835</f>
        <v/>
      </c>
      <c r="E842" s="7">
        <f>'1 prepared data'!D835</f>
        <v/>
      </c>
      <c r="F842" s="7">
        <f>'1 prepared data'!E835</f>
        <v/>
      </c>
      <c r="G842" s="7">
        <f>'1 prepared data'!F835</f>
        <v/>
      </c>
      <c r="H842" s="7">
        <f>'1 prepared data'!G835</f>
        <v/>
      </c>
      <c r="I842" s="7">
        <f>'1 prepared data'!H835</f>
        <v/>
      </c>
      <c r="J842" s="7">
        <f>'1 prepared data'!I835</f>
        <v/>
      </c>
      <c r="K842" s="7">
        <f>'1 prepared data'!J835</f>
        <v/>
      </c>
      <c r="L842" s="7">
        <f>'1 prepared data'!K835</f>
        <v/>
      </c>
      <c r="M842" s="7">
        <f>'1 prepared data'!L835</f>
        <v/>
      </c>
      <c r="N842" s="7">
        <f>'1 prepared data'!M835</f>
        <v/>
      </c>
      <c r="O842" s="7">
        <f>'1 prepared data'!N835</f>
        <v/>
      </c>
      <c r="P842" s="7">
        <f>'1 prepared data'!O835</f>
        <v/>
      </c>
      <c r="Q842" s="7">
        <f>'1 prepared data'!P835</f>
        <v/>
      </c>
      <c r="R842" s="7">
        <f>'1 prepared data'!Q835</f>
        <v/>
      </c>
      <c r="S842" s="7">
        <f>'1 prepared data'!R835</f>
        <v/>
      </c>
      <c r="T842" s="7">
        <f>'1 prepared data'!S835</f>
        <v/>
      </c>
      <c r="U842" s="7">
        <f>'1 prepared data'!T835</f>
        <v/>
      </c>
      <c r="V842" s="8">
        <f>$AC$12+D842*$AC$13+E842*$AC$14+F842*$AC$15+G842*$AC$16+H842*$AC$17+I842*$AC$18+J842*$AC$19+K842*$AC$20+L842*$AC$21+M842*$AC$22+N842*$AC$23+O842*$AC$24+P842*$AC$25+Q842*$AC$26+R842*$AC$27+S842*$AC$28+T842*$AC$29+U842*$AC$30</f>
        <v/>
      </c>
      <c r="W842" s="8">
        <f>1/(1+EXP(-V842))</f>
        <v/>
      </c>
      <c r="X842" s="9">
        <f>-IF(C842=1,LN(W842),LN(1-W842))</f>
        <v/>
      </c>
      <c r="Y842" s="10">
        <f>IF(W842&gt;$AC$33,1,0)</f>
        <v/>
      </c>
      <c r="Z842">
        <f>IF(Y842=C842,1,0)</f>
        <v/>
      </c>
    </row>
    <row r="843">
      <c r="A843">
        <f>'1 prepared data'!A836</f>
        <v/>
      </c>
      <c r="B843" s="5">
        <f>'1 prepared data'!U836</f>
        <v/>
      </c>
      <c r="C843">
        <f>'1 prepared data'!B836</f>
        <v/>
      </c>
      <c r="D843" s="7">
        <f>'1 prepared data'!C836</f>
        <v/>
      </c>
      <c r="E843" s="7">
        <f>'1 prepared data'!D836</f>
        <v/>
      </c>
      <c r="F843" s="7">
        <f>'1 prepared data'!E836</f>
        <v/>
      </c>
      <c r="G843" s="7">
        <f>'1 prepared data'!F836</f>
        <v/>
      </c>
      <c r="H843" s="7">
        <f>'1 prepared data'!G836</f>
        <v/>
      </c>
      <c r="I843" s="7">
        <f>'1 prepared data'!H836</f>
        <v/>
      </c>
      <c r="J843" s="7">
        <f>'1 prepared data'!I836</f>
        <v/>
      </c>
      <c r="K843" s="7">
        <f>'1 prepared data'!J836</f>
        <v/>
      </c>
      <c r="L843" s="7">
        <f>'1 prepared data'!K836</f>
        <v/>
      </c>
      <c r="M843" s="7">
        <f>'1 prepared data'!L836</f>
        <v/>
      </c>
      <c r="N843" s="7">
        <f>'1 prepared data'!M836</f>
        <v/>
      </c>
      <c r="O843" s="7">
        <f>'1 prepared data'!N836</f>
        <v/>
      </c>
      <c r="P843" s="7">
        <f>'1 prepared data'!O836</f>
        <v/>
      </c>
      <c r="Q843" s="7">
        <f>'1 prepared data'!P836</f>
        <v/>
      </c>
      <c r="R843" s="7">
        <f>'1 prepared data'!Q836</f>
        <v/>
      </c>
      <c r="S843" s="7">
        <f>'1 prepared data'!R836</f>
        <v/>
      </c>
      <c r="T843" s="7">
        <f>'1 prepared data'!S836</f>
        <v/>
      </c>
      <c r="U843" s="7">
        <f>'1 prepared data'!T836</f>
        <v/>
      </c>
      <c r="V843" s="8">
        <f>$AC$12+D843*$AC$13+E843*$AC$14+F843*$AC$15+G843*$AC$16+H843*$AC$17+I843*$AC$18+J843*$AC$19+K843*$AC$20+L843*$AC$21+M843*$AC$22+N843*$AC$23+O843*$AC$24+P843*$AC$25+Q843*$AC$26+R843*$AC$27+S843*$AC$28+T843*$AC$29+U843*$AC$30</f>
        <v/>
      </c>
      <c r="W843" s="8">
        <f>1/(1+EXP(-V843))</f>
        <v/>
      </c>
      <c r="X843" s="9">
        <f>-IF(C843=1,LN(W843),LN(1-W843))</f>
        <v/>
      </c>
      <c r="Y843" s="10">
        <f>IF(W843&gt;$AC$33,1,0)</f>
        <v/>
      </c>
      <c r="Z843">
        <f>IF(Y843=C843,1,0)</f>
        <v/>
      </c>
    </row>
    <row r="844">
      <c r="A844">
        <f>'1 prepared data'!A837</f>
        <v/>
      </c>
      <c r="B844" s="5">
        <f>'1 prepared data'!U837</f>
        <v/>
      </c>
      <c r="C844">
        <f>'1 prepared data'!B837</f>
        <v/>
      </c>
      <c r="D844" s="7">
        <f>'1 prepared data'!C837</f>
        <v/>
      </c>
      <c r="E844" s="7">
        <f>'1 prepared data'!D837</f>
        <v/>
      </c>
      <c r="F844" s="7">
        <f>'1 prepared data'!E837</f>
        <v/>
      </c>
      <c r="G844" s="7">
        <f>'1 prepared data'!F837</f>
        <v/>
      </c>
      <c r="H844" s="7">
        <f>'1 prepared data'!G837</f>
        <v/>
      </c>
      <c r="I844" s="7">
        <f>'1 prepared data'!H837</f>
        <v/>
      </c>
      <c r="J844" s="7">
        <f>'1 prepared data'!I837</f>
        <v/>
      </c>
      <c r="K844" s="7">
        <f>'1 prepared data'!J837</f>
        <v/>
      </c>
      <c r="L844" s="7">
        <f>'1 prepared data'!K837</f>
        <v/>
      </c>
      <c r="M844" s="7">
        <f>'1 prepared data'!L837</f>
        <v/>
      </c>
      <c r="N844" s="7">
        <f>'1 prepared data'!M837</f>
        <v/>
      </c>
      <c r="O844" s="7">
        <f>'1 prepared data'!N837</f>
        <v/>
      </c>
      <c r="P844" s="7">
        <f>'1 prepared data'!O837</f>
        <v/>
      </c>
      <c r="Q844" s="7">
        <f>'1 prepared data'!P837</f>
        <v/>
      </c>
      <c r="R844" s="7">
        <f>'1 prepared data'!Q837</f>
        <v/>
      </c>
      <c r="S844" s="7">
        <f>'1 prepared data'!R837</f>
        <v/>
      </c>
      <c r="T844" s="7">
        <f>'1 prepared data'!S837</f>
        <v/>
      </c>
      <c r="U844" s="7">
        <f>'1 prepared data'!T837</f>
        <v/>
      </c>
      <c r="V844" s="8">
        <f>$AC$12+D844*$AC$13+E844*$AC$14+F844*$AC$15+G844*$AC$16+H844*$AC$17+I844*$AC$18+J844*$AC$19+K844*$AC$20+L844*$AC$21+M844*$AC$22+N844*$AC$23+O844*$AC$24+P844*$AC$25+Q844*$AC$26+R844*$AC$27+S844*$AC$28+T844*$AC$29+U844*$AC$30</f>
        <v/>
      </c>
      <c r="W844" s="8">
        <f>1/(1+EXP(-V844))</f>
        <v/>
      </c>
      <c r="X844" s="9">
        <f>-IF(C844=1,LN(W844),LN(1-W844))</f>
        <v/>
      </c>
      <c r="Y844" s="10">
        <f>IF(W844&gt;$AC$33,1,0)</f>
        <v/>
      </c>
      <c r="Z844">
        <f>IF(Y844=C844,1,0)</f>
        <v/>
      </c>
    </row>
    <row r="845">
      <c r="A845">
        <f>'1 prepared data'!A838</f>
        <v/>
      </c>
      <c r="B845" s="5">
        <f>'1 prepared data'!U838</f>
        <v/>
      </c>
      <c r="C845">
        <f>'1 prepared data'!B838</f>
        <v/>
      </c>
      <c r="D845" s="7">
        <f>'1 prepared data'!C838</f>
        <v/>
      </c>
      <c r="E845" s="7">
        <f>'1 prepared data'!D838</f>
        <v/>
      </c>
      <c r="F845" s="7">
        <f>'1 prepared data'!E838</f>
        <v/>
      </c>
      <c r="G845" s="7">
        <f>'1 prepared data'!F838</f>
        <v/>
      </c>
      <c r="H845" s="7">
        <f>'1 prepared data'!G838</f>
        <v/>
      </c>
      <c r="I845" s="7">
        <f>'1 prepared data'!H838</f>
        <v/>
      </c>
      <c r="J845" s="7">
        <f>'1 prepared data'!I838</f>
        <v/>
      </c>
      <c r="K845" s="7">
        <f>'1 prepared data'!J838</f>
        <v/>
      </c>
      <c r="L845" s="7">
        <f>'1 prepared data'!K838</f>
        <v/>
      </c>
      <c r="M845" s="7">
        <f>'1 prepared data'!L838</f>
        <v/>
      </c>
      <c r="N845" s="7">
        <f>'1 prepared data'!M838</f>
        <v/>
      </c>
      <c r="O845" s="7">
        <f>'1 prepared data'!N838</f>
        <v/>
      </c>
      <c r="P845" s="7">
        <f>'1 prepared data'!O838</f>
        <v/>
      </c>
      <c r="Q845" s="7">
        <f>'1 prepared data'!P838</f>
        <v/>
      </c>
      <c r="R845" s="7">
        <f>'1 prepared data'!Q838</f>
        <v/>
      </c>
      <c r="S845" s="7">
        <f>'1 prepared data'!R838</f>
        <v/>
      </c>
      <c r="T845" s="7">
        <f>'1 prepared data'!S838</f>
        <v/>
      </c>
      <c r="U845" s="7">
        <f>'1 prepared data'!T838</f>
        <v/>
      </c>
      <c r="V845" s="8">
        <f>$AC$12+D845*$AC$13+E845*$AC$14+F845*$AC$15+G845*$AC$16+H845*$AC$17+I845*$AC$18+J845*$AC$19+K845*$AC$20+L845*$AC$21+M845*$AC$22+N845*$AC$23+O845*$AC$24+P845*$AC$25+Q845*$AC$26+R845*$AC$27+S845*$AC$28+T845*$AC$29+U845*$AC$30</f>
        <v/>
      </c>
      <c r="W845" s="8">
        <f>1/(1+EXP(-V845))</f>
        <v/>
      </c>
      <c r="X845" s="9">
        <f>-IF(C845=1,LN(W845),LN(1-W845))</f>
        <v/>
      </c>
      <c r="Y845" s="10">
        <f>IF(W845&gt;$AC$33,1,0)</f>
        <v/>
      </c>
      <c r="Z845">
        <f>IF(Y845=C845,1,0)</f>
        <v/>
      </c>
    </row>
    <row r="846">
      <c r="A846">
        <f>'1 prepared data'!A839</f>
        <v/>
      </c>
      <c r="B846" s="5">
        <f>'1 prepared data'!U839</f>
        <v/>
      </c>
      <c r="C846">
        <f>'1 prepared data'!B839</f>
        <v/>
      </c>
      <c r="D846" s="7">
        <f>'1 prepared data'!C839</f>
        <v/>
      </c>
      <c r="E846" s="7">
        <f>'1 prepared data'!D839</f>
        <v/>
      </c>
      <c r="F846" s="7">
        <f>'1 prepared data'!E839</f>
        <v/>
      </c>
      <c r="G846" s="7">
        <f>'1 prepared data'!F839</f>
        <v/>
      </c>
      <c r="H846" s="7">
        <f>'1 prepared data'!G839</f>
        <v/>
      </c>
      <c r="I846" s="7">
        <f>'1 prepared data'!H839</f>
        <v/>
      </c>
      <c r="J846" s="7">
        <f>'1 prepared data'!I839</f>
        <v/>
      </c>
      <c r="K846" s="7">
        <f>'1 prepared data'!J839</f>
        <v/>
      </c>
      <c r="L846" s="7">
        <f>'1 prepared data'!K839</f>
        <v/>
      </c>
      <c r="M846" s="7">
        <f>'1 prepared data'!L839</f>
        <v/>
      </c>
      <c r="N846" s="7">
        <f>'1 prepared data'!M839</f>
        <v/>
      </c>
      <c r="O846" s="7">
        <f>'1 prepared data'!N839</f>
        <v/>
      </c>
      <c r="P846" s="7">
        <f>'1 prepared data'!O839</f>
        <v/>
      </c>
      <c r="Q846" s="7">
        <f>'1 prepared data'!P839</f>
        <v/>
      </c>
      <c r="R846" s="7">
        <f>'1 prepared data'!Q839</f>
        <v/>
      </c>
      <c r="S846" s="7">
        <f>'1 prepared data'!R839</f>
        <v/>
      </c>
      <c r="T846" s="7">
        <f>'1 prepared data'!S839</f>
        <v/>
      </c>
      <c r="U846" s="7">
        <f>'1 prepared data'!T839</f>
        <v/>
      </c>
      <c r="V846" s="8">
        <f>$AC$12+D846*$AC$13+E846*$AC$14+F846*$AC$15+G846*$AC$16+H846*$AC$17+I846*$AC$18+J846*$AC$19+K846*$AC$20+L846*$AC$21+M846*$AC$22+N846*$AC$23+O846*$AC$24+P846*$AC$25+Q846*$AC$26+R846*$AC$27+S846*$AC$28+T846*$AC$29+U846*$AC$30</f>
        <v/>
      </c>
      <c r="W846" s="8">
        <f>1/(1+EXP(-V846))</f>
        <v/>
      </c>
      <c r="X846" s="9">
        <f>-IF(C846=1,LN(W846),LN(1-W846))</f>
        <v/>
      </c>
      <c r="Y846" s="10">
        <f>IF(W846&gt;$AC$33,1,0)</f>
        <v/>
      </c>
      <c r="Z846">
        <f>IF(Y846=C846,1,0)</f>
        <v/>
      </c>
    </row>
    <row r="847">
      <c r="A847">
        <f>'1 prepared data'!A840</f>
        <v/>
      </c>
      <c r="B847" s="5">
        <f>'1 prepared data'!U840</f>
        <v/>
      </c>
      <c r="C847">
        <f>'1 prepared data'!B840</f>
        <v/>
      </c>
      <c r="D847" s="7">
        <f>'1 prepared data'!C840</f>
        <v/>
      </c>
      <c r="E847" s="7">
        <f>'1 prepared data'!D840</f>
        <v/>
      </c>
      <c r="F847" s="7">
        <f>'1 prepared data'!E840</f>
        <v/>
      </c>
      <c r="G847" s="7">
        <f>'1 prepared data'!F840</f>
        <v/>
      </c>
      <c r="H847" s="7">
        <f>'1 prepared data'!G840</f>
        <v/>
      </c>
      <c r="I847" s="7">
        <f>'1 prepared data'!H840</f>
        <v/>
      </c>
      <c r="J847" s="7">
        <f>'1 prepared data'!I840</f>
        <v/>
      </c>
      <c r="K847" s="7">
        <f>'1 prepared data'!J840</f>
        <v/>
      </c>
      <c r="L847" s="7">
        <f>'1 prepared data'!K840</f>
        <v/>
      </c>
      <c r="M847" s="7">
        <f>'1 prepared data'!L840</f>
        <v/>
      </c>
      <c r="N847" s="7">
        <f>'1 prepared data'!M840</f>
        <v/>
      </c>
      <c r="O847" s="7">
        <f>'1 prepared data'!N840</f>
        <v/>
      </c>
      <c r="P847" s="7">
        <f>'1 prepared data'!O840</f>
        <v/>
      </c>
      <c r="Q847" s="7">
        <f>'1 prepared data'!P840</f>
        <v/>
      </c>
      <c r="R847" s="7">
        <f>'1 prepared data'!Q840</f>
        <v/>
      </c>
      <c r="S847" s="7">
        <f>'1 prepared data'!R840</f>
        <v/>
      </c>
      <c r="T847" s="7">
        <f>'1 prepared data'!S840</f>
        <v/>
      </c>
      <c r="U847" s="7">
        <f>'1 prepared data'!T840</f>
        <v/>
      </c>
      <c r="V847" s="8">
        <f>$AC$12+D847*$AC$13+E847*$AC$14+F847*$AC$15+G847*$AC$16+H847*$AC$17+I847*$AC$18+J847*$AC$19+K847*$AC$20+L847*$AC$21+M847*$AC$22+N847*$AC$23+O847*$AC$24+P847*$AC$25+Q847*$AC$26+R847*$AC$27+S847*$AC$28+T847*$AC$29+U847*$AC$30</f>
        <v/>
      </c>
      <c r="W847" s="8">
        <f>1/(1+EXP(-V847))</f>
        <v/>
      </c>
      <c r="X847" s="9">
        <f>-IF(C847=1,LN(W847),LN(1-W847))</f>
        <v/>
      </c>
      <c r="Y847" s="10">
        <f>IF(W847&gt;$AC$33,1,0)</f>
        <v/>
      </c>
      <c r="Z847">
        <f>IF(Y847=C847,1,0)</f>
        <v/>
      </c>
    </row>
    <row r="848">
      <c r="A848">
        <f>'1 prepared data'!A841</f>
        <v/>
      </c>
      <c r="B848" s="5">
        <f>'1 prepared data'!U841</f>
        <v/>
      </c>
      <c r="C848">
        <f>'1 prepared data'!B841</f>
        <v/>
      </c>
      <c r="D848" s="7">
        <f>'1 prepared data'!C841</f>
        <v/>
      </c>
      <c r="E848" s="7">
        <f>'1 prepared data'!D841</f>
        <v/>
      </c>
      <c r="F848" s="7">
        <f>'1 prepared data'!E841</f>
        <v/>
      </c>
      <c r="G848" s="7">
        <f>'1 prepared data'!F841</f>
        <v/>
      </c>
      <c r="H848" s="7">
        <f>'1 prepared data'!G841</f>
        <v/>
      </c>
      <c r="I848" s="7">
        <f>'1 prepared data'!H841</f>
        <v/>
      </c>
      <c r="J848" s="7">
        <f>'1 prepared data'!I841</f>
        <v/>
      </c>
      <c r="K848" s="7">
        <f>'1 prepared data'!J841</f>
        <v/>
      </c>
      <c r="L848" s="7">
        <f>'1 prepared data'!K841</f>
        <v/>
      </c>
      <c r="M848" s="7">
        <f>'1 prepared data'!L841</f>
        <v/>
      </c>
      <c r="N848" s="7">
        <f>'1 prepared data'!M841</f>
        <v/>
      </c>
      <c r="O848" s="7">
        <f>'1 prepared data'!N841</f>
        <v/>
      </c>
      <c r="P848" s="7">
        <f>'1 prepared data'!O841</f>
        <v/>
      </c>
      <c r="Q848" s="7">
        <f>'1 prepared data'!P841</f>
        <v/>
      </c>
      <c r="R848" s="7">
        <f>'1 prepared data'!Q841</f>
        <v/>
      </c>
      <c r="S848" s="7">
        <f>'1 prepared data'!R841</f>
        <v/>
      </c>
      <c r="T848" s="7">
        <f>'1 prepared data'!S841</f>
        <v/>
      </c>
      <c r="U848" s="7">
        <f>'1 prepared data'!T841</f>
        <v/>
      </c>
      <c r="V848" s="8">
        <f>$AC$12+D848*$AC$13+E848*$AC$14+F848*$AC$15+G848*$AC$16+H848*$AC$17+I848*$AC$18+J848*$AC$19+K848*$AC$20+L848*$AC$21+M848*$AC$22+N848*$AC$23+O848*$AC$24+P848*$AC$25+Q848*$AC$26+R848*$AC$27+S848*$AC$28+T848*$AC$29+U848*$AC$30</f>
        <v/>
      </c>
      <c r="W848" s="8">
        <f>1/(1+EXP(-V848))</f>
        <v/>
      </c>
      <c r="X848" s="9">
        <f>-IF(C848=1,LN(W848),LN(1-W848))</f>
        <v/>
      </c>
      <c r="Y848" s="10">
        <f>IF(W848&gt;$AC$33,1,0)</f>
        <v/>
      </c>
      <c r="Z848">
        <f>IF(Y848=C848,1,0)</f>
        <v/>
      </c>
    </row>
    <row r="849">
      <c r="A849">
        <f>'1 prepared data'!A842</f>
        <v/>
      </c>
      <c r="B849" s="5">
        <f>'1 prepared data'!U842</f>
        <v/>
      </c>
      <c r="C849">
        <f>'1 prepared data'!B842</f>
        <v/>
      </c>
      <c r="D849" s="7">
        <f>'1 prepared data'!C842</f>
        <v/>
      </c>
      <c r="E849" s="7">
        <f>'1 prepared data'!D842</f>
        <v/>
      </c>
      <c r="F849" s="7">
        <f>'1 prepared data'!E842</f>
        <v/>
      </c>
      <c r="G849" s="7">
        <f>'1 prepared data'!F842</f>
        <v/>
      </c>
      <c r="H849" s="7">
        <f>'1 prepared data'!G842</f>
        <v/>
      </c>
      <c r="I849" s="7">
        <f>'1 prepared data'!H842</f>
        <v/>
      </c>
      <c r="J849" s="7">
        <f>'1 prepared data'!I842</f>
        <v/>
      </c>
      <c r="K849" s="7">
        <f>'1 prepared data'!J842</f>
        <v/>
      </c>
      <c r="L849" s="7">
        <f>'1 prepared data'!K842</f>
        <v/>
      </c>
      <c r="M849" s="7">
        <f>'1 prepared data'!L842</f>
        <v/>
      </c>
      <c r="N849" s="7">
        <f>'1 prepared data'!M842</f>
        <v/>
      </c>
      <c r="O849" s="7">
        <f>'1 prepared data'!N842</f>
        <v/>
      </c>
      <c r="P849" s="7">
        <f>'1 prepared data'!O842</f>
        <v/>
      </c>
      <c r="Q849" s="7">
        <f>'1 prepared data'!P842</f>
        <v/>
      </c>
      <c r="R849" s="7">
        <f>'1 prepared data'!Q842</f>
        <v/>
      </c>
      <c r="S849" s="7">
        <f>'1 prepared data'!R842</f>
        <v/>
      </c>
      <c r="T849" s="7">
        <f>'1 prepared data'!S842</f>
        <v/>
      </c>
      <c r="U849" s="7">
        <f>'1 prepared data'!T842</f>
        <v/>
      </c>
      <c r="V849" s="8">
        <f>$AC$12+D849*$AC$13+E849*$AC$14+F849*$AC$15+G849*$AC$16+H849*$AC$17+I849*$AC$18+J849*$AC$19+K849*$AC$20+L849*$AC$21+M849*$AC$22+N849*$AC$23+O849*$AC$24+P849*$AC$25+Q849*$AC$26+R849*$AC$27+S849*$AC$28+T849*$AC$29+U849*$AC$30</f>
        <v/>
      </c>
      <c r="W849" s="8">
        <f>1/(1+EXP(-V849))</f>
        <v/>
      </c>
      <c r="X849" s="9">
        <f>-IF(C849=1,LN(W849),LN(1-W849))</f>
        <v/>
      </c>
      <c r="Y849" s="10">
        <f>IF(W849&gt;$AC$33,1,0)</f>
        <v/>
      </c>
      <c r="Z849">
        <f>IF(Y849=C849,1,0)</f>
        <v/>
      </c>
    </row>
    <row r="850">
      <c r="A850">
        <f>'1 prepared data'!A843</f>
        <v/>
      </c>
      <c r="B850" s="5">
        <f>'1 prepared data'!U843</f>
        <v/>
      </c>
      <c r="C850">
        <f>'1 prepared data'!B843</f>
        <v/>
      </c>
      <c r="D850" s="7">
        <f>'1 prepared data'!C843</f>
        <v/>
      </c>
      <c r="E850" s="7">
        <f>'1 prepared data'!D843</f>
        <v/>
      </c>
      <c r="F850" s="7">
        <f>'1 prepared data'!E843</f>
        <v/>
      </c>
      <c r="G850" s="7">
        <f>'1 prepared data'!F843</f>
        <v/>
      </c>
      <c r="H850" s="7">
        <f>'1 prepared data'!G843</f>
        <v/>
      </c>
      <c r="I850" s="7">
        <f>'1 prepared data'!H843</f>
        <v/>
      </c>
      <c r="J850" s="7">
        <f>'1 prepared data'!I843</f>
        <v/>
      </c>
      <c r="K850" s="7">
        <f>'1 prepared data'!J843</f>
        <v/>
      </c>
      <c r="L850" s="7">
        <f>'1 prepared data'!K843</f>
        <v/>
      </c>
      <c r="M850" s="7">
        <f>'1 prepared data'!L843</f>
        <v/>
      </c>
      <c r="N850" s="7">
        <f>'1 prepared data'!M843</f>
        <v/>
      </c>
      <c r="O850" s="7">
        <f>'1 prepared data'!N843</f>
        <v/>
      </c>
      <c r="P850" s="7">
        <f>'1 prepared data'!O843</f>
        <v/>
      </c>
      <c r="Q850" s="7">
        <f>'1 prepared data'!P843</f>
        <v/>
      </c>
      <c r="R850" s="7">
        <f>'1 prepared data'!Q843</f>
        <v/>
      </c>
      <c r="S850" s="7">
        <f>'1 prepared data'!R843</f>
        <v/>
      </c>
      <c r="T850" s="7">
        <f>'1 prepared data'!S843</f>
        <v/>
      </c>
      <c r="U850" s="7">
        <f>'1 prepared data'!T843</f>
        <v/>
      </c>
      <c r="V850" s="8">
        <f>$AC$12+D850*$AC$13+E850*$AC$14+F850*$AC$15+G850*$AC$16+H850*$AC$17+I850*$AC$18+J850*$AC$19+K850*$AC$20+L850*$AC$21+M850*$AC$22+N850*$AC$23+O850*$AC$24+P850*$AC$25+Q850*$AC$26+R850*$AC$27+S850*$AC$28+T850*$AC$29+U850*$AC$30</f>
        <v/>
      </c>
      <c r="W850" s="8">
        <f>1/(1+EXP(-V850))</f>
        <v/>
      </c>
      <c r="X850" s="9">
        <f>-IF(C850=1,LN(W850),LN(1-W850))</f>
        <v/>
      </c>
      <c r="Y850" s="10">
        <f>IF(W850&gt;$AC$33,1,0)</f>
        <v/>
      </c>
      <c r="Z850">
        <f>IF(Y850=C850,1,0)</f>
        <v/>
      </c>
    </row>
    <row r="851">
      <c r="A851">
        <f>'1 prepared data'!A844</f>
        <v/>
      </c>
      <c r="B851" s="5">
        <f>'1 prepared data'!U844</f>
        <v/>
      </c>
      <c r="C851">
        <f>'1 prepared data'!B844</f>
        <v/>
      </c>
      <c r="D851" s="7">
        <f>'1 prepared data'!C844</f>
        <v/>
      </c>
      <c r="E851" s="7">
        <f>'1 prepared data'!D844</f>
        <v/>
      </c>
      <c r="F851" s="7">
        <f>'1 prepared data'!E844</f>
        <v/>
      </c>
      <c r="G851" s="7">
        <f>'1 prepared data'!F844</f>
        <v/>
      </c>
      <c r="H851" s="7">
        <f>'1 prepared data'!G844</f>
        <v/>
      </c>
      <c r="I851" s="7">
        <f>'1 prepared data'!H844</f>
        <v/>
      </c>
      <c r="J851" s="7">
        <f>'1 prepared data'!I844</f>
        <v/>
      </c>
      <c r="K851" s="7">
        <f>'1 prepared data'!J844</f>
        <v/>
      </c>
      <c r="L851" s="7">
        <f>'1 prepared data'!K844</f>
        <v/>
      </c>
      <c r="M851" s="7">
        <f>'1 prepared data'!L844</f>
        <v/>
      </c>
      <c r="N851" s="7">
        <f>'1 prepared data'!M844</f>
        <v/>
      </c>
      <c r="O851" s="7">
        <f>'1 prepared data'!N844</f>
        <v/>
      </c>
      <c r="P851" s="7">
        <f>'1 prepared data'!O844</f>
        <v/>
      </c>
      <c r="Q851" s="7">
        <f>'1 prepared data'!P844</f>
        <v/>
      </c>
      <c r="R851" s="7">
        <f>'1 prepared data'!Q844</f>
        <v/>
      </c>
      <c r="S851" s="7">
        <f>'1 prepared data'!R844</f>
        <v/>
      </c>
      <c r="T851" s="7">
        <f>'1 prepared data'!S844</f>
        <v/>
      </c>
      <c r="U851" s="7">
        <f>'1 prepared data'!T844</f>
        <v/>
      </c>
      <c r="V851" s="8">
        <f>$AC$12+D851*$AC$13+E851*$AC$14+F851*$AC$15+G851*$AC$16+H851*$AC$17+I851*$AC$18+J851*$AC$19+K851*$AC$20+L851*$AC$21+M851*$AC$22+N851*$AC$23+O851*$AC$24+P851*$AC$25+Q851*$AC$26+R851*$AC$27+S851*$AC$28+T851*$AC$29+U851*$AC$30</f>
        <v/>
      </c>
      <c r="W851" s="8">
        <f>1/(1+EXP(-V851))</f>
        <v/>
      </c>
      <c r="X851" s="9">
        <f>-IF(C851=1,LN(W851),LN(1-W851))</f>
        <v/>
      </c>
      <c r="Y851" s="10">
        <f>IF(W851&gt;$AC$33,1,0)</f>
        <v/>
      </c>
      <c r="Z851">
        <f>IF(Y851=C851,1,0)</f>
        <v/>
      </c>
    </row>
    <row r="852">
      <c r="A852">
        <f>'1 prepared data'!A845</f>
        <v/>
      </c>
      <c r="B852" s="5">
        <f>'1 prepared data'!U845</f>
        <v/>
      </c>
      <c r="C852">
        <f>'1 prepared data'!B845</f>
        <v/>
      </c>
      <c r="D852" s="7">
        <f>'1 prepared data'!C845</f>
        <v/>
      </c>
      <c r="E852" s="7">
        <f>'1 prepared data'!D845</f>
        <v/>
      </c>
      <c r="F852" s="7">
        <f>'1 prepared data'!E845</f>
        <v/>
      </c>
      <c r="G852" s="7">
        <f>'1 prepared data'!F845</f>
        <v/>
      </c>
      <c r="H852" s="7">
        <f>'1 prepared data'!G845</f>
        <v/>
      </c>
      <c r="I852" s="7">
        <f>'1 prepared data'!H845</f>
        <v/>
      </c>
      <c r="J852" s="7">
        <f>'1 prepared data'!I845</f>
        <v/>
      </c>
      <c r="K852" s="7">
        <f>'1 prepared data'!J845</f>
        <v/>
      </c>
      <c r="L852" s="7">
        <f>'1 prepared data'!K845</f>
        <v/>
      </c>
      <c r="M852" s="7">
        <f>'1 prepared data'!L845</f>
        <v/>
      </c>
      <c r="N852" s="7">
        <f>'1 prepared data'!M845</f>
        <v/>
      </c>
      <c r="O852" s="7">
        <f>'1 prepared data'!N845</f>
        <v/>
      </c>
      <c r="P852" s="7">
        <f>'1 prepared data'!O845</f>
        <v/>
      </c>
      <c r="Q852" s="7">
        <f>'1 prepared data'!P845</f>
        <v/>
      </c>
      <c r="R852" s="7">
        <f>'1 prepared data'!Q845</f>
        <v/>
      </c>
      <c r="S852" s="7">
        <f>'1 prepared data'!R845</f>
        <v/>
      </c>
      <c r="T852" s="7">
        <f>'1 prepared data'!S845</f>
        <v/>
      </c>
      <c r="U852" s="7">
        <f>'1 prepared data'!T845</f>
        <v/>
      </c>
      <c r="V852" s="8">
        <f>$AC$12+D852*$AC$13+E852*$AC$14+F852*$AC$15+G852*$AC$16+H852*$AC$17+I852*$AC$18+J852*$AC$19+K852*$AC$20+L852*$AC$21+M852*$AC$22+N852*$AC$23+O852*$AC$24+P852*$AC$25+Q852*$AC$26+R852*$AC$27+S852*$AC$28+T852*$AC$29+U852*$AC$30</f>
        <v/>
      </c>
      <c r="W852" s="8">
        <f>1/(1+EXP(-V852))</f>
        <v/>
      </c>
      <c r="X852" s="9">
        <f>-IF(C852=1,LN(W852),LN(1-W852))</f>
        <v/>
      </c>
      <c r="Y852" s="10">
        <f>IF(W852&gt;$AC$33,1,0)</f>
        <v/>
      </c>
      <c r="Z852">
        <f>IF(Y852=C852,1,0)</f>
        <v/>
      </c>
    </row>
    <row r="853">
      <c r="A853">
        <f>'1 prepared data'!A846</f>
        <v/>
      </c>
      <c r="B853" s="5">
        <f>'1 prepared data'!U846</f>
        <v/>
      </c>
      <c r="C853">
        <f>'1 prepared data'!B846</f>
        <v/>
      </c>
      <c r="D853" s="7">
        <f>'1 prepared data'!C846</f>
        <v/>
      </c>
      <c r="E853" s="7">
        <f>'1 prepared data'!D846</f>
        <v/>
      </c>
      <c r="F853" s="7">
        <f>'1 prepared data'!E846</f>
        <v/>
      </c>
      <c r="G853" s="7">
        <f>'1 prepared data'!F846</f>
        <v/>
      </c>
      <c r="H853" s="7">
        <f>'1 prepared data'!G846</f>
        <v/>
      </c>
      <c r="I853" s="7">
        <f>'1 prepared data'!H846</f>
        <v/>
      </c>
      <c r="J853" s="7">
        <f>'1 prepared data'!I846</f>
        <v/>
      </c>
      <c r="K853" s="7">
        <f>'1 prepared data'!J846</f>
        <v/>
      </c>
      <c r="L853" s="7">
        <f>'1 prepared data'!K846</f>
        <v/>
      </c>
      <c r="M853" s="7">
        <f>'1 prepared data'!L846</f>
        <v/>
      </c>
      <c r="N853" s="7">
        <f>'1 prepared data'!M846</f>
        <v/>
      </c>
      <c r="O853" s="7">
        <f>'1 prepared data'!N846</f>
        <v/>
      </c>
      <c r="P853" s="7">
        <f>'1 prepared data'!O846</f>
        <v/>
      </c>
      <c r="Q853" s="7">
        <f>'1 prepared data'!P846</f>
        <v/>
      </c>
      <c r="R853" s="7">
        <f>'1 prepared data'!Q846</f>
        <v/>
      </c>
      <c r="S853" s="7">
        <f>'1 prepared data'!R846</f>
        <v/>
      </c>
      <c r="T853" s="7">
        <f>'1 prepared data'!S846</f>
        <v/>
      </c>
      <c r="U853" s="7">
        <f>'1 prepared data'!T846</f>
        <v/>
      </c>
      <c r="V853" s="8">
        <f>$AC$12+D853*$AC$13+E853*$AC$14+F853*$AC$15+G853*$AC$16+H853*$AC$17+I853*$AC$18+J853*$AC$19+K853*$AC$20+L853*$AC$21+M853*$AC$22+N853*$AC$23+O853*$AC$24+P853*$AC$25+Q853*$AC$26+R853*$AC$27+S853*$AC$28+T853*$AC$29+U853*$AC$30</f>
        <v/>
      </c>
      <c r="W853" s="8">
        <f>1/(1+EXP(-V853))</f>
        <v/>
      </c>
      <c r="X853" s="9">
        <f>-IF(C853=1,LN(W853),LN(1-W853))</f>
        <v/>
      </c>
      <c r="Y853" s="10">
        <f>IF(W853&gt;$AC$33,1,0)</f>
        <v/>
      </c>
      <c r="Z853">
        <f>IF(Y853=C853,1,0)</f>
        <v/>
      </c>
    </row>
    <row r="854">
      <c r="A854">
        <f>'1 prepared data'!A847</f>
        <v/>
      </c>
      <c r="B854" s="5">
        <f>'1 prepared data'!U847</f>
        <v/>
      </c>
      <c r="C854">
        <f>'1 prepared data'!B847</f>
        <v/>
      </c>
      <c r="D854" s="7">
        <f>'1 prepared data'!C847</f>
        <v/>
      </c>
      <c r="E854" s="7">
        <f>'1 prepared data'!D847</f>
        <v/>
      </c>
      <c r="F854" s="7">
        <f>'1 prepared data'!E847</f>
        <v/>
      </c>
      <c r="G854" s="7">
        <f>'1 prepared data'!F847</f>
        <v/>
      </c>
      <c r="H854" s="7">
        <f>'1 prepared data'!G847</f>
        <v/>
      </c>
      <c r="I854" s="7">
        <f>'1 prepared data'!H847</f>
        <v/>
      </c>
      <c r="J854" s="7">
        <f>'1 prepared data'!I847</f>
        <v/>
      </c>
      <c r="K854" s="7">
        <f>'1 prepared data'!J847</f>
        <v/>
      </c>
      <c r="L854" s="7">
        <f>'1 prepared data'!K847</f>
        <v/>
      </c>
      <c r="M854" s="7">
        <f>'1 prepared data'!L847</f>
        <v/>
      </c>
      <c r="N854" s="7">
        <f>'1 prepared data'!M847</f>
        <v/>
      </c>
      <c r="O854" s="7">
        <f>'1 prepared data'!N847</f>
        <v/>
      </c>
      <c r="P854" s="7">
        <f>'1 prepared data'!O847</f>
        <v/>
      </c>
      <c r="Q854" s="7">
        <f>'1 prepared data'!P847</f>
        <v/>
      </c>
      <c r="R854" s="7">
        <f>'1 prepared data'!Q847</f>
        <v/>
      </c>
      <c r="S854" s="7">
        <f>'1 prepared data'!R847</f>
        <v/>
      </c>
      <c r="T854" s="7">
        <f>'1 prepared data'!S847</f>
        <v/>
      </c>
      <c r="U854" s="7">
        <f>'1 prepared data'!T847</f>
        <v/>
      </c>
      <c r="V854" s="8">
        <f>$AC$12+D854*$AC$13+E854*$AC$14+F854*$AC$15+G854*$AC$16+H854*$AC$17+I854*$AC$18+J854*$AC$19+K854*$AC$20+L854*$AC$21+M854*$AC$22+N854*$AC$23+O854*$AC$24+P854*$AC$25+Q854*$AC$26+R854*$AC$27+S854*$AC$28+T854*$AC$29+U854*$AC$30</f>
        <v/>
      </c>
      <c r="W854" s="8">
        <f>1/(1+EXP(-V854))</f>
        <v/>
      </c>
      <c r="X854" s="9">
        <f>-IF(C854=1,LN(W854),LN(1-W854))</f>
        <v/>
      </c>
      <c r="Y854" s="10">
        <f>IF(W854&gt;$AC$33,1,0)</f>
        <v/>
      </c>
      <c r="Z854">
        <f>IF(Y854=C854,1,0)</f>
        <v/>
      </c>
    </row>
    <row r="855">
      <c r="A855">
        <f>'1 prepared data'!A848</f>
        <v/>
      </c>
      <c r="B855" s="5">
        <f>'1 prepared data'!U848</f>
        <v/>
      </c>
      <c r="C855">
        <f>'1 prepared data'!B848</f>
        <v/>
      </c>
      <c r="D855" s="7">
        <f>'1 prepared data'!C848</f>
        <v/>
      </c>
      <c r="E855" s="7">
        <f>'1 prepared data'!D848</f>
        <v/>
      </c>
      <c r="F855" s="7">
        <f>'1 prepared data'!E848</f>
        <v/>
      </c>
      <c r="G855" s="7">
        <f>'1 prepared data'!F848</f>
        <v/>
      </c>
      <c r="H855" s="7">
        <f>'1 prepared data'!G848</f>
        <v/>
      </c>
      <c r="I855" s="7">
        <f>'1 prepared data'!H848</f>
        <v/>
      </c>
      <c r="J855" s="7">
        <f>'1 prepared data'!I848</f>
        <v/>
      </c>
      <c r="K855" s="7">
        <f>'1 prepared data'!J848</f>
        <v/>
      </c>
      <c r="L855" s="7">
        <f>'1 prepared data'!K848</f>
        <v/>
      </c>
      <c r="M855" s="7">
        <f>'1 prepared data'!L848</f>
        <v/>
      </c>
      <c r="N855" s="7">
        <f>'1 prepared data'!M848</f>
        <v/>
      </c>
      <c r="O855" s="7">
        <f>'1 prepared data'!N848</f>
        <v/>
      </c>
      <c r="P855" s="7">
        <f>'1 prepared data'!O848</f>
        <v/>
      </c>
      <c r="Q855" s="7">
        <f>'1 prepared data'!P848</f>
        <v/>
      </c>
      <c r="R855" s="7">
        <f>'1 prepared data'!Q848</f>
        <v/>
      </c>
      <c r="S855" s="7">
        <f>'1 prepared data'!R848</f>
        <v/>
      </c>
      <c r="T855" s="7">
        <f>'1 prepared data'!S848</f>
        <v/>
      </c>
      <c r="U855" s="7">
        <f>'1 prepared data'!T848</f>
        <v/>
      </c>
      <c r="V855" s="8">
        <f>$AC$12+D855*$AC$13+E855*$AC$14+F855*$AC$15+G855*$AC$16+H855*$AC$17+I855*$AC$18+J855*$AC$19+K855*$AC$20+L855*$AC$21+M855*$AC$22+N855*$AC$23+O855*$AC$24+P855*$AC$25+Q855*$AC$26+R855*$AC$27+S855*$AC$28+T855*$AC$29+U855*$AC$30</f>
        <v/>
      </c>
      <c r="W855" s="8">
        <f>1/(1+EXP(-V855))</f>
        <v/>
      </c>
      <c r="X855" s="9">
        <f>-IF(C855=1,LN(W855),LN(1-W855))</f>
        <v/>
      </c>
      <c r="Y855" s="10">
        <f>IF(W855&gt;$AC$33,1,0)</f>
        <v/>
      </c>
      <c r="Z855">
        <f>IF(Y855=C855,1,0)</f>
        <v/>
      </c>
    </row>
    <row r="856">
      <c r="A856">
        <f>'1 prepared data'!A849</f>
        <v/>
      </c>
      <c r="B856" s="5">
        <f>'1 prepared data'!U849</f>
        <v/>
      </c>
      <c r="C856">
        <f>'1 prepared data'!B849</f>
        <v/>
      </c>
      <c r="D856" s="7">
        <f>'1 prepared data'!C849</f>
        <v/>
      </c>
      <c r="E856" s="7">
        <f>'1 prepared data'!D849</f>
        <v/>
      </c>
      <c r="F856" s="7">
        <f>'1 prepared data'!E849</f>
        <v/>
      </c>
      <c r="G856" s="7">
        <f>'1 prepared data'!F849</f>
        <v/>
      </c>
      <c r="H856" s="7">
        <f>'1 prepared data'!G849</f>
        <v/>
      </c>
      <c r="I856" s="7">
        <f>'1 prepared data'!H849</f>
        <v/>
      </c>
      <c r="J856" s="7">
        <f>'1 prepared data'!I849</f>
        <v/>
      </c>
      <c r="K856" s="7">
        <f>'1 prepared data'!J849</f>
        <v/>
      </c>
      <c r="L856" s="7">
        <f>'1 prepared data'!K849</f>
        <v/>
      </c>
      <c r="M856" s="7">
        <f>'1 prepared data'!L849</f>
        <v/>
      </c>
      <c r="N856" s="7">
        <f>'1 prepared data'!M849</f>
        <v/>
      </c>
      <c r="O856" s="7">
        <f>'1 prepared data'!N849</f>
        <v/>
      </c>
      <c r="P856" s="7">
        <f>'1 prepared data'!O849</f>
        <v/>
      </c>
      <c r="Q856" s="7">
        <f>'1 prepared data'!P849</f>
        <v/>
      </c>
      <c r="R856" s="7">
        <f>'1 prepared data'!Q849</f>
        <v/>
      </c>
      <c r="S856" s="7">
        <f>'1 prepared data'!R849</f>
        <v/>
      </c>
      <c r="T856" s="7">
        <f>'1 prepared data'!S849</f>
        <v/>
      </c>
      <c r="U856" s="7">
        <f>'1 prepared data'!T849</f>
        <v/>
      </c>
      <c r="V856" s="8">
        <f>$AC$12+D856*$AC$13+E856*$AC$14+F856*$AC$15+G856*$AC$16+H856*$AC$17+I856*$AC$18+J856*$AC$19+K856*$AC$20+L856*$AC$21+M856*$AC$22+N856*$AC$23+O856*$AC$24+P856*$AC$25+Q856*$AC$26+R856*$AC$27+S856*$AC$28+T856*$AC$29+U856*$AC$30</f>
        <v/>
      </c>
      <c r="W856" s="8">
        <f>1/(1+EXP(-V856))</f>
        <v/>
      </c>
      <c r="X856" s="9">
        <f>-IF(C856=1,LN(W856),LN(1-W856))</f>
        <v/>
      </c>
      <c r="Y856" s="10">
        <f>IF(W856&gt;$AC$33,1,0)</f>
        <v/>
      </c>
      <c r="Z856">
        <f>IF(Y856=C856,1,0)</f>
        <v/>
      </c>
    </row>
    <row r="857">
      <c r="A857">
        <f>'1 prepared data'!A850</f>
        <v/>
      </c>
      <c r="B857" s="5">
        <f>'1 prepared data'!U850</f>
        <v/>
      </c>
      <c r="C857">
        <f>'1 prepared data'!B850</f>
        <v/>
      </c>
      <c r="D857" s="7">
        <f>'1 prepared data'!C850</f>
        <v/>
      </c>
      <c r="E857" s="7">
        <f>'1 prepared data'!D850</f>
        <v/>
      </c>
      <c r="F857" s="7">
        <f>'1 prepared data'!E850</f>
        <v/>
      </c>
      <c r="G857" s="7">
        <f>'1 prepared data'!F850</f>
        <v/>
      </c>
      <c r="H857" s="7">
        <f>'1 prepared data'!G850</f>
        <v/>
      </c>
      <c r="I857" s="7">
        <f>'1 prepared data'!H850</f>
        <v/>
      </c>
      <c r="J857" s="7">
        <f>'1 prepared data'!I850</f>
        <v/>
      </c>
      <c r="K857" s="7">
        <f>'1 prepared data'!J850</f>
        <v/>
      </c>
      <c r="L857" s="7">
        <f>'1 prepared data'!K850</f>
        <v/>
      </c>
      <c r="M857" s="7">
        <f>'1 prepared data'!L850</f>
        <v/>
      </c>
      <c r="N857" s="7">
        <f>'1 prepared data'!M850</f>
        <v/>
      </c>
      <c r="O857" s="7">
        <f>'1 prepared data'!N850</f>
        <v/>
      </c>
      <c r="P857" s="7">
        <f>'1 prepared data'!O850</f>
        <v/>
      </c>
      <c r="Q857" s="7">
        <f>'1 prepared data'!P850</f>
        <v/>
      </c>
      <c r="R857" s="7">
        <f>'1 prepared data'!Q850</f>
        <v/>
      </c>
      <c r="S857" s="7">
        <f>'1 prepared data'!R850</f>
        <v/>
      </c>
      <c r="T857" s="7">
        <f>'1 prepared data'!S850</f>
        <v/>
      </c>
      <c r="U857" s="7">
        <f>'1 prepared data'!T850</f>
        <v/>
      </c>
      <c r="V857" s="8">
        <f>$AC$12+D857*$AC$13+E857*$AC$14+F857*$AC$15+G857*$AC$16+H857*$AC$17+I857*$AC$18+J857*$AC$19+K857*$AC$20+L857*$AC$21+M857*$AC$22+N857*$AC$23+O857*$AC$24+P857*$AC$25+Q857*$AC$26+R857*$AC$27+S857*$AC$28+T857*$AC$29+U857*$AC$30</f>
        <v/>
      </c>
      <c r="W857" s="8">
        <f>1/(1+EXP(-V857))</f>
        <v/>
      </c>
      <c r="X857" s="9">
        <f>-IF(C857=1,LN(W857),LN(1-W857))</f>
        <v/>
      </c>
      <c r="Y857" s="10">
        <f>IF(W857&gt;$AC$33,1,0)</f>
        <v/>
      </c>
      <c r="Z857">
        <f>IF(Y857=C857,1,0)</f>
        <v/>
      </c>
    </row>
    <row r="858">
      <c r="A858">
        <f>'1 prepared data'!A851</f>
        <v/>
      </c>
      <c r="B858" s="5">
        <f>'1 prepared data'!U851</f>
        <v/>
      </c>
      <c r="C858">
        <f>'1 prepared data'!B851</f>
        <v/>
      </c>
      <c r="D858" s="7">
        <f>'1 prepared data'!C851</f>
        <v/>
      </c>
      <c r="E858" s="7">
        <f>'1 prepared data'!D851</f>
        <v/>
      </c>
      <c r="F858" s="7">
        <f>'1 prepared data'!E851</f>
        <v/>
      </c>
      <c r="G858" s="7">
        <f>'1 prepared data'!F851</f>
        <v/>
      </c>
      <c r="H858" s="7">
        <f>'1 prepared data'!G851</f>
        <v/>
      </c>
      <c r="I858" s="7">
        <f>'1 prepared data'!H851</f>
        <v/>
      </c>
      <c r="J858" s="7">
        <f>'1 prepared data'!I851</f>
        <v/>
      </c>
      <c r="K858" s="7">
        <f>'1 prepared data'!J851</f>
        <v/>
      </c>
      <c r="L858" s="7">
        <f>'1 prepared data'!K851</f>
        <v/>
      </c>
      <c r="M858" s="7">
        <f>'1 prepared data'!L851</f>
        <v/>
      </c>
      <c r="N858" s="7">
        <f>'1 prepared data'!M851</f>
        <v/>
      </c>
      <c r="O858" s="7">
        <f>'1 prepared data'!N851</f>
        <v/>
      </c>
      <c r="P858" s="7">
        <f>'1 prepared data'!O851</f>
        <v/>
      </c>
      <c r="Q858" s="7">
        <f>'1 prepared data'!P851</f>
        <v/>
      </c>
      <c r="R858" s="7">
        <f>'1 prepared data'!Q851</f>
        <v/>
      </c>
      <c r="S858" s="7">
        <f>'1 prepared data'!R851</f>
        <v/>
      </c>
      <c r="T858" s="7">
        <f>'1 prepared data'!S851</f>
        <v/>
      </c>
      <c r="U858" s="7">
        <f>'1 prepared data'!T851</f>
        <v/>
      </c>
      <c r="V858" s="8">
        <f>$AC$12+D858*$AC$13+E858*$AC$14+F858*$AC$15+G858*$AC$16+H858*$AC$17+I858*$AC$18+J858*$AC$19+K858*$AC$20+L858*$AC$21+M858*$AC$22+N858*$AC$23+O858*$AC$24+P858*$AC$25+Q858*$AC$26+R858*$AC$27+S858*$AC$28+T858*$AC$29+U858*$AC$30</f>
        <v/>
      </c>
      <c r="W858" s="8">
        <f>1/(1+EXP(-V858))</f>
        <v/>
      </c>
      <c r="X858" s="9">
        <f>-IF(C858=1,LN(W858),LN(1-W858))</f>
        <v/>
      </c>
      <c r="Y858" s="10">
        <f>IF(W858&gt;$AC$33,1,0)</f>
        <v/>
      </c>
      <c r="Z858">
        <f>IF(Y858=C858,1,0)</f>
        <v/>
      </c>
    </row>
    <row r="859">
      <c r="A859">
        <f>'1 prepared data'!A852</f>
        <v/>
      </c>
      <c r="B859" s="5">
        <f>'1 prepared data'!U852</f>
        <v/>
      </c>
      <c r="C859">
        <f>'1 prepared data'!B852</f>
        <v/>
      </c>
      <c r="D859" s="7">
        <f>'1 prepared data'!C852</f>
        <v/>
      </c>
      <c r="E859" s="7">
        <f>'1 prepared data'!D852</f>
        <v/>
      </c>
      <c r="F859" s="7">
        <f>'1 prepared data'!E852</f>
        <v/>
      </c>
      <c r="G859" s="7">
        <f>'1 prepared data'!F852</f>
        <v/>
      </c>
      <c r="H859" s="7">
        <f>'1 prepared data'!G852</f>
        <v/>
      </c>
      <c r="I859" s="7">
        <f>'1 prepared data'!H852</f>
        <v/>
      </c>
      <c r="J859" s="7">
        <f>'1 prepared data'!I852</f>
        <v/>
      </c>
      <c r="K859" s="7">
        <f>'1 prepared data'!J852</f>
        <v/>
      </c>
      <c r="L859" s="7">
        <f>'1 prepared data'!K852</f>
        <v/>
      </c>
      <c r="M859" s="7">
        <f>'1 prepared data'!L852</f>
        <v/>
      </c>
      <c r="N859" s="7">
        <f>'1 prepared data'!M852</f>
        <v/>
      </c>
      <c r="O859" s="7">
        <f>'1 prepared data'!N852</f>
        <v/>
      </c>
      <c r="P859" s="7">
        <f>'1 prepared data'!O852</f>
        <v/>
      </c>
      <c r="Q859" s="7">
        <f>'1 prepared data'!P852</f>
        <v/>
      </c>
      <c r="R859" s="7">
        <f>'1 prepared data'!Q852</f>
        <v/>
      </c>
      <c r="S859" s="7">
        <f>'1 prepared data'!R852</f>
        <v/>
      </c>
      <c r="T859" s="7">
        <f>'1 prepared data'!S852</f>
        <v/>
      </c>
      <c r="U859" s="7">
        <f>'1 prepared data'!T852</f>
        <v/>
      </c>
      <c r="V859" s="8">
        <f>$AC$12+D859*$AC$13+E859*$AC$14+F859*$AC$15+G859*$AC$16+H859*$AC$17+I859*$AC$18+J859*$AC$19+K859*$AC$20+L859*$AC$21+M859*$AC$22+N859*$AC$23+O859*$AC$24+P859*$AC$25+Q859*$AC$26+R859*$AC$27+S859*$AC$28+T859*$AC$29+U859*$AC$30</f>
        <v/>
      </c>
      <c r="W859" s="8">
        <f>1/(1+EXP(-V859))</f>
        <v/>
      </c>
      <c r="X859" s="9">
        <f>-IF(C859=1,LN(W859),LN(1-W859))</f>
        <v/>
      </c>
      <c r="Y859" s="10">
        <f>IF(W859&gt;$AC$33,1,0)</f>
        <v/>
      </c>
      <c r="Z859">
        <f>IF(Y859=C859,1,0)</f>
        <v/>
      </c>
    </row>
    <row r="860">
      <c r="A860">
        <f>'1 prepared data'!A853</f>
        <v/>
      </c>
      <c r="B860" s="5">
        <f>'1 prepared data'!U853</f>
        <v/>
      </c>
      <c r="C860">
        <f>'1 prepared data'!B853</f>
        <v/>
      </c>
      <c r="D860" s="7">
        <f>'1 prepared data'!C853</f>
        <v/>
      </c>
      <c r="E860" s="7">
        <f>'1 prepared data'!D853</f>
        <v/>
      </c>
      <c r="F860" s="7">
        <f>'1 prepared data'!E853</f>
        <v/>
      </c>
      <c r="G860" s="7">
        <f>'1 prepared data'!F853</f>
        <v/>
      </c>
      <c r="H860" s="7">
        <f>'1 prepared data'!G853</f>
        <v/>
      </c>
      <c r="I860" s="7">
        <f>'1 prepared data'!H853</f>
        <v/>
      </c>
      <c r="J860" s="7">
        <f>'1 prepared data'!I853</f>
        <v/>
      </c>
      <c r="K860" s="7">
        <f>'1 prepared data'!J853</f>
        <v/>
      </c>
      <c r="L860" s="7">
        <f>'1 prepared data'!K853</f>
        <v/>
      </c>
      <c r="M860" s="7">
        <f>'1 prepared data'!L853</f>
        <v/>
      </c>
      <c r="N860" s="7">
        <f>'1 prepared data'!M853</f>
        <v/>
      </c>
      <c r="O860" s="7">
        <f>'1 prepared data'!N853</f>
        <v/>
      </c>
      <c r="P860" s="7">
        <f>'1 prepared data'!O853</f>
        <v/>
      </c>
      <c r="Q860" s="7">
        <f>'1 prepared data'!P853</f>
        <v/>
      </c>
      <c r="R860" s="7">
        <f>'1 prepared data'!Q853</f>
        <v/>
      </c>
      <c r="S860" s="7">
        <f>'1 prepared data'!R853</f>
        <v/>
      </c>
      <c r="T860" s="7">
        <f>'1 prepared data'!S853</f>
        <v/>
      </c>
      <c r="U860" s="7">
        <f>'1 prepared data'!T853</f>
        <v/>
      </c>
      <c r="V860" s="8">
        <f>$AC$12+D860*$AC$13+E860*$AC$14+F860*$AC$15+G860*$AC$16+H860*$AC$17+I860*$AC$18+J860*$AC$19+K860*$AC$20+L860*$AC$21+M860*$AC$22+N860*$AC$23+O860*$AC$24+P860*$AC$25+Q860*$AC$26+R860*$AC$27+S860*$AC$28+T860*$AC$29+U860*$AC$30</f>
        <v/>
      </c>
      <c r="W860" s="8">
        <f>1/(1+EXP(-V860))</f>
        <v/>
      </c>
      <c r="X860" s="9">
        <f>-IF(C860=1,LN(W860),LN(1-W860))</f>
        <v/>
      </c>
      <c r="Y860" s="10">
        <f>IF(W860&gt;$AC$33,1,0)</f>
        <v/>
      </c>
      <c r="Z860">
        <f>IF(Y860=C860,1,0)</f>
        <v/>
      </c>
    </row>
    <row r="861">
      <c r="A861">
        <f>'1 prepared data'!A854</f>
        <v/>
      </c>
      <c r="B861" s="5">
        <f>'1 prepared data'!U854</f>
        <v/>
      </c>
      <c r="C861">
        <f>'1 prepared data'!B854</f>
        <v/>
      </c>
      <c r="D861" s="7">
        <f>'1 prepared data'!C854</f>
        <v/>
      </c>
      <c r="E861" s="7">
        <f>'1 prepared data'!D854</f>
        <v/>
      </c>
      <c r="F861" s="7">
        <f>'1 prepared data'!E854</f>
        <v/>
      </c>
      <c r="G861" s="7">
        <f>'1 prepared data'!F854</f>
        <v/>
      </c>
      <c r="H861" s="7">
        <f>'1 prepared data'!G854</f>
        <v/>
      </c>
      <c r="I861" s="7">
        <f>'1 prepared data'!H854</f>
        <v/>
      </c>
      <c r="J861" s="7">
        <f>'1 prepared data'!I854</f>
        <v/>
      </c>
      <c r="K861" s="7">
        <f>'1 prepared data'!J854</f>
        <v/>
      </c>
      <c r="L861" s="7">
        <f>'1 prepared data'!K854</f>
        <v/>
      </c>
      <c r="M861" s="7">
        <f>'1 prepared data'!L854</f>
        <v/>
      </c>
      <c r="N861" s="7">
        <f>'1 prepared data'!M854</f>
        <v/>
      </c>
      <c r="O861" s="7">
        <f>'1 prepared data'!N854</f>
        <v/>
      </c>
      <c r="P861" s="7">
        <f>'1 prepared data'!O854</f>
        <v/>
      </c>
      <c r="Q861" s="7">
        <f>'1 prepared data'!P854</f>
        <v/>
      </c>
      <c r="R861" s="7">
        <f>'1 prepared data'!Q854</f>
        <v/>
      </c>
      <c r="S861" s="7">
        <f>'1 prepared data'!R854</f>
        <v/>
      </c>
      <c r="T861" s="7">
        <f>'1 prepared data'!S854</f>
        <v/>
      </c>
      <c r="U861" s="7">
        <f>'1 prepared data'!T854</f>
        <v/>
      </c>
      <c r="V861" s="8">
        <f>$AC$12+D861*$AC$13+E861*$AC$14+F861*$AC$15+G861*$AC$16+H861*$AC$17+I861*$AC$18+J861*$AC$19+K861*$AC$20+L861*$AC$21+M861*$AC$22+N861*$AC$23+O861*$AC$24+P861*$AC$25+Q861*$AC$26+R861*$AC$27+S861*$AC$28+T861*$AC$29+U861*$AC$30</f>
        <v/>
      </c>
      <c r="W861" s="8">
        <f>1/(1+EXP(-V861))</f>
        <v/>
      </c>
      <c r="X861" s="9">
        <f>-IF(C861=1,LN(W861),LN(1-W861))</f>
        <v/>
      </c>
      <c r="Y861" s="10">
        <f>IF(W861&gt;$AC$33,1,0)</f>
        <v/>
      </c>
      <c r="Z861">
        <f>IF(Y861=C861,1,0)</f>
        <v/>
      </c>
    </row>
    <row r="862">
      <c r="A862">
        <f>'1 prepared data'!A855</f>
        <v/>
      </c>
      <c r="B862" s="5">
        <f>'1 prepared data'!U855</f>
        <v/>
      </c>
      <c r="C862">
        <f>'1 prepared data'!B855</f>
        <v/>
      </c>
      <c r="D862" s="7">
        <f>'1 prepared data'!C855</f>
        <v/>
      </c>
      <c r="E862" s="7">
        <f>'1 prepared data'!D855</f>
        <v/>
      </c>
      <c r="F862" s="7">
        <f>'1 prepared data'!E855</f>
        <v/>
      </c>
      <c r="G862" s="7">
        <f>'1 prepared data'!F855</f>
        <v/>
      </c>
      <c r="H862" s="7">
        <f>'1 prepared data'!G855</f>
        <v/>
      </c>
      <c r="I862" s="7">
        <f>'1 prepared data'!H855</f>
        <v/>
      </c>
      <c r="J862" s="7">
        <f>'1 prepared data'!I855</f>
        <v/>
      </c>
      <c r="K862" s="7">
        <f>'1 prepared data'!J855</f>
        <v/>
      </c>
      <c r="L862" s="7">
        <f>'1 prepared data'!K855</f>
        <v/>
      </c>
      <c r="M862" s="7">
        <f>'1 prepared data'!L855</f>
        <v/>
      </c>
      <c r="N862" s="7">
        <f>'1 prepared data'!M855</f>
        <v/>
      </c>
      <c r="O862" s="7">
        <f>'1 prepared data'!N855</f>
        <v/>
      </c>
      <c r="P862" s="7">
        <f>'1 prepared data'!O855</f>
        <v/>
      </c>
      <c r="Q862" s="7">
        <f>'1 prepared data'!P855</f>
        <v/>
      </c>
      <c r="R862" s="7">
        <f>'1 prepared data'!Q855</f>
        <v/>
      </c>
      <c r="S862" s="7">
        <f>'1 prepared data'!R855</f>
        <v/>
      </c>
      <c r="T862" s="7">
        <f>'1 prepared data'!S855</f>
        <v/>
      </c>
      <c r="U862" s="7">
        <f>'1 prepared data'!T855</f>
        <v/>
      </c>
      <c r="V862" s="8">
        <f>$AC$12+D862*$AC$13+E862*$AC$14+F862*$AC$15+G862*$AC$16+H862*$AC$17+I862*$AC$18+J862*$AC$19+K862*$AC$20+L862*$AC$21+M862*$AC$22+N862*$AC$23+O862*$AC$24+P862*$AC$25+Q862*$AC$26+R862*$AC$27+S862*$AC$28+T862*$AC$29+U862*$AC$30</f>
        <v/>
      </c>
      <c r="W862" s="8">
        <f>1/(1+EXP(-V862))</f>
        <v/>
      </c>
      <c r="X862" s="9">
        <f>-IF(C862=1,LN(W862),LN(1-W862))</f>
        <v/>
      </c>
      <c r="Y862" s="10">
        <f>IF(W862&gt;$AC$33,1,0)</f>
        <v/>
      </c>
      <c r="Z862">
        <f>IF(Y862=C862,1,0)</f>
        <v/>
      </c>
    </row>
    <row r="863">
      <c r="A863">
        <f>'1 prepared data'!A856</f>
        <v/>
      </c>
      <c r="B863" s="5">
        <f>'1 prepared data'!U856</f>
        <v/>
      </c>
      <c r="C863">
        <f>'1 prepared data'!B856</f>
        <v/>
      </c>
      <c r="D863" s="7">
        <f>'1 prepared data'!C856</f>
        <v/>
      </c>
      <c r="E863" s="7">
        <f>'1 prepared data'!D856</f>
        <v/>
      </c>
      <c r="F863" s="7">
        <f>'1 prepared data'!E856</f>
        <v/>
      </c>
      <c r="G863" s="7">
        <f>'1 prepared data'!F856</f>
        <v/>
      </c>
      <c r="H863" s="7">
        <f>'1 prepared data'!G856</f>
        <v/>
      </c>
      <c r="I863" s="7">
        <f>'1 prepared data'!H856</f>
        <v/>
      </c>
      <c r="J863" s="7">
        <f>'1 prepared data'!I856</f>
        <v/>
      </c>
      <c r="K863" s="7">
        <f>'1 prepared data'!J856</f>
        <v/>
      </c>
      <c r="L863" s="7">
        <f>'1 prepared data'!K856</f>
        <v/>
      </c>
      <c r="M863" s="7">
        <f>'1 prepared data'!L856</f>
        <v/>
      </c>
      <c r="N863" s="7">
        <f>'1 prepared data'!M856</f>
        <v/>
      </c>
      <c r="O863" s="7">
        <f>'1 prepared data'!N856</f>
        <v/>
      </c>
      <c r="P863" s="7">
        <f>'1 prepared data'!O856</f>
        <v/>
      </c>
      <c r="Q863" s="7">
        <f>'1 prepared data'!P856</f>
        <v/>
      </c>
      <c r="R863" s="7">
        <f>'1 prepared data'!Q856</f>
        <v/>
      </c>
      <c r="S863" s="7">
        <f>'1 prepared data'!R856</f>
        <v/>
      </c>
      <c r="T863" s="7">
        <f>'1 prepared data'!S856</f>
        <v/>
      </c>
      <c r="U863" s="7">
        <f>'1 prepared data'!T856</f>
        <v/>
      </c>
      <c r="V863" s="8">
        <f>$AC$12+D863*$AC$13+E863*$AC$14+F863*$AC$15+G863*$AC$16+H863*$AC$17+I863*$AC$18+J863*$AC$19+K863*$AC$20+L863*$AC$21+M863*$AC$22+N863*$AC$23+O863*$AC$24+P863*$AC$25+Q863*$AC$26+R863*$AC$27+S863*$AC$28+T863*$AC$29+U863*$AC$30</f>
        <v/>
      </c>
      <c r="W863" s="8">
        <f>1/(1+EXP(-V863))</f>
        <v/>
      </c>
      <c r="X863" s="9">
        <f>-IF(C863=1,LN(W863),LN(1-W863))</f>
        <v/>
      </c>
      <c r="Y863" s="10">
        <f>IF(W863&gt;$AC$33,1,0)</f>
        <v/>
      </c>
      <c r="Z863">
        <f>IF(Y863=C863,1,0)</f>
        <v/>
      </c>
    </row>
    <row r="864">
      <c r="A864">
        <f>'1 prepared data'!A857</f>
        <v/>
      </c>
      <c r="B864" s="5">
        <f>'1 prepared data'!U857</f>
        <v/>
      </c>
      <c r="C864">
        <f>'1 prepared data'!B857</f>
        <v/>
      </c>
      <c r="D864" s="7">
        <f>'1 prepared data'!C857</f>
        <v/>
      </c>
      <c r="E864" s="7">
        <f>'1 prepared data'!D857</f>
        <v/>
      </c>
      <c r="F864" s="7">
        <f>'1 prepared data'!E857</f>
        <v/>
      </c>
      <c r="G864" s="7">
        <f>'1 prepared data'!F857</f>
        <v/>
      </c>
      <c r="H864" s="7">
        <f>'1 prepared data'!G857</f>
        <v/>
      </c>
      <c r="I864" s="7">
        <f>'1 prepared data'!H857</f>
        <v/>
      </c>
      <c r="J864" s="7">
        <f>'1 prepared data'!I857</f>
        <v/>
      </c>
      <c r="K864" s="7">
        <f>'1 prepared data'!J857</f>
        <v/>
      </c>
      <c r="L864" s="7">
        <f>'1 prepared data'!K857</f>
        <v/>
      </c>
      <c r="M864" s="7">
        <f>'1 prepared data'!L857</f>
        <v/>
      </c>
      <c r="N864" s="7">
        <f>'1 prepared data'!M857</f>
        <v/>
      </c>
      <c r="O864" s="7">
        <f>'1 prepared data'!N857</f>
        <v/>
      </c>
      <c r="P864" s="7">
        <f>'1 prepared data'!O857</f>
        <v/>
      </c>
      <c r="Q864" s="7">
        <f>'1 prepared data'!P857</f>
        <v/>
      </c>
      <c r="R864" s="7">
        <f>'1 prepared data'!Q857</f>
        <v/>
      </c>
      <c r="S864" s="7">
        <f>'1 prepared data'!R857</f>
        <v/>
      </c>
      <c r="T864" s="7">
        <f>'1 prepared data'!S857</f>
        <v/>
      </c>
      <c r="U864" s="7">
        <f>'1 prepared data'!T857</f>
        <v/>
      </c>
      <c r="V864" s="8">
        <f>$AC$12+D864*$AC$13+E864*$AC$14+F864*$AC$15+G864*$AC$16+H864*$AC$17+I864*$AC$18+J864*$AC$19+K864*$AC$20+L864*$AC$21+M864*$AC$22+N864*$AC$23+O864*$AC$24+P864*$AC$25+Q864*$AC$26+R864*$AC$27+S864*$AC$28+T864*$AC$29+U864*$AC$30</f>
        <v/>
      </c>
      <c r="W864" s="8">
        <f>1/(1+EXP(-V864))</f>
        <v/>
      </c>
      <c r="X864" s="9">
        <f>-IF(C864=1,LN(W864),LN(1-W864))</f>
        <v/>
      </c>
      <c r="Y864" s="10">
        <f>IF(W864&gt;$AC$33,1,0)</f>
        <v/>
      </c>
      <c r="Z864">
        <f>IF(Y864=C864,1,0)</f>
        <v/>
      </c>
    </row>
    <row r="865">
      <c r="A865">
        <f>'1 prepared data'!A858</f>
        <v/>
      </c>
      <c r="B865" s="5">
        <f>'1 prepared data'!U858</f>
        <v/>
      </c>
      <c r="C865">
        <f>'1 prepared data'!B858</f>
        <v/>
      </c>
      <c r="D865" s="7">
        <f>'1 prepared data'!C858</f>
        <v/>
      </c>
      <c r="E865" s="7">
        <f>'1 prepared data'!D858</f>
        <v/>
      </c>
      <c r="F865" s="7">
        <f>'1 prepared data'!E858</f>
        <v/>
      </c>
      <c r="G865" s="7">
        <f>'1 prepared data'!F858</f>
        <v/>
      </c>
      <c r="H865" s="7">
        <f>'1 prepared data'!G858</f>
        <v/>
      </c>
      <c r="I865" s="7">
        <f>'1 prepared data'!H858</f>
        <v/>
      </c>
      <c r="J865" s="7">
        <f>'1 prepared data'!I858</f>
        <v/>
      </c>
      <c r="K865" s="7">
        <f>'1 prepared data'!J858</f>
        <v/>
      </c>
      <c r="L865" s="7">
        <f>'1 prepared data'!K858</f>
        <v/>
      </c>
      <c r="M865" s="7">
        <f>'1 prepared data'!L858</f>
        <v/>
      </c>
      <c r="N865" s="7">
        <f>'1 prepared data'!M858</f>
        <v/>
      </c>
      <c r="O865" s="7">
        <f>'1 prepared data'!N858</f>
        <v/>
      </c>
      <c r="P865" s="7">
        <f>'1 prepared data'!O858</f>
        <v/>
      </c>
      <c r="Q865" s="7">
        <f>'1 prepared data'!P858</f>
        <v/>
      </c>
      <c r="R865" s="7">
        <f>'1 prepared data'!Q858</f>
        <v/>
      </c>
      <c r="S865" s="7">
        <f>'1 prepared data'!R858</f>
        <v/>
      </c>
      <c r="T865" s="7">
        <f>'1 prepared data'!S858</f>
        <v/>
      </c>
      <c r="U865" s="7">
        <f>'1 prepared data'!T858</f>
        <v/>
      </c>
      <c r="V865" s="8">
        <f>$AC$12+D865*$AC$13+E865*$AC$14+F865*$AC$15+G865*$AC$16+H865*$AC$17+I865*$AC$18+J865*$AC$19+K865*$AC$20+L865*$AC$21+M865*$AC$22+N865*$AC$23+O865*$AC$24+P865*$AC$25+Q865*$AC$26+R865*$AC$27+S865*$AC$28+T865*$AC$29+U865*$AC$30</f>
        <v/>
      </c>
      <c r="W865" s="8">
        <f>1/(1+EXP(-V865))</f>
        <v/>
      </c>
      <c r="X865" s="9">
        <f>-IF(C865=1,LN(W865),LN(1-W865))</f>
        <v/>
      </c>
      <c r="Y865" s="10">
        <f>IF(W865&gt;$AC$33,1,0)</f>
        <v/>
      </c>
      <c r="Z865">
        <f>IF(Y865=C865,1,0)</f>
        <v/>
      </c>
    </row>
    <row r="866">
      <c r="A866">
        <f>'1 prepared data'!A859</f>
        <v/>
      </c>
      <c r="B866" s="5">
        <f>'1 prepared data'!U859</f>
        <v/>
      </c>
      <c r="C866">
        <f>'1 prepared data'!B859</f>
        <v/>
      </c>
      <c r="D866" s="7">
        <f>'1 prepared data'!C859</f>
        <v/>
      </c>
      <c r="E866" s="7">
        <f>'1 prepared data'!D859</f>
        <v/>
      </c>
      <c r="F866" s="7">
        <f>'1 prepared data'!E859</f>
        <v/>
      </c>
      <c r="G866" s="7">
        <f>'1 prepared data'!F859</f>
        <v/>
      </c>
      <c r="H866" s="7">
        <f>'1 prepared data'!G859</f>
        <v/>
      </c>
      <c r="I866" s="7">
        <f>'1 prepared data'!H859</f>
        <v/>
      </c>
      <c r="J866" s="7">
        <f>'1 prepared data'!I859</f>
        <v/>
      </c>
      <c r="K866" s="7">
        <f>'1 prepared data'!J859</f>
        <v/>
      </c>
      <c r="L866" s="7">
        <f>'1 prepared data'!K859</f>
        <v/>
      </c>
      <c r="M866" s="7">
        <f>'1 prepared data'!L859</f>
        <v/>
      </c>
      <c r="N866" s="7">
        <f>'1 prepared data'!M859</f>
        <v/>
      </c>
      <c r="O866" s="7">
        <f>'1 prepared data'!N859</f>
        <v/>
      </c>
      <c r="P866" s="7">
        <f>'1 prepared data'!O859</f>
        <v/>
      </c>
      <c r="Q866" s="7">
        <f>'1 prepared data'!P859</f>
        <v/>
      </c>
      <c r="R866" s="7">
        <f>'1 prepared data'!Q859</f>
        <v/>
      </c>
      <c r="S866" s="7">
        <f>'1 prepared data'!R859</f>
        <v/>
      </c>
      <c r="T866" s="7">
        <f>'1 prepared data'!S859</f>
        <v/>
      </c>
      <c r="U866" s="7">
        <f>'1 prepared data'!T859</f>
        <v/>
      </c>
      <c r="V866" s="8">
        <f>$AC$12+D866*$AC$13+E866*$AC$14+F866*$AC$15+G866*$AC$16+H866*$AC$17+I866*$AC$18+J866*$AC$19+K866*$AC$20+L866*$AC$21+M866*$AC$22+N866*$AC$23+O866*$AC$24+P866*$AC$25+Q866*$AC$26+R866*$AC$27+S866*$AC$28+T866*$AC$29+U866*$AC$30</f>
        <v/>
      </c>
      <c r="W866" s="8">
        <f>1/(1+EXP(-V866))</f>
        <v/>
      </c>
      <c r="X866" s="9">
        <f>-IF(C866=1,LN(W866),LN(1-W866))</f>
        <v/>
      </c>
      <c r="Y866" s="10">
        <f>IF(W866&gt;$AC$33,1,0)</f>
        <v/>
      </c>
      <c r="Z866">
        <f>IF(Y866=C866,1,0)</f>
        <v/>
      </c>
    </row>
    <row r="867">
      <c r="A867">
        <f>'1 prepared data'!A860</f>
        <v/>
      </c>
      <c r="B867" s="5">
        <f>'1 prepared data'!U860</f>
        <v/>
      </c>
      <c r="C867">
        <f>'1 prepared data'!B860</f>
        <v/>
      </c>
      <c r="D867" s="7">
        <f>'1 prepared data'!C860</f>
        <v/>
      </c>
      <c r="E867" s="7">
        <f>'1 prepared data'!D860</f>
        <v/>
      </c>
      <c r="F867" s="7">
        <f>'1 prepared data'!E860</f>
        <v/>
      </c>
      <c r="G867" s="7">
        <f>'1 prepared data'!F860</f>
        <v/>
      </c>
      <c r="H867" s="7">
        <f>'1 prepared data'!G860</f>
        <v/>
      </c>
      <c r="I867" s="7">
        <f>'1 prepared data'!H860</f>
        <v/>
      </c>
      <c r="J867" s="7">
        <f>'1 prepared data'!I860</f>
        <v/>
      </c>
      <c r="K867" s="7">
        <f>'1 prepared data'!J860</f>
        <v/>
      </c>
      <c r="L867" s="7">
        <f>'1 prepared data'!K860</f>
        <v/>
      </c>
      <c r="M867" s="7">
        <f>'1 prepared data'!L860</f>
        <v/>
      </c>
      <c r="N867" s="7">
        <f>'1 prepared data'!M860</f>
        <v/>
      </c>
      <c r="O867" s="7">
        <f>'1 prepared data'!N860</f>
        <v/>
      </c>
      <c r="P867" s="7">
        <f>'1 prepared data'!O860</f>
        <v/>
      </c>
      <c r="Q867" s="7">
        <f>'1 prepared data'!P860</f>
        <v/>
      </c>
      <c r="R867" s="7">
        <f>'1 prepared data'!Q860</f>
        <v/>
      </c>
      <c r="S867" s="7">
        <f>'1 prepared data'!R860</f>
        <v/>
      </c>
      <c r="T867" s="7">
        <f>'1 prepared data'!S860</f>
        <v/>
      </c>
      <c r="U867" s="7">
        <f>'1 prepared data'!T860</f>
        <v/>
      </c>
      <c r="V867" s="8">
        <f>$AC$12+D867*$AC$13+E867*$AC$14+F867*$AC$15+G867*$AC$16+H867*$AC$17+I867*$AC$18+J867*$AC$19+K867*$AC$20+L867*$AC$21+M867*$AC$22+N867*$AC$23+O867*$AC$24+P867*$AC$25+Q867*$AC$26+R867*$AC$27+S867*$AC$28+T867*$AC$29+U867*$AC$30</f>
        <v/>
      </c>
      <c r="W867" s="8">
        <f>1/(1+EXP(-V867))</f>
        <v/>
      </c>
      <c r="X867" s="9">
        <f>-IF(C867=1,LN(W867),LN(1-W867))</f>
        <v/>
      </c>
      <c r="Y867" s="10">
        <f>IF(W867&gt;$AC$33,1,0)</f>
        <v/>
      </c>
      <c r="Z867">
        <f>IF(Y867=C867,1,0)</f>
        <v/>
      </c>
    </row>
    <row r="868">
      <c r="A868">
        <f>'1 prepared data'!A861</f>
        <v/>
      </c>
      <c r="B868" s="5">
        <f>'1 prepared data'!U861</f>
        <v/>
      </c>
      <c r="C868">
        <f>'1 prepared data'!B861</f>
        <v/>
      </c>
      <c r="D868" s="7">
        <f>'1 prepared data'!C861</f>
        <v/>
      </c>
      <c r="E868" s="7">
        <f>'1 prepared data'!D861</f>
        <v/>
      </c>
      <c r="F868" s="7">
        <f>'1 prepared data'!E861</f>
        <v/>
      </c>
      <c r="G868" s="7">
        <f>'1 prepared data'!F861</f>
        <v/>
      </c>
      <c r="H868" s="7">
        <f>'1 prepared data'!G861</f>
        <v/>
      </c>
      <c r="I868" s="7">
        <f>'1 prepared data'!H861</f>
        <v/>
      </c>
      <c r="J868" s="7">
        <f>'1 prepared data'!I861</f>
        <v/>
      </c>
      <c r="K868" s="7">
        <f>'1 prepared data'!J861</f>
        <v/>
      </c>
      <c r="L868" s="7">
        <f>'1 prepared data'!K861</f>
        <v/>
      </c>
      <c r="M868" s="7">
        <f>'1 prepared data'!L861</f>
        <v/>
      </c>
      <c r="N868" s="7">
        <f>'1 prepared data'!M861</f>
        <v/>
      </c>
      <c r="O868" s="7">
        <f>'1 prepared data'!N861</f>
        <v/>
      </c>
      <c r="P868" s="7">
        <f>'1 prepared data'!O861</f>
        <v/>
      </c>
      <c r="Q868" s="7">
        <f>'1 prepared data'!P861</f>
        <v/>
      </c>
      <c r="R868" s="7">
        <f>'1 prepared data'!Q861</f>
        <v/>
      </c>
      <c r="S868" s="7">
        <f>'1 prepared data'!R861</f>
        <v/>
      </c>
      <c r="T868" s="7">
        <f>'1 prepared data'!S861</f>
        <v/>
      </c>
      <c r="U868" s="7">
        <f>'1 prepared data'!T861</f>
        <v/>
      </c>
      <c r="V868" s="8">
        <f>$AC$12+D868*$AC$13+E868*$AC$14+F868*$AC$15+G868*$AC$16+H868*$AC$17+I868*$AC$18+J868*$AC$19+K868*$AC$20+L868*$AC$21+M868*$AC$22+N868*$AC$23+O868*$AC$24+P868*$AC$25+Q868*$AC$26+R868*$AC$27+S868*$AC$28+T868*$AC$29+U868*$AC$30</f>
        <v/>
      </c>
      <c r="W868" s="8">
        <f>1/(1+EXP(-V868))</f>
        <v/>
      </c>
      <c r="X868" s="9">
        <f>-IF(C868=1,LN(W868),LN(1-W868))</f>
        <v/>
      </c>
      <c r="Y868" s="10">
        <f>IF(W868&gt;$AC$33,1,0)</f>
        <v/>
      </c>
      <c r="Z868">
        <f>IF(Y868=C868,1,0)</f>
        <v/>
      </c>
    </row>
    <row r="869">
      <c r="A869">
        <f>'1 prepared data'!A862</f>
        <v/>
      </c>
      <c r="B869" s="5">
        <f>'1 prepared data'!U862</f>
        <v/>
      </c>
      <c r="C869">
        <f>'1 prepared data'!B862</f>
        <v/>
      </c>
      <c r="D869" s="7">
        <f>'1 prepared data'!C862</f>
        <v/>
      </c>
      <c r="E869" s="7">
        <f>'1 prepared data'!D862</f>
        <v/>
      </c>
      <c r="F869" s="7">
        <f>'1 prepared data'!E862</f>
        <v/>
      </c>
      <c r="G869" s="7">
        <f>'1 prepared data'!F862</f>
        <v/>
      </c>
      <c r="H869" s="7">
        <f>'1 prepared data'!G862</f>
        <v/>
      </c>
      <c r="I869" s="7">
        <f>'1 prepared data'!H862</f>
        <v/>
      </c>
      <c r="J869" s="7">
        <f>'1 prepared data'!I862</f>
        <v/>
      </c>
      <c r="K869" s="7">
        <f>'1 prepared data'!J862</f>
        <v/>
      </c>
      <c r="L869" s="7">
        <f>'1 prepared data'!K862</f>
        <v/>
      </c>
      <c r="M869" s="7">
        <f>'1 prepared data'!L862</f>
        <v/>
      </c>
      <c r="N869" s="7">
        <f>'1 prepared data'!M862</f>
        <v/>
      </c>
      <c r="O869" s="7">
        <f>'1 prepared data'!N862</f>
        <v/>
      </c>
      <c r="P869" s="7">
        <f>'1 prepared data'!O862</f>
        <v/>
      </c>
      <c r="Q869" s="7">
        <f>'1 prepared data'!P862</f>
        <v/>
      </c>
      <c r="R869" s="7">
        <f>'1 prepared data'!Q862</f>
        <v/>
      </c>
      <c r="S869" s="7">
        <f>'1 prepared data'!R862</f>
        <v/>
      </c>
      <c r="T869" s="7">
        <f>'1 prepared data'!S862</f>
        <v/>
      </c>
      <c r="U869" s="7">
        <f>'1 prepared data'!T862</f>
        <v/>
      </c>
      <c r="V869" s="8">
        <f>$AC$12+D869*$AC$13+E869*$AC$14+F869*$AC$15+G869*$AC$16+H869*$AC$17+I869*$AC$18+J869*$AC$19+K869*$AC$20+L869*$AC$21+M869*$AC$22+N869*$AC$23+O869*$AC$24+P869*$AC$25+Q869*$AC$26+R869*$AC$27+S869*$AC$28+T869*$AC$29+U869*$AC$30</f>
        <v/>
      </c>
      <c r="W869" s="8">
        <f>1/(1+EXP(-V869))</f>
        <v/>
      </c>
      <c r="X869" s="9">
        <f>-IF(C869=1,LN(W869),LN(1-W869))</f>
        <v/>
      </c>
      <c r="Y869" s="10">
        <f>IF(W869&gt;$AC$33,1,0)</f>
        <v/>
      </c>
      <c r="Z869">
        <f>IF(Y869=C869,1,0)</f>
        <v/>
      </c>
    </row>
    <row r="870">
      <c r="A870">
        <f>'1 prepared data'!A863</f>
        <v/>
      </c>
      <c r="B870" s="5">
        <f>'1 prepared data'!U863</f>
        <v/>
      </c>
      <c r="C870">
        <f>'1 prepared data'!B863</f>
        <v/>
      </c>
      <c r="D870" s="7">
        <f>'1 prepared data'!C863</f>
        <v/>
      </c>
      <c r="E870" s="7">
        <f>'1 prepared data'!D863</f>
        <v/>
      </c>
      <c r="F870" s="7">
        <f>'1 prepared data'!E863</f>
        <v/>
      </c>
      <c r="G870" s="7">
        <f>'1 prepared data'!F863</f>
        <v/>
      </c>
      <c r="H870" s="7">
        <f>'1 prepared data'!G863</f>
        <v/>
      </c>
      <c r="I870" s="7">
        <f>'1 prepared data'!H863</f>
        <v/>
      </c>
      <c r="J870" s="7">
        <f>'1 prepared data'!I863</f>
        <v/>
      </c>
      <c r="K870" s="7">
        <f>'1 prepared data'!J863</f>
        <v/>
      </c>
      <c r="L870" s="7">
        <f>'1 prepared data'!K863</f>
        <v/>
      </c>
      <c r="M870" s="7">
        <f>'1 prepared data'!L863</f>
        <v/>
      </c>
      <c r="N870" s="7">
        <f>'1 prepared data'!M863</f>
        <v/>
      </c>
      <c r="O870" s="7">
        <f>'1 prepared data'!N863</f>
        <v/>
      </c>
      <c r="P870" s="7">
        <f>'1 prepared data'!O863</f>
        <v/>
      </c>
      <c r="Q870" s="7">
        <f>'1 prepared data'!P863</f>
        <v/>
      </c>
      <c r="R870" s="7">
        <f>'1 prepared data'!Q863</f>
        <v/>
      </c>
      <c r="S870" s="7">
        <f>'1 prepared data'!R863</f>
        <v/>
      </c>
      <c r="T870" s="7">
        <f>'1 prepared data'!S863</f>
        <v/>
      </c>
      <c r="U870" s="7">
        <f>'1 prepared data'!T863</f>
        <v/>
      </c>
      <c r="V870" s="8">
        <f>$AC$12+D870*$AC$13+E870*$AC$14+F870*$AC$15+G870*$AC$16+H870*$AC$17+I870*$AC$18+J870*$AC$19+K870*$AC$20+L870*$AC$21+M870*$AC$22+N870*$AC$23+O870*$AC$24+P870*$AC$25+Q870*$AC$26+R870*$AC$27+S870*$AC$28+T870*$AC$29+U870*$AC$30</f>
        <v/>
      </c>
      <c r="W870" s="8">
        <f>1/(1+EXP(-V870))</f>
        <v/>
      </c>
      <c r="X870" s="9">
        <f>-IF(C870=1,LN(W870),LN(1-W870))</f>
        <v/>
      </c>
      <c r="Y870" s="10">
        <f>IF(W870&gt;$AC$33,1,0)</f>
        <v/>
      </c>
      <c r="Z870">
        <f>IF(Y870=C870,1,0)</f>
        <v/>
      </c>
    </row>
    <row r="871">
      <c r="A871">
        <f>'1 prepared data'!A864</f>
        <v/>
      </c>
      <c r="B871" s="5">
        <f>'1 prepared data'!U864</f>
        <v/>
      </c>
      <c r="C871">
        <f>'1 prepared data'!B864</f>
        <v/>
      </c>
      <c r="D871" s="7">
        <f>'1 prepared data'!C864</f>
        <v/>
      </c>
      <c r="E871" s="7">
        <f>'1 prepared data'!D864</f>
        <v/>
      </c>
      <c r="F871" s="7">
        <f>'1 prepared data'!E864</f>
        <v/>
      </c>
      <c r="G871" s="7">
        <f>'1 prepared data'!F864</f>
        <v/>
      </c>
      <c r="H871" s="7">
        <f>'1 prepared data'!G864</f>
        <v/>
      </c>
      <c r="I871" s="7">
        <f>'1 prepared data'!H864</f>
        <v/>
      </c>
      <c r="J871" s="7">
        <f>'1 prepared data'!I864</f>
        <v/>
      </c>
      <c r="K871" s="7">
        <f>'1 prepared data'!J864</f>
        <v/>
      </c>
      <c r="L871" s="7">
        <f>'1 prepared data'!K864</f>
        <v/>
      </c>
      <c r="M871" s="7">
        <f>'1 prepared data'!L864</f>
        <v/>
      </c>
      <c r="N871" s="7">
        <f>'1 prepared data'!M864</f>
        <v/>
      </c>
      <c r="O871" s="7">
        <f>'1 prepared data'!N864</f>
        <v/>
      </c>
      <c r="P871" s="7">
        <f>'1 prepared data'!O864</f>
        <v/>
      </c>
      <c r="Q871" s="7">
        <f>'1 prepared data'!P864</f>
        <v/>
      </c>
      <c r="R871" s="7">
        <f>'1 prepared data'!Q864</f>
        <v/>
      </c>
      <c r="S871" s="7">
        <f>'1 prepared data'!R864</f>
        <v/>
      </c>
      <c r="T871" s="7">
        <f>'1 prepared data'!S864</f>
        <v/>
      </c>
      <c r="U871" s="7">
        <f>'1 prepared data'!T864</f>
        <v/>
      </c>
      <c r="V871" s="8">
        <f>$AC$12+D871*$AC$13+E871*$AC$14+F871*$AC$15+G871*$AC$16+H871*$AC$17+I871*$AC$18+J871*$AC$19+K871*$AC$20+L871*$AC$21+M871*$AC$22+N871*$AC$23+O871*$AC$24+P871*$AC$25+Q871*$AC$26+R871*$AC$27+S871*$AC$28+T871*$AC$29+U871*$AC$30</f>
        <v/>
      </c>
      <c r="W871" s="8">
        <f>1/(1+EXP(-V871))</f>
        <v/>
      </c>
      <c r="X871" s="9">
        <f>-IF(C871=1,LN(W871),LN(1-W871))</f>
        <v/>
      </c>
      <c r="Y871" s="10">
        <f>IF(W871&gt;$AC$33,1,0)</f>
        <v/>
      </c>
      <c r="Z871">
        <f>IF(Y871=C871,1,0)</f>
        <v/>
      </c>
    </row>
    <row r="872">
      <c r="A872">
        <f>'1 prepared data'!A865</f>
        <v/>
      </c>
      <c r="B872" s="5">
        <f>'1 prepared data'!U865</f>
        <v/>
      </c>
      <c r="C872">
        <f>'1 prepared data'!B865</f>
        <v/>
      </c>
      <c r="D872" s="7">
        <f>'1 prepared data'!C865</f>
        <v/>
      </c>
      <c r="E872" s="7">
        <f>'1 prepared data'!D865</f>
        <v/>
      </c>
      <c r="F872" s="7">
        <f>'1 prepared data'!E865</f>
        <v/>
      </c>
      <c r="G872" s="7">
        <f>'1 prepared data'!F865</f>
        <v/>
      </c>
      <c r="H872" s="7">
        <f>'1 prepared data'!G865</f>
        <v/>
      </c>
      <c r="I872" s="7">
        <f>'1 prepared data'!H865</f>
        <v/>
      </c>
      <c r="J872" s="7">
        <f>'1 prepared data'!I865</f>
        <v/>
      </c>
      <c r="K872" s="7">
        <f>'1 prepared data'!J865</f>
        <v/>
      </c>
      <c r="L872" s="7">
        <f>'1 prepared data'!K865</f>
        <v/>
      </c>
      <c r="M872" s="7">
        <f>'1 prepared data'!L865</f>
        <v/>
      </c>
      <c r="N872" s="7">
        <f>'1 prepared data'!M865</f>
        <v/>
      </c>
      <c r="O872" s="7">
        <f>'1 prepared data'!N865</f>
        <v/>
      </c>
      <c r="P872" s="7">
        <f>'1 prepared data'!O865</f>
        <v/>
      </c>
      <c r="Q872" s="7">
        <f>'1 prepared data'!P865</f>
        <v/>
      </c>
      <c r="R872" s="7">
        <f>'1 prepared data'!Q865</f>
        <v/>
      </c>
      <c r="S872" s="7">
        <f>'1 prepared data'!R865</f>
        <v/>
      </c>
      <c r="T872" s="7">
        <f>'1 prepared data'!S865</f>
        <v/>
      </c>
      <c r="U872" s="7">
        <f>'1 prepared data'!T865</f>
        <v/>
      </c>
      <c r="V872" s="8">
        <f>$AC$12+D872*$AC$13+E872*$AC$14+F872*$AC$15+G872*$AC$16+H872*$AC$17+I872*$AC$18+J872*$AC$19+K872*$AC$20+L872*$AC$21+M872*$AC$22+N872*$AC$23+O872*$AC$24+P872*$AC$25+Q872*$AC$26+R872*$AC$27+S872*$AC$28+T872*$AC$29+U872*$AC$30</f>
        <v/>
      </c>
      <c r="W872" s="8">
        <f>1/(1+EXP(-V872))</f>
        <v/>
      </c>
      <c r="X872" s="9">
        <f>-IF(C872=1,LN(W872),LN(1-W872))</f>
        <v/>
      </c>
      <c r="Y872" s="10">
        <f>IF(W872&gt;$AC$33,1,0)</f>
        <v/>
      </c>
      <c r="Z872">
        <f>IF(Y872=C872,1,0)</f>
        <v/>
      </c>
    </row>
    <row r="873">
      <c r="A873">
        <f>'1 prepared data'!A866</f>
        <v/>
      </c>
      <c r="B873" s="5">
        <f>'1 prepared data'!U866</f>
        <v/>
      </c>
      <c r="C873">
        <f>'1 prepared data'!B866</f>
        <v/>
      </c>
      <c r="D873" s="7">
        <f>'1 prepared data'!C866</f>
        <v/>
      </c>
      <c r="E873" s="7">
        <f>'1 prepared data'!D866</f>
        <v/>
      </c>
      <c r="F873" s="7">
        <f>'1 prepared data'!E866</f>
        <v/>
      </c>
      <c r="G873" s="7">
        <f>'1 prepared data'!F866</f>
        <v/>
      </c>
      <c r="H873" s="7">
        <f>'1 prepared data'!G866</f>
        <v/>
      </c>
      <c r="I873" s="7">
        <f>'1 prepared data'!H866</f>
        <v/>
      </c>
      <c r="J873" s="7">
        <f>'1 prepared data'!I866</f>
        <v/>
      </c>
      <c r="K873" s="7">
        <f>'1 prepared data'!J866</f>
        <v/>
      </c>
      <c r="L873" s="7">
        <f>'1 prepared data'!K866</f>
        <v/>
      </c>
      <c r="M873" s="7">
        <f>'1 prepared data'!L866</f>
        <v/>
      </c>
      <c r="N873" s="7">
        <f>'1 prepared data'!M866</f>
        <v/>
      </c>
      <c r="O873" s="7">
        <f>'1 prepared data'!N866</f>
        <v/>
      </c>
      <c r="P873" s="7">
        <f>'1 prepared data'!O866</f>
        <v/>
      </c>
      <c r="Q873" s="7">
        <f>'1 prepared data'!P866</f>
        <v/>
      </c>
      <c r="R873" s="7">
        <f>'1 prepared data'!Q866</f>
        <v/>
      </c>
      <c r="S873" s="7">
        <f>'1 prepared data'!R866</f>
        <v/>
      </c>
      <c r="T873" s="7">
        <f>'1 prepared data'!S866</f>
        <v/>
      </c>
      <c r="U873" s="7">
        <f>'1 prepared data'!T866</f>
        <v/>
      </c>
      <c r="V873" s="8">
        <f>$AC$12+D873*$AC$13+E873*$AC$14+F873*$AC$15+G873*$AC$16+H873*$AC$17+I873*$AC$18+J873*$AC$19+K873*$AC$20+L873*$AC$21+M873*$AC$22+N873*$AC$23+O873*$AC$24+P873*$AC$25+Q873*$AC$26+R873*$AC$27+S873*$AC$28+T873*$AC$29+U873*$AC$30</f>
        <v/>
      </c>
      <c r="W873" s="8">
        <f>1/(1+EXP(-V873))</f>
        <v/>
      </c>
      <c r="X873" s="9">
        <f>-IF(C873=1,LN(W873),LN(1-W873))</f>
        <v/>
      </c>
      <c r="Y873" s="10">
        <f>IF(W873&gt;$AC$33,1,0)</f>
        <v/>
      </c>
      <c r="Z873">
        <f>IF(Y873=C873,1,0)</f>
        <v/>
      </c>
    </row>
    <row r="874">
      <c r="A874">
        <f>'1 prepared data'!A867</f>
        <v/>
      </c>
      <c r="B874" s="5">
        <f>'1 prepared data'!U867</f>
        <v/>
      </c>
      <c r="C874">
        <f>'1 prepared data'!B867</f>
        <v/>
      </c>
      <c r="D874" s="7">
        <f>'1 prepared data'!C867</f>
        <v/>
      </c>
      <c r="E874" s="7">
        <f>'1 prepared data'!D867</f>
        <v/>
      </c>
      <c r="F874" s="7">
        <f>'1 prepared data'!E867</f>
        <v/>
      </c>
      <c r="G874" s="7">
        <f>'1 prepared data'!F867</f>
        <v/>
      </c>
      <c r="H874" s="7">
        <f>'1 prepared data'!G867</f>
        <v/>
      </c>
      <c r="I874" s="7">
        <f>'1 prepared data'!H867</f>
        <v/>
      </c>
      <c r="J874" s="7">
        <f>'1 prepared data'!I867</f>
        <v/>
      </c>
      <c r="K874" s="7">
        <f>'1 prepared data'!J867</f>
        <v/>
      </c>
      <c r="L874" s="7">
        <f>'1 prepared data'!K867</f>
        <v/>
      </c>
      <c r="M874" s="7">
        <f>'1 prepared data'!L867</f>
        <v/>
      </c>
      <c r="N874" s="7">
        <f>'1 prepared data'!M867</f>
        <v/>
      </c>
      <c r="O874" s="7">
        <f>'1 prepared data'!N867</f>
        <v/>
      </c>
      <c r="P874" s="7">
        <f>'1 prepared data'!O867</f>
        <v/>
      </c>
      <c r="Q874" s="7">
        <f>'1 prepared data'!P867</f>
        <v/>
      </c>
      <c r="R874" s="7">
        <f>'1 prepared data'!Q867</f>
        <v/>
      </c>
      <c r="S874" s="7">
        <f>'1 prepared data'!R867</f>
        <v/>
      </c>
      <c r="T874" s="7">
        <f>'1 prepared data'!S867</f>
        <v/>
      </c>
      <c r="U874" s="7">
        <f>'1 prepared data'!T867</f>
        <v/>
      </c>
      <c r="V874" s="8">
        <f>$AC$12+D874*$AC$13+E874*$AC$14+F874*$AC$15+G874*$AC$16+H874*$AC$17+I874*$AC$18+J874*$AC$19+K874*$AC$20+L874*$AC$21+M874*$AC$22+N874*$AC$23+O874*$AC$24+P874*$AC$25+Q874*$AC$26+R874*$AC$27+S874*$AC$28+T874*$AC$29+U874*$AC$30</f>
        <v/>
      </c>
      <c r="W874" s="8">
        <f>1/(1+EXP(-V874))</f>
        <v/>
      </c>
      <c r="X874" s="9">
        <f>-IF(C874=1,LN(W874),LN(1-W874))</f>
        <v/>
      </c>
      <c r="Y874" s="10">
        <f>IF(W874&gt;$AC$33,1,0)</f>
        <v/>
      </c>
      <c r="Z874">
        <f>IF(Y874=C874,1,0)</f>
        <v/>
      </c>
    </row>
    <row r="875">
      <c r="A875">
        <f>'1 prepared data'!A868</f>
        <v/>
      </c>
      <c r="B875" s="5">
        <f>'1 prepared data'!U868</f>
        <v/>
      </c>
      <c r="C875">
        <f>'1 prepared data'!B868</f>
        <v/>
      </c>
      <c r="D875" s="7">
        <f>'1 prepared data'!C868</f>
        <v/>
      </c>
      <c r="E875" s="7">
        <f>'1 prepared data'!D868</f>
        <v/>
      </c>
      <c r="F875" s="7">
        <f>'1 prepared data'!E868</f>
        <v/>
      </c>
      <c r="G875" s="7">
        <f>'1 prepared data'!F868</f>
        <v/>
      </c>
      <c r="H875" s="7">
        <f>'1 prepared data'!G868</f>
        <v/>
      </c>
      <c r="I875" s="7">
        <f>'1 prepared data'!H868</f>
        <v/>
      </c>
      <c r="J875" s="7">
        <f>'1 prepared data'!I868</f>
        <v/>
      </c>
      <c r="K875" s="7">
        <f>'1 prepared data'!J868</f>
        <v/>
      </c>
      <c r="L875" s="7">
        <f>'1 prepared data'!K868</f>
        <v/>
      </c>
      <c r="M875" s="7">
        <f>'1 prepared data'!L868</f>
        <v/>
      </c>
      <c r="N875" s="7">
        <f>'1 prepared data'!M868</f>
        <v/>
      </c>
      <c r="O875" s="7">
        <f>'1 prepared data'!N868</f>
        <v/>
      </c>
      <c r="P875" s="7">
        <f>'1 prepared data'!O868</f>
        <v/>
      </c>
      <c r="Q875" s="7">
        <f>'1 prepared data'!P868</f>
        <v/>
      </c>
      <c r="R875" s="7">
        <f>'1 prepared data'!Q868</f>
        <v/>
      </c>
      <c r="S875" s="7">
        <f>'1 prepared data'!R868</f>
        <v/>
      </c>
      <c r="T875" s="7">
        <f>'1 prepared data'!S868</f>
        <v/>
      </c>
      <c r="U875" s="7">
        <f>'1 prepared data'!T868</f>
        <v/>
      </c>
      <c r="V875" s="8">
        <f>$AC$12+D875*$AC$13+E875*$AC$14+F875*$AC$15+G875*$AC$16+H875*$AC$17+I875*$AC$18+J875*$AC$19+K875*$AC$20+L875*$AC$21+M875*$AC$22+N875*$AC$23+O875*$AC$24+P875*$AC$25+Q875*$AC$26+R875*$AC$27+S875*$AC$28+T875*$AC$29+U875*$AC$30</f>
        <v/>
      </c>
      <c r="W875" s="8">
        <f>1/(1+EXP(-V875))</f>
        <v/>
      </c>
      <c r="X875" s="9">
        <f>-IF(C875=1,LN(W875),LN(1-W875))</f>
        <v/>
      </c>
      <c r="Y875" s="10">
        <f>IF(W875&gt;$AC$33,1,0)</f>
        <v/>
      </c>
      <c r="Z875">
        <f>IF(Y875=C875,1,0)</f>
        <v/>
      </c>
    </row>
    <row r="876">
      <c r="A876">
        <f>'1 prepared data'!A869</f>
        <v/>
      </c>
      <c r="B876" s="5">
        <f>'1 prepared data'!U869</f>
        <v/>
      </c>
      <c r="C876">
        <f>'1 prepared data'!B869</f>
        <v/>
      </c>
      <c r="D876" s="7">
        <f>'1 prepared data'!C869</f>
        <v/>
      </c>
      <c r="E876" s="7">
        <f>'1 prepared data'!D869</f>
        <v/>
      </c>
      <c r="F876" s="7">
        <f>'1 prepared data'!E869</f>
        <v/>
      </c>
      <c r="G876" s="7">
        <f>'1 prepared data'!F869</f>
        <v/>
      </c>
      <c r="H876" s="7">
        <f>'1 prepared data'!G869</f>
        <v/>
      </c>
      <c r="I876" s="7">
        <f>'1 prepared data'!H869</f>
        <v/>
      </c>
      <c r="J876" s="7">
        <f>'1 prepared data'!I869</f>
        <v/>
      </c>
      <c r="K876" s="7">
        <f>'1 prepared data'!J869</f>
        <v/>
      </c>
      <c r="L876" s="7">
        <f>'1 prepared data'!K869</f>
        <v/>
      </c>
      <c r="M876" s="7">
        <f>'1 prepared data'!L869</f>
        <v/>
      </c>
      <c r="N876" s="7">
        <f>'1 prepared data'!M869</f>
        <v/>
      </c>
      <c r="O876" s="7">
        <f>'1 prepared data'!N869</f>
        <v/>
      </c>
      <c r="P876" s="7">
        <f>'1 prepared data'!O869</f>
        <v/>
      </c>
      <c r="Q876" s="7">
        <f>'1 prepared data'!P869</f>
        <v/>
      </c>
      <c r="R876" s="7">
        <f>'1 prepared data'!Q869</f>
        <v/>
      </c>
      <c r="S876" s="7">
        <f>'1 prepared data'!R869</f>
        <v/>
      </c>
      <c r="T876" s="7">
        <f>'1 prepared data'!S869</f>
        <v/>
      </c>
      <c r="U876" s="7">
        <f>'1 prepared data'!T869</f>
        <v/>
      </c>
      <c r="V876" s="8">
        <f>$AC$12+D876*$AC$13+E876*$AC$14+F876*$AC$15+G876*$AC$16+H876*$AC$17+I876*$AC$18+J876*$AC$19+K876*$AC$20+L876*$AC$21+M876*$AC$22+N876*$AC$23+O876*$AC$24+P876*$AC$25+Q876*$AC$26+R876*$AC$27+S876*$AC$28+T876*$AC$29+U876*$AC$30</f>
        <v/>
      </c>
      <c r="W876" s="8">
        <f>1/(1+EXP(-V876))</f>
        <v/>
      </c>
      <c r="X876" s="9">
        <f>-IF(C876=1,LN(W876),LN(1-W876))</f>
        <v/>
      </c>
      <c r="Y876" s="10">
        <f>IF(W876&gt;$AC$33,1,0)</f>
        <v/>
      </c>
      <c r="Z876">
        <f>IF(Y876=C876,1,0)</f>
        <v/>
      </c>
    </row>
    <row r="877">
      <c r="A877">
        <f>'1 prepared data'!A870</f>
        <v/>
      </c>
      <c r="B877" s="5">
        <f>'1 prepared data'!U870</f>
        <v/>
      </c>
      <c r="C877">
        <f>'1 prepared data'!B870</f>
        <v/>
      </c>
      <c r="D877" s="7">
        <f>'1 prepared data'!C870</f>
        <v/>
      </c>
      <c r="E877" s="7">
        <f>'1 prepared data'!D870</f>
        <v/>
      </c>
      <c r="F877" s="7">
        <f>'1 prepared data'!E870</f>
        <v/>
      </c>
      <c r="G877" s="7">
        <f>'1 prepared data'!F870</f>
        <v/>
      </c>
      <c r="H877" s="7">
        <f>'1 prepared data'!G870</f>
        <v/>
      </c>
      <c r="I877" s="7">
        <f>'1 prepared data'!H870</f>
        <v/>
      </c>
      <c r="J877" s="7">
        <f>'1 prepared data'!I870</f>
        <v/>
      </c>
      <c r="K877" s="7">
        <f>'1 prepared data'!J870</f>
        <v/>
      </c>
      <c r="L877" s="7">
        <f>'1 prepared data'!K870</f>
        <v/>
      </c>
      <c r="M877" s="7">
        <f>'1 prepared data'!L870</f>
        <v/>
      </c>
      <c r="N877" s="7">
        <f>'1 prepared data'!M870</f>
        <v/>
      </c>
      <c r="O877" s="7">
        <f>'1 prepared data'!N870</f>
        <v/>
      </c>
      <c r="P877" s="7">
        <f>'1 prepared data'!O870</f>
        <v/>
      </c>
      <c r="Q877" s="7">
        <f>'1 prepared data'!P870</f>
        <v/>
      </c>
      <c r="R877" s="7">
        <f>'1 prepared data'!Q870</f>
        <v/>
      </c>
      <c r="S877" s="7">
        <f>'1 prepared data'!R870</f>
        <v/>
      </c>
      <c r="T877" s="7">
        <f>'1 prepared data'!S870</f>
        <v/>
      </c>
      <c r="U877" s="7">
        <f>'1 prepared data'!T870</f>
        <v/>
      </c>
      <c r="V877" s="8">
        <f>$AC$12+D877*$AC$13+E877*$AC$14+F877*$AC$15+G877*$AC$16+H877*$AC$17+I877*$AC$18+J877*$AC$19+K877*$AC$20+L877*$AC$21+M877*$AC$22+N877*$AC$23+O877*$AC$24+P877*$AC$25+Q877*$AC$26+R877*$AC$27+S877*$AC$28+T877*$AC$29+U877*$AC$30</f>
        <v/>
      </c>
      <c r="W877" s="8">
        <f>1/(1+EXP(-V877))</f>
        <v/>
      </c>
      <c r="X877" s="9">
        <f>-IF(C877=1,LN(W877),LN(1-W877))</f>
        <v/>
      </c>
      <c r="Y877" s="10">
        <f>IF(W877&gt;$AC$33,1,0)</f>
        <v/>
      </c>
      <c r="Z877">
        <f>IF(Y877=C877,1,0)</f>
        <v/>
      </c>
    </row>
    <row r="878">
      <c r="A878">
        <f>'1 prepared data'!A871</f>
        <v/>
      </c>
      <c r="B878" s="5">
        <f>'1 prepared data'!U871</f>
        <v/>
      </c>
      <c r="C878">
        <f>'1 prepared data'!B871</f>
        <v/>
      </c>
      <c r="D878" s="7">
        <f>'1 prepared data'!C871</f>
        <v/>
      </c>
      <c r="E878" s="7">
        <f>'1 prepared data'!D871</f>
        <v/>
      </c>
      <c r="F878" s="7">
        <f>'1 prepared data'!E871</f>
        <v/>
      </c>
      <c r="G878" s="7">
        <f>'1 prepared data'!F871</f>
        <v/>
      </c>
      <c r="H878" s="7">
        <f>'1 prepared data'!G871</f>
        <v/>
      </c>
      <c r="I878" s="7">
        <f>'1 prepared data'!H871</f>
        <v/>
      </c>
      <c r="J878" s="7">
        <f>'1 prepared data'!I871</f>
        <v/>
      </c>
      <c r="K878" s="7">
        <f>'1 prepared data'!J871</f>
        <v/>
      </c>
      <c r="L878" s="7">
        <f>'1 prepared data'!K871</f>
        <v/>
      </c>
      <c r="M878" s="7">
        <f>'1 prepared data'!L871</f>
        <v/>
      </c>
      <c r="N878" s="7">
        <f>'1 prepared data'!M871</f>
        <v/>
      </c>
      <c r="O878" s="7">
        <f>'1 prepared data'!N871</f>
        <v/>
      </c>
      <c r="P878" s="7">
        <f>'1 prepared data'!O871</f>
        <v/>
      </c>
      <c r="Q878" s="7">
        <f>'1 prepared data'!P871</f>
        <v/>
      </c>
      <c r="R878" s="7">
        <f>'1 prepared data'!Q871</f>
        <v/>
      </c>
      <c r="S878" s="7">
        <f>'1 prepared data'!R871</f>
        <v/>
      </c>
      <c r="T878" s="7">
        <f>'1 prepared data'!S871</f>
        <v/>
      </c>
      <c r="U878" s="7">
        <f>'1 prepared data'!T871</f>
        <v/>
      </c>
      <c r="V878" s="8">
        <f>$AC$12+D878*$AC$13+E878*$AC$14+F878*$AC$15+G878*$AC$16+H878*$AC$17+I878*$AC$18+J878*$AC$19+K878*$AC$20+L878*$AC$21+M878*$AC$22+N878*$AC$23+O878*$AC$24+P878*$AC$25+Q878*$AC$26+R878*$AC$27+S878*$AC$28+T878*$AC$29+U878*$AC$30</f>
        <v/>
      </c>
      <c r="W878" s="8">
        <f>1/(1+EXP(-V878))</f>
        <v/>
      </c>
      <c r="X878" s="9">
        <f>-IF(C878=1,LN(W878),LN(1-W878))</f>
        <v/>
      </c>
      <c r="Y878" s="10">
        <f>IF(W878&gt;$AC$33,1,0)</f>
        <v/>
      </c>
      <c r="Z878">
        <f>IF(Y878=C878,1,0)</f>
        <v/>
      </c>
    </row>
    <row r="879">
      <c r="A879">
        <f>'1 prepared data'!A872</f>
        <v/>
      </c>
      <c r="B879" s="5">
        <f>'1 prepared data'!U872</f>
        <v/>
      </c>
      <c r="C879">
        <f>'1 prepared data'!B872</f>
        <v/>
      </c>
      <c r="D879" s="7">
        <f>'1 prepared data'!C872</f>
        <v/>
      </c>
      <c r="E879" s="7">
        <f>'1 prepared data'!D872</f>
        <v/>
      </c>
      <c r="F879" s="7">
        <f>'1 prepared data'!E872</f>
        <v/>
      </c>
      <c r="G879" s="7">
        <f>'1 prepared data'!F872</f>
        <v/>
      </c>
      <c r="H879" s="7">
        <f>'1 prepared data'!G872</f>
        <v/>
      </c>
      <c r="I879" s="7">
        <f>'1 prepared data'!H872</f>
        <v/>
      </c>
      <c r="J879" s="7">
        <f>'1 prepared data'!I872</f>
        <v/>
      </c>
      <c r="K879" s="7">
        <f>'1 prepared data'!J872</f>
        <v/>
      </c>
      <c r="L879" s="7">
        <f>'1 prepared data'!K872</f>
        <v/>
      </c>
      <c r="M879" s="7">
        <f>'1 prepared data'!L872</f>
        <v/>
      </c>
      <c r="N879" s="7">
        <f>'1 prepared data'!M872</f>
        <v/>
      </c>
      <c r="O879" s="7">
        <f>'1 prepared data'!N872</f>
        <v/>
      </c>
      <c r="P879" s="7">
        <f>'1 prepared data'!O872</f>
        <v/>
      </c>
      <c r="Q879" s="7">
        <f>'1 prepared data'!P872</f>
        <v/>
      </c>
      <c r="R879" s="7">
        <f>'1 prepared data'!Q872</f>
        <v/>
      </c>
      <c r="S879" s="7">
        <f>'1 prepared data'!R872</f>
        <v/>
      </c>
      <c r="T879" s="7">
        <f>'1 prepared data'!S872</f>
        <v/>
      </c>
      <c r="U879" s="7">
        <f>'1 prepared data'!T872</f>
        <v/>
      </c>
      <c r="V879" s="8">
        <f>$AC$12+D879*$AC$13+E879*$AC$14+F879*$AC$15+G879*$AC$16+H879*$AC$17+I879*$AC$18+J879*$AC$19+K879*$AC$20+L879*$AC$21+M879*$AC$22+N879*$AC$23+O879*$AC$24+P879*$AC$25+Q879*$AC$26+R879*$AC$27+S879*$AC$28+T879*$AC$29+U879*$AC$30</f>
        <v/>
      </c>
      <c r="W879" s="8">
        <f>1/(1+EXP(-V879))</f>
        <v/>
      </c>
      <c r="X879" s="9">
        <f>-IF(C879=1,LN(W879),LN(1-W879))</f>
        <v/>
      </c>
      <c r="Y879" s="10">
        <f>IF(W879&gt;$AC$33,1,0)</f>
        <v/>
      </c>
      <c r="Z879">
        <f>IF(Y879=C879,1,0)</f>
        <v/>
      </c>
    </row>
    <row r="880">
      <c r="A880">
        <f>'1 prepared data'!A873</f>
        <v/>
      </c>
      <c r="B880" s="5">
        <f>'1 prepared data'!U873</f>
        <v/>
      </c>
      <c r="C880">
        <f>'1 prepared data'!B873</f>
        <v/>
      </c>
      <c r="D880" s="7">
        <f>'1 prepared data'!C873</f>
        <v/>
      </c>
      <c r="E880" s="7">
        <f>'1 prepared data'!D873</f>
        <v/>
      </c>
      <c r="F880" s="7">
        <f>'1 prepared data'!E873</f>
        <v/>
      </c>
      <c r="G880" s="7">
        <f>'1 prepared data'!F873</f>
        <v/>
      </c>
      <c r="H880" s="7">
        <f>'1 prepared data'!G873</f>
        <v/>
      </c>
      <c r="I880" s="7">
        <f>'1 prepared data'!H873</f>
        <v/>
      </c>
      <c r="J880" s="7">
        <f>'1 prepared data'!I873</f>
        <v/>
      </c>
      <c r="K880" s="7">
        <f>'1 prepared data'!J873</f>
        <v/>
      </c>
      <c r="L880" s="7">
        <f>'1 prepared data'!K873</f>
        <v/>
      </c>
      <c r="M880" s="7">
        <f>'1 prepared data'!L873</f>
        <v/>
      </c>
      <c r="N880" s="7">
        <f>'1 prepared data'!M873</f>
        <v/>
      </c>
      <c r="O880" s="7">
        <f>'1 prepared data'!N873</f>
        <v/>
      </c>
      <c r="P880" s="7">
        <f>'1 prepared data'!O873</f>
        <v/>
      </c>
      <c r="Q880" s="7">
        <f>'1 prepared data'!P873</f>
        <v/>
      </c>
      <c r="R880" s="7">
        <f>'1 prepared data'!Q873</f>
        <v/>
      </c>
      <c r="S880" s="7">
        <f>'1 prepared data'!R873</f>
        <v/>
      </c>
      <c r="T880" s="7">
        <f>'1 prepared data'!S873</f>
        <v/>
      </c>
      <c r="U880" s="7">
        <f>'1 prepared data'!T873</f>
        <v/>
      </c>
      <c r="V880" s="8">
        <f>$AC$12+D880*$AC$13+E880*$AC$14+F880*$AC$15+G880*$AC$16+H880*$AC$17+I880*$AC$18+J880*$AC$19+K880*$AC$20+L880*$AC$21+M880*$AC$22+N880*$AC$23+O880*$AC$24+P880*$AC$25+Q880*$AC$26+R880*$AC$27+S880*$AC$28+T880*$AC$29+U880*$AC$30</f>
        <v/>
      </c>
      <c r="W880" s="8">
        <f>1/(1+EXP(-V880))</f>
        <v/>
      </c>
      <c r="X880" s="9">
        <f>-IF(C880=1,LN(W880),LN(1-W880))</f>
        <v/>
      </c>
      <c r="Y880" s="10">
        <f>IF(W880&gt;$AC$33,1,0)</f>
        <v/>
      </c>
      <c r="Z880">
        <f>IF(Y880=C880,1,0)</f>
        <v/>
      </c>
    </row>
    <row r="881">
      <c r="A881">
        <f>'1 prepared data'!A874</f>
        <v/>
      </c>
      <c r="B881" s="5">
        <f>'1 prepared data'!U874</f>
        <v/>
      </c>
      <c r="C881">
        <f>'1 prepared data'!B874</f>
        <v/>
      </c>
      <c r="D881" s="7">
        <f>'1 prepared data'!C874</f>
        <v/>
      </c>
      <c r="E881" s="7">
        <f>'1 prepared data'!D874</f>
        <v/>
      </c>
      <c r="F881" s="7">
        <f>'1 prepared data'!E874</f>
        <v/>
      </c>
      <c r="G881" s="7">
        <f>'1 prepared data'!F874</f>
        <v/>
      </c>
      <c r="H881" s="7">
        <f>'1 prepared data'!G874</f>
        <v/>
      </c>
      <c r="I881" s="7">
        <f>'1 prepared data'!H874</f>
        <v/>
      </c>
      <c r="J881" s="7">
        <f>'1 prepared data'!I874</f>
        <v/>
      </c>
      <c r="K881" s="7">
        <f>'1 prepared data'!J874</f>
        <v/>
      </c>
      <c r="L881" s="7">
        <f>'1 prepared data'!K874</f>
        <v/>
      </c>
      <c r="M881" s="7">
        <f>'1 prepared data'!L874</f>
        <v/>
      </c>
      <c r="N881" s="7">
        <f>'1 prepared data'!M874</f>
        <v/>
      </c>
      <c r="O881" s="7">
        <f>'1 prepared data'!N874</f>
        <v/>
      </c>
      <c r="P881" s="7">
        <f>'1 prepared data'!O874</f>
        <v/>
      </c>
      <c r="Q881" s="7">
        <f>'1 prepared data'!P874</f>
        <v/>
      </c>
      <c r="R881" s="7">
        <f>'1 prepared data'!Q874</f>
        <v/>
      </c>
      <c r="S881" s="7">
        <f>'1 prepared data'!R874</f>
        <v/>
      </c>
      <c r="T881" s="7">
        <f>'1 prepared data'!S874</f>
        <v/>
      </c>
      <c r="U881" s="7">
        <f>'1 prepared data'!T874</f>
        <v/>
      </c>
      <c r="V881" s="8">
        <f>$AC$12+D881*$AC$13+E881*$AC$14+F881*$AC$15+G881*$AC$16+H881*$AC$17+I881*$AC$18+J881*$AC$19+K881*$AC$20+L881*$AC$21+M881*$AC$22+N881*$AC$23+O881*$AC$24+P881*$AC$25+Q881*$AC$26+R881*$AC$27+S881*$AC$28+T881*$AC$29+U881*$AC$30</f>
        <v/>
      </c>
      <c r="W881" s="8">
        <f>1/(1+EXP(-V881))</f>
        <v/>
      </c>
      <c r="X881" s="9">
        <f>-IF(C881=1,LN(W881),LN(1-W881))</f>
        <v/>
      </c>
      <c r="Y881" s="10">
        <f>IF(W881&gt;$AC$33,1,0)</f>
        <v/>
      </c>
      <c r="Z881">
        <f>IF(Y881=C881,1,0)</f>
        <v/>
      </c>
    </row>
    <row r="882">
      <c r="A882">
        <f>'1 prepared data'!A875</f>
        <v/>
      </c>
      <c r="B882" s="5">
        <f>'1 prepared data'!U875</f>
        <v/>
      </c>
      <c r="C882">
        <f>'1 prepared data'!B875</f>
        <v/>
      </c>
      <c r="D882" s="7">
        <f>'1 prepared data'!C875</f>
        <v/>
      </c>
      <c r="E882" s="7">
        <f>'1 prepared data'!D875</f>
        <v/>
      </c>
      <c r="F882" s="7">
        <f>'1 prepared data'!E875</f>
        <v/>
      </c>
      <c r="G882" s="7">
        <f>'1 prepared data'!F875</f>
        <v/>
      </c>
      <c r="H882" s="7">
        <f>'1 prepared data'!G875</f>
        <v/>
      </c>
      <c r="I882" s="7">
        <f>'1 prepared data'!H875</f>
        <v/>
      </c>
      <c r="J882" s="7">
        <f>'1 prepared data'!I875</f>
        <v/>
      </c>
      <c r="K882" s="7">
        <f>'1 prepared data'!J875</f>
        <v/>
      </c>
      <c r="L882" s="7">
        <f>'1 prepared data'!K875</f>
        <v/>
      </c>
      <c r="M882" s="7">
        <f>'1 prepared data'!L875</f>
        <v/>
      </c>
      <c r="N882" s="7">
        <f>'1 prepared data'!M875</f>
        <v/>
      </c>
      <c r="O882" s="7">
        <f>'1 prepared data'!N875</f>
        <v/>
      </c>
      <c r="P882" s="7">
        <f>'1 prepared data'!O875</f>
        <v/>
      </c>
      <c r="Q882" s="7">
        <f>'1 prepared data'!P875</f>
        <v/>
      </c>
      <c r="R882" s="7">
        <f>'1 prepared data'!Q875</f>
        <v/>
      </c>
      <c r="S882" s="7">
        <f>'1 prepared data'!R875</f>
        <v/>
      </c>
      <c r="T882" s="7">
        <f>'1 prepared data'!S875</f>
        <v/>
      </c>
      <c r="U882" s="7">
        <f>'1 prepared data'!T875</f>
        <v/>
      </c>
      <c r="V882" s="8">
        <f>$AC$12+D882*$AC$13+E882*$AC$14+F882*$AC$15+G882*$AC$16+H882*$AC$17+I882*$AC$18+J882*$AC$19+K882*$AC$20+L882*$AC$21+M882*$AC$22+N882*$AC$23+O882*$AC$24+P882*$AC$25+Q882*$AC$26+R882*$AC$27+S882*$AC$28+T882*$AC$29+U882*$AC$30</f>
        <v/>
      </c>
      <c r="W882" s="8">
        <f>1/(1+EXP(-V882))</f>
        <v/>
      </c>
      <c r="X882" s="9">
        <f>-IF(C882=1,LN(W882),LN(1-W882))</f>
        <v/>
      </c>
      <c r="Y882" s="10">
        <f>IF(W882&gt;$AC$33,1,0)</f>
        <v/>
      </c>
      <c r="Z882">
        <f>IF(Y882=C882,1,0)</f>
        <v/>
      </c>
    </row>
    <row r="883">
      <c r="A883">
        <f>'1 prepared data'!A876</f>
        <v/>
      </c>
      <c r="B883" s="5">
        <f>'1 prepared data'!U876</f>
        <v/>
      </c>
      <c r="C883">
        <f>'1 prepared data'!B876</f>
        <v/>
      </c>
      <c r="D883" s="7">
        <f>'1 prepared data'!C876</f>
        <v/>
      </c>
      <c r="E883" s="7">
        <f>'1 prepared data'!D876</f>
        <v/>
      </c>
      <c r="F883" s="7">
        <f>'1 prepared data'!E876</f>
        <v/>
      </c>
      <c r="G883" s="7">
        <f>'1 prepared data'!F876</f>
        <v/>
      </c>
      <c r="H883" s="7">
        <f>'1 prepared data'!G876</f>
        <v/>
      </c>
      <c r="I883" s="7">
        <f>'1 prepared data'!H876</f>
        <v/>
      </c>
      <c r="J883" s="7">
        <f>'1 prepared data'!I876</f>
        <v/>
      </c>
      <c r="K883" s="7">
        <f>'1 prepared data'!J876</f>
        <v/>
      </c>
      <c r="L883" s="7">
        <f>'1 prepared data'!K876</f>
        <v/>
      </c>
      <c r="M883" s="7">
        <f>'1 prepared data'!L876</f>
        <v/>
      </c>
      <c r="N883" s="7">
        <f>'1 prepared data'!M876</f>
        <v/>
      </c>
      <c r="O883" s="7">
        <f>'1 prepared data'!N876</f>
        <v/>
      </c>
      <c r="P883" s="7">
        <f>'1 prepared data'!O876</f>
        <v/>
      </c>
      <c r="Q883" s="7">
        <f>'1 prepared data'!P876</f>
        <v/>
      </c>
      <c r="R883" s="7">
        <f>'1 prepared data'!Q876</f>
        <v/>
      </c>
      <c r="S883" s="7">
        <f>'1 prepared data'!R876</f>
        <v/>
      </c>
      <c r="T883" s="7">
        <f>'1 prepared data'!S876</f>
        <v/>
      </c>
      <c r="U883" s="7">
        <f>'1 prepared data'!T876</f>
        <v/>
      </c>
      <c r="V883" s="8">
        <f>$AC$12+D883*$AC$13+E883*$AC$14+F883*$AC$15+G883*$AC$16+H883*$AC$17+I883*$AC$18+J883*$AC$19+K883*$AC$20+L883*$AC$21+M883*$AC$22+N883*$AC$23+O883*$AC$24+P883*$AC$25+Q883*$AC$26+R883*$AC$27+S883*$AC$28+T883*$AC$29+U883*$AC$30</f>
        <v/>
      </c>
      <c r="W883" s="8">
        <f>1/(1+EXP(-V883))</f>
        <v/>
      </c>
      <c r="X883" s="9">
        <f>-IF(C883=1,LN(W883),LN(1-W883))</f>
        <v/>
      </c>
      <c r="Y883" s="10">
        <f>IF(W883&gt;$AC$33,1,0)</f>
        <v/>
      </c>
      <c r="Z883">
        <f>IF(Y883=C883,1,0)</f>
        <v/>
      </c>
    </row>
    <row r="884">
      <c r="A884">
        <f>'1 prepared data'!A877</f>
        <v/>
      </c>
      <c r="B884" s="5">
        <f>'1 prepared data'!U877</f>
        <v/>
      </c>
      <c r="C884">
        <f>'1 prepared data'!B877</f>
        <v/>
      </c>
      <c r="D884" s="7">
        <f>'1 prepared data'!C877</f>
        <v/>
      </c>
      <c r="E884" s="7">
        <f>'1 prepared data'!D877</f>
        <v/>
      </c>
      <c r="F884" s="7">
        <f>'1 prepared data'!E877</f>
        <v/>
      </c>
      <c r="G884" s="7">
        <f>'1 prepared data'!F877</f>
        <v/>
      </c>
      <c r="H884" s="7">
        <f>'1 prepared data'!G877</f>
        <v/>
      </c>
      <c r="I884" s="7">
        <f>'1 prepared data'!H877</f>
        <v/>
      </c>
      <c r="J884" s="7">
        <f>'1 prepared data'!I877</f>
        <v/>
      </c>
      <c r="K884" s="7">
        <f>'1 prepared data'!J877</f>
        <v/>
      </c>
      <c r="L884" s="7">
        <f>'1 prepared data'!K877</f>
        <v/>
      </c>
      <c r="M884" s="7">
        <f>'1 prepared data'!L877</f>
        <v/>
      </c>
      <c r="N884" s="7">
        <f>'1 prepared data'!M877</f>
        <v/>
      </c>
      <c r="O884" s="7">
        <f>'1 prepared data'!N877</f>
        <v/>
      </c>
      <c r="P884" s="7">
        <f>'1 prepared data'!O877</f>
        <v/>
      </c>
      <c r="Q884" s="7">
        <f>'1 prepared data'!P877</f>
        <v/>
      </c>
      <c r="R884" s="7">
        <f>'1 prepared data'!Q877</f>
        <v/>
      </c>
      <c r="S884" s="7">
        <f>'1 prepared data'!R877</f>
        <v/>
      </c>
      <c r="T884" s="7">
        <f>'1 prepared data'!S877</f>
        <v/>
      </c>
      <c r="U884" s="7">
        <f>'1 prepared data'!T877</f>
        <v/>
      </c>
      <c r="V884" s="8">
        <f>$AC$12+D884*$AC$13+E884*$AC$14+F884*$AC$15+G884*$AC$16+H884*$AC$17+I884*$AC$18+J884*$AC$19+K884*$AC$20+L884*$AC$21+M884*$AC$22+N884*$AC$23+O884*$AC$24+P884*$AC$25+Q884*$AC$26+R884*$AC$27+S884*$AC$28+T884*$AC$29+U884*$AC$30</f>
        <v/>
      </c>
      <c r="W884" s="8">
        <f>1/(1+EXP(-V884))</f>
        <v/>
      </c>
      <c r="X884" s="9">
        <f>-IF(C884=1,LN(W884),LN(1-W884))</f>
        <v/>
      </c>
      <c r="Y884" s="10">
        <f>IF(W884&gt;$AC$33,1,0)</f>
        <v/>
      </c>
      <c r="Z884">
        <f>IF(Y884=C884,1,0)</f>
        <v/>
      </c>
    </row>
    <row r="885">
      <c r="A885">
        <f>'1 prepared data'!A878</f>
        <v/>
      </c>
      <c r="B885" s="5">
        <f>'1 prepared data'!U878</f>
        <v/>
      </c>
      <c r="C885">
        <f>'1 prepared data'!B878</f>
        <v/>
      </c>
      <c r="D885" s="7">
        <f>'1 prepared data'!C878</f>
        <v/>
      </c>
      <c r="E885" s="7">
        <f>'1 prepared data'!D878</f>
        <v/>
      </c>
      <c r="F885" s="7">
        <f>'1 prepared data'!E878</f>
        <v/>
      </c>
      <c r="G885" s="7">
        <f>'1 prepared data'!F878</f>
        <v/>
      </c>
      <c r="H885" s="7">
        <f>'1 prepared data'!G878</f>
        <v/>
      </c>
      <c r="I885" s="7">
        <f>'1 prepared data'!H878</f>
        <v/>
      </c>
      <c r="J885" s="7">
        <f>'1 prepared data'!I878</f>
        <v/>
      </c>
      <c r="K885" s="7">
        <f>'1 prepared data'!J878</f>
        <v/>
      </c>
      <c r="L885" s="7">
        <f>'1 prepared data'!K878</f>
        <v/>
      </c>
      <c r="M885" s="7">
        <f>'1 prepared data'!L878</f>
        <v/>
      </c>
      <c r="N885" s="7">
        <f>'1 prepared data'!M878</f>
        <v/>
      </c>
      <c r="O885" s="7">
        <f>'1 prepared data'!N878</f>
        <v/>
      </c>
      <c r="P885" s="7">
        <f>'1 prepared data'!O878</f>
        <v/>
      </c>
      <c r="Q885" s="7">
        <f>'1 prepared data'!P878</f>
        <v/>
      </c>
      <c r="R885" s="7">
        <f>'1 prepared data'!Q878</f>
        <v/>
      </c>
      <c r="S885" s="7">
        <f>'1 prepared data'!R878</f>
        <v/>
      </c>
      <c r="T885" s="7">
        <f>'1 prepared data'!S878</f>
        <v/>
      </c>
      <c r="U885" s="7">
        <f>'1 prepared data'!T878</f>
        <v/>
      </c>
      <c r="V885" s="8">
        <f>$AC$12+D885*$AC$13+E885*$AC$14+F885*$AC$15+G885*$AC$16+H885*$AC$17+I885*$AC$18+J885*$AC$19+K885*$AC$20+L885*$AC$21+M885*$AC$22+N885*$AC$23+O885*$AC$24+P885*$AC$25+Q885*$AC$26+R885*$AC$27+S885*$AC$28+T885*$AC$29+U885*$AC$30</f>
        <v/>
      </c>
      <c r="W885" s="8">
        <f>1/(1+EXP(-V885))</f>
        <v/>
      </c>
      <c r="X885" s="9">
        <f>-IF(C885=1,LN(W885),LN(1-W885))</f>
        <v/>
      </c>
      <c r="Y885" s="10">
        <f>IF(W885&gt;$AC$33,1,0)</f>
        <v/>
      </c>
      <c r="Z885">
        <f>IF(Y885=C885,1,0)</f>
        <v/>
      </c>
    </row>
    <row r="886">
      <c r="A886">
        <f>'1 prepared data'!A879</f>
        <v/>
      </c>
      <c r="B886" s="5">
        <f>'1 prepared data'!U879</f>
        <v/>
      </c>
      <c r="C886">
        <f>'1 prepared data'!B879</f>
        <v/>
      </c>
      <c r="D886" s="7">
        <f>'1 prepared data'!C879</f>
        <v/>
      </c>
      <c r="E886" s="7">
        <f>'1 prepared data'!D879</f>
        <v/>
      </c>
      <c r="F886" s="7">
        <f>'1 prepared data'!E879</f>
        <v/>
      </c>
      <c r="G886" s="7">
        <f>'1 prepared data'!F879</f>
        <v/>
      </c>
      <c r="H886" s="7">
        <f>'1 prepared data'!G879</f>
        <v/>
      </c>
      <c r="I886" s="7">
        <f>'1 prepared data'!H879</f>
        <v/>
      </c>
      <c r="J886" s="7">
        <f>'1 prepared data'!I879</f>
        <v/>
      </c>
      <c r="K886" s="7">
        <f>'1 prepared data'!J879</f>
        <v/>
      </c>
      <c r="L886" s="7">
        <f>'1 prepared data'!K879</f>
        <v/>
      </c>
      <c r="M886" s="7">
        <f>'1 prepared data'!L879</f>
        <v/>
      </c>
      <c r="N886" s="7">
        <f>'1 prepared data'!M879</f>
        <v/>
      </c>
      <c r="O886" s="7">
        <f>'1 prepared data'!N879</f>
        <v/>
      </c>
      <c r="P886" s="7">
        <f>'1 prepared data'!O879</f>
        <v/>
      </c>
      <c r="Q886" s="7">
        <f>'1 prepared data'!P879</f>
        <v/>
      </c>
      <c r="R886" s="7">
        <f>'1 prepared data'!Q879</f>
        <v/>
      </c>
      <c r="S886" s="7">
        <f>'1 prepared data'!R879</f>
        <v/>
      </c>
      <c r="T886" s="7">
        <f>'1 prepared data'!S879</f>
        <v/>
      </c>
      <c r="U886" s="7">
        <f>'1 prepared data'!T879</f>
        <v/>
      </c>
      <c r="V886" s="8">
        <f>$AC$12+D886*$AC$13+E886*$AC$14+F886*$AC$15+G886*$AC$16+H886*$AC$17+I886*$AC$18+J886*$AC$19+K886*$AC$20+L886*$AC$21+M886*$AC$22+N886*$AC$23+O886*$AC$24+P886*$AC$25+Q886*$AC$26+R886*$AC$27+S886*$AC$28+T886*$AC$29+U886*$AC$30</f>
        <v/>
      </c>
      <c r="W886" s="8">
        <f>1/(1+EXP(-V886))</f>
        <v/>
      </c>
      <c r="X886" s="9">
        <f>-IF(C886=1,LN(W886),LN(1-W886))</f>
        <v/>
      </c>
      <c r="Y886" s="10">
        <f>IF(W886&gt;$AC$33,1,0)</f>
        <v/>
      </c>
      <c r="Z886">
        <f>IF(Y886=C886,1,0)</f>
        <v/>
      </c>
    </row>
    <row r="887">
      <c r="A887">
        <f>'1 prepared data'!A880</f>
        <v/>
      </c>
      <c r="B887" s="5">
        <f>'1 prepared data'!U880</f>
        <v/>
      </c>
      <c r="C887">
        <f>'1 prepared data'!B880</f>
        <v/>
      </c>
      <c r="D887" s="7">
        <f>'1 prepared data'!C880</f>
        <v/>
      </c>
      <c r="E887" s="7">
        <f>'1 prepared data'!D880</f>
        <v/>
      </c>
      <c r="F887" s="7">
        <f>'1 prepared data'!E880</f>
        <v/>
      </c>
      <c r="G887" s="7">
        <f>'1 prepared data'!F880</f>
        <v/>
      </c>
      <c r="H887" s="7">
        <f>'1 prepared data'!G880</f>
        <v/>
      </c>
      <c r="I887" s="7">
        <f>'1 prepared data'!H880</f>
        <v/>
      </c>
      <c r="J887" s="7">
        <f>'1 prepared data'!I880</f>
        <v/>
      </c>
      <c r="K887" s="7">
        <f>'1 prepared data'!J880</f>
        <v/>
      </c>
      <c r="L887" s="7">
        <f>'1 prepared data'!K880</f>
        <v/>
      </c>
      <c r="M887" s="7">
        <f>'1 prepared data'!L880</f>
        <v/>
      </c>
      <c r="N887" s="7">
        <f>'1 prepared data'!M880</f>
        <v/>
      </c>
      <c r="O887" s="7">
        <f>'1 prepared data'!N880</f>
        <v/>
      </c>
      <c r="P887" s="7">
        <f>'1 prepared data'!O880</f>
        <v/>
      </c>
      <c r="Q887" s="7">
        <f>'1 prepared data'!P880</f>
        <v/>
      </c>
      <c r="R887" s="7">
        <f>'1 prepared data'!Q880</f>
        <v/>
      </c>
      <c r="S887" s="7">
        <f>'1 prepared data'!R880</f>
        <v/>
      </c>
      <c r="T887" s="7">
        <f>'1 prepared data'!S880</f>
        <v/>
      </c>
      <c r="U887" s="7">
        <f>'1 prepared data'!T880</f>
        <v/>
      </c>
      <c r="V887" s="8">
        <f>$AC$12+D887*$AC$13+E887*$AC$14+F887*$AC$15+G887*$AC$16+H887*$AC$17+I887*$AC$18+J887*$AC$19+K887*$AC$20+L887*$AC$21+M887*$AC$22+N887*$AC$23+O887*$AC$24+P887*$AC$25+Q887*$AC$26+R887*$AC$27+S887*$AC$28+T887*$AC$29+U887*$AC$30</f>
        <v/>
      </c>
      <c r="W887" s="8">
        <f>1/(1+EXP(-V887))</f>
        <v/>
      </c>
      <c r="X887" s="9">
        <f>-IF(C887=1,LN(W887),LN(1-W887))</f>
        <v/>
      </c>
      <c r="Y887" s="10">
        <f>IF(W887&gt;$AC$33,1,0)</f>
        <v/>
      </c>
      <c r="Z887">
        <f>IF(Y887=C887,1,0)</f>
        <v/>
      </c>
    </row>
    <row r="888">
      <c r="A888">
        <f>'1 prepared data'!A881</f>
        <v/>
      </c>
      <c r="B888" s="5">
        <f>'1 prepared data'!U881</f>
        <v/>
      </c>
      <c r="C888">
        <f>'1 prepared data'!B881</f>
        <v/>
      </c>
      <c r="D888" s="7">
        <f>'1 prepared data'!C881</f>
        <v/>
      </c>
      <c r="E888" s="7">
        <f>'1 prepared data'!D881</f>
        <v/>
      </c>
      <c r="F888" s="7">
        <f>'1 prepared data'!E881</f>
        <v/>
      </c>
      <c r="G888" s="7">
        <f>'1 prepared data'!F881</f>
        <v/>
      </c>
      <c r="H888" s="7">
        <f>'1 prepared data'!G881</f>
        <v/>
      </c>
      <c r="I888" s="7">
        <f>'1 prepared data'!H881</f>
        <v/>
      </c>
      <c r="J888" s="7">
        <f>'1 prepared data'!I881</f>
        <v/>
      </c>
      <c r="K888" s="7">
        <f>'1 prepared data'!J881</f>
        <v/>
      </c>
      <c r="L888" s="7">
        <f>'1 prepared data'!K881</f>
        <v/>
      </c>
      <c r="M888" s="7">
        <f>'1 prepared data'!L881</f>
        <v/>
      </c>
      <c r="N888" s="7">
        <f>'1 prepared data'!M881</f>
        <v/>
      </c>
      <c r="O888" s="7">
        <f>'1 prepared data'!N881</f>
        <v/>
      </c>
      <c r="P888" s="7">
        <f>'1 prepared data'!O881</f>
        <v/>
      </c>
      <c r="Q888" s="7">
        <f>'1 prepared data'!P881</f>
        <v/>
      </c>
      <c r="R888" s="7">
        <f>'1 prepared data'!Q881</f>
        <v/>
      </c>
      <c r="S888" s="7">
        <f>'1 prepared data'!R881</f>
        <v/>
      </c>
      <c r="T888" s="7">
        <f>'1 prepared data'!S881</f>
        <v/>
      </c>
      <c r="U888" s="7">
        <f>'1 prepared data'!T881</f>
        <v/>
      </c>
      <c r="V888" s="8">
        <f>$AC$12+D888*$AC$13+E888*$AC$14+F888*$AC$15+G888*$AC$16+H888*$AC$17+I888*$AC$18+J888*$AC$19+K888*$AC$20+L888*$AC$21+M888*$AC$22+N888*$AC$23+O888*$AC$24+P888*$AC$25+Q888*$AC$26+R888*$AC$27+S888*$AC$28+T888*$AC$29+U888*$AC$30</f>
        <v/>
      </c>
      <c r="W888" s="8">
        <f>1/(1+EXP(-V888))</f>
        <v/>
      </c>
      <c r="X888" s="9">
        <f>-IF(C888=1,LN(W888),LN(1-W888))</f>
        <v/>
      </c>
      <c r="Y888" s="10">
        <f>IF(W888&gt;$AC$33,1,0)</f>
        <v/>
      </c>
      <c r="Z888">
        <f>IF(Y888=C888,1,0)</f>
        <v/>
      </c>
    </row>
    <row r="889">
      <c r="A889">
        <f>'1 prepared data'!A882</f>
        <v/>
      </c>
      <c r="B889" s="5">
        <f>'1 prepared data'!U882</f>
        <v/>
      </c>
      <c r="C889">
        <f>'1 prepared data'!B882</f>
        <v/>
      </c>
      <c r="D889" s="7">
        <f>'1 prepared data'!C882</f>
        <v/>
      </c>
      <c r="E889" s="7">
        <f>'1 prepared data'!D882</f>
        <v/>
      </c>
      <c r="F889" s="7">
        <f>'1 prepared data'!E882</f>
        <v/>
      </c>
      <c r="G889" s="7">
        <f>'1 prepared data'!F882</f>
        <v/>
      </c>
      <c r="H889" s="7">
        <f>'1 prepared data'!G882</f>
        <v/>
      </c>
      <c r="I889" s="7">
        <f>'1 prepared data'!H882</f>
        <v/>
      </c>
      <c r="J889" s="7">
        <f>'1 prepared data'!I882</f>
        <v/>
      </c>
      <c r="K889" s="7">
        <f>'1 prepared data'!J882</f>
        <v/>
      </c>
      <c r="L889" s="7">
        <f>'1 prepared data'!K882</f>
        <v/>
      </c>
      <c r="M889" s="7">
        <f>'1 prepared data'!L882</f>
        <v/>
      </c>
      <c r="N889" s="7">
        <f>'1 prepared data'!M882</f>
        <v/>
      </c>
      <c r="O889" s="7">
        <f>'1 prepared data'!N882</f>
        <v/>
      </c>
      <c r="P889" s="7">
        <f>'1 prepared data'!O882</f>
        <v/>
      </c>
      <c r="Q889" s="7">
        <f>'1 prepared data'!P882</f>
        <v/>
      </c>
      <c r="R889" s="7">
        <f>'1 prepared data'!Q882</f>
        <v/>
      </c>
      <c r="S889" s="7">
        <f>'1 prepared data'!R882</f>
        <v/>
      </c>
      <c r="T889" s="7">
        <f>'1 prepared data'!S882</f>
        <v/>
      </c>
      <c r="U889" s="7">
        <f>'1 prepared data'!T882</f>
        <v/>
      </c>
      <c r="V889" s="8">
        <f>$AC$12+D889*$AC$13+E889*$AC$14+F889*$AC$15+G889*$AC$16+H889*$AC$17+I889*$AC$18+J889*$AC$19+K889*$AC$20+L889*$AC$21+M889*$AC$22+N889*$AC$23+O889*$AC$24+P889*$AC$25+Q889*$AC$26+R889*$AC$27+S889*$AC$28+T889*$AC$29+U889*$AC$30</f>
        <v/>
      </c>
      <c r="W889" s="8">
        <f>1/(1+EXP(-V889))</f>
        <v/>
      </c>
      <c r="X889" s="9">
        <f>-IF(C889=1,LN(W889),LN(1-W889))</f>
        <v/>
      </c>
      <c r="Y889" s="10">
        <f>IF(W889&gt;$AC$33,1,0)</f>
        <v/>
      </c>
      <c r="Z889">
        <f>IF(Y889=C889,1,0)</f>
        <v/>
      </c>
    </row>
    <row r="890">
      <c r="A890">
        <f>'1 prepared data'!A883</f>
        <v/>
      </c>
      <c r="B890" s="5">
        <f>'1 prepared data'!U883</f>
        <v/>
      </c>
      <c r="C890">
        <f>'1 prepared data'!B883</f>
        <v/>
      </c>
      <c r="D890" s="7">
        <f>'1 prepared data'!C883</f>
        <v/>
      </c>
      <c r="E890" s="7">
        <f>'1 prepared data'!D883</f>
        <v/>
      </c>
      <c r="F890" s="7">
        <f>'1 prepared data'!E883</f>
        <v/>
      </c>
      <c r="G890" s="7">
        <f>'1 prepared data'!F883</f>
        <v/>
      </c>
      <c r="H890" s="7">
        <f>'1 prepared data'!G883</f>
        <v/>
      </c>
      <c r="I890" s="7">
        <f>'1 prepared data'!H883</f>
        <v/>
      </c>
      <c r="J890" s="7">
        <f>'1 prepared data'!I883</f>
        <v/>
      </c>
      <c r="K890" s="7">
        <f>'1 prepared data'!J883</f>
        <v/>
      </c>
      <c r="L890" s="7">
        <f>'1 prepared data'!K883</f>
        <v/>
      </c>
      <c r="M890" s="7">
        <f>'1 prepared data'!L883</f>
        <v/>
      </c>
      <c r="N890" s="7">
        <f>'1 prepared data'!M883</f>
        <v/>
      </c>
      <c r="O890" s="7">
        <f>'1 prepared data'!N883</f>
        <v/>
      </c>
      <c r="P890" s="7">
        <f>'1 prepared data'!O883</f>
        <v/>
      </c>
      <c r="Q890" s="7">
        <f>'1 prepared data'!P883</f>
        <v/>
      </c>
      <c r="R890" s="7">
        <f>'1 prepared data'!Q883</f>
        <v/>
      </c>
      <c r="S890" s="7">
        <f>'1 prepared data'!R883</f>
        <v/>
      </c>
      <c r="T890" s="7">
        <f>'1 prepared data'!S883</f>
        <v/>
      </c>
      <c r="U890" s="7">
        <f>'1 prepared data'!T883</f>
        <v/>
      </c>
      <c r="V890" s="8">
        <f>$AC$12+D890*$AC$13+E890*$AC$14+F890*$AC$15+G890*$AC$16+H890*$AC$17+I890*$AC$18+J890*$AC$19+K890*$AC$20+L890*$AC$21+M890*$AC$22+N890*$AC$23+O890*$AC$24+P890*$AC$25+Q890*$AC$26+R890*$AC$27+S890*$AC$28+T890*$AC$29+U890*$AC$30</f>
        <v/>
      </c>
      <c r="W890" s="8">
        <f>1/(1+EXP(-V890))</f>
        <v/>
      </c>
      <c r="X890" s="9">
        <f>-IF(C890=1,LN(W890),LN(1-W890))</f>
        <v/>
      </c>
      <c r="Y890" s="10">
        <f>IF(W890&gt;$AC$33,1,0)</f>
        <v/>
      </c>
      <c r="Z890">
        <f>IF(Y890=C890,1,0)</f>
        <v/>
      </c>
    </row>
    <row r="891">
      <c r="A891">
        <f>'1 prepared data'!A884</f>
        <v/>
      </c>
      <c r="B891" s="5">
        <f>'1 prepared data'!U884</f>
        <v/>
      </c>
      <c r="C891">
        <f>'1 prepared data'!B884</f>
        <v/>
      </c>
      <c r="D891" s="7">
        <f>'1 prepared data'!C884</f>
        <v/>
      </c>
      <c r="E891" s="7">
        <f>'1 prepared data'!D884</f>
        <v/>
      </c>
      <c r="F891" s="7">
        <f>'1 prepared data'!E884</f>
        <v/>
      </c>
      <c r="G891" s="7">
        <f>'1 prepared data'!F884</f>
        <v/>
      </c>
      <c r="H891" s="7">
        <f>'1 prepared data'!G884</f>
        <v/>
      </c>
      <c r="I891" s="7">
        <f>'1 prepared data'!H884</f>
        <v/>
      </c>
      <c r="J891" s="7">
        <f>'1 prepared data'!I884</f>
        <v/>
      </c>
      <c r="K891" s="7">
        <f>'1 prepared data'!J884</f>
        <v/>
      </c>
      <c r="L891" s="7">
        <f>'1 prepared data'!K884</f>
        <v/>
      </c>
      <c r="M891" s="7">
        <f>'1 prepared data'!L884</f>
        <v/>
      </c>
      <c r="N891" s="7">
        <f>'1 prepared data'!M884</f>
        <v/>
      </c>
      <c r="O891" s="7">
        <f>'1 prepared data'!N884</f>
        <v/>
      </c>
      <c r="P891" s="7">
        <f>'1 prepared data'!O884</f>
        <v/>
      </c>
      <c r="Q891" s="7">
        <f>'1 prepared data'!P884</f>
        <v/>
      </c>
      <c r="R891" s="7">
        <f>'1 prepared data'!Q884</f>
        <v/>
      </c>
      <c r="S891" s="7">
        <f>'1 prepared data'!R884</f>
        <v/>
      </c>
      <c r="T891" s="7">
        <f>'1 prepared data'!S884</f>
        <v/>
      </c>
      <c r="U891" s="7">
        <f>'1 prepared data'!T884</f>
        <v/>
      </c>
      <c r="V891" s="8">
        <f>$AC$12+D891*$AC$13+E891*$AC$14+F891*$AC$15+G891*$AC$16+H891*$AC$17+I891*$AC$18+J891*$AC$19+K891*$AC$20+L891*$AC$21+M891*$AC$22+N891*$AC$23+O891*$AC$24+P891*$AC$25+Q891*$AC$26+R891*$AC$27+S891*$AC$28+T891*$AC$29+U891*$AC$30</f>
        <v/>
      </c>
      <c r="W891" s="8">
        <f>1/(1+EXP(-V891))</f>
        <v/>
      </c>
      <c r="X891" s="9">
        <f>-IF(C891=1,LN(W891),LN(1-W891))</f>
        <v/>
      </c>
      <c r="Y891" s="10">
        <f>IF(W891&gt;$AC$33,1,0)</f>
        <v/>
      </c>
      <c r="Z891">
        <f>IF(Y891=C891,1,0)</f>
        <v/>
      </c>
    </row>
    <row r="892">
      <c r="A892">
        <f>'1 prepared data'!A885</f>
        <v/>
      </c>
      <c r="B892" s="5">
        <f>'1 prepared data'!U885</f>
        <v/>
      </c>
      <c r="C892">
        <f>'1 prepared data'!B885</f>
        <v/>
      </c>
      <c r="D892" s="7">
        <f>'1 prepared data'!C885</f>
        <v/>
      </c>
      <c r="E892" s="7">
        <f>'1 prepared data'!D885</f>
        <v/>
      </c>
      <c r="F892" s="7">
        <f>'1 prepared data'!E885</f>
        <v/>
      </c>
      <c r="G892" s="7">
        <f>'1 prepared data'!F885</f>
        <v/>
      </c>
      <c r="H892" s="7">
        <f>'1 prepared data'!G885</f>
        <v/>
      </c>
      <c r="I892" s="7">
        <f>'1 prepared data'!H885</f>
        <v/>
      </c>
      <c r="J892" s="7">
        <f>'1 prepared data'!I885</f>
        <v/>
      </c>
      <c r="K892" s="7">
        <f>'1 prepared data'!J885</f>
        <v/>
      </c>
      <c r="L892" s="7">
        <f>'1 prepared data'!K885</f>
        <v/>
      </c>
      <c r="M892" s="7">
        <f>'1 prepared data'!L885</f>
        <v/>
      </c>
      <c r="N892" s="7">
        <f>'1 prepared data'!M885</f>
        <v/>
      </c>
      <c r="O892" s="7">
        <f>'1 prepared data'!N885</f>
        <v/>
      </c>
      <c r="P892" s="7">
        <f>'1 prepared data'!O885</f>
        <v/>
      </c>
      <c r="Q892" s="7">
        <f>'1 prepared data'!P885</f>
        <v/>
      </c>
      <c r="R892" s="7">
        <f>'1 prepared data'!Q885</f>
        <v/>
      </c>
      <c r="S892" s="7">
        <f>'1 prepared data'!R885</f>
        <v/>
      </c>
      <c r="T892" s="7">
        <f>'1 prepared data'!S885</f>
        <v/>
      </c>
      <c r="U892" s="7">
        <f>'1 prepared data'!T885</f>
        <v/>
      </c>
      <c r="V892" s="8">
        <f>$AC$12+D892*$AC$13+E892*$AC$14+F892*$AC$15+G892*$AC$16+H892*$AC$17+I892*$AC$18+J892*$AC$19+K892*$AC$20+L892*$AC$21+M892*$AC$22+N892*$AC$23+O892*$AC$24+P892*$AC$25+Q892*$AC$26+R892*$AC$27+S892*$AC$28+T892*$AC$29+U892*$AC$30</f>
        <v/>
      </c>
      <c r="W892" s="8">
        <f>1/(1+EXP(-V892))</f>
        <v/>
      </c>
      <c r="X892" s="9">
        <f>-IF(C892=1,LN(W892),LN(1-W892))</f>
        <v/>
      </c>
      <c r="Y892" s="10">
        <f>IF(W892&gt;$AC$33,1,0)</f>
        <v/>
      </c>
      <c r="Z892">
        <f>IF(Y892=C892,1,0)</f>
        <v/>
      </c>
    </row>
    <row r="893">
      <c r="A893">
        <f>'1 prepared data'!A886</f>
        <v/>
      </c>
      <c r="B893" s="5">
        <f>'1 prepared data'!U886</f>
        <v/>
      </c>
      <c r="C893">
        <f>'1 prepared data'!B886</f>
        <v/>
      </c>
      <c r="D893" s="7">
        <f>'1 prepared data'!C886</f>
        <v/>
      </c>
      <c r="E893" s="7">
        <f>'1 prepared data'!D886</f>
        <v/>
      </c>
      <c r="F893" s="7">
        <f>'1 prepared data'!E886</f>
        <v/>
      </c>
      <c r="G893" s="7">
        <f>'1 prepared data'!F886</f>
        <v/>
      </c>
      <c r="H893" s="7">
        <f>'1 prepared data'!G886</f>
        <v/>
      </c>
      <c r="I893" s="7">
        <f>'1 prepared data'!H886</f>
        <v/>
      </c>
      <c r="J893" s="7">
        <f>'1 prepared data'!I886</f>
        <v/>
      </c>
      <c r="K893" s="7">
        <f>'1 prepared data'!J886</f>
        <v/>
      </c>
      <c r="L893" s="7">
        <f>'1 prepared data'!K886</f>
        <v/>
      </c>
      <c r="M893" s="7">
        <f>'1 prepared data'!L886</f>
        <v/>
      </c>
      <c r="N893" s="7">
        <f>'1 prepared data'!M886</f>
        <v/>
      </c>
      <c r="O893" s="7">
        <f>'1 prepared data'!N886</f>
        <v/>
      </c>
      <c r="P893" s="7">
        <f>'1 prepared data'!O886</f>
        <v/>
      </c>
      <c r="Q893" s="7">
        <f>'1 prepared data'!P886</f>
        <v/>
      </c>
      <c r="R893" s="7">
        <f>'1 prepared data'!Q886</f>
        <v/>
      </c>
      <c r="S893" s="7">
        <f>'1 prepared data'!R886</f>
        <v/>
      </c>
      <c r="T893" s="7">
        <f>'1 prepared data'!S886</f>
        <v/>
      </c>
      <c r="U893" s="7">
        <f>'1 prepared data'!T886</f>
        <v/>
      </c>
      <c r="V893" s="8">
        <f>$AC$12+D893*$AC$13+E893*$AC$14+F893*$AC$15+G893*$AC$16+H893*$AC$17+I893*$AC$18+J893*$AC$19+K893*$AC$20+L893*$AC$21+M893*$AC$22+N893*$AC$23+O893*$AC$24+P893*$AC$25+Q893*$AC$26+R893*$AC$27+S893*$AC$28+T893*$AC$29+U893*$AC$30</f>
        <v/>
      </c>
      <c r="W893" s="8">
        <f>1/(1+EXP(-V893))</f>
        <v/>
      </c>
      <c r="X893" s="9">
        <f>-IF(C893=1,LN(W893),LN(1-W893))</f>
        <v/>
      </c>
      <c r="Y893" s="10">
        <f>IF(W893&gt;$AC$33,1,0)</f>
        <v/>
      </c>
      <c r="Z893">
        <f>IF(Y893=C893,1,0)</f>
        <v/>
      </c>
    </row>
    <row r="894">
      <c r="A894">
        <f>'1 prepared data'!A887</f>
        <v/>
      </c>
      <c r="B894" s="5">
        <f>'1 prepared data'!U887</f>
        <v/>
      </c>
      <c r="C894">
        <f>'1 prepared data'!B887</f>
        <v/>
      </c>
      <c r="D894" s="7">
        <f>'1 prepared data'!C887</f>
        <v/>
      </c>
      <c r="E894" s="7">
        <f>'1 prepared data'!D887</f>
        <v/>
      </c>
      <c r="F894" s="7">
        <f>'1 prepared data'!E887</f>
        <v/>
      </c>
      <c r="G894" s="7">
        <f>'1 prepared data'!F887</f>
        <v/>
      </c>
      <c r="H894" s="7">
        <f>'1 prepared data'!G887</f>
        <v/>
      </c>
      <c r="I894" s="7">
        <f>'1 prepared data'!H887</f>
        <v/>
      </c>
      <c r="J894" s="7">
        <f>'1 prepared data'!I887</f>
        <v/>
      </c>
      <c r="K894" s="7">
        <f>'1 prepared data'!J887</f>
        <v/>
      </c>
      <c r="L894" s="7">
        <f>'1 prepared data'!K887</f>
        <v/>
      </c>
      <c r="M894" s="7">
        <f>'1 prepared data'!L887</f>
        <v/>
      </c>
      <c r="N894" s="7">
        <f>'1 prepared data'!M887</f>
        <v/>
      </c>
      <c r="O894" s="7">
        <f>'1 prepared data'!N887</f>
        <v/>
      </c>
      <c r="P894" s="7">
        <f>'1 prepared data'!O887</f>
        <v/>
      </c>
      <c r="Q894" s="7">
        <f>'1 prepared data'!P887</f>
        <v/>
      </c>
      <c r="R894" s="7">
        <f>'1 prepared data'!Q887</f>
        <v/>
      </c>
      <c r="S894" s="7">
        <f>'1 prepared data'!R887</f>
        <v/>
      </c>
      <c r="T894" s="7">
        <f>'1 prepared data'!S887</f>
        <v/>
      </c>
      <c r="U894" s="7">
        <f>'1 prepared data'!T887</f>
        <v/>
      </c>
      <c r="V894" s="8">
        <f>$AC$12+D894*$AC$13+E894*$AC$14+F894*$AC$15+G894*$AC$16+H894*$AC$17+I894*$AC$18+J894*$AC$19+K894*$AC$20+L894*$AC$21+M894*$AC$22+N894*$AC$23+O894*$AC$24+P894*$AC$25+Q894*$AC$26+R894*$AC$27+S894*$AC$28+T894*$AC$29+U894*$AC$30</f>
        <v/>
      </c>
      <c r="W894" s="8">
        <f>1/(1+EXP(-V894))</f>
        <v/>
      </c>
      <c r="X894" s="9">
        <f>-IF(C894=1,LN(W894),LN(1-W894))</f>
        <v/>
      </c>
      <c r="Y894" s="10">
        <f>IF(W894&gt;$AC$33,1,0)</f>
        <v/>
      </c>
      <c r="Z894">
        <f>IF(Y894=C894,1,0)</f>
        <v/>
      </c>
    </row>
    <row r="895">
      <c r="A895">
        <f>'1 prepared data'!A888</f>
        <v/>
      </c>
      <c r="B895" s="5">
        <f>'1 prepared data'!U888</f>
        <v/>
      </c>
      <c r="C895">
        <f>'1 prepared data'!B888</f>
        <v/>
      </c>
      <c r="D895" s="7">
        <f>'1 prepared data'!C888</f>
        <v/>
      </c>
      <c r="E895" s="7">
        <f>'1 prepared data'!D888</f>
        <v/>
      </c>
      <c r="F895" s="7">
        <f>'1 prepared data'!E888</f>
        <v/>
      </c>
      <c r="G895" s="7">
        <f>'1 prepared data'!F888</f>
        <v/>
      </c>
      <c r="H895" s="7">
        <f>'1 prepared data'!G888</f>
        <v/>
      </c>
      <c r="I895" s="7">
        <f>'1 prepared data'!H888</f>
        <v/>
      </c>
      <c r="J895" s="7">
        <f>'1 prepared data'!I888</f>
        <v/>
      </c>
      <c r="K895" s="7">
        <f>'1 prepared data'!J888</f>
        <v/>
      </c>
      <c r="L895" s="7">
        <f>'1 prepared data'!K888</f>
        <v/>
      </c>
      <c r="M895" s="7">
        <f>'1 prepared data'!L888</f>
        <v/>
      </c>
      <c r="N895" s="7">
        <f>'1 prepared data'!M888</f>
        <v/>
      </c>
      <c r="O895" s="7">
        <f>'1 prepared data'!N888</f>
        <v/>
      </c>
      <c r="P895" s="7">
        <f>'1 prepared data'!O888</f>
        <v/>
      </c>
      <c r="Q895" s="7">
        <f>'1 prepared data'!P888</f>
        <v/>
      </c>
      <c r="R895" s="7">
        <f>'1 prepared data'!Q888</f>
        <v/>
      </c>
      <c r="S895" s="7">
        <f>'1 prepared data'!R888</f>
        <v/>
      </c>
      <c r="T895" s="7">
        <f>'1 prepared data'!S888</f>
        <v/>
      </c>
      <c r="U895" s="7">
        <f>'1 prepared data'!T888</f>
        <v/>
      </c>
      <c r="V895" s="8">
        <f>$AC$12+D895*$AC$13+E895*$AC$14+F895*$AC$15+G895*$AC$16+H895*$AC$17+I895*$AC$18+J895*$AC$19+K895*$AC$20+L895*$AC$21+M895*$AC$22+N895*$AC$23+O895*$AC$24+P895*$AC$25+Q895*$AC$26+R895*$AC$27+S895*$AC$28+T895*$AC$29+U895*$AC$30</f>
        <v/>
      </c>
      <c r="W895" s="8">
        <f>1/(1+EXP(-V895))</f>
        <v/>
      </c>
      <c r="X895" s="9">
        <f>-IF(C895=1,LN(W895),LN(1-W895))</f>
        <v/>
      </c>
      <c r="Y895" s="10">
        <f>IF(W895&gt;$AC$33,1,0)</f>
        <v/>
      </c>
      <c r="Z895">
        <f>IF(Y895=C895,1,0)</f>
        <v/>
      </c>
    </row>
    <row r="896">
      <c r="A896">
        <f>'1 prepared data'!A889</f>
        <v/>
      </c>
      <c r="B896" s="5">
        <f>'1 prepared data'!U889</f>
        <v/>
      </c>
      <c r="C896">
        <f>'1 prepared data'!B889</f>
        <v/>
      </c>
      <c r="D896" s="7">
        <f>'1 prepared data'!C889</f>
        <v/>
      </c>
      <c r="E896" s="7">
        <f>'1 prepared data'!D889</f>
        <v/>
      </c>
      <c r="F896" s="7">
        <f>'1 prepared data'!E889</f>
        <v/>
      </c>
      <c r="G896" s="7">
        <f>'1 prepared data'!F889</f>
        <v/>
      </c>
      <c r="H896" s="7">
        <f>'1 prepared data'!G889</f>
        <v/>
      </c>
      <c r="I896" s="7">
        <f>'1 prepared data'!H889</f>
        <v/>
      </c>
      <c r="J896" s="7">
        <f>'1 prepared data'!I889</f>
        <v/>
      </c>
      <c r="K896" s="7">
        <f>'1 prepared data'!J889</f>
        <v/>
      </c>
      <c r="L896" s="7">
        <f>'1 prepared data'!K889</f>
        <v/>
      </c>
      <c r="M896" s="7">
        <f>'1 prepared data'!L889</f>
        <v/>
      </c>
      <c r="N896" s="7">
        <f>'1 prepared data'!M889</f>
        <v/>
      </c>
      <c r="O896" s="7">
        <f>'1 prepared data'!N889</f>
        <v/>
      </c>
      <c r="P896" s="7">
        <f>'1 prepared data'!O889</f>
        <v/>
      </c>
      <c r="Q896" s="7">
        <f>'1 prepared data'!P889</f>
        <v/>
      </c>
      <c r="R896" s="7">
        <f>'1 prepared data'!Q889</f>
        <v/>
      </c>
      <c r="S896" s="7">
        <f>'1 prepared data'!R889</f>
        <v/>
      </c>
      <c r="T896" s="7">
        <f>'1 prepared data'!S889</f>
        <v/>
      </c>
      <c r="U896" s="7">
        <f>'1 prepared data'!T889</f>
        <v/>
      </c>
      <c r="V896" s="8">
        <f>$AC$12+D896*$AC$13+E896*$AC$14+F896*$AC$15+G896*$AC$16+H896*$AC$17+I896*$AC$18+J896*$AC$19+K896*$AC$20+L896*$AC$21+M896*$AC$22+N896*$AC$23+O896*$AC$24+P896*$AC$25+Q896*$AC$26+R896*$AC$27+S896*$AC$28+T896*$AC$29+U896*$AC$30</f>
        <v/>
      </c>
      <c r="W896" s="8">
        <f>1/(1+EXP(-V896))</f>
        <v/>
      </c>
      <c r="X896" s="9">
        <f>-IF(C896=1,LN(W896),LN(1-W896))</f>
        <v/>
      </c>
      <c r="Y896" s="10">
        <f>IF(W896&gt;$AC$33,1,0)</f>
        <v/>
      </c>
      <c r="Z896">
        <f>IF(Y896=C896,1,0)</f>
        <v/>
      </c>
    </row>
    <row r="897">
      <c r="A897">
        <f>'1 prepared data'!A890</f>
        <v/>
      </c>
      <c r="B897" s="5">
        <f>'1 prepared data'!U890</f>
        <v/>
      </c>
      <c r="C897">
        <f>'1 prepared data'!B890</f>
        <v/>
      </c>
      <c r="D897" s="7">
        <f>'1 prepared data'!C890</f>
        <v/>
      </c>
      <c r="E897" s="7">
        <f>'1 prepared data'!D890</f>
        <v/>
      </c>
      <c r="F897" s="7">
        <f>'1 prepared data'!E890</f>
        <v/>
      </c>
      <c r="G897" s="7">
        <f>'1 prepared data'!F890</f>
        <v/>
      </c>
      <c r="H897" s="7">
        <f>'1 prepared data'!G890</f>
        <v/>
      </c>
      <c r="I897" s="7">
        <f>'1 prepared data'!H890</f>
        <v/>
      </c>
      <c r="J897" s="7">
        <f>'1 prepared data'!I890</f>
        <v/>
      </c>
      <c r="K897" s="7">
        <f>'1 prepared data'!J890</f>
        <v/>
      </c>
      <c r="L897" s="7">
        <f>'1 prepared data'!K890</f>
        <v/>
      </c>
      <c r="M897" s="7">
        <f>'1 prepared data'!L890</f>
        <v/>
      </c>
      <c r="N897" s="7">
        <f>'1 prepared data'!M890</f>
        <v/>
      </c>
      <c r="O897" s="7">
        <f>'1 prepared data'!N890</f>
        <v/>
      </c>
      <c r="P897" s="7">
        <f>'1 prepared data'!O890</f>
        <v/>
      </c>
      <c r="Q897" s="7">
        <f>'1 prepared data'!P890</f>
        <v/>
      </c>
      <c r="R897" s="7">
        <f>'1 prepared data'!Q890</f>
        <v/>
      </c>
      <c r="S897" s="7">
        <f>'1 prepared data'!R890</f>
        <v/>
      </c>
      <c r="T897" s="7">
        <f>'1 prepared data'!S890</f>
        <v/>
      </c>
      <c r="U897" s="7">
        <f>'1 prepared data'!T890</f>
        <v/>
      </c>
      <c r="V897" s="8">
        <f>$AC$12+D897*$AC$13+E897*$AC$14+F897*$AC$15+G897*$AC$16+H897*$AC$17+I897*$AC$18+J897*$AC$19+K897*$AC$20+L897*$AC$21+M897*$AC$22+N897*$AC$23+O897*$AC$24+P897*$AC$25+Q897*$AC$26+R897*$AC$27+S897*$AC$28+T897*$AC$29+U897*$AC$30</f>
        <v/>
      </c>
      <c r="W897" s="8">
        <f>1/(1+EXP(-V897))</f>
        <v/>
      </c>
      <c r="X897" s="9">
        <f>-IF(C897=1,LN(W897),LN(1-W897))</f>
        <v/>
      </c>
      <c r="Y897" s="10">
        <f>IF(W897&gt;$AC$33,1,0)</f>
        <v/>
      </c>
      <c r="Z897">
        <f>IF(Y897=C897,1,0)</f>
        <v/>
      </c>
    </row>
    <row r="898">
      <c r="A898">
        <f>'1 prepared data'!A891</f>
        <v/>
      </c>
      <c r="B898" s="5">
        <f>'1 prepared data'!U891</f>
        <v/>
      </c>
      <c r="C898">
        <f>'1 prepared data'!B891</f>
        <v/>
      </c>
      <c r="D898" s="7">
        <f>'1 prepared data'!C891</f>
        <v/>
      </c>
      <c r="E898" s="7">
        <f>'1 prepared data'!D891</f>
        <v/>
      </c>
      <c r="F898" s="7">
        <f>'1 prepared data'!E891</f>
        <v/>
      </c>
      <c r="G898" s="7">
        <f>'1 prepared data'!F891</f>
        <v/>
      </c>
      <c r="H898" s="7">
        <f>'1 prepared data'!G891</f>
        <v/>
      </c>
      <c r="I898" s="7">
        <f>'1 prepared data'!H891</f>
        <v/>
      </c>
      <c r="J898" s="7">
        <f>'1 prepared data'!I891</f>
        <v/>
      </c>
      <c r="K898" s="7">
        <f>'1 prepared data'!J891</f>
        <v/>
      </c>
      <c r="L898" s="7">
        <f>'1 prepared data'!K891</f>
        <v/>
      </c>
      <c r="M898" s="7">
        <f>'1 prepared data'!L891</f>
        <v/>
      </c>
      <c r="N898" s="7">
        <f>'1 prepared data'!M891</f>
        <v/>
      </c>
      <c r="O898" s="7">
        <f>'1 prepared data'!N891</f>
        <v/>
      </c>
      <c r="P898" s="7">
        <f>'1 prepared data'!O891</f>
        <v/>
      </c>
      <c r="Q898" s="7">
        <f>'1 prepared data'!P891</f>
        <v/>
      </c>
      <c r="R898" s="7">
        <f>'1 prepared data'!Q891</f>
        <v/>
      </c>
      <c r="S898" s="7">
        <f>'1 prepared data'!R891</f>
        <v/>
      </c>
      <c r="T898" s="7">
        <f>'1 prepared data'!S891</f>
        <v/>
      </c>
      <c r="U898" s="7">
        <f>'1 prepared data'!T891</f>
        <v/>
      </c>
      <c r="V898" s="8">
        <f>$AC$12+D898*$AC$13+E898*$AC$14+F898*$AC$15+G898*$AC$16+H898*$AC$17+I898*$AC$18+J898*$AC$19+K898*$AC$20+L898*$AC$21+M898*$AC$22+N898*$AC$23+O898*$AC$24+P898*$AC$25+Q898*$AC$26+R898*$AC$27+S898*$AC$28+T898*$AC$29+U898*$AC$30</f>
        <v/>
      </c>
      <c r="W898" s="8">
        <f>1/(1+EXP(-V898))</f>
        <v/>
      </c>
      <c r="X898" s="9">
        <f>-IF(C898=1,LN(W898),LN(1-W898))</f>
        <v/>
      </c>
      <c r="Y898" s="10">
        <f>IF(W898&gt;$AC$33,1,0)</f>
        <v/>
      </c>
      <c r="Z898">
        <f>IF(Y898=C898,1,0)</f>
        <v/>
      </c>
    </row>
    <row r="899">
      <c r="A899">
        <f>'1 prepared data'!A892</f>
        <v/>
      </c>
      <c r="B899" s="5">
        <f>'1 prepared data'!U892</f>
        <v/>
      </c>
      <c r="C899">
        <f>'1 prepared data'!B892</f>
        <v/>
      </c>
      <c r="D899" s="7">
        <f>'1 prepared data'!C892</f>
        <v/>
      </c>
      <c r="E899" s="7">
        <f>'1 prepared data'!D892</f>
        <v/>
      </c>
      <c r="F899" s="7">
        <f>'1 prepared data'!E892</f>
        <v/>
      </c>
      <c r="G899" s="7">
        <f>'1 prepared data'!F892</f>
        <v/>
      </c>
      <c r="H899" s="7">
        <f>'1 prepared data'!G892</f>
        <v/>
      </c>
      <c r="I899" s="7">
        <f>'1 prepared data'!H892</f>
        <v/>
      </c>
      <c r="J899" s="7">
        <f>'1 prepared data'!I892</f>
        <v/>
      </c>
      <c r="K899" s="7">
        <f>'1 prepared data'!J892</f>
        <v/>
      </c>
      <c r="L899" s="7">
        <f>'1 prepared data'!K892</f>
        <v/>
      </c>
      <c r="M899" s="7">
        <f>'1 prepared data'!L892</f>
        <v/>
      </c>
      <c r="N899" s="7">
        <f>'1 prepared data'!M892</f>
        <v/>
      </c>
      <c r="O899" s="7">
        <f>'1 prepared data'!N892</f>
        <v/>
      </c>
      <c r="P899" s="7">
        <f>'1 prepared data'!O892</f>
        <v/>
      </c>
      <c r="Q899" s="7">
        <f>'1 prepared data'!P892</f>
        <v/>
      </c>
      <c r="R899" s="7">
        <f>'1 prepared data'!Q892</f>
        <v/>
      </c>
      <c r="S899" s="7">
        <f>'1 prepared data'!R892</f>
        <v/>
      </c>
      <c r="T899" s="7">
        <f>'1 prepared data'!S892</f>
        <v/>
      </c>
      <c r="U899" s="7">
        <f>'1 prepared data'!T892</f>
        <v/>
      </c>
      <c r="V899" s="8">
        <f>$AC$12+D899*$AC$13+E899*$AC$14+F899*$AC$15+G899*$AC$16+H899*$AC$17+I899*$AC$18+J899*$AC$19+K899*$AC$20+L899*$AC$21+M899*$AC$22+N899*$AC$23+O899*$AC$24+P899*$AC$25+Q899*$AC$26+R899*$AC$27+S899*$AC$28+T899*$AC$29+U899*$AC$30</f>
        <v/>
      </c>
      <c r="W899" s="8">
        <f>1/(1+EXP(-V899))</f>
        <v/>
      </c>
      <c r="X899" s="9">
        <f>-IF(C899=1,LN(W899),LN(1-W899))</f>
        <v/>
      </c>
      <c r="Y899" s="10">
        <f>IF(W899&gt;$AC$33,1,0)</f>
        <v/>
      </c>
      <c r="Z899">
        <f>IF(Y899=C899,1,0)</f>
        <v/>
      </c>
    </row>
    <row r="900">
      <c r="A900">
        <f>'1 prepared data'!A893</f>
        <v/>
      </c>
      <c r="B900" s="5">
        <f>'1 prepared data'!U893</f>
        <v/>
      </c>
      <c r="C900">
        <f>'1 prepared data'!B893</f>
        <v/>
      </c>
      <c r="D900" s="7">
        <f>'1 prepared data'!C893</f>
        <v/>
      </c>
      <c r="E900" s="7">
        <f>'1 prepared data'!D893</f>
        <v/>
      </c>
      <c r="F900" s="7">
        <f>'1 prepared data'!E893</f>
        <v/>
      </c>
      <c r="G900" s="7">
        <f>'1 prepared data'!F893</f>
        <v/>
      </c>
      <c r="H900" s="7">
        <f>'1 prepared data'!G893</f>
        <v/>
      </c>
      <c r="I900" s="7">
        <f>'1 prepared data'!H893</f>
        <v/>
      </c>
      <c r="J900" s="7">
        <f>'1 prepared data'!I893</f>
        <v/>
      </c>
      <c r="K900" s="7">
        <f>'1 prepared data'!J893</f>
        <v/>
      </c>
      <c r="L900" s="7">
        <f>'1 prepared data'!K893</f>
        <v/>
      </c>
      <c r="M900" s="7">
        <f>'1 prepared data'!L893</f>
        <v/>
      </c>
      <c r="N900" s="7">
        <f>'1 prepared data'!M893</f>
        <v/>
      </c>
      <c r="O900" s="7">
        <f>'1 prepared data'!N893</f>
        <v/>
      </c>
      <c r="P900" s="7">
        <f>'1 prepared data'!O893</f>
        <v/>
      </c>
      <c r="Q900" s="7">
        <f>'1 prepared data'!P893</f>
        <v/>
      </c>
      <c r="R900" s="7">
        <f>'1 prepared data'!Q893</f>
        <v/>
      </c>
      <c r="S900" s="7">
        <f>'1 prepared data'!R893</f>
        <v/>
      </c>
      <c r="T900" s="7">
        <f>'1 prepared data'!S893</f>
        <v/>
      </c>
      <c r="U900" s="7">
        <f>'1 prepared data'!T893</f>
        <v/>
      </c>
      <c r="V900" s="8">
        <f>$AC$12+D900*$AC$13+E900*$AC$14+F900*$AC$15+G900*$AC$16+H900*$AC$17+I900*$AC$18+J900*$AC$19+K900*$AC$20+L900*$AC$21+M900*$AC$22+N900*$AC$23+O900*$AC$24+P900*$AC$25+Q900*$AC$26+R900*$AC$27+S900*$AC$28+T900*$AC$29+U900*$AC$30</f>
        <v/>
      </c>
      <c r="W900" s="8">
        <f>1/(1+EXP(-V900))</f>
        <v/>
      </c>
      <c r="X900" s="9">
        <f>-IF(C900=1,LN(W900),LN(1-W900))</f>
        <v/>
      </c>
      <c r="Y900" s="10">
        <f>IF(W900&gt;$AC$33,1,0)</f>
        <v/>
      </c>
      <c r="Z900">
        <f>IF(Y900=C900,1,0)</f>
        <v/>
      </c>
    </row>
    <row r="901">
      <c r="A901">
        <f>'1 prepared data'!A894</f>
        <v/>
      </c>
      <c r="B901" s="5">
        <f>'1 prepared data'!U894</f>
        <v/>
      </c>
      <c r="C901">
        <f>'1 prepared data'!B894</f>
        <v/>
      </c>
      <c r="D901" s="7">
        <f>'1 prepared data'!C894</f>
        <v/>
      </c>
      <c r="E901" s="7">
        <f>'1 prepared data'!D894</f>
        <v/>
      </c>
      <c r="F901" s="7">
        <f>'1 prepared data'!E894</f>
        <v/>
      </c>
      <c r="G901" s="7">
        <f>'1 prepared data'!F894</f>
        <v/>
      </c>
      <c r="H901" s="7">
        <f>'1 prepared data'!G894</f>
        <v/>
      </c>
      <c r="I901" s="7">
        <f>'1 prepared data'!H894</f>
        <v/>
      </c>
      <c r="J901" s="7">
        <f>'1 prepared data'!I894</f>
        <v/>
      </c>
      <c r="K901" s="7">
        <f>'1 prepared data'!J894</f>
        <v/>
      </c>
      <c r="L901" s="7">
        <f>'1 prepared data'!K894</f>
        <v/>
      </c>
      <c r="M901" s="7">
        <f>'1 prepared data'!L894</f>
        <v/>
      </c>
      <c r="N901" s="7">
        <f>'1 prepared data'!M894</f>
        <v/>
      </c>
      <c r="O901" s="7">
        <f>'1 prepared data'!N894</f>
        <v/>
      </c>
      <c r="P901" s="7">
        <f>'1 prepared data'!O894</f>
        <v/>
      </c>
      <c r="Q901" s="7">
        <f>'1 prepared data'!P894</f>
        <v/>
      </c>
      <c r="R901" s="7">
        <f>'1 prepared data'!Q894</f>
        <v/>
      </c>
      <c r="S901" s="7">
        <f>'1 prepared data'!R894</f>
        <v/>
      </c>
      <c r="T901" s="7">
        <f>'1 prepared data'!S894</f>
        <v/>
      </c>
      <c r="U901" s="7">
        <f>'1 prepared data'!T894</f>
        <v/>
      </c>
      <c r="V901" s="8">
        <f>$AC$12+D901*$AC$13+E901*$AC$14+F901*$AC$15+G901*$AC$16+H901*$AC$17+I901*$AC$18+J901*$AC$19+K901*$AC$20+L901*$AC$21+M901*$AC$22+N901*$AC$23+O901*$AC$24+P901*$AC$25+Q901*$AC$26+R901*$AC$27+S901*$AC$28+T901*$AC$29+U901*$AC$30</f>
        <v/>
      </c>
      <c r="W901" s="8">
        <f>1/(1+EXP(-V901))</f>
        <v/>
      </c>
      <c r="X901" s="9">
        <f>-IF(C901=1,LN(W901),LN(1-W901))</f>
        <v/>
      </c>
      <c r="Y901" s="10">
        <f>IF(W901&gt;$AC$33,1,0)</f>
        <v/>
      </c>
      <c r="Z901">
        <f>IF(Y901=C901,1,0)</f>
        <v/>
      </c>
    </row>
    <row r="902">
      <c r="A902">
        <f>'1 prepared data'!A895</f>
        <v/>
      </c>
      <c r="B902" s="5">
        <f>'1 prepared data'!U895</f>
        <v/>
      </c>
      <c r="C902">
        <f>'1 prepared data'!B895</f>
        <v/>
      </c>
      <c r="D902" s="7">
        <f>'1 prepared data'!C895</f>
        <v/>
      </c>
      <c r="E902" s="7">
        <f>'1 prepared data'!D895</f>
        <v/>
      </c>
      <c r="F902" s="7">
        <f>'1 prepared data'!E895</f>
        <v/>
      </c>
      <c r="G902" s="7">
        <f>'1 prepared data'!F895</f>
        <v/>
      </c>
      <c r="H902" s="7">
        <f>'1 prepared data'!G895</f>
        <v/>
      </c>
      <c r="I902" s="7">
        <f>'1 prepared data'!H895</f>
        <v/>
      </c>
      <c r="J902" s="7">
        <f>'1 prepared data'!I895</f>
        <v/>
      </c>
      <c r="K902" s="7">
        <f>'1 prepared data'!J895</f>
        <v/>
      </c>
      <c r="L902" s="7">
        <f>'1 prepared data'!K895</f>
        <v/>
      </c>
      <c r="M902" s="7">
        <f>'1 prepared data'!L895</f>
        <v/>
      </c>
      <c r="N902" s="7">
        <f>'1 prepared data'!M895</f>
        <v/>
      </c>
      <c r="O902" s="7">
        <f>'1 prepared data'!N895</f>
        <v/>
      </c>
      <c r="P902" s="7">
        <f>'1 prepared data'!O895</f>
        <v/>
      </c>
      <c r="Q902" s="7">
        <f>'1 prepared data'!P895</f>
        <v/>
      </c>
      <c r="R902" s="7">
        <f>'1 prepared data'!Q895</f>
        <v/>
      </c>
      <c r="S902" s="7">
        <f>'1 prepared data'!R895</f>
        <v/>
      </c>
      <c r="T902" s="7">
        <f>'1 prepared data'!S895</f>
        <v/>
      </c>
      <c r="U902" s="7">
        <f>'1 prepared data'!T895</f>
        <v/>
      </c>
      <c r="V902" s="8">
        <f>$AC$12+D902*$AC$13+E902*$AC$14+F902*$AC$15+G902*$AC$16+H902*$AC$17+I902*$AC$18+J902*$AC$19+K902*$AC$20+L902*$AC$21+M902*$AC$22+N902*$AC$23+O902*$AC$24+P902*$AC$25+Q902*$AC$26+R902*$AC$27+S902*$AC$28+T902*$AC$29+U902*$AC$30</f>
        <v/>
      </c>
      <c r="W902" s="8">
        <f>1/(1+EXP(-V902))</f>
        <v/>
      </c>
      <c r="X902" s="9">
        <f>-IF(C902=1,LN(W902),LN(1-W902))</f>
        <v/>
      </c>
      <c r="Y902" s="10">
        <f>IF(W902&gt;$AC$33,1,0)</f>
        <v/>
      </c>
      <c r="Z902">
        <f>IF(Y902=C902,1,0)</f>
        <v/>
      </c>
    </row>
    <row r="903">
      <c r="A903">
        <f>'1 prepared data'!A896</f>
        <v/>
      </c>
      <c r="B903" s="5">
        <f>'1 prepared data'!U896</f>
        <v/>
      </c>
      <c r="C903">
        <f>'1 prepared data'!B896</f>
        <v/>
      </c>
      <c r="D903" s="7">
        <f>'1 prepared data'!C896</f>
        <v/>
      </c>
      <c r="E903" s="7">
        <f>'1 prepared data'!D896</f>
        <v/>
      </c>
      <c r="F903" s="7">
        <f>'1 prepared data'!E896</f>
        <v/>
      </c>
      <c r="G903" s="7">
        <f>'1 prepared data'!F896</f>
        <v/>
      </c>
      <c r="H903" s="7">
        <f>'1 prepared data'!G896</f>
        <v/>
      </c>
      <c r="I903" s="7">
        <f>'1 prepared data'!H896</f>
        <v/>
      </c>
      <c r="J903" s="7">
        <f>'1 prepared data'!I896</f>
        <v/>
      </c>
      <c r="K903" s="7">
        <f>'1 prepared data'!J896</f>
        <v/>
      </c>
      <c r="L903" s="7">
        <f>'1 prepared data'!K896</f>
        <v/>
      </c>
      <c r="M903" s="7">
        <f>'1 prepared data'!L896</f>
        <v/>
      </c>
      <c r="N903" s="7">
        <f>'1 prepared data'!M896</f>
        <v/>
      </c>
      <c r="O903" s="7">
        <f>'1 prepared data'!N896</f>
        <v/>
      </c>
      <c r="P903" s="7">
        <f>'1 prepared data'!O896</f>
        <v/>
      </c>
      <c r="Q903" s="7">
        <f>'1 prepared data'!P896</f>
        <v/>
      </c>
      <c r="R903" s="7">
        <f>'1 prepared data'!Q896</f>
        <v/>
      </c>
      <c r="S903" s="7">
        <f>'1 prepared data'!R896</f>
        <v/>
      </c>
      <c r="T903" s="7">
        <f>'1 prepared data'!S896</f>
        <v/>
      </c>
      <c r="U903" s="7">
        <f>'1 prepared data'!T896</f>
        <v/>
      </c>
      <c r="V903" s="8">
        <f>$AC$12+D903*$AC$13+E903*$AC$14+F903*$AC$15+G903*$AC$16+H903*$AC$17+I903*$AC$18+J903*$AC$19+K903*$AC$20+L903*$AC$21+M903*$AC$22+N903*$AC$23+O903*$AC$24+P903*$AC$25+Q903*$AC$26+R903*$AC$27+S903*$AC$28+T903*$AC$29+U903*$AC$30</f>
        <v/>
      </c>
      <c r="W903" s="8">
        <f>1/(1+EXP(-V903))</f>
        <v/>
      </c>
      <c r="X903" s="9">
        <f>-IF(C903=1,LN(W903),LN(1-W903))</f>
        <v/>
      </c>
      <c r="Y903" s="10">
        <f>IF(W903&gt;$AC$33,1,0)</f>
        <v/>
      </c>
      <c r="Z903">
        <f>IF(Y903=C903,1,0)</f>
        <v/>
      </c>
    </row>
    <row r="904">
      <c r="A904">
        <f>'1 prepared data'!A897</f>
        <v/>
      </c>
      <c r="B904" s="5">
        <f>'1 prepared data'!U897</f>
        <v/>
      </c>
      <c r="C904">
        <f>'1 prepared data'!B897</f>
        <v/>
      </c>
      <c r="D904" s="7">
        <f>'1 prepared data'!C897</f>
        <v/>
      </c>
      <c r="E904" s="7">
        <f>'1 prepared data'!D897</f>
        <v/>
      </c>
      <c r="F904" s="7">
        <f>'1 prepared data'!E897</f>
        <v/>
      </c>
      <c r="G904" s="7">
        <f>'1 prepared data'!F897</f>
        <v/>
      </c>
      <c r="H904" s="7">
        <f>'1 prepared data'!G897</f>
        <v/>
      </c>
      <c r="I904" s="7">
        <f>'1 prepared data'!H897</f>
        <v/>
      </c>
      <c r="J904" s="7">
        <f>'1 prepared data'!I897</f>
        <v/>
      </c>
      <c r="K904" s="7">
        <f>'1 prepared data'!J897</f>
        <v/>
      </c>
      <c r="L904" s="7">
        <f>'1 prepared data'!K897</f>
        <v/>
      </c>
      <c r="M904" s="7">
        <f>'1 prepared data'!L897</f>
        <v/>
      </c>
      <c r="N904" s="7">
        <f>'1 prepared data'!M897</f>
        <v/>
      </c>
      <c r="O904" s="7">
        <f>'1 prepared data'!N897</f>
        <v/>
      </c>
      <c r="P904" s="7">
        <f>'1 prepared data'!O897</f>
        <v/>
      </c>
      <c r="Q904" s="7">
        <f>'1 prepared data'!P897</f>
        <v/>
      </c>
      <c r="R904" s="7">
        <f>'1 prepared data'!Q897</f>
        <v/>
      </c>
      <c r="S904" s="7">
        <f>'1 prepared data'!R897</f>
        <v/>
      </c>
      <c r="T904" s="7">
        <f>'1 prepared data'!S897</f>
        <v/>
      </c>
      <c r="U904" s="7">
        <f>'1 prepared data'!T897</f>
        <v/>
      </c>
      <c r="V904" s="8">
        <f>$AC$12+D904*$AC$13+E904*$AC$14+F904*$AC$15+G904*$AC$16+H904*$AC$17+I904*$AC$18+J904*$AC$19+K904*$AC$20+L904*$AC$21+M904*$AC$22+N904*$AC$23+O904*$AC$24+P904*$AC$25+Q904*$AC$26+R904*$AC$27+S904*$AC$28+T904*$AC$29+U904*$AC$30</f>
        <v/>
      </c>
      <c r="W904" s="8">
        <f>1/(1+EXP(-V904))</f>
        <v/>
      </c>
      <c r="X904" s="9">
        <f>-IF(C904=1,LN(W904),LN(1-W904))</f>
        <v/>
      </c>
      <c r="Y904" s="10">
        <f>IF(W904&gt;$AC$33,1,0)</f>
        <v/>
      </c>
      <c r="Z904">
        <f>IF(Y904=C904,1,0)</f>
        <v/>
      </c>
    </row>
    <row r="905">
      <c r="A905">
        <f>'1 prepared data'!A898</f>
        <v/>
      </c>
      <c r="B905" s="5">
        <f>'1 prepared data'!U898</f>
        <v/>
      </c>
      <c r="C905">
        <f>'1 prepared data'!B898</f>
        <v/>
      </c>
      <c r="D905" s="7">
        <f>'1 prepared data'!C898</f>
        <v/>
      </c>
      <c r="E905" s="7">
        <f>'1 prepared data'!D898</f>
        <v/>
      </c>
      <c r="F905" s="7">
        <f>'1 prepared data'!E898</f>
        <v/>
      </c>
      <c r="G905" s="7">
        <f>'1 prepared data'!F898</f>
        <v/>
      </c>
      <c r="H905" s="7">
        <f>'1 prepared data'!G898</f>
        <v/>
      </c>
      <c r="I905" s="7">
        <f>'1 prepared data'!H898</f>
        <v/>
      </c>
      <c r="J905" s="7">
        <f>'1 prepared data'!I898</f>
        <v/>
      </c>
      <c r="K905" s="7">
        <f>'1 prepared data'!J898</f>
        <v/>
      </c>
      <c r="L905" s="7">
        <f>'1 prepared data'!K898</f>
        <v/>
      </c>
      <c r="M905" s="7">
        <f>'1 prepared data'!L898</f>
        <v/>
      </c>
      <c r="N905" s="7">
        <f>'1 prepared data'!M898</f>
        <v/>
      </c>
      <c r="O905" s="7">
        <f>'1 prepared data'!N898</f>
        <v/>
      </c>
      <c r="P905" s="7">
        <f>'1 prepared data'!O898</f>
        <v/>
      </c>
      <c r="Q905" s="7">
        <f>'1 prepared data'!P898</f>
        <v/>
      </c>
      <c r="R905" s="7">
        <f>'1 prepared data'!Q898</f>
        <v/>
      </c>
      <c r="S905" s="7">
        <f>'1 prepared data'!R898</f>
        <v/>
      </c>
      <c r="T905" s="7">
        <f>'1 prepared data'!S898</f>
        <v/>
      </c>
      <c r="U905" s="7">
        <f>'1 prepared data'!T898</f>
        <v/>
      </c>
      <c r="V905" s="8">
        <f>$AC$12+D905*$AC$13+E905*$AC$14+F905*$AC$15+G905*$AC$16+H905*$AC$17+I905*$AC$18+J905*$AC$19+K905*$AC$20+L905*$AC$21+M905*$AC$22+N905*$AC$23+O905*$AC$24+P905*$AC$25+Q905*$AC$26+R905*$AC$27+S905*$AC$28+T905*$AC$29+U905*$AC$30</f>
        <v/>
      </c>
      <c r="W905" s="8">
        <f>1/(1+EXP(-V905))</f>
        <v/>
      </c>
      <c r="X905" s="9">
        <f>-IF(C905=1,LN(W905),LN(1-W905))</f>
        <v/>
      </c>
      <c r="Y905" s="10">
        <f>IF(W905&gt;$AC$33,1,0)</f>
        <v/>
      </c>
      <c r="Z905">
        <f>IF(Y905=C905,1,0)</f>
        <v/>
      </c>
    </row>
    <row r="906">
      <c r="A906">
        <f>'1 prepared data'!A899</f>
        <v/>
      </c>
      <c r="B906" s="5">
        <f>'1 prepared data'!U899</f>
        <v/>
      </c>
      <c r="C906">
        <f>'1 prepared data'!B899</f>
        <v/>
      </c>
      <c r="D906" s="7">
        <f>'1 prepared data'!C899</f>
        <v/>
      </c>
      <c r="E906" s="7">
        <f>'1 prepared data'!D899</f>
        <v/>
      </c>
      <c r="F906" s="7">
        <f>'1 prepared data'!E899</f>
        <v/>
      </c>
      <c r="G906" s="7">
        <f>'1 prepared data'!F899</f>
        <v/>
      </c>
      <c r="H906" s="7">
        <f>'1 prepared data'!G899</f>
        <v/>
      </c>
      <c r="I906" s="7">
        <f>'1 prepared data'!H899</f>
        <v/>
      </c>
      <c r="J906" s="7">
        <f>'1 prepared data'!I899</f>
        <v/>
      </c>
      <c r="K906" s="7">
        <f>'1 prepared data'!J899</f>
        <v/>
      </c>
      <c r="L906" s="7">
        <f>'1 prepared data'!K899</f>
        <v/>
      </c>
      <c r="M906" s="7">
        <f>'1 prepared data'!L899</f>
        <v/>
      </c>
      <c r="N906" s="7">
        <f>'1 prepared data'!M899</f>
        <v/>
      </c>
      <c r="O906" s="7">
        <f>'1 prepared data'!N899</f>
        <v/>
      </c>
      <c r="P906" s="7">
        <f>'1 prepared data'!O899</f>
        <v/>
      </c>
      <c r="Q906" s="7">
        <f>'1 prepared data'!P899</f>
        <v/>
      </c>
      <c r="R906" s="7">
        <f>'1 prepared data'!Q899</f>
        <v/>
      </c>
      <c r="S906" s="7">
        <f>'1 prepared data'!R899</f>
        <v/>
      </c>
      <c r="T906" s="7">
        <f>'1 prepared data'!S899</f>
        <v/>
      </c>
      <c r="U906" s="7">
        <f>'1 prepared data'!T899</f>
        <v/>
      </c>
      <c r="V906" s="8">
        <f>$AC$12+D906*$AC$13+E906*$AC$14+F906*$AC$15+G906*$AC$16+H906*$AC$17+I906*$AC$18+J906*$AC$19+K906*$AC$20+L906*$AC$21+M906*$AC$22+N906*$AC$23+O906*$AC$24+P906*$AC$25+Q906*$AC$26+R906*$AC$27+S906*$AC$28+T906*$AC$29+U906*$AC$30</f>
        <v/>
      </c>
      <c r="W906" s="8">
        <f>1/(1+EXP(-V906))</f>
        <v/>
      </c>
      <c r="X906" s="9">
        <f>-IF(C906=1,LN(W906),LN(1-W906))</f>
        <v/>
      </c>
      <c r="Y906" s="10">
        <f>IF(W906&gt;$AC$33,1,0)</f>
        <v/>
      </c>
      <c r="Z906">
        <f>IF(Y906=C906,1,0)</f>
        <v/>
      </c>
    </row>
    <row r="907">
      <c r="A907">
        <f>'1 prepared data'!A900</f>
        <v/>
      </c>
      <c r="B907" s="5">
        <f>'1 prepared data'!U900</f>
        <v/>
      </c>
      <c r="C907">
        <f>'1 prepared data'!B900</f>
        <v/>
      </c>
      <c r="D907" s="7">
        <f>'1 prepared data'!C900</f>
        <v/>
      </c>
      <c r="E907" s="7">
        <f>'1 prepared data'!D900</f>
        <v/>
      </c>
      <c r="F907" s="7">
        <f>'1 prepared data'!E900</f>
        <v/>
      </c>
      <c r="G907" s="7">
        <f>'1 prepared data'!F900</f>
        <v/>
      </c>
      <c r="H907" s="7">
        <f>'1 prepared data'!G900</f>
        <v/>
      </c>
      <c r="I907" s="7">
        <f>'1 prepared data'!H900</f>
        <v/>
      </c>
      <c r="J907" s="7">
        <f>'1 prepared data'!I900</f>
        <v/>
      </c>
      <c r="K907" s="7">
        <f>'1 prepared data'!J900</f>
        <v/>
      </c>
      <c r="L907" s="7">
        <f>'1 prepared data'!K900</f>
        <v/>
      </c>
      <c r="M907" s="7">
        <f>'1 prepared data'!L900</f>
        <v/>
      </c>
      <c r="N907" s="7">
        <f>'1 prepared data'!M900</f>
        <v/>
      </c>
      <c r="O907" s="7">
        <f>'1 prepared data'!N900</f>
        <v/>
      </c>
      <c r="P907" s="7">
        <f>'1 prepared data'!O900</f>
        <v/>
      </c>
      <c r="Q907" s="7">
        <f>'1 prepared data'!P900</f>
        <v/>
      </c>
      <c r="R907" s="7">
        <f>'1 prepared data'!Q900</f>
        <v/>
      </c>
      <c r="S907" s="7">
        <f>'1 prepared data'!R900</f>
        <v/>
      </c>
      <c r="T907" s="7">
        <f>'1 prepared data'!S900</f>
        <v/>
      </c>
      <c r="U907" s="7">
        <f>'1 prepared data'!T900</f>
        <v/>
      </c>
      <c r="V907" s="8">
        <f>$AC$12+D907*$AC$13+E907*$AC$14+F907*$AC$15+G907*$AC$16+H907*$AC$17+I907*$AC$18+J907*$AC$19+K907*$AC$20+L907*$AC$21+M907*$AC$22+N907*$AC$23+O907*$AC$24+P907*$AC$25+Q907*$AC$26+R907*$AC$27+S907*$AC$28+T907*$AC$29+U907*$AC$30</f>
        <v/>
      </c>
      <c r="W907" s="8">
        <f>1/(1+EXP(-V907))</f>
        <v/>
      </c>
      <c r="X907" s="9">
        <f>-IF(C907=1,LN(W907),LN(1-W907))</f>
        <v/>
      </c>
      <c r="Y907" s="10">
        <f>IF(W907&gt;$AC$33,1,0)</f>
        <v/>
      </c>
      <c r="Z907">
        <f>IF(Y907=C907,1,0)</f>
        <v/>
      </c>
    </row>
    <row r="908">
      <c r="A908">
        <f>'1 prepared data'!A901</f>
        <v/>
      </c>
      <c r="B908" s="5">
        <f>'1 prepared data'!U901</f>
        <v/>
      </c>
      <c r="C908">
        <f>'1 prepared data'!B901</f>
        <v/>
      </c>
      <c r="D908" s="7">
        <f>'1 prepared data'!C901</f>
        <v/>
      </c>
      <c r="E908" s="7">
        <f>'1 prepared data'!D901</f>
        <v/>
      </c>
      <c r="F908" s="7">
        <f>'1 prepared data'!E901</f>
        <v/>
      </c>
      <c r="G908" s="7">
        <f>'1 prepared data'!F901</f>
        <v/>
      </c>
      <c r="H908" s="7">
        <f>'1 prepared data'!G901</f>
        <v/>
      </c>
      <c r="I908" s="7">
        <f>'1 prepared data'!H901</f>
        <v/>
      </c>
      <c r="J908" s="7">
        <f>'1 prepared data'!I901</f>
        <v/>
      </c>
      <c r="K908" s="7">
        <f>'1 prepared data'!J901</f>
        <v/>
      </c>
      <c r="L908" s="7">
        <f>'1 prepared data'!K901</f>
        <v/>
      </c>
      <c r="M908" s="7">
        <f>'1 prepared data'!L901</f>
        <v/>
      </c>
      <c r="N908" s="7">
        <f>'1 prepared data'!M901</f>
        <v/>
      </c>
      <c r="O908" s="7">
        <f>'1 prepared data'!N901</f>
        <v/>
      </c>
      <c r="P908" s="7">
        <f>'1 prepared data'!O901</f>
        <v/>
      </c>
      <c r="Q908" s="7">
        <f>'1 prepared data'!P901</f>
        <v/>
      </c>
      <c r="R908" s="7">
        <f>'1 prepared data'!Q901</f>
        <v/>
      </c>
      <c r="S908" s="7">
        <f>'1 prepared data'!R901</f>
        <v/>
      </c>
      <c r="T908" s="7">
        <f>'1 prepared data'!S901</f>
        <v/>
      </c>
      <c r="U908" s="7">
        <f>'1 prepared data'!T901</f>
        <v/>
      </c>
      <c r="V908" s="8">
        <f>$AC$12+D908*$AC$13+E908*$AC$14+F908*$AC$15+G908*$AC$16+H908*$AC$17+I908*$AC$18+J908*$AC$19+K908*$AC$20+L908*$AC$21+M908*$AC$22+N908*$AC$23+O908*$AC$24+P908*$AC$25+Q908*$AC$26+R908*$AC$27+S908*$AC$28+T908*$AC$29+U908*$AC$30</f>
        <v/>
      </c>
      <c r="W908" s="8">
        <f>1/(1+EXP(-V908))</f>
        <v/>
      </c>
      <c r="X908" s="9">
        <f>-IF(C908=1,LN(W908),LN(1-W908))</f>
        <v/>
      </c>
      <c r="Y908" s="10">
        <f>IF(W908&gt;$AC$33,1,0)</f>
        <v/>
      </c>
      <c r="Z908">
        <f>IF(Y908=C908,1,0)</f>
        <v/>
      </c>
    </row>
    <row r="909">
      <c r="A909">
        <f>'1 prepared data'!A902</f>
        <v/>
      </c>
      <c r="B909" s="5">
        <f>'1 prepared data'!U902</f>
        <v/>
      </c>
      <c r="C909">
        <f>'1 prepared data'!B902</f>
        <v/>
      </c>
      <c r="D909" s="7">
        <f>'1 prepared data'!C902</f>
        <v/>
      </c>
      <c r="E909" s="7">
        <f>'1 prepared data'!D902</f>
        <v/>
      </c>
      <c r="F909" s="7">
        <f>'1 prepared data'!E902</f>
        <v/>
      </c>
      <c r="G909" s="7">
        <f>'1 prepared data'!F902</f>
        <v/>
      </c>
      <c r="H909" s="7">
        <f>'1 prepared data'!G902</f>
        <v/>
      </c>
      <c r="I909" s="7">
        <f>'1 prepared data'!H902</f>
        <v/>
      </c>
      <c r="J909" s="7">
        <f>'1 prepared data'!I902</f>
        <v/>
      </c>
      <c r="K909" s="7">
        <f>'1 prepared data'!J902</f>
        <v/>
      </c>
      <c r="L909" s="7">
        <f>'1 prepared data'!K902</f>
        <v/>
      </c>
      <c r="M909" s="7">
        <f>'1 prepared data'!L902</f>
        <v/>
      </c>
      <c r="N909" s="7">
        <f>'1 prepared data'!M902</f>
        <v/>
      </c>
      <c r="O909" s="7">
        <f>'1 prepared data'!N902</f>
        <v/>
      </c>
      <c r="P909" s="7">
        <f>'1 prepared data'!O902</f>
        <v/>
      </c>
      <c r="Q909" s="7">
        <f>'1 prepared data'!P902</f>
        <v/>
      </c>
      <c r="R909" s="7">
        <f>'1 prepared data'!Q902</f>
        <v/>
      </c>
      <c r="S909" s="7">
        <f>'1 prepared data'!R902</f>
        <v/>
      </c>
      <c r="T909" s="7">
        <f>'1 prepared data'!S902</f>
        <v/>
      </c>
      <c r="U909" s="7">
        <f>'1 prepared data'!T902</f>
        <v/>
      </c>
      <c r="V909" s="8">
        <f>$AC$12+D909*$AC$13+E909*$AC$14+F909*$AC$15+G909*$AC$16+H909*$AC$17+I909*$AC$18+J909*$AC$19+K909*$AC$20+L909*$AC$21+M909*$AC$22+N909*$AC$23+O909*$AC$24+P909*$AC$25+Q909*$AC$26+R909*$AC$27+S909*$AC$28+T909*$AC$29+U909*$AC$30</f>
        <v/>
      </c>
      <c r="W909" s="8">
        <f>1/(1+EXP(-V909))</f>
        <v/>
      </c>
      <c r="X909" s="9">
        <f>-IF(C909=1,LN(W909),LN(1-W909))</f>
        <v/>
      </c>
      <c r="Y909" s="10">
        <f>IF(W909&gt;$AC$33,1,0)</f>
        <v/>
      </c>
      <c r="Z909">
        <f>IF(Y909=C909,1,0)</f>
        <v/>
      </c>
    </row>
    <row r="910">
      <c r="A910">
        <f>'1 prepared data'!A903</f>
        <v/>
      </c>
      <c r="B910" s="5">
        <f>'1 prepared data'!U903</f>
        <v/>
      </c>
      <c r="C910">
        <f>'1 prepared data'!B903</f>
        <v/>
      </c>
      <c r="D910" s="7">
        <f>'1 prepared data'!C903</f>
        <v/>
      </c>
      <c r="E910" s="7">
        <f>'1 prepared data'!D903</f>
        <v/>
      </c>
      <c r="F910" s="7">
        <f>'1 prepared data'!E903</f>
        <v/>
      </c>
      <c r="G910" s="7">
        <f>'1 prepared data'!F903</f>
        <v/>
      </c>
      <c r="H910" s="7">
        <f>'1 prepared data'!G903</f>
        <v/>
      </c>
      <c r="I910" s="7">
        <f>'1 prepared data'!H903</f>
        <v/>
      </c>
      <c r="J910" s="7">
        <f>'1 prepared data'!I903</f>
        <v/>
      </c>
      <c r="K910" s="7">
        <f>'1 prepared data'!J903</f>
        <v/>
      </c>
      <c r="L910" s="7">
        <f>'1 prepared data'!K903</f>
        <v/>
      </c>
      <c r="M910" s="7">
        <f>'1 prepared data'!L903</f>
        <v/>
      </c>
      <c r="N910" s="7">
        <f>'1 prepared data'!M903</f>
        <v/>
      </c>
      <c r="O910" s="7">
        <f>'1 prepared data'!N903</f>
        <v/>
      </c>
      <c r="P910" s="7">
        <f>'1 prepared data'!O903</f>
        <v/>
      </c>
      <c r="Q910" s="7">
        <f>'1 prepared data'!P903</f>
        <v/>
      </c>
      <c r="R910" s="7">
        <f>'1 prepared data'!Q903</f>
        <v/>
      </c>
      <c r="S910" s="7">
        <f>'1 prepared data'!R903</f>
        <v/>
      </c>
      <c r="T910" s="7">
        <f>'1 prepared data'!S903</f>
        <v/>
      </c>
      <c r="U910" s="7">
        <f>'1 prepared data'!T903</f>
        <v/>
      </c>
      <c r="V910" s="8">
        <f>$AC$12+D910*$AC$13+E910*$AC$14+F910*$AC$15+G910*$AC$16+H910*$AC$17+I910*$AC$18+J910*$AC$19+K910*$AC$20+L910*$AC$21+M910*$AC$22+N910*$AC$23+O910*$AC$24+P910*$AC$25+Q910*$AC$26+R910*$AC$27+S910*$AC$28+T910*$AC$29+U910*$AC$30</f>
        <v/>
      </c>
      <c r="W910" s="8">
        <f>1/(1+EXP(-V910))</f>
        <v/>
      </c>
      <c r="X910" s="9">
        <f>-IF(C910=1,LN(W910),LN(1-W910))</f>
        <v/>
      </c>
      <c r="Y910" s="10">
        <f>IF(W910&gt;$AC$33,1,0)</f>
        <v/>
      </c>
      <c r="Z910">
        <f>IF(Y910=C910,1,0)</f>
        <v/>
      </c>
    </row>
    <row r="911">
      <c r="A911">
        <f>'1 prepared data'!A904</f>
        <v/>
      </c>
      <c r="B911" s="5">
        <f>'1 prepared data'!U904</f>
        <v/>
      </c>
      <c r="C911">
        <f>'1 prepared data'!B904</f>
        <v/>
      </c>
      <c r="D911" s="7">
        <f>'1 prepared data'!C904</f>
        <v/>
      </c>
      <c r="E911" s="7">
        <f>'1 prepared data'!D904</f>
        <v/>
      </c>
      <c r="F911" s="7">
        <f>'1 prepared data'!E904</f>
        <v/>
      </c>
      <c r="G911" s="7">
        <f>'1 prepared data'!F904</f>
        <v/>
      </c>
      <c r="H911" s="7">
        <f>'1 prepared data'!G904</f>
        <v/>
      </c>
      <c r="I911" s="7">
        <f>'1 prepared data'!H904</f>
        <v/>
      </c>
      <c r="J911" s="7">
        <f>'1 prepared data'!I904</f>
        <v/>
      </c>
      <c r="K911" s="7">
        <f>'1 prepared data'!J904</f>
        <v/>
      </c>
      <c r="L911" s="7">
        <f>'1 prepared data'!K904</f>
        <v/>
      </c>
      <c r="M911" s="7">
        <f>'1 prepared data'!L904</f>
        <v/>
      </c>
      <c r="N911" s="7">
        <f>'1 prepared data'!M904</f>
        <v/>
      </c>
      <c r="O911" s="7">
        <f>'1 prepared data'!N904</f>
        <v/>
      </c>
      <c r="P911" s="7">
        <f>'1 prepared data'!O904</f>
        <v/>
      </c>
      <c r="Q911" s="7">
        <f>'1 prepared data'!P904</f>
        <v/>
      </c>
      <c r="R911" s="7">
        <f>'1 prepared data'!Q904</f>
        <v/>
      </c>
      <c r="S911" s="7">
        <f>'1 prepared data'!R904</f>
        <v/>
      </c>
      <c r="T911" s="7">
        <f>'1 prepared data'!S904</f>
        <v/>
      </c>
      <c r="U911" s="7">
        <f>'1 prepared data'!T904</f>
        <v/>
      </c>
      <c r="V911" s="8">
        <f>$AC$12+D911*$AC$13+E911*$AC$14+F911*$AC$15+G911*$AC$16+H911*$AC$17+I911*$AC$18+J911*$AC$19+K911*$AC$20+L911*$AC$21+M911*$AC$22+N911*$AC$23+O911*$AC$24+P911*$AC$25+Q911*$AC$26+R911*$AC$27+S911*$AC$28+T911*$AC$29+U911*$AC$30</f>
        <v/>
      </c>
      <c r="W911" s="8">
        <f>1/(1+EXP(-V911))</f>
        <v/>
      </c>
      <c r="X911" s="9">
        <f>-IF(C911=1,LN(W911),LN(1-W911))</f>
        <v/>
      </c>
      <c r="Y911" s="10">
        <f>IF(W911&gt;$AC$33,1,0)</f>
        <v/>
      </c>
      <c r="Z911">
        <f>IF(Y911=C911,1,0)</f>
        <v/>
      </c>
    </row>
    <row r="912">
      <c r="A912">
        <f>'1 prepared data'!A905</f>
        <v/>
      </c>
      <c r="B912" s="5">
        <f>'1 prepared data'!U905</f>
        <v/>
      </c>
      <c r="C912">
        <f>'1 prepared data'!B905</f>
        <v/>
      </c>
      <c r="D912" s="7">
        <f>'1 prepared data'!C905</f>
        <v/>
      </c>
      <c r="E912" s="7">
        <f>'1 prepared data'!D905</f>
        <v/>
      </c>
      <c r="F912" s="7">
        <f>'1 prepared data'!E905</f>
        <v/>
      </c>
      <c r="G912" s="7">
        <f>'1 prepared data'!F905</f>
        <v/>
      </c>
      <c r="H912" s="7">
        <f>'1 prepared data'!G905</f>
        <v/>
      </c>
      <c r="I912" s="7">
        <f>'1 prepared data'!H905</f>
        <v/>
      </c>
      <c r="J912" s="7">
        <f>'1 prepared data'!I905</f>
        <v/>
      </c>
      <c r="K912" s="7">
        <f>'1 prepared data'!J905</f>
        <v/>
      </c>
      <c r="L912" s="7">
        <f>'1 prepared data'!K905</f>
        <v/>
      </c>
      <c r="M912" s="7">
        <f>'1 prepared data'!L905</f>
        <v/>
      </c>
      <c r="N912" s="7">
        <f>'1 prepared data'!M905</f>
        <v/>
      </c>
      <c r="O912" s="7">
        <f>'1 prepared data'!N905</f>
        <v/>
      </c>
      <c r="P912" s="7">
        <f>'1 prepared data'!O905</f>
        <v/>
      </c>
      <c r="Q912" s="7">
        <f>'1 prepared data'!P905</f>
        <v/>
      </c>
      <c r="R912" s="7">
        <f>'1 prepared data'!Q905</f>
        <v/>
      </c>
      <c r="S912" s="7">
        <f>'1 prepared data'!R905</f>
        <v/>
      </c>
      <c r="T912" s="7">
        <f>'1 prepared data'!S905</f>
        <v/>
      </c>
      <c r="U912" s="7">
        <f>'1 prepared data'!T905</f>
        <v/>
      </c>
      <c r="V912" s="8">
        <f>$AC$12+D912*$AC$13+E912*$AC$14+F912*$AC$15+G912*$AC$16+H912*$AC$17+I912*$AC$18+J912*$AC$19+K912*$AC$20+L912*$AC$21+M912*$AC$22+N912*$AC$23+O912*$AC$24+P912*$AC$25+Q912*$AC$26+R912*$AC$27+S912*$AC$28+T912*$AC$29+U912*$AC$30</f>
        <v/>
      </c>
      <c r="W912" s="8">
        <f>1/(1+EXP(-V912))</f>
        <v/>
      </c>
      <c r="X912" s="9">
        <f>-IF(C912=1,LN(W912),LN(1-W912))</f>
        <v/>
      </c>
      <c r="Y912" s="10">
        <f>IF(W912&gt;$AC$33,1,0)</f>
        <v/>
      </c>
      <c r="Z912">
        <f>IF(Y912=C912,1,0)</f>
        <v/>
      </c>
    </row>
    <row r="913">
      <c r="A913">
        <f>'1 prepared data'!A906</f>
        <v/>
      </c>
      <c r="B913" s="5">
        <f>'1 prepared data'!U906</f>
        <v/>
      </c>
      <c r="C913">
        <f>'1 prepared data'!B906</f>
        <v/>
      </c>
      <c r="D913" s="7">
        <f>'1 prepared data'!C906</f>
        <v/>
      </c>
      <c r="E913" s="7">
        <f>'1 prepared data'!D906</f>
        <v/>
      </c>
      <c r="F913" s="7">
        <f>'1 prepared data'!E906</f>
        <v/>
      </c>
      <c r="G913" s="7">
        <f>'1 prepared data'!F906</f>
        <v/>
      </c>
      <c r="H913" s="7">
        <f>'1 prepared data'!G906</f>
        <v/>
      </c>
      <c r="I913" s="7">
        <f>'1 prepared data'!H906</f>
        <v/>
      </c>
      <c r="J913" s="7">
        <f>'1 prepared data'!I906</f>
        <v/>
      </c>
      <c r="K913" s="7">
        <f>'1 prepared data'!J906</f>
        <v/>
      </c>
      <c r="L913" s="7">
        <f>'1 prepared data'!K906</f>
        <v/>
      </c>
      <c r="M913" s="7">
        <f>'1 prepared data'!L906</f>
        <v/>
      </c>
      <c r="N913" s="7">
        <f>'1 prepared data'!M906</f>
        <v/>
      </c>
      <c r="O913" s="7">
        <f>'1 prepared data'!N906</f>
        <v/>
      </c>
      <c r="P913" s="7">
        <f>'1 prepared data'!O906</f>
        <v/>
      </c>
      <c r="Q913" s="7">
        <f>'1 prepared data'!P906</f>
        <v/>
      </c>
      <c r="R913" s="7">
        <f>'1 prepared data'!Q906</f>
        <v/>
      </c>
      <c r="S913" s="7">
        <f>'1 prepared data'!R906</f>
        <v/>
      </c>
      <c r="T913" s="7">
        <f>'1 prepared data'!S906</f>
        <v/>
      </c>
      <c r="U913" s="7">
        <f>'1 prepared data'!T906</f>
        <v/>
      </c>
      <c r="V913" s="8">
        <f>$AC$12+D913*$AC$13+E913*$AC$14+F913*$AC$15+G913*$AC$16+H913*$AC$17+I913*$AC$18+J913*$AC$19+K913*$AC$20+L913*$AC$21+M913*$AC$22+N913*$AC$23+O913*$AC$24+P913*$AC$25+Q913*$AC$26+R913*$AC$27+S913*$AC$28+T913*$AC$29+U913*$AC$30</f>
        <v/>
      </c>
      <c r="W913" s="8">
        <f>1/(1+EXP(-V913))</f>
        <v/>
      </c>
      <c r="X913" s="9">
        <f>-IF(C913=1,LN(W913),LN(1-W913))</f>
        <v/>
      </c>
      <c r="Y913" s="10">
        <f>IF(W913&gt;$AC$33,1,0)</f>
        <v/>
      </c>
      <c r="Z913">
        <f>IF(Y913=C913,1,0)</f>
        <v/>
      </c>
    </row>
    <row r="914">
      <c r="A914">
        <f>'1 prepared data'!A907</f>
        <v/>
      </c>
      <c r="B914" s="5">
        <f>'1 prepared data'!U907</f>
        <v/>
      </c>
      <c r="C914">
        <f>'1 prepared data'!B907</f>
        <v/>
      </c>
      <c r="D914" s="7">
        <f>'1 prepared data'!C907</f>
        <v/>
      </c>
      <c r="E914" s="7">
        <f>'1 prepared data'!D907</f>
        <v/>
      </c>
      <c r="F914" s="7">
        <f>'1 prepared data'!E907</f>
        <v/>
      </c>
      <c r="G914" s="7">
        <f>'1 prepared data'!F907</f>
        <v/>
      </c>
      <c r="H914" s="7">
        <f>'1 prepared data'!G907</f>
        <v/>
      </c>
      <c r="I914" s="7">
        <f>'1 prepared data'!H907</f>
        <v/>
      </c>
      <c r="J914" s="7">
        <f>'1 prepared data'!I907</f>
        <v/>
      </c>
      <c r="K914" s="7">
        <f>'1 prepared data'!J907</f>
        <v/>
      </c>
      <c r="L914" s="7">
        <f>'1 prepared data'!K907</f>
        <v/>
      </c>
      <c r="M914" s="7">
        <f>'1 prepared data'!L907</f>
        <v/>
      </c>
      <c r="N914" s="7">
        <f>'1 prepared data'!M907</f>
        <v/>
      </c>
      <c r="O914" s="7">
        <f>'1 prepared data'!N907</f>
        <v/>
      </c>
      <c r="P914" s="7">
        <f>'1 prepared data'!O907</f>
        <v/>
      </c>
      <c r="Q914" s="7">
        <f>'1 prepared data'!P907</f>
        <v/>
      </c>
      <c r="R914" s="7">
        <f>'1 prepared data'!Q907</f>
        <v/>
      </c>
      <c r="S914" s="7">
        <f>'1 prepared data'!R907</f>
        <v/>
      </c>
      <c r="T914" s="7">
        <f>'1 prepared data'!S907</f>
        <v/>
      </c>
      <c r="U914" s="7">
        <f>'1 prepared data'!T907</f>
        <v/>
      </c>
      <c r="V914" s="8">
        <f>$AC$12+D914*$AC$13+E914*$AC$14+F914*$AC$15+G914*$AC$16+H914*$AC$17+I914*$AC$18+J914*$AC$19+K914*$AC$20+L914*$AC$21+M914*$AC$22+N914*$AC$23+O914*$AC$24+P914*$AC$25+Q914*$AC$26+R914*$AC$27+S914*$AC$28+T914*$AC$29+U914*$AC$30</f>
        <v/>
      </c>
      <c r="W914" s="8">
        <f>1/(1+EXP(-V914))</f>
        <v/>
      </c>
      <c r="X914" s="9">
        <f>-IF(C914=1,LN(W914),LN(1-W914))</f>
        <v/>
      </c>
      <c r="Y914" s="10">
        <f>IF(W914&gt;$AC$33,1,0)</f>
        <v/>
      </c>
      <c r="Z914">
        <f>IF(Y914=C914,1,0)</f>
        <v/>
      </c>
    </row>
    <row r="915">
      <c r="A915">
        <f>'1 prepared data'!A908</f>
        <v/>
      </c>
      <c r="B915" s="5">
        <f>'1 prepared data'!U908</f>
        <v/>
      </c>
      <c r="C915">
        <f>'1 prepared data'!B908</f>
        <v/>
      </c>
      <c r="D915" s="7">
        <f>'1 prepared data'!C908</f>
        <v/>
      </c>
      <c r="E915" s="7">
        <f>'1 prepared data'!D908</f>
        <v/>
      </c>
      <c r="F915" s="7">
        <f>'1 prepared data'!E908</f>
        <v/>
      </c>
      <c r="G915" s="7">
        <f>'1 prepared data'!F908</f>
        <v/>
      </c>
      <c r="H915" s="7">
        <f>'1 prepared data'!G908</f>
        <v/>
      </c>
      <c r="I915" s="7">
        <f>'1 prepared data'!H908</f>
        <v/>
      </c>
      <c r="J915" s="7">
        <f>'1 prepared data'!I908</f>
        <v/>
      </c>
      <c r="K915" s="7">
        <f>'1 prepared data'!J908</f>
        <v/>
      </c>
      <c r="L915" s="7">
        <f>'1 prepared data'!K908</f>
        <v/>
      </c>
      <c r="M915" s="7">
        <f>'1 prepared data'!L908</f>
        <v/>
      </c>
      <c r="N915" s="7">
        <f>'1 prepared data'!M908</f>
        <v/>
      </c>
      <c r="O915" s="7">
        <f>'1 prepared data'!N908</f>
        <v/>
      </c>
      <c r="P915" s="7">
        <f>'1 prepared data'!O908</f>
        <v/>
      </c>
      <c r="Q915" s="7">
        <f>'1 prepared data'!P908</f>
        <v/>
      </c>
      <c r="R915" s="7">
        <f>'1 prepared data'!Q908</f>
        <v/>
      </c>
      <c r="S915" s="7">
        <f>'1 prepared data'!R908</f>
        <v/>
      </c>
      <c r="T915" s="7">
        <f>'1 prepared data'!S908</f>
        <v/>
      </c>
      <c r="U915" s="7">
        <f>'1 prepared data'!T908</f>
        <v/>
      </c>
      <c r="V915" s="8">
        <f>$AC$12+D915*$AC$13+E915*$AC$14+F915*$AC$15+G915*$AC$16+H915*$AC$17+I915*$AC$18+J915*$AC$19+K915*$AC$20+L915*$AC$21+M915*$AC$22+N915*$AC$23+O915*$AC$24+P915*$AC$25+Q915*$AC$26+R915*$AC$27+S915*$AC$28+T915*$AC$29+U915*$AC$30</f>
        <v/>
      </c>
      <c r="W915" s="8">
        <f>1/(1+EXP(-V915))</f>
        <v/>
      </c>
      <c r="X915" s="9">
        <f>-IF(C915=1,LN(W915),LN(1-W915))</f>
        <v/>
      </c>
      <c r="Y915" s="10">
        <f>IF(W915&gt;$AC$33,1,0)</f>
        <v/>
      </c>
      <c r="Z915">
        <f>IF(Y915=C915,1,0)</f>
        <v/>
      </c>
    </row>
    <row r="916">
      <c r="A916">
        <f>'1 prepared data'!A909</f>
        <v/>
      </c>
      <c r="B916" s="5">
        <f>'1 prepared data'!U909</f>
        <v/>
      </c>
      <c r="C916">
        <f>'1 prepared data'!B909</f>
        <v/>
      </c>
      <c r="D916" s="7">
        <f>'1 prepared data'!C909</f>
        <v/>
      </c>
      <c r="E916" s="7">
        <f>'1 prepared data'!D909</f>
        <v/>
      </c>
      <c r="F916" s="7">
        <f>'1 prepared data'!E909</f>
        <v/>
      </c>
      <c r="G916" s="7">
        <f>'1 prepared data'!F909</f>
        <v/>
      </c>
      <c r="H916" s="7">
        <f>'1 prepared data'!G909</f>
        <v/>
      </c>
      <c r="I916" s="7">
        <f>'1 prepared data'!H909</f>
        <v/>
      </c>
      <c r="J916" s="7">
        <f>'1 prepared data'!I909</f>
        <v/>
      </c>
      <c r="K916" s="7">
        <f>'1 prepared data'!J909</f>
        <v/>
      </c>
      <c r="L916" s="7">
        <f>'1 prepared data'!K909</f>
        <v/>
      </c>
      <c r="M916" s="7">
        <f>'1 prepared data'!L909</f>
        <v/>
      </c>
      <c r="N916" s="7">
        <f>'1 prepared data'!M909</f>
        <v/>
      </c>
      <c r="O916" s="7">
        <f>'1 prepared data'!N909</f>
        <v/>
      </c>
      <c r="P916" s="7">
        <f>'1 prepared data'!O909</f>
        <v/>
      </c>
      <c r="Q916" s="7">
        <f>'1 prepared data'!P909</f>
        <v/>
      </c>
      <c r="R916" s="7">
        <f>'1 prepared data'!Q909</f>
        <v/>
      </c>
      <c r="S916" s="7">
        <f>'1 prepared data'!R909</f>
        <v/>
      </c>
      <c r="T916" s="7">
        <f>'1 prepared data'!S909</f>
        <v/>
      </c>
      <c r="U916" s="7">
        <f>'1 prepared data'!T909</f>
        <v/>
      </c>
      <c r="V916" s="8">
        <f>$AC$12+D916*$AC$13+E916*$AC$14+F916*$AC$15+G916*$AC$16+H916*$AC$17+I916*$AC$18+J916*$AC$19+K916*$AC$20+L916*$AC$21+M916*$AC$22+N916*$AC$23+O916*$AC$24+P916*$AC$25+Q916*$AC$26+R916*$AC$27+S916*$AC$28+T916*$AC$29+U916*$AC$30</f>
        <v/>
      </c>
      <c r="W916" s="8">
        <f>1/(1+EXP(-V916))</f>
        <v/>
      </c>
      <c r="X916" s="9">
        <f>-IF(C916=1,LN(W916),LN(1-W916))</f>
        <v/>
      </c>
      <c r="Y916" s="10">
        <f>IF(W916&gt;$AC$33,1,0)</f>
        <v/>
      </c>
      <c r="Z916">
        <f>IF(Y916=C916,1,0)</f>
        <v/>
      </c>
    </row>
    <row r="917">
      <c r="A917">
        <f>'1 prepared data'!A910</f>
        <v/>
      </c>
      <c r="B917" s="5">
        <f>'1 prepared data'!U910</f>
        <v/>
      </c>
      <c r="C917">
        <f>'1 prepared data'!B910</f>
        <v/>
      </c>
      <c r="D917" s="7">
        <f>'1 prepared data'!C910</f>
        <v/>
      </c>
      <c r="E917" s="7">
        <f>'1 prepared data'!D910</f>
        <v/>
      </c>
      <c r="F917" s="7">
        <f>'1 prepared data'!E910</f>
        <v/>
      </c>
      <c r="G917" s="7">
        <f>'1 prepared data'!F910</f>
        <v/>
      </c>
      <c r="H917" s="7">
        <f>'1 prepared data'!G910</f>
        <v/>
      </c>
      <c r="I917" s="7">
        <f>'1 prepared data'!H910</f>
        <v/>
      </c>
      <c r="J917" s="7">
        <f>'1 prepared data'!I910</f>
        <v/>
      </c>
      <c r="K917" s="7">
        <f>'1 prepared data'!J910</f>
        <v/>
      </c>
      <c r="L917" s="7">
        <f>'1 prepared data'!K910</f>
        <v/>
      </c>
      <c r="M917" s="7">
        <f>'1 prepared data'!L910</f>
        <v/>
      </c>
      <c r="N917" s="7">
        <f>'1 prepared data'!M910</f>
        <v/>
      </c>
      <c r="O917" s="7">
        <f>'1 prepared data'!N910</f>
        <v/>
      </c>
      <c r="P917" s="7">
        <f>'1 prepared data'!O910</f>
        <v/>
      </c>
      <c r="Q917" s="7">
        <f>'1 prepared data'!P910</f>
        <v/>
      </c>
      <c r="R917" s="7">
        <f>'1 prepared data'!Q910</f>
        <v/>
      </c>
      <c r="S917" s="7">
        <f>'1 prepared data'!R910</f>
        <v/>
      </c>
      <c r="T917" s="7">
        <f>'1 prepared data'!S910</f>
        <v/>
      </c>
      <c r="U917" s="7">
        <f>'1 prepared data'!T910</f>
        <v/>
      </c>
      <c r="V917" s="8">
        <f>$AC$12+D917*$AC$13+E917*$AC$14+F917*$AC$15+G917*$AC$16+H917*$AC$17+I917*$AC$18+J917*$AC$19+K917*$AC$20+L917*$AC$21+M917*$AC$22+N917*$AC$23+O917*$AC$24+P917*$AC$25+Q917*$AC$26+R917*$AC$27+S917*$AC$28+T917*$AC$29+U917*$AC$30</f>
        <v/>
      </c>
      <c r="W917" s="8">
        <f>1/(1+EXP(-V917))</f>
        <v/>
      </c>
      <c r="X917" s="9">
        <f>-IF(C917=1,LN(W917),LN(1-W917))</f>
        <v/>
      </c>
      <c r="Y917" s="10">
        <f>IF(W917&gt;$AC$33,1,0)</f>
        <v/>
      </c>
      <c r="Z917">
        <f>IF(Y917=C917,1,0)</f>
        <v/>
      </c>
    </row>
    <row r="918">
      <c r="A918">
        <f>'1 prepared data'!A911</f>
        <v/>
      </c>
      <c r="B918" s="5">
        <f>'1 prepared data'!U911</f>
        <v/>
      </c>
      <c r="C918">
        <f>'1 prepared data'!B911</f>
        <v/>
      </c>
      <c r="D918" s="7">
        <f>'1 prepared data'!C911</f>
        <v/>
      </c>
      <c r="E918" s="7">
        <f>'1 prepared data'!D911</f>
        <v/>
      </c>
      <c r="F918" s="7">
        <f>'1 prepared data'!E911</f>
        <v/>
      </c>
      <c r="G918" s="7">
        <f>'1 prepared data'!F911</f>
        <v/>
      </c>
      <c r="H918" s="7">
        <f>'1 prepared data'!G911</f>
        <v/>
      </c>
      <c r="I918" s="7">
        <f>'1 prepared data'!H911</f>
        <v/>
      </c>
      <c r="J918" s="7">
        <f>'1 prepared data'!I911</f>
        <v/>
      </c>
      <c r="K918" s="7">
        <f>'1 prepared data'!J911</f>
        <v/>
      </c>
      <c r="L918" s="7">
        <f>'1 prepared data'!K911</f>
        <v/>
      </c>
      <c r="M918" s="7">
        <f>'1 prepared data'!L911</f>
        <v/>
      </c>
      <c r="N918" s="7">
        <f>'1 prepared data'!M911</f>
        <v/>
      </c>
      <c r="O918" s="7">
        <f>'1 prepared data'!N911</f>
        <v/>
      </c>
      <c r="P918" s="7">
        <f>'1 prepared data'!O911</f>
        <v/>
      </c>
      <c r="Q918" s="7">
        <f>'1 prepared data'!P911</f>
        <v/>
      </c>
      <c r="R918" s="7">
        <f>'1 prepared data'!Q911</f>
        <v/>
      </c>
      <c r="S918" s="7">
        <f>'1 prepared data'!R911</f>
        <v/>
      </c>
      <c r="T918" s="7">
        <f>'1 prepared data'!S911</f>
        <v/>
      </c>
      <c r="U918" s="7">
        <f>'1 prepared data'!T911</f>
        <v/>
      </c>
      <c r="V918" s="8">
        <f>$AC$12+D918*$AC$13+E918*$AC$14+F918*$AC$15+G918*$AC$16+H918*$AC$17+I918*$AC$18+J918*$AC$19+K918*$AC$20+L918*$AC$21+M918*$AC$22+N918*$AC$23+O918*$AC$24+P918*$AC$25+Q918*$AC$26+R918*$AC$27+S918*$AC$28+T918*$AC$29+U918*$AC$30</f>
        <v/>
      </c>
      <c r="W918" s="8">
        <f>1/(1+EXP(-V918))</f>
        <v/>
      </c>
      <c r="X918" s="9">
        <f>-IF(C918=1,LN(W918),LN(1-W918))</f>
        <v/>
      </c>
      <c r="Y918" s="10">
        <f>IF(W918&gt;$AC$33,1,0)</f>
        <v/>
      </c>
      <c r="Z918">
        <f>IF(Y918=C918,1,0)</f>
        <v/>
      </c>
    </row>
    <row r="919">
      <c r="A919">
        <f>'1 prepared data'!A912</f>
        <v/>
      </c>
      <c r="B919" s="5">
        <f>'1 prepared data'!U912</f>
        <v/>
      </c>
      <c r="C919">
        <f>'1 prepared data'!B912</f>
        <v/>
      </c>
      <c r="D919" s="7">
        <f>'1 prepared data'!C912</f>
        <v/>
      </c>
      <c r="E919" s="7">
        <f>'1 prepared data'!D912</f>
        <v/>
      </c>
      <c r="F919" s="7">
        <f>'1 prepared data'!E912</f>
        <v/>
      </c>
      <c r="G919" s="7">
        <f>'1 prepared data'!F912</f>
        <v/>
      </c>
      <c r="H919" s="7">
        <f>'1 prepared data'!G912</f>
        <v/>
      </c>
      <c r="I919" s="7">
        <f>'1 prepared data'!H912</f>
        <v/>
      </c>
      <c r="J919" s="7">
        <f>'1 prepared data'!I912</f>
        <v/>
      </c>
      <c r="K919" s="7">
        <f>'1 prepared data'!J912</f>
        <v/>
      </c>
      <c r="L919" s="7">
        <f>'1 prepared data'!K912</f>
        <v/>
      </c>
      <c r="M919" s="7">
        <f>'1 prepared data'!L912</f>
        <v/>
      </c>
      <c r="N919" s="7">
        <f>'1 prepared data'!M912</f>
        <v/>
      </c>
      <c r="O919" s="7">
        <f>'1 prepared data'!N912</f>
        <v/>
      </c>
      <c r="P919" s="7">
        <f>'1 prepared data'!O912</f>
        <v/>
      </c>
      <c r="Q919" s="7">
        <f>'1 prepared data'!P912</f>
        <v/>
      </c>
      <c r="R919" s="7">
        <f>'1 prepared data'!Q912</f>
        <v/>
      </c>
      <c r="S919" s="7">
        <f>'1 prepared data'!R912</f>
        <v/>
      </c>
      <c r="T919" s="7">
        <f>'1 prepared data'!S912</f>
        <v/>
      </c>
      <c r="U919" s="7">
        <f>'1 prepared data'!T912</f>
        <v/>
      </c>
      <c r="V919" s="8">
        <f>$AC$12+D919*$AC$13+E919*$AC$14+F919*$AC$15+G919*$AC$16+H919*$AC$17+I919*$AC$18+J919*$AC$19+K919*$AC$20+L919*$AC$21+M919*$AC$22+N919*$AC$23+O919*$AC$24+P919*$AC$25+Q919*$AC$26+R919*$AC$27+S919*$AC$28+T919*$AC$29+U919*$AC$30</f>
        <v/>
      </c>
      <c r="W919" s="8">
        <f>1/(1+EXP(-V919))</f>
        <v/>
      </c>
      <c r="X919" s="9">
        <f>-IF(C919=1,LN(W919),LN(1-W919))</f>
        <v/>
      </c>
      <c r="Y919" s="10">
        <f>IF(W919&gt;$AC$33,1,0)</f>
        <v/>
      </c>
      <c r="Z919">
        <f>IF(Y919=C919,1,0)</f>
        <v/>
      </c>
    </row>
    <row r="920">
      <c r="A920">
        <f>'1 prepared data'!A913</f>
        <v/>
      </c>
      <c r="B920" s="5">
        <f>'1 prepared data'!U913</f>
        <v/>
      </c>
      <c r="C920">
        <f>'1 prepared data'!B913</f>
        <v/>
      </c>
      <c r="D920" s="7">
        <f>'1 prepared data'!C913</f>
        <v/>
      </c>
      <c r="E920" s="7">
        <f>'1 prepared data'!D913</f>
        <v/>
      </c>
      <c r="F920" s="7">
        <f>'1 prepared data'!E913</f>
        <v/>
      </c>
      <c r="G920" s="7">
        <f>'1 prepared data'!F913</f>
        <v/>
      </c>
      <c r="H920" s="7">
        <f>'1 prepared data'!G913</f>
        <v/>
      </c>
      <c r="I920" s="7">
        <f>'1 prepared data'!H913</f>
        <v/>
      </c>
      <c r="J920" s="7">
        <f>'1 prepared data'!I913</f>
        <v/>
      </c>
      <c r="K920" s="7">
        <f>'1 prepared data'!J913</f>
        <v/>
      </c>
      <c r="L920" s="7">
        <f>'1 prepared data'!K913</f>
        <v/>
      </c>
      <c r="M920" s="7">
        <f>'1 prepared data'!L913</f>
        <v/>
      </c>
      <c r="N920" s="7">
        <f>'1 prepared data'!M913</f>
        <v/>
      </c>
      <c r="O920" s="7">
        <f>'1 prepared data'!N913</f>
        <v/>
      </c>
      <c r="P920" s="7">
        <f>'1 prepared data'!O913</f>
        <v/>
      </c>
      <c r="Q920" s="7">
        <f>'1 prepared data'!P913</f>
        <v/>
      </c>
      <c r="R920" s="7">
        <f>'1 prepared data'!Q913</f>
        <v/>
      </c>
      <c r="S920" s="7">
        <f>'1 prepared data'!R913</f>
        <v/>
      </c>
      <c r="T920" s="7">
        <f>'1 prepared data'!S913</f>
        <v/>
      </c>
      <c r="U920" s="7">
        <f>'1 prepared data'!T913</f>
        <v/>
      </c>
      <c r="V920" s="8">
        <f>$AC$12+D920*$AC$13+E920*$AC$14+F920*$AC$15+G920*$AC$16+H920*$AC$17+I920*$AC$18+J920*$AC$19+K920*$AC$20+L920*$AC$21+M920*$AC$22+N920*$AC$23+O920*$AC$24+P920*$AC$25+Q920*$AC$26+R920*$AC$27+S920*$AC$28+T920*$AC$29+U920*$AC$30</f>
        <v/>
      </c>
      <c r="W920" s="8">
        <f>1/(1+EXP(-V920))</f>
        <v/>
      </c>
      <c r="X920" s="9">
        <f>-IF(C920=1,LN(W920),LN(1-W920))</f>
        <v/>
      </c>
      <c r="Y920" s="10">
        <f>IF(W920&gt;$AC$33,1,0)</f>
        <v/>
      </c>
      <c r="Z920">
        <f>IF(Y920=C920,1,0)</f>
        <v/>
      </c>
    </row>
    <row r="921">
      <c r="A921">
        <f>'1 prepared data'!A914</f>
        <v/>
      </c>
      <c r="B921" s="5">
        <f>'1 prepared data'!U914</f>
        <v/>
      </c>
      <c r="C921">
        <f>'1 prepared data'!B914</f>
        <v/>
      </c>
      <c r="D921" s="7">
        <f>'1 prepared data'!C914</f>
        <v/>
      </c>
      <c r="E921" s="7">
        <f>'1 prepared data'!D914</f>
        <v/>
      </c>
      <c r="F921" s="7">
        <f>'1 prepared data'!E914</f>
        <v/>
      </c>
      <c r="G921" s="7">
        <f>'1 prepared data'!F914</f>
        <v/>
      </c>
      <c r="H921" s="7">
        <f>'1 prepared data'!G914</f>
        <v/>
      </c>
      <c r="I921" s="7">
        <f>'1 prepared data'!H914</f>
        <v/>
      </c>
      <c r="J921" s="7">
        <f>'1 prepared data'!I914</f>
        <v/>
      </c>
      <c r="K921" s="7">
        <f>'1 prepared data'!J914</f>
        <v/>
      </c>
      <c r="L921" s="7">
        <f>'1 prepared data'!K914</f>
        <v/>
      </c>
      <c r="M921" s="7">
        <f>'1 prepared data'!L914</f>
        <v/>
      </c>
      <c r="N921" s="7">
        <f>'1 prepared data'!M914</f>
        <v/>
      </c>
      <c r="O921" s="7">
        <f>'1 prepared data'!N914</f>
        <v/>
      </c>
      <c r="P921" s="7">
        <f>'1 prepared data'!O914</f>
        <v/>
      </c>
      <c r="Q921" s="7">
        <f>'1 prepared data'!P914</f>
        <v/>
      </c>
      <c r="R921" s="7">
        <f>'1 prepared data'!Q914</f>
        <v/>
      </c>
      <c r="S921" s="7">
        <f>'1 prepared data'!R914</f>
        <v/>
      </c>
      <c r="T921" s="7">
        <f>'1 prepared data'!S914</f>
        <v/>
      </c>
      <c r="U921" s="7">
        <f>'1 prepared data'!T914</f>
        <v/>
      </c>
      <c r="V921" s="8">
        <f>$AC$12+D921*$AC$13+E921*$AC$14+F921*$AC$15+G921*$AC$16+H921*$AC$17+I921*$AC$18+J921*$AC$19+K921*$AC$20+L921*$AC$21+M921*$AC$22+N921*$AC$23+O921*$AC$24+P921*$AC$25+Q921*$AC$26+R921*$AC$27+S921*$AC$28+T921*$AC$29+U921*$AC$30</f>
        <v/>
      </c>
      <c r="W921" s="8">
        <f>1/(1+EXP(-V921))</f>
        <v/>
      </c>
      <c r="X921" s="9">
        <f>-IF(C921=1,LN(W921),LN(1-W921))</f>
        <v/>
      </c>
      <c r="Y921" s="10">
        <f>IF(W921&gt;$AC$33,1,0)</f>
        <v/>
      </c>
      <c r="Z921">
        <f>IF(Y921=C921,1,0)</f>
        <v/>
      </c>
    </row>
    <row r="922">
      <c r="A922">
        <f>'1 prepared data'!A915</f>
        <v/>
      </c>
      <c r="B922" s="5">
        <f>'1 prepared data'!U915</f>
        <v/>
      </c>
      <c r="C922">
        <f>'1 prepared data'!B915</f>
        <v/>
      </c>
      <c r="D922" s="7">
        <f>'1 prepared data'!C915</f>
        <v/>
      </c>
      <c r="E922" s="7">
        <f>'1 prepared data'!D915</f>
        <v/>
      </c>
      <c r="F922" s="7">
        <f>'1 prepared data'!E915</f>
        <v/>
      </c>
      <c r="G922" s="7">
        <f>'1 prepared data'!F915</f>
        <v/>
      </c>
      <c r="H922" s="7">
        <f>'1 prepared data'!G915</f>
        <v/>
      </c>
      <c r="I922" s="7">
        <f>'1 prepared data'!H915</f>
        <v/>
      </c>
      <c r="J922" s="7">
        <f>'1 prepared data'!I915</f>
        <v/>
      </c>
      <c r="K922" s="7">
        <f>'1 prepared data'!J915</f>
        <v/>
      </c>
      <c r="L922" s="7">
        <f>'1 prepared data'!K915</f>
        <v/>
      </c>
      <c r="M922" s="7">
        <f>'1 prepared data'!L915</f>
        <v/>
      </c>
      <c r="N922" s="7">
        <f>'1 prepared data'!M915</f>
        <v/>
      </c>
      <c r="O922" s="7">
        <f>'1 prepared data'!N915</f>
        <v/>
      </c>
      <c r="P922" s="7">
        <f>'1 prepared data'!O915</f>
        <v/>
      </c>
      <c r="Q922" s="7">
        <f>'1 prepared data'!P915</f>
        <v/>
      </c>
      <c r="R922" s="7">
        <f>'1 prepared data'!Q915</f>
        <v/>
      </c>
      <c r="S922" s="7">
        <f>'1 prepared data'!R915</f>
        <v/>
      </c>
      <c r="T922" s="7">
        <f>'1 prepared data'!S915</f>
        <v/>
      </c>
      <c r="U922" s="7">
        <f>'1 prepared data'!T915</f>
        <v/>
      </c>
      <c r="V922" s="8">
        <f>$AC$12+D922*$AC$13+E922*$AC$14+F922*$AC$15+G922*$AC$16+H922*$AC$17+I922*$AC$18+J922*$AC$19+K922*$AC$20+L922*$AC$21+M922*$AC$22+N922*$AC$23+O922*$AC$24+P922*$AC$25+Q922*$AC$26+R922*$AC$27+S922*$AC$28+T922*$AC$29+U922*$AC$30</f>
        <v/>
      </c>
      <c r="W922" s="8">
        <f>1/(1+EXP(-V922))</f>
        <v/>
      </c>
      <c r="X922" s="9">
        <f>-IF(C922=1,LN(W922),LN(1-W922))</f>
        <v/>
      </c>
      <c r="Y922" s="10">
        <f>IF(W922&gt;$AC$33,1,0)</f>
        <v/>
      </c>
      <c r="Z922">
        <f>IF(Y922=C922,1,0)</f>
        <v/>
      </c>
    </row>
    <row r="923">
      <c r="A923">
        <f>'1 prepared data'!A916</f>
        <v/>
      </c>
      <c r="B923" s="5">
        <f>'1 prepared data'!U916</f>
        <v/>
      </c>
      <c r="C923">
        <f>'1 prepared data'!B916</f>
        <v/>
      </c>
      <c r="D923" s="7">
        <f>'1 prepared data'!C916</f>
        <v/>
      </c>
      <c r="E923" s="7">
        <f>'1 prepared data'!D916</f>
        <v/>
      </c>
      <c r="F923" s="7">
        <f>'1 prepared data'!E916</f>
        <v/>
      </c>
      <c r="G923" s="7">
        <f>'1 prepared data'!F916</f>
        <v/>
      </c>
      <c r="H923" s="7">
        <f>'1 prepared data'!G916</f>
        <v/>
      </c>
      <c r="I923" s="7">
        <f>'1 prepared data'!H916</f>
        <v/>
      </c>
      <c r="J923" s="7">
        <f>'1 prepared data'!I916</f>
        <v/>
      </c>
      <c r="K923" s="7">
        <f>'1 prepared data'!J916</f>
        <v/>
      </c>
      <c r="L923" s="7">
        <f>'1 prepared data'!K916</f>
        <v/>
      </c>
      <c r="M923" s="7">
        <f>'1 prepared data'!L916</f>
        <v/>
      </c>
      <c r="N923" s="7">
        <f>'1 prepared data'!M916</f>
        <v/>
      </c>
      <c r="O923" s="7">
        <f>'1 prepared data'!N916</f>
        <v/>
      </c>
      <c r="P923" s="7">
        <f>'1 prepared data'!O916</f>
        <v/>
      </c>
      <c r="Q923" s="7">
        <f>'1 prepared data'!P916</f>
        <v/>
      </c>
      <c r="R923" s="7">
        <f>'1 prepared data'!Q916</f>
        <v/>
      </c>
      <c r="S923" s="7">
        <f>'1 prepared data'!R916</f>
        <v/>
      </c>
      <c r="T923" s="7">
        <f>'1 prepared data'!S916</f>
        <v/>
      </c>
      <c r="U923" s="7">
        <f>'1 prepared data'!T916</f>
        <v/>
      </c>
      <c r="V923" s="8">
        <f>$AC$12+D923*$AC$13+E923*$AC$14+F923*$AC$15+G923*$AC$16+H923*$AC$17+I923*$AC$18+J923*$AC$19+K923*$AC$20+L923*$AC$21+M923*$AC$22+N923*$AC$23+O923*$AC$24+P923*$AC$25+Q923*$AC$26+R923*$AC$27+S923*$AC$28+T923*$AC$29+U923*$AC$30</f>
        <v/>
      </c>
      <c r="W923" s="8">
        <f>1/(1+EXP(-V923))</f>
        <v/>
      </c>
      <c r="X923" s="9">
        <f>-IF(C923=1,LN(W923),LN(1-W923))</f>
        <v/>
      </c>
      <c r="Y923" s="10">
        <f>IF(W923&gt;$AC$33,1,0)</f>
        <v/>
      </c>
      <c r="Z923">
        <f>IF(Y923=C923,1,0)</f>
        <v/>
      </c>
    </row>
    <row r="924">
      <c r="A924">
        <f>'1 prepared data'!A917</f>
        <v/>
      </c>
      <c r="B924" s="5">
        <f>'1 prepared data'!U917</f>
        <v/>
      </c>
      <c r="C924">
        <f>'1 prepared data'!B917</f>
        <v/>
      </c>
      <c r="D924" s="7">
        <f>'1 prepared data'!C917</f>
        <v/>
      </c>
      <c r="E924" s="7">
        <f>'1 prepared data'!D917</f>
        <v/>
      </c>
      <c r="F924" s="7">
        <f>'1 prepared data'!E917</f>
        <v/>
      </c>
      <c r="G924" s="7">
        <f>'1 prepared data'!F917</f>
        <v/>
      </c>
      <c r="H924" s="7">
        <f>'1 prepared data'!G917</f>
        <v/>
      </c>
      <c r="I924" s="7">
        <f>'1 prepared data'!H917</f>
        <v/>
      </c>
      <c r="J924" s="7">
        <f>'1 prepared data'!I917</f>
        <v/>
      </c>
      <c r="K924" s="7">
        <f>'1 prepared data'!J917</f>
        <v/>
      </c>
      <c r="L924" s="7">
        <f>'1 prepared data'!K917</f>
        <v/>
      </c>
      <c r="M924" s="7">
        <f>'1 prepared data'!L917</f>
        <v/>
      </c>
      <c r="N924" s="7">
        <f>'1 prepared data'!M917</f>
        <v/>
      </c>
      <c r="O924" s="7">
        <f>'1 prepared data'!N917</f>
        <v/>
      </c>
      <c r="P924" s="7">
        <f>'1 prepared data'!O917</f>
        <v/>
      </c>
      <c r="Q924" s="7">
        <f>'1 prepared data'!P917</f>
        <v/>
      </c>
      <c r="R924" s="7">
        <f>'1 prepared data'!Q917</f>
        <v/>
      </c>
      <c r="S924" s="7">
        <f>'1 prepared data'!R917</f>
        <v/>
      </c>
      <c r="T924" s="7">
        <f>'1 prepared data'!S917</f>
        <v/>
      </c>
      <c r="U924" s="7">
        <f>'1 prepared data'!T917</f>
        <v/>
      </c>
      <c r="V924" s="8">
        <f>$AC$12+D924*$AC$13+E924*$AC$14+F924*$AC$15+G924*$AC$16+H924*$AC$17+I924*$AC$18+J924*$AC$19+K924*$AC$20+L924*$AC$21+M924*$AC$22+N924*$AC$23+O924*$AC$24+P924*$AC$25+Q924*$AC$26+R924*$AC$27+S924*$AC$28+T924*$AC$29+U924*$AC$30</f>
        <v/>
      </c>
      <c r="W924" s="8">
        <f>1/(1+EXP(-V924))</f>
        <v/>
      </c>
      <c r="X924" s="9">
        <f>-IF(C924=1,LN(W924),LN(1-W924))</f>
        <v/>
      </c>
      <c r="Y924" s="10">
        <f>IF(W924&gt;$AC$33,1,0)</f>
        <v/>
      </c>
      <c r="Z924">
        <f>IF(Y924=C924,1,0)</f>
        <v/>
      </c>
    </row>
    <row r="925">
      <c r="A925">
        <f>'1 prepared data'!A918</f>
        <v/>
      </c>
      <c r="B925" s="5">
        <f>'1 prepared data'!U918</f>
        <v/>
      </c>
      <c r="C925">
        <f>'1 prepared data'!B918</f>
        <v/>
      </c>
      <c r="D925" s="7">
        <f>'1 prepared data'!C918</f>
        <v/>
      </c>
      <c r="E925" s="7">
        <f>'1 prepared data'!D918</f>
        <v/>
      </c>
      <c r="F925" s="7">
        <f>'1 prepared data'!E918</f>
        <v/>
      </c>
      <c r="G925" s="7">
        <f>'1 prepared data'!F918</f>
        <v/>
      </c>
      <c r="H925" s="7">
        <f>'1 prepared data'!G918</f>
        <v/>
      </c>
      <c r="I925" s="7">
        <f>'1 prepared data'!H918</f>
        <v/>
      </c>
      <c r="J925" s="7">
        <f>'1 prepared data'!I918</f>
        <v/>
      </c>
      <c r="K925" s="7">
        <f>'1 prepared data'!J918</f>
        <v/>
      </c>
      <c r="L925" s="7">
        <f>'1 prepared data'!K918</f>
        <v/>
      </c>
      <c r="M925" s="7">
        <f>'1 prepared data'!L918</f>
        <v/>
      </c>
      <c r="N925" s="7">
        <f>'1 prepared data'!M918</f>
        <v/>
      </c>
      <c r="O925" s="7">
        <f>'1 prepared data'!N918</f>
        <v/>
      </c>
      <c r="P925" s="7">
        <f>'1 prepared data'!O918</f>
        <v/>
      </c>
      <c r="Q925" s="7">
        <f>'1 prepared data'!P918</f>
        <v/>
      </c>
      <c r="R925" s="7">
        <f>'1 prepared data'!Q918</f>
        <v/>
      </c>
      <c r="S925" s="7">
        <f>'1 prepared data'!R918</f>
        <v/>
      </c>
      <c r="T925" s="7">
        <f>'1 prepared data'!S918</f>
        <v/>
      </c>
      <c r="U925" s="7">
        <f>'1 prepared data'!T918</f>
        <v/>
      </c>
      <c r="V925" s="8">
        <f>$AC$12+D925*$AC$13+E925*$AC$14+F925*$AC$15+G925*$AC$16+H925*$AC$17+I925*$AC$18+J925*$AC$19+K925*$AC$20+L925*$AC$21+M925*$AC$22+N925*$AC$23+O925*$AC$24+P925*$AC$25+Q925*$AC$26+R925*$AC$27+S925*$AC$28+T925*$AC$29+U925*$AC$30</f>
        <v/>
      </c>
      <c r="W925" s="8">
        <f>1/(1+EXP(-V925))</f>
        <v/>
      </c>
      <c r="X925" s="9">
        <f>-IF(C925=1,LN(W925),LN(1-W925))</f>
        <v/>
      </c>
      <c r="Y925" s="10">
        <f>IF(W925&gt;$AC$33,1,0)</f>
        <v/>
      </c>
      <c r="Z925">
        <f>IF(Y925=C925,1,0)</f>
        <v/>
      </c>
    </row>
    <row r="926">
      <c r="A926">
        <f>'1 prepared data'!A919</f>
        <v/>
      </c>
      <c r="B926" s="5">
        <f>'1 prepared data'!U919</f>
        <v/>
      </c>
      <c r="C926">
        <f>'1 prepared data'!B919</f>
        <v/>
      </c>
      <c r="D926" s="7">
        <f>'1 prepared data'!C919</f>
        <v/>
      </c>
      <c r="E926" s="7">
        <f>'1 prepared data'!D919</f>
        <v/>
      </c>
      <c r="F926" s="7">
        <f>'1 prepared data'!E919</f>
        <v/>
      </c>
      <c r="G926" s="7">
        <f>'1 prepared data'!F919</f>
        <v/>
      </c>
      <c r="H926" s="7">
        <f>'1 prepared data'!G919</f>
        <v/>
      </c>
      <c r="I926" s="7">
        <f>'1 prepared data'!H919</f>
        <v/>
      </c>
      <c r="J926" s="7">
        <f>'1 prepared data'!I919</f>
        <v/>
      </c>
      <c r="K926" s="7">
        <f>'1 prepared data'!J919</f>
        <v/>
      </c>
      <c r="L926" s="7">
        <f>'1 prepared data'!K919</f>
        <v/>
      </c>
      <c r="M926" s="7">
        <f>'1 prepared data'!L919</f>
        <v/>
      </c>
      <c r="N926" s="7">
        <f>'1 prepared data'!M919</f>
        <v/>
      </c>
      <c r="O926" s="7">
        <f>'1 prepared data'!N919</f>
        <v/>
      </c>
      <c r="P926" s="7">
        <f>'1 prepared data'!O919</f>
        <v/>
      </c>
      <c r="Q926" s="7">
        <f>'1 prepared data'!P919</f>
        <v/>
      </c>
      <c r="R926" s="7">
        <f>'1 prepared data'!Q919</f>
        <v/>
      </c>
      <c r="S926" s="7">
        <f>'1 prepared data'!R919</f>
        <v/>
      </c>
      <c r="T926" s="7">
        <f>'1 prepared data'!S919</f>
        <v/>
      </c>
      <c r="U926" s="7">
        <f>'1 prepared data'!T919</f>
        <v/>
      </c>
      <c r="V926" s="8">
        <f>$AC$12+D926*$AC$13+E926*$AC$14+F926*$AC$15+G926*$AC$16+H926*$AC$17+I926*$AC$18+J926*$AC$19+K926*$AC$20+L926*$AC$21+M926*$AC$22+N926*$AC$23+O926*$AC$24+P926*$AC$25+Q926*$AC$26+R926*$AC$27+S926*$AC$28+T926*$AC$29+U926*$AC$30</f>
        <v/>
      </c>
      <c r="W926" s="8">
        <f>1/(1+EXP(-V926))</f>
        <v/>
      </c>
      <c r="X926" s="9">
        <f>-IF(C926=1,LN(W926),LN(1-W926))</f>
        <v/>
      </c>
      <c r="Y926" s="10">
        <f>IF(W926&gt;$AC$33,1,0)</f>
        <v/>
      </c>
      <c r="Z926">
        <f>IF(Y926=C926,1,0)</f>
        <v/>
      </c>
    </row>
    <row r="927">
      <c r="A927">
        <f>'1 prepared data'!A920</f>
        <v/>
      </c>
      <c r="B927" s="5">
        <f>'1 prepared data'!U920</f>
        <v/>
      </c>
      <c r="C927">
        <f>'1 prepared data'!B920</f>
        <v/>
      </c>
      <c r="D927" s="7">
        <f>'1 prepared data'!C920</f>
        <v/>
      </c>
      <c r="E927" s="7">
        <f>'1 prepared data'!D920</f>
        <v/>
      </c>
      <c r="F927" s="7">
        <f>'1 prepared data'!E920</f>
        <v/>
      </c>
      <c r="G927" s="7">
        <f>'1 prepared data'!F920</f>
        <v/>
      </c>
      <c r="H927" s="7">
        <f>'1 prepared data'!G920</f>
        <v/>
      </c>
      <c r="I927" s="7">
        <f>'1 prepared data'!H920</f>
        <v/>
      </c>
      <c r="J927" s="7">
        <f>'1 prepared data'!I920</f>
        <v/>
      </c>
      <c r="K927" s="7">
        <f>'1 prepared data'!J920</f>
        <v/>
      </c>
      <c r="L927" s="7">
        <f>'1 prepared data'!K920</f>
        <v/>
      </c>
      <c r="M927" s="7">
        <f>'1 prepared data'!L920</f>
        <v/>
      </c>
      <c r="N927" s="7">
        <f>'1 prepared data'!M920</f>
        <v/>
      </c>
      <c r="O927" s="7">
        <f>'1 prepared data'!N920</f>
        <v/>
      </c>
      <c r="P927" s="7">
        <f>'1 prepared data'!O920</f>
        <v/>
      </c>
      <c r="Q927" s="7">
        <f>'1 prepared data'!P920</f>
        <v/>
      </c>
      <c r="R927" s="7">
        <f>'1 prepared data'!Q920</f>
        <v/>
      </c>
      <c r="S927" s="7">
        <f>'1 prepared data'!R920</f>
        <v/>
      </c>
      <c r="T927" s="7">
        <f>'1 prepared data'!S920</f>
        <v/>
      </c>
      <c r="U927" s="7">
        <f>'1 prepared data'!T920</f>
        <v/>
      </c>
      <c r="V927" s="8">
        <f>$AC$12+D927*$AC$13+E927*$AC$14+F927*$AC$15+G927*$AC$16+H927*$AC$17+I927*$AC$18+J927*$AC$19+K927*$AC$20+L927*$AC$21+M927*$AC$22+N927*$AC$23+O927*$AC$24+P927*$AC$25+Q927*$AC$26+R927*$AC$27+S927*$AC$28+T927*$AC$29+U927*$AC$30</f>
        <v/>
      </c>
      <c r="W927" s="8">
        <f>1/(1+EXP(-V927))</f>
        <v/>
      </c>
      <c r="X927" s="9">
        <f>-IF(C927=1,LN(W927),LN(1-W927))</f>
        <v/>
      </c>
      <c r="Y927" s="10">
        <f>IF(W927&gt;$AC$33,1,0)</f>
        <v/>
      </c>
      <c r="Z927">
        <f>IF(Y927=C927,1,0)</f>
        <v/>
      </c>
    </row>
    <row r="928">
      <c r="A928">
        <f>'1 prepared data'!A921</f>
        <v/>
      </c>
      <c r="B928" s="5">
        <f>'1 prepared data'!U921</f>
        <v/>
      </c>
      <c r="C928">
        <f>'1 prepared data'!B921</f>
        <v/>
      </c>
      <c r="D928" s="7">
        <f>'1 prepared data'!C921</f>
        <v/>
      </c>
      <c r="E928" s="7">
        <f>'1 prepared data'!D921</f>
        <v/>
      </c>
      <c r="F928" s="7">
        <f>'1 prepared data'!E921</f>
        <v/>
      </c>
      <c r="G928" s="7">
        <f>'1 prepared data'!F921</f>
        <v/>
      </c>
      <c r="H928" s="7">
        <f>'1 prepared data'!G921</f>
        <v/>
      </c>
      <c r="I928" s="7">
        <f>'1 prepared data'!H921</f>
        <v/>
      </c>
      <c r="J928" s="7">
        <f>'1 prepared data'!I921</f>
        <v/>
      </c>
      <c r="K928" s="7">
        <f>'1 prepared data'!J921</f>
        <v/>
      </c>
      <c r="L928" s="7">
        <f>'1 prepared data'!K921</f>
        <v/>
      </c>
      <c r="M928" s="7">
        <f>'1 prepared data'!L921</f>
        <v/>
      </c>
      <c r="N928" s="7">
        <f>'1 prepared data'!M921</f>
        <v/>
      </c>
      <c r="O928" s="7">
        <f>'1 prepared data'!N921</f>
        <v/>
      </c>
      <c r="P928" s="7">
        <f>'1 prepared data'!O921</f>
        <v/>
      </c>
      <c r="Q928" s="7">
        <f>'1 prepared data'!P921</f>
        <v/>
      </c>
      <c r="R928" s="7">
        <f>'1 prepared data'!Q921</f>
        <v/>
      </c>
      <c r="S928" s="7">
        <f>'1 prepared data'!R921</f>
        <v/>
      </c>
      <c r="T928" s="7">
        <f>'1 prepared data'!S921</f>
        <v/>
      </c>
      <c r="U928" s="7">
        <f>'1 prepared data'!T921</f>
        <v/>
      </c>
      <c r="V928" s="8">
        <f>$AC$12+D928*$AC$13+E928*$AC$14+F928*$AC$15+G928*$AC$16+H928*$AC$17+I928*$AC$18+J928*$AC$19+K928*$AC$20+L928*$AC$21+M928*$AC$22+N928*$AC$23+O928*$AC$24+P928*$AC$25+Q928*$AC$26+R928*$AC$27+S928*$AC$28+T928*$AC$29+U928*$AC$30</f>
        <v/>
      </c>
      <c r="W928" s="8">
        <f>1/(1+EXP(-V928))</f>
        <v/>
      </c>
      <c r="X928" s="9">
        <f>-IF(C928=1,LN(W928),LN(1-W928))</f>
        <v/>
      </c>
      <c r="Y928" s="10">
        <f>IF(W928&gt;$AC$33,1,0)</f>
        <v/>
      </c>
      <c r="Z928">
        <f>IF(Y928=C928,1,0)</f>
        <v/>
      </c>
    </row>
    <row r="929">
      <c r="A929">
        <f>'1 prepared data'!A922</f>
        <v/>
      </c>
      <c r="B929" s="5">
        <f>'1 prepared data'!U922</f>
        <v/>
      </c>
      <c r="C929">
        <f>'1 prepared data'!B922</f>
        <v/>
      </c>
      <c r="D929" s="7">
        <f>'1 prepared data'!C922</f>
        <v/>
      </c>
      <c r="E929" s="7">
        <f>'1 prepared data'!D922</f>
        <v/>
      </c>
      <c r="F929" s="7">
        <f>'1 prepared data'!E922</f>
        <v/>
      </c>
      <c r="G929" s="7">
        <f>'1 prepared data'!F922</f>
        <v/>
      </c>
      <c r="H929" s="7">
        <f>'1 prepared data'!G922</f>
        <v/>
      </c>
      <c r="I929" s="7">
        <f>'1 prepared data'!H922</f>
        <v/>
      </c>
      <c r="J929" s="7">
        <f>'1 prepared data'!I922</f>
        <v/>
      </c>
      <c r="K929" s="7">
        <f>'1 prepared data'!J922</f>
        <v/>
      </c>
      <c r="L929" s="7">
        <f>'1 prepared data'!K922</f>
        <v/>
      </c>
      <c r="M929" s="7">
        <f>'1 prepared data'!L922</f>
        <v/>
      </c>
      <c r="N929" s="7">
        <f>'1 prepared data'!M922</f>
        <v/>
      </c>
      <c r="O929" s="7">
        <f>'1 prepared data'!N922</f>
        <v/>
      </c>
      <c r="P929" s="7">
        <f>'1 prepared data'!O922</f>
        <v/>
      </c>
      <c r="Q929" s="7">
        <f>'1 prepared data'!P922</f>
        <v/>
      </c>
      <c r="R929" s="7">
        <f>'1 prepared data'!Q922</f>
        <v/>
      </c>
      <c r="S929" s="7">
        <f>'1 prepared data'!R922</f>
        <v/>
      </c>
      <c r="T929" s="7">
        <f>'1 prepared data'!S922</f>
        <v/>
      </c>
      <c r="U929" s="7">
        <f>'1 prepared data'!T922</f>
        <v/>
      </c>
      <c r="V929" s="8">
        <f>$AC$12+D929*$AC$13+E929*$AC$14+F929*$AC$15+G929*$AC$16+H929*$AC$17+I929*$AC$18+J929*$AC$19+K929*$AC$20+L929*$AC$21+M929*$AC$22+N929*$AC$23+O929*$AC$24+P929*$AC$25+Q929*$AC$26+R929*$AC$27+S929*$AC$28+T929*$AC$29+U929*$AC$30</f>
        <v/>
      </c>
      <c r="W929" s="8">
        <f>1/(1+EXP(-V929))</f>
        <v/>
      </c>
      <c r="X929" s="9">
        <f>-IF(C929=1,LN(W929),LN(1-W929))</f>
        <v/>
      </c>
      <c r="Y929" s="10">
        <f>IF(W929&gt;$AC$33,1,0)</f>
        <v/>
      </c>
      <c r="Z929">
        <f>IF(Y929=C929,1,0)</f>
        <v/>
      </c>
    </row>
    <row r="930">
      <c r="A930">
        <f>'1 prepared data'!A923</f>
        <v/>
      </c>
      <c r="B930" s="5">
        <f>'1 prepared data'!U923</f>
        <v/>
      </c>
      <c r="C930">
        <f>'1 prepared data'!B923</f>
        <v/>
      </c>
      <c r="D930" s="7">
        <f>'1 prepared data'!C923</f>
        <v/>
      </c>
      <c r="E930" s="7">
        <f>'1 prepared data'!D923</f>
        <v/>
      </c>
      <c r="F930" s="7">
        <f>'1 prepared data'!E923</f>
        <v/>
      </c>
      <c r="G930" s="7">
        <f>'1 prepared data'!F923</f>
        <v/>
      </c>
      <c r="H930" s="7">
        <f>'1 prepared data'!G923</f>
        <v/>
      </c>
      <c r="I930" s="7">
        <f>'1 prepared data'!H923</f>
        <v/>
      </c>
      <c r="J930" s="7">
        <f>'1 prepared data'!I923</f>
        <v/>
      </c>
      <c r="K930" s="7">
        <f>'1 prepared data'!J923</f>
        <v/>
      </c>
      <c r="L930" s="7">
        <f>'1 prepared data'!K923</f>
        <v/>
      </c>
      <c r="M930" s="7">
        <f>'1 prepared data'!L923</f>
        <v/>
      </c>
      <c r="N930" s="7">
        <f>'1 prepared data'!M923</f>
        <v/>
      </c>
      <c r="O930" s="7">
        <f>'1 prepared data'!N923</f>
        <v/>
      </c>
      <c r="P930" s="7">
        <f>'1 prepared data'!O923</f>
        <v/>
      </c>
      <c r="Q930" s="7">
        <f>'1 prepared data'!P923</f>
        <v/>
      </c>
      <c r="R930" s="7">
        <f>'1 prepared data'!Q923</f>
        <v/>
      </c>
      <c r="S930" s="7">
        <f>'1 prepared data'!R923</f>
        <v/>
      </c>
      <c r="T930" s="7">
        <f>'1 prepared data'!S923</f>
        <v/>
      </c>
      <c r="U930" s="7">
        <f>'1 prepared data'!T923</f>
        <v/>
      </c>
      <c r="V930" s="8">
        <f>$AC$12+D930*$AC$13+E930*$AC$14+F930*$AC$15+G930*$AC$16+H930*$AC$17+I930*$AC$18+J930*$AC$19+K930*$AC$20+L930*$AC$21+M930*$AC$22+N930*$AC$23+O930*$AC$24+P930*$AC$25+Q930*$AC$26+R930*$AC$27+S930*$AC$28+T930*$AC$29+U930*$AC$30</f>
        <v/>
      </c>
      <c r="W930" s="8">
        <f>1/(1+EXP(-V930))</f>
        <v/>
      </c>
      <c r="X930" s="9">
        <f>-IF(C930=1,LN(W930),LN(1-W930))</f>
        <v/>
      </c>
      <c r="Y930" s="10">
        <f>IF(W930&gt;$AC$33,1,0)</f>
        <v/>
      </c>
      <c r="Z930">
        <f>IF(Y930=C930,1,0)</f>
        <v/>
      </c>
    </row>
    <row r="931">
      <c r="A931">
        <f>'1 prepared data'!A924</f>
        <v/>
      </c>
      <c r="B931" s="5">
        <f>'1 prepared data'!U924</f>
        <v/>
      </c>
      <c r="C931">
        <f>'1 prepared data'!B924</f>
        <v/>
      </c>
      <c r="D931" s="7">
        <f>'1 prepared data'!C924</f>
        <v/>
      </c>
      <c r="E931" s="7">
        <f>'1 prepared data'!D924</f>
        <v/>
      </c>
      <c r="F931" s="7">
        <f>'1 prepared data'!E924</f>
        <v/>
      </c>
      <c r="G931" s="7">
        <f>'1 prepared data'!F924</f>
        <v/>
      </c>
      <c r="H931" s="7">
        <f>'1 prepared data'!G924</f>
        <v/>
      </c>
      <c r="I931" s="7">
        <f>'1 prepared data'!H924</f>
        <v/>
      </c>
      <c r="J931" s="7">
        <f>'1 prepared data'!I924</f>
        <v/>
      </c>
      <c r="K931" s="7">
        <f>'1 prepared data'!J924</f>
        <v/>
      </c>
      <c r="L931" s="7">
        <f>'1 prepared data'!K924</f>
        <v/>
      </c>
      <c r="M931" s="7">
        <f>'1 prepared data'!L924</f>
        <v/>
      </c>
      <c r="N931" s="7">
        <f>'1 prepared data'!M924</f>
        <v/>
      </c>
      <c r="O931" s="7">
        <f>'1 prepared data'!N924</f>
        <v/>
      </c>
      <c r="P931" s="7">
        <f>'1 prepared data'!O924</f>
        <v/>
      </c>
      <c r="Q931" s="7">
        <f>'1 prepared data'!P924</f>
        <v/>
      </c>
      <c r="R931" s="7">
        <f>'1 prepared data'!Q924</f>
        <v/>
      </c>
      <c r="S931" s="7">
        <f>'1 prepared data'!R924</f>
        <v/>
      </c>
      <c r="T931" s="7">
        <f>'1 prepared data'!S924</f>
        <v/>
      </c>
      <c r="U931" s="7">
        <f>'1 prepared data'!T924</f>
        <v/>
      </c>
      <c r="V931" s="8">
        <f>$AC$12+D931*$AC$13+E931*$AC$14+F931*$AC$15+G931*$AC$16+H931*$AC$17+I931*$AC$18+J931*$AC$19+K931*$AC$20+L931*$AC$21+M931*$AC$22+N931*$AC$23+O931*$AC$24+P931*$AC$25+Q931*$AC$26+R931*$AC$27+S931*$AC$28+T931*$AC$29+U931*$AC$30</f>
        <v/>
      </c>
      <c r="W931" s="8">
        <f>1/(1+EXP(-V931))</f>
        <v/>
      </c>
      <c r="X931" s="9">
        <f>-IF(C931=1,LN(W931),LN(1-W931))</f>
        <v/>
      </c>
      <c r="Y931" s="10">
        <f>IF(W931&gt;$AC$33,1,0)</f>
        <v/>
      </c>
      <c r="Z931">
        <f>IF(Y931=C931,1,0)</f>
        <v/>
      </c>
    </row>
    <row r="932">
      <c r="A932">
        <f>'1 prepared data'!A925</f>
        <v/>
      </c>
      <c r="B932" s="5">
        <f>'1 prepared data'!U925</f>
        <v/>
      </c>
      <c r="C932">
        <f>'1 prepared data'!B925</f>
        <v/>
      </c>
      <c r="D932" s="7">
        <f>'1 prepared data'!C925</f>
        <v/>
      </c>
      <c r="E932" s="7">
        <f>'1 prepared data'!D925</f>
        <v/>
      </c>
      <c r="F932" s="7">
        <f>'1 prepared data'!E925</f>
        <v/>
      </c>
      <c r="G932" s="7">
        <f>'1 prepared data'!F925</f>
        <v/>
      </c>
      <c r="H932" s="7">
        <f>'1 prepared data'!G925</f>
        <v/>
      </c>
      <c r="I932" s="7">
        <f>'1 prepared data'!H925</f>
        <v/>
      </c>
      <c r="J932" s="7">
        <f>'1 prepared data'!I925</f>
        <v/>
      </c>
      <c r="K932" s="7">
        <f>'1 prepared data'!J925</f>
        <v/>
      </c>
      <c r="L932" s="7">
        <f>'1 prepared data'!K925</f>
        <v/>
      </c>
      <c r="M932" s="7">
        <f>'1 prepared data'!L925</f>
        <v/>
      </c>
      <c r="N932" s="7">
        <f>'1 prepared data'!M925</f>
        <v/>
      </c>
      <c r="O932" s="7">
        <f>'1 prepared data'!N925</f>
        <v/>
      </c>
      <c r="P932" s="7">
        <f>'1 prepared data'!O925</f>
        <v/>
      </c>
      <c r="Q932" s="7">
        <f>'1 prepared data'!P925</f>
        <v/>
      </c>
      <c r="R932" s="7">
        <f>'1 prepared data'!Q925</f>
        <v/>
      </c>
      <c r="S932" s="7">
        <f>'1 prepared data'!R925</f>
        <v/>
      </c>
      <c r="T932" s="7">
        <f>'1 prepared data'!S925</f>
        <v/>
      </c>
      <c r="U932" s="7">
        <f>'1 prepared data'!T925</f>
        <v/>
      </c>
      <c r="V932" s="8">
        <f>$AC$12+D932*$AC$13+E932*$AC$14+F932*$AC$15+G932*$AC$16+H932*$AC$17+I932*$AC$18+J932*$AC$19+K932*$AC$20+L932*$AC$21+M932*$AC$22+N932*$AC$23+O932*$AC$24+P932*$AC$25+Q932*$AC$26+R932*$AC$27+S932*$AC$28+T932*$AC$29+U932*$AC$30</f>
        <v/>
      </c>
      <c r="W932" s="8">
        <f>1/(1+EXP(-V932))</f>
        <v/>
      </c>
      <c r="X932" s="9">
        <f>-IF(C932=1,LN(W932),LN(1-W932))</f>
        <v/>
      </c>
      <c r="Y932" s="10">
        <f>IF(W932&gt;$AC$33,1,0)</f>
        <v/>
      </c>
      <c r="Z932">
        <f>IF(Y932=C932,1,0)</f>
        <v/>
      </c>
    </row>
    <row r="933">
      <c r="A933">
        <f>'1 prepared data'!A926</f>
        <v/>
      </c>
      <c r="B933" s="5">
        <f>'1 prepared data'!U926</f>
        <v/>
      </c>
      <c r="C933">
        <f>'1 prepared data'!B926</f>
        <v/>
      </c>
      <c r="D933" s="7">
        <f>'1 prepared data'!C926</f>
        <v/>
      </c>
      <c r="E933" s="7">
        <f>'1 prepared data'!D926</f>
        <v/>
      </c>
      <c r="F933" s="7">
        <f>'1 prepared data'!E926</f>
        <v/>
      </c>
      <c r="G933" s="7">
        <f>'1 prepared data'!F926</f>
        <v/>
      </c>
      <c r="H933" s="7">
        <f>'1 prepared data'!G926</f>
        <v/>
      </c>
      <c r="I933" s="7">
        <f>'1 prepared data'!H926</f>
        <v/>
      </c>
      <c r="J933" s="7">
        <f>'1 prepared data'!I926</f>
        <v/>
      </c>
      <c r="K933" s="7">
        <f>'1 prepared data'!J926</f>
        <v/>
      </c>
      <c r="L933" s="7">
        <f>'1 prepared data'!K926</f>
        <v/>
      </c>
      <c r="M933" s="7">
        <f>'1 prepared data'!L926</f>
        <v/>
      </c>
      <c r="N933" s="7">
        <f>'1 prepared data'!M926</f>
        <v/>
      </c>
      <c r="O933" s="7">
        <f>'1 prepared data'!N926</f>
        <v/>
      </c>
      <c r="P933" s="7">
        <f>'1 prepared data'!O926</f>
        <v/>
      </c>
      <c r="Q933" s="7">
        <f>'1 prepared data'!P926</f>
        <v/>
      </c>
      <c r="R933" s="7">
        <f>'1 prepared data'!Q926</f>
        <v/>
      </c>
      <c r="S933" s="7">
        <f>'1 prepared data'!R926</f>
        <v/>
      </c>
      <c r="T933" s="7">
        <f>'1 prepared data'!S926</f>
        <v/>
      </c>
      <c r="U933" s="7">
        <f>'1 prepared data'!T926</f>
        <v/>
      </c>
      <c r="V933" s="8">
        <f>$AC$12+D933*$AC$13+E933*$AC$14+F933*$AC$15+G933*$AC$16+H933*$AC$17+I933*$AC$18+J933*$AC$19+K933*$AC$20+L933*$AC$21+M933*$AC$22+N933*$AC$23+O933*$AC$24+P933*$AC$25+Q933*$AC$26+R933*$AC$27+S933*$AC$28+T933*$AC$29+U933*$AC$30</f>
        <v/>
      </c>
      <c r="W933" s="8">
        <f>1/(1+EXP(-V933))</f>
        <v/>
      </c>
      <c r="X933" s="9">
        <f>-IF(C933=1,LN(W933),LN(1-W933))</f>
        <v/>
      </c>
      <c r="Y933" s="10">
        <f>IF(W933&gt;$AC$33,1,0)</f>
        <v/>
      </c>
      <c r="Z933">
        <f>IF(Y933=C933,1,0)</f>
        <v/>
      </c>
    </row>
    <row r="934">
      <c r="A934">
        <f>'1 prepared data'!A927</f>
        <v/>
      </c>
      <c r="B934" s="5">
        <f>'1 prepared data'!U927</f>
        <v/>
      </c>
      <c r="C934">
        <f>'1 prepared data'!B927</f>
        <v/>
      </c>
      <c r="D934" s="7">
        <f>'1 prepared data'!C927</f>
        <v/>
      </c>
      <c r="E934" s="7">
        <f>'1 prepared data'!D927</f>
        <v/>
      </c>
      <c r="F934" s="7">
        <f>'1 prepared data'!E927</f>
        <v/>
      </c>
      <c r="G934" s="7">
        <f>'1 prepared data'!F927</f>
        <v/>
      </c>
      <c r="H934" s="7">
        <f>'1 prepared data'!G927</f>
        <v/>
      </c>
      <c r="I934" s="7">
        <f>'1 prepared data'!H927</f>
        <v/>
      </c>
      <c r="J934" s="7">
        <f>'1 prepared data'!I927</f>
        <v/>
      </c>
      <c r="K934" s="7">
        <f>'1 prepared data'!J927</f>
        <v/>
      </c>
      <c r="L934" s="7">
        <f>'1 prepared data'!K927</f>
        <v/>
      </c>
      <c r="M934" s="7">
        <f>'1 prepared data'!L927</f>
        <v/>
      </c>
      <c r="N934" s="7">
        <f>'1 prepared data'!M927</f>
        <v/>
      </c>
      <c r="O934" s="7">
        <f>'1 prepared data'!N927</f>
        <v/>
      </c>
      <c r="P934" s="7">
        <f>'1 prepared data'!O927</f>
        <v/>
      </c>
      <c r="Q934" s="7">
        <f>'1 prepared data'!P927</f>
        <v/>
      </c>
      <c r="R934" s="7">
        <f>'1 prepared data'!Q927</f>
        <v/>
      </c>
      <c r="S934" s="7">
        <f>'1 prepared data'!R927</f>
        <v/>
      </c>
      <c r="T934" s="7">
        <f>'1 prepared data'!S927</f>
        <v/>
      </c>
      <c r="U934" s="7">
        <f>'1 prepared data'!T927</f>
        <v/>
      </c>
      <c r="V934" s="8">
        <f>$AC$12+D934*$AC$13+E934*$AC$14+F934*$AC$15+G934*$AC$16+H934*$AC$17+I934*$AC$18+J934*$AC$19+K934*$AC$20+L934*$AC$21+M934*$AC$22+N934*$AC$23+O934*$AC$24+P934*$AC$25+Q934*$AC$26+R934*$AC$27+S934*$AC$28+T934*$AC$29+U934*$AC$30</f>
        <v/>
      </c>
      <c r="W934" s="8">
        <f>1/(1+EXP(-V934))</f>
        <v/>
      </c>
      <c r="X934" s="9">
        <f>-IF(C934=1,LN(W934),LN(1-W934))</f>
        <v/>
      </c>
      <c r="Y934" s="10">
        <f>IF(W934&gt;$AC$33,1,0)</f>
        <v/>
      </c>
      <c r="Z934">
        <f>IF(Y934=C934,1,0)</f>
        <v/>
      </c>
    </row>
    <row r="935">
      <c r="A935">
        <f>'1 prepared data'!A928</f>
        <v/>
      </c>
      <c r="B935" s="5">
        <f>'1 prepared data'!U928</f>
        <v/>
      </c>
      <c r="C935">
        <f>'1 prepared data'!B928</f>
        <v/>
      </c>
      <c r="D935" s="7">
        <f>'1 prepared data'!C928</f>
        <v/>
      </c>
      <c r="E935" s="7">
        <f>'1 prepared data'!D928</f>
        <v/>
      </c>
      <c r="F935" s="7">
        <f>'1 prepared data'!E928</f>
        <v/>
      </c>
      <c r="G935" s="7">
        <f>'1 prepared data'!F928</f>
        <v/>
      </c>
      <c r="H935" s="7">
        <f>'1 prepared data'!G928</f>
        <v/>
      </c>
      <c r="I935" s="7">
        <f>'1 prepared data'!H928</f>
        <v/>
      </c>
      <c r="J935" s="7">
        <f>'1 prepared data'!I928</f>
        <v/>
      </c>
      <c r="K935" s="7">
        <f>'1 prepared data'!J928</f>
        <v/>
      </c>
      <c r="L935" s="7">
        <f>'1 prepared data'!K928</f>
        <v/>
      </c>
      <c r="M935" s="7">
        <f>'1 prepared data'!L928</f>
        <v/>
      </c>
      <c r="N935" s="7">
        <f>'1 prepared data'!M928</f>
        <v/>
      </c>
      <c r="O935" s="7">
        <f>'1 prepared data'!N928</f>
        <v/>
      </c>
      <c r="P935" s="7">
        <f>'1 prepared data'!O928</f>
        <v/>
      </c>
      <c r="Q935" s="7">
        <f>'1 prepared data'!P928</f>
        <v/>
      </c>
      <c r="R935" s="7">
        <f>'1 prepared data'!Q928</f>
        <v/>
      </c>
      <c r="S935" s="7">
        <f>'1 prepared data'!R928</f>
        <v/>
      </c>
      <c r="T935" s="7">
        <f>'1 prepared data'!S928</f>
        <v/>
      </c>
      <c r="U935" s="7">
        <f>'1 prepared data'!T928</f>
        <v/>
      </c>
      <c r="V935" s="8">
        <f>$AC$12+D935*$AC$13+E935*$AC$14+F935*$AC$15+G935*$AC$16+H935*$AC$17+I935*$AC$18+J935*$AC$19+K935*$AC$20+L935*$AC$21+M935*$AC$22+N935*$AC$23+O935*$AC$24+P935*$AC$25+Q935*$AC$26+R935*$AC$27+S935*$AC$28+T935*$AC$29+U935*$AC$30</f>
        <v/>
      </c>
      <c r="W935" s="8">
        <f>1/(1+EXP(-V935))</f>
        <v/>
      </c>
      <c r="X935" s="9">
        <f>-IF(C935=1,LN(W935),LN(1-W935))</f>
        <v/>
      </c>
      <c r="Y935" s="10">
        <f>IF(W935&gt;$AC$33,1,0)</f>
        <v/>
      </c>
      <c r="Z935">
        <f>IF(Y935=C935,1,0)</f>
        <v/>
      </c>
    </row>
    <row r="936">
      <c r="A936">
        <f>'1 prepared data'!A929</f>
        <v/>
      </c>
      <c r="B936" s="5">
        <f>'1 prepared data'!U929</f>
        <v/>
      </c>
      <c r="C936">
        <f>'1 prepared data'!B929</f>
        <v/>
      </c>
      <c r="D936" s="7">
        <f>'1 prepared data'!C929</f>
        <v/>
      </c>
      <c r="E936" s="7">
        <f>'1 prepared data'!D929</f>
        <v/>
      </c>
      <c r="F936" s="7">
        <f>'1 prepared data'!E929</f>
        <v/>
      </c>
      <c r="G936" s="7">
        <f>'1 prepared data'!F929</f>
        <v/>
      </c>
      <c r="H936" s="7">
        <f>'1 prepared data'!G929</f>
        <v/>
      </c>
      <c r="I936" s="7">
        <f>'1 prepared data'!H929</f>
        <v/>
      </c>
      <c r="J936" s="7">
        <f>'1 prepared data'!I929</f>
        <v/>
      </c>
      <c r="K936" s="7">
        <f>'1 prepared data'!J929</f>
        <v/>
      </c>
      <c r="L936" s="7">
        <f>'1 prepared data'!K929</f>
        <v/>
      </c>
      <c r="M936" s="7">
        <f>'1 prepared data'!L929</f>
        <v/>
      </c>
      <c r="N936" s="7">
        <f>'1 prepared data'!M929</f>
        <v/>
      </c>
      <c r="O936" s="7">
        <f>'1 prepared data'!N929</f>
        <v/>
      </c>
      <c r="P936" s="7">
        <f>'1 prepared data'!O929</f>
        <v/>
      </c>
      <c r="Q936" s="7">
        <f>'1 prepared data'!P929</f>
        <v/>
      </c>
      <c r="R936" s="7">
        <f>'1 prepared data'!Q929</f>
        <v/>
      </c>
      <c r="S936" s="7">
        <f>'1 prepared data'!R929</f>
        <v/>
      </c>
      <c r="T936" s="7">
        <f>'1 prepared data'!S929</f>
        <v/>
      </c>
      <c r="U936" s="7">
        <f>'1 prepared data'!T929</f>
        <v/>
      </c>
      <c r="V936" s="8">
        <f>$AC$12+D936*$AC$13+E936*$AC$14+F936*$AC$15+G936*$AC$16+H936*$AC$17+I936*$AC$18+J936*$AC$19+K936*$AC$20+L936*$AC$21+M936*$AC$22+N936*$AC$23+O936*$AC$24+P936*$AC$25+Q936*$AC$26+R936*$AC$27+S936*$AC$28+T936*$AC$29+U936*$AC$30</f>
        <v/>
      </c>
      <c r="W936" s="8">
        <f>1/(1+EXP(-V936))</f>
        <v/>
      </c>
      <c r="X936" s="9">
        <f>-IF(C936=1,LN(W936),LN(1-W936))</f>
        <v/>
      </c>
      <c r="Y936" s="10">
        <f>IF(W936&gt;$AC$33,1,0)</f>
        <v/>
      </c>
      <c r="Z936">
        <f>IF(Y936=C936,1,0)</f>
        <v/>
      </c>
    </row>
    <row r="937">
      <c r="A937">
        <f>'1 prepared data'!A930</f>
        <v/>
      </c>
      <c r="B937" s="5">
        <f>'1 prepared data'!U930</f>
        <v/>
      </c>
      <c r="C937">
        <f>'1 prepared data'!B930</f>
        <v/>
      </c>
      <c r="D937" s="7">
        <f>'1 prepared data'!C930</f>
        <v/>
      </c>
      <c r="E937" s="7">
        <f>'1 prepared data'!D930</f>
        <v/>
      </c>
      <c r="F937" s="7">
        <f>'1 prepared data'!E930</f>
        <v/>
      </c>
      <c r="G937" s="7">
        <f>'1 prepared data'!F930</f>
        <v/>
      </c>
      <c r="H937" s="7">
        <f>'1 prepared data'!G930</f>
        <v/>
      </c>
      <c r="I937" s="7">
        <f>'1 prepared data'!H930</f>
        <v/>
      </c>
      <c r="J937" s="7">
        <f>'1 prepared data'!I930</f>
        <v/>
      </c>
      <c r="K937" s="7">
        <f>'1 prepared data'!J930</f>
        <v/>
      </c>
      <c r="L937" s="7">
        <f>'1 prepared data'!K930</f>
        <v/>
      </c>
      <c r="M937" s="7">
        <f>'1 prepared data'!L930</f>
        <v/>
      </c>
      <c r="N937" s="7">
        <f>'1 prepared data'!M930</f>
        <v/>
      </c>
      <c r="O937" s="7">
        <f>'1 prepared data'!N930</f>
        <v/>
      </c>
      <c r="P937" s="7">
        <f>'1 prepared data'!O930</f>
        <v/>
      </c>
      <c r="Q937" s="7">
        <f>'1 prepared data'!P930</f>
        <v/>
      </c>
      <c r="R937" s="7">
        <f>'1 prepared data'!Q930</f>
        <v/>
      </c>
      <c r="S937" s="7">
        <f>'1 prepared data'!R930</f>
        <v/>
      </c>
      <c r="T937" s="7">
        <f>'1 prepared data'!S930</f>
        <v/>
      </c>
      <c r="U937" s="7">
        <f>'1 prepared data'!T930</f>
        <v/>
      </c>
      <c r="V937" s="8">
        <f>$AC$12+D937*$AC$13+E937*$AC$14+F937*$AC$15+G937*$AC$16+H937*$AC$17+I937*$AC$18+J937*$AC$19+K937*$AC$20+L937*$AC$21+M937*$AC$22+N937*$AC$23+O937*$AC$24+P937*$AC$25+Q937*$AC$26+R937*$AC$27+S937*$AC$28+T937*$AC$29+U937*$AC$30</f>
        <v/>
      </c>
      <c r="W937" s="8">
        <f>1/(1+EXP(-V937))</f>
        <v/>
      </c>
      <c r="X937" s="9">
        <f>-IF(C937=1,LN(W937),LN(1-W937))</f>
        <v/>
      </c>
      <c r="Y937" s="10">
        <f>IF(W937&gt;$AC$33,1,0)</f>
        <v/>
      </c>
      <c r="Z937">
        <f>IF(Y937=C937,1,0)</f>
        <v/>
      </c>
    </row>
    <row r="938">
      <c r="A938">
        <f>'1 prepared data'!A931</f>
        <v/>
      </c>
      <c r="B938" s="5">
        <f>'1 prepared data'!U931</f>
        <v/>
      </c>
      <c r="C938">
        <f>'1 prepared data'!B931</f>
        <v/>
      </c>
      <c r="D938" s="7">
        <f>'1 prepared data'!C931</f>
        <v/>
      </c>
      <c r="E938" s="7">
        <f>'1 prepared data'!D931</f>
        <v/>
      </c>
      <c r="F938" s="7">
        <f>'1 prepared data'!E931</f>
        <v/>
      </c>
      <c r="G938" s="7">
        <f>'1 prepared data'!F931</f>
        <v/>
      </c>
      <c r="H938" s="7">
        <f>'1 prepared data'!G931</f>
        <v/>
      </c>
      <c r="I938" s="7">
        <f>'1 prepared data'!H931</f>
        <v/>
      </c>
      <c r="J938" s="7">
        <f>'1 prepared data'!I931</f>
        <v/>
      </c>
      <c r="K938" s="7">
        <f>'1 prepared data'!J931</f>
        <v/>
      </c>
      <c r="L938" s="7">
        <f>'1 prepared data'!K931</f>
        <v/>
      </c>
      <c r="M938" s="7">
        <f>'1 prepared data'!L931</f>
        <v/>
      </c>
      <c r="N938" s="7">
        <f>'1 prepared data'!M931</f>
        <v/>
      </c>
      <c r="O938" s="7">
        <f>'1 prepared data'!N931</f>
        <v/>
      </c>
      <c r="P938" s="7">
        <f>'1 prepared data'!O931</f>
        <v/>
      </c>
      <c r="Q938" s="7">
        <f>'1 prepared data'!P931</f>
        <v/>
      </c>
      <c r="R938" s="7">
        <f>'1 prepared data'!Q931</f>
        <v/>
      </c>
      <c r="S938" s="7">
        <f>'1 prepared data'!R931</f>
        <v/>
      </c>
      <c r="T938" s="7">
        <f>'1 prepared data'!S931</f>
        <v/>
      </c>
      <c r="U938" s="7">
        <f>'1 prepared data'!T931</f>
        <v/>
      </c>
      <c r="V938" s="8">
        <f>$AC$12+D938*$AC$13+E938*$AC$14+F938*$AC$15+G938*$AC$16+H938*$AC$17+I938*$AC$18+J938*$AC$19+K938*$AC$20+L938*$AC$21+M938*$AC$22+N938*$AC$23+O938*$AC$24+P938*$AC$25+Q938*$AC$26+R938*$AC$27+S938*$AC$28+T938*$AC$29+U938*$AC$30</f>
        <v/>
      </c>
      <c r="W938" s="8">
        <f>1/(1+EXP(-V938))</f>
        <v/>
      </c>
      <c r="X938" s="9">
        <f>-IF(C938=1,LN(W938),LN(1-W938))</f>
        <v/>
      </c>
      <c r="Y938" s="10">
        <f>IF(W938&gt;$AC$33,1,0)</f>
        <v/>
      </c>
      <c r="Z938">
        <f>IF(Y938=C938,1,0)</f>
        <v/>
      </c>
    </row>
    <row r="939">
      <c r="A939">
        <f>'1 prepared data'!A932</f>
        <v/>
      </c>
      <c r="B939" s="5">
        <f>'1 prepared data'!U932</f>
        <v/>
      </c>
      <c r="C939">
        <f>'1 prepared data'!B932</f>
        <v/>
      </c>
      <c r="D939" s="7">
        <f>'1 prepared data'!C932</f>
        <v/>
      </c>
      <c r="E939" s="7">
        <f>'1 prepared data'!D932</f>
        <v/>
      </c>
      <c r="F939" s="7">
        <f>'1 prepared data'!E932</f>
        <v/>
      </c>
      <c r="G939" s="7">
        <f>'1 prepared data'!F932</f>
        <v/>
      </c>
      <c r="H939" s="7">
        <f>'1 prepared data'!G932</f>
        <v/>
      </c>
      <c r="I939" s="7">
        <f>'1 prepared data'!H932</f>
        <v/>
      </c>
      <c r="J939" s="7">
        <f>'1 prepared data'!I932</f>
        <v/>
      </c>
      <c r="K939" s="7">
        <f>'1 prepared data'!J932</f>
        <v/>
      </c>
      <c r="L939" s="7">
        <f>'1 prepared data'!K932</f>
        <v/>
      </c>
      <c r="M939" s="7">
        <f>'1 prepared data'!L932</f>
        <v/>
      </c>
      <c r="N939" s="7">
        <f>'1 prepared data'!M932</f>
        <v/>
      </c>
      <c r="O939" s="7">
        <f>'1 prepared data'!N932</f>
        <v/>
      </c>
      <c r="P939" s="7">
        <f>'1 prepared data'!O932</f>
        <v/>
      </c>
      <c r="Q939" s="7">
        <f>'1 prepared data'!P932</f>
        <v/>
      </c>
      <c r="R939" s="7">
        <f>'1 prepared data'!Q932</f>
        <v/>
      </c>
      <c r="S939" s="7">
        <f>'1 prepared data'!R932</f>
        <v/>
      </c>
      <c r="T939" s="7">
        <f>'1 prepared data'!S932</f>
        <v/>
      </c>
      <c r="U939" s="7">
        <f>'1 prepared data'!T932</f>
        <v/>
      </c>
      <c r="V939" s="8">
        <f>$AC$12+D939*$AC$13+E939*$AC$14+F939*$AC$15+G939*$AC$16+H939*$AC$17+I939*$AC$18+J939*$AC$19+K939*$AC$20+L939*$AC$21+M939*$AC$22+N939*$AC$23+O939*$AC$24+P939*$AC$25+Q939*$AC$26+R939*$AC$27+S939*$AC$28+T939*$AC$29+U939*$AC$30</f>
        <v/>
      </c>
      <c r="W939" s="8">
        <f>1/(1+EXP(-V939))</f>
        <v/>
      </c>
      <c r="X939" s="9">
        <f>-IF(C939=1,LN(W939),LN(1-W939))</f>
        <v/>
      </c>
      <c r="Y939" s="10">
        <f>IF(W939&gt;$AC$33,1,0)</f>
        <v/>
      </c>
      <c r="Z939">
        <f>IF(Y939=C939,1,0)</f>
        <v/>
      </c>
    </row>
    <row r="940">
      <c r="A940">
        <f>'1 prepared data'!A933</f>
        <v/>
      </c>
      <c r="B940" s="5">
        <f>'1 prepared data'!U933</f>
        <v/>
      </c>
      <c r="C940">
        <f>'1 prepared data'!B933</f>
        <v/>
      </c>
      <c r="D940" s="7">
        <f>'1 prepared data'!C933</f>
        <v/>
      </c>
      <c r="E940" s="7">
        <f>'1 prepared data'!D933</f>
        <v/>
      </c>
      <c r="F940" s="7">
        <f>'1 prepared data'!E933</f>
        <v/>
      </c>
      <c r="G940" s="7">
        <f>'1 prepared data'!F933</f>
        <v/>
      </c>
      <c r="H940" s="7">
        <f>'1 prepared data'!G933</f>
        <v/>
      </c>
      <c r="I940" s="7">
        <f>'1 prepared data'!H933</f>
        <v/>
      </c>
      <c r="J940" s="7">
        <f>'1 prepared data'!I933</f>
        <v/>
      </c>
      <c r="K940" s="7">
        <f>'1 prepared data'!J933</f>
        <v/>
      </c>
      <c r="L940" s="7">
        <f>'1 prepared data'!K933</f>
        <v/>
      </c>
      <c r="M940" s="7">
        <f>'1 prepared data'!L933</f>
        <v/>
      </c>
      <c r="N940" s="7">
        <f>'1 prepared data'!M933</f>
        <v/>
      </c>
      <c r="O940" s="7">
        <f>'1 prepared data'!N933</f>
        <v/>
      </c>
      <c r="P940" s="7">
        <f>'1 prepared data'!O933</f>
        <v/>
      </c>
      <c r="Q940" s="7">
        <f>'1 prepared data'!P933</f>
        <v/>
      </c>
      <c r="R940" s="7">
        <f>'1 prepared data'!Q933</f>
        <v/>
      </c>
      <c r="S940" s="7">
        <f>'1 prepared data'!R933</f>
        <v/>
      </c>
      <c r="T940" s="7">
        <f>'1 prepared data'!S933</f>
        <v/>
      </c>
      <c r="U940" s="7">
        <f>'1 prepared data'!T933</f>
        <v/>
      </c>
      <c r="V940" s="8">
        <f>$AC$12+D940*$AC$13+E940*$AC$14+F940*$AC$15+G940*$AC$16+H940*$AC$17+I940*$AC$18+J940*$AC$19+K940*$AC$20+L940*$AC$21+M940*$AC$22+N940*$AC$23+O940*$AC$24+P940*$AC$25+Q940*$AC$26+R940*$AC$27+S940*$AC$28+T940*$AC$29+U940*$AC$30</f>
        <v/>
      </c>
      <c r="W940" s="8">
        <f>1/(1+EXP(-V940))</f>
        <v/>
      </c>
      <c r="X940" s="9">
        <f>-IF(C940=1,LN(W940),LN(1-W940))</f>
        <v/>
      </c>
      <c r="Y940" s="10">
        <f>IF(W940&gt;$AC$33,1,0)</f>
        <v/>
      </c>
      <c r="Z940">
        <f>IF(Y940=C940,1,0)</f>
        <v/>
      </c>
    </row>
    <row r="941">
      <c r="A941">
        <f>'1 prepared data'!A934</f>
        <v/>
      </c>
      <c r="B941" s="5">
        <f>'1 prepared data'!U934</f>
        <v/>
      </c>
      <c r="C941">
        <f>'1 prepared data'!B934</f>
        <v/>
      </c>
      <c r="D941" s="7">
        <f>'1 prepared data'!C934</f>
        <v/>
      </c>
      <c r="E941" s="7">
        <f>'1 prepared data'!D934</f>
        <v/>
      </c>
      <c r="F941" s="7">
        <f>'1 prepared data'!E934</f>
        <v/>
      </c>
      <c r="G941" s="7">
        <f>'1 prepared data'!F934</f>
        <v/>
      </c>
      <c r="H941" s="7">
        <f>'1 prepared data'!G934</f>
        <v/>
      </c>
      <c r="I941" s="7">
        <f>'1 prepared data'!H934</f>
        <v/>
      </c>
      <c r="J941" s="7">
        <f>'1 prepared data'!I934</f>
        <v/>
      </c>
      <c r="K941" s="7">
        <f>'1 prepared data'!J934</f>
        <v/>
      </c>
      <c r="L941" s="7">
        <f>'1 prepared data'!K934</f>
        <v/>
      </c>
      <c r="M941" s="7">
        <f>'1 prepared data'!L934</f>
        <v/>
      </c>
      <c r="N941" s="7">
        <f>'1 prepared data'!M934</f>
        <v/>
      </c>
      <c r="O941" s="7">
        <f>'1 prepared data'!N934</f>
        <v/>
      </c>
      <c r="P941" s="7">
        <f>'1 prepared data'!O934</f>
        <v/>
      </c>
      <c r="Q941" s="7">
        <f>'1 prepared data'!P934</f>
        <v/>
      </c>
      <c r="R941" s="7">
        <f>'1 prepared data'!Q934</f>
        <v/>
      </c>
      <c r="S941" s="7">
        <f>'1 prepared data'!R934</f>
        <v/>
      </c>
      <c r="T941" s="7">
        <f>'1 prepared data'!S934</f>
        <v/>
      </c>
      <c r="U941" s="7">
        <f>'1 prepared data'!T934</f>
        <v/>
      </c>
      <c r="V941" s="8">
        <f>$AC$12+D941*$AC$13+E941*$AC$14+F941*$AC$15+G941*$AC$16+H941*$AC$17+I941*$AC$18+J941*$AC$19+K941*$AC$20+L941*$AC$21+M941*$AC$22+N941*$AC$23+O941*$AC$24+P941*$AC$25+Q941*$AC$26+R941*$AC$27+S941*$AC$28+T941*$AC$29+U941*$AC$30</f>
        <v/>
      </c>
      <c r="W941" s="8">
        <f>1/(1+EXP(-V941))</f>
        <v/>
      </c>
      <c r="X941" s="9">
        <f>-IF(C941=1,LN(W941),LN(1-W941))</f>
        <v/>
      </c>
      <c r="Y941" s="10">
        <f>IF(W941&gt;$AC$33,1,0)</f>
        <v/>
      </c>
      <c r="Z941">
        <f>IF(Y941=C941,1,0)</f>
        <v/>
      </c>
    </row>
    <row r="942">
      <c r="A942">
        <f>'1 prepared data'!A935</f>
        <v/>
      </c>
      <c r="B942" s="5">
        <f>'1 prepared data'!U935</f>
        <v/>
      </c>
      <c r="C942">
        <f>'1 prepared data'!B935</f>
        <v/>
      </c>
      <c r="D942" s="7">
        <f>'1 prepared data'!C935</f>
        <v/>
      </c>
      <c r="E942" s="7">
        <f>'1 prepared data'!D935</f>
        <v/>
      </c>
      <c r="F942" s="7">
        <f>'1 prepared data'!E935</f>
        <v/>
      </c>
      <c r="G942" s="7">
        <f>'1 prepared data'!F935</f>
        <v/>
      </c>
      <c r="H942" s="7">
        <f>'1 prepared data'!G935</f>
        <v/>
      </c>
      <c r="I942" s="7">
        <f>'1 prepared data'!H935</f>
        <v/>
      </c>
      <c r="J942" s="7">
        <f>'1 prepared data'!I935</f>
        <v/>
      </c>
      <c r="K942" s="7">
        <f>'1 prepared data'!J935</f>
        <v/>
      </c>
      <c r="L942" s="7">
        <f>'1 prepared data'!K935</f>
        <v/>
      </c>
      <c r="M942" s="7">
        <f>'1 prepared data'!L935</f>
        <v/>
      </c>
      <c r="N942" s="7">
        <f>'1 prepared data'!M935</f>
        <v/>
      </c>
      <c r="O942" s="7">
        <f>'1 prepared data'!N935</f>
        <v/>
      </c>
      <c r="P942" s="7">
        <f>'1 prepared data'!O935</f>
        <v/>
      </c>
      <c r="Q942" s="7">
        <f>'1 prepared data'!P935</f>
        <v/>
      </c>
      <c r="R942" s="7">
        <f>'1 prepared data'!Q935</f>
        <v/>
      </c>
      <c r="S942" s="7">
        <f>'1 prepared data'!R935</f>
        <v/>
      </c>
      <c r="T942" s="7">
        <f>'1 prepared data'!S935</f>
        <v/>
      </c>
      <c r="U942" s="7">
        <f>'1 prepared data'!T935</f>
        <v/>
      </c>
      <c r="V942" s="8">
        <f>$AC$12+D942*$AC$13+E942*$AC$14+F942*$AC$15+G942*$AC$16+H942*$AC$17+I942*$AC$18+J942*$AC$19+K942*$AC$20+L942*$AC$21+M942*$AC$22+N942*$AC$23+O942*$AC$24+P942*$AC$25+Q942*$AC$26+R942*$AC$27+S942*$AC$28+T942*$AC$29+U942*$AC$30</f>
        <v/>
      </c>
      <c r="W942" s="8">
        <f>1/(1+EXP(-V942))</f>
        <v/>
      </c>
      <c r="X942" s="9">
        <f>-IF(C942=1,LN(W942),LN(1-W942))</f>
        <v/>
      </c>
      <c r="Y942" s="10">
        <f>IF(W942&gt;$AC$33,1,0)</f>
        <v/>
      </c>
      <c r="Z942">
        <f>IF(Y942=C942,1,0)</f>
        <v/>
      </c>
    </row>
    <row r="943">
      <c r="A943">
        <f>'1 prepared data'!A936</f>
        <v/>
      </c>
      <c r="B943" s="5">
        <f>'1 prepared data'!U936</f>
        <v/>
      </c>
      <c r="C943">
        <f>'1 prepared data'!B936</f>
        <v/>
      </c>
      <c r="D943" s="7">
        <f>'1 prepared data'!C936</f>
        <v/>
      </c>
      <c r="E943" s="7">
        <f>'1 prepared data'!D936</f>
        <v/>
      </c>
      <c r="F943" s="7">
        <f>'1 prepared data'!E936</f>
        <v/>
      </c>
      <c r="G943" s="7">
        <f>'1 prepared data'!F936</f>
        <v/>
      </c>
      <c r="H943" s="7">
        <f>'1 prepared data'!G936</f>
        <v/>
      </c>
      <c r="I943" s="7">
        <f>'1 prepared data'!H936</f>
        <v/>
      </c>
      <c r="J943" s="7">
        <f>'1 prepared data'!I936</f>
        <v/>
      </c>
      <c r="K943" s="7">
        <f>'1 prepared data'!J936</f>
        <v/>
      </c>
      <c r="L943" s="7">
        <f>'1 prepared data'!K936</f>
        <v/>
      </c>
      <c r="M943" s="7">
        <f>'1 prepared data'!L936</f>
        <v/>
      </c>
      <c r="N943" s="7">
        <f>'1 prepared data'!M936</f>
        <v/>
      </c>
      <c r="O943" s="7">
        <f>'1 prepared data'!N936</f>
        <v/>
      </c>
      <c r="P943" s="7">
        <f>'1 prepared data'!O936</f>
        <v/>
      </c>
      <c r="Q943" s="7">
        <f>'1 prepared data'!P936</f>
        <v/>
      </c>
      <c r="R943" s="7">
        <f>'1 prepared data'!Q936</f>
        <v/>
      </c>
      <c r="S943" s="7">
        <f>'1 prepared data'!R936</f>
        <v/>
      </c>
      <c r="T943" s="7">
        <f>'1 prepared data'!S936</f>
        <v/>
      </c>
      <c r="U943" s="7">
        <f>'1 prepared data'!T936</f>
        <v/>
      </c>
      <c r="V943" s="8">
        <f>$AC$12+D943*$AC$13+E943*$AC$14+F943*$AC$15+G943*$AC$16+H943*$AC$17+I943*$AC$18+J943*$AC$19+K943*$AC$20+L943*$AC$21+M943*$AC$22+N943*$AC$23+O943*$AC$24+P943*$AC$25+Q943*$AC$26+R943*$AC$27+S943*$AC$28+T943*$AC$29+U943*$AC$30</f>
        <v/>
      </c>
      <c r="W943" s="8">
        <f>1/(1+EXP(-V943))</f>
        <v/>
      </c>
      <c r="X943" s="9">
        <f>-IF(C943=1,LN(W943),LN(1-W943))</f>
        <v/>
      </c>
      <c r="Y943" s="10">
        <f>IF(W943&gt;$AC$33,1,0)</f>
        <v/>
      </c>
      <c r="Z943">
        <f>IF(Y943=C943,1,0)</f>
        <v/>
      </c>
    </row>
    <row r="944">
      <c r="A944">
        <f>'1 prepared data'!A937</f>
        <v/>
      </c>
      <c r="B944" s="5">
        <f>'1 prepared data'!U937</f>
        <v/>
      </c>
      <c r="C944">
        <f>'1 prepared data'!B937</f>
        <v/>
      </c>
      <c r="D944" s="7">
        <f>'1 prepared data'!C937</f>
        <v/>
      </c>
      <c r="E944" s="7">
        <f>'1 prepared data'!D937</f>
        <v/>
      </c>
      <c r="F944" s="7">
        <f>'1 prepared data'!E937</f>
        <v/>
      </c>
      <c r="G944" s="7">
        <f>'1 prepared data'!F937</f>
        <v/>
      </c>
      <c r="H944" s="7">
        <f>'1 prepared data'!G937</f>
        <v/>
      </c>
      <c r="I944" s="7">
        <f>'1 prepared data'!H937</f>
        <v/>
      </c>
      <c r="J944" s="7">
        <f>'1 prepared data'!I937</f>
        <v/>
      </c>
      <c r="K944" s="7">
        <f>'1 prepared data'!J937</f>
        <v/>
      </c>
      <c r="L944" s="7">
        <f>'1 prepared data'!K937</f>
        <v/>
      </c>
      <c r="M944" s="7">
        <f>'1 prepared data'!L937</f>
        <v/>
      </c>
      <c r="N944" s="7">
        <f>'1 prepared data'!M937</f>
        <v/>
      </c>
      <c r="O944" s="7">
        <f>'1 prepared data'!N937</f>
        <v/>
      </c>
      <c r="P944" s="7">
        <f>'1 prepared data'!O937</f>
        <v/>
      </c>
      <c r="Q944" s="7">
        <f>'1 prepared data'!P937</f>
        <v/>
      </c>
      <c r="R944" s="7">
        <f>'1 prepared data'!Q937</f>
        <v/>
      </c>
      <c r="S944" s="7">
        <f>'1 prepared data'!R937</f>
        <v/>
      </c>
      <c r="T944" s="7">
        <f>'1 prepared data'!S937</f>
        <v/>
      </c>
      <c r="U944" s="7">
        <f>'1 prepared data'!T937</f>
        <v/>
      </c>
      <c r="V944" s="8">
        <f>$AC$12+D944*$AC$13+E944*$AC$14+F944*$AC$15+G944*$AC$16+H944*$AC$17+I944*$AC$18+J944*$AC$19+K944*$AC$20+L944*$AC$21+M944*$AC$22+N944*$AC$23+O944*$AC$24+P944*$AC$25+Q944*$AC$26+R944*$AC$27+S944*$AC$28+T944*$AC$29+U944*$AC$30</f>
        <v/>
      </c>
      <c r="W944" s="8">
        <f>1/(1+EXP(-V944))</f>
        <v/>
      </c>
      <c r="X944" s="9">
        <f>-IF(C944=1,LN(W944),LN(1-W944))</f>
        <v/>
      </c>
      <c r="Y944" s="10">
        <f>IF(W944&gt;$AC$33,1,0)</f>
        <v/>
      </c>
      <c r="Z944">
        <f>IF(Y944=C944,1,0)</f>
        <v/>
      </c>
    </row>
    <row r="945">
      <c r="A945">
        <f>'1 prepared data'!A938</f>
        <v/>
      </c>
      <c r="B945" s="5">
        <f>'1 prepared data'!U938</f>
        <v/>
      </c>
      <c r="C945">
        <f>'1 prepared data'!B938</f>
        <v/>
      </c>
      <c r="D945" s="7">
        <f>'1 prepared data'!C938</f>
        <v/>
      </c>
      <c r="E945" s="7">
        <f>'1 prepared data'!D938</f>
        <v/>
      </c>
      <c r="F945" s="7">
        <f>'1 prepared data'!E938</f>
        <v/>
      </c>
      <c r="G945" s="7">
        <f>'1 prepared data'!F938</f>
        <v/>
      </c>
      <c r="H945" s="7">
        <f>'1 prepared data'!G938</f>
        <v/>
      </c>
      <c r="I945" s="7">
        <f>'1 prepared data'!H938</f>
        <v/>
      </c>
      <c r="J945" s="7">
        <f>'1 prepared data'!I938</f>
        <v/>
      </c>
      <c r="K945" s="7">
        <f>'1 prepared data'!J938</f>
        <v/>
      </c>
      <c r="L945" s="7">
        <f>'1 prepared data'!K938</f>
        <v/>
      </c>
      <c r="M945" s="7">
        <f>'1 prepared data'!L938</f>
        <v/>
      </c>
      <c r="N945" s="7">
        <f>'1 prepared data'!M938</f>
        <v/>
      </c>
      <c r="O945" s="7">
        <f>'1 prepared data'!N938</f>
        <v/>
      </c>
      <c r="P945" s="7">
        <f>'1 prepared data'!O938</f>
        <v/>
      </c>
      <c r="Q945" s="7">
        <f>'1 prepared data'!P938</f>
        <v/>
      </c>
      <c r="R945" s="7">
        <f>'1 prepared data'!Q938</f>
        <v/>
      </c>
      <c r="S945" s="7">
        <f>'1 prepared data'!R938</f>
        <v/>
      </c>
      <c r="T945" s="7">
        <f>'1 prepared data'!S938</f>
        <v/>
      </c>
      <c r="U945" s="7">
        <f>'1 prepared data'!T938</f>
        <v/>
      </c>
      <c r="V945" s="8">
        <f>$AC$12+D945*$AC$13+E945*$AC$14+F945*$AC$15+G945*$AC$16+H945*$AC$17+I945*$AC$18+J945*$AC$19+K945*$AC$20+L945*$AC$21+M945*$AC$22+N945*$AC$23+O945*$AC$24+P945*$AC$25+Q945*$AC$26+R945*$AC$27+S945*$AC$28+T945*$AC$29+U945*$AC$30</f>
        <v/>
      </c>
      <c r="W945" s="8">
        <f>1/(1+EXP(-V945))</f>
        <v/>
      </c>
      <c r="X945" s="9">
        <f>-IF(C945=1,LN(W945),LN(1-W945))</f>
        <v/>
      </c>
      <c r="Y945" s="10">
        <f>IF(W945&gt;$AC$33,1,0)</f>
        <v/>
      </c>
      <c r="Z945">
        <f>IF(Y945=C945,1,0)</f>
        <v/>
      </c>
    </row>
    <row r="946">
      <c r="A946">
        <f>'1 prepared data'!A939</f>
        <v/>
      </c>
      <c r="B946" s="5">
        <f>'1 prepared data'!U939</f>
        <v/>
      </c>
      <c r="C946">
        <f>'1 prepared data'!B939</f>
        <v/>
      </c>
      <c r="D946" s="7">
        <f>'1 prepared data'!C939</f>
        <v/>
      </c>
      <c r="E946" s="7">
        <f>'1 prepared data'!D939</f>
        <v/>
      </c>
      <c r="F946" s="7">
        <f>'1 prepared data'!E939</f>
        <v/>
      </c>
      <c r="G946" s="7">
        <f>'1 prepared data'!F939</f>
        <v/>
      </c>
      <c r="H946" s="7">
        <f>'1 prepared data'!G939</f>
        <v/>
      </c>
      <c r="I946" s="7">
        <f>'1 prepared data'!H939</f>
        <v/>
      </c>
      <c r="J946" s="7">
        <f>'1 prepared data'!I939</f>
        <v/>
      </c>
      <c r="K946" s="7">
        <f>'1 prepared data'!J939</f>
        <v/>
      </c>
      <c r="L946" s="7">
        <f>'1 prepared data'!K939</f>
        <v/>
      </c>
      <c r="M946" s="7">
        <f>'1 prepared data'!L939</f>
        <v/>
      </c>
      <c r="N946" s="7">
        <f>'1 prepared data'!M939</f>
        <v/>
      </c>
      <c r="O946" s="7">
        <f>'1 prepared data'!N939</f>
        <v/>
      </c>
      <c r="P946" s="7">
        <f>'1 prepared data'!O939</f>
        <v/>
      </c>
      <c r="Q946" s="7">
        <f>'1 prepared data'!P939</f>
        <v/>
      </c>
      <c r="R946" s="7">
        <f>'1 prepared data'!Q939</f>
        <v/>
      </c>
      <c r="S946" s="7">
        <f>'1 prepared data'!R939</f>
        <v/>
      </c>
      <c r="T946" s="7">
        <f>'1 prepared data'!S939</f>
        <v/>
      </c>
      <c r="U946" s="7">
        <f>'1 prepared data'!T939</f>
        <v/>
      </c>
      <c r="V946" s="8">
        <f>$AC$12+D946*$AC$13+E946*$AC$14+F946*$AC$15+G946*$AC$16+H946*$AC$17+I946*$AC$18+J946*$AC$19+K946*$AC$20+L946*$AC$21+M946*$AC$22+N946*$AC$23+O946*$AC$24+P946*$AC$25+Q946*$AC$26+R946*$AC$27+S946*$AC$28+T946*$AC$29+U946*$AC$30</f>
        <v/>
      </c>
      <c r="W946" s="8">
        <f>1/(1+EXP(-V946))</f>
        <v/>
      </c>
      <c r="X946" s="9">
        <f>-IF(C946=1,LN(W946),LN(1-W946))</f>
        <v/>
      </c>
      <c r="Y946" s="10">
        <f>IF(W946&gt;$AC$33,1,0)</f>
        <v/>
      </c>
      <c r="Z946">
        <f>IF(Y946=C946,1,0)</f>
        <v/>
      </c>
    </row>
    <row r="947">
      <c r="A947">
        <f>'1 prepared data'!A940</f>
        <v/>
      </c>
      <c r="B947" s="5">
        <f>'1 prepared data'!U940</f>
        <v/>
      </c>
      <c r="C947">
        <f>'1 prepared data'!B940</f>
        <v/>
      </c>
      <c r="D947" s="7">
        <f>'1 prepared data'!C940</f>
        <v/>
      </c>
      <c r="E947" s="7">
        <f>'1 prepared data'!D940</f>
        <v/>
      </c>
      <c r="F947" s="7">
        <f>'1 prepared data'!E940</f>
        <v/>
      </c>
      <c r="G947" s="7">
        <f>'1 prepared data'!F940</f>
        <v/>
      </c>
      <c r="H947" s="7">
        <f>'1 prepared data'!G940</f>
        <v/>
      </c>
      <c r="I947" s="7">
        <f>'1 prepared data'!H940</f>
        <v/>
      </c>
      <c r="J947" s="7">
        <f>'1 prepared data'!I940</f>
        <v/>
      </c>
      <c r="K947" s="7">
        <f>'1 prepared data'!J940</f>
        <v/>
      </c>
      <c r="L947" s="7">
        <f>'1 prepared data'!K940</f>
        <v/>
      </c>
      <c r="M947" s="7">
        <f>'1 prepared data'!L940</f>
        <v/>
      </c>
      <c r="N947" s="7">
        <f>'1 prepared data'!M940</f>
        <v/>
      </c>
      <c r="O947" s="7">
        <f>'1 prepared data'!N940</f>
        <v/>
      </c>
      <c r="P947" s="7">
        <f>'1 prepared data'!O940</f>
        <v/>
      </c>
      <c r="Q947" s="7">
        <f>'1 prepared data'!P940</f>
        <v/>
      </c>
      <c r="R947" s="7">
        <f>'1 prepared data'!Q940</f>
        <v/>
      </c>
      <c r="S947" s="7">
        <f>'1 prepared data'!R940</f>
        <v/>
      </c>
      <c r="T947" s="7">
        <f>'1 prepared data'!S940</f>
        <v/>
      </c>
      <c r="U947" s="7">
        <f>'1 prepared data'!T940</f>
        <v/>
      </c>
      <c r="V947" s="8">
        <f>$AC$12+D947*$AC$13+E947*$AC$14+F947*$AC$15+G947*$AC$16+H947*$AC$17+I947*$AC$18+J947*$AC$19+K947*$AC$20+L947*$AC$21+M947*$AC$22+N947*$AC$23+O947*$AC$24+P947*$AC$25+Q947*$AC$26+R947*$AC$27+S947*$AC$28+T947*$AC$29+U947*$AC$30</f>
        <v/>
      </c>
      <c r="W947" s="8">
        <f>1/(1+EXP(-V947))</f>
        <v/>
      </c>
      <c r="X947" s="9">
        <f>-IF(C947=1,LN(W947),LN(1-W947))</f>
        <v/>
      </c>
      <c r="Y947" s="10">
        <f>IF(W947&gt;$AC$33,1,0)</f>
        <v/>
      </c>
      <c r="Z947">
        <f>IF(Y947=C947,1,0)</f>
        <v/>
      </c>
    </row>
    <row r="948">
      <c r="A948">
        <f>'1 prepared data'!A941</f>
        <v/>
      </c>
      <c r="B948" s="5">
        <f>'1 prepared data'!U941</f>
        <v/>
      </c>
      <c r="C948">
        <f>'1 prepared data'!B941</f>
        <v/>
      </c>
      <c r="D948" s="7">
        <f>'1 prepared data'!C941</f>
        <v/>
      </c>
      <c r="E948" s="7">
        <f>'1 prepared data'!D941</f>
        <v/>
      </c>
      <c r="F948" s="7">
        <f>'1 prepared data'!E941</f>
        <v/>
      </c>
      <c r="G948" s="7">
        <f>'1 prepared data'!F941</f>
        <v/>
      </c>
      <c r="H948" s="7">
        <f>'1 prepared data'!G941</f>
        <v/>
      </c>
      <c r="I948" s="7">
        <f>'1 prepared data'!H941</f>
        <v/>
      </c>
      <c r="J948" s="7">
        <f>'1 prepared data'!I941</f>
        <v/>
      </c>
      <c r="K948" s="7">
        <f>'1 prepared data'!J941</f>
        <v/>
      </c>
      <c r="L948" s="7">
        <f>'1 prepared data'!K941</f>
        <v/>
      </c>
      <c r="M948" s="7">
        <f>'1 prepared data'!L941</f>
        <v/>
      </c>
      <c r="N948" s="7">
        <f>'1 prepared data'!M941</f>
        <v/>
      </c>
      <c r="O948" s="7">
        <f>'1 prepared data'!N941</f>
        <v/>
      </c>
      <c r="P948" s="7">
        <f>'1 prepared data'!O941</f>
        <v/>
      </c>
      <c r="Q948" s="7">
        <f>'1 prepared data'!P941</f>
        <v/>
      </c>
      <c r="R948" s="7">
        <f>'1 prepared data'!Q941</f>
        <v/>
      </c>
      <c r="S948" s="7">
        <f>'1 prepared data'!R941</f>
        <v/>
      </c>
      <c r="T948" s="7">
        <f>'1 prepared data'!S941</f>
        <v/>
      </c>
      <c r="U948" s="7">
        <f>'1 prepared data'!T941</f>
        <v/>
      </c>
      <c r="V948" s="8">
        <f>$AC$12+D948*$AC$13+E948*$AC$14+F948*$AC$15+G948*$AC$16+H948*$AC$17+I948*$AC$18+J948*$AC$19+K948*$AC$20+L948*$AC$21+M948*$AC$22+N948*$AC$23+O948*$AC$24+P948*$AC$25+Q948*$AC$26+R948*$AC$27+S948*$AC$28+T948*$AC$29+U948*$AC$30</f>
        <v/>
      </c>
      <c r="W948" s="8">
        <f>1/(1+EXP(-V948))</f>
        <v/>
      </c>
      <c r="X948" s="9">
        <f>-IF(C948=1,LN(W948),LN(1-W948))</f>
        <v/>
      </c>
      <c r="Y948" s="10">
        <f>IF(W948&gt;$AC$33,1,0)</f>
        <v/>
      </c>
      <c r="Z948">
        <f>IF(Y948=C948,1,0)</f>
        <v/>
      </c>
    </row>
    <row r="949">
      <c r="A949">
        <f>'1 prepared data'!A942</f>
        <v/>
      </c>
      <c r="B949" s="5">
        <f>'1 prepared data'!U942</f>
        <v/>
      </c>
      <c r="C949">
        <f>'1 prepared data'!B942</f>
        <v/>
      </c>
      <c r="D949" s="7">
        <f>'1 prepared data'!C942</f>
        <v/>
      </c>
      <c r="E949" s="7">
        <f>'1 prepared data'!D942</f>
        <v/>
      </c>
      <c r="F949" s="7">
        <f>'1 prepared data'!E942</f>
        <v/>
      </c>
      <c r="G949" s="7">
        <f>'1 prepared data'!F942</f>
        <v/>
      </c>
      <c r="H949" s="7">
        <f>'1 prepared data'!G942</f>
        <v/>
      </c>
      <c r="I949" s="7">
        <f>'1 prepared data'!H942</f>
        <v/>
      </c>
      <c r="J949" s="7">
        <f>'1 prepared data'!I942</f>
        <v/>
      </c>
      <c r="K949" s="7">
        <f>'1 prepared data'!J942</f>
        <v/>
      </c>
      <c r="L949" s="7">
        <f>'1 prepared data'!K942</f>
        <v/>
      </c>
      <c r="M949" s="7">
        <f>'1 prepared data'!L942</f>
        <v/>
      </c>
      <c r="N949" s="7">
        <f>'1 prepared data'!M942</f>
        <v/>
      </c>
      <c r="O949" s="7">
        <f>'1 prepared data'!N942</f>
        <v/>
      </c>
      <c r="P949" s="7">
        <f>'1 prepared data'!O942</f>
        <v/>
      </c>
      <c r="Q949" s="7">
        <f>'1 prepared data'!P942</f>
        <v/>
      </c>
      <c r="R949" s="7">
        <f>'1 prepared data'!Q942</f>
        <v/>
      </c>
      <c r="S949" s="7">
        <f>'1 prepared data'!R942</f>
        <v/>
      </c>
      <c r="T949" s="7">
        <f>'1 prepared data'!S942</f>
        <v/>
      </c>
      <c r="U949" s="7">
        <f>'1 prepared data'!T942</f>
        <v/>
      </c>
      <c r="V949" s="8">
        <f>$AC$12+D949*$AC$13+E949*$AC$14+F949*$AC$15+G949*$AC$16+H949*$AC$17+I949*$AC$18+J949*$AC$19+K949*$AC$20+L949*$AC$21+M949*$AC$22+N949*$AC$23+O949*$AC$24+P949*$AC$25+Q949*$AC$26+R949*$AC$27+S949*$AC$28+T949*$AC$29+U949*$AC$30</f>
        <v/>
      </c>
      <c r="W949" s="8">
        <f>1/(1+EXP(-V949))</f>
        <v/>
      </c>
      <c r="X949" s="9">
        <f>-IF(C949=1,LN(W949),LN(1-W949))</f>
        <v/>
      </c>
      <c r="Y949" s="10">
        <f>IF(W949&gt;$AC$33,1,0)</f>
        <v/>
      </c>
      <c r="Z949">
        <f>IF(Y949=C949,1,0)</f>
        <v/>
      </c>
    </row>
    <row r="950">
      <c r="A950">
        <f>'1 prepared data'!A943</f>
        <v/>
      </c>
      <c r="B950" s="5">
        <f>'1 prepared data'!U943</f>
        <v/>
      </c>
      <c r="C950">
        <f>'1 prepared data'!B943</f>
        <v/>
      </c>
      <c r="D950" s="7">
        <f>'1 prepared data'!C943</f>
        <v/>
      </c>
      <c r="E950" s="7">
        <f>'1 prepared data'!D943</f>
        <v/>
      </c>
      <c r="F950" s="7">
        <f>'1 prepared data'!E943</f>
        <v/>
      </c>
      <c r="G950" s="7">
        <f>'1 prepared data'!F943</f>
        <v/>
      </c>
      <c r="H950" s="7">
        <f>'1 prepared data'!G943</f>
        <v/>
      </c>
      <c r="I950" s="7">
        <f>'1 prepared data'!H943</f>
        <v/>
      </c>
      <c r="J950" s="7">
        <f>'1 prepared data'!I943</f>
        <v/>
      </c>
      <c r="K950" s="7">
        <f>'1 prepared data'!J943</f>
        <v/>
      </c>
      <c r="L950" s="7">
        <f>'1 prepared data'!K943</f>
        <v/>
      </c>
      <c r="M950" s="7">
        <f>'1 prepared data'!L943</f>
        <v/>
      </c>
      <c r="N950" s="7">
        <f>'1 prepared data'!M943</f>
        <v/>
      </c>
      <c r="O950" s="7">
        <f>'1 prepared data'!N943</f>
        <v/>
      </c>
      <c r="P950" s="7">
        <f>'1 prepared data'!O943</f>
        <v/>
      </c>
      <c r="Q950" s="7">
        <f>'1 prepared data'!P943</f>
        <v/>
      </c>
      <c r="R950" s="7">
        <f>'1 prepared data'!Q943</f>
        <v/>
      </c>
      <c r="S950" s="7">
        <f>'1 prepared data'!R943</f>
        <v/>
      </c>
      <c r="T950" s="7">
        <f>'1 prepared data'!S943</f>
        <v/>
      </c>
      <c r="U950" s="7">
        <f>'1 prepared data'!T943</f>
        <v/>
      </c>
      <c r="V950" s="8">
        <f>$AC$12+D950*$AC$13+E950*$AC$14+F950*$AC$15+G950*$AC$16+H950*$AC$17+I950*$AC$18+J950*$AC$19+K950*$AC$20+L950*$AC$21+M950*$AC$22+N950*$AC$23+O950*$AC$24+P950*$AC$25+Q950*$AC$26+R950*$AC$27+S950*$AC$28+T950*$AC$29+U950*$AC$30</f>
        <v/>
      </c>
      <c r="W950" s="8">
        <f>1/(1+EXP(-V950))</f>
        <v/>
      </c>
      <c r="X950" s="9">
        <f>-IF(C950=1,LN(W950),LN(1-W950))</f>
        <v/>
      </c>
      <c r="Y950" s="10">
        <f>IF(W950&gt;$AC$33,1,0)</f>
        <v/>
      </c>
      <c r="Z950">
        <f>IF(Y950=C950,1,0)</f>
        <v/>
      </c>
    </row>
    <row r="951">
      <c r="A951">
        <f>'1 prepared data'!A944</f>
        <v/>
      </c>
      <c r="B951" s="5">
        <f>'1 prepared data'!U944</f>
        <v/>
      </c>
      <c r="C951">
        <f>'1 prepared data'!B944</f>
        <v/>
      </c>
      <c r="D951" s="7">
        <f>'1 prepared data'!C944</f>
        <v/>
      </c>
      <c r="E951" s="7">
        <f>'1 prepared data'!D944</f>
        <v/>
      </c>
      <c r="F951" s="7">
        <f>'1 prepared data'!E944</f>
        <v/>
      </c>
      <c r="G951" s="7">
        <f>'1 prepared data'!F944</f>
        <v/>
      </c>
      <c r="H951" s="7">
        <f>'1 prepared data'!G944</f>
        <v/>
      </c>
      <c r="I951" s="7">
        <f>'1 prepared data'!H944</f>
        <v/>
      </c>
      <c r="J951" s="7">
        <f>'1 prepared data'!I944</f>
        <v/>
      </c>
      <c r="K951" s="7">
        <f>'1 prepared data'!J944</f>
        <v/>
      </c>
      <c r="L951" s="7">
        <f>'1 prepared data'!K944</f>
        <v/>
      </c>
      <c r="M951" s="7">
        <f>'1 prepared data'!L944</f>
        <v/>
      </c>
      <c r="N951" s="7">
        <f>'1 prepared data'!M944</f>
        <v/>
      </c>
      <c r="O951" s="7">
        <f>'1 prepared data'!N944</f>
        <v/>
      </c>
      <c r="P951" s="7">
        <f>'1 prepared data'!O944</f>
        <v/>
      </c>
      <c r="Q951" s="7">
        <f>'1 prepared data'!P944</f>
        <v/>
      </c>
      <c r="R951" s="7">
        <f>'1 prepared data'!Q944</f>
        <v/>
      </c>
      <c r="S951" s="7">
        <f>'1 prepared data'!R944</f>
        <v/>
      </c>
      <c r="T951" s="7">
        <f>'1 prepared data'!S944</f>
        <v/>
      </c>
      <c r="U951" s="7">
        <f>'1 prepared data'!T944</f>
        <v/>
      </c>
      <c r="V951" s="8">
        <f>$AC$12+D951*$AC$13+E951*$AC$14+F951*$AC$15+G951*$AC$16+H951*$AC$17+I951*$AC$18+J951*$AC$19+K951*$AC$20+L951*$AC$21+M951*$AC$22+N951*$AC$23+O951*$AC$24+P951*$AC$25+Q951*$AC$26+R951*$AC$27+S951*$AC$28+T951*$AC$29+U951*$AC$30</f>
        <v/>
      </c>
      <c r="W951" s="8">
        <f>1/(1+EXP(-V951))</f>
        <v/>
      </c>
      <c r="X951" s="9">
        <f>-IF(C951=1,LN(W951),LN(1-W951))</f>
        <v/>
      </c>
      <c r="Y951" s="10">
        <f>IF(W951&gt;$AC$33,1,0)</f>
        <v/>
      </c>
      <c r="Z951">
        <f>IF(Y951=C951,1,0)</f>
        <v/>
      </c>
    </row>
    <row r="952">
      <c r="A952">
        <f>'1 prepared data'!A945</f>
        <v/>
      </c>
      <c r="B952" s="5">
        <f>'1 prepared data'!U945</f>
        <v/>
      </c>
      <c r="C952">
        <f>'1 prepared data'!B945</f>
        <v/>
      </c>
      <c r="D952" s="7">
        <f>'1 prepared data'!C945</f>
        <v/>
      </c>
      <c r="E952" s="7">
        <f>'1 prepared data'!D945</f>
        <v/>
      </c>
      <c r="F952" s="7">
        <f>'1 prepared data'!E945</f>
        <v/>
      </c>
      <c r="G952" s="7">
        <f>'1 prepared data'!F945</f>
        <v/>
      </c>
      <c r="H952" s="7">
        <f>'1 prepared data'!G945</f>
        <v/>
      </c>
      <c r="I952" s="7">
        <f>'1 prepared data'!H945</f>
        <v/>
      </c>
      <c r="J952" s="7">
        <f>'1 prepared data'!I945</f>
        <v/>
      </c>
      <c r="K952" s="7">
        <f>'1 prepared data'!J945</f>
        <v/>
      </c>
      <c r="L952" s="7">
        <f>'1 prepared data'!K945</f>
        <v/>
      </c>
      <c r="M952" s="7">
        <f>'1 prepared data'!L945</f>
        <v/>
      </c>
      <c r="N952" s="7">
        <f>'1 prepared data'!M945</f>
        <v/>
      </c>
      <c r="O952" s="7">
        <f>'1 prepared data'!N945</f>
        <v/>
      </c>
      <c r="P952" s="7">
        <f>'1 prepared data'!O945</f>
        <v/>
      </c>
      <c r="Q952" s="7">
        <f>'1 prepared data'!P945</f>
        <v/>
      </c>
      <c r="R952" s="7">
        <f>'1 prepared data'!Q945</f>
        <v/>
      </c>
      <c r="S952" s="7">
        <f>'1 prepared data'!R945</f>
        <v/>
      </c>
      <c r="T952" s="7">
        <f>'1 prepared data'!S945</f>
        <v/>
      </c>
      <c r="U952" s="7">
        <f>'1 prepared data'!T945</f>
        <v/>
      </c>
      <c r="V952" s="8">
        <f>$AC$12+D952*$AC$13+E952*$AC$14+F952*$AC$15+G952*$AC$16+H952*$AC$17+I952*$AC$18+J952*$AC$19+K952*$AC$20+L952*$AC$21+M952*$AC$22+N952*$AC$23+O952*$AC$24+P952*$AC$25+Q952*$AC$26+R952*$AC$27+S952*$AC$28+T952*$AC$29+U952*$AC$30</f>
        <v/>
      </c>
      <c r="W952" s="8">
        <f>1/(1+EXP(-V952))</f>
        <v/>
      </c>
      <c r="X952" s="9">
        <f>-IF(C952=1,LN(W952),LN(1-W952))</f>
        <v/>
      </c>
      <c r="Y952" s="10">
        <f>IF(W952&gt;$AC$33,1,0)</f>
        <v/>
      </c>
      <c r="Z952">
        <f>IF(Y952=C952,1,0)</f>
        <v/>
      </c>
    </row>
    <row r="953">
      <c r="A953">
        <f>'1 prepared data'!A946</f>
        <v/>
      </c>
      <c r="B953" s="5">
        <f>'1 prepared data'!U946</f>
        <v/>
      </c>
      <c r="C953">
        <f>'1 prepared data'!B946</f>
        <v/>
      </c>
      <c r="D953" s="7">
        <f>'1 prepared data'!C946</f>
        <v/>
      </c>
      <c r="E953" s="7">
        <f>'1 prepared data'!D946</f>
        <v/>
      </c>
      <c r="F953" s="7">
        <f>'1 prepared data'!E946</f>
        <v/>
      </c>
      <c r="G953" s="7">
        <f>'1 prepared data'!F946</f>
        <v/>
      </c>
      <c r="H953" s="7">
        <f>'1 prepared data'!G946</f>
        <v/>
      </c>
      <c r="I953" s="7">
        <f>'1 prepared data'!H946</f>
        <v/>
      </c>
      <c r="J953" s="7">
        <f>'1 prepared data'!I946</f>
        <v/>
      </c>
      <c r="K953" s="7">
        <f>'1 prepared data'!J946</f>
        <v/>
      </c>
      <c r="L953" s="7">
        <f>'1 prepared data'!K946</f>
        <v/>
      </c>
      <c r="M953" s="7">
        <f>'1 prepared data'!L946</f>
        <v/>
      </c>
      <c r="N953" s="7">
        <f>'1 prepared data'!M946</f>
        <v/>
      </c>
      <c r="O953" s="7">
        <f>'1 prepared data'!N946</f>
        <v/>
      </c>
      <c r="P953" s="7">
        <f>'1 prepared data'!O946</f>
        <v/>
      </c>
      <c r="Q953" s="7">
        <f>'1 prepared data'!P946</f>
        <v/>
      </c>
      <c r="R953" s="7">
        <f>'1 prepared data'!Q946</f>
        <v/>
      </c>
      <c r="S953" s="7">
        <f>'1 prepared data'!R946</f>
        <v/>
      </c>
      <c r="T953" s="7">
        <f>'1 prepared data'!S946</f>
        <v/>
      </c>
      <c r="U953" s="7">
        <f>'1 prepared data'!T946</f>
        <v/>
      </c>
      <c r="V953" s="8">
        <f>$AC$12+D953*$AC$13+E953*$AC$14+F953*$AC$15+G953*$AC$16+H953*$AC$17+I953*$AC$18+J953*$AC$19+K953*$AC$20+L953*$AC$21+M953*$AC$22+N953*$AC$23+O953*$AC$24+P953*$AC$25+Q953*$AC$26+R953*$AC$27+S953*$AC$28+T953*$AC$29+U953*$AC$30</f>
        <v/>
      </c>
      <c r="W953" s="8">
        <f>1/(1+EXP(-V953))</f>
        <v/>
      </c>
      <c r="X953" s="9">
        <f>-IF(C953=1,LN(W953),LN(1-W953))</f>
        <v/>
      </c>
      <c r="Y953" s="10">
        <f>IF(W953&gt;$AC$33,1,0)</f>
        <v/>
      </c>
      <c r="Z953">
        <f>IF(Y953=C953,1,0)</f>
        <v/>
      </c>
    </row>
    <row r="954">
      <c r="A954">
        <f>'1 prepared data'!A947</f>
        <v/>
      </c>
      <c r="B954" s="5">
        <f>'1 prepared data'!U947</f>
        <v/>
      </c>
      <c r="C954">
        <f>'1 prepared data'!B947</f>
        <v/>
      </c>
      <c r="D954" s="7">
        <f>'1 prepared data'!C947</f>
        <v/>
      </c>
      <c r="E954" s="7">
        <f>'1 prepared data'!D947</f>
        <v/>
      </c>
      <c r="F954" s="7">
        <f>'1 prepared data'!E947</f>
        <v/>
      </c>
      <c r="G954" s="7">
        <f>'1 prepared data'!F947</f>
        <v/>
      </c>
      <c r="H954" s="7">
        <f>'1 prepared data'!G947</f>
        <v/>
      </c>
      <c r="I954" s="7">
        <f>'1 prepared data'!H947</f>
        <v/>
      </c>
      <c r="J954" s="7">
        <f>'1 prepared data'!I947</f>
        <v/>
      </c>
      <c r="K954" s="7">
        <f>'1 prepared data'!J947</f>
        <v/>
      </c>
      <c r="L954" s="7">
        <f>'1 prepared data'!K947</f>
        <v/>
      </c>
      <c r="M954" s="7">
        <f>'1 prepared data'!L947</f>
        <v/>
      </c>
      <c r="N954" s="7">
        <f>'1 prepared data'!M947</f>
        <v/>
      </c>
      <c r="O954" s="7">
        <f>'1 prepared data'!N947</f>
        <v/>
      </c>
      <c r="P954" s="7">
        <f>'1 prepared data'!O947</f>
        <v/>
      </c>
      <c r="Q954" s="7">
        <f>'1 prepared data'!P947</f>
        <v/>
      </c>
      <c r="R954" s="7">
        <f>'1 prepared data'!Q947</f>
        <v/>
      </c>
      <c r="S954" s="7">
        <f>'1 prepared data'!R947</f>
        <v/>
      </c>
      <c r="T954" s="7">
        <f>'1 prepared data'!S947</f>
        <v/>
      </c>
      <c r="U954" s="7">
        <f>'1 prepared data'!T947</f>
        <v/>
      </c>
      <c r="V954" s="8">
        <f>$AC$12+D954*$AC$13+E954*$AC$14+F954*$AC$15+G954*$AC$16+H954*$AC$17+I954*$AC$18+J954*$AC$19+K954*$AC$20+L954*$AC$21+M954*$AC$22+N954*$AC$23+O954*$AC$24+P954*$AC$25+Q954*$AC$26+R954*$AC$27+S954*$AC$28+T954*$AC$29+U954*$AC$30</f>
        <v/>
      </c>
      <c r="W954" s="8">
        <f>1/(1+EXP(-V954))</f>
        <v/>
      </c>
      <c r="X954" s="9">
        <f>-IF(C954=1,LN(W954),LN(1-W954))</f>
        <v/>
      </c>
      <c r="Y954" s="10">
        <f>IF(W954&gt;$AC$33,1,0)</f>
        <v/>
      </c>
      <c r="Z954">
        <f>IF(Y954=C954,1,0)</f>
        <v/>
      </c>
    </row>
    <row r="955">
      <c r="A955">
        <f>'1 prepared data'!A948</f>
        <v/>
      </c>
      <c r="B955" s="5">
        <f>'1 prepared data'!U948</f>
        <v/>
      </c>
      <c r="C955">
        <f>'1 prepared data'!B948</f>
        <v/>
      </c>
      <c r="D955" s="7">
        <f>'1 prepared data'!C948</f>
        <v/>
      </c>
      <c r="E955" s="7">
        <f>'1 prepared data'!D948</f>
        <v/>
      </c>
      <c r="F955" s="7">
        <f>'1 prepared data'!E948</f>
        <v/>
      </c>
      <c r="G955" s="7">
        <f>'1 prepared data'!F948</f>
        <v/>
      </c>
      <c r="H955" s="7">
        <f>'1 prepared data'!G948</f>
        <v/>
      </c>
      <c r="I955" s="7">
        <f>'1 prepared data'!H948</f>
        <v/>
      </c>
      <c r="J955" s="7">
        <f>'1 prepared data'!I948</f>
        <v/>
      </c>
      <c r="K955" s="7">
        <f>'1 prepared data'!J948</f>
        <v/>
      </c>
      <c r="L955" s="7">
        <f>'1 prepared data'!K948</f>
        <v/>
      </c>
      <c r="M955" s="7">
        <f>'1 prepared data'!L948</f>
        <v/>
      </c>
      <c r="N955" s="7">
        <f>'1 prepared data'!M948</f>
        <v/>
      </c>
      <c r="O955" s="7">
        <f>'1 prepared data'!N948</f>
        <v/>
      </c>
      <c r="P955" s="7">
        <f>'1 prepared data'!O948</f>
        <v/>
      </c>
      <c r="Q955" s="7">
        <f>'1 prepared data'!P948</f>
        <v/>
      </c>
      <c r="R955" s="7">
        <f>'1 prepared data'!Q948</f>
        <v/>
      </c>
      <c r="S955" s="7">
        <f>'1 prepared data'!R948</f>
        <v/>
      </c>
      <c r="T955" s="7">
        <f>'1 prepared data'!S948</f>
        <v/>
      </c>
      <c r="U955" s="7">
        <f>'1 prepared data'!T948</f>
        <v/>
      </c>
      <c r="V955" s="8">
        <f>$AC$12+D955*$AC$13+E955*$AC$14+F955*$AC$15+G955*$AC$16+H955*$AC$17+I955*$AC$18+J955*$AC$19+K955*$AC$20+L955*$AC$21+M955*$AC$22+N955*$AC$23+O955*$AC$24+P955*$AC$25+Q955*$AC$26+R955*$AC$27+S955*$AC$28+T955*$AC$29+U955*$AC$30</f>
        <v/>
      </c>
      <c r="W955" s="8">
        <f>1/(1+EXP(-V955))</f>
        <v/>
      </c>
      <c r="X955" s="9">
        <f>-IF(C955=1,LN(W955),LN(1-W955))</f>
        <v/>
      </c>
      <c r="Y955" s="10">
        <f>IF(W955&gt;$AC$33,1,0)</f>
        <v/>
      </c>
      <c r="Z955">
        <f>IF(Y955=C955,1,0)</f>
        <v/>
      </c>
    </row>
    <row r="956">
      <c r="A956">
        <f>'1 prepared data'!A949</f>
        <v/>
      </c>
      <c r="B956" s="5">
        <f>'1 prepared data'!U949</f>
        <v/>
      </c>
      <c r="C956">
        <f>'1 prepared data'!B949</f>
        <v/>
      </c>
      <c r="D956" s="7">
        <f>'1 prepared data'!C949</f>
        <v/>
      </c>
      <c r="E956" s="7">
        <f>'1 prepared data'!D949</f>
        <v/>
      </c>
      <c r="F956" s="7">
        <f>'1 prepared data'!E949</f>
        <v/>
      </c>
      <c r="G956" s="7">
        <f>'1 prepared data'!F949</f>
        <v/>
      </c>
      <c r="H956" s="7">
        <f>'1 prepared data'!G949</f>
        <v/>
      </c>
      <c r="I956" s="7">
        <f>'1 prepared data'!H949</f>
        <v/>
      </c>
      <c r="J956" s="7">
        <f>'1 prepared data'!I949</f>
        <v/>
      </c>
      <c r="K956" s="7">
        <f>'1 prepared data'!J949</f>
        <v/>
      </c>
      <c r="L956" s="7">
        <f>'1 prepared data'!K949</f>
        <v/>
      </c>
      <c r="M956" s="7">
        <f>'1 prepared data'!L949</f>
        <v/>
      </c>
      <c r="N956" s="7">
        <f>'1 prepared data'!M949</f>
        <v/>
      </c>
      <c r="O956" s="7">
        <f>'1 prepared data'!N949</f>
        <v/>
      </c>
      <c r="P956" s="7">
        <f>'1 prepared data'!O949</f>
        <v/>
      </c>
      <c r="Q956" s="7">
        <f>'1 prepared data'!P949</f>
        <v/>
      </c>
      <c r="R956" s="7">
        <f>'1 prepared data'!Q949</f>
        <v/>
      </c>
      <c r="S956" s="7">
        <f>'1 prepared data'!R949</f>
        <v/>
      </c>
      <c r="T956" s="7">
        <f>'1 prepared data'!S949</f>
        <v/>
      </c>
      <c r="U956" s="7">
        <f>'1 prepared data'!T949</f>
        <v/>
      </c>
      <c r="V956" s="8">
        <f>$AC$12+D956*$AC$13+E956*$AC$14+F956*$AC$15+G956*$AC$16+H956*$AC$17+I956*$AC$18+J956*$AC$19+K956*$AC$20+L956*$AC$21+M956*$AC$22+N956*$AC$23+O956*$AC$24+P956*$AC$25+Q956*$AC$26+R956*$AC$27+S956*$AC$28+T956*$AC$29+U956*$AC$30</f>
        <v/>
      </c>
      <c r="W956" s="8">
        <f>1/(1+EXP(-V956))</f>
        <v/>
      </c>
      <c r="X956" s="9">
        <f>-IF(C956=1,LN(W956),LN(1-W956))</f>
        <v/>
      </c>
      <c r="Y956" s="10">
        <f>IF(W956&gt;$AC$33,1,0)</f>
        <v/>
      </c>
      <c r="Z956">
        <f>IF(Y956=C956,1,0)</f>
        <v/>
      </c>
    </row>
    <row r="957">
      <c r="A957">
        <f>'1 prepared data'!A950</f>
        <v/>
      </c>
      <c r="B957" s="5">
        <f>'1 prepared data'!U950</f>
        <v/>
      </c>
      <c r="C957">
        <f>'1 prepared data'!B950</f>
        <v/>
      </c>
      <c r="D957" s="7">
        <f>'1 prepared data'!C950</f>
        <v/>
      </c>
      <c r="E957" s="7">
        <f>'1 prepared data'!D950</f>
        <v/>
      </c>
      <c r="F957" s="7">
        <f>'1 prepared data'!E950</f>
        <v/>
      </c>
      <c r="G957" s="7">
        <f>'1 prepared data'!F950</f>
        <v/>
      </c>
      <c r="H957" s="7">
        <f>'1 prepared data'!G950</f>
        <v/>
      </c>
      <c r="I957" s="7">
        <f>'1 prepared data'!H950</f>
        <v/>
      </c>
      <c r="J957" s="7">
        <f>'1 prepared data'!I950</f>
        <v/>
      </c>
      <c r="K957" s="7">
        <f>'1 prepared data'!J950</f>
        <v/>
      </c>
      <c r="L957" s="7">
        <f>'1 prepared data'!K950</f>
        <v/>
      </c>
      <c r="M957" s="7">
        <f>'1 prepared data'!L950</f>
        <v/>
      </c>
      <c r="N957" s="7">
        <f>'1 prepared data'!M950</f>
        <v/>
      </c>
      <c r="O957" s="7">
        <f>'1 prepared data'!N950</f>
        <v/>
      </c>
      <c r="P957" s="7">
        <f>'1 prepared data'!O950</f>
        <v/>
      </c>
      <c r="Q957" s="7">
        <f>'1 prepared data'!P950</f>
        <v/>
      </c>
      <c r="R957" s="7">
        <f>'1 prepared data'!Q950</f>
        <v/>
      </c>
      <c r="S957" s="7">
        <f>'1 prepared data'!R950</f>
        <v/>
      </c>
      <c r="T957" s="7">
        <f>'1 prepared data'!S950</f>
        <v/>
      </c>
      <c r="U957" s="7">
        <f>'1 prepared data'!T950</f>
        <v/>
      </c>
      <c r="V957" s="8">
        <f>$AC$12+D957*$AC$13+E957*$AC$14+F957*$AC$15+G957*$AC$16+H957*$AC$17+I957*$AC$18+J957*$AC$19+K957*$AC$20+L957*$AC$21+M957*$AC$22+N957*$AC$23+O957*$AC$24+P957*$AC$25+Q957*$AC$26+R957*$AC$27+S957*$AC$28+T957*$AC$29+U957*$AC$30</f>
        <v/>
      </c>
      <c r="W957" s="8">
        <f>1/(1+EXP(-V957))</f>
        <v/>
      </c>
      <c r="X957" s="9">
        <f>-IF(C957=1,LN(W957),LN(1-W957))</f>
        <v/>
      </c>
      <c r="Y957" s="10">
        <f>IF(W957&gt;$AC$33,1,0)</f>
        <v/>
      </c>
      <c r="Z957">
        <f>IF(Y957=C957,1,0)</f>
        <v/>
      </c>
    </row>
    <row r="958">
      <c r="A958">
        <f>'1 prepared data'!A951</f>
        <v/>
      </c>
      <c r="B958" s="5">
        <f>'1 prepared data'!U951</f>
        <v/>
      </c>
      <c r="C958">
        <f>'1 prepared data'!B951</f>
        <v/>
      </c>
      <c r="D958" s="7">
        <f>'1 prepared data'!C951</f>
        <v/>
      </c>
      <c r="E958" s="7">
        <f>'1 prepared data'!D951</f>
        <v/>
      </c>
      <c r="F958" s="7">
        <f>'1 prepared data'!E951</f>
        <v/>
      </c>
      <c r="G958" s="7">
        <f>'1 prepared data'!F951</f>
        <v/>
      </c>
      <c r="H958" s="7">
        <f>'1 prepared data'!G951</f>
        <v/>
      </c>
      <c r="I958" s="7">
        <f>'1 prepared data'!H951</f>
        <v/>
      </c>
      <c r="J958" s="7">
        <f>'1 prepared data'!I951</f>
        <v/>
      </c>
      <c r="K958" s="7">
        <f>'1 prepared data'!J951</f>
        <v/>
      </c>
      <c r="L958" s="7">
        <f>'1 prepared data'!K951</f>
        <v/>
      </c>
      <c r="M958" s="7">
        <f>'1 prepared data'!L951</f>
        <v/>
      </c>
      <c r="N958" s="7">
        <f>'1 prepared data'!M951</f>
        <v/>
      </c>
      <c r="O958" s="7">
        <f>'1 prepared data'!N951</f>
        <v/>
      </c>
      <c r="P958" s="7">
        <f>'1 prepared data'!O951</f>
        <v/>
      </c>
      <c r="Q958" s="7">
        <f>'1 prepared data'!P951</f>
        <v/>
      </c>
      <c r="R958" s="7">
        <f>'1 prepared data'!Q951</f>
        <v/>
      </c>
      <c r="S958" s="7">
        <f>'1 prepared data'!R951</f>
        <v/>
      </c>
      <c r="T958" s="7">
        <f>'1 prepared data'!S951</f>
        <v/>
      </c>
      <c r="U958" s="7">
        <f>'1 prepared data'!T951</f>
        <v/>
      </c>
      <c r="V958" s="8">
        <f>$AC$12+D958*$AC$13+E958*$AC$14+F958*$AC$15+G958*$AC$16+H958*$AC$17+I958*$AC$18+J958*$AC$19+K958*$AC$20+L958*$AC$21+M958*$AC$22+N958*$AC$23+O958*$AC$24+P958*$AC$25+Q958*$AC$26+R958*$AC$27+S958*$AC$28+T958*$AC$29+U958*$AC$30</f>
        <v/>
      </c>
      <c r="W958" s="8">
        <f>1/(1+EXP(-V958))</f>
        <v/>
      </c>
      <c r="X958" s="9">
        <f>-IF(C958=1,LN(W958),LN(1-W958))</f>
        <v/>
      </c>
      <c r="Y958" s="10">
        <f>IF(W958&gt;$AC$33,1,0)</f>
        <v/>
      </c>
      <c r="Z958">
        <f>IF(Y958=C958,1,0)</f>
        <v/>
      </c>
    </row>
    <row r="959">
      <c r="A959">
        <f>'1 prepared data'!A952</f>
        <v/>
      </c>
      <c r="B959" s="5">
        <f>'1 prepared data'!U952</f>
        <v/>
      </c>
      <c r="C959">
        <f>'1 prepared data'!B952</f>
        <v/>
      </c>
      <c r="D959" s="7">
        <f>'1 prepared data'!C952</f>
        <v/>
      </c>
      <c r="E959" s="7">
        <f>'1 prepared data'!D952</f>
        <v/>
      </c>
      <c r="F959" s="7">
        <f>'1 prepared data'!E952</f>
        <v/>
      </c>
      <c r="G959" s="7">
        <f>'1 prepared data'!F952</f>
        <v/>
      </c>
      <c r="H959" s="7">
        <f>'1 prepared data'!G952</f>
        <v/>
      </c>
      <c r="I959" s="7">
        <f>'1 prepared data'!H952</f>
        <v/>
      </c>
      <c r="J959" s="7">
        <f>'1 prepared data'!I952</f>
        <v/>
      </c>
      <c r="K959" s="7">
        <f>'1 prepared data'!J952</f>
        <v/>
      </c>
      <c r="L959" s="7">
        <f>'1 prepared data'!K952</f>
        <v/>
      </c>
      <c r="M959" s="7">
        <f>'1 prepared data'!L952</f>
        <v/>
      </c>
      <c r="N959" s="7">
        <f>'1 prepared data'!M952</f>
        <v/>
      </c>
      <c r="O959" s="7">
        <f>'1 prepared data'!N952</f>
        <v/>
      </c>
      <c r="P959" s="7">
        <f>'1 prepared data'!O952</f>
        <v/>
      </c>
      <c r="Q959" s="7">
        <f>'1 prepared data'!P952</f>
        <v/>
      </c>
      <c r="R959" s="7">
        <f>'1 prepared data'!Q952</f>
        <v/>
      </c>
      <c r="S959" s="7">
        <f>'1 prepared data'!R952</f>
        <v/>
      </c>
      <c r="T959" s="7">
        <f>'1 prepared data'!S952</f>
        <v/>
      </c>
      <c r="U959" s="7">
        <f>'1 prepared data'!T952</f>
        <v/>
      </c>
      <c r="V959" s="8">
        <f>$AC$12+D959*$AC$13+E959*$AC$14+F959*$AC$15+G959*$AC$16+H959*$AC$17+I959*$AC$18+J959*$AC$19+K959*$AC$20+L959*$AC$21+M959*$AC$22+N959*$AC$23+O959*$AC$24+P959*$AC$25+Q959*$AC$26+R959*$AC$27+S959*$AC$28+T959*$AC$29+U959*$AC$30</f>
        <v/>
      </c>
      <c r="W959" s="8">
        <f>1/(1+EXP(-V959))</f>
        <v/>
      </c>
      <c r="X959" s="9">
        <f>-IF(C959=1,LN(W959),LN(1-W959))</f>
        <v/>
      </c>
      <c r="Y959" s="10">
        <f>IF(W959&gt;$AC$33,1,0)</f>
        <v/>
      </c>
      <c r="Z959">
        <f>IF(Y959=C959,1,0)</f>
        <v/>
      </c>
    </row>
    <row r="960">
      <c r="A960">
        <f>'1 prepared data'!A953</f>
        <v/>
      </c>
      <c r="B960" s="5">
        <f>'1 prepared data'!U953</f>
        <v/>
      </c>
      <c r="C960">
        <f>'1 prepared data'!B953</f>
        <v/>
      </c>
      <c r="D960" s="7">
        <f>'1 prepared data'!C953</f>
        <v/>
      </c>
      <c r="E960" s="7">
        <f>'1 prepared data'!D953</f>
        <v/>
      </c>
      <c r="F960" s="7">
        <f>'1 prepared data'!E953</f>
        <v/>
      </c>
      <c r="G960" s="7">
        <f>'1 prepared data'!F953</f>
        <v/>
      </c>
      <c r="H960" s="7">
        <f>'1 prepared data'!G953</f>
        <v/>
      </c>
      <c r="I960" s="7">
        <f>'1 prepared data'!H953</f>
        <v/>
      </c>
      <c r="J960" s="7">
        <f>'1 prepared data'!I953</f>
        <v/>
      </c>
      <c r="K960" s="7">
        <f>'1 prepared data'!J953</f>
        <v/>
      </c>
      <c r="L960" s="7">
        <f>'1 prepared data'!K953</f>
        <v/>
      </c>
      <c r="M960" s="7">
        <f>'1 prepared data'!L953</f>
        <v/>
      </c>
      <c r="N960" s="7">
        <f>'1 prepared data'!M953</f>
        <v/>
      </c>
      <c r="O960" s="7">
        <f>'1 prepared data'!N953</f>
        <v/>
      </c>
      <c r="P960" s="7">
        <f>'1 prepared data'!O953</f>
        <v/>
      </c>
      <c r="Q960" s="7">
        <f>'1 prepared data'!P953</f>
        <v/>
      </c>
      <c r="R960" s="7">
        <f>'1 prepared data'!Q953</f>
        <v/>
      </c>
      <c r="S960" s="7">
        <f>'1 prepared data'!R953</f>
        <v/>
      </c>
      <c r="T960" s="7">
        <f>'1 prepared data'!S953</f>
        <v/>
      </c>
      <c r="U960" s="7">
        <f>'1 prepared data'!T953</f>
        <v/>
      </c>
      <c r="V960" s="8">
        <f>$AC$12+D960*$AC$13+E960*$AC$14+F960*$AC$15+G960*$AC$16+H960*$AC$17+I960*$AC$18+J960*$AC$19+K960*$AC$20+L960*$AC$21+M960*$AC$22+N960*$AC$23+O960*$AC$24+P960*$AC$25+Q960*$AC$26+R960*$AC$27+S960*$AC$28+T960*$AC$29+U960*$AC$30</f>
        <v/>
      </c>
      <c r="W960" s="8">
        <f>1/(1+EXP(-V960))</f>
        <v/>
      </c>
      <c r="X960" s="9">
        <f>-IF(C960=1,LN(W960),LN(1-W960))</f>
        <v/>
      </c>
      <c r="Y960" s="10">
        <f>IF(W960&gt;$AC$33,1,0)</f>
        <v/>
      </c>
      <c r="Z960">
        <f>IF(Y960=C960,1,0)</f>
        <v/>
      </c>
    </row>
    <row r="961">
      <c r="A961">
        <f>'1 prepared data'!A954</f>
        <v/>
      </c>
      <c r="B961" s="5">
        <f>'1 prepared data'!U954</f>
        <v/>
      </c>
      <c r="C961">
        <f>'1 prepared data'!B954</f>
        <v/>
      </c>
      <c r="D961" s="7">
        <f>'1 prepared data'!C954</f>
        <v/>
      </c>
      <c r="E961" s="7">
        <f>'1 prepared data'!D954</f>
        <v/>
      </c>
      <c r="F961" s="7">
        <f>'1 prepared data'!E954</f>
        <v/>
      </c>
      <c r="G961" s="7">
        <f>'1 prepared data'!F954</f>
        <v/>
      </c>
      <c r="H961" s="7">
        <f>'1 prepared data'!G954</f>
        <v/>
      </c>
      <c r="I961" s="7">
        <f>'1 prepared data'!H954</f>
        <v/>
      </c>
      <c r="J961" s="7">
        <f>'1 prepared data'!I954</f>
        <v/>
      </c>
      <c r="K961" s="7">
        <f>'1 prepared data'!J954</f>
        <v/>
      </c>
      <c r="L961" s="7">
        <f>'1 prepared data'!K954</f>
        <v/>
      </c>
      <c r="M961" s="7">
        <f>'1 prepared data'!L954</f>
        <v/>
      </c>
      <c r="N961" s="7">
        <f>'1 prepared data'!M954</f>
        <v/>
      </c>
      <c r="O961" s="7">
        <f>'1 prepared data'!N954</f>
        <v/>
      </c>
      <c r="P961" s="7">
        <f>'1 prepared data'!O954</f>
        <v/>
      </c>
      <c r="Q961" s="7">
        <f>'1 prepared data'!P954</f>
        <v/>
      </c>
      <c r="R961" s="7">
        <f>'1 prepared data'!Q954</f>
        <v/>
      </c>
      <c r="S961" s="7">
        <f>'1 prepared data'!R954</f>
        <v/>
      </c>
      <c r="T961" s="7">
        <f>'1 prepared data'!S954</f>
        <v/>
      </c>
      <c r="U961" s="7">
        <f>'1 prepared data'!T954</f>
        <v/>
      </c>
      <c r="V961" s="8">
        <f>$AC$12+D961*$AC$13+E961*$AC$14+F961*$AC$15+G961*$AC$16+H961*$AC$17+I961*$AC$18+J961*$AC$19+K961*$AC$20+L961*$AC$21+M961*$AC$22+N961*$AC$23+O961*$AC$24+P961*$AC$25+Q961*$AC$26+R961*$AC$27+S961*$AC$28+T961*$AC$29+U961*$AC$30</f>
        <v/>
      </c>
      <c r="W961" s="8">
        <f>1/(1+EXP(-V961))</f>
        <v/>
      </c>
      <c r="X961" s="9">
        <f>-IF(C961=1,LN(W961),LN(1-W961))</f>
        <v/>
      </c>
      <c r="Y961" s="10">
        <f>IF(W961&gt;$AC$33,1,0)</f>
        <v/>
      </c>
      <c r="Z961">
        <f>IF(Y961=C961,1,0)</f>
        <v/>
      </c>
    </row>
    <row r="962">
      <c r="A962">
        <f>'1 prepared data'!A955</f>
        <v/>
      </c>
      <c r="B962" s="5">
        <f>'1 prepared data'!U955</f>
        <v/>
      </c>
      <c r="C962">
        <f>'1 prepared data'!B955</f>
        <v/>
      </c>
      <c r="D962" s="7">
        <f>'1 prepared data'!C955</f>
        <v/>
      </c>
      <c r="E962" s="7">
        <f>'1 prepared data'!D955</f>
        <v/>
      </c>
      <c r="F962" s="7">
        <f>'1 prepared data'!E955</f>
        <v/>
      </c>
      <c r="G962" s="7">
        <f>'1 prepared data'!F955</f>
        <v/>
      </c>
      <c r="H962" s="7">
        <f>'1 prepared data'!G955</f>
        <v/>
      </c>
      <c r="I962" s="7">
        <f>'1 prepared data'!H955</f>
        <v/>
      </c>
      <c r="J962" s="7">
        <f>'1 prepared data'!I955</f>
        <v/>
      </c>
      <c r="K962" s="7">
        <f>'1 prepared data'!J955</f>
        <v/>
      </c>
      <c r="L962" s="7">
        <f>'1 prepared data'!K955</f>
        <v/>
      </c>
      <c r="M962" s="7">
        <f>'1 prepared data'!L955</f>
        <v/>
      </c>
      <c r="N962" s="7">
        <f>'1 prepared data'!M955</f>
        <v/>
      </c>
      <c r="O962" s="7">
        <f>'1 prepared data'!N955</f>
        <v/>
      </c>
      <c r="P962" s="7">
        <f>'1 prepared data'!O955</f>
        <v/>
      </c>
      <c r="Q962" s="7">
        <f>'1 prepared data'!P955</f>
        <v/>
      </c>
      <c r="R962" s="7">
        <f>'1 prepared data'!Q955</f>
        <v/>
      </c>
      <c r="S962" s="7">
        <f>'1 prepared data'!R955</f>
        <v/>
      </c>
      <c r="T962" s="7">
        <f>'1 prepared data'!S955</f>
        <v/>
      </c>
      <c r="U962" s="7">
        <f>'1 prepared data'!T955</f>
        <v/>
      </c>
      <c r="V962" s="8">
        <f>$AC$12+D962*$AC$13+E962*$AC$14+F962*$AC$15+G962*$AC$16+H962*$AC$17+I962*$AC$18+J962*$AC$19+K962*$AC$20+L962*$AC$21+M962*$AC$22+N962*$AC$23+O962*$AC$24+P962*$AC$25+Q962*$AC$26+R962*$AC$27+S962*$AC$28+T962*$AC$29+U962*$AC$30</f>
        <v/>
      </c>
      <c r="W962" s="8">
        <f>1/(1+EXP(-V962))</f>
        <v/>
      </c>
      <c r="X962" s="9">
        <f>-IF(C962=1,LN(W962),LN(1-W962))</f>
        <v/>
      </c>
      <c r="Y962" s="10">
        <f>IF(W962&gt;$AC$33,1,0)</f>
        <v/>
      </c>
      <c r="Z962">
        <f>IF(Y962=C962,1,0)</f>
        <v/>
      </c>
    </row>
    <row r="963">
      <c r="A963">
        <f>'1 prepared data'!A956</f>
        <v/>
      </c>
      <c r="B963" s="5">
        <f>'1 prepared data'!U956</f>
        <v/>
      </c>
      <c r="C963">
        <f>'1 prepared data'!B956</f>
        <v/>
      </c>
      <c r="D963" s="7">
        <f>'1 prepared data'!C956</f>
        <v/>
      </c>
      <c r="E963" s="7">
        <f>'1 prepared data'!D956</f>
        <v/>
      </c>
      <c r="F963" s="7">
        <f>'1 prepared data'!E956</f>
        <v/>
      </c>
      <c r="G963" s="7">
        <f>'1 prepared data'!F956</f>
        <v/>
      </c>
      <c r="H963" s="7">
        <f>'1 prepared data'!G956</f>
        <v/>
      </c>
      <c r="I963" s="7">
        <f>'1 prepared data'!H956</f>
        <v/>
      </c>
      <c r="J963" s="7">
        <f>'1 prepared data'!I956</f>
        <v/>
      </c>
      <c r="K963" s="7">
        <f>'1 prepared data'!J956</f>
        <v/>
      </c>
      <c r="L963" s="7">
        <f>'1 prepared data'!K956</f>
        <v/>
      </c>
      <c r="M963" s="7">
        <f>'1 prepared data'!L956</f>
        <v/>
      </c>
      <c r="N963" s="7">
        <f>'1 prepared data'!M956</f>
        <v/>
      </c>
      <c r="O963" s="7">
        <f>'1 prepared data'!N956</f>
        <v/>
      </c>
      <c r="P963" s="7">
        <f>'1 prepared data'!O956</f>
        <v/>
      </c>
      <c r="Q963" s="7">
        <f>'1 prepared data'!P956</f>
        <v/>
      </c>
      <c r="R963" s="7">
        <f>'1 prepared data'!Q956</f>
        <v/>
      </c>
      <c r="S963" s="7">
        <f>'1 prepared data'!R956</f>
        <v/>
      </c>
      <c r="T963" s="7">
        <f>'1 prepared data'!S956</f>
        <v/>
      </c>
      <c r="U963" s="7">
        <f>'1 prepared data'!T956</f>
        <v/>
      </c>
      <c r="V963" s="8">
        <f>$AC$12+D963*$AC$13+E963*$AC$14+F963*$AC$15+G963*$AC$16+H963*$AC$17+I963*$AC$18+J963*$AC$19+K963*$AC$20+L963*$AC$21+M963*$AC$22+N963*$AC$23+O963*$AC$24+P963*$AC$25+Q963*$AC$26+R963*$AC$27+S963*$AC$28+T963*$AC$29+U963*$AC$30</f>
        <v/>
      </c>
      <c r="W963" s="8">
        <f>1/(1+EXP(-V963))</f>
        <v/>
      </c>
      <c r="X963" s="9">
        <f>-IF(C963=1,LN(W963),LN(1-W963))</f>
        <v/>
      </c>
      <c r="Y963" s="10">
        <f>IF(W963&gt;$AC$33,1,0)</f>
        <v/>
      </c>
      <c r="Z963">
        <f>IF(Y963=C963,1,0)</f>
        <v/>
      </c>
    </row>
    <row r="964">
      <c r="A964">
        <f>'1 prepared data'!A957</f>
        <v/>
      </c>
      <c r="B964" s="5">
        <f>'1 prepared data'!U957</f>
        <v/>
      </c>
      <c r="C964">
        <f>'1 prepared data'!B957</f>
        <v/>
      </c>
      <c r="D964" s="7">
        <f>'1 prepared data'!C957</f>
        <v/>
      </c>
      <c r="E964" s="7">
        <f>'1 prepared data'!D957</f>
        <v/>
      </c>
      <c r="F964" s="7">
        <f>'1 prepared data'!E957</f>
        <v/>
      </c>
      <c r="G964" s="7">
        <f>'1 prepared data'!F957</f>
        <v/>
      </c>
      <c r="H964" s="7">
        <f>'1 prepared data'!G957</f>
        <v/>
      </c>
      <c r="I964" s="7">
        <f>'1 prepared data'!H957</f>
        <v/>
      </c>
      <c r="J964" s="7">
        <f>'1 prepared data'!I957</f>
        <v/>
      </c>
      <c r="K964" s="7">
        <f>'1 prepared data'!J957</f>
        <v/>
      </c>
      <c r="L964" s="7">
        <f>'1 prepared data'!K957</f>
        <v/>
      </c>
      <c r="M964" s="7">
        <f>'1 prepared data'!L957</f>
        <v/>
      </c>
      <c r="N964" s="7">
        <f>'1 prepared data'!M957</f>
        <v/>
      </c>
      <c r="O964" s="7">
        <f>'1 prepared data'!N957</f>
        <v/>
      </c>
      <c r="P964" s="7">
        <f>'1 prepared data'!O957</f>
        <v/>
      </c>
      <c r="Q964" s="7">
        <f>'1 prepared data'!P957</f>
        <v/>
      </c>
      <c r="R964" s="7">
        <f>'1 prepared data'!Q957</f>
        <v/>
      </c>
      <c r="S964" s="7">
        <f>'1 prepared data'!R957</f>
        <v/>
      </c>
      <c r="T964" s="7">
        <f>'1 prepared data'!S957</f>
        <v/>
      </c>
      <c r="U964" s="7">
        <f>'1 prepared data'!T957</f>
        <v/>
      </c>
      <c r="V964" s="8">
        <f>$AC$12+D964*$AC$13+E964*$AC$14+F964*$AC$15+G964*$AC$16+H964*$AC$17+I964*$AC$18+J964*$AC$19+K964*$AC$20+L964*$AC$21+M964*$AC$22+N964*$AC$23+O964*$AC$24+P964*$AC$25+Q964*$AC$26+R964*$AC$27+S964*$AC$28+T964*$AC$29+U964*$AC$30</f>
        <v/>
      </c>
      <c r="W964" s="8">
        <f>1/(1+EXP(-V964))</f>
        <v/>
      </c>
      <c r="X964" s="9">
        <f>-IF(C964=1,LN(W964),LN(1-W964))</f>
        <v/>
      </c>
      <c r="Y964" s="10">
        <f>IF(W964&gt;$AC$33,1,0)</f>
        <v/>
      </c>
      <c r="Z964">
        <f>IF(Y964=C964,1,0)</f>
        <v/>
      </c>
    </row>
    <row r="965">
      <c r="A965">
        <f>'1 prepared data'!A958</f>
        <v/>
      </c>
      <c r="B965" s="5">
        <f>'1 prepared data'!U958</f>
        <v/>
      </c>
      <c r="C965">
        <f>'1 prepared data'!B958</f>
        <v/>
      </c>
      <c r="D965" s="7">
        <f>'1 prepared data'!C958</f>
        <v/>
      </c>
      <c r="E965" s="7">
        <f>'1 prepared data'!D958</f>
        <v/>
      </c>
      <c r="F965" s="7">
        <f>'1 prepared data'!E958</f>
        <v/>
      </c>
      <c r="G965" s="7">
        <f>'1 prepared data'!F958</f>
        <v/>
      </c>
      <c r="H965" s="7">
        <f>'1 prepared data'!G958</f>
        <v/>
      </c>
      <c r="I965" s="7">
        <f>'1 prepared data'!H958</f>
        <v/>
      </c>
      <c r="J965" s="7">
        <f>'1 prepared data'!I958</f>
        <v/>
      </c>
      <c r="K965" s="7">
        <f>'1 prepared data'!J958</f>
        <v/>
      </c>
      <c r="L965" s="7">
        <f>'1 prepared data'!K958</f>
        <v/>
      </c>
      <c r="M965" s="7">
        <f>'1 prepared data'!L958</f>
        <v/>
      </c>
      <c r="N965" s="7">
        <f>'1 prepared data'!M958</f>
        <v/>
      </c>
      <c r="O965" s="7">
        <f>'1 prepared data'!N958</f>
        <v/>
      </c>
      <c r="P965" s="7">
        <f>'1 prepared data'!O958</f>
        <v/>
      </c>
      <c r="Q965" s="7">
        <f>'1 prepared data'!P958</f>
        <v/>
      </c>
      <c r="R965" s="7">
        <f>'1 prepared data'!Q958</f>
        <v/>
      </c>
      <c r="S965" s="7">
        <f>'1 prepared data'!R958</f>
        <v/>
      </c>
      <c r="T965" s="7">
        <f>'1 prepared data'!S958</f>
        <v/>
      </c>
      <c r="U965" s="7">
        <f>'1 prepared data'!T958</f>
        <v/>
      </c>
      <c r="V965" s="8">
        <f>$AC$12+D965*$AC$13+E965*$AC$14+F965*$AC$15+G965*$AC$16+H965*$AC$17+I965*$AC$18+J965*$AC$19+K965*$AC$20+L965*$AC$21+M965*$AC$22+N965*$AC$23+O965*$AC$24+P965*$AC$25+Q965*$AC$26+R965*$AC$27+S965*$AC$28+T965*$AC$29+U965*$AC$30</f>
        <v/>
      </c>
      <c r="W965" s="8">
        <f>1/(1+EXP(-V965))</f>
        <v/>
      </c>
      <c r="X965" s="9">
        <f>-IF(C965=1,LN(W965),LN(1-W965))</f>
        <v/>
      </c>
      <c r="Y965" s="10">
        <f>IF(W965&gt;$AC$33,1,0)</f>
        <v/>
      </c>
      <c r="Z965">
        <f>IF(Y965=C965,1,0)</f>
        <v/>
      </c>
    </row>
    <row r="966">
      <c r="A966">
        <f>'1 prepared data'!A959</f>
        <v/>
      </c>
      <c r="B966" s="5">
        <f>'1 prepared data'!U959</f>
        <v/>
      </c>
      <c r="C966">
        <f>'1 prepared data'!B959</f>
        <v/>
      </c>
      <c r="D966" s="7">
        <f>'1 prepared data'!C959</f>
        <v/>
      </c>
      <c r="E966" s="7">
        <f>'1 prepared data'!D959</f>
        <v/>
      </c>
      <c r="F966" s="7">
        <f>'1 prepared data'!E959</f>
        <v/>
      </c>
      <c r="G966" s="7">
        <f>'1 prepared data'!F959</f>
        <v/>
      </c>
      <c r="H966" s="7">
        <f>'1 prepared data'!G959</f>
        <v/>
      </c>
      <c r="I966" s="7">
        <f>'1 prepared data'!H959</f>
        <v/>
      </c>
      <c r="J966" s="7">
        <f>'1 prepared data'!I959</f>
        <v/>
      </c>
      <c r="K966" s="7">
        <f>'1 prepared data'!J959</f>
        <v/>
      </c>
      <c r="L966" s="7">
        <f>'1 prepared data'!K959</f>
        <v/>
      </c>
      <c r="M966" s="7">
        <f>'1 prepared data'!L959</f>
        <v/>
      </c>
      <c r="N966" s="7">
        <f>'1 prepared data'!M959</f>
        <v/>
      </c>
      <c r="O966" s="7">
        <f>'1 prepared data'!N959</f>
        <v/>
      </c>
      <c r="P966" s="7">
        <f>'1 prepared data'!O959</f>
        <v/>
      </c>
      <c r="Q966" s="7">
        <f>'1 prepared data'!P959</f>
        <v/>
      </c>
      <c r="R966" s="7">
        <f>'1 prepared data'!Q959</f>
        <v/>
      </c>
      <c r="S966" s="7">
        <f>'1 prepared data'!R959</f>
        <v/>
      </c>
      <c r="T966" s="7">
        <f>'1 prepared data'!S959</f>
        <v/>
      </c>
      <c r="U966" s="7">
        <f>'1 prepared data'!T959</f>
        <v/>
      </c>
      <c r="V966" s="8">
        <f>$AC$12+D966*$AC$13+E966*$AC$14+F966*$AC$15+G966*$AC$16+H966*$AC$17+I966*$AC$18+J966*$AC$19+K966*$AC$20+L966*$AC$21+M966*$AC$22+N966*$AC$23+O966*$AC$24+P966*$AC$25+Q966*$AC$26+R966*$AC$27+S966*$AC$28+T966*$AC$29+U966*$AC$30</f>
        <v/>
      </c>
      <c r="W966" s="8">
        <f>1/(1+EXP(-V966))</f>
        <v/>
      </c>
      <c r="X966" s="9">
        <f>-IF(C966=1,LN(W966),LN(1-W966))</f>
        <v/>
      </c>
      <c r="Y966" s="10">
        <f>IF(W966&gt;$AC$33,1,0)</f>
        <v/>
      </c>
      <c r="Z966">
        <f>IF(Y966=C966,1,0)</f>
        <v/>
      </c>
    </row>
    <row r="967">
      <c r="A967">
        <f>'1 prepared data'!A960</f>
        <v/>
      </c>
      <c r="B967" s="5">
        <f>'1 prepared data'!U960</f>
        <v/>
      </c>
      <c r="C967">
        <f>'1 prepared data'!B960</f>
        <v/>
      </c>
      <c r="D967" s="7">
        <f>'1 prepared data'!C960</f>
        <v/>
      </c>
      <c r="E967" s="7">
        <f>'1 prepared data'!D960</f>
        <v/>
      </c>
      <c r="F967" s="7">
        <f>'1 prepared data'!E960</f>
        <v/>
      </c>
      <c r="G967" s="7">
        <f>'1 prepared data'!F960</f>
        <v/>
      </c>
      <c r="H967" s="7">
        <f>'1 prepared data'!G960</f>
        <v/>
      </c>
      <c r="I967" s="7">
        <f>'1 prepared data'!H960</f>
        <v/>
      </c>
      <c r="J967" s="7">
        <f>'1 prepared data'!I960</f>
        <v/>
      </c>
      <c r="K967" s="7">
        <f>'1 prepared data'!J960</f>
        <v/>
      </c>
      <c r="L967" s="7">
        <f>'1 prepared data'!K960</f>
        <v/>
      </c>
      <c r="M967" s="7">
        <f>'1 prepared data'!L960</f>
        <v/>
      </c>
      <c r="N967" s="7">
        <f>'1 prepared data'!M960</f>
        <v/>
      </c>
      <c r="O967" s="7">
        <f>'1 prepared data'!N960</f>
        <v/>
      </c>
      <c r="P967" s="7">
        <f>'1 prepared data'!O960</f>
        <v/>
      </c>
      <c r="Q967" s="7">
        <f>'1 prepared data'!P960</f>
        <v/>
      </c>
      <c r="R967" s="7">
        <f>'1 prepared data'!Q960</f>
        <v/>
      </c>
      <c r="S967" s="7">
        <f>'1 prepared data'!R960</f>
        <v/>
      </c>
      <c r="T967" s="7">
        <f>'1 prepared data'!S960</f>
        <v/>
      </c>
      <c r="U967" s="7">
        <f>'1 prepared data'!T960</f>
        <v/>
      </c>
      <c r="V967" s="8">
        <f>$AC$12+D967*$AC$13+E967*$AC$14+F967*$AC$15+G967*$AC$16+H967*$AC$17+I967*$AC$18+J967*$AC$19+K967*$AC$20+L967*$AC$21+M967*$AC$22+N967*$AC$23+O967*$AC$24+P967*$AC$25+Q967*$AC$26+R967*$AC$27+S967*$AC$28+T967*$AC$29+U967*$AC$30</f>
        <v/>
      </c>
      <c r="W967" s="8">
        <f>1/(1+EXP(-V967))</f>
        <v/>
      </c>
      <c r="X967" s="9">
        <f>-IF(C967=1,LN(W967),LN(1-W967))</f>
        <v/>
      </c>
      <c r="Y967" s="10">
        <f>IF(W967&gt;$AC$33,1,0)</f>
        <v/>
      </c>
      <c r="Z967">
        <f>IF(Y967=C967,1,0)</f>
        <v/>
      </c>
    </row>
    <row r="968">
      <c r="A968">
        <f>'1 prepared data'!A961</f>
        <v/>
      </c>
      <c r="B968" s="5">
        <f>'1 prepared data'!U961</f>
        <v/>
      </c>
      <c r="C968">
        <f>'1 prepared data'!B961</f>
        <v/>
      </c>
      <c r="D968" s="7">
        <f>'1 prepared data'!C961</f>
        <v/>
      </c>
      <c r="E968" s="7">
        <f>'1 prepared data'!D961</f>
        <v/>
      </c>
      <c r="F968" s="7">
        <f>'1 prepared data'!E961</f>
        <v/>
      </c>
      <c r="G968" s="7">
        <f>'1 prepared data'!F961</f>
        <v/>
      </c>
      <c r="H968" s="7">
        <f>'1 prepared data'!G961</f>
        <v/>
      </c>
      <c r="I968" s="7">
        <f>'1 prepared data'!H961</f>
        <v/>
      </c>
      <c r="J968" s="7">
        <f>'1 prepared data'!I961</f>
        <v/>
      </c>
      <c r="K968" s="7">
        <f>'1 prepared data'!J961</f>
        <v/>
      </c>
      <c r="L968" s="7">
        <f>'1 prepared data'!K961</f>
        <v/>
      </c>
      <c r="M968" s="7">
        <f>'1 prepared data'!L961</f>
        <v/>
      </c>
      <c r="N968" s="7">
        <f>'1 prepared data'!M961</f>
        <v/>
      </c>
      <c r="O968" s="7">
        <f>'1 prepared data'!N961</f>
        <v/>
      </c>
      <c r="P968" s="7">
        <f>'1 prepared data'!O961</f>
        <v/>
      </c>
      <c r="Q968" s="7">
        <f>'1 prepared data'!P961</f>
        <v/>
      </c>
      <c r="R968" s="7">
        <f>'1 prepared data'!Q961</f>
        <v/>
      </c>
      <c r="S968" s="7">
        <f>'1 prepared data'!R961</f>
        <v/>
      </c>
      <c r="T968" s="7">
        <f>'1 prepared data'!S961</f>
        <v/>
      </c>
      <c r="U968" s="7">
        <f>'1 prepared data'!T961</f>
        <v/>
      </c>
      <c r="V968" s="8">
        <f>$AC$12+D968*$AC$13+E968*$AC$14+F968*$AC$15+G968*$AC$16+H968*$AC$17+I968*$AC$18+J968*$AC$19+K968*$AC$20+L968*$AC$21+M968*$AC$22+N968*$AC$23+O968*$AC$24+P968*$AC$25+Q968*$AC$26+R968*$AC$27+S968*$AC$28+T968*$AC$29+U968*$AC$30</f>
        <v/>
      </c>
      <c r="W968" s="8">
        <f>1/(1+EXP(-V968))</f>
        <v/>
      </c>
      <c r="X968" s="9">
        <f>-IF(C968=1,LN(W968),LN(1-W968))</f>
        <v/>
      </c>
      <c r="Y968" s="10">
        <f>IF(W968&gt;$AC$33,1,0)</f>
        <v/>
      </c>
      <c r="Z968">
        <f>IF(Y968=C968,1,0)</f>
        <v/>
      </c>
    </row>
    <row r="969">
      <c r="A969">
        <f>'1 prepared data'!A962</f>
        <v/>
      </c>
      <c r="B969" s="5">
        <f>'1 prepared data'!U962</f>
        <v/>
      </c>
      <c r="C969">
        <f>'1 prepared data'!B962</f>
        <v/>
      </c>
      <c r="D969" s="7">
        <f>'1 prepared data'!C962</f>
        <v/>
      </c>
      <c r="E969" s="7">
        <f>'1 prepared data'!D962</f>
        <v/>
      </c>
      <c r="F969" s="7">
        <f>'1 prepared data'!E962</f>
        <v/>
      </c>
      <c r="G969" s="7">
        <f>'1 prepared data'!F962</f>
        <v/>
      </c>
      <c r="H969" s="7">
        <f>'1 prepared data'!G962</f>
        <v/>
      </c>
      <c r="I969" s="7">
        <f>'1 prepared data'!H962</f>
        <v/>
      </c>
      <c r="J969" s="7">
        <f>'1 prepared data'!I962</f>
        <v/>
      </c>
      <c r="K969" s="7">
        <f>'1 prepared data'!J962</f>
        <v/>
      </c>
      <c r="L969" s="7">
        <f>'1 prepared data'!K962</f>
        <v/>
      </c>
      <c r="M969" s="7">
        <f>'1 prepared data'!L962</f>
        <v/>
      </c>
      <c r="N969" s="7">
        <f>'1 prepared data'!M962</f>
        <v/>
      </c>
      <c r="O969" s="7">
        <f>'1 prepared data'!N962</f>
        <v/>
      </c>
      <c r="P969" s="7">
        <f>'1 prepared data'!O962</f>
        <v/>
      </c>
      <c r="Q969" s="7">
        <f>'1 prepared data'!P962</f>
        <v/>
      </c>
      <c r="R969" s="7">
        <f>'1 prepared data'!Q962</f>
        <v/>
      </c>
      <c r="S969" s="7">
        <f>'1 prepared data'!R962</f>
        <v/>
      </c>
      <c r="T969" s="7">
        <f>'1 prepared data'!S962</f>
        <v/>
      </c>
      <c r="U969" s="7">
        <f>'1 prepared data'!T962</f>
        <v/>
      </c>
      <c r="V969" s="8">
        <f>$AC$12+D969*$AC$13+E969*$AC$14+F969*$AC$15+G969*$AC$16+H969*$AC$17+I969*$AC$18+J969*$AC$19+K969*$AC$20+L969*$AC$21+M969*$AC$22+N969*$AC$23+O969*$AC$24+P969*$AC$25+Q969*$AC$26+R969*$AC$27+S969*$AC$28+T969*$AC$29+U969*$AC$30</f>
        <v/>
      </c>
      <c r="W969" s="8">
        <f>1/(1+EXP(-V969))</f>
        <v/>
      </c>
      <c r="X969" s="9">
        <f>-IF(C969=1,LN(W969),LN(1-W969))</f>
        <v/>
      </c>
      <c r="Y969" s="10">
        <f>IF(W969&gt;$AC$33,1,0)</f>
        <v/>
      </c>
      <c r="Z969">
        <f>IF(Y969=C969,1,0)</f>
        <v/>
      </c>
    </row>
    <row r="970">
      <c r="A970">
        <f>'1 prepared data'!A963</f>
        <v/>
      </c>
      <c r="B970" s="5">
        <f>'1 prepared data'!U963</f>
        <v/>
      </c>
      <c r="C970">
        <f>'1 prepared data'!B963</f>
        <v/>
      </c>
      <c r="D970" s="7">
        <f>'1 prepared data'!C963</f>
        <v/>
      </c>
      <c r="E970" s="7">
        <f>'1 prepared data'!D963</f>
        <v/>
      </c>
      <c r="F970" s="7">
        <f>'1 prepared data'!E963</f>
        <v/>
      </c>
      <c r="G970" s="7">
        <f>'1 prepared data'!F963</f>
        <v/>
      </c>
      <c r="H970" s="7">
        <f>'1 prepared data'!G963</f>
        <v/>
      </c>
      <c r="I970" s="7">
        <f>'1 prepared data'!H963</f>
        <v/>
      </c>
      <c r="J970" s="7">
        <f>'1 prepared data'!I963</f>
        <v/>
      </c>
      <c r="K970" s="7">
        <f>'1 prepared data'!J963</f>
        <v/>
      </c>
      <c r="L970" s="7">
        <f>'1 prepared data'!K963</f>
        <v/>
      </c>
      <c r="M970" s="7">
        <f>'1 prepared data'!L963</f>
        <v/>
      </c>
      <c r="N970" s="7">
        <f>'1 prepared data'!M963</f>
        <v/>
      </c>
      <c r="O970" s="7">
        <f>'1 prepared data'!N963</f>
        <v/>
      </c>
      <c r="P970" s="7">
        <f>'1 prepared data'!O963</f>
        <v/>
      </c>
      <c r="Q970" s="7">
        <f>'1 prepared data'!P963</f>
        <v/>
      </c>
      <c r="R970" s="7">
        <f>'1 prepared data'!Q963</f>
        <v/>
      </c>
      <c r="S970" s="7">
        <f>'1 prepared data'!R963</f>
        <v/>
      </c>
      <c r="T970" s="7">
        <f>'1 prepared data'!S963</f>
        <v/>
      </c>
      <c r="U970" s="7">
        <f>'1 prepared data'!T963</f>
        <v/>
      </c>
      <c r="V970" s="8">
        <f>$AC$12+D970*$AC$13+E970*$AC$14+F970*$AC$15+G970*$AC$16+H970*$AC$17+I970*$AC$18+J970*$AC$19+K970*$AC$20+L970*$AC$21+M970*$AC$22+N970*$AC$23+O970*$AC$24+P970*$AC$25+Q970*$AC$26+R970*$AC$27+S970*$AC$28+T970*$AC$29+U970*$AC$30</f>
        <v/>
      </c>
      <c r="W970" s="8">
        <f>1/(1+EXP(-V970))</f>
        <v/>
      </c>
      <c r="X970" s="9">
        <f>-IF(C970=1,LN(W970),LN(1-W970))</f>
        <v/>
      </c>
      <c r="Y970" s="10">
        <f>IF(W970&gt;$AC$33,1,0)</f>
        <v/>
      </c>
      <c r="Z970">
        <f>IF(Y970=C970,1,0)</f>
        <v/>
      </c>
    </row>
    <row r="971">
      <c r="A971">
        <f>'1 prepared data'!A964</f>
        <v/>
      </c>
      <c r="B971" s="5">
        <f>'1 prepared data'!U964</f>
        <v/>
      </c>
      <c r="C971">
        <f>'1 prepared data'!B964</f>
        <v/>
      </c>
      <c r="D971" s="7">
        <f>'1 prepared data'!C964</f>
        <v/>
      </c>
      <c r="E971" s="7">
        <f>'1 prepared data'!D964</f>
        <v/>
      </c>
      <c r="F971" s="7">
        <f>'1 prepared data'!E964</f>
        <v/>
      </c>
      <c r="G971" s="7">
        <f>'1 prepared data'!F964</f>
        <v/>
      </c>
      <c r="H971" s="7">
        <f>'1 prepared data'!G964</f>
        <v/>
      </c>
      <c r="I971" s="7">
        <f>'1 prepared data'!H964</f>
        <v/>
      </c>
      <c r="J971" s="7">
        <f>'1 prepared data'!I964</f>
        <v/>
      </c>
      <c r="K971" s="7">
        <f>'1 prepared data'!J964</f>
        <v/>
      </c>
      <c r="L971" s="7">
        <f>'1 prepared data'!K964</f>
        <v/>
      </c>
      <c r="M971" s="7">
        <f>'1 prepared data'!L964</f>
        <v/>
      </c>
      <c r="N971" s="7">
        <f>'1 prepared data'!M964</f>
        <v/>
      </c>
      <c r="O971" s="7">
        <f>'1 prepared data'!N964</f>
        <v/>
      </c>
      <c r="P971" s="7">
        <f>'1 prepared data'!O964</f>
        <v/>
      </c>
      <c r="Q971" s="7">
        <f>'1 prepared data'!P964</f>
        <v/>
      </c>
      <c r="R971" s="7">
        <f>'1 prepared data'!Q964</f>
        <v/>
      </c>
      <c r="S971" s="7">
        <f>'1 prepared data'!R964</f>
        <v/>
      </c>
      <c r="T971" s="7">
        <f>'1 prepared data'!S964</f>
        <v/>
      </c>
      <c r="U971" s="7">
        <f>'1 prepared data'!T964</f>
        <v/>
      </c>
      <c r="V971" s="8">
        <f>$AC$12+D971*$AC$13+E971*$AC$14+F971*$AC$15+G971*$AC$16+H971*$AC$17+I971*$AC$18+J971*$AC$19+K971*$AC$20+L971*$AC$21+M971*$AC$22+N971*$AC$23+O971*$AC$24+P971*$AC$25+Q971*$AC$26+R971*$AC$27+S971*$AC$28+T971*$AC$29+U971*$AC$30</f>
        <v/>
      </c>
      <c r="W971" s="8">
        <f>1/(1+EXP(-V971))</f>
        <v/>
      </c>
      <c r="X971" s="9">
        <f>-IF(C971=1,LN(W971),LN(1-W971))</f>
        <v/>
      </c>
      <c r="Y971" s="10">
        <f>IF(W971&gt;$AC$33,1,0)</f>
        <v/>
      </c>
      <c r="Z971">
        <f>IF(Y971=C971,1,0)</f>
        <v/>
      </c>
    </row>
    <row r="972">
      <c r="A972">
        <f>'1 prepared data'!A965</f>
        <v/>
      </c>
      <c r="B972" s="5">
        <f>'1 prepared data'!U965</f>
        <v/>
      </c>
      <c r="C972">
        <f>'1 prepared data'!B965</f>
        <v/>
      </c>
      <c r="D972" s="7">
        <f>'1 prepared data'!C965</f>
        <v/>
      </c>
      <c r="E972" s="7">
        <f>'1 prepared data'!D965</f>
        <v/>
      </c>
      <c r="F972" s="7">
        <f>'1 prepared data'!E965</f>
        <v/>
      </c>
      <c r="G972" s="7">
        <f>'1 prepared data'!F965</f>
        <v/>
      </c>
      <c r="H972" s="7">
        <f>'1 prepared data'!G965</f>
        <v/>
      </c>
      <c r="I972" s="7">
        <f>'1 prepared data'!H965</f>
        <v/>
      </c>
      <c r="J972" s="7">
        <f>'1 prepared data'!I965</f>
        <v/>
      </c>
      <c r="K972" s="7">
        <f>'1 prepared data'!J965</f>
        <v/>
      </c>
      <c r="L972" s="7">
        <f>'1 prepared data'!K965</f>
        <v/>
      </c>
      <c r="M972" s="7">
        <f>'1 prepared data'!L965</f>
        <v/>
      </c>
      <c r="N972" s="7">
        <f>'1 prepared data'!M965</f>
        <v/>
      </c>
      <c r="O972" s="7">
        <f>'1 prepared data'!N965</f>
        <v/>
      </c>
      <c r="P972" s="7">
        <f>'1 prepared data'!O965</f>
        <v/>
      </c>
      <c r="Q972" s="7">
        <f>'1 prepared data'!P965</f>
        <v/>
      </c>
      <c r="R972" s="7">
        <f>'1 prepared data'!Q965</f>
        <v/>
      </c>
      <c r="S972" s="7">
        <f>'1 prepared data'!R965</f>
        <v/>
      </c>
      <c r="T972" s="7">
        <f>'1 prepared data'!S965</f>
        <v/>
      </c>
      <c r="U972" s="7">
        <f>'1 prepared data'!T965</f>
        <v/>
      </c>
      <c r="V972" s="8">
        <f>$AC$12+D972*$AC$13+E972*$AC$14+F972*$AC$15+G972*$AC$16+H972*$AC$17+I972*$AC$18+J972*$AC$19+K972*$AC$20+L972*$AC$21+M972*$AC$22+N972*$AC$23+O972*$AC$24+P972*$AC$25+Q972*$AC$26+R972*$AC$27+S972*$AC$28+T972*$AC$29+U972*$AC$30</f>
        <v/>
      </c>
      <c r="W972" s="8">
        <f>1/(1+EXP(-V972))</f>
        <v/>
      </c>
      <c r="X972" s="9">
        <f>-IF(C972=1,LN(W972),LN(1-W972))</f>
        <v/>
      </c>
      <c r="Y972" s="10">
        <f>IF(W972&gt;$AC$33,1,0)</f>
        <v/>
      </c>
      <c r="Z972">
        <f>IF(Y972=C972,1,0)</f>
        <v/>
      </c>
    </row>
    <row r="973">
      <c r="A973">
        <f>'1 prepared data'!A966</f>
        <v/>
      </c>
      <c r="B973" s="5">
        <f>'1 prepared data'!U966</f>
        <v/>
      </c>
      <c r="C973">
        <f>'1 prepared data'!B966</f>
        <v/>
      </c>
      <c r="D973" s="7">
        <f>'1 prepared data'!C966</f>
        <v/>
      </c>
      <c r="E973" s="7">
        <f>'1 prepared data'!D966</f>
        <v/>
      </c>
      <c r="F973" s="7">
        <f>'1 prepared data'!E966</f>
        <v/>
      </c>
      <c r="G973" s="7">
        <f>'1 prepared data'!F966</f>
        <v/>
      </c>
      <c r="H973" s="7">
        <f>'1 prepared data'!G966</f>
        <v/>
      </c>
      <c r="I973" s="7">
        <f>'1 prepared data'!H966</f>
        <v/>
      </c>
      <c r="J973" s="7">
        <f>'1 prepared data'!I966</f>
        <v/>
      </c>
      <c r="K973" s="7">
        <f>'1 prepared data'!J966</f>
        <v/>
      </c>
      <c r="L973" s="7">
        <f>'1 prepared data'!K966</f>
        <v/>
      </c>
      <c r="M973" s="7">
        <f>'1 prepared data'!L966</f>
        <v/>
      </c>
      <c r="N973" s="7">
        <f>'1 prepared data'!M966</f>
        <v/>
      </c>
      <c r="O973" s="7">
        <f>'1 prepared data'!N966</f>
        <v/>
      </c>
      <c r="P973" s="7">
        <f>'1 prepared data'!O966</f>
        <v/>
      </c>
      <c r="Q973" s="7">
        <f>'1 prepared data'!P966</f>
        <v/>
      </c>
      <c r="R973" s="7">
        <f>'1 prepared data'!Q966</f>
        <v/>
      </c>
      <c r="S973" s="7">
        <f>'1 prepared data'!R966</f>
        <v/>
      </c>
      <c r="T973" s="7">
        <f>'1 prepared data'!S966</f>
        <v/>
      </c>
      <c r="U973" s="7">
        <f>'1 prepared data'!T966</f>
        <v/>
      </c>
      <c r="V973" s="8">
        <f>$AC$12+D973*$AC$13+E973*$AC$14+F973*$AC$15+G973*$AC$16+H973*$AC$17+I973*$AC$18+J973*$AC$19+K973*$AC$20+L973*$AC$21+M973*$AC$22+N973*$AC$23+O973*$AC$24+P973*$AC$25+Q973*$AC$26+R973*$AC$27+S973*$AC$28+T973*$AC$29+U973*$AC$30</f>
        <v/>
      </c>
      <c r="W973" s="8">
        <f>1/(1+EXP(-V973))</f>
        <v/>
      </c>
      <c r="X973" s="9">
        <f>-IF(C973=1,LN(W973),LN(1-W973))</f>
        <v/>
      </c>
      <c r="Y973" s="10">
        <f>IF(W973&gt;$AC$33,1,0)</f>
        <v/>
      </c>
      <c r="Z973">
        <f>IF(Y973=C973,1,0)</f>
        <v/>
      </c>
    </row>
    <row r="974">
      <c r="A974">
        <f>'1 prepared data'!A967</f>
        <v/>
      </c>
      <c r="B974" s="5">
        <f>'1 prepared data'!U967</f>
        <v/>
      </c>
      <c r="C974">
        <f>'1 prepared data'!B967</f>
        <v/>
      </c>
      <c r="D974" s="7">
        <f>'1 prepared data'!C967</f>
        <v/>
      </c>
      <c r="E974" s="7">
        <f>'1 prepared data'!D967</f>
        <v/>
      </c>
      <c r="F974" s="7">
        <f>'1 prepared data'!E967</f>
        <v/>
      </c>
      <c r="G974" s="7">
        <f>'1 prepared data'!F967</f>
        <v/>
      </c>
      <c r="H974" s="7">
        <f>'1 prepared data'!G967</f>
        <v/>
      </c>
      <c r="I974" s="7">
        <f>'1 prepared data'!H967</f>
        <v/>
      </c>
      <c r="J974" s="7">
        <f>'1 prepared data'!I967</f>
        <v/>
      </c>
      <c r="K974" s="7">
        <f>'1 prepared data'!J967</f>
        <v/>
      </c>
      <c r="L974" s="7">
        <f>'1 prepared data'!K967</f>
        <v/>
      </c>
      <c r="M974" s="7">
        <f>'1 prepared data'!L967</f>
        <v/>
      </c>
      <c r="N974" s="7">
        <f>'1 prepared data'!M967</f>
        <v/>
      </c>
      <c r="O974" s="7">
        <f>'1 prepared data'!N967</f>
        <v/>
      </c>
      <c r="P974" s="7">
        <f>'1 prepared data'!O967</f>
        <v/>
      </c>
      <c r="Q974" s="7">
        <f>'1 prepared data'!P967</f>
        <v/>
      </c>
      <c r="R974" s="7">
        <f>'1 prepared data'!Q967</f>
        <v/>
      </c>
      <c r="S974" s="7">
        <f>'1 prepared data'!R967</f>
        <v/>
      </c>
      <c r="T974" s="7">
        <f>'1 prepared data'!S967</f>
        <v/>
      </c>
      <c r="U974" s="7">
        <f>'1 prepared data'!T967</f>
        <v/>
      </c>
      <c r="V974" s="8">
        <f>$AC$12+D974*$AC$13+E974*$AC$14+F974*$AC$15+G974*$AC$16+H974*$AC$17+I974*$AC$18+J974*$AC$19+K974*$AC$20+L974*$AC$21+M974*$AC$22+N974*$AC$23+O974*$AC$24+P974*$AC$25+Q974*$AC$26+R974*$AC$27+S974*$AC$28+T974*$AC$29+U974*$AC$30</f>
        <v/>
      </c>
      <c r="W974" s="8">
        <f>1/(1+EXP(-V974))</f>
        <v/>
      </c>
      <c r="X974" s="9">
        <f>-IF(C974=1,LN(W974),LN(1-W974))</f>
        <v/>
      </c>
      <c r="Y974" s="10">
        <f>IF(W974&gt;$AC$33,1,0)</f>
        <v/>
      </c>
      <c r="Z974">
        <f>IF(Y974=C974,1,0)</f>
        <v/>
      </c>
    </row>
    <row r="975">
      <c r="A975">
        <f>'1 prepared data'!A968</f>
        <v/>
      </c>
      <c r="B975" s="5">
        <f>'1 prepared data'!U968</f>
        <v/>
      </c>
      <c r="C975">
        <f>'1 prepared data'!B968</f>
        <v/>
      </c>
      <c r="D975" s="7">
        <f>'1 prepared data'!C968</f>
        <v/>
      </c>
      <c r="E975" s="7">
        <f>'1 prepared data'!D968</f>
        <v/>
      </c>
      <c r="F975" s="7">
        <f>'1 prepared data'!E968</f>
        <v/>
      </c>
      <c r="G975" s="7">
        <f>'1 prepared data'!F968</f>
        <v/>
      </c>
      <c r="H975" s="7">
        <f>'1 prepared data'!G968</f>
        <v/>
      </c>
      <c r="I975" s="7">
        <f>'1 prepared data'!H968</f>
        <v/>
      </c>
      <c r="J975" s="7">
        <f>'1 prepared data'!I968</f>
        <v/>
      </c>
      <c r="K975" s="7">
        <f>'1 prepared data'!J968</f>
        <v/>
      </c>
      <c r="L975" s="7">
        <f>'1 prepared data'!K968</f>
        <v/>
      </c>
      <c r="M975" s="7">
        <f>'1 prepared data'!L968</f>
        <v/>
      </c>
      <c r="N975" s="7">
        <f>'1 prepared data'!M968</f>
        <v/>
      </c>
      <c r="O975" s="7">
        <f>'1 prepared data'!N968</f>
        <v/>
      </c>
      <c r="P975" s="7">
        <f>'1 prepared data'!O968</f>
        <v/>
      </c>
      <c r="Q975" s="7">
        <f>'1 prepared data'!P968</f>
        <v/>
      </c>
      <c r="R975" s="7">
        <f>'1 prepared data'!Q968</f>
        <v/>
      </c>
      <c r="S975" s="7">
        <f>'1 prepared data'!R968</f>
        <v/>
      </c>
      <c r="T975" s="7">
        <f>'1 prepared data'!S968</f>
        <v/>
      </c>
      <c r="U975" s="7">
        <f>'1 prepared data'!T968</f>
        <v/>
      </c>
      <c r="V975" s="8">
        <f>$AC$12+D975*$AC$13+E975*$AC$14+F975*$AC$15+G975*$AC$16+H975*$AC$17+I975*$AC$18+J975*$AC$19+K975*$AC$20+L975*$AC$21+M975*$AC$22+N975*$AC$23+O975*$AC$24+P975*$AC$25+Q975*$AC$26+R975*$AC$27+S975*$AC$28+T975*$AC$29+U975*$AC$30</f>
        <v/>
      </c>
      <c r="W975" s="8">
        <f>1/(1+EXP(-V975))</f>
        <v/>
      </c>
      <c r="X975" s="9">
        <f>-IF(C975=1,LN(W975),LN(1-W975))</f>
        <v/>
      </c>
      <c r="Y975" s="10">
        <f>IF(W975&gt;$AC$33,1,0)</f>
        <v/>
      </c>
      <c r="Z975">
        <f>IF(Y975=C975,1,0)</f>
        <v/>
      </c>
    </row>
    <row r="976">
      <c r="A976">
        <f>'1 prepared data'!A969</f>
        <v/>
      </c>
      <c r="B976" s="5">
        <f>'1 prepared data'!U969</f>
        <v/>
      </c>
      <c r="C976">
        <f>'1 prepared data'!B969</f>
        <v/>
      </c>
      <c r="D976" s="7">
        <f>'1 prepared data'!C969</f>
        <v/>
      </c>
      <c r="E976" s="7">
        <f>'1 prepared data'!D969</f>
        <v/>
      </c>
      <c r="F976" s="7">
        <f>'1 prepared data'!E969</f>
        <v/>
      </c>
      <c r="G976" s="7">
        <f>'1 prepared data'!F969</f>
        <v/>
      </c>
      <c r="H976" s="7">
        <f>'1 prepared data'!G969</f>
        <v/>
      </c>
      <c r="I976" s="7">
        <f>'1 prepared data'!H969</f>
        <v/>
      </c>
      <c r="J976" s="7">
        <f>'1 prepared data'!I969</f>
        <v/>
      </c>
      <c r="K976" s="7">
        <f>'1 prepared data'!J969</f>
        <v/>
      </c>
      <c r="L976" s="7">
        <f>'1 prepared data'!K969</f>
        <v/>
      </c>
      <c r="M976" s="7">
        <f>'1 prepared data'!L969</f>
        <v/>
      </c>
      <c r="N976" s="7">
        <f>'1 prepared data'!M969</f>
        <v/>
      </c>
      <c r="O976" s="7">
        <f>'1 prepared data'!N969</f>
        <v/>
      </c>
      <c r="P976" s="7">
        <f>'1 prepared data'!O969</f>
        <v/>
      </c>
      <c r="Q976" s="7">
        <f>'1 prepared data'!P969</f>
        <v/>
      </c>
      <c r="R976" s="7">
        <f>'1 prepared data'!Q969</f>
        <v/>
      </c>
      <c r="S976" s="7">
        <f>'1 prepared data'!R969</f>
        <v/>
      </c>
      <c r="T976" s="7">
        <f>'1 prepared data'!S969</f>
        <v/>
      </c>
      <c r="U976" s="7">
        <f>'1 prepared data'!T969</f>
        <v/>
      </c>
      <c r="V976" s="8">
        <f>$AC$12+D976*$AC$13+E976*$AC$14+F976*$AC$15+G976*$AC$16+H976*$AC$17+I976*$AC$18+J976*$AC$19+K976*$AC$20+L976*$AC$21+M976*$AC$22+N976*$AC$23+O976*$AC$24+P976*$AC$25+Q976*$AC$26+R976*$AC$27+S976*$AC$28+T976*$AC$29+U976*$AC$30</f>
        <v/>
      </c>
      <c r="W976" s="8">
        <f>1/(1+EXP(-V976))</f>
        <v/>
      </c>
      <c r="X976" s="9">
        <f>-IF(C976=1,LN(W976),LN(1-W976))</f>
        <v/>
      </c>
      <c r="Y976" s="10">
        <f>IF(W976&gt;$AC$33,1,0)</f>
        <v/>
      </c>
      <c r="Z976">
        <f>IF(Y976=C976,1,0)</f>
        <v/>
      </c>
    </row>
    <row r="977">
      <c r="A977">
        <f>'1 prepared data'!A970</f>
        <v/>
      </c>
      <c r="B977" s="5">
        <f>'1 prepared data'!U970</f>
        <v/>
      </c>
      <c r="C977">
        <f>'1 prepared data'!B970</f>
        <v/>
      </c>
      <c r="D977" s="7">
        <f>'1 prepared data'!C970</f>
        <v/>
      </c>
      <c r="E977" s="7">
        <f>'1 prepared data'!D970</f>
        <v/>
      </c>
      <c r="F977" s="7">
        <f>'1 prepared data'!E970</f>
        <v/>
      </c>
      <c r="G977" s="7">
        <f>'1 prepared data'!F970</f>
        <v/>
      </c>
      <c r="H977" s="7">
        <f>'1 prepared data'!G970</f>
        <v/>
      </c>
      <c r="I977" s="7">
        <f>'1 prepared data'!H970</f>
        <v/>
      </c>
      <c r="J977" s="7">
        <f>'1 prepared data'!I970</f>
        <v/>
      </c>
      <c r="K977" s="7">
        <f>'1 prepared data'!J970</f>
        <v/>
      </c>
      <c r="L977" s="7">
        <f>'1 prepared data'!K970</f>
        <v/>
      </c>
      <c r="M977" s="7">
        <f>'1 prepared data'!L970</f>
        <v/>
      </c>
      <c r="N977" s="7">
        <f>'1 prepared data'!M970</f>
        <v/>
      </c>
      <c r="O977" s="7">
        <f>'1 prepared data'!N970</f>
        <v/>
      </c>
      <c r="P977" s="7">
        <f>'1 prepared data'!O970</f>
        <v/>
      </c>
      <c r="Q977" s="7">
        <f>'1 prepared data'!P970</f>
        <v/>
      </c>
      <c r="R977" s="7">
        <f>'1 prepared data'!Q970</f>
        <v/>
      </c>
      <c r="S977" s="7">
        <f>'1 prepared data'!R970</f>
        <v/>
      </c>
      <c r="T977" s="7">
        <f>'1 prepared data'!S970</f>
        <v/>
      </c>
      <c r="U977" s="7">
        <f>'1 prepared data'!T970</f>
        <v/>
      </c>
      <c r="V977" s="8">
        <f>$AC$12+D977*$AC$13+E977*$AC$14+F977*$AC$15+G977*$AC$16+H977*$AC$17+I977*$AC$18+J977*$AC$19+K977*$AC$20+L977*$AC$21+M977*$AC$22+N977*$AC$23+O977*$AC$24+P977*$AC$25+Q977*$AC$26+R977*$AC$27+S977*$AC$28+T977*$AC$29+U977*$AC$30</f>
        <v/>
      </c>
      <c r="W977" s="8">
        <f>1/(1+EXP(-V977))</f>
        <v/>
      </c>
      <c r="X977" s="9">
        <f>-IF(C977=1,LN(W977),LN(1-W977))</f>
        <v/>
      </c>
      <c r="Y977" s="10">
        <f>IF(W977&gt;$AC$33,1,0)</f>
        <v/>
      </c>
      <c r="Z977">
        <f>IF(Y977=C977,1,0)</f>
        <v/>
      </c>
    </row>
    <row r="978">
      <c r="A978">
        <f>'1 prepared data'!A971</f>
        <v/>
      </c>
      <c r="B978" s="5">
        <f>'1 prepared data'!U971</f>
        <v/>
      </c>
      <c r="C978">
        <f>'1 prepared data'!B971</f>
        <v/>
      </c>
      <c r="D978" s="7">
        <f>'1 prepared data'!C971</f>
        <v/>
      </c>
      <c r="E978" s="7">
        <f>'1 prepared data'!D971</f>
        <v/>
      </c>
      <c r="F978" s="7">
        <f>'1 prepared data'!E971</f>
        <v/>
      </c>
      <c r="G978" s="7">
        <f>'1 prepared data'!F971</f>
        <v/>
      </c>
      <c r="H978" s="7">
        <f>'1 prepared data'!G971</f>
        <v/>
      </c>
      <c r="I978" s="7">
        <f>'1 prepared data'!H971</f>
        <v/>
      </c>
      <c r="J978" s="7">
        <f>'1 prepared data'!I971</f>
        <v/>
      </c>
      <c r="K978" s="7">
        <f>'1 prepared data'!J971</f>
        <v/>
      </c>
      <c r="L978" s="7">
        <f>'1 prepared data'!K971</f>
        <v/>
      </c>
      <c r="M978" s="7">
        <f>'1 prepared data'!L971</f>
        <v/>
      </c>
      <c r="N978" s="7">
        <f>'1 prepared data'!M971</f>
        <v/>
      </c>
      <c r="O978" s="7">
        <f>'1 prepared data'!N971</f>
        <v/>
      </c>
      <c r="P978" s="7">
        <f>'1 prepared data'!O971</f>
        <v/>
      </c>
      <c r="Q978" s="7">
        <f>'1 prepared data'!P971</f>
        <v/>
      </c>
      <c r="R978" s="7">
        <f>'1 prepared data'!Q971</f>
        <v/>
      </c>
      <c r="S978" s="7">
        <f>'1 prepared data'!R971</f>
        <v/>
      </c>
      <c r="T978" s="7">
        <f>'1 prepared data'!S971</f>
        <v/>
      </c>
      <c r="U978" s="7">
        <f>'1 prepared data'!T971</f>
        <v/>
      </c>
      <c r="V978" s="8">
        <f>$AC$12+D978*$AC$13+E978*$AC$14+F978*$AC$15+G978*$AC$16+H978*$AC$17+I978*$AC$18+J978*$AC$19+K978*$AC$20+L978*$AC$21+M978*$AC$22+N978*$AC$23+O978*$AC$24+P978*$AC$25+Q978*$AC$26+R978*$AC$27+S978*$AC$28+T978*$AC$29+U978*$AC$30</f>
        <v/>
      </c>
      <c r="W978" s="8">
        <f>1/(1+EXP(-V978))</f>
        <v/>
      </c>
      <c r="X978" s="9">
        <f>-IF(C978=1,LN(W978),LN(1-W978))</f>
        <v/>
      </c>
      <c r="Y978" s="10">
        <f>IF(W978&gt;$AC$33,1,0)</f>
        <v/>
      </c>
      <c r="Z978">
        <f>IF(Y978=C978,1,0)</f>
        <v/>
      </c>
    </row>
    <row r="979">
      <c r="A979">
        <f>'1 prepared data'!A972</f>
        <v/>
      </c>
      <c r="B979" s="5">
        <f>'1 prepared data'!U972</f>
        <v/>
      </c>
      <c r="C979">
        <f>'1 prepared data'!B972</f>
        <v/>
      </c>
      <c r="D979" s="7">
        <f>'1 prepared data'!C972</f>
        <v/>
      </c>
      <c r="E979" s="7">
        <f>'1 prepared data'!D972</f>
        <v/>
      </c>
      <c r="F979" s="7">
        <f>'1 prepared data'!E972</f>
        <v/>
      </c>
      <c r="G979" s="7">
        <f>'1 prepared data'!F972</f>
        <v/>
      </c>
      <c r="H979" s="7">
        <f>'1 prepared data'!G972</f>
        <v/>
      </c>
      <c r="I979" s="7">
        <f>'1 prepared data'!H972</f>
        <v/>
      </c>
      <c r="J979" s="7">
        <f>'1 prepared data'!I972</f>
        <v/>
      </c>
      <c r="K979" s="7">
        <f>'1 prepared data'!J972</f>
        <v/>
      </c>
      <c r="L979" s="7">
        <f>'1 prepared data'!K972</f>
        <v/>
      </c>
      <c r="M979" s="7">
        <f>'1 prepared data'!L972</f>
        <v/>
      </c>
      <c r="N979" s="7">
        <f>'1 prepared data'!M972</f>
        <v/>
      </c>
      <c r="O979" s="7">
        <f>'1 prepared data'!N972</f>
        <v/>
      </c>
      <c r="P979" s="7">
        <f>'1 prepared data'!O972</f>
        <v/>
      </c>
      <c r="Q979" s="7">
        <f>'1 prepared data'!P972</f>
        <v/>
      </c>
      <c r="R979" s="7">
        <f>'1 prepared data'!Q972</f>
        <v/>
      </c>
      <c r="S979" s="7">
        <f>'1 prepared data'!R972</f>
        <v/>
      </c>
      <c r="T979" s="7">
        <f>'1 prepared data'!S972</f>
        <v/>
      </c>
      <c r="U979" s="7">
        <f>'1 prepared data'!T972</f>
        <v/>
      </c>
      <c r="V979" s="8">
        <f>$AC$12+D979*$AC$13+E979*$AC$14+F979*$AC$15+G979*$AC$16+H979*$AC$17+I979*$AC$18+J979*$AC$19+K979*$AC$20+L979*$AC$21+M979*$AC$22+N979*$AC$23+O979*$AC$24+P979*$AC$25+Q979*$AC$26+R979*$AC$27+S979*$AC$28+T979*$AC$29+U979*$AC$30</f>
        <v/>
      </c>
      <c r="W979" s="8">
        <f>1/(1+EXP(-V979))</f>
        <v/>
      </c>
      <c r="X979" s="9">
        <f>-IF(C979=1,LN(W979),LN(1-W979))</f>
        <v/>
      </c>
      <c r="Y979" s="10">
        <f>IF(W979&gt;$AC$33,1,0)</f>
        <v/>
      </c>
      <c r="Z979">
        <f>IF(Y979=C979,1,0)</f>
        <v/>
      </c>
    </row>
    <row r="980">
      <c r="A980">
        <f>'1 prepared data'!A973</f>
        <v/>
      </c>
      <c r="B980" s="5">
        <f>'1 prepared data'!U973</f>
        <v/>
      </c>
      <c r="C980">
        <f>'1 prepared data'!B973</f>
        <v/>
      </c>
      <c r="D980" s="7">
        <f>'1 prepared data'!C973</f>
        <v/>
      </c>
      <c r="E980" s="7">
        <f>'1 prepared data'!D973</f>
        <v/>
      </c>
      <c r="F980" s="7">
        <f>'1 prepared data'!E973</f>
        <v/>
      </c>
      <c r="G980" s="7">
        <f>'1 prepared data'!F973</f>
        <v/>
      </c>
      <c r="H980" s="7">
        <f>'1 prepared data'!G973</f>
        <v/>
      </c>
      <c r="I980" s="7">
        <f>'1 prepared data'!H973</f>
        <v/>
      </c>
      <c r="J980" s="7">
        <f>'1 prepared data'!I973</f>
        <v/>
      </c>
      <c r="K980" s="7">
        <f>'1 prepared data'!J973</f>
        <v/>
      </c>
      <c r="L980" s="7">
        <f>'1 prepared data'!K973</f>
        <v/>
      </c>
      <c r="M980" s="7">
        <f>'1 prepared data'!L973</f>
        <v/>
      </c>
      <c r="N980" s="7">
        <f>'1 prepared data'!M973</f>
        <v/>
      </c>
      <c r="O980" s="7">
        <f>'1 prepared data'!N973</f>
        <v/>
      </c>
      <c r="P980" s="7">
        <f>'1 prepared data'!O973</f>
        <v/>
      </c>
      <c r="Q980" s="7">
        <f>'1 prepared data'!P973</f>
        <v/>
      </c>
      <c r="R980" s="7">
        <f>'1 prepared data'!Q973</f>
        <v/>
      </c>
      <c r="S980" s="7">
        <f>'1 prepared data'!R973</f>
        <v/>
      </c>
      <c r="T980" s="7">
        <f>'1 prepared data'!S973</f>
        <v/>
      </c>
      <c r="U980" s="7">
        <f>'1 prepared data'!T973</f>
        <v/>
      </c>
      <c r="V980" s="8">
        <f>$AC$12+D980*$AC$13+E980*$AC$14+F980*$AC$15+G980*$AC$16+H980*$AC$17+I980*$AC$18+J980*$AC$19+K980*$AC$20+L980*$AC$21+M980*$AC$22+N980*$AC$23+O980*$AC$24+P980*$AC$25+Q980*$AC$26+R980*$AC$27+S980*$AC$28+T980*$AC$29+U980*$AC$30</f>
        <v/>
      </c>
      <c r="W980" s="8">
        <f>1/(1+EXP(-V980))</f>
        <v/>
      </c>
      <c r="X980" s="9">
        <f>-IF(C980=1,LN(W980),LN(1-W980))</f>
        <v/>
      </c>
      <c r="Y980" s="10">
        <f>IF(W980&gt;$AC$33,1,0)</f>
        <v/>
      </c>
      <c r="Z980">
        <f>IF(Y980=C980,1,0)</f>
        <v/>
      </c>
    </row>
    <row r="981">
      <c r="A981">
        <f>'1 prepared data'!A974</f>
        <v/>
      </c>
      <c r="B981" s="5">
        <f>'1 prepared data'!U974</f>
        <v/>
      </c>
      <c r="C981">
        <f>'1 prepared data'!B974</f>
        <v/>
      </c>
      <c r="D981" s="7">
        <f>'1 prepared data'!C974</f>
        <v/>
      </c>
      <c r="E981" s="7">
        <f>'1 prepared data'!D974</f>
        <v/>
      </c>
      <c r="F981" s="7">
        <f>'1 prepared data'!E974</f>
        <v/>
      </c>
      <c r="G981" s="7">
        <f>'1 prepared data'!F974</f>
        <v/>
      </c>
      <c r="H981" s="7">
        <f>'1 prepared data'!G974</f>
        <v/>
      </c>
      <c r="I981" s="7">
        <f>'1 prepared data'!H974</f>
        <v/>
      </c>
      <c r="J981" s="7">
        <f>'1 prepared data'!I974</f>
        <v/>
      </c>
      <c r="K981" s="7">
        <f>'1 prepared data'!J974</f>
        <v/>
      </c>
      <c r="L981" s="7">
        <f>'1 prepared data'!K974</f>
        <v/>
      </c>
      <c r="M981" s="7">
        <f>'1 prepared data'!L974</f>
        <v/>
      </c>
      <c r="N981" s="7">
        <f>'1 prepared data'!M974</f>
        <v/>
      </c>
      <c r="O981" s="7">
        <f>'1 prepared data'!N974</f>
        <v/>
      </c>
      <c r="P981" s="7">
        <f>'1 prepared data'!O974</f>
        <v/>
      </c>
      <c r="Q981" s="7">
        <f>'1 prepared data'!P974</f>
        <v/>
      </c>
      <c r="R981" s="7">
        <f>'1 prepared data'!Q974</f>
        <v/>
      </c>
      <c r="S981" s="7">
        <f>'1 prepared data'!R974</f>
        <v/>
      </c>
      <c r="T981" s="7">
        <f>'1 prepared data'!S974</f>
        <v/>
      </c>
      <c r="U981" s="7">
        <f>'1 prepared data'!T974</f>
        <v/>
      </c>
      <c r="V981" s="8">
        <f>$AC$12+D981*$AC$13+E981*$AC$14+F981*$AC$15+G981*$AC$16+H981*$AC$17+I981*$AC$18+J981*$AC$19+K981*$AC$20+L981*$AC$21+M981*$AC$22+N981*$AC$23+O981*$AC$24+P981*$AC$25+Q981*$AC$26+R981*$AC$27+S981*$AC$28+T981*$AC$29+U981*$AC$30</f>
        <v/>
      </c>
      <c r="W981" s="8">
        <f>1/(1+EXP(-V981))</f>
        <v/>
      </c>
      <c r="X981" s="9">
        <f>-IF(C981=1,LN(W981),LN(1-W981))</f>
        <v/>
      </c>
      <c r="Y981" s="10">
        <f>IF(W981&gt;$AC$33,1,0)</f>
        <v/>
      </c>
      <c r="Z981">
        <f>IF(Y981=C981,1,0)</f>
        <v/>
      </c>
    </row>
    <row r="982">
      <c r="A982">
        <f>'1 prepared data'!A975</f>
        <v/>
      </c>
      <c r="B982" s="5">
        <f>'1 prepared data'!U975</f>
        <v/>
      </c>
      <c r="C982">
        <f>'1 prepared data'!B975</f>
        <v/>
      </c>
      <c r="D982" s="7">
        <f>'1 prepared data'!C975</f>
        <v/>
      </c>
      <c r="E982" s="7">
        <f>'1 prepared data'!D975</f>
        <v/>
      </c>
      <c r="F982" s="7">
        <f>'1 prepared data'!E975</f>
        <v/>
      </c>
      <c r="G982" s="7">
        <f>'1 prepared data'!F975</f>
        <v/>
      </c>
      <c r="H982" s="7">
        <f>'1 prepared data'!G975</f>
        <v/>
      </c>
      <c r="I982" s="7">
        <f>'1 prepared data'!H975</f>
        <v/>
      </c>
      <c r="J982" s="7">
        <f>'1 prepared data'!I975</f>
        <v/>
      </c>
      <c r="K982" s="7">
        <f>'1 prepared data'!J975</f>
        <v/>
      </c>
      <c r="L982" s="7">
        <f>'1 prepared data'!K975</f>
        <v/>
      </c>
      <c r="M982" s="7">
        <f>'1 prepared data'!L975</f>
        <v/>
      </c>
      <c r="N982" s="7">
        <f>'1 prepared data'!M975</f>
        <v/>
      </c>
      <c r="O982" s="7">
        <f>'1 prepared data'!N975</f>
        <v/>
      </c>
      <c r="P982" s="7">
        <f>'1 prepared data'!O975</f>
        <v/>
      </c>
      <c r="Q982" s="7">
        <f>'1 prepared data'!P975</f>
        <v/>
      </c>
      <c r="R982" s="7">
        <f>'1 prepared data'!Q975</f>
        <v/>
      </c>
      <c r="S982" s="7">
        <f>'1 prepared data'!R975</f>
        <v/>
      </c>
      <c r="T982" s="7">
        <f>'1 prepared data'!S975</f>
        <v/>
      </c>
      <c r="U982" s="7">
        <f>'1 prepared data'!T975</f>
        <v/>
      </c>
      <c r="V982" s="8">
        <f>$AC$12+D982*$AC$13+E982*$AC$14+F982*$AC$15+G982*$AC$16+H982*$AC$17+I982*$AC$18+J982*$AC$19+K982*$AC$20+L982*$AC$21+M982*$AC$22+N982*$AC$23+O982*$AC$24+P982*$AC$25+Q982*$AC$26+R982*$AC$27+S982*$AC$28+T982*$AC$29+U982*$AC$30</f>
        <v/>
      </c>
      <c r="W982" s="8">
        <f>1/(1+EXP(-V982))</f>
        <v/>
      </c>
      <c r="X982" s="9">
        <f>-IF(C982=1,LN(W982),LN(1-W982))</f>
        <v/>
      </c>
      <c r="Y982" s="10">
        <f>IF(W982&gt;$AC$33,1,0)</f>
        <v/>
      </c>
      <c r="Z982">
        <f>IF(Y982=C982,1,0)</f>
        <v/>
      </c>
    </row>
    <row r="983">
      <c r="A983">
        <f>'1 prepared data'!A976</f>
        <v/>
      </c>
      <c r="B983" s="5">
        <f>'1 prepared data'!U976</f>
        <v/>
      </c>
      <c r="C983">
        <f>'1 prepared data'!B976</f>
        <v/>
      </c>
      <c r="D983" s="7">
        <f>'1 prepared data'!C976</f>
        <v/>
      </c>
      <c r="E983" s="7">
        <f>'1 prepared data'!D976</f>
        <v/>
      </c>
      <c r="F983" s="7">
        <f>'1 prepared data'!E976</f>
        <v/>
      </c>
      <c r="G983" s="7">
        <f>'1 prepared data'!F976</f>
        <v/>
      </c>
      <c r="H983" s="7">
        <f>'1 prepared data'!G976</f>
        <v/>
      </c>
      <c r="I983" s="7">
        <f>'1 prepared data'!H976</f>
        <v/>
      </c>
      <c r="J983" s="7">
        <f>'1 prepared data'!I976</f>
        <v/>
      </c>
      <c r="K983" s="7">
        <f>'1 prepared data'!J976</f>
        <v/>
      </c>
      <c r="L983" s="7">
        <f>'1 prepared data'!K976</f>
        <v/>
      </c>
      <c r="M983" s="7">
        <f>'1 prepared data'!L976</f>
        <v/>
      </c>
      <c r="N983" s="7">
        <f>'1 prepared data'!M976</f>
        <v/>
      </c>
      <c r="O983" s="7">
        <f>'1 prepared data'!N976</f>
        <v/>
      </c>
      <c r="P983" s="7">
        <f>'1 prepared data'!O976</f>
        <v/>
      </c>
      <c r="Q983" s="7">
        <f>'1 prepared data'!P976</f>
        <v/>
      </c>
      <c r="R983" s="7">
        <f>'1 prepared data'!Q976</f>
        <v/>
      </c>
      <c r="S983" s="7">
        <f>'1 prepared data'!R976</f>
        <v/>
      </c>
      <c r="T983" s="7">
        <f>'1 prepared data'!S976</f>
        <v/>
      </c>
      <c r="U983" s="7">
        <f>'1 prepared data'!T976</f>
        <v/>
      </c>
      <c r="V983" s="8">
        <f>$AC$12+D983*$AC$13+E983*$AC$14+F983*$AC$15+G983*$AC$16+H983*$AC$17+I983*$AC$18+J983*$AC$19+K983*$AC$20+L983*$AC$21+M983*$AC$22+N983*$AC$23+O983*$AC$24+P983*$AC$25+Q983*$AC$26+R983*$AC$27+S983*$AC$28+T983*$AC$29+U983*$AC$30</f>
        <v/>
      </c>
      <c r="W983" s="8">
        <f>1/(1+EXP(-V983))</f>
        <v/>
      </c>
      <c r="X983" s="9">
        <f>-IF(C983=1,LN(W983),LN(1-W983))</f>
        <v/>
      </c>
      <c r="Y983" s="10">
        <f>IF(W983&gt;$AC$33,1,0)</f>
        <v/>
      </c>
      <c r="Z983">
        <f>IF(Y983=C983,1,0)</f>
        <v/>
      </c>
    </row>
    <row r="984">
      <c r="A984">
        <f>'1 prepared data'!A977</f>
        <v/>
      </c>
      <c r="B984" s="5">
        <f>'1 prepared data'!U977</f>
        <v/>
      </c>
      <c r="C984">
        <f>'1 prepared data'!B977</f>
        <v/>
      </c>
      <c r="D984" s="7">
        <f>'1 prepared data'!C977</f>
        <v/>
      </c>
      <c r="E984" s="7">
        <f>'1 prepared data'!D977</f>
        <v/>
      </c>
      <c r="F984" s="7">
        <f>'1 prepared data'!E977</f>
        <v/>
      </c>
      <c r="G984" s="7">
        <f>'1 prepared data'!F977</f>
        <v/>
      </c>
      <c r="H984" s="7">
        <f>'1 prepared data'!G977</f>
        <v/>
      </c>
      <c r="I984" s="7">
        <f>'1 prepared data'!H977</f>
        <v/>
      </c>
      <c r="J984" s="7">
        <f>'1 prepared data'!I977</f>
        <v/>
      </c>
      <c r="K984" s="7">
        <f>'1 prepared data'!J977</f>
        <v/>
      </c>
      <c r="L984" s="7">
        <f>'1 prepared data'!K977</f>
        <v/>
      </c>
      <c r="M984" s="7">
        <f>'1 prepared data'!L977</f>
        <v/>
      </c>
      <c r="N984" s="7">
        <f>'1 prepared data'!M977</f>
        <v/>
      </c>
      <c r="O984" s="7">
        <f>'1 prepared data'!N977</f>
        <v/>
      </c>
      <c r="P984" s="7">
        <f>'1 prepared data'!O977</f>
        <v/>
      </c>
      <c r="Q984" s="7">
        <f>'1 prepared data'!P977</f>
        <v/>
      </c>
      <c r="R984" s="7">
        <f>'1 prepared data'!Q977</f>
        <v/>
      </c>
      <c r="S984" s="7">
        <f>'1 prepared data'!R977</f>
        <v/>
      </c>
      <c r="T984" s="7">
        <f>'1 prepared data'!S977</f>
        <v/>
      </c>
      <c r="U984" s="7">
        <f>'1 prepared data'!T977</f>
        <v/>
      </c>
      <c r="V984" s="8">
        <f>$AC$12+D984*$AC$13+E984*$AC$14+F984*$AC$15+G984*$AC$16+H984*$AC$17+I984*$AC$18+J984*$AC$19+K984*$AC$20+L984*$AC$21+M984*$AC$22+N984*$AC$23+O984*$AC$24+P984*$AC$25+Q984*$AC$26+R984*$AC$27+S984*$AC$28+T984*$AC$29+U984*$AC$30</f>
        <v/>
      </c>
      <c r="W984" s="8">
        <f>1/(1+EXP(-V984))</f>
        <v/>
      </c>
      <c r="X984" s="9">
        <f>-IF(C984=1,LN(W984),LN(1-W984))</f>
        <v/>
      </c>
      <c r="Y984" s="10">
        <f>IF(W984&gt;$AC$33,1,0)</f>
        <v/>
      </c>
      <c r="Z984">
        <f>IF(Y984=C984,1,0)</f>
        <v/>
      </c>
    </row>
    <row r="985">
      <c r="A985">
        <f>'1 prepared data'!A978</f>
        <v/>
      </c>
      <c r="B985" s="5">
        <f>'1 prepared data'!U978</f>
        <v/>
      </c>
      <c r="C985">
        <f>'1 prepared data'!B978</f>
        <v/>
      </c>
      <c r="D985" s="7">
        <f>'1 prepared data'!C978</f>
        <v/>
      </c>
      <c r="E985" s="7">
        <f>'1 prepared data'!D978</f>
        <v/>
      </c>
      <c r="F985" s="7">
        <f>'1 prepared data'!E978</f>
        <v/>
      </c>
      <c r="G985" s="7">
        <f>'1 prepared data'!F978</f>
        <v/>
      </c>
      <c r="H985" s="7">
        <f>'1 prepared data'!G978</f>
        <v/>
      </c>
      <c r="I985" s="7">
        <f>'1 prepared data'!H978</f>
        <v/>
      </c>
      <c r="J985" s="7">
        <f>'1 prepared data'!I978</f>
        <v/>
      </c>
      <c r="K985" s="7">
        <f>'1 prepared data'!J978</f>
        <v/>
      </c>
      <c r="L985" s="7">
        <f>'1 prepared data'!K978</f>
        <v/>
      </c>
      <c r="M985" s="7">
        <f>'1 prepared data'!L978</f>
        <v/>
      </c>
      <c r="N985" s="7">
        <f>'1 prepared data'!M978</f>
        <v/>
      </c>
      <c r="O985" s="7">
        <f>'1 prepared data'!N978</f>
        <v/>
      </c>
      <c r="P985" s="7">
        <f>'1 prepared data'!O978</f>
        <v/>
      </c>
      <c r="Q985" s="7">
        <f>'1 prepared data'!P978</f>
        <v/>
      </c>
      <c r="R985" s="7">
        <f>'1 prepared data'!Q978</f>
        <v/>
      </c>
      <c r="S985" s="7">
        <f>'1 prepared data'!R978</f>
        <v/>
      </c>
      <c r="T985" s="7">
        <f>'1 prepared data'!S978</f>
        <v/>
      </c>
      <c r="U985" s="7">
        <f>'1 prepared data'!T978</f>
        <v/>
      </c>
      <c r="V985" s="8">
        <f>$AC$12+D985*$AC$13+E985*$AC$14+F985*$AC$15+G985*$AC$16+H985*$AC$17+I985*$AC$18+J985*$AC$19+K985*$AC$20+L985*$AC$21+M985*$AC$22+N985*$AC$23+O985*$AC$24+P985*$AC$25+Q985*$AC$26+R985*$AC$27+S985*$AC$28+T985*$AC$29+U985*$AC$30</f>
        <v/>
      </c>
      <c r="W985" s="8">
        <f>1/(1+EXP(-V985))</f>
        <v/>
      </c>
      <c r="X985" s="9">
        <f>-IF(C985=1,LN(W985),LN(1-W985))</f>
        <v/>
      </c>
      <c r="Y985" s="10">
        <f>IF(W985&gt;$AC$33,1,0)</f>
        <v/>
      </c>
      <c r="Z985">
        <f>IF(Y985=C985,1,0)</f>
        <v/>
      </c>
    </row>
    <row r="986">
      <c r="A986">
        <f>'1 prepared data'!A979</f>
        <v/>
      </c>
      <c r="B986" s="5">
        <f>'1 prepared data'!U979</f>
        <v/>
      </c>
      <c r="C986">
        <f>'1 prepared data'!B979</f>
        <v/>
      </c>
      <c r="D986" s="7">
        <f>'1 prepared data'!C979</f>
        <v/>
      </c>
      <c r="E986" s="7">
        <f>'1 prepared data'!D979</f>
        <v/>
      </c>
      <c r="F986" s="7">
        <f>'1 prepared data'!E979</f>
        <v/>
      </c>
      <c r="G986" s="7">
        <f>'1 prepared data'!F979</f>
        <v/>
      </c>
      <c r="H986" s="7">
        <f>'1 prepared data'!G979</f>
        <v/>
      </c>
      <c r="I986" s="7">
        <f>'1 prepared data'!H979</f>
        <v/>
      </c>
      <c r="J986" s="7">
        <f>'1 prepared data'!I979</f>
        <v/>
      </c>
      <c r="K986" s="7">
        <f>'1 prepared data'!J979</f>
        <v/>
      </c>
      <c r="L986" s="7">
        <f>'1 prepared data'!K979</f>
        <v/>
      </c>
      <c r="M986" s="7">
        <f>'1 prepared data'!L979</f>
        <v/>
      </c>
      <c r="N986" s="7">
        <f>'1 prepared data'!M979</f>
        <v/>
      </c>
      <c r="O986" s="7">
        <f>'1 prepared data'!N979</f>
        <v/>
      </c>
      <c r="P986" s="7">
        <f>'1 prepared data'!O979</f>
        <v/>
      </c>
      <c r="Q986" s="7">
        <f>'1 prepared data'!P979</f>
        <v/>
      </c>
      <c r="R986" s="7">
        <f>'1 prepared data'!Q979</f>
        <v/>
      </c>
      <c r="S986" s="7">
        <f>'1 prepared data'!R979</f>
        <v/>
      </c>
      <c r="T986" s="7">
        <f>'1 prepared data'!S979</f>
        <v/>
      </c>
      <c r="U986" s="7">
        <f>'1 prepared data'!T979</f>
        <v/>
      </c>
      <c r="V986" s="8">
        <f>$AC$12+D986*$AC$13+E986*$AC$14+F986*$AC$15+G986*$AC$16+H986*$AC$17+I986*$AC$18+J986*$AC$19+K986*$AC$20+L986*$AC$21+M986*$AC$22+N986*$AC$23+O986*$AC$24+P986*$AC$25+Q986*$AC$26+R986*$AC$27+S986*$AC$28+T986*$AC$29+U986*$AC$30</f>
        <v/>
      </c>
      <c r="W986" s="8">
        <f>1/(1+EXP(-V986))</f>
        <v/>
      </c>
      <c r="X986" s="9">
        <f>-IF(C986=1,LN(W986),LN(1-W986))</f>
        <v/>
      </c>
      <c r="Y986" s="10">
        <f>IF(W986&gt;$AC$33,1,0)</f>
        <v/>
      </c>
      <c r="Z986">
        <f>IF(Y986=C986,1,0)</f>
        <v/>
      </c>
    </row>
    <row r="987">
      <c r="A987">
        <f>'1 prepared data'!A980</f>
        <v/>
      </c>
      <c r="B987" s="5">
        <f>'1 prepared data'!U980</f>
        <v/>
      </c>
      <c r="C987">
        <f>'1 prepared data'!B980</f>
        <v/>
      </c>
      <c r="D987" s="7">
        <f>'1 prepared data'!C980</f>
        <v/>
      </c>
      <c r="E987" s="7">
        <f>'1 prepared data'!D980</f>
        <v/>
      </c>
      <c r="F987" s="7">
        <f>'1 prepared data'!E980</f>
        <v/>
      </c>
      <c r="G987" s="7">
        <f>'1 prepared data'!F980</f>
        <v/>
      </c>
      <c r="H987" s="7">
        <f>'1 prepared data'!G980</f>
        <v/>
      </c>
      <c r="I987" s="7">
        <f>'1 prepared data'!H980</f>
        <v/>
      </c>
      <c r="J987" s="7">
        <f>'1 prepared data'!I980</f>
        <v/>
      </c>
      <c r="K987" s="7">
        <f>'1 prepared data'!J980</f>
        <v/>
      </c>
      <c r="L987" s="7">
        <f>'1 prepared data'!K980</f>
        <v/>
      </c>
      <c r="M987" s="7">
        <f>'1 prepared data'!L980</f>
        <v/>
      </c>
      <c r="N987" s="7">
        <f>'1 prepared data'!M980</f>
        <v/>
      </c>
      <c r="O987" s="7">
        <f>'1 prepared data'!N980</f>
        <v/>
      </c>
      <c r="P987" s="7">
        <f>'1 prepared data'!O980</f>
        <v/>
      </c>
      <c r="Q987" s="7">
        <f>'1 prepared data'!P980</f>
        <v/>
      </c>
      <c r="R987" s="7">
        <f>'1 prepared data'!Q980</f>
        <v/>
      </c>
      <c r="S987" s="7">
        <f>'1 prepared data'!R980</f>
        <v/>
      </c>
      <c r="T987" s="7">
        <f>'1 prepared data'!S980</f>
        <v/>
      </c>
      <c r="U987" s="7">
        <f>'1 prepared data'!T980</f>
        <v/>
      </c>
      <c r="V987" s="8">
        <f>$AC$12+D987*$AC$13+E987*$AC$14+F987*$AC$15+G987*$AC$16+H987*$AC$17+I987*$AC$18+J987*$AC$19+K987*$AC$20+L987*$AC$21+M987*$AC$22+N987*$AC$23+O987*$AC$24+P987*$AC$25+Q987*$AC$26+R987*$AC$27+S987*$AC$28+T987*$AC$29+U987*$AC$30</f>
        <v/>
      </c>
      <c r="W987" s="8">
        <f>1/(1+EXP(-V987))</f>
        <v/>
      </c>
      <c r="X987" s="9">
        <f>-IF(C987=1,LN(W987),LN(1-W987))</f>
        <v/>
      </c>
      <c r="Y987" s="10">
        <f>IF(W987&gt;$AC$33,1,0)</f>
        <v/>
      </c>
      <c r="Z987">
        <f>IF(Y987=C987,1,0)</f>
        <v/>
      </c>
    </row>
    <row r="988">
      <c r="A988">
        <f>'1 prepared data'!A981</f>
        <v/>
      </c>
      <c r="B988" s="5">
        <f>'1 prepared data'!U981</f>
        <v/>
      </c>
      <c r="C988">
        <f>'1 prepared data'!B981</f>
        <v/>
      </c>
      <c r="D988" s="7">
        <f>'1 prepared data'!C981</f>
        <v/>
      </c>
      <c r="E988" s="7">
        <f>'1 prepared data'!D981</f>
        <v/>
      </c>
      <c r="F988" s="7">
        <f>'1 prepared data'!E981</f>
        <v/>
      </c>
      <c r="G988" s="7">
        <f>'1 prepared data'!F981</f>
        <v/>
      </c>
      <c r="H988" s="7">
        <f>'1 prepared data'!G981</f>
        <v/>
      </c>
      <c r="I988" s="7">
        <f>'1 prepared data'!H981</f>
        <v/>
      </c>
      <c r="J988" s="7">
        <f>'1 prepared data'!I981</f>
        <v/>
      </c>
      <c r="K988" s="7">
        <f>'1 prepared data'!J981</f>
        <v/>
      </c>
      <c r="L988" s="7">
        <f>'1 prepared data'!K981</f>
        <v/>
      </c>
      <c r="M988" s="7">
        <f>'1 prepared data'!L981</f>
        <v/>
      </c>
      <c r="N988" s="7">
        <f>'1 prepared data'!M981</f>
        <v/>
      </c>
      <c r="O988" s="7">
        <f>'1 prepared data'!N981</f>
        <v/>
      </c>
      <c r="P988" s="7">
        <f>'1 prepared data'!O981</f>
        <v/>
      </c>
      <c r="Q988" s="7">
        <f>'1 prepared data'!P981</f>
        <v/>
      </c>
      <c r="R988" s="7">
        <f>'1 prepared data'!Q981</f>
        <v/>
      </c>
      <c r="S988" s="7">
        <f>'1 prepared data'!R981</f>
        <v/>
      </c>
      <c r="T988" s="7">
        <f>'1 prepared data'!S981</f>
        <v/>
      </c>
      <c r="U988" s="7">
        <f>'1 prepared data'!T981</f>
        <v/>
      </c>
      <c r="V988" s="8">
        <f>$AC$12+D988*$AC$13+E988*$AC$14+F988*$AC$15+G988*$AC$16+H988*$AC$17+I988*$AC$18+J988*$AC$19+K988*$AC$20+L988*$AC$21+M988*$AC$22+N988*$AC$23+O988*$AC$24+P988*$AC$25+Q988*$AC$26+R988*$AC$27+S988*$AC$28+T988*$AC$29+U988*$AC$30</f>
        <v/>
      </c>
      <c r="W988" s="8">
        <f>1/(1+EXP(-V988))</f>
        <v/>
      </c>
      <c r="X988" s="9">
        <f>-IF(C988=1,LN(W988),LN(1-W988))</f>
        <v/>
      </c>
      <c r="Y988" s="10">
        <f>IF(W988&gt;$AC$33,1,0)</f>
        <v/>
      </c>
      <c r="Z988">
        <f>IF(Y988=C988,1,0)</f>
        <v/>
      </c>
    </row>
    <row r="989">
      <c r="A989">
        <f>'1 prepared data'!A982</f>
        <v/>
      </c>
      <c r="B989" s="5">
        <f>'1 prepared data'!U982</f>
        <v/>
      </c>
      <c r="C989">
        <f>'1 prepared data'!B982</f>
        <v/>
      </c>
      <c r="D989" s="7">
        <f>'1 prepared data'!C982</f>
        <v/>
      </c>
      <c r="E989" s="7">
        <f>'1 prepared data'!D982</f>
        <v/>
      </c>
      <c r="F989" s="7">
        <f>'1 prepared data'!E982</f>
        <v/>
      </c>
      <c r="G989" s="7">
        <f>'1 prepared data'!F982</f>
        <v/>
      </c>
      <c r="H989" s="7">
        <f>'1 prepared data'!G982</f>
        <v/>
      </c>
      <c r="I989" s="7">
        <f>'1 prepared data'!H982</f>
        <v/>
      </c>
      <c r="J989" s="7">
        <f>'1 prepared data'!I982</f>
        <v/>
      </c>
      <c r="K989" s="7">
        <f>'1 prepared data'!J982</f>
        <v/>
      </c>
      <c r="L989" s="7">
        <f>'1 prepared data'!K982</f>
        <v/>
      </c>
      <c r="M989" s="7">
        <f>'1 prepared data'!L982</f>
        <v/>
      </c>
      <c r="N989" s="7">
        <f>'1 prepared data'!M982</f>
        <v/>
      </c>
      <c r="O989" s="7">
        <f>'1 prepared data'!N982</f>
        <v/>
      </c>
      <c r="P989" s="7">
        <f>'1 prepared data'!O982</f>
        <v/>
      </c>
      <c r="Q989" s="7">
        <f>'1 prepared data'!P982</f>
        <v/>
      </c>
      <c r="R989" s="7">
        <f>'1 prepared data'!Q982</f>
        <v/>
      </c>
      <c r="S989" s="7">
        <f>'1 prepared data'!R982</f>
        <v/>
      </c>
      <c r="T989" s="7">
        <f>'1 prepared data'!S982</f>
        <v/>
      </c>
      <c r="U989" s="7">
        <f>'1 prepared data'!T982</f>
        <v/>
      </c>
      <c r="V989" s="8">
        <f>$AC$12+D989*$AC$13+E989*$AC$14+F989*$AC$15+G989*$AC$16+H989*$AC$17+I989*$AC$18+J989*$AC$19+K989*$AC$20+L989*$AC$21+M989*$AC$22+N989*$AC$23+O989*$AC$24+P989*$AC$25+Q989*$AC$26+R989*$AC$27+S989*$AC$28+T989*$AC$29+U989*$AC$30</f>
        <v/>
      </c>
      <c r="W989" s="8">
        <f>1/(1+EXP(-V989))</f>
        <v/>
      </c>
      <c r="X989" s="9">
        <f>-IF(C989=1,LN(W989),LN(1-W989))</f>
        <v/>
      </c>
      <c r="Y989" s="10">
        <f>IF(W989&gt;$AC$33,1,0)</f>
        <v/>
      </c>
      <c r="Z989">
        <f>IF(Y989=C989,1,0)</f>
        <v/>
      </c>
    </row>
    <row r="990">
      <c r="A990">
        <f>'1 prepared data'!A983</f>
        <v/>
      </c>
      <c r="B990" s="5">
        <f>'1 prepared data'!U983</f>
        <v/>
      </c>
      <c r="C990">
        <f>'1 prepared data'!B983</f>
        <v/>
      </c>
      <c r="D990" s="7">
        <f>'1 prepared data'!C983</f>
        <v/>
      </c>
      <c r="E990" s="7">
        <f>'1 prepared data'!D983</f>
        <v/>
      </c>
      <c r="F990" s="7">
        <f>'1 prepared data'!E983</f>
        <v/>
      </c>
      <c r="G990" s="7">
        <f>'1 prepared data'!F983</f>
        <v/>
      </c>
      <c r="H990" s="7">
        <f>'1 prepared data'!G983</f>
        <v/>
      </c>
      <c r="I990" s="7">
        <f>'1 prepared data'!H983</f>
        <v/>
      </c>
      <c r="J990" s="7">
        <f>'1 prepared data'!I983</f>
        <v/>
      </c>
      <c r="K990" s="7">
        <f>'1 prepared data'!J983</f>
        <v/>
      </c>
      <c r="L990" s="7">
        <f>'1 prepared data'!K983</f>
        <v/>
      </c>
      <c r="M990" s="7">
        <f>'1 prepared data'!L983</f>
        <v/>
      </c>
      <c r="N990" s="7">
        <f>'1 prepared data'!M983</f>
        <v/>
      </c>
      <c r="O990" s="7">
        <f>'1 prepared data'!N983</f>
        <v/>
      </c>
      <c r="P990" s="7">
        <f>'1 prepared data'!O983</f>
        <v/>
      </c>
      <c r="Q990" s="7">
        <f>'1 prepared data'!P983</f>
        <v/>
      </c>
      <c r="R990" s="7">
        <f>'1 prepared data'!Q983</f>
        <v/>
      </c>
      <c r="S990" s="7">
        <f>'1 prepared data'!R983</f>
        <v/>
      </c>
      <c r="T990" s="7">
        <f>'1 prepared data'!S983</f>
        <v/>
      </c>
      <c r="U990" s="7">
        <f>'1 prepared data'!T983</f>
        <v/>
      </c>
      <c r="V990" s="8">
        <f>$AC$12+D990*$AC$13+E990*$AC$14+F990*$AC$15+G990*$AC$16+H990*$AC$17+I990*$AC$18+J990*$AC$19+K990*$AC$20+L990*$AC$21+M990*$AC$22+N990*$AC$23+O990*$AC$24+P990*$AC$25+Q990*$AC$26+R990*$AC$27+S990*$AC$28+T990*$AC$29+U990*$AC$30</f>
        <v/>
      </c>
      <c r="W990" s="8">
        <f>1/(1+EXP(-V990))</f>
        <v/>
      </c>
      <c r="X990" s="9">
        <f>-IF(C990=1,LN(W990),LN(1-W990))</f>
        <v/>
      </c>
      <c r="Y990" s="10">
        <f>IF(W990&gt;$AC$33,1,0)</f>
        <v/>
      </c>
      <c r="Z990">
        <f>IF(Y990=C990,1,0)</f>
        <v/>
      </c>
    </row>
    <row r="991">
      <c r="A991">
        <f>'1 prepared data'!A984</f>
        <v/>
      </c>
      <c r="B991" s="5">
        <f>'1 prepared data'!U984</f>
        <v/>
      </c>
      <c r="C991">
        <f>'1 prepared data'!B984</f>
        <v/>
      </c>
      <c r="D991" s="7">
        <f>'1 prepared data'!C984</f>
        <v/>
      </c>
      <c r="E991" s="7">
        <f>'1 prepared data'!D984</f>
        <v/>
      </c>
      <c r="F991" s="7">
        <f>'1 prepared data'!E984</f>
        <v/>
      </c>
      <c r="G991" s="7">
        <f>'1 prepared data'!F984</f>
        <v/>
      </c>
      <c r="H991" s="7">
        <f>'1 prepared data'!G984</f>
        <v/>
      </c>
      <c r="I991" s="7">
        <f>'1 prepared data'!H984</f>
        <v/>
      </c>
      <c r="J991" s="7">
        <f>'1 prepared data'!I984</f>
        <v/>
      </c>
      <c r="K991" s="7">
        <f>'1 prepared data'!J984</f>
        <v/>
      </c>
      <c r="L991" s="7">
        <f>'1 prepared data'!K984</f>
        <v/>
      </c>
      <c r="M991" s="7">
        <f>'1 prepared data'!L984</f>
        <v/>
      </c>
      <c r="N991" s="7">
        <f>'1 prepared data'!M984</f>
        <v/>
      </c>
      <c r="O991" s="7">
        <f>'1 prepared data'!N984</f>
        <v/>
      </c>
      <c r="P991" s="7">
        <f>'1 prepared data'!O984</f>
        <v/>
      </c>
      <c r="Q991" s="7">
        <f>'1 prepared data'!P984</f>
        <v/>
      </c>
      <c r="R991" s="7">
        <f>'1 prepared data'!Q984</f>
        <v/>
      </c>
      <c r="S991" s="7">
        <f>'1 prepared data'!R984</f>
        <v/>
      </c>
      <c r="T991" s="7">
        <f>'1 prepared data'!S984</f>
        <v/>
      </c>
      <c r="U991" s="7">
        <f>'1 prepared data'!T984</f>
        <v/>
      </c>
      <c r="V991" s="8">
        <f>$AC$12+D991*$AC$13+E991*$AC$14+F991*$AC$15+G991*$AC$16+H991*$AC$17+I991*$AC$18+J991*$AC$19+K991*$AC$20+L991*$AC$21+M991*$AC$22+N991*$AC$23+O991*$AC$24+P991*$AC$25+Q991*$AC$26+R991*$AC$27+S991*$AC$28+T991*$AC$29+U991*$AC$30</f>
        <v/>
      </c>
      <c r="W991" s="8">
        <f>1/(1+EXP(-V991))</f>
        <v/>
      </c>
      <c r="X991" s="9">
        <f>-IF(C991=1,LN(W991),LN(1-W991))</f>
        <v/>
      </c>
      <c r="Y991" s="10">
        <f>IF(W991&gt;$AC$33,1,0)</f>
        <v/>
      </c>
      <c r="Z991">
        <f>IF(Y991=C991,1,0)</f>
        <v/>
      </c>
    </row>
    <row r="992">
      <c r="A992">
        <f>'1 prepared data'!A985</f>
        <v/>
      </c>
      <c r="B992" s="5">
        <f>'1 prepared data'!U985</f>
        <v/>
      </c>
      <c r="C992">
        <f>'1 prepared data'!B985</f>
        <v/>
      </c>
      <c r="D992" s="7">
        <f>'1 prepared data'!C985</f>
        <v/>
      </c>
      <c r="E992" s="7">
        <f>'1 prepared data'!D985</f>
        <v/>
      </c>
      <c r="F992" s="7">
        <f>'1 prepared data'!E985</f>
        <v/>
      </c>
      <c r="G992" s="7">
        <f>'1 prepared data'!F985</f>
        <v/>
      </c>
      <c r="H992" s="7">
        <f>'1 prepared data'!G985</f>
        <v/>
      </c>
      <c r="I992" s="7">
        <f>'1 prepared data'!H985</f>
        <v/>
      </c>
      <c r="J992" s="7">
        <f>'1 prepared data'!I985</f>
        <v/>
      </c>
      <c r="K992" s="7">
        <f>'1 prepared data'!J985</f>
        <v/>
      </c>
      <c r="L992" s="7">
        <f>'1 prepared data'!K985</f>
        <v/>
      </c>
      <c r="M992" s="7">
        <f>'1 prepared data'!L985</f>
        <v/>
      </c>
      <c r="N992" s="7">
        <f>'1 prepared data'!M985</f>
        <v/>
      </c>
      <c r="O992" s="7">
        <f>'1 prepared data'!N985</f>
        <v/>
      </c>
      <c r="P992" s="7">
        <f>'1 prepared data'!O985</f>
        <v/>
      </c>
      <c r="Q992" s="7">
        <f>'1 prepared data'!P985</f>
        <v/>
      </c>
      <c r="R992" s="7">
        <f>'1 prepared data'!Q985</f>
        <v/>
      </c>
      <c r="S992" s="7">
        <f>'1 prepared data'!R985</f>
        <v/>
      </c>
      <c r="T992" s="7">
        <f>'1 prepared data'!S985</f>
        <v/>
      </c>
      <c r="U992" s="7">
        <f>'1 prepared data'!T985</f>
        <v/>
      </c>
      <c r="V992" s="8">
        <f>$AC$12+D992*$AC$13+E992*$AC$14+F992*$AC$15+G992*$AC$16+H992*$AC$17+I992*$AC$18+J992*$AC$19+K992*$AC$20+L992*$AC$21+M992*$AC$22+N992*$AC$23+O992*$AC$24+P992*$AC$25+Q992*$AC$26+R992*$AC$27+S992*$AC$28+T992*$AC$29+U992*$AC$30</f>
        <v/>
      </c>
      <c r="W992" s="8">
        <f>1/(1+EXP(-V992))</f>
        <v/>
      </c>
      <c r="X992" s="9">
        <f>-IF(C992=1,LN(W992),LN(1-W992))</f>
        <v/>
      </c>
      <c r="Y992" s="10">
        <f>IF(W992&gt;$AC$33,1,0)</f>
        <v/>
      </c>
      <c r="Z992">
        <f>IF(Y992=C992,1,0)</f>
        <v/>
      </c>
    </row>
    <row r="993">
      <c r="A993">
        <f>'1 prepared data'!A986</f>
        <v/>
      </c>
      <c r="B993" s="5">
        <f>'1 prepared data'!U986</f>
        <v/>
      </c>
      <c r="C993">
        <f>'1 prepared data'!B986</f>
        <v/>
      </c>
      <c r="D993" s="7">
        <f>'1 prepared data'!C986</f>
        <v/>
      </c>
      <c r="E993" s="7">
        <f>'1 prepared data'!D986</f>
        <v/>
      </c>
      <c r="F993" s="7">
        <f>'1 prepared data'!E986</f>
        <v/>
      </c>
      <c r="G993" s="7">
        <f>'1 prepared data'!F986</f>
        <v/>
      </c>
      <c r="H993" s="7">
        <f>'1 prepared data'!G986</f>
        <v/>
      </c>
      <c r="I993" s="7">
        <f>'1 prepared data'!H986</f>
        <v/>
      </c>
      <c r="J993" s="7">
        <f>'1 prepared data'!I986</f>
        <v/>
      </c>
      <c r="K993" s="7">
        <f>'1 prepared data'!J986</f>
        <v/>
      </c>
      <c r="L993" s="7">
        <f>'1 prepared data'!K986</f>
        <v/>
      </c>
      <c r="M993" s="7">
        <f>'1 prepared data'!L986</f>
        <v/>
      </c>
      <c r="N993" s="7">
        <f>'1 prepared data'!M986</f>
        <v/>
      </c>
      <c r="O993" s="7">
        <f>'1 prepared data'!N986</f>
        <v/>
      </c>
      <c r="P993" s="7">
        <f>'1 prepared data'!O986</f>
        <v/>
      </c>
      <c r="Q993" s="7">
        <f>'1 prepared data'!P986</f>
        <v/>
      </c>
      <c r="R993" s="7">
        <f>'1 prepared data'!Q986</f>
        <v/>
      </c>
      <c r="S993" s="7">
        <f>'1 prepared data'!R986</f>
        <v/>
      </c>
      <c r="T993" s="7">
        <f>'1 prepared data'!S986</f>
        <v/>
      </c>
      <c r="U993" s="7">
        <f>'1 prepared data'!T986</f>
        <v/>
      </c>
      <c r="V993" s="8">
        <f>$AC$12+D993*$AC$13+E993*$AC$14+F993*$AC$15+G993*$AC$16+H993*$AC$17+I993*$AC$18+J993*$AC$19+K993*$AC$20+L993*$AC$21+M993*$AC$22+N993*$AC$23+O993*$AC$24+P993*$AC$25+Q993*$AC$26+R993*$AC$27+S993*$AC$28+T993*$AC$29+U993*$AC$30</f>
        <v/>
      </c>
      <c r="W993" s="8">
        <f>1/(1+EXP(-V993))</f>
        <v/>
      </c>
      <c r="X993" s="9">
        <f>-IF(C993=1,LN(W993),LN(1-W993))</f>
        <v/>
      </c>
      <c r="Y993" s="10">
        <f>IF(W993&gt;$AC$33,1,0)</f>
        <v/>
      </c>
      <c r="Z993">
        <f>IF(Y993=C993,1,0)</f>
        <v/>
      </c>
    </row>
    <row r="994">
      <c r="A994">
        <f>'1 prepared data'!A987</f>
        <v/>
      </c>
      <c r="B994" s="5">
        <f>'1 prepared data'!U987</f>
        <v/>
      </c>
      <c r="C994">
        <f>'1 prepared data'!B987</f>
        <v/>
      </c>
      <c r="D994" s="7">
        <f>'1 prepared data'!C987</f>
        <v/>
      </c>
      <c r="E994" s="7">
        <f>'1 prepared data'!D987</f>
        <v/>
      </c>
      <c r="F994" s="7">
        <f>'1 prepared data'!E987</f>
        <v/>
      </c>
      <c r="G994" s="7">
        <f>'1 prepared data'!F987</f>
        <v/>
      </c>
      <c r="H994" s="7">
        <f>'1 prepared data'!G987</f>
        <v/>
      </c>
      <c r="I994" s="7">
        <f>'1 prepared data'!H987</f>
        <v/>
      </c>
      <c r="J994" s="7">
        <f>'1 prepared data'!I987</f>
        <v/>
      </c>
      <c r="K994" s="7">
        <f>'1 prepared data'!J987</f>
        <v/>
      </c>
      <c r="L994" s="7">
        <f>'1 prepared data'!K987</f>
        <v/>
      </c>
      <c r="M994" s="7">
        <f>'1 prepared data'!L987</f>
        <v/>
      </c>
      <c r="N994" s="7">
        <f>'1 prepared data'!M987</f>
        <v/>
      </c>
      <c r="O994" s="7">
        <f>'1 prepared data'!N987</f>
        <v/>
      </c>
      <c r="P994" s="7">
        <f>'1 prepared data'!O987</f>
        <v/>
      </c>
      <c r="Q994" s="7">
        <f>'1 prepared data'!P987</f>
        <v/>
      </c>
      <c r="R994" s="7">
        <f>'1 prepared data'!Q987</f>
        <v/>
      </c>
      <c r="S994" s="7">
        <f>'1 prepared data'!R987</f>
        <v/>
      </c>
      <c r="T994" s="7">
        <f>'1 prepared data'!S987</f>
        <v/>
      </c>
      <c r="U994" s="7">
        <f>'1 prepared data'!T987</f>
        <v/>
      </c>
      <c r="V994" s="8">
        <f>$AC$12+D994*$AC$13+E994*$AC$14+F994*$AC$15+G994*$AC$16+H994*$AC$17+I994*$AC$18+J994*$AC$19+K994*$AC$20+L994*$AC$21+M994*$AC$22+N994*$AC$23+O994*$AC$24+P994*$AC$25+Q994*$AC$26+R994*$AC$27+S994*$AC$28+T994*$AC$29+U994*$AC$30</f>
        <v/>
      </c>
      <c r="W994" s="8">
        <f>1/(1+EXP(-V994))</f>
        <v/>
      </c>
      <c r="X994" s="9">
        <f>-IF(C994=1,LN(W994),LN(1-W994))</f>
        <v/>
      </c>
      <c r="Y994" s="10">
        <f>IF(W994&gt;$AC$33,1,0)</f>
        <v/>
      </c>
      <c r="Z994">
        <f>IF(Y994=C994,1,0)</f>
        <v/>
      </c>
    </row>
    <row r="995">
      <c r="A995">
        <f>'1 prepared data'!A988</f>
        <v/>
      </c>
      <c r="B995" s="5">
        <f>'1 prepared data'!U988</f>
        <v/>
      </c>
      <c r="C995">
        <f>'1 prepared data'!B988</f>
        <v/>
      </c>
      <c r="D995" s="7">
        <f>'1 prepared data'!C988</f>
        <v/>
      </c>
      <c r="E995" s="7">
        <f>'1 prepared data'!D988</f>
        <v/>
      </c>
      <c r="F995" s="7">
        <f>'1 prepared data'!E988</f>
        <v/>
      </c>
      <c r="G995" s="7">
        <f>'1 prepared data'!F988</f>
        <v/>
      </c>
      <c r="H995" s="7">
        <f>'1 prepared data'!G988</f>
        <v/>
      </c>
      <c r="I995" s="7">
        <f>'1 prepared data'!H988</f>
        <v/>
      </c>
      <c r="J995" s="7">
        <f>'1 prepared data'!I988</f>
        <v/>
      </c>
      <c r="K995" s="7">
        <f>'1 prepared data'!J988</f>
        <v/>
      </c>
      <c r="L995" s="7">
        <f>'1 prepared data'!K988</f>
        <v/>
      </c>
      <c r="M995" s="7">
        <f>'1 prepared data'!L988</f>
        <v/>
      </c>
      <c r="N995" s="7">
        <f>'1 prepared data'!M988</f>
        <v/>
      </c>
      <c r="O995" s="7">
        <f>'1 prepared data'!N988</f>
        <v/>
      </c>
      <c r="P995" s="7">
        <f>'1 prepared data'!O988</f>
        <v/>
      </c>
      <c r="Q995" s="7">
        <f>'1 prepared data'!P988</f>
        <v/>
      </c>
      <c r="R995" s="7">
        <f>'1 prepared data'!Q988</f>
        <v/>
      </c>
      <c r="S995" s="7">
        <f>'1 prepared data'!R988</f>
        <v/>
      </c>
      <c r="T995" s="7">
        <f>'1 prepared data'!S988</f>
        <v/>
      </c>
      <c r="U995" s="7">
        <f>'1 prepared data'!T988</f>
        <v/>
      </c>
      <c r="V995" s="8">
        <f>$AC$12+D995*$AC$13+E995*$AC$14+F995*$AC$15+G995*$AC$16+H995*$AC$17+I995*$AC$18+J995*$AC$19+K995*$AC$20+L995*$AC$21+M995*$AC$22+N995*$AC$23+O995*$AC$24+P995*$AC$25+Q995*$AC$26+R995*$AC$27+S995*$AC$28+T995*$AC$29+U995*$AC$30</f>
        <v/>
      </c>
      <c r="W995" s="8">
        <f>1/(1+EXP(-V995))</f>
        <v/>
      </c>
      <c r="X995" s="9">
        <f>-IF(C995=1,LN(W995),LN(1-W995))</f>
        <v/>
      </c>
      <c r="Y995" s="10">
        <f>IF(W995&gt;$AC$33,1,0)</f>
        <v/>
      </c>
      <c r="Z995">
        <f>IF(Y995=C995,1,0)</f>
        <v/>
      </c>
    </row>
    <row r="996">
      <c r="A996">
        <f>'1 prepared data'!A989</f>
        <v/>
      </c>
      <c r="B996" s="5">
        <f>'1 prepared data'!U989</f>
        <v/>
      </c>
      <c r="C996">
        <f>'1 prepared data'!B989</f>
        <v/>
      </c>
      <c r="D996" s="7">
        <f>'1 prepared data'!C989</f>
        <v/>
      </c>
      <c r="E996" s="7">
        <f>'1 prepared data'!D989</f>
        <v/>
      </c>
      <c r="F996" s="7">
        <f>'1 prepared data'!E989</f>
        <v/>
      </c>
      <c r="G996" s="7">
        <f>'1 prepared data'!F989</f>
        <v/>
      </c>
      <c r="H996" s="7">
        <f>'1 prepared data'!G989</f>
        <v/>
      </c>
      <c r="I996" s="7">
        <f>'1 prepared data'!H989</f>
        <v/>
      </c>
      <c r="J996" s="7">
        <f>'1 prepared data'!I989</f>
        <v/>
      </c>
      <c r="K996" s="7">
        <f>'1 prepared data'!J989</f>
        <v/>
      </c>
      <c r="L996" s="7">
        <f>'1 prepared data'!K989</f>
        <v/>
      </c>
      <c r="M996" s="7">
        <f>'1 prepared data'!L989</f>
        <v/>
      </c>
      <c r="N996" s="7">
        <f>'1 prepared data'!M989</f>
        <v/>
      </c>
      <c r="O996" s="7">
        <f>'1 prepared data'!N989</f>
        <v/>
      </c>
      <c r="P996" s="7">
        <f>'1 prepared data'!O989</f>
        <v/>
      </c>
      <c r="Q996" s="7">
        <f>'1 prepared data'!P989</f>
        <v/>
      </c>
      <c r="R996" s="7">
        <f>'1 prepared data'!Q989</f>
        <v/>
      </c>
      <c r="S996" s="7">
        <f>'1 prepared data'!R989</f>
        <v/>
      </c>
      <c r="T996" s="7">
        <f>'1 prepared data'!S989</f>
        <v/>
      </c>
      <c r="U996" s="7">
        <f>'1 prepared data'!T989</f>
        <v/>
      </c>
      <c r="V996" s="8">
        <f>$AC$12+D996*$AC$13+E996*$AC$14+F996*$AC$15+G996*$AC$16+H996*$AC$17+I996*$AC$18+J996*$AC$19+K996*$AC$20+L996*$AC$21+M996*$AC$22+N996*$AC$23+O996*$AC$24+P996*$AC$25+Q996*$AC$26+R996*$AC$27+S996*$AC$28+T996*$AC$29+U996*$AC$30</f>
        <v/>
      </c>
      <c r="W996" s="8">
        <f>1/(1+EXP(-V996))</f>
        <v/>
      </c>
      <c r="X996" s="9">
        <f>-IF(C996=1,LN(W996),LN(1-W996))</f>
        <v/>
      </c>
      <c r="Y996" s="10">
        <f>IF(W996&gt;$AC$33,1,0)</f>
        <v/>
      </c>
      <c r="Z996">
        <f>IF(Y996=C996,1,0)</f>
        <v/>
      </c>
    </row>
    <row r="997">
      <c r="A997">
        <f>'1 prepared data'!A990</f>
        <v/>
      </c>
      <c r="B997" s="5">
        <f>'1 prepared data'!U990</f>
        <v/>
      </c>
      <c r="C997">
        <f>'1 prepared data'!B990</f>
        <v/>
      </c>
      <c r="D997" s="7">
        <f>'1 prepared data'!C990</f>
        <v/>
      </c>
      <c r="E997" s="7">
        <f>'1 prepared data'!D990</f>
        <v/>
      </c>
      <c r="F997" s="7">
        <f>'1 prepared data'!E990</f>
        <v/>
      </c>
      <c r="G997" s="7">
        <f>'1 prepared data'!F990</f>
        <v/>
      </c>
      <c r="H997" s="7">
        <f>'1 prepared data'!G990</f>
        <v/>
      </c>
      <c r="I997" s="7">
        <f>'1 prepared data'!H990</f>
        <v/>
      </c>
      <c r="J997" s="7">
        <f>'1 prepared data'!I990</f>
        <v/>
      </c>
      <c r="K997" s="7">
        <f>'1 prepared data'!J990</f>
        <v/>
      </c>
      <c r="L997" s="7">
        <f>'1 prepared data'!K990</f>
        <v/>
      </c>
      <c r="M997" s="7">
        <f>'1 prepared data'!L990</f>
        <v/>
      </c>
      <c r="N997" s="7">
        <f>'1 prepared data'!M990</f>
        <v/>
      </c>
      <c r="O997" s="7">
        <f>'1 prepared data'!N990</f>
        <v/>
      </c>
      <c r="P997" s="7">
        <f>'1 prepared data'!O990</f>
        <v/>
      </c>
      <c r="Q997" s="7">
        <f>'1 prepared data'!P990</f>
        <v/>
      </c>
      <c r="R997" s="7">
        <f>'1 prepared data'!Q990</f>
        <v/>
      </c>
      <c r="S997" s="7">
        <f>'1 prepared data'!R990</f>
        <v/>
      </c>
      <c r="T997" s="7">
        <f>'1 prepared data'!S990</f>
        <v/>
      </c>
      <c r="U997" s="7">
        <f>'1 prepared data'!T990</f>
        <v/>
      </c>
      <c r="V997" s="8">
        <f>$AC$12+D997*$AC$13+E997*$AC$14+F997*$AC$15+G997*$AC$16+H997*$AC$17+I997*$AC$18+J997*$AC$19+K997*$AC$20+L997*$AC$21+M997*$AC$22+N997*$AC$23+O997*$AC$24+P997*$AC$25+Q997*$AC$26+R997*$AC$27+S997*$AC$28+T997*$AC$29+U997*$AC$30</f>
        <v/>
      </c>
      <c r="W997" s="8">
        <f>1/(1+EXP(-V997))</f>
        <v/>
      </c>
      <c r="X997" s="9">
        <f>-IF(C997=1,LN(W997),LN(1-W997))</f>
        <v/>
      </c>
      <c r="Y997" s="10">
        <f>IF(W997&gt;$AC$33,1,0)</f>
        <v/>
      </c>
      <c r="Z997">
        <f>IF(Y997=C997,1,0)</f>
        <v/>
      </c>
    </row>
    <row r="998">
      <c r="A998">
        <f>'1 prepared data'!A991</f>
        <v/>
      </c>
      <c r="B998" s="5">
        <f>'1 prepared data'!U991</f>
        <v/>
      </c>
      <c r="C998">
        <f>'1 prepared data'!B991</f>
        <v/>
      </c>
      <c r="D998" s="7">
        <f>'1 prepared data'!C991</f>
        <v/>
      </c>
      <c r="E998" s="7">
        <f>'1 prepared data'!D991</f>
        <v/>
      </c>
      <c r="F998" s="7">
        <f>'1 prepared data'!E991</f>
        <v/>
      </c>
      <c r="G998" s="7">
        <f>'1 prepared data'!F991</f>
        <v/>
      </c>
      <c r="H998" s="7">
        <f>'1 prepared data'!G991</f>
        <v/>
      </c>
      <c r="I998" s="7">
        <f>'1 prepared data'!H991</f>
        <v/>
      </c>
      <c r="J998" s="7">
        <f>'1 prepared data'!I991</f>
        <v/>
      </c>
      <c r="K998" s="7">
        <f>'1 prepared data'!J991</f>
        <v/>
      </c>
      <c r="L998" s="7">
        <f>'1 prepared data'!K991</f>
        <v/>
      </c>
      <c r="M998" s="7">
        <f>'1 prepared data'!L991</f>
        <v/>
      </c>
      <c r="N998" s="7">
        <f>'1 prepared data'!M991</f>
        <v/>
      </c>
      <c r="O998" s="7">
        <f>'1 prepared data'!N991</f>
        <v/>
      </c>
      <c r="P998" s="7">
        <f>'1 prepared data'!O991</f>
        <v/>
      </c>
      <c r="Q998" s="7">
        <f>'1 prepared data'!P991</f>
        <v/>
      </c>
      <c r="R998" s="7">
        <f>'1 prepared data'!Q991</f>
        <v/>
      </c>
      <c r="S998" s="7">
        <f>'1 prepared data'!R991</f>
        <v/>
      </c>
      <c r="T998" s="7">
        <f>'1 prepared data'!S991</f>
        <v/>
      </c>
      <c r="U998" s="7">
        <f>'1 prepared data'!T991</f>
        <v/>
      </c>
      <c r="V998" s="8">
        <f>$AC$12+D998*$AC$13+E998*$AC$14+F998*$AC$15+G998*$AC$16+H998*$AC$17+I998*$AC$18+J998*$AC$19+K998*$AC$20+L998*$AC$21+M998*$AC$22+N998*$AC$23+O998*$AC$24+P998*$AC$25+Q998*$AC$26+R998*$AC$27+S998*$AC$28+T998*$AC$29+U998*$AC$30</f>
        <v/>
      </c>
      <c r="W998" s="8">
        <f>1/(1+EXP(-V998))</f>
        <v/>
      </c>
      <c r="X998" s="9">
        <f>-IF(C998=1,LN(W998),LN(1-W998))</f>
        <v/>
      </c>
      <c r="Y998" s="10">
        <f>IF(W998&gt;$AC$33,1,0)</f>
        <v/>
      </c>
      <c r="Z998">
        <f>IF(Y998=C998,1,0)</f>
        <v/>
      </c>
    </row>
    <row r="999">
      <c r="A999">
        <f>'1 prepared data'!A992</f>
        <v/>
      </c>
      <c r="B999" s="5">
        <f>'1 prepared data'!U992</f>
        <v/>
      </c>
      <c r="C999">
        <f>'1 prepared data'!B992</f>
        <v/>
      </c>
      <c r="D999" s="7">
        <f>'1 prepared data'!C992</f>
        <v/>
      </c>
      <c r="E999" s="7">
        <f>'1 prepared data'!D992</f>
        <v/>
      </c>
      <c r="F999" s="7">
        <f>'1 prepared data'!E992</f>
        <v/>
      </c>
      <c r="G999" s="7">
        <f>'1 prepared data'!F992</f>
        <v/>
      </c>
      <c r="H999" s="7">
        <f>'1 prepared data'!G992</f>
        <v/>
      </c>
      <c r="I999" s="7">
        <f>'1 prepared data'!H992</f>
        <v/>
      </c>
      <c r="J999" s="7">
        <f>'1 prepared data'!I992</f>
        <v/>
      </c>
      <c r="K999" s="7">
        <f>'1 prepared data'!J992</f>
        <v/>
      </c>
      <c r="L999" s="7">
        <f>'1 prepared data'!K992</f>
        <v/>
      </c>
      <c r="M999" s="7">
        <f>'1 prepared data'!L992</f>
        <v/>
      </c>
      <c r="N999" s="7">
        <f>'1 prepared data'!M992</f>
        <v/>
      </c>
      <c r="O999" s="7">
        <f>'1 prepared data'!N992</f>
        <v/>
      </c>
      <c r="P999" s="7">
        <f>'1 prepared data'!O992</f>
        <v/>
      </c>
      <c r="Q999" s="7">
        <f>'1 prepared data'!P992</f>
        <v/>
      </c>
      <c r="R999" s="7">
        <f>'1 prepared data'!Q992</f>
        <v/>
      </c>
      <c r="S999" s="7">
        <f>'1 prepared data'!R992</f>
        <v/>
      </c>
      <c r="T999" s="7">
        <f>'1 prepared data'!S992</f>
        <v/>
      </c>
      <c r="U999" s="7">
        <f>'1 prepared data'!T992</f>
        <v/>
      </c>
      <c r="V999" s="8">
        <f>$AC$12+D999*$AC$13+E999*$AC$14+F999*$AC$15+G999*$AC$16+H999*$AC$17+I999*$AC$18+J999*$AC$19+K999*$AC$20+L999*$AC$21+M999*$AC$22+N999*$AC$23+O999*$AC$24+P999*$AC$25+Q999*$AC$26+R999*$AC$27+S999*$AC$28+T999*$AC$29+U999*$AC$30</f>
        <v/>
      </c>
      <c r="W999" s="8">
        <f>1/(1+EXP(-V999))</f>
        <v/>
      </c>
      <c r="X999" s="9">
        <f>-IF(C999=1,LN(W999),LN(1-W999))</f>
        <v/>
      </c>
      <c r="Y999" s="10">
        <f>IF(W999&gt;$AC$33,1,0)</f>
        <v/>
      </c>
      <c r="Z999">
        <f>IF(Y999=C999,1,0)</f>
        <v/>
      </c>
    </row>
    <row r="1000">
      <c r="A1000">
        <f>'1 prepared data'!A993</f>
        <v/>
      </c>
      <c r="B1000" s="5">
        <f>'1 prepared data'!U993</f>
        <v/>
      </c>
      <c r="C1000">
        <f>'1 prepared data'!B993</f>
        <v/>
      </c>
      <c r="D1000" s="7">
        <f>'1 prepared data'!C993</f>
        <v/>
      </c>
      <c r="E1000" s="7">
        <f>'1 prepared data'!D993</f>
        <v/>
      </c>
      <c r="F1000" s="7">
        <f>'1 prepared data'!E993</f>
        <v/>
      </c>
      <c r="G1000" s="7">
        <f>'1 prepared data'!F993</f>
        <v/>
      </c>
      <c r="H1000" s="7">
        <f>'1 prepared data'!G993</f>
        <v/>
      </c>
      <c r="I1000" s="7">
        <f>'1 prepared data'!H993</f>
        <v/>
      </c>
      <c r="J1000" s="7">
        <f>'1 prepared data'!I993</f>
        <v/>
      </c>
      <c r="K1000" s="7">
        <f>'1 prepared data'!J993</f>
        <v/>
      </c>
      <c r="L1000" s="7">
        <f>'1 prepared data'!K993</f>
        <v/>
      </c>
      <c r="M1000" s="7">
        <f>'1 prepared data'!L993</f>
        <v/>
      </c>
      <c r="N1000" s="7">
        <f>'1 prepared data'!M993</f>
        <v/>
      </c>
      <c r="O1000" s="7">
        <f>'1 prepared data'!N993</f>
        <v/>
      </c>
      <c r="P1000" s="7">
        <f>'1 prepared data'!O993</f>
        <v/>
      </c>
      <c r="Q1000" s="7">
        <f>'1 prepared data'!P993</f>
        <v/>
      </c>
      <c r="R1000" s="7">
        <f>'1 prepared data'!Q993</f>
        <v/>
      </c>
      <c r="S1000" s="7">
        <f>'1 prepared data'!R993</f>
        <v/>
      </c>
      <c r="T1000" s="7">
        <f>'1 prepared data'!S993</f>
        <v/>
      </c>
      <c r="U1000" s="7">
        <f>'1 prepared data'!T993</f>
        <v/>
      </c>
      <c r="V1000" s="8">
        <f>$AC$12+D1000*$AC$13+E1000*$AC$14+F1000*$AC$15+G1000*$AC$16+H1000*$AC$17+I1000*$AC$18+J1000*$AC$19+K1000*$AC$20+L1000*$AC$21+M1000*$AC$22+N1000*$AC$23+O1000*$AC$24+P1000*$AC$25+Q1000*$AC$26+R1000*$AC$27+S1000*$AC$28+T1000*$AC$29+U1000*$AC$30</f>
        <v/>
      </c>
      <c r="W1000" s="8">
        <f>1/(1+EXP(-V1000))</f>
        <v/>
      </c>
      <c r="X1000" s="9">
        <f>-IF(C1000=1,LN(W1000),LN(1-W1000))</f>
        <v/>
      </c>
      <c r="Y1000" s="10">
        <f>IF(W1000&gt;$AC$33,1,0)</f>
        <v/>
      </c>
      <c r="Z1000">
        <f>IF(Y1000=C1000,1,0)</f>
        <v/>
      </c>
    </row>
    <row r="1001">
      <c r="A1001">
        <f>'1 prepared data'!A994</f>
        <v/>
      </c>
      <c r="B1001" s="5">
        <f>'1 prepared data'!U994</f>
        <v/>
      </c>
      <c r="C1001">
        <f>'1 prepared data'!B994</f>
        <v/>
      </c>
      <c r="D1001" s="7">
        <f>'1 prepared data'!C994</f>
        <v/>
      </c>
      <c r="E1001" s="7">
        <f>'1 prepared data'!D994</f>
        <v/>
      </c>
      <c r="F1001" s="7">
        <f>'1 prepared data'!E994</f>
        <v/>
      </c>
      <c r="G1001" s="7">
        <f>'1 prepared data'!F994</f>
        <v/>
      </c>
      <c r="H1001" s="7">
        <f>'1 prepared data'!G994</f>
        <v/>
      </c>
      <c r="I1001" s="7">
        <f>'1 prepared data'!H994</f>
        <v/>
      </c>
      <c r="J1001" s="7">
        <f>'1 prepared data'!I994</f>
        <v/>
      </c>
      <c r="K1001" s="7">
        <f>'1 prepared data'!J994</f>
        <v/>
      </c>
      <c r="L1001" s="7">
        <f>'1 prepared data'!K994</f>
        <v/>
      </c>
      <c r="M1001" s="7">
        <f>'1 prepared data'!L994</f>
        <v/>
      </c>
      <c r="N1001" s="7">
        <f>'1 prepared data'!M994</f>
        <v/>
      </c>
      <c r="O1001" s="7">
        <f>'1 prepared data'!N994</f>
        <v/>
      </c>
      <c r="P1001" s="7">
        <f>'1 prepared data'!O994</f>
        <v/>
      </c>
      <c r="Q1001" s="7">
        <f>'1 prepared data'!P994</f>
        <v/>
      </c>
      <c r="R1001" s="7">
        <f>'1 prepared data'!Q994</f>
        <v/>
      </c>
      <c r="S1001" s="7">
        <f>'1 prepared data'!R994</f>
        <v/>
      </c>
      <c r="T1001" s="7">
        <f>'1 prepared data'!S994</f>
        <v/>
      </c>
      <c r="U1001" s="7">
        <f>'1 prepared data'!T994</f>
        <v/>
      </c>
      <c r="V1001" s="8">
        <f>$AC$12+D1001*$AC$13+E1001*$AC$14+F1001*$AC$15+G1001*$AC$16+H1001*$AC$17+I1001*$AC$18+J1001*$AC$19+K1001*$AC$20+L1001*$AC$21+M1001*$AC$22+N1001*$AC$23+O1001*$AC$24+P1001*$AC$25+Q1001*$AC$26+R1001*$AC$27+S1001*$AC$28+T1001*$AC$29+U1001*$AC$30</f>
        <v/>
      </c>
      <c r="W1001" s="8">
        <f>1/(1+EXP(-V1001))</f>
        <v/>
      </c>
      <c r="X1001" s="9">
        <f>-IF(C1001=1,LN(W1001),LN(1-W1001))</f>
        <v/>
      </c>
      <c r="Y1001" s="10">
        <f>IF(W1001&gt;$AC$33,1,0)</f>
        <v/>
      </c>
      <c r="Z1001">
        <f>IF(Y1001=C1001,1,0)</f>
        <v/>
      </c>
    </row>
    <row r="1002">
      <c r="A1002">
        <f>'1 prepared data'!A995</f>
        <v/>
      </c>
      <c r="B1002" s="5">
        <f>'1 prepared data'!U995</f>
        <v/>
      </c>
      <c r="C1002">
        <f>'1 prepared data'!B995</f>
        <v/>
      </c>
      <c r="D1002" s="7">
        <f>'1 prepared data'!C995</f>
        <v/>
      </c>
      <c r="E1002" s="7">
        <f>'1 prepared data'!D995</f>
        <v/>
      </c>
      <c r="F1002" s="7">
        <f>'1 prepared data'!E995</f>
        <v/>
      </c>
      <c r="G1002" s="7">
        <f>'1 prepared data'!F995</f>
        <v/>
      </c>
      <c r="H1002" s="7">
        <f>'1 prepared data'!G995</f>
        <v/>
      </c>
      <c r="I1002" s="7">
        <f>'1 prepared data'!H995</f>
        <v/>
      </c>
      <c r="J1002" s="7">
        <f>'1 prepared data'!I995</f>
        <v/>
      </c>
      <c r="K1002" s="7">
        <f>'1 prepared data'!J995</f>
        <v/>
      </c>
      <c r="L1002" s="7">
        <f>'1 prepared data'!K995</f>
        <v/>
      </c>
      <c r="M1002" s="7">
        <f>'1 prepared data'!L995</f>
        <v/>
      </c>
      <c r="N1002" s="7">
        <f>'1 prepared data'!M995</f>
        <v/>
      </c>
      <c r="O1002" s="7">
        <f>'1 prepared data'!N995</f>
        <v/>
      </c>
      <c r="P1002" s="7">
        <f>'1 prepared data'!O995</f>
        <v/>
      </c>
      <c r="Q1002" s="7">
        <f>'1 prepared data'!P995</f>
        <v/>
      </c>
      <c r="R1002" s="7">
        <f>'1 prepared data'!Q995</f>
        <v/>
      </c>
      <c r="S1002" s="7">
        <f>'1 prepared data'!R995</f>
        <v/>
      </c>
      <c r="T1002" s="7">
        <f>'1 prepared data'!S995</f>
        <v/>
      </c>
      <c r="U1002" s="7">
        <f>'1 prepared data'!T995</f>
        <v/>
      </c>
      <c r="V1002" s="8">
        <f>$AC$12+D1002*$AC$13+E1002*$AC$14+F1002*$AC$15+G1002*$AC$16+H1002*$AC$17+I1002*$AC$18+J1002*$AC$19+K1002*$AC$20+L1002*$AC$21+M1002*$AC$22+N1002*$AC$23+O1002*$AC$24+P1002*$AC$25+Q1002*$AC$26+R1002*$AC$27+S1002*$AC$28+T1002*$AC$29+U1002*$AC$30</f>
        <v/>
      </c>
      <c r="W1002" s="8">
        <f>1/(1+EXP(-V1002))</f>
        <v/>
      </c>
      <c r="X1002" s="9">
        <f>-IF(C1002=1,LN(W1002),LN(1-W1002))</f>
        <v/>
      </c>
      <c r="Y1002" s="10">
        <f>IF(W1002&gt;$AC$33,1,0)</f>
        <v/>
      </c>
      <c r="Z1002">
        <f>IF(Y1002=C1002,1,0)</f>
        <v/>
      </c>
    </row>
    <row r="1003">
      <c r="A1003">
        <f>'1 prepared data'!A996</f>
        <v/>
      </c>
      <c r="B1003" s="5">
        <f>'1 prepared data'!U996</f>
        <v/>
      </c>
      <c r="C1003">
        <f>'1 prepared data'!B996</f>
        <v/>
      </c>
      <c r="D1003" s="7">
        <f>'1 prepared data'!C996</f>
        <v/>
      </c>
      <c r="E1003" s="7">
        <f>'1 prepared data'!D996</f>
        <v/>
      </c>
      <c r="F1003" s="7">
        <f>'1 prepared data'!E996</f>
        <v/>
      </c>
      <c r="G1003" s="7">
        <f>'1 prepared data'!F996</f>
        <v/>
      </c>
      <c r="H1003" s="7">
        <f>'1 prepared data'!G996</f>
        <v/>
      </c>
      <c r="I1003" s="7">
        <f>'1 prepared data'!H996</f>
        <v/>
      </c>
      <c r="J1003" s="7">
        <f>'1 prepared data'!I996</f>
        <v/>
      </c>
      <c r="K1003" s="7">
        <f>'1 prepared data'!J996</f>
        <v/>
      </c>
      <c r="L1003" s="7">
        <f>'1 prepared data'!K996</f>
        <v/>
      </c>
      <c r="M1003" s="7">
        <f>'1 prepared data'!L996</f>
        <v/>
      </c>
      <c r="N1003" s="7">
        <f>'1 prepared data'!M996</f>
        <v/>
      </c>
      <c r="O1003" s="7">
        <f>'1 prepared data'!N996</f>
        <v/>
      </c>
      <c r="P1003" s="7">
        <f>'1 prepared data'!O996</f>
        <v/>
      </c>
      <c r="Q1003" s="7">
        <f>'1 prepared data'!P996</f>
        <v/>
      </c>
      <c r="R1003" s="7">
        <f>'1 prepared data'!Q996</f>
        <v/>
      </c>
      <c r="S1003" s="7">
        <f>'1 prepared data'!R996</f>
        <v/>
      </c>
      <c r="T1003" s="7">
        <f>'1 prepared data'!S996</f>
        <v/>
      </c>
      <c r="U1003" s="7">
        <f>'1 prepared data'!T996</f>
        <v/>
      </c>
      <c r="V1003" s="8">
        <f>$AC$12+D1003*$AC$13+E1003*$AC$14+F1003*$AC$15+G1003*$AC$16+H1003*$AC$17+I1003*$AC$18+J1003*$AC$19+K1003*$AC$20+L1003*$AC$21+M1003*$AC$22+N1003*$AC$23+O1003*$AC$24+P1003*$AC$25+Q1003*$AC$26+R1003*$AC$27+S1003*$AC$28+T1003*$AC$29+U1003*$AC$30</f>
        <v/>
      </c>
      <c r="W1003" s="8">
        <f>1/(1+EXP(-V1003))</f>
        <v/>
      </c>
      <c r="X1003" s="9">
        <f>-IF(C1003=1,LN(W1003),LN(1-W1003))</f>
        <v/>
      </c>
      <c r="Y1003" s="10">
        <f>IF(W1003&gt;$AC$33,1,0)</f>
        <v/>
      </c>
      <c r="Z1003">
        <f>IF(Y1003=C1003,1,0)</f>
        <v/>
      </c>
    </row>
    <row r="1004">
      <c r="A1004">
        <f>'1 prepared data'!A997</f>
        <v/>
      </c>
      <c r="B1004" s="5">
        <f>'1 prepared data'!U997</f>
        <v/>
      </c>
      <c r="C1004">
        <f>'1 prepared data'!B997</f>
        <v/>
      </c>
      <c r="D1004" s="7">
        <f>'1 prepared data'!C997</f>
        <v/>
      </c>
      <c r="E1004" s="7">
        <f>'1 prepared data'!D997</f>
        <v/>
      </c>
      <c r="F1004" s="7">
        <f>'1 prepared data'!E997</f>
        <v/>
      </c>
      <c r="G1004" s="7">
        <f>'1 prepared data'!F997</f>
        <v/>
      </c>
      <c r="H1004" s="7">
        <f>'1 prepared data'!G997</f>
        <v/>
      </c>
      <c r="I1004" s="7">
        <f>'1 prepared data'!H997</f>
        <v/>
      </c>
      <c r="J1004" s="7">
        <f>'1 prepared data'!I997</f>
        <v/>
      </c>
      <c r="K1004" s="7">
        <f>'1 prepared data'!J997</f>
        <v/>
      </c>
      <c r="L1004" s="7">
        <f>'1 prepared data'!K997</f>
        <v/>
      </c>
      <c r="M1004" s="7">
        <f>'1 prepared data'!L997</f>
        <v/>
      </c>
      <c r="N1004" s="7">
        <f>'1 prepared data'!M997</f>
        <v/>
      </c>
      <c r="O1004" s="7">
        <f>'1 prepared data'!N997</f>
        <v/>
      </c>
      <c r="P1004" s="7">
        <f>'1 prepared data'!O997</f>
        <v/>
      </c>
      <c r="Q1004" s="7">
        <f>'1 prepared data'!P997</f>
        <v/>
      </c>
      <c r="R1004" s="7">
        <f>'1 prepared data'!Q997</f>
        <v/>
      </c>
      <c r="S1004" s="7">
        <f>'1 prepared data'!R997</f>
        <v/>
      </c>
      <c r="T1004" s="7">
        <f>'1 prepared data'!S997</f>
        <v/>
      </c>
      <c r="U1004" s="7">
        <f>'1 prepared data'!T997</f>
        <v/>
      </c>
      <c r="V1004" s="8">
        <f>$AC$12+D1004*$AC$13+E1004*$AC$14+F1004*$AC$15+G1004*$AC$16+H1004*$AC$17+I1004*$AC$18+J1004*$AC$19+K1004*$AC$20+L1004*$AC$21+M1004*$AC$22+N1004*$AC$23+O1004*$AC$24+P1004*$AC$25+Q1004*$AC$26+R1004*$AC$27+S1004*$AC$28+T1004*$AC$29+U1004*$AC$30</f>
        <v/>
      </c>
      <c r="W1004" s="8">
        <f>1/(1+EXP(-V1004))</f>
        <v/>
      </c>
      <c r="X1004" s="9">
        <f>-IF(C1004=1,LN(W1004),LN(1-W1004))</f>
        <v/>
      </c>
      <c r="Y1004" s="10">
        <f>IF(W1004&gt;$AC$33,1,0)</f>
        <v/>
      </c>
      <c r="Z1004">
        <f>IF(Y1004=C1004,1,0)</f>
        <v/>
      </c>
    </row>
    <row r="1005">
      <c r="A1005">
        <f>'1 prepared data'!A998</f>
        <v/>
      </c>
      <c r="B1005" s="5">
        <f>'1 prepared data'!U998</f>
        <v/>
      </c>
      <c r="C1005">
        <f>'1 prepared data'!B998</f>
        <v/>
      </c>
      <c r="D1005" s="7">
        <f>'1 prepared data'!C998</f>
        <v/>
      </c>
      <c r="E1005" s="7">
        <f>'1 prepared data'!D998</f>
        <v/>
      </c>
      <c r="F1005" s="7">
        <f>'1 prepared data'!E998</f>
        <v/>
      </c>
      <c r="G1005" s="7">
        <f>'1 prepared data'!F998</f>
        <v/>
      </c>
      <c r="H1005" s="7">
        <f>'1 prepared data'!G998</f>
        <v/>
      </c>
      <c r="I1005" s="7">
        <f>'1 prepared data'!H998</f>
        <v/>
      </c>
      <c r="J1005" s="7">
        <f>'1 prepared data'!I998</f>
        <v/>
      </c>
      <c r="K1005" s="7">
        <f>'1 prepared data'!J998</f>
        <v/>
      </c>
      <c r="L1005" s="7">
        <f>'1 prepared data'!K998</f>
        <v/>
      </c>
      <c r="M1005" s="7">
        <f>'1 prepared data'!L998</f>
        <v/>
      </c>
      <c r="N1005" s="7">
        <f>'1 prepared data'!M998</f>
        <v/>
      </c>
      <c r="O1005" s="7">
        <f>'1 prepared data'!N998</f>
        <v/>
      </c>
      <c r="P1005" s="7">
        <f>'1 prepared data'!O998</f>
        <v/>
      </c>
      <c r="Q1005" s="7">
        <f>'1 prepared data'!P998</f>
        <v/>
      </c>
      <c r="R1005" s="7">
        <f>'1 prepared data'!Q998</f>
        <v/>
      </c>
      <c r="S1005" s="7">
        <f>'1 prepared data'!R998</f>
        <v/>
      </c>
      <c r="T1005" s="7">
        <f>'1 prepared data'!S998</f>
        <v/>
      </c>
      <c r="U1005" s="7">
        <f>'1 prepared data'!T998</f>
        <v/>
      </c>
      <c r="V1005" s="8">
        <f>$AC$12+D1005*$AC$13+E1005*$AC$14+F1005*$AC$15+G1005*$AC$16+H1005*$AC$17+I1005*$AC$18+J1005*$AC$19+K1005*$AC$20+L1005*$AC$21+M1005*$AC$22+N1005*$AC$23+O1005*$AC$24+P1005*$AC$25+Q1005*$AC$26+R1005*$AC$27+S1005*$AC$28+T1005*$AC$29+U1005*$AC$30</f>
        <v/>
      </c>
      <c r="W1005" s="8">
        <f>1/(1+EXP(-V1005))</f>
        <v/>
      </c>
      <c r="X1005" s="9">
        <f>-IF(C1005=1,LN(W1005),LN(1-W1005))</f>
        <v/>
      </c>
      <c r="Y1005" s="10">
        <f>IF(W1005&gt;$AC$33,1,0)</f>
        <v/>
      </c>
      <c r="Z1005">
        <f>IF(Y1005=C1005,1,0)</f>
        <v/>
      </c>
    </row>
    <row r="1006">
      <c r="A1006">
        <f>'1 prepared data'!A999</f>
        <v/>
      </c>
      <c r="B1006" s="5">
        <f>'1 prepared data'!U999</f>
        <v/>
      </c>
      <c r="C1006">
        <f>'1 prepared data'!B999</f>
        <v/>
      </c>
      <c r="D1006" s="7">
        <f>'1 prepared data'!C999</f>
        <v/>
      </c>
      <c r="E1006" s="7">
        <f>'1 prepared data'!D999</f>
        <v/>
      </c>
      <c r="F1006" s="7">
        <f>'1 prepared data'!E999</f>
        <v/>
      </c>
      <c r="G1006" s="7">
        <f>'1 prepared data'!F999</f>
        <v/>
      </c>
      <c r="H1006" s="7">
        <f>'1 prepared data'!G999</f>
        <v/>
      </c>
      <c r="I1006" s="7">
        <f>'1 prepared data'!H999</f>
        <v/>
      </c>
      <c r="J1006" s="7">
        <f>'1 prepared data'!I999</f>
        <v/>
      </c>
      <c r="K1006" s="7">
        <f>'1 prepared data'!J999</f>
        <v/>
      </c>
      <c r="L1006" s="7">
        <f>'1 prepared data'!K999</f>
        <v/>
      </c>
      <c r="M1006" s="7">
        <f>'1 prepared data'!L999</f>
        <v/>
      </c>
      <c r="N1006" s="7">
        <f>'1 prepared data'!M999</f>
        <v/>
      </c>
      <c r="O1006" s="7">
        <f>'1 prepared data'!N999</f>
        <v/>
      </c>
      <c r="P1006" s="7">
        <f>'1 prepared data'!O999</f>
        <v/>
      </c>
      <c r="Q1006" s="7">
        <f>'1 prepared data'!P999</f>
        <v/>
      </c>
      <c r="R1006" s="7">
        <f>'1 prepared data'!Q999</f>
        <v/>
      </c>
      <c r="S1006" s="7">
        <f>'1 prepared data'!R999</f>
        <v/>
      </c>
      <c r="T1006" s="7">
        <f>'1 prepared data'!S999</f>
        <v/>
      </c>
      <c r="U1006" s="7">
        <f>'1 prepared data'!T999</f>
        <v/>
      </c>
      <c r="V1006" s="8">
        <f>$AC$12+D1006*$AC$13+E1006*$AC$14+F1006*$AC$15+G1006*$AC$16+H1006*$AC$17+I1006*$AC$18+J1006*$AC$19+K1006*$AC$20+L1006*$AC$21+M1006*$AC$22+N1006*$AC$23+O1006*$AC$24+P1006*$AC$25+Q1006*$AC$26+R1006*$AC$27+S1006*$AC$28+T1006*$AC$29+U1006*$AC$30</f>
        <v/>
      </c>
      <c r="W1006" s="8">
        <f>1/(1+EXP(-V1006))</f>
        <v/>
      </c>
      <c r="X1006" s="9">
        <f>-IF(C1006=1,LN(W1006),LN(1-W1006))</f>
        <v/>
      </c>
      <c r="Y1006" s="10">
        <f>IF(W1006&gt;$AC$33,1,0)</f>
        <v/>
      </c>
      <c r="Z1006">
        <f>IF(Y1006=C1006,1,0)</f>
        <v/>
      </c>
    </row>
    <row r="1007">
      <c r="A1007">
        <f>'1 prepared data'!A1000</f>
        <v/>
      </c>
      <c r="B1007" s="5">
        <f>'1 prepared data'!U1000</f>
        <v/>
      </c>
      <c r="C1007">
        <f>'1 prepared data'!B1000</f>
        <v/>
      </c>
      <c r="D1007" s="7">
        <f>'1 prepared data'!C1000</f>
        <v/>
      </c>
      <c r="E1007" s="7">
        <f>'1 prepared data'!D1000</f>
        <v/>
      </c>
      <c r="F1007" s="7">
        <f>'1 prepared data'!E1000</f>
        <v/>
      </c>
      <c r="G1007" s="7">
        <f>'1 prepared data'!F1000</f>
        <v/>
      </c>
      <c r="H1007" s="7">
        <f>'1 prepared data'!G1000</f>
        <v/>
      </c>
      <c r="I1007" s="7">
        <f>'1 prepared data'!H1000</f>
        <v/>
      </c>
      <c r="J1007" s="7">
        <f>'1 prepared data'!I1000</f>
        <v/>
      </c>
      <c r="K1007" s="7">
        <f>'1 prepared data'!J1000</f>
        <v/>
      </c>
      <c r="L1007" s="7">
        <f>'1 prepared data'!K1000</f>
        <v/>
      </c>
      <c r="M1007" s="7">
        <f>'1 prepared data'!L1000</f>
        <v/>
      </c>
      <c r="N1007" s="7">
        <f>'1 prepared data'!M1000</f>
        <v/>
      </c>
      <c r="O1007" s="7">
        <f>'1 prepared data'!N1000</f>
        <v/>
      </c>
      <c r="P1007" s="7">
        <f>'1 prepared data'!O1000</f>
        <v/>
      </c>
      <c r="Q1007" s="7">
        <f>'1 prepared data'!P1000</f>
        <v/>
      </c>
      <c r="R1007" s="7">
        <f>'1 prepared data'!Q1000</f>
        <v/>
      </c>
      <c r="S1007" s="7">
        <f>'1 prepared data'!R1000</f>
        <v/>
      </c>
      <c r="T1007" s="7">
        <f>'1 prepared data'!S1000</f>
        <v/>
      </c>
      <c r="U1007" s="7">
        <f>'1 prepared data'!T1000</f>
        <v/>
      </c>
      <c r="V1007" s="8">
        <f>$AC$12+D1007*$AC$13+E1007*$AC$14+F1007*$AC$15+G1007*$AC$16+H1007*$AC$17+I1007*$AC$18+J1007*$AC$19+K1007*$AC$20+L1007*$AC$21+M1007*$AC$22+N1007*$AC$23+O1007*$AC$24+P1007*$AC$25+Q1007*$AC$26+R1007*$AC$27+S1007*$AC$28+T1007*$AC$29+U1007*$AC$30</f>
        <v/>
      </c>
      <c r="W1007" s="8">
        <f>1/(1+EXP(-V1007))</f>
        <v/>
      </c>
      <c r="X1007" s="9">
        <f>-IF(C1007=1,LN(W1007),LN(1-W1007))</f>
        <v/>
      </c>
      <c r="Y1007" s="10">
        <f>IF(W1007&gt;$AC$33,1,0)</f>
        <v/>
      </c>
      <c r="Z1007">
        <f>IF(Y1007=C1007,1,0)</f>
        <v/>
      </c>
    </row>
    <row r="1008">
      <c r="A1008">
        <f>'1 prepared data'!A1001</f>
        <v/>
      </c>
      <c r="B1008" s="5">
        <f>'1 prepared data'!U1001</f>
        <v/>
      </c>
      <c r="C1008">
        <f>'1 prepared data'!B1001</f>
        <v/>
      </c>
      <c r="D1008" s="7">
        <f>'1 prepared data'!C1001</f>
        <v/>
      </c>
      <c r="E1008" s="7">
        <f>'1 prepared data'!D1001</f>
        <v/>
      </c>
      <c r="F1008" s="7">
        <f>'1 prepared data'!E1001</f>
        <v/>
      </c>
      <c r="G1008" s="7">
        <f>'1 prepared data'!F1001</f>
        <v/>
      </c>
      <c r="H1008" s="7">
        <f>'1 prepared data'!G1001</f>
        <v/>
      </c>
      <c r="I1008" s="7">
        <f>'1 prepared data'!H1001</f>
        <v/>
      </c>
      <c r="J1008" s="7">
        <f>'1 prepared data'!I1001</f>
        <v/>
      </c>
      <c r="K1008" s="7">
        <f>'1 prepared data'!J1001</f>
        <v/>
      </c>
      <c r="L1008" s="7">
        <f>'1 prepared data'!K1001</f>
        <v/>
      </c>
      <c r="M1008" s="7">
        <f>'1 prepared data'!L1001</f>
        <v/>
      </c>
      <c r="N1008" s="7">
        <f>'1 prepared data'!M1001</f>
        <v/>
      </c>
      <c r="O1008" s="7">
        <f>'1 prepared data'!N1001</f>
        <v/>
      </c>
      <c r="P1008" s="7">
        <f>'1 prepared data'!O1001</f>
        <v/>
      </c>
      <c r="Q1008" s="7">
        <f>'1 prepared data'!P1001</f>
        <v/>
      </c>
      <c r="R1008" s="7">
        <f>'1 prepared data'!Q1001</f>
        <v/>
      </c>
      <c r="S1008" s="7">
        <f>'1 prepared data'!R1001</f>
        <v/>
      </c>
      <c r="T1008" s="7">
        <f>'1 prepared data'!S1001</f>
        <v/>
      </c>
      <c r="U1008" s="7">
        <f>'1 prepared data'!T1001</f>
        <v/>
      </c>
      <c r="V1008" s="8">
        <f>$AC$12+D1008*$AC$13+E1008*$AC$14+F1008*$AC$15+G1008*$AC$16+H1008*$AC$17+I1008*$AC$18+J1008*$AC$19+K1008*$AC$20+L1008*$AC$21+M1008*$AC$22+N1008*$AC$23+O1008*$AC$24+P1008*$AC$25+Q1008*$AC$26+R1008*$AC$27+S1008*$AC$28+T1008*$AC$29+U1008*$AC$30</f>
        <v/>
      </c>
      <c r="W1008" s="8">
        <f>1/(1+EXP(-V1008))</f>
        <v/>
      </c>
      <c r="X1008" s="9">
        <f>-IF(C1008=1,LN(W1008),LN(1-W1008))</f>
        <v/>
      </c>
      <c r="Y1008" s="10">
        <f>IF(W1008&gt;$AC$33,1,0)</f>
        <v/>
      </c>
      <c r="Z1008">
        <f>IF(Y1008=C1008,1,0)</f>
        <v/>
      </c>
    </row>
    <row r="1009">
      <c r="A1009">
        <f>'1 prepared data'!A1002</f>
        <v/>
      </c>
      <c r="B1009" s="5">
        <f>'1 prepared data'!U1002</f>
        <v/>
      </c>
      <c r="C1009">
        <f>'1 prepared data'!B1002</f>
        <v/>
      </c>
      <c r="D1009" s="7">
        <f>'1 prepared data'!C1002</f>
        <v/>
      </c>
      <c r="E1009" s="7">
        <f>'1 prepared data'!D1002</f>
        <v/>
      </c>
      <c r="F1009" s="7">
        <f>'1 prepared data'!E1002</f>
        <v/>
      </c>
      <c r="G1009" s="7">
        <f>'1 prepared data'!F1002</f>
        <v/>
      </c>
      <c r="H1009" s="7">
        <f>'1 prepared data'!G1002</f>
        <v/>
      </c>
      <c r="I1009" s="7">
        <f>'1 prepared data'!H1002</f>
        <v/>
      </c>
      <c r="J1009" s="7">
        <f>'1 prepared data'!I1002</f>
        <v/>
      </c>
      <c r="K1009" s="7">
        <f>'1 prepared data'!J1002</f>
        <v/>
      </c>
      <c r="L1009" s="7">
        <f>'1 prepared data'!K1002</f>
        <v/>
      </c>
      <c r="M1009" s="7">
        <f>'1 prepared data'!L1002</f>
        <v/>
      </c>
      <c r="N1009" s="7">
        <f>'1 prepared data'!M1002</f>
        <v/>
      </c>
      <c r="O1009" s="7">
        <f>'1 prepared data'!N1002</f>
        <v/>
      </c>
      <c r="P1009" s="7">
        <f>'1 prepared data'!O1002</f>
        <v/>
      </c>
      <c r="Q1009" s="7">
        <f>'1 prepared data'!P1002</f>
        <v/>
      </c>
      <c r="R1009" s="7">
        <f>'1 prepared data'!Q1002</f>
        <v/>
      </c>
      <c r="S1009" s="7">
        <f>'1 prepared data'!R1002</f>
        <v/>
      </c>
      <c r="T1009" s="7">
        <f>'1 prepared data'!S1002</f>
        <v/>
      </c>
      <c r="U1009" s="7">
        <f>'1 prepared data'!T1002</f>
        <v/>
      </c>
      <c r="V1009" s="8">
        <f>$AC$12+D1009*$AC$13+E1009*$AC$14+F1009*$AC$15+G1009*$AC$16+H1009*$AC$17+I1009*$AC$18+J1009*$AC$19+K1009*$AC$20+L1009*$AC$21+M1009*$AC$22+N1009*$AC$23+O1009*$AC$24+P1009*$AC$25+Q1009*$AC$26+R1009*$AC$27+S1009*$AC$28+T1009*$AC$29+U1009*$AC$30</f>
        <v/>
      </c>
      <c r="W1009" s="8">
        <f>1/(1+EXP(-V1009))</f>
        <v/>
      </c>
      <c r="X1009" s="9">
        <f>-IF(C1009=1,LN(W1009),LN(1-W1009))</f>
        <v/>
      </c>
      <c r="Y1009" s="10">
        <f>IF(W1009&gt;$AC$33,1,0)</f>
        <v/>
      </c>
      <c r="Z1009">
        <f>IF(Y1009=C1009,1,0)</f>
        <v/>
      </c>
    </row>
    <row r="1010">
      <c r="A1010">
        <f>'1 prepared data'!A1003</f>
        <v/>
      </c>
      <c r="B1010" s="5">
        <f>'1 prepared data'!U1003</f>
        <v/>
      </c>
      <c r="C1010">
        <f>'1 prepared data'!B1003</f>
        <v/>
      </c>
      <c r="D1010" s="7">
        <f>'1 prepared data'!C1003</f>
        <v/>
      </c>
      <c r="E1010" s="7">
        <f>'1 prepared data'!D1003</f>
        <v/>
      </c>
      <c r="F1010" s="7">
        <f>'1 prepared data'!E1003</f>
        <v/>
      </c>
      <c r="G1010" s="7">
        <f>'1 prepared data'!F1003</f>
        <v/>
      </c>
      <c r="H1010" s="7">
        <f>'1 prepared data'!G1003</f>
        <v/>
      </c>
      <c r="I1010" s="7">
        <f>'1 prepared data'!H1003</f>
        <v/>
      </c>
      <c r="J1010" s="7">
        <f>'1 prepared data'!I1003</f>
        <v/>
      </c>
      <c r="K1010" s="7">
        <f>'1 prepared data'!J1003</f>
        <v/>
      </c>
      <c r="L1010" s="7">
        <f>'1 prepared data'!K1003</f>
        <v/>
      </c>
      <c r="M1010" s="7">
        <f>'1 prepared data'!L1003</f>
        <v/>
      </c>
      <c r="N1010" s="7">
        <f>'1 prepared data'!M1003</f>
        <v/>
      </c>
      <c r="O1010" s="7">
        <f>'1 prepared data'!N1003</f>
        <v/>
      </c>
      <c r="P1010" s="7">
        <f>'1 prepared data'!O1003</f>
        <v/>
      </c>
      <c r="Q1010" s="7">
        <f>'1 prepared data'!P1003</f>
        <v/>
      </c>
      <c r="R1010" s="7">
        <f>'1 prepared data'!Q1003</f>
        <v/>
      </c>
      <c r="S1010" s="7">
        <f>'1 prepared data'!R1003</f>
        <v/>
      </c>
      <c r="T1010" s="7">
        <f>'1 prepared data'!S1003</f>
        <v/>
      </c>
      <c r="U1010" s="7">
        <f>'1 prepared data'!T1003</f>
        <v/>
      </c>
      <c r="V1010" s="8">
        <f>$AC$12+D1010*$AC$13+E1010*$AC$14+F1010*$AC$15+G1010*$AC$16+H1010*$AC$17+I1010*$AC$18+J1010*$AC$19+K1010*$AC$20+L1010*$AC$21+M1010*$AC$22+N1010*$AC$23+O1010*$AC$24+P1010*$AC$25+Q1010*$AC$26+R1010*$AC$27+S1010*$AC$28+T1010*$AC$29+U1010*$AC$30</f>
        <v/>
      </c>
      <c r="W1010" s="8">
        <f>1/(1+EXP(-V1010))</f>
        <v/>
      </c>
      <c r="X1010" s="9">
        <f>-IF(C1010=1,LN(W1010),LN(1-W1010))</f>
        <v/>
      </c>
      <c r="Y1010" s="10">
        <f>IF(W1010&gt;$AC$33,1,0)</f>
        <v/>
      </c>
      <c r="Z1010">
        <f>IF(Y1010=C1010,1,0)</f>
        <v/>
      </c>
    </row>
    <row r="1011">
      <c r="A1011">
        <f>'1 prepared data'!A1004</f>
        <v/>
      </c>
      <c r="B1011" s="5">
        <f>'1 prepared data'!U1004</f>
        <v/>
      </c>
      <c r="C1011">
        <f>'1 prepared data'!B1004</f>
        <v/>
      </c>
      <c r="D1011" s="7">
        <f>'1 prepared data'!C1004</f>
        <v/>
      </c>
      <c r="E1011" s="7">
        <f>'1 prepared data'!D1004</f>
        <v/>
      </c>
      <c r="F1011" s="7">
        <f>'1 prepared data'!E1004</f>
        <v/>
      </c>
      <c r="G1011" s="7">
        <f>'1 prepared data'!F1004</f>
        <v/>
      </c>
      <c r="H1011" s="7">
        <f>'1 prepared data'!G1004</f>
        <v/>
      </c>
      <c r="I1011" s="7">
        <f>'1 prepared data'!H1004</f>
        <v/>
      </c>
      <c r="J1011" s="7">
        <f>'1 prepared data'!I1004</f>
        <v/>
      </c>
      <c r="K1011" s="7">
        <f>'1 prepared data'!J1004</f>
        <v/>
      </c>
      <c r="L1011" s="7">
        <f>'1 prepared data'!K1004</f>
        <v/>
      </c>
      <c r="M1011" s="7">
        <f>'1 prepared data'!L1004</f>
        <v/>
      </c>
      <c r="N1011" s="7">
        <f>'1 prepared data'!M1004</f>
        <v/>
      </c>
      <c r="O1011" s="7">
        <f>'1 prepared data'!N1004</f>
        <v/>
      </c>
      <c r="P1011" s="7">
        <f>'1 prepared data'!O1004</f>
        <v/>
      </c>
      <c r="Q1011" s="7">
        <f>'1 prepared data'!P1004</f>
        <v/>
      </c>
      <c r="R1011" s="7">
        <f>'1 prepared data'!Q1004</f>
        <v/>
      </c>
      <c r="S1011" s="7">
        <f>'1 prepared data'!R1004</f>
        <v/>
      </c>
      <c r="T1011" s="7">
        <f>'1 prepared data'!S1004</f>
        <v/>
      </c>
      <c r="U1011" s="7">
        <f>'1 prepared data'!T1004</f>
        <v/>
      </c>
      <c r="V1011" s="8">
        <f>$AC$12+D1011*$AC$13+E1011*$AC$14+F1011*$AC$15+G1011*$AC$16+H1011*$AC$17+I1011*$AC$18+J1011*$AC$19+K1011*$AC$20+L1011*$AC$21+M1011*$AC$22+N1011*$AC$23+O1011*$AC$24+P1011*$AC$25+Q1011*$AC$26+R1011*$AC$27+S1011*$AC$28+T1011*$AC$29+U1011*$AC$30</f>
        <v/>
      </c>
      <c r="W1011" s="8">
        <f>1/(1+EXP(-V1011))</f>
        <v/>
      </c>
      <c r="X1011" s="9">
        <f>-IF(C1011=1,LN(W1011),LN(1-W1011))</f>
        <v/>
      </c>
      <c r="Y1011" s="10">
        <f>IF(W1011&gt;$AC$33,1,0)</f>
        <v/>
      </c>
      <c r="Z1011">
        <f>IF(Y1011=C1011,1,0)</f>
        <v/>
      </c>
    </row>
  </sheetData>
  <mergeCells count="3">
    <mergeCell ref="A3:R3"/>
    <mergeCell ref="A2:R2"/>
    <mergeCell ref="AB48:AE48"/>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L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0" customWidth="1" min="22" max="22"/>
    <col width="13" customWidth="1" min="23" max="23"/>
    <col width="10" customWidth="1" min="24" max="24"/>
    <col width="11" customWidth="1" min="25" max="25"/>
    <col width="10" customWidth="1" min="26" max="26"/>
    <col width="52" customWidth="1" min="28" max="28"/>
    <col width="21" customWidth="1" min="29" max="29"/>
    <col width="27" customWidth="1" min="30" max="30"/>
    <col width="16" customWidth="1" min="31" max="31"/>
    <col width="24" customWidth="1" min="34" max="34"/>
    <col width="10" customWidth="1" min="35" max="35"/>
    <col width="12" customWidth="1" min="36" max="36"/>
    <col width="12" customWidth="1" min="37" max="37"/>
    <col width="10" customWidth="1" min="38" max="38"/>
  </cols>
  <sheetData>
    <row r="1">
      <c r="A1" s="3" t="inlineStr">
        <is>
          <t>Lasso (L1): charging for the sum of absolute values, and leaving weights at zero</t>
        </is>
      </c>
    </row>
    <row r="2" ht="65" customHeight="1">
      <c r="A2" s="2" t="inlineStr">
        <is>
          <t>Lasso (L1). Now J = Σ losses + λ · Σ |theta|. The difference from ridge looks like a detail and is not: the absolute value has the same slope λ for a large weight as for a small one, so the small weights, which contribute little to the loss, end up exactly at zero. Lasso does variable selection: with λ = 10, seven of the 18 weights are zero in scikit-learn, and the model is left with eleven variables that perform almost as well. It is the simplest way to answer 'which variables really matter' without leaving the logistic.</t>
        </is>
      </c>
    </row>
    <row r="3" ht="49.5" customHeight="1">
      <c r="A3" s="2" t="inlineStr">
        <is>
          <t>Solver and the absolute value do not get along, because |theta| has no derivative at zero: GRG gets close and leaves weights at 0.002 or −0.004 instead of exactly 0. The cell 'weights with |theta| &lt; 0.01' counts them as zero; compare it with the reference. If Solver gets stuck, run it twice, or start from the gray reference and check that J does not go down.</t>
        </is>
      </c>
    </row>
    <row r="4"/>
    <row r="5"/>
    <row r="6"/>
    <row r="7"/>
    <row r="8"/>
    <row r="9"/>
    <row r="10">
      <c r="AB10" s="3" t="inlineStr">
        <is>
          <t>Weights (theta): start from the unregularized solution of the base workbook</t>
        </is>
      </c>
      <c r="AH10" s="3" t="inlineStr">
        <is>
          <t>EVALUATION ON TESTING (with the light blue threshold)</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Z (line)</t>
        </is>
      </c>
      <c r="W11" s="4" t="inlineStr">
        <is>
          <t>p (logistic)</t>
        </is>
      </c>
      <c r="X11" s="4" t="inlineStr">
        <is>
          <t>loss</t>
        </is>
      </c>
      <c r="Y11" s="4" t="inlineStr">
        <is>
          <t>prediction</t>
        </is>
      </c>
      <c r="Z11" s="4" t="inlineStr">
        <is>
          <t>correct</t>
        </is>
      </c>
      <c r="AB11" s="4" t="inlineStr">
        <is>
          <t>variable</t>
        </is>
      </c>
      <c r="AC11" s="4" t="inlineStr">
        <is>
          <t>theta (light blue)</t>
        </is>
      </c>
      <c r="AD11" s="4" t="inlineStr">
        <is>
          <t>scikit-learn reference, λ = 10</t>
        </is>
      </c>
      <c r="AE11" s="4" t="inlineStr">
        <is>
          <t>|theta|</t>
        </is>
      </c>
    </row>
    <row r="12">
      <c r="A12">
        <f>'1 prepared data'!A5</f>
        <v/>
      </c>
      <c r="B12" s="5">
        <f>'1 prepared data'!U5</f>
        <v/>
      </c>
      <c r="C12">
        <f>'1 prepared data'!B5</f>
        <v/>
      </c>
      <c r="D12" s="7">
        <f>'1 prepared data'!C5</f>
        <v/>
      </c>
      <c r="E12" s="7">
        <f>'1 prepared data'!D5</f>
        <v/>
      </c>
      <c r="F12" s="7">
        <f>'1 prepared data'!E5</f>
        <v/>
      </c>
      <c r="G12" s="7">
        <f>'1 prepared data'!F5</f>
        <v/>
      </c>
      <c r="H12" s="7">
        <f>'1 prepared data'!G5</f>
        <v/>
      </c>
      <c r="I12" s="7">
        <f>'1 prepared data'!H5</f>
        <v/>
      </c>
      <c r="J12" s="7">
        <f>'1 prepared data'!I5</f>
        <v/>
      </c>
      <c r="K12" s="7">
        <f>'1 prepared data'!J5</f>
        <v/>
      </c>
      <c r="L12" s="7">
        <f>'1 prepared data'!K5</f>
        <v/>
      </c>
      <c r="M12" s="7">
        <f>'1 prepared data'!L5</f>
        <v/>
      </c>
      <c r="N12" s="7">
        <f>'1 prepared data'!M5</f>
        <v/>
      </c>
      <c r="O12" s="7">
        <f>'1 prepared data'!N5</f>
        <v/>
      </c>
      <c r="P12" s="7">
        <f>'1 prepared data'!O5</f>
        <v/>
      </c>
      <c r="Q12" s="7">
        <f>'1 prepared data'!P5</f>
        <v/>
      </c>
      <c r="R12" s="7">
        <f>'1 prepared data'!Q5</f>
        <v/>
      </c>
      <c r="S12" s="7">
        <f>'1 prepared data'!R5</f>
        <v/>
      </c>
      <c r="T12" s="7">
        <f>'1 prepared data'!S5</f>
        <v/>
      </c>
      <c r="U12" s="7">
        <f>'1 prepared data'!T5</f>
        <v/>
      </c>
      <c r="V12" s="8">
        <f>$AC$12+D12*$AC$13+E12*$AC$14+F12*$AC$15+G12*$AC$16+H12*$AC$17+I12*$AC$18+J12*$AC$19+K12*$AC$20+L12*$AC$21+M12*$AC$22+N12*$AC$23+O12*$AC$24+P12*$AC$25+Q12*$AC$26+R12*$AC$27+S12*$AC$28+T12*$AC$29+U12*$AC$30</f>
        <v/>
      </c>
      <c r="W12" s="8">
        <f>1/(1+EXP(-V12))</f>
        <v/>
      </c>
      <c r="X12" s="9">
        <f>-IF(C12=1,LN(W12),LN(1-W12))</f>
        <v/>
      </c>
      <c r="Y12" s="10">
        <f>IF(W12&gt;$AC$33,1,0)</f>
        <v/>
      </c>
      <c r="Z12">
        <f>IF(Y12=C12,1,0)</f>
        <v/>
      </c>
      <c r="AB12" t="inlineStr">
        <is>
          <t>intercept</t>
        </is>
      </c>
      <c r="AC12" s="11" t="n">
        <v>-1.341270962110326</v>
      </c>
      <c r="AD12" s="12" t="n">
        <v>-1.190471255540245</v>
      </c>
      <c r="AE12" t="inlineStr">
        <is>
          <t>(not penalized)</t>
        </is>
      </c>
    </row>
    <row r="13">
      <c r="A13">
        <f>'1 prepared data'!A6</f>
        <v/>
      </c>
      <c r="B13" s="5">
        <f>'1 prepared data'!U6</f>
        <v/>
      </c>
      <c r="C13">
        <f>'1 prepared data'!B6</f>
        <v/>
      </c>
      <c r="D13" s="7">
        <f>'1 prepared data'!C6</f>
        <v/>
      </c>
      <c r="E13" s="7">
        <f>'1 prepared data'!D6</f>
        <v/>
      </c>
      <c r="F13" s="7">
        <f>'1 prepared data'!E6</f>
        <v/>
      </c>
      <c r="G13" s="7">
        <f>'1 prepared data'!F6</f>
        <v/>
      </c>
      <c r="H13" s="7">
        <f>'1 prepared data'!G6</f>
        <v/>
      </c>
      <c r="I13" s="7">
        <f>'1 prepared data'!H6</f>
        <v/>
      </c>
      <c r="J13" s="7">
        <f>'1 prepared data'!I6</f>
        <v/>
      </c>
      <c r="K13" s="7">
        <f>'1 prepared data'!J6</f>
        <v/>
      </c>
      <c r="L13" s="7">
        <f>'1 prepared data'!K6</f>
        <v/>
      </c>
      <c r="M13" s="7">
        <f>'1 prepared data'!L6</f>
        <v/>
      </c>
      <c r="N13" s="7">
        <f>'1 prepared data'!M6</f>
        <v/>
      </c>
      <c r="O13" s="7">
        <f>'1 prepared data'!N6</f>
        <v/>
      </c>
      <c r="P13" s="7">
        <f>'1 prepared data'!O6</f>
        <v/>
      </c>
      <c r="Q13" s="7">
        <f>'1 prepared data'!P6</f>
        <v/>
      </c>
      <c r="R13" s="7">
        <f>'1 prepared data'!Q6</f>
        <v/>
      </c>
      <c r="S13" s="7">
        <f>'1 prepared data'!R6</f>
        <v/>
      </c>
      <c r="T13" s="7">
        <f>'1 prepared data'!S6</f>
        <v/>
      </c>
      <c r="U13" s="7">
        <f>'1 prepared data'!T6</f>
        <v/>
      </c>
      <c r="V13" s="8">
        <f>$AC$12+D13*$AC$13+E13*$AC$14+F13*$AC$15+G13*$AC$16+H13*$AC$17+I13*$AC$18+J13*$AC$19+K13*$AC$20+L13*$AC$21+M13*$AC$22+N13*$AC$23+O13*$AC$24+P13*$AC$25+Q13*$AC$26+R13*$AC$27+S13*$AC$28+T13*$AC$29+U13*$AC$30</f>
        <v/>
      </c>
      <c r="W13" s="8">
        <f>1/(1+EXP(-V13))</f>
        <v/>
      </c>
      <c r="X13" s="9">
        <f>-IF(C13=1,LN(W13),LN(1-W13))</f>
        <v/>
      </c>
      <c r="Y13" s="10">
        <f>IF(W13&gt;$AC$33,1,0)</f>
        <v/>
      </c>
      <c r="Z13">
        <f>IF(Y13=C13,1,0)</f>
        <v/>
      </c>
      <c r="AB13" t="inlineStr">
        <is>
          <t>duration</t>
        </is>
      </c>
      <c r="AC13" s="11" t="n">
        <v>0.3247012549391071</v>
      </c>
      <c r="AD13" s="12" t="n">
        <v>0.2914423264258837</v>
      </c>
      <c r="AE13" s="9">
        <f>ABS(AC13)</f>
        <v/>
      </c>
      <c r="AJ13" s="3" t="inlineStr">
        <is>
          <t>predicted 0</t>
        </is>
      </c>
      <c r="AK13" s="3" t="inlineStr">
        <is>
          <t>predicted 1</t>
        </is>
      </c>
      <c r="AL13" s="3" t="inlineStr">
        <is>
          <t>total</t>
        </is>
      </c>
    </row>
    <row r="14">
      <c r="A14">
        <f>'1 prepared data'!A7</f>
        <v/>
      </c>
      <c r="B14" s="5">
        <f>'1 prepared data'!U7</f>
        <v/>
      </c>
      <c r="C14">
        <f>'1 prepared data'!B7</f>
        <v/>
      </c>
      <c r="D14" s="7">
        <f>'1 prepared data'!C7</f>
        <v/>
      </c>
      <c r="E14" s="7">
        <f>'1 prepared data'!D7</f>
        <v/>
      </c>
      <c r="F14" s="7">
        <f>'1 prepared data'!E7</f>
        <v/>
      </c>
      <c r="G14" s="7">
        <f>'1 prepared data'!F7</f>
        <v/>
      </c>
      <c r="H14" s="7">
        <f>'1 prepared data'!G7</f>
        <v/>
      </c>
      <c r="I14" s="7">
        <f>'1 prepared data'!H7</f>
        <v/>
      </c>
      <c r="J14" s="7">
        <f>'1 prepared data'!I7</f>
        <v/>
      </c>
      <c r="K14" s="7">
        <f>'1 prepared data'!J7</f>
        <v/>
      </c>
      <c r="L14" s="7">
        <f>'1 prepared data'!K7</f>
        <v/>
      </c>
      <c r="M14" s="7">
        <f>'1 prepared data'!L7</f>
        <v/>
      </c>
      <c r="N14" s="7">
        <f>'1 prepared data'!M7</f>
        <v/>
      </c>
      <c r="O14" s="7">
        <f>'1 prepared data'!N7</f>
        <v/>
      </c>
      <c r="P14" s="7">
        <f>'1 prepared data'!O7</f>
        <v/>
      </c>
      <c r="Q14" s="7">
        <f>'1 prepared data'!P7</f>
        <v/>
      </c>
      <c r="R14" s="7">
        <f>'1 prepared data'!Q7</f>
        <v/>
      </c>
      <c r="S14" s="7">
        <f>'1 prepared data'!R7</f>
        <v/>
      </c>
      <c r="T14" s="7">
        <f>'1 prepared data'!S7</f>
        <v/>
      </c>
      <c r="U14" s="7">
        <f>'1 prepared data'!T7</f>
        <v/>
      </c>
      <c r="V14" s="8">
        <f>$AC$12+D14*$AC$13+E14*$AC$14+F14*$AC$15+G14*$AC$16+H14*$AC$17+I14*$AC$18+J14*$AC$19+K14*$AC$20+L14*$AC$21+M14*$AC$22+N14*$AC$23+O14*$AC$24+P14*$AC$25+Q14*$AC$26+R14*$AC$27+S14*$AC$28+T14*$AC$29+U14*$AC$30</f>
        <v/>
      </c>
      <c r="W14" s="8">
        <f>1/(1+EXP(-V14))</f>
        <v/>
      </c>
      <c r="X14" s="9">
        <f>-IF(C14=1,LN(W14),LN(1-W14))</f>
        <v/>
      </c>
      <c r="Y14" s="10">
        <f>IF(W14&gt;$AC$33,1,0)</f>
        <v/>
      </c>
      <c r="Z14">
        <f>IF(Y14=C14,1,0)</f>
        <v/>
      </c>
      <c r="AB14" t="inlineStr">
        <is>
          <t>amount</t>
        </is>
      </c>
      <c r="AC14" s="11" t="n">
        <v>0.1163535941884676</v>
      </c>
      <c r="AD14" s="12" t="n">
        <v>0.01497572106575322</v>
      </c>
      <c r="AE14" s="9">
        <f>ABS(AC14)</f>
        <v/>
      </c>
      <c r="AH14" s="3" t="inlineStr">
        <is>
          <t>actual 0 (good payer)</t>
        </is>
      </c>
      <c r="AI14" t="inlineStr">
        <is>
          <t>TN | FP</t>
        </is>
      </c>
      <c r="AJ14" s="13">
        <f>COUNTIFS($B$12:$B$1011,"testing",$C$12:$C$1011,0,$Y$12:$Y$1011,0)</f>
        <v/>
      </c>
      <c r="AK14" s="13">
        <f>COUNTIFS($B$12:$B$1011,"testing",$C$12:$C$1011,0,$Y$12:$Y$1011,1)</f>
        <v/>
      </c>
      <c r="AL14">
        <f>AJ14+AK14</f>
        <v/>
      </c>
    </row>
    <row r="15">
      <c r="A15">
        <f>'1 prepared data'!A8</f>
        <v/>
      </c>
      <c r="B15" s="5">
        <f>'1 prepared data'!U8</f>
        <v/>
      </c>
      <c r="C15">
        <f>'1 prepared data'!B8</f>
        <v/>
      </c>
      <c r="D15" s="7">
        <f>'1 prepared data'!C8</f>
        <v/>
      </c>
      <c r="E15" s="7">
        <f>'1 prepared data'!D8</f>
        <v/>
      </c>
      <c r="F15" s="7">
        <f>'1 prepared data'!E8</f>
        <v/>
      </c>
      <c r="G15" s="7">
        <f>'1 prepared data'!F8</f>
        <v/>
      </c>
      <c r="H15" s="7">
        <f>'1 prepared data'!G8</f>
        <v/>
      </c>
      <c r="I15" s="7">
        <f>'1 prepared data'!H8</f>
        <v/>
      </c>
      <c r="J15" s="7">
        <f>'1 prepared data'!I8</f>
        <v/>
      </c>
      <c r="K15" s="7">
        <f>'1 prepared data'!J8</f>
        <v/>
      </c>
      <c r="L15" s="7">
        <f>'1 prepared data'!K8</f>
        <v/>
      </c>
      <c r="M15" s="7">
        <f>'1 prepared data'!L8</f>
        <v/>
      </c>
      <c r="N15" s="7">
        <f>'1 prepared data'!M8</f>
        <v/>
      </c>
      <c r="O15" s="7">
        <f>'1 prepared data'!N8</f>
        <v/>
      </c>
      <c r="P15" s="7">
        <f>'1 prepared data'!O8</f>
        <v/>
      </c>
      <c r="Q15" s="7">
        <f>'1 prepared data'!P8</f>
        <v/>
      </c>
      <c r="R15" s="7">
        <f>'1 prepared data'!Q8</f>
        <v/>
      </c>
      <c r="S15" s="7">
        <f>'1 prepared data'!R8</f>
        <v/>
      </c>
      <c r="T15" s="7">
        <f>'1 prepared data'!S8</f>
        <v/>
      </c>
      <c r="U15" s="7">
        <f>'1 prepared data'!T8</f>
        <v/>
      </c>
      <c r="V15" s="8">
        <f>$AC$12+D15*$AC$13+E15*$AC$14+F15*$AC$15+G15*$AC$16+H15*$AC$17+I15*$AC$18+J15*$AC$19+K15*$AC$20+L15*$AC$21+M15*$AC$22+N15*$AC$23+O15*$AC$24+P15*$AC$25+Q15*$AC$26+R15*$AC$27+S15*$AC$28+T15*$AC$29+U15*$AC$30</f>
        <v/>
      </c>
      <c r="W15" s="8">
        <f>1/(1+EXP(-V15))</f>
        <v/>
      </c>
      <c r="X15" s="9">
        <f>-IF(C15=1,LN(W15),LN(1-W15))</f>
        <v/>
      </c>
      <c r="Y15" s="10">
        <f>IF(W15&gt;$AC$33,1,0)</f>
        <v/>
      </c>
      <c r="Z15">
        <f>IF(Y15=C15,1,0)</f>
        <v/>
      </c>
      <c r="AB15" t="inlineStr">
        <is>
          <t>age</t>
        </is>
      </c>
      <c r="AC15" s="11" t="n">
        <v>-0.09914522482627074</v>
      </c>
      <c r="AD15" s="12" t="n">
        <v>-0.04461703867676393</v>
      </c>
      <c r="AE15" s="9">
        <f>ABS(AC15)</f>
        <v/>
      </c>
      <c r="AH15" s="3" t="inlineStr">
        <is>
          <t>actual 1 (defaulter)</t>
        </is>
      </c>
      <c r="AI15" t="inlineStr">
        <is>
          <t>FN | TP</t>
        </is>
      </c>
      <c r="AJ15" s="13">
        <f>COUNTIFS($B$12:$B$1011,"testing",$C$12:$C$1011,1,$Y$12:$Y$1011,0)</f>
        <v/>
      </c>
      <c r="AK15" s="13">
        <f>COUNTIFS($B$12:$B$1011,"testing",$C$12:$C$1011,1,$Y$12:$Y$1011,1)</f>
        <v/>
      </c>
      <c r="AL15">
        <f>AJ15+AK15</f>
        <v/>
      </c>
    </row>
    <row r="16">
      <c r="A16">
        <f>'1 prepared data'!A9</f>
        <v/>
      </c>
      <c r="B16" s="5">
        <f>'1 prepared data'!U9</f>
        <v/>
      </c>
      <c r="C16">
        <f>'1 prepared data'!B9</f>
        <v/>
      </c>
      <c r="D16" s="7">
        <f>'1 prepared data'!C9</f>
        <v/>
      </c>
      <c r="E16" s="7">
        <f>'1 prepared data'!D9</f>
        <v/>
      </c>
      <c r="F16" s="7">
        <f>'1 prepared data'!E9</f>
        <v/>
      </c>
      <c r="G16" s="7">
        <f>'1 prepared data'!F9</f>
        <v/>
      </c>
      <c r="H16" s="7">
        <f>'1 prepared data'!G9</f>
        <v/>
      </c>
      <c r="I16" s="7">
        <f>'1 prepared data'!H9</f>
        <v/>
      </c>
      <c r="J16" s="7">
        <f>'1 prepared data'!I9</f>
        <v/>
      </c>
      <c r="K16" s="7">
        <f>'1 prepared data'!J9</f>
        <v/>
      </c>
      <c r="L16" s="7">
        <f>'1 prepared data'!K9</f>
        <v/>
      </c>
      <c r="M16" s="7">
        <f>'1 prepared data'!L9</f>
        <v/>
      </c>
      <c r="N16" s="7">
        <f>'1 prepared data'!M9</f>
        <v/>
      </c>
      <c r="O16" s="7">
        <f>'1 prepared data'!N9</f>
        <v/>
      </c>
      <c r="P16" s="7">
        <f>'1 prepared data'!O9</f>
        <v/>
      </c>
      <c r="Q16" s="7">
        <f>'1 prepared data'!P9</f>
        <v/>
      </c>
      <c r="R16" s="7">
        <f>'1 prepared data'!Q9</f>
        <v/>
      </c>
      <c r="S16" s="7">
        <f>'1 prepared data'!R9</f>
        <v/>
      </c>
      <c r="T16" s="7">
        <f>'1 prepared data'!S9</f>
        <v/>
      </c>
      <c r="U16" s="7">
        <f>'1 prepared data'!T9</f>
        <v/>
      </c>
      <c r="V16" s="8">
        <f>$AC$12+D16*$AC$13+E16*$AC$14+F16*$AC$15+G16*$AC$16+H16*$AC$17+I16*$AC$18+J16*$AC$19+K16*$AC$20+L16*$AC$21+M16*$AC$22+N16*$AC$23+O16*$AC$24+P16*$AC$25+Q16*$AC$26+R16*$AC$27+S16*$AC$28+T16*$AC$29+U16*$AC$30</f>
        <v/>
      </c>
      <c r="W16" s="8">
        <f>1/(1+EXP(-V16))</f>
        <v/>
      </c>
      <c r="X16" s="9">
        <f>-IF(C16=1,LN(W16),LN(1-W16))</f>
        <v/>
      </c>
      <c r="Y16" s="10">
        <f>IF(W16&gt;$AC$33,1,0)</f>
        <v/>
      </c>
      <c r="Z16">
        <f>IF(Y16=C16,1,0)</f>
        <v/>
      </c>
      <c r="AB16" t="inlineStr">
        <is>
          <t>installment_pct_income</t>
        </is>
      </c>
      <c r="AC16" s="11" t="n">
        <v>0.2872157655933926</v>
      </c>
      <c r="AD16" s="12" t="n">
        <v>0.0850700872399999</v>
      </c>
      <c r="AE16" s="9">
        <f>ABS(AC16)</f>
        <v/>
      </c>
      <c r="AH16" s="3" t="inlineStr">
        <is>
          <t>total</t>
        </is>
      </c>
      <c r="AJ16">
        <f>AJ14+AJ15</f>
        <v/>
      </c>
      <c r="AK16">
        <f>AK14+AK15</f>
        <v/>
      </c>
      <c r="AL16">
        <f>AL14+AL15</f>
        <v/>
      </c>
    </row>
    <row r="17">
      <c r="A17">
        <f>'1 prepared data'!A10</f>
        <v/>
      </c>
      <c r="B17" s="5">
        <f>'1 prepared data'!U10</f>
        <v/>
      </c>
      <c r="C17">
        <f>'1 prepared data'!B10</f>
        <v/>
      </c>
      <c r="D17" s="7">
        <f>'1 prepared data'!C10</f>
        <v/>
      </c>
      <c r="E17" s="7">
        <f>'1 prepared data'!D10</f>
        <v/>
      </c>
      <c r="F17" s="7">
        <f>'1 prepared data'!E10</f>
        <v/>
      </c>
      <c r="G17" s="7">
        <f>'1 prepared data'!F10</f>
        <v/>
      </c>
      <c r="H17" s="7">
        <f>'1 prepared data'!G10</f>
        <v/>
      </c>
      <c r="I17" s="7">
        <f>'1 prepared data'!H10</f>
        <v/>
      </c>
      <c r="J17" s="7">
        <f>'1 prepared data'!I10</f>
        <v/>
      </c>
      <c r="K17" s="7">
        <f>'1 prepared data'!J10</f>
        <v/>
      </c>
      <c r="L17" s="7">
        <f>'1 prepared data'!K10</f>
        <v/>
      </c>
      <c r="M17" s="7">
        <f>'1 prepared data'!L10</f>
        <v/>
      </c>
      <c r="N17" s="7">
        <f>'1 prepared data'!M10</f>
        <v/>
      </c>
      <c r="O17" s="7">
        <f>'1 prepared data'!N10</f>
        <v/>
      </c>
      <c r="P17" s="7">
        <f>'1 prepared data'!O10</f>
        <v/>
      </c>
      <c r="Q17" s="7">
        <f>'1 prepared data'!P10</f>
        <v/>
      </c>
      <c r="R17" s="7">
        <f>'1 prepared data'!Q10</f>
        <v/>
      </c>
      <c r="S17" s="7">
        <f>'1 prepared data'!R10</f>
        <v/>
      </c>
      <c r="T17" s="7">
        <f>'1 prepared data'!S10</f>
        <v/>
      </c>
      <c r="U17" s="7">
        <f>'1 prepared data'!T10</f>
        <v/>
      </c>
      <c r="V17" s="8">
        <f>$AC$12+D17*$AC$13+E17*$AC$14+F17*$AC$15+G17*$AC$16+H17*$AC$17+I17*$AC$18+J17*$AC$19+K17*$AC$20+L17*$AC$21+M17*$AC$22+N17*$AC$23+O17*$AC$24+P17*$AC$25+Q17*$AC$26+R17*$AC$27+S17*$AC$28+T17*$AC$29+U17*$AC$30</f>
        <v/>
      </c>
      <c r="W17" s="8">
        <f>1/(1+EXP(-V17))</f>
        <v/>
      </c>
      <c r="X17" s="9">
        <f>-IF(C17=1,LN(W17),LN(1-W17))</f>
        <v/>
      </c>
      <c r="Y17" s="10">
        <f>IF(W17&gt;$AC$33,1,0)</f>
        <v/>
      </c>
      <c r="Z17">
        <f>IF(Y17=C17,1,0)</f>
        <v/>
      </c>
      <c r="AB17" t="inlineStr">
        <is>
          <t>chk_negative</t>
        </is>
      </c>
      <c r="AC17" s="11" t="n">
        <v>1.546402670396991</v>
      </c>
      <c r="AD17" s="12" t="n">
        <v>0.9745504706308581</v>
      </c>
      <c r="AE17" s="9">
        <f>ABS(AC17)</f>
        <v/>
      </c>
    </row>
    <row r="18">
      <c r="A18">
        <f>'1 prepared data'!A11</f>
        <v/>
      </c>
      <c r="B18" s="5">
        <f>'1 prepared data'!U11</f>
        <v/>
      </c>
      <c r="C18">
        <f>'1 prepared data'!B11</f>
        <v/>
      </c>
      <c r="D18" s="7">
        <f>'1 prepared data'!C11</f>
        <v/>
      </c>
      <c r="E18" s="7">
        <f>'1 prepared data'!D11</f>
        <v/>
      </c>
      <c r="F18" s="7">
        <f>'1 prepared data'!E11</f>
        <v/>
      </c>
      <c r="G18" s="7">
        <f>'1 prepared data'!F11</f>
        <v/>
      </c>
      <c r="H18" s="7">
        <f>'1 prepared data'!G11</f>
        <v/>
      </c>
      <c r="I18" s="7">
        <f>'1 prepared data'!H11</f>
        <v/>
      </c>
      <c r="J18" s="7">
        <f>'1 prepared data'!I11</f>
        <v/>
      </c>
      <c r="K18" s="7">
        <f>'1 prepared data'!J11</f>
        <v/>
      </c>
      <c r="L18" s="7">
        <f>'1 prepared data'!K11</f>
        <v/>
      </c>
      <c r="M18" s="7">
        <f>'1 prepared data'!L11</f>
        <v/>
      </c>
      <c r="N18" s="7">
        <f>'1 prepared data'!M11</f>
        <v/>
      </c>
      <c r="O18" s="7">
        <f>'1 prepared data'!N11</f>
        <v/>
      </c>
      <c r="P18" s="7">
        <f>'1 prepared data'!O11</f>
        <v/>
      </c>
      <c r="Q18" s="7">
        <f>'1 prepared data'!P11</f>
        <v/>
      </c>
      <c r="R18" s="7">
        <f>'1 prepared data'!Q11</f>
        <v/>
      </c>
      <c r="S18" s="7">
        <f>'1 prepared data'!R11</f>
        <v/>
      </c>
      <c r="T18" s="7">
        <f>'1 prepared data'!S11</f>
        <v/>
      </c>
      <c r="U18" s="7">
        <f>'1 prepared data'!T11</f>
        <v/>
      </c>
      <c r="V18" s="8">
        <f>$AC$12+D18*$AC$13+E18*$AC$14+F18*$AC$15+G18*$AC$16+H18*$AC$17+I18*$AC$18+J18*$AC$19+K18*$AC$20+L18*$AC$21+M18*$AC$22+N18*$AC$23+O18*$AC$24+P18*$AC$25+Q18*$AC$26+R18*$AC$27+S18*$AC$28+T18*$AC$29+U18*$AC$30</f>
        <v/>
      </c>
      <c r="W18" s="8">
        <f>1/(1+EXP(-V18))</f>
        <v/>
      </c>
      <c r="X18" s="9">
        <f>-IF(C18=1,LN(W18),LN(1-W18))</f>
        <v/>
      </c>
      <c r="Y18" s="10">
        <f>IF(W18&gt;$AC$33,1,0)</f>
        <v/>
      </c>
      <c r="Z18">
        <f>IF(Y18=C18,1,0)</f>
        <v/>
      </c>
      <c r="AB18" t="inlineStr">
        <is>
          <t>chk_0_200</t>
        </is>
      </c>
      <c r="AC18" s="11" t="n">
        <v>1.294997779791349</v>
      </c>
      <c r="AD18" s="12" t="n">
        <v>0.6099540907933885</v>
      </c>
      <c r="AE18" s="9">
        <f>ABS(AC18)</f>
        <v/>
      </c>
      <c r="AH18" s="4" t="inlineStr"/>
      <c r="AI18" s="4" t="inlineStr">
        <is>
          <t>precision</t>
        </is>
      </c>
      <c r="AJ18" s="4" t="inlineStr">
        <is>
          <t>recall</t>
        </is>
      </c>
      <c r="AK18" s="4" t="inlineStr">
        <is>
          <t>f1-score</t>
        </is>
      </c>
      <c r="AL18" s="4" t="inlineStr">
        <is>
          <t>support</t>
        </is>
      </c>
    </row>
    <row r="19">
      <c r="A19">
        <f>'1 prepared data'!A12</f>
        <v/>
      </c>
      <c r="B19" s="5">
        <f>'1 prepared data'!U12</f>
        <v/>
      </c>
      <c r="C19">
        <f>'1 prepared data'!B12</f>
        <v/>
      </c>
      <c r="D19" s="7">
        <f>'1 prepared data'!C12</f>
        <v/>
      </c>
      <c r="E19" s="7">
        <f>'1 prepared data'!D12</f>
        <v/>
      </c>
      <c r="F19" s="7">
        <f>'1 prepared data'!E12</f>
        <v/>
      </c>
      <c r="G19" s="7">
        <f>'1 prepared data'!F12</f>
        <v/>
      </c>
      <c r="H19" s="7">
        <f>'1 prepared data'!G12</f>
        <v/>
      </c>
      <c r="I19" s="7">
        <f>'1 prepared data'!H12</f>
        <v/>
      </c>
      <c r="J19" s="7">
        <f>'1 prepared data'!I12</f>
        <v/>
      </c>
      <c r="K19" s="7">
        <f>'1 prepared data'!J12</f>
        <v/>
      </c>
      <c r="L19" s="7">
        <f>'1 prepared data'!K12</f>
        <v/>
      </c>
      <c r="M19" s="7">
        <f>'1 prepared data'!L12</f>
        <v/>
      </c>
      <c r="N19" s="7">
        <f>'1 prepared data'!M12</f>
        <v/>
      </c>
      <c r="O19" s="7">
        <f>'1 prepared data'!N12</f>
        <v/>
      </c>
      <c r="P19" s="7">
        <f>'1 prepared data'!O12</f>
        <v/>
      </c>
      <c r="Q19" s="7">
        <f>'1 prepared data'!P12</f>
        <v/>
      </c>
      <c r="R19" s="7">
        <f>'1 prepared data'!Q12</f>
        <v/>
      </c>
      <c r="S19" s="7">
        <f>'1 prepared data'!R12</f>
        <v/>
      </c>
      <c r="T19" s="7">
        <f>'1 prepared data'!S12</f>
        <v/>
      </c>
      <c r="U19" s="7">
        <f>'1 prepared data'!T12</f>
        <v/>
      </c>
      <c r="V19" s="8">
        <f>$AC$12+D19*$AC$13+E19*$AC$14+F19*$AC$15+G19*$AC$16+H19*$AC$17+I19*$AC$18+J19*$AC$19+K19*$AC$20+L19*$AC$21+M19*$AC$22+N19*$AC$23+O19*$AC$24+P19*$AC$25+Q19*$AC$26+R19*$AC$27+S19*$AC$28+T19*$AC$29+U19*$AC$30</f>
        <v/>
      </c>
      <c r="W19" s="8">
        <f>1/(1+EXP(-V19))</f>
        <v/>
      </c>
      <c r="X19" s="9">
        <f>-IF(C19=1,LN(W19),LN(1-W19))</f>
        <v/>
      </c>
      <c r="Y19" s="10">
        <f>IF(W19&gt;$AC$33,1,0)</f>
        <v/>
      </c>
      <c r="Z19">
        <f>IF(Y19=C19,1,0)</f>
        <v/>
      </c>
      <c r="AB19" t="inlineStr">
        <is>
          <t>chk_over_200</t>
        </is>
      </c>
      <c r="AC19" s="11" t="n">
        <v>0.6683615861023957</v>
      </c>
      <c r="AD19" s="12" t="n">
        <v>0</v>
      </c>
      <c r="AE19" s="9">
        <f>ABS(AC19)</f>
        <v/>
      </c>
      <c r="AH19" s="3" t="inlineStr">
        <is>
          <t>class 0 (pays)</t>
        </is>
      </c>
      <c r="AI19" s="14">
        <f>IF(AJ14+AJ15=0,0,AJ14/(AJ14+AJ15))</f>
        <v/>
      </c>
      <c r="AJ19" s="14">
        <f>IF(AJ14+AK14=0,0,AJ14/(AJ14+AK14))</f>
        <v/>
      </c>
      <c r="AK19" s="14">
        <f>IF(AI19+AJ19=0,0,2*AI19*AJ19/(AI19+AJ19))</f>
        <v/>
      </c>
      <c r="AL19">
        <f>AL14</f>
        <v/>
      </c>
    </row>
    <row r="20">
      <c r="A20">
        <f>'1 prepared data'!A13</f>
        <v/>
      </c>
      <c r="B20" s="5">
        <f>'1 prepared data'!U13</f>
        <v/>
      </c>
      <c r="C20">
        <f>'1 prepared data'!B13</f>
        <v/>
      </c>
      <c r="D20" s="7">
        <f>'1 prepared data'!C13</f>
        <v/>
      </c>
      <c r="E20" s="7">
        <f>'1 prepared data'!D13</f>
        <v/>
      </c>
      <c r="F20" s="7">
        <f>'1 prepared data'!E13</f>
        <v/>
      </c>
      <c r="G20" s="7">
        <f>'1 prepared data'!F13</f>
        <v/>
      </c>
      <c r="H20" s="7">
        <f>'1 prepared data'!G13</f>
        <v/>
      </c>
      <c r="I20" s="7">
        <f>'1 prepared data'!H13</f>
        <v/>
      </c>
      <c r="J20" s="7">
        <f>'1 prepared data'!I13</f>
        <v/>
      </c>
      <c r="K20" s="7">
        <f>'1 prepared data'!J13</f>
        <v/>
      </c>
      <c r="L20" s="7">
        <f>'1 prepared data'!K13</f>
        <v/>
      </c>
      <c r="M20" s="7">
        <f>'1 prepared data'!L13</f>
        <v/>
      </c>
      <c r="N20" s="7">
        <f>'1 prepared data'!M13</f>
        <v/>
      </c>
      <c r="O20" s="7">
        <f>'1 prepared data'!N13</f>
        <v/>
      </c>
      <c r="P20" s="7">
        <f>'1 prepared data'!O13</f>
        <v/>
      </c>
      <c r="Q20" s="7">
        <f>'1 prepared data'!P13</f>
        <v/>
      </c>
      <c r="R20" s="7">
        <f>'1 prepared data'!Q13</f>
        <v/>
      </c>
      <c r="S20" s="7">
        <f>'1 prepared data'!R13</f>
        <v/>
      </c>
      <c r="T20" s="7">
        <f>'1 prepared data'!S13</f>
        <v/>
      </c>
      <c r="U20" s="7">
        <f>'1 prepared data'!T13</f>
        <v/>
      </c>
      <c r="V20" s="8">
        <f>$AC$12+D20*$AC$13+E20*$AC$14+F20*$AC$15+G20*$AC$16+H20*$AC$17+I20*$AC$18+J20*$AC$19+K20*$AC$20+L20*$AC$21+M20*$AC$22+N20*$AC$23+O20*$AC$24+P20*$AC$25+Q20*$AC$26+R20*$AC$27+S20*$AC$28+T20*$AC$29+U20*$AC$30</f>
        <v/>
      </c>
      <c r="W20" s="8">
        <f>1/(1+EXP(-V20))</f>
        <v/>
      </c>
      <c r="X20" s="9">
        <f>-IF(C20=1,LN(W20),LN(1-W20))</f>
        <v/>
      </c>
      <c r="Y20" s="10">
        <f>IF(W20&gt;$AC$33,1,0)</f>
        <v/>
      </c>
      <c r="Z20">
        <f>IF(Y20=C20,1,0)</f>
        <v/>
      </c>
      <c r="AB20" t="inlineStr">
        <is>
          <t>hist_critical</t>
        </is>
      </c>
      <c r="AC20" s="11" t="n">
        <v>-0.6573449373610837</v>
      </c>
      <c r="AD20" s="12" t="n">
        <v>-0.3546961466305654</v>
      </c>
      <c r="AE20" s="9">
        <f>ABS(AC20)</f>
        <v/>
      </c>
      <c r="AH20" s="3" t="inlineStr">
        <is>
          <t>class 1 (defaults)</t>
        </is>
      </c>
      <c r="AI20" s="14">
        <f>IF(AK15+AK14=0,0,AK15/(AK15+AK14))</f>
        <v/>
      </c>
      <c r="AJ20" s="14">
        <f>IF(AK15+AJ15=0,0,AK15/(AK15+AJ15))</f>
        <v/>
      </c>
      <c r="AK20" s="14">
        <f>IF(AI20+AJ20=0,0,2*AI20*AJ20/(AI20+AJ20))</f>
        <v/>
      </c>
      <c r="AL20">
        <f>AL15</f>
        <v/>
      </c>
    </row>
    <row r="21">
      <c r="A21">
        <f>'1 prepared data'!A14</f>
        <v/>
      </c>
      <c r="B21" s="5">
        <f>'1 prepared data'!U14</f>
        <v/>
      </c>
      <c r="C21">
        <f>'1 prepared data'!B14</f>
        <v/>
      </c>
      <c r="D21" s="7">
        <f>'1 prepared data'!C14</f>
        <v/>
      </c>
      <c r="E21" s="7">
        <f>'1 prepared data'!D14</f>
        <v/>
      </c>
      <c r="F21" s="7">
        <f>'1 prepared data'!E14</f>
        <v/>
      </c>
      <c r="G21" s="7">
        <f>'1 prepared data'!F14</f>
        <v/>
      </c>
      <c r="H21" s="7">
        <f>'1 prepared data'!G14</f>
        <v/>
      </c>
      <c r="I21" s="7">
        <f>'1 prepared data'!H14</f>
        <v/>
      </c>
      <c r="J21" s="7">
        <f>'1 prepared data'!I14</f>
        <v/>
      </c>
      <c r="K21" s="7">
        <f>'1 prepared data'!J14</f>
        <v/>
      </c>
      <c r="L21" s="7">
        <f>'1 prepared data'!K14</f>
        <v/>
      </c>
      <c r="M21" s="7">
        <f>'1 prepared data'!L14</f>
        <v/>
      </c>
      <c r="N21" s="7">
        <f>'1 prepared data'!M14</f>
        <v/>
      </c>
      <c r="O21" s="7">
        <f>'1 prepared data'!N14</f>
        <v/>
      </c>
      <c r="P21" s="7">
        <f>'1 prepared data'!O14</f>
        <v/>
      </c>
      <c r="Q21" s="7">
        <f>'1 prepared data'!P14</f>
        <v/>
      </c>
      <c r="R21" s="7">
        <f>'1 prepared data'!Q14</f>
        <v/>
      </c>
      <c r="S21" s="7">
        <f>'1 prepared data'!R14</f>
        <v/>
      </c>
      <c r="T21" s="7">
        <f>'1 prepared data'!S14</f>
        <v/>
      </c>
      <c r="U21" s="7">
        <f>'1 prepared data'!T14</f>
        <v/>
      </c>
      <c r="V21" s="8">
        <f>$AC$12+D21*$AC$13+E21*$AC$14+F21*$AC$15+G21*$AC$16+H21*$AC$17+I21*$AC$18+J21*$AC$19+K21*$AC$20+L21*$AC$21+M21*$AC$22+N21*$AC$23+O21*$AC$24+P21*$AC$25+Q21*$AC$26+R21*$AC$27+S21*$AC$28+T21*$AC$29+U21*$AC$30</f>
        <v/>
      </c>
      <c r="W21" s="8">
        <f>1/(1+EXP(-V21))</f>
        <v/>
      </c>
      <c r="X21" s="9">
        <f>-IF(C21=1,LN(W21),LN(1-W21))</f>
        <v/>
      </c>
      <c r="Y21" s="10">
        <f>IF(W21&gt;$AC$33,1,0)</f>
        <v/>
      </c>
      <c r="Z21">
        <f>IF(Y21=C21,1,0)</f>
        <v/>
      </c>
      <c r="AB21" t="inlineStr">
        <is>
          <t>hist_delays</t>
        </is>
      </c>
      <c r="AC21" s="11" t="n">
        <v>-0.04019551911120235</v>
      </c>
      <c r="AD21" s="12" t="n">
        <v>0</v>
      </c>
      <c r="AE21" s="9">
        <f>ABS(AC21)</f>
        <v/>
      </c>
      <c r="AH21" s="3" t="inlineStr">
        <is>
          <t>accuracy</t>
        </is>
      </c>
      <c r="AK21" s="14">
        <f>(AK15+AJ14)/AL16</f>
        <v/>
      </c>
    </row>
    <row r="22">
      <c r="A22">
        <f>'1 prepared data'!A15</f>
        <v/>
      </c>
      <c r="B22" s="5">
        <f>'1 prepared data'!U15</f>
        <v/>
      </c>
      <c r="C22">
        <f>'1 prepared data'!B15</f>
        <v/>
      </c>
      <c r="D22" s="7">
        <f>'1 prepared data'!C15</f>
        <v/>
      </c>
      <c r="E22" s="7">
        <f>'1 prepared data'!D15</f>
        <v/>
      </c>
      <c r="F22" s="7">
        <f>'1 prepared data'!E15</f>
        <v/>
      </c>
      <c r="G22" s="7">
        <f>'1 prepared data'!F15</f>
        <v/>
      </c>
      <c r="H22" s="7">
        <f>'1 prepared data'!G15</f>
        <v/>
      </c>
      <c r="I22" s="7">
        <f>'1 prepared data'!H15</f>
        <v/>
      </c>
      <c r="J22" s="7">
        <f>'1 prepared data'!I15</f>
        <v/>
      </c>
      <c r="K22" s="7">
        <f>'1 prepared data'!J15</f>
        <v/>
      </c>
      <c r="L22" s="7">
        <f>'1 prepared data'!K15</f>
        <v/>
      </c>
      <c r="M22" s="7">
        <f>'1 prepared data'!L15</f>
        <v/>
      </c>
      <c r="N22" s="7">
        <f>'1 prepared data'!M15</f>
        <v/>
      </c>
      <c r="O22" s="7">
        <f>'1 prepared data'!N15</f>
        <v/>
      </c>
      <c r="P22" s="7">
        <f>'1 prepared data'!O15</f>
        <v/>
      </c>
      <c r="Q22" s="7">
        <f>'1 prepared data'!P15</f>
        <v/>
      </c>
      <c r="R22" s="7">
        <f>'1 prepared data'!Q15</f>
        <v/>
      </c>
      <c r="S22" s="7">
        <f>'1 prepared data'!R15</f>
        <v/>
      </c>
      <c r="T22" s="7">
        <f>'1 prepared data'!S15</f>
        <v/>
      </c>
      <c r="U22" s="7">
        <f>'1 prepared data'!T15</f>
        <v/>
      </c>
      <c r="V22" s="8">
        <f>$AC$12+D22*$AC$13+E22*$AC$14+F22*$AC$15+G22*$AC$16+H22*$AC$17+I22*$AC$18+J22*$AC$19+K22*$AC$20+L22*$AC$21+M22*$AC$22+N22*$AC$23+O22*$AC$24+P22*$AC$25+Q22*$AC$26+R22*$AC$27+S22*$AC$28+T22*$AC$29+U22*$AC$30</f>
        <v/>
      </c>
      <c r="W22" s="8">
        <f>1/(1+EXP(-V22))</f>
        <v/>
      </c>
      <c r="X22" s="9">
        <f>-IF(C22=1,LN(W22),LN(1-W22))</f>
        <v/>
      </c>
      <c r="Y22" s="10">
        <f>IF(W22&gt;$AC$33,1,0)</f>
        <v/>
      </c>
      <c r="Z22">
        <f>IF(Y22=C22,1,0)</f>
        <v/>
      </c>
      <c r="AB22" t="inlineStr">
        <is>
          <t>hist_no_credits</t>
        </is>
      </c>
      <c r="AC22" s="11" t="n">
        <v>0.6690656278784681</v>
      </c>
      <c r="AD22" s="12" t="n">
        <v>0.1557054167799621</v>
      </c>
      <c r="AE22" s="9">
        <f>ABS(AC22)</f>
        <v/>
      </c>
    </row>
    <row r="23">
      <c r="A23">
        <f>'1 prepared data'!A16</f>
        <v/>
      </c>
      <c r="B23" s="5">
        <f>'1 prepared data'!U16</f>
        <v/>
      </c>
      <c r="C23">
        <f>'1 prepared data'!B16</f>
        <v/>
      </c>
      <c r="D23" s="7">
        <f>'1 prepared data'!C16</f>
        <v/>
      </c>
      <c r="E23" s="7">
        <f>'1 prepared data'!D16</f>
        <v/>
      </c>
      <c r="F23" s="7">
        <f>'1 prepared data'!E16</f>
        <v/>
      </c>
      <c r="G23" s="7">
        <f>'1 prepared data'!F16</f>
        <v/>
      </c>
      <c r="H23" s="7">
        <f>'1 prepared data'!G16</f>
        <v/>
      </c>
      <c r="I23" s="7">
        <f>'1 prepared data'!H16</f>
        <v/>
      </c>
      <c r="J23" s="7">
        <f>'1 prepared data'!I16</f>
        <v/>
      </c>
      <c r="K23" s="7">
        <f>'1 prepared data'!J16</f>
        <v/>
      </c>
      <c r="L23" s="7">
        <f>'1 prepared data'!K16</f>
        <v/>
      </c>
      <c r="M23" s="7">
        <f>'1 prepared data'!L16</f>
        <v/>
      </c>
      <c r="N23" s="7">
        <f>'1 prepared data'!M16</f>
        <v/>
      </c>
      <c r="O23" s="7">
        <f>'1 prepared data'!N16</f>
        <v/>
      </c>
      <c r="P23" s="7">
        <f>'1 prepared data'!O16</f>
        <v/>
      </c>
      <c r="Q23" s="7">
        <f>'1 prepared data'!P16</f>
        <v/>
      </c>
      <c r="R23" s="7">
        <f>'1 prepared data'!Q16</f>
        <v/>
      </c>
      <c r="S23" s="7">
        <f>'1 prepared data'!R16</f>
        <v/>
      </c>
      <c r="T23" s="7">
        <f>'1 prepared data'!S16</f>
        <v/>
      </c>
      <c r="U23" s="7">
        <f>'1 prepared data'!T16</f>
        <v/>
      </c>
      <c r="V23" s="8">
        <f>$AC$12+D23*$AC$13+E23*$AC$14+F23*$AC$15+G23*$AC$16+H23*$AC$17+I23*$AC$18+J23*$AC$19+K23*$AC$20+L23*$AC$21+M23*$AC$22+N23*$AC$23+O23*$AC$24+P23*$AC$25+Q23*$AC$26+R23*$AC$27+S23*$AC$28+T23*$AC$29+U23*$AC$30</f>
        <v/>
      </c>
      <c r="W23" s="8">
        <f>1/(1+EXP(-V23))</f>
        <v/>
      </c>
      <c r="X23" s="9">
        <f>-IF(C23=1,LN(W23),LN(1-W23))</f>
        <v/>
      </c>
      <c r="Y23" s="10">
        <f>IF(W23&gt;$AC$33,1,0)</f>
        <v/>
      </c>
      <c r="Z23">
        <f>IF(Y23=C23,1,0)</f>
        <v/>
      </c>
      <c r="AB23" t="inlineStr">
        <is>
          <t>sav_100_1000</t>
        </is>
      </c>
      <c r="AC23" s="11" t="n">
        <v>-0.3895834298458181</v>
      </c>
      <c r="AD23" s="12" t="n">
        <v>0</v>
      </c>
      <c r="AE23" s="9">
        <f>ABS(AC23)</f>
        <v/>
      </c>
    </row>
    <row r="24">
      <c r="A24">
        <f>'1 prepared data'!A17</f>
        <v/>
      </c>
      <c r="B24" s="5">
        <f>'1 prepared data'!U17</f>
        <v/>
      </c>
      <c r="C24">
        <f>'1 prepared data'!B17</f>
        <v/>
      </c>
      <c r="D24" s="7">
        <f>'1 prepared data'!C17</f>
        <v/>
      </c>
      <c r="E24" s="7">
        <f>'1 prepared data'!D17</f>
        <v/>
      </c>
      <c r="F24" s="7">
        <f>'1 prepared data'!E17</f>
        <v/>
      </c>
      <c r="G24" s="7">
        <f>'1 prepared data'!F17</f>
        <v/>
      </c>
      <c r="H24" s="7">
        <f>'1 prepared data'!G17</f>
        <v/>
      </c>
      <c r="I24" s="7">
        <f>'1 prepared data'!H17</f>
        <v/>
      </c>
      <c r="J24" s="7">
        <f>'1 prepared data'!I17</f>
        <v/>
      </c>
      <c r="K24" s="7">
        <f>'1 prepared data'!J17</f>
        <v/>
      </c>
      <c r="L24" s="7">
        <f>'1 prepared data'!K17</f>
        <v/>
      </c>
      <c r="M24" s="7">
        <f>'1 prepared data'!L17</f>
        <v/>
      </c>
      <c r="N24" s="7">
        <f>'1 prepared data'!M17</f>
        <v/>
      </c>
      <c r="O24" s="7">
        <f>'1 prepared data'!N17</f>
        <v/>
      </c>
      <c r="P24" s="7">
        <f>'1 prepared data'!O17</f>
        <v/>
      </c>
      <c r="Q24" s="7">
        <f>'1 prepared data'!P17</f>
        <v/>
      </c>
      <c r="R24" s="7">
        <f>'1 prepared data'!Q17</f>
        <v/>
      </c>
      <c r="S24" s="7">
        <f>'1 prepared data'!R17</f>
        <v/>
      </c>
      <c r="T24" s="7">
        <f>'1 prepared data'!S17</f>
        <v/>
      </c>
      <c r="U24" s="7">
        <f>'1 prepared data'!T17</f>
        <v/>
      </c>
      <c r="V24" s="8">
        <f>$AC$12+D24*$AC$13+E24*$AC$14+F24*$AC$15+G24*$AC$16+H24*$AC$17+I24*$AC$18+J24*$AC$19+K24*$AC$20+L24*$AC$21+M24*$AC$22+N24*$AC$23+O24*$AC$24+P24*$AC$25+Q24*$AC$26+R24*$AC$27+S24*$AC$28+T24*$AC$29+U24*$AC$30</f>
        <v/>
      </c>
      <c r="W24" s="8">
        <f>1/(1+EXP(-V24))</f>
        <v/>
      </c>
      <c r="X24" s="9">
        <f>-IF(C24=1,LN(W24),LN(1-W24))</f>
        <v/>
      </c>
      <c r="Y24" s="10">
        <f>IF(W24&gt;$AC$33,1,0)</f>
        <v/>
      </c>
      <c r="Z24">
        <f>IF(Y24=C24,1,0)</f>
        <v/>
      </c>
      <c r="AB24" t="inlineStr">
        <is>
          <t>sav_over_1000</t>
        </is>
      </c>
      <c r="AC24" s="11" t="n">
        <v>-0.8892238593761824</v>
      </c>
      <c r="AD24" s="12" t="n">
        <v>0</v>
      </c>
      <c r="AE24" s="9">
        <f>ABS(AC24)</f>
        <v/>
      </c>
    </row>
    <row r="25">
      <c r="A25">
        <f>'1 prepared data'!A18</f>
        <v/>
      </c>
      <c r="B25" s="5">
        <f>'1 prepared data'!U18</f>
        <v/>
      </c>
      <c r="C25">
        <f>'1 prepared data'!B18</f>
        <v/>
      </c>
      <c r="D25" s="7">
        <f>'1 prepared data'!C18</f>
        <v/>
      </c>
      <c r="E25" s="7">
        <f>'1 prepared data'!D18</f>
        <v/>
      </c>
      <c r="F25" s="7">
        <f>'1 prepared data'!E18</f>
        <v/>
      </c>
      <c r="G25" s="7">
        <f>'1 prepared data'!F18</f>
        <v/>
      </c>
      <c r="H25" s="7">
        <f>'1 prepared data'!G18</f>
        <v/>
      </c>
      <c r="I25" s="7">
        <f>'1 prepared data'!H18</f>
        <v/>
      </c>
      <c r="J25" s="7">
        <f>'1 prepared data'!I18</f>
        <v/>
      </c>
      <c r="K25" s="7">
        <f>'1 prepared data'!J18</f>
        <v/>
      </c>
      <c r="L25" s="7">
        <f>'1 prepared data'!K18</f>
        <v/>
      </c>
      <c r="M25" s="7">
        <f>'1 prepared data'!L18</f>
        <v/>
      </c>
      <c r="N25" s="7">
        <f>'1 prepared data'!M18</f>
        <v/>
      </c>
      <c r="O25" s="7">
        <f>'1 prepared data'!N18</f>
        <v/>
      </c>
      <c r="P25" s="7">
        <f>'1 prepared data'!O18</f>
        <v/>
      </c>
      <c r="Q25" s="7">
        <f>'1 prepared data'!P18</f>
        <v/>
      </c>
      <c r="R25" s="7">
        <f>'1 prepared data'!Q18</f>
        <v/>
      </c>
      <c r="S25" s="7">
        <f>'1 prepared data'!R18</f>
        <v/>
      </c>
      <c r="T25" s="7">
        <f>'1 prepared data'!S18</f>
        <v/>
      </c>
      <c r="U25" s="7">
        <f>'1 prepared data'!T18</f>
        <v/>
      </c>
      <c r="V25" s="8">
        <f>$AC$12+D25*$AC$13+E25*$AC$14+F25*$AC$15+G25*$AC$16+H25*$AC$17+I25*$AC$18+J25*$AC$19+K25*$AC$20+L25*$AC$21+M25*$AC$22+N25*$AC$23+O25*$AC$24+P25*$AC$25+Q25*$AC$26+R25*$AC$27+S25*$AC$28+T25*$AC$29+U25*$AC$30</f>
        <v/>
      </c>
      <c r="W25" s="8">
        <f>1/(1+EXP(-V25))</f>
        <v/>
      </c>
      <c r="X25" s="9">
        <f>-IF(C25=1,LN(W25),LN(1-W25))</f>
        <v/>
      </c>
      <c r="Y25" s="10">
        <f>IF(W25&gt;$AC$33,1,0)</f>
        <v/>
      </c>
      <c r="Z25">
        <f>IF(Y25=C25,1,0)</f>
        <v/>
      </c>
      <c r="AB25" t="inlineStr">
        <is>
          <t>sav_unknown</t>
        </is>
      </c>
      <c r="AC25" s="11" t="n">
        <v>-1.076092926242446</v>
      </c>
      <c r="AD25" s="12" t="n">
        <v>-0.2330874688033207</v>
      </c>
      <c r="AE25" s="9">
        <f>ABS(AC25)</f>
        <v/>
      </c>
    </row>
    <row r="26">
      <c r="A26">
        <f>'1 prepared data'!A19</f>
        <v/>
      </c>
      <c r="B26" s="5">
        <f>'1 prepared data'!U19</f>
        <v/>
      </c>
      <c r="C26">
        <f>'1 prepared data'!B19</f>
        <v/>
      </c>
      <c r="D26" s="7">
        <f>'1 prepared data'!C19</f>
        <v/>
      </c>
      <c r="E26" s="7">
        <f>'1 prepared data'!D19</f>
        <v/>
      </c>
      <c r="F26" s="7">
        <f>'1 prepared data'!E19</f>
        <v/>
      </c>
      <c r="G26" s="7">
        <f>'1 prepared data'!F19</f>
        <v/>
      </c>
      <c r="H26" s="7">
        <f>'1 prepared data'!G19</f>
        <v/>
      </c>
      <c r="I26" s="7">
        <f>'1 prepared data'!H19</f>
        <v/>
      </c>
      <c r="J26" s="7">
        <f>'1 prepared data'!I19</f>
        <v/>
      </c>
      <c r="K26" s="7">
        <f>'1 prepared data'!J19</f>
        <v/>
      </c>
      <c r="L26" s="7">
        <f>'1 prepared data'!K19</f>
        <v/>
      </c>
      <c r="M26" s="7">
        <f>'1 prepared data'!L19</f>
        <v/>
      </c>
      <c r="N26" s="7">
        <f>'1 prepared data'!M19</f>
        <v/>
      </c>
      <c r="O26" s="7">
        <f>'1 prepared data'!N19</f>
        <v/>
      </c>
      <c r="P26" s="7">
        <f>'1 prepared data'!O19</f>
        <v/>
      </c>
      <c r="Q26" s="7">
        <f>'1 prepared data'!P19</f>
        <v/>
      </c>
      <c r="R26" s="7">
        <f>'1 prepared data'!Q19</f>
        <v/>
      </c>
      <c r="S26" s="7">
        <f>'1 prepared data'!R19</f>
        <v/>
      </c>
      <c r="T26" s="7">
        <f>'1 prepared data'!S19</f>
        <v/>
      </c>
      <c r="U26" s="7">
        <f>'1 prepared data'!T19</f>
        <v/>
      </c>
      <c r="V26" s="8">
        <f>$AC$12+D26*$AC$13+E26*$AC$14+F26*$AC$15+G26*$AC$16+H26*$AC$17+I26*$AC$18+J26*$AC$19+K26*$AC$20+L26*$AC$21+M26*$AC$22+N26*$AC$23+O26*$AC$24+P26*$AC$25+Q26*$AC$26+R26*$AC$27+S26*$AC$28+T26*$AC$29+U26*$AC$30</f>
        <v/>
      </c>
      <c r="W26" s="8">
        <f>1/(1+EXP(-V26))</f>
        <v/>
      </c>
      <c r="X26" s="9">
        <f>-IF(C26=1,LN(W26),LN(1-W26))</f>
        <v/>
      </c>
      <c r="Y26" s="10">
        <f>IF(W26&gt;$AC$33,1,0)</f>
        <v/>
      </c>
      <c r="Z26">
        <f>IF(Y26=C26,1,0)</f>
        <v/>
      </c>
      <c r="AB26" t="inlineStr">
        <is>
          <t>housing_rent</t>
        </is>
      </c>
      <c r="AC26" s="11" t="n">
        <v>0.6538371780658356</v>
      </c>
      <c r="AD26" s="12" t="n">
        <v>0.08412865889629209</v>
      </c>
      <c r="AE26" s="9">
        <f>ABS(AC26)</f>
        <v/>
      </c>
    </row>
    <row r="27">
      <c r="A27">
        <f>'1 prepared data'!A20</f>
        <v/>
      </c>
      <c r="B27" s="5">
        <f>'1 prepared data'!U20</f>
        <v/>
      </c>
      <c r="C27">
        <f>'1 prepared data'!B20</f>
        <v/>
      </c>
      <c r="D27" s="7">
        <f>'1 prepared data'!C20</f>
        <v/>
      </c>
      <c r="E27" s="7">
        <f>'1 prepared data'!D20</f>
        <v/>
      </c>
      <c r="F27" s="7">
        <f>'1 prepared data'!E20</f>
        <v/>
      </c>
      <c r="G27" s="7">
        <f>'1 prepared data'!F20</f>
        <v/>
      </c>
      <c r="H27" s="7">
        <f>'1 prepared data'!G20</f>
        <v/>
      </c>
      <c r="I27" s="7">
        <f>'1 prepared data'!H20</f>
        <v/>
      </c>
      <c r="J27" s="7">
        <f>'1 prepared data'!I20</f>
        <v/>
      </c>
      <c r="K27" s="7">
        <f>'1 prepared data'!J20</f>
        <v/>
      </c>
      <c r="L27" s="7">
        <f>'1 prepared data'!K20</f>
        <v/>
      </c>
      <c r="M27" s="7">
        <f>'1 prepared data'!L20</f>
        <v/>
      </c>
      <c r="N27" s="7">
        <f>'1 prepared data'!M20</f>
        <v/>
      </c>
      <c r="O27" s="7">
        <f>'1 prepared data'!N20</f>
        <v/>
      </c>
      <c r="P27" s="7">
        <f>'1 prepared data'!O20</f>
        <v/>
      </c>
      <c r="Q27" s="7">
        <f>'1 prepared data'!P20</f>
        <v/>
      </c>
      <c r="R27" s="7">
        <f>'1 prepared data'!Q20</f>
        <v/>
      </c>
      <c r="S27" s="7">
        <f>'1 prepared data'!R20</f>
        <v/>
      </c>
      <c r="T27" s="7">
        <f>'1 prepared data'!S20</f>
        <v/>
      </c>
      <c r="U27" s="7">
        <f>'1 prepared data'!T20</f>
        <v/>
      </c>
      <c r="V27" s="8">
        <f>$AC$12+D27*$AC$13+E27*$AC$14+F27*$AC$15+G27*$AC$16+H27*$AC$17+I27*$AC$18+J27*$AC$19+K27*$AC$20+L27*$AC$21+M27*$AC$22+N27*$AC$23+O27*$AC$24+P27*$AC$25+Q27*$AC$26+R27*$AC$27+S27*$AC$28+T27*$AC$29+U27*$AC$30</f>
        <v/>
      </c>
      <c r="W27" s="8">
        <f>1/(1+EXP(-V27))</f>
        <v/>
      </c>
      <c r="X27" s="9">
        <f>-IF(C27=1,LN(W27),LN(1-W27))</f>
        <v/>
      </c>
      <c r="Y27" s="10">
        <f>IF(W27&gt;$AC$33,1,0)</f>
        <v/>
      </c>
      <c r="Z27">
        <f>IF(Y27=C27,1,0)</f>
        <v/>
      </c>
      <c r="AB27" t="inlineStr">
        <is>
          <t>housing_free</t>
        </is>
      </c>
      <c r="AC27" s="11" t="n">
        <v>0.1953653579159878</v>
      </c>
      <c r="AD27" s="12" t="n">
        <v>0</v>
      </c>
      <c r="AE27" s="9">
        <f>ABS(AC27)</f>
        <v/>
      </c>
    </row>
    <row r="28">
      <c r="A28">
        <f>'1 prepared data'!A21</f>
        <v/>
      </c>
      <c r="B28" s="5">
        <f>'1 prepared data'!U21</f>
        <v/>
      </c>
      <c r="C28">
        <f>'1 prepared data'!B21</f>
        <v/>
      </c>
      <c r="D28" s="7">
        <f>'1 prepared data'!C21</f>
        <v/>
      </c>
      <c r="E28" s="7">
        <f>'1 prepared data'!D21</f>
        <v/>
      </c>
      <c r="F28" s="7">
        <f>'1 prepared data'!E21</f>
        <v/>
      </c>
      <c r="G28" s="7">
        <f>'1 prepared data'!F21</f>
        <v/>
      </c>
      <c r="H28" s="7">
        <f>'1 prepared data'!G21</f>
        <v/>
      </c>
      <c r="I28" s="7">
        <f>'1 prepared data'!H21</f>
        <v/>
      </c>
      <c r="J28" s="7">
        <f>'1 prepared data'!I21</f>
        <v/>
      </c>
      <c r="K28" s="7">
        <f>'1 prepared data'!J21</f>
        <v/>
      </c>
      <c r="L28" s="7">
        <f>'1 prepared data'!K21</f>
        <v/>
      </c>
      <c r="M28" s="7">
        <f>'1 prepared data'!L21</f>
        <v/>
      </c>
      <c r="N28" s="7">
        <f>'1 prepared data'!M21</f>
        <v/>
      </c>
      <c r="O28" s="7">
        <f>'1 prepared data'!N21</f>
        <v/>
      </c>
      <c r="P28" s="7">
        <f>'1 prepared data'!O21</f>
        <v/>
      </c>
      <c r="Q28" s="7">
        <f>'1 prepared data'!P21</f>
        <v/>
      </c>
      <c r="R28" s="7">
        <f>'1 prepared data'!Q21</f>
        <v/>
      </c>
      <c r="S28" s="7">
        <f>'1 prepared data'!R21</f>
        <v/>
      </c>
      <c r="T28" s="7">
        <f>'1 prepared data'!S21</f>
        <v/>
      </c>
      <c r="U28" s="7">
        <f>'1 prepared data'!T21</f>
        <v/>
      </c>
      <c r="V28" s="8">
        <f>$AC$12+D28*$AC$13+E28*$AC$14+F28*$AC$15+G28*$AC$16+H28*$AC$17+I28*$AC$18+J28*$AC$19+K28*$AC$20+L28*$AC$21+M28*$AC$22+N28*$AC$23+O28*$AC$24+P28*$AC$25+Q28*$AC$26+R28*$AC$27+S28*$AC$28+T28*$AC$29+U28*$AC$30</f>
        <v/>
      </c>
      <c r="W28" s="8">
        <f>1/(1+EXP(-V28))</f>
        <v/>
      </c>
      <c r="X28" s="9">
        <f>-IF(C28=1,LN(W28),LN(1-W28))</f>
        <v/>
      </c>
      <c r="Y28" s="10">
        <f>IF(W28&gt;$AC$33,1,0)</f>
        <v/>
      </c>
      <c r="Z28">
        <f>IF(Y28=C28,1,0)</f>
        <v/>
      </c>
      <c r="AB28" t="inlineStr">
        <is>
          <t>purpose_car</t>
        </is>
      </c>
      <c r="AC28" s="11" t="n">
        <v>-0.08016547581790479</v>
      </c>
      <c r="AD28" s="12" t="n">
        <v>0</v>
      </c>
      <c r="AE28" s="9">
        <f>ABS(AC28)</f>
        <v/>
      </c>
    </row>
    <row r="29">
      <c r="A29">
        <f>'1 prepared data'!A22</f>
        <v/>
      </c>
      <c r="B29" s="5">
        <f>'1 prepared data'!U22</f>
        <v/>
      </c>
      <c r="C29">
        <f>'1 prepared data'!B22</f>
        <v/>
      </c>
      <c r="D29" s="7">
        <f>'1 prepared data'!C22</f>
        <v/>
      </c>
      <c r="E29" s="7">
        <f>'1 prepared data'!D22</f>
        <v/>
      </c>
      <c r="F29" s="7">
        <f>'1 prepared data'!E22</f>
        <v/>
      </c>
      <c r="G29" s="7">
        <f>'1 prepared data'!F22</f>
        <v/>
      </c>
      <c r="H29" s="7">
        <f>'1 prepared data'!G22</f>
        <v/>
      </c>
      <c r="I29" s="7">
        <f>'1 prepared data'!H22</f>
        <v/>
      </c>
      <c r="J29" s="7">
        <f>'1 prepared data'!I22</f>
        <v/>
      </c>
      <c r="K29" s="7">
        <f>'1 prepared data'!J22</f>
        <v/>
      </c>
      <c r="L29" s="7">
        <f>'1 prepared data'!K22</f>
        <v/>
      </c>
      <c r="M29" s="7">
        <f>'1 prepared data'!L22</f>
        <v/>
      </c>
      <c r="N29" s="7">
        <f>'1 prepared data'!M22</f>
        <v/>
      </c>
      <c r="O29" s="7">
        <f>'1 prepared data'!N22</f>
        <v/>
      </c>
      <c r="P29" s="7">
        <f>'1 prepared data'!O22</f>
        <v/>
      </c>
      <c r="Q29" s="7">
        <f>'1 prepared data'!P22</f>
        <v/>
      </c>
      <c r="R29" s="7">
        <f>'1 prepared data'!Q22</f>
        <v/>
      </c>
      <c r="S29" s="7">
        <f>'1 prepared data'!R22</f>
        <v/>
      </c>
      <c r="T29" s="7">
        <f>'1 prepared data'!S22</f>
        <v/>
      </c>
      <c r="U29" s="7">
        <f>'1 prepared data'!T22</f>
        <v/>
      </c>
      <c r="V29" s="8">
        <f>$AC$12+D29*$AC$13+E29*$AC$14+F29*$AC$15+G29*$AC$16+H29*$AC$17+I29*$AC$18+J29*$AC$19+K29*$AC$20+L29*$AC$21+M29*$AC$22+N29*$AC$23+O29*$AC$24+P29*$AC$25+Q29*$AC$26+R29*$AC$27+S29*$AC$28+T29*$AC$29+U29*$AC$30</f>
        <v/>
      </c>
      <c r="W29" s="8">
        <f>1/(1+EXP(-V29))</f>
        <v/>
      </c>
      <c r="X29" s="9">
        <f>-IF(C29=1,LN(W29),LN(1-W29))</f>
        <v/>
      </c>
      <c r="Y29" s="10">
        <f>IF(W29&gt;$AC$33,1,0)</f>
        <v/>
      </c>
      <c r="Z29">
        <f>IF(Y29=C29,1,0)</f>
        <v/>
      </c>
      <c r="AB29" t="inlineStr">
        <is>
          <t>purpose_radio_tv</t>
        </is>
      </c>
      <c r="AC29" s="11" t="n">
        <v>-0.5202106472417524</v>
      </c>
      <c r="AD29" s="12" t="n">
        <v>-0.0649363807593048</v>
      </c>
      <c r="AE29" s="9">
        <f>ABS(AC29)</f>
        <v/>
      </c>
    </row>
    <row r="30">
      <c r="A30">
        <f>'1 prepared data'!A23</f>
        <v/>
      </c>
      <c r="B30" s="5">
        <f>'1 prepared data'!U23</f>
        <v/>
      </c>
      <c r="C30">
        <f>'1 prepared data'!B23</f>
        <v/>
      </c>
      <c r="D30" s="7">
        <f>'1 prepared data'!C23</f>
        <v/>
      </c>
      <c r="E30" s="7">
        <f>'1 prepared data'!D23</f>
        <v/>
      </c>
      <c r="F30" s="7">
        <f>'1 prepared data'!E23</f>
        <v/>
      </c>
      <c r="G30" s="7">
        <f>'1 prepared data'!F23</f>
        <v/>
      </c>
      <c r="H30" s="7">
        <f>'1 prepared data'!G23</f>
        <v/>
      </c>
      <c r="I30" s="7">
        <f>'1 prepared data'!H23</f>
        <v/>
      </c>
      <c r="J30" s="7">
        <f>'1 prepared data'!I23</f>
        <v/>
      </c>
      <c r="K30" s="7">
        <f>'1 prepared data'!J23</f>
        <v/>
      </c>
      <c r="L30" s="7">
        <f>'1 prepared data'!K23</f>
        <v/>
      </c>
      <c r="M30" s="7">
        <f>'1 prepared data'!L23</f>
        <v/>
      </c>
      <c r="N30" s="7">
        <f>'1 prepared data'!M23</f>
        <v/>
      </c>
      <c r="O30" s="7">
        <f>'1 prepared data'!N23</f>
        <v/>
      </c>
      <c r="P30" s="7">
        <f>'1 prepared data'!O23</f>
        <v/>
      </c>
      <c r="Q30" s="7">
        <f>'1 prepared data'!P23</f>
        <v/>
      </c>
      <c r="R30" s="7">
        <f>'1 prepared data'!Q23</f>
        <v/>
      </c>
      <c r="S30" s="7">
        <f>'1 prepared data'!R23</f>
        <v/>
      </c>
      <c r="T30" s="7">
        <f>'1 prepared data'!S23</f>
        <v/>
      </c>
      <c r="U30" s="7">
        <f>'1 prepared data'!T23</f>
        <v/>
      </c>
      <c r="V30" s="8">
        <f>$AC$12+D30*$AC$13+E30*$AC$14+F30*$AC$15+G30*$AC$16+H30*$AC$17+I30*$AC$18+J30*$AC$19+K30*$AC$20+L30*$AC$21+M30*$AC$22+N30*$AC$23+O30*$AC$24+P30*$AC$25+Q30*$AC$26+R30*$AC$27+S30*$AC$28+T30*$AC$29+U30*$AC$30</f>
        <v/>
      </c>
      <c r="W30" s="8">
        <f>1/(1+EXP(-V30))</f>
        <v/>
      </c>
      <c r="X30" s="9">
        <f>-IF(C30=1,LN(W30),LN(1-W30))</f>
        <v/>
      </c>
      <c r="Y30" s="10">
        <f>IF(W30&gt;$AC$33,1,0)</f>
        <v/>
      </c>
      <c r="Z30">
        <f>IF(Y30=C30,1,0)</f>
        <v/>
      </c>
      <c r="AB30" t="inlineStr">
        <is>
          <t>purpose_furniture</t>
        </is>
      </c>
      <c r="AC30" s="11" t="n">
        <v>-0.2818027438096851</v>
      </c>
      <c r="AD30" s="12" t="n">
        <v>0</v>
      </c>
      <c r="AE30" s="9">
        <f>ABS(AC30)</f>
        <v/>
      </c>
    </row>
    <row r="31">
      <c r="A31">
        <f>'1 prepared data'!A24</f>
        <v/>
      </c>
      <c r="B31" s="5">
        <f>'1 prepared data'!U24</f>
        <v/>
      </c>
      <c r="C31">
        <f>'1 prepared data'!B24</f>
        <v/>
      </c>
      <c r="D31" s="7">
        <f>'1 prepared data'!C24</f>
        <v/>
      </c>
      <c r="E31" s="7">
        <f>'1 prepared data'!D24</f>
        <v/>
      </c>
      <c r="F31" s="7">
        <f>'1 prepared data'!E24</f>
        <v/>
      </c>
      <c r="G31" s="7">
        <f>'1 prepared data'!F24</f>
        <v/>
      </c>
      <c r="H31" s="7">
        <f>'1 prepared data'!G24</f>
        <v/>
      </c>
      <c r="I31" s="7">
        <f>'1 prepared data'!H24</f>
        <v/>
      </c>
      <c r="J31" s="7">
        <f>'1 prepared data'!I24</f>
        <v/>
      </c>
      <c r="K31" s="7">
        <f>'1 prepared data'!J24</f>
        <v/>
      </c>
      <c r="L31" s="7">
        <f>'1 prepared data'!K24</f>
        <v/>
      </c>
      <c r="M31" s="7">
        <f>'1 prepared data'!L24</f>
        <v/>
      </c>
      <c r="N31" s="7">
        <f>'1 prepared data'!M24</f>
        <v/>
      </c>
      <c r="O31" s="7">
        <f>'1 prepared data'!N24</f>
        <v/>
      </c>
      <c r="P31" s="7">
        <f>'1 prepared data'!O24</f>
        <v/>
      </c>
      <c r="Q31" s="7">
        <f>'1 prepared data'!P24</f>
        <v/>
      </c>
      <c r="R31" s="7">
        <f>'1 prepared data'!Q24</f>
        <v/>
      </c>
      <c r="S31" s="7">
        <f>'1 prepared data'!R24</f>
        <v/>
      </c>
      <c r="T31" s="7">
        <f>'1 prepared data'!S24</f>
        <v/>
      </c>
      <c r="U31" s="7">
        <f>'1 prepared data'!T24</f>
        <v/>
      </c>
      <c r="V31" s="8">
        <f>$AC$12+D31*$AC$13+E31*$AC$14+F31*$AC$15+G31*$AC$16+H31*$AC$17+I31*$AC$18+J31*$AC$19+K31*$AC$20+L31*$AC$21+M31*$AC$22+N31*$AC$23+O31*$AC$24+P31*$AC$25+Q31*$AC$26+R31*$AC$27+S31*$AC$28+T31*$AC$29+U31*$AC$30</f>
        <v/>
      </c>
      <c r="W31" s="8">
        <f>1/(1+EXP(-V31))</f>
        <v/>
      </c>
      <c r="X31" s="9">
        <f>-IF(C31=1,LN(W31),LN(1-W31))</f>
        <v/>
      </c>
      <c r="Y31" s="10">
        <f>IF(W31&gt;$AC$33,1,0)</f>
        <v/>
      </c>
      <c r="Z31">
        <f>IF(Y31=C31,1,0)</f>
        <v/>
      </c>
    </row>
    <row r="32">
      <c r="A32">
        <f>'1 prepared data'!A25</f>
        <v/>
      </c>
      <c r="B32" s="5">
        <f>'1 prepared data'!U25</f>
        <v/>
      </c>
      <c r="C32">
        <f>'1 prepared data'!B25</f>
        <v/>
      </c>
      <c r="D32" s="7">
        <f>'1 prepared data'!C25</f>
        <v/>
      </c>
      <c r="E32" s="7">
        <f>'1 prepared data'!D25</f>
        <v/>
      </c>
      <c r="F32" s="7">
        <f>'1 prepared data'!E25</f>
        <v/>
      </c>
      <c r="G32" s="7">
        <f>'1 prepared data'!F25</f>
        <v/>
      </c>
      <c r="H32" s="7">
        <f>'1 prepared data'!G25</f>
        <v/>
      </c>
      <c r="I32" s="7">
        <f>'1 prepared data'!H25</f>
        <v/>
      </c>
      <c r="J32" s="7">
        <f>'1 prepared data'!I25</f>
        <v/>
      </c>
      <c r="K32" s="7">
        <f>'1 prepared data'!J25</f>
        <v/>
      </c>
      <c r="L32" s="7">
        <f>'1 prepared data'!K25</f>
        <v/>
      </c>
      <c r="M32" s="7">
        <f>'1 prepared data'!L25</f>
        <v/>
      </c>
      <c r="N32" s="7">
        <f>'1 prepared data'!M25</f>
        <v/>
      </c>
      <c r="O32" s="7">
        <f>'1 prepared data'!N25</f>
        <v/>
      </c>
      <c r="P32" s="7">
        <f>'1 prepared data'!O25</f>
        <v/>
      </c>
      <c r="Q32" s="7">
        <f>'1 prepared data'!P25</f>
        <v/>
      </c>
      <c r="R32" s="7">
        <f>'1 prepared data'!Q25</f>
        <v/>
      </c>
      <c r="S32" s="7">
        <f>'1 prepared data'!R25</f>
        <v/>
      </c>
      <c r="T32" s="7">
        <f>'1 prepared data'!S25</f>
        <v/>
      </c>
      <c r="U32" s="7">
        <f>'1 prepared data'!T25</f>
        <v/>
      </c>
      <c r="V32" s="8">
        <f>$AC$12+D32*$AC$13+E32*$AC$14+F32*$AC$15+G32*$AC$16+H32*$AC$17+I32*$AC$18+J32*$AC$19+K32*$AC$20+L32*$AC$21+M32*$AC$22+N32*$AC$23+O32*$AC$24+P32*$AC$25+Q32*$AC$26+R32*$AC$27+S32*$AC$28+T32*$AC$29+U32*$AC$30</f>
        <v/>
      </c>
      <c r="W32" s="8">
        <f>1/(1+EXP(-V32))</f>
        <v/>
      </c>
      <c r="X32" s="9">
        <f>-IF(C32=1,LN(W32),LN(1-W32))</f>
        <v/>
      </c>
      <c r="Y32" s="10">
        <f>IF(W32&gt;$AC$33,1,0)</f>
        <v/>
      </c>
      <c r="Z32">
        <f>IF(Y32=C32,1,0)</f>
        <v/>
      </c>
      <c r="AB32" s="3" t="inlineStr">
        <is>
          <t>λ (lambda): how much the size of the weights costs</t>
        </is>
      </c>
      <c r="AC32" s="15" t="n">
        <v>10</v>
      </c>
    </row>
    <row r="33">
      <c r="A33">
        <f>'1 prepared data'!A26</f>
        <v/>
      </c>
      <c r="B33" s="5">
        <f>'1 prepared data'!U26</f>
        <v/>
      </c>
      <c r="C33">
        <f>'1 prepared data'!B26</f>
        <v/>
      </c>
      <c r="D33" s="7">
        <f>'1 prepared data'!C26</f>
        <v/>
      </c>
      <c r="E33" s="7">
        <f>'1 prepared data'!D26</f>
        <v/>
      </c>
      <c r="F33" s="7">
        <f>'1 prepared data'!E26</f>
        <v/>
      </c>
      <c r="G33" s="7">
        <f>'1 prepared data'!F26</f>
        <v/>
      </c>
      <c r="H33" s="7">
        <f>'1 prepared data'!G26</f>
        <v/>
      </c>
      <c r="I33" s="7">
        <f>'1 prepared data'!H26</f>
        <v/>
      </c>
      <c r="J33" s="7">
        <f>'1 prepared data'!I26</f>
        <v/>
      </c>
      <c r="K33" s="7">
        <f>'1 prepared data'!J26</f>
        <v/>
      </c>
      <c r="L33" s="7">
        <f>'1 prepared data'!K26</f>
        <v/>
      </c>
      <c r="M33" s="7">
        <f>'1 prepared data'!L26</f>
        <v/>
      </c>
      <c r="N33" s="7">
        <f>'1 prepared data'!M26</f>
        <v/>
      </c>
      <c r="O33" s="7">
        <f>'1 prepared data'!N26</f>
        <v/>
      </c>
      <c r="P33" s="7">
        <f>'1 prepared data'!O26</f>
        <v/>
      </c>
      <c r="Q33" s="7">
        <f>'1 prepared data'!P26</f>
        <v/>
      </c>
      <c r="R33" s="7">
        <f>'1 prepared data'!Q26</f>
        <v/>
      </c>
      <c r="S33" s="7">
        <f>'1 prepared data'!R26</f>
        <v/>
      </c>
      <c r="T33" s="7">
        <f>'1 prepared data'!S26</f>
        <v/>
      </c>
      <c r="U33" s="7">
        <f>'1 prepared data'!T26</f>
        <v/>
      </c>
      <c r="V33" s="8">
        <f>$AC$12+D33*$AC$13+E33*$AC$14+F33*$AC$15+G33*$AC$16+H33*$AC$17+I33*$AC$18+J33*$AC$19+K33*$AC$20+L33*$AC$21+M33*$AC$22+N33*$AC$23+O33*$AC$24+P33*$AC$25+Q33*$AC$26+R33*$AC$27+S33*$AC$28+T33*$AC$29+U33*$AC$30</f>
        <v/>
      </c>
      <c r="W33" s="8">
        <f>1/(1+EXP(-V33))</f>
        <v/>
      </c>
      <c r="X33" s="9">
        <f>-IF(C33=1,LN(W33),LN(1-W33))</f>
        <v/>
      </c>
      <c r="Y33" s="10">
        <f>IF(W33&gt;$AC$33,1,0)</f>
        <v/>
      </c>
      <c r="Z33">
        <f>IF(Y33=C33,1,0)</f>
        <v/>
      </c>
      <c r="AB33" s="3" t="inlineStr">
        <is>
          <t>threshold</t>
        </is>
      </c>
      <c r="AC33" s="16" t="n">
        <v>0.5</v>
      </c>
    </row>
    <row r="34">
      <c r="A34">
        <f>'1 prepared data'!A27</f>
        <v/>
      </c>
      <c r="B34" s="5">
        <f>'1 prepared data'!U27</f>
        <v/>
      </c>
      <c r="C34">
        <f>'1 prepared data'!B27</f>
        <v/>
      </c>
      <c r="D34" s="7">
        <f>'1 prepared data'!C27</f>
        <v/>
      </c>
      <c r="E34" s="7">
        <f>'1 prepared data'!D27</f>
        <v/>
      </c>
      <c r="F34" s="7">
        <f>'1 prepared data'!E27</f>
        <v/>
      </c>
      <c r="G34" s="7">
        <f>'1 prepared data'!F27</f>
        <v/>
      </c>
      <c r="H34" s="7">
        <f>'1 prepared data'!G27</f>
        <v/>
      </c>
      <c r="I34" s="7">
        <f>'1 prepared data'!H27</f>
        <v/>
      </c>
      <c r="J34" s="7">
        <f>'1 prepared data'!I27</f>
        <v/>
      </c>
      <c r="K34" s="7">
        <f>'1 prepared data'!J27</f>
        <v/>
      </c>
      <c r="L34" s="7">
        <f>'1 prepared data'!K27</f>
        <v/>
      </c>
      <c r="M34" s="7">
        <f>'1 prepared data'!L27</f>
        <v/>
      </c>
      <c r="N34" s="7">
        <f>'1 prepared data'!M27</f>
        <v/>
      </c>
      <c r="O34" s="7">
        <f>'1 prepared data'!N27</f>
        <v/>
      </c>
      <c r="P34" s="7">
        <f>'1 prepared data'!O27</f>
        <v/>
      </c>
      <c r="Q34" s="7">
        <f>'1 prepared data'!P27</f>
        <v/>
      </c>
      <c r="R34" s="7">
        <f>'1 prepared data'!Q27</f>
        <v/>
      </c>
      <c r="S34" s="7">
        <f>'1 prepared data'!R27</f>
        <v/>
      </c>
      <c r="T34" s="7">
        <f>'1 prepared data'!S27</f>
        <v/>
      </c>
      <c r="U34" s="7">
        <f>'1 prepared data'!T27</f>
        <v/>
      </c>
      <c r="V34" s="8">
        <f>$AC$12+D34*$AC$13+E34*$AC$14+F34*$AC$15+G34*$AC$16+H34*$AC$17+I34*$AC$18+J34*$AC$19+K34*$AC$20+L34*$AC$21+M34*$AC$22+N34*$AC$23+O34*$AC$24+P34*$AC$25+Q34*$AC$26+R34*$AC$27+S34*$AC$28+T34*$AC$29+U34*$AC$30</f>
        <v/>
      </c>
      <c r="W34" s="8">
        <f>1/(1+EXP(-V34))</f>
        <v/>
      </c>
      <c r="X34" s="9">
        <f>-IF(C34=1,LN(W34),LN(1-W34))</f>
        <v/>
      </c>
      <c r="Y34" s="10">
        <f>IF(W34&gt;$AC$33,1,0)</f>
        <v/>
      </c>
      <c r="Z34">
        <f>IF(Y34=C34,1,0)</f>
        <v/>
      </c>
    </row>
    <row r="35">
      <c r="A35">
        <f>'1 prepared data'!A28</f>
        <v/>
      </c>
      <c r="B35" s="5">
        <f>'1 prepared data'!U28</f>
        <v/>
      </c>
      <c r="C35">
        <f>'1 prepared data'!B28</f>
        <v/>
      </c>
      <c r="D35" s="7">
        <f>'1 prepared data'!C28</f>
        <v/>
      </c>
      <c r="E35" s="7">
        <f>'1 prepared data'!D28</f>
        <v/>
      </c>
      <c r="F35" s="7">
        <f>'1 prepared data'!E28</f>
        <v/>
      </c>
      <c r="G35" s="7">
        <f>'1 prepared data'!F28</f>
        <v/>
      </c>
      <c r="H35" s="7">
        <f>'1 prepared data'!G28</f>
        <v/>
      </c>
      <c r="I35" s="7">
        <f>'1 prepared data'!H28</f>
        <v/>
      </c>
      <c r="J35" s="7">
        <f>'1 prepared data'!I28</f>
        <v/>
      </c>
      <c r="K35" s="7">
        <f>'1 prepared data'!J28</f>
        <v/>
      </c>
      <c r="L35" s="7">
        <f>'1 prepared data'!K28</f>
        <v/>
      </c>
      <c r="M35" s="7">
        <f>'1 prepared data'!L28</f>
        <v/>
      </c>
      <c r="N35" s="7">
        <f>'1 prepared data'!M28</f>
        <v/>
      </c>
      <c r="O35" s="7">
        <f>'1 prepared data'!N28</f>
        <v/>
      </c>
      <c r="P35" s="7">
        <f>'1 prepared data'!O28</f>
        <v/>
      </c>
      <c r="Q35" s="7">
        <f>'1 prepared data'!P28</f>
        <v/>
      </c>
      <c r="R35" s="7">
        <f>'1 prepared data'!Q28</f>
        <v/>
      </c>
      <c r="S35" s="7">
        <f>'1 prepared data'!R28</f>
        <v/>
      </c>
      <c r="T35" s="7">
        <f>'1 prepared data'!S28</f>
        <v/>
      </c>
      <c r="U35" s="7">
        <f>'1 prepared data'!T28</f>
        <v/>
      </c>
      <c r="V35" s="8">
        <f>$AC$12+D35*$AC$13+E35*$AC$14+F35*$AC$15+G35*$AC$16+H35*$AC$17+I35*$AC$18+J35*$AC$19+K35*$AC$20+L35*$AC$21+M35*$AC$22+N35*$AC$23+O35*$AC$24+P35*$AC$25+Q35*$AC$26+R35*$AC$27+S35*$AC$28+T35*$AC$29+U35*$AC$30</f>
        <v/>
      </c>
      <c r="W35" s="8">
        <f>1/(1+EXP(-V35))</f>
        <v/>
      </c>
      <c r="X35" s="9">
        <f>-IF(C35=1,LN(W35),LN(1-W35))</f>
        <v/>
      </c>
      <c r="Y35" s="10">
        <f>IF(W35&gt;$AC$33,1,0)</f>
        <v/>
      </c>
      <c r="Z35">
        <f>IF(Y35=C35,1,0)</f>
        <v/>
      </c>
      <c r="AB35" s="3" t="inlineStr">
        <is>
          <t>RESULTS</t>
        </is>
      </c>
    </row>
    <row r="36">
      <c r="A36">
        <f>'1 prepared data'!A29</f>
        <v/>
      </c>
      <c r="B36" s="5">
        <f>'1 prepared data'!U29</f>
        <v/>
      </c>
      <c r="C36">
        <f>'1 prepared data'!B29</f>
        <v/>
      </c>
      <c r="D36" s="7">
        <f>'1 prepared data'!C29</f>
        <v/>
      </c>
      <c r="E36" s="7">
        <f>'1 prepared data'!D29</f>
        <v/>
      </c>
      <c r="F36" s="7">
        <f>'1 prepared data'!E29</f>
        <v/>
      </c>
      <c r="G36" s="7">
        <f>'1 prepared data'!F29</f>
        <v/>
      </c>
      <c r="H36" s="7">
        <f>'1 prepared data'!G29</f>
        <v/>
      </c>
      <c r="I36" s="7">
        <f>'1 prepared data'!H29</f>
        <v/>
      </c>
      <c r="J36" s="7">
        <f>'1 prepared data'!I29</f>
        <v/>
      </c>
      <c r="K36" s="7">
        <f>'1 prepared data'!J29</f>
        <v/>
      </c>
      <c r="L36" s="7">
        <f>'1 prepared data'!K29</f>
        <v/>
      </c>
      <c r="M36" s="7">
        <f>'1 prepared data'!L29</f>
        <v/>
      </c>
      <c r="N36" s="7">
        <f>'1 prepared data'!M29</f>
        <v/>
      </c>
      <c r="O36" s="7">
        <f>'1 prepared data'!N29</f>
        <v/>
      </c>
      <c r="P36" s="7">
        <f>'1 prepared data'!O29</f>
        <v/>
      </c>
      <c r="Q36" s="7">
        <f>'1 prepared data'!P29</f>
        <v/>
      </c>
      <c r="R36" s="7">
        <f>'1 prepared data'!Q29</f>
        <v/>
      </c>
      <c r="S36" s="7">
        <f>'1 prepared data'!R29</f>
        <v/>
      </c>
      <c r="T36" s="7">
        <f>'1 prepared data'!S29</f>
        <v/>
      </c>
      <c r="U36" s="7">
        <f>'1 prepared data'!T29</f>
        <v/>
      </c>
      <c r="V36" s="8">
        <f>$AC$12+D36*$AC$13+E36*$AC$14+F36*$AC$15+G36*$AC$16+H36*$AC$17+I36*$AC$18+J36*$AC$19+K36*$AC$20+L36*$AC$21+M36*$AC$22+N36*$AC$23+O36*$AC$24+P36*$AC$25+Q36*$AC$26+R36*$AC$27+S36*$AC$28+T36*$AC$29+U36*$AC$30</f>
        <v/>
      </c>
      <c r="W36" s="8">
        <f>1/(1+EXP(-V36))</f>
        <v/>
      </c>
      <c r="X36" s="9">
        <f>-IF(C36=1,LN(W36),LN(1-W36))</f>
        <v/>
      </c>
      <c r="Y36" s="10">
        <f>IF(W36&gt;$AC$33,1,0)</f>
        <v/>
      </c>
      <c r="Z36">
        <f>IF(Y36=C36,1,0)</f>
        <v/>
      </c>
      <c r="AB36" t="inlineStr">
        <is>
          <t>sum of training losses</t>
        </is>
      </c>
      <c r="AC36" s="17">
        <f>SUMPRODUCT(($B$12:$B$1011="training")*$X$12:$X$1011)</f>
        <v/>
      </c>
    </row>
    <row r="37">
      <c r="A37">
        <f>'1 prepared data'!A30</f>
        <v/>
      </c>
      <c r="B37" s="5">
        <f>'1 prepared data'!U30</f>
        <v/>
      </c>
      <c r="C37">
        <f>'1 prepared data'!B30</f>
        <v/>
      </c>
      <c r="D37" s="7">
        <f>'1 prepared data'!C30</f>
        <v/>
      </c>
      <c r="E37" s="7">
        <f>'1 prepared data'!D30</f>
        <v/>
      </c>
      <c r="F37" s="7">
        <f>'1 prepared data'!E30</f>
        <v/>
      </c>
      <c r="G37" s="7">
        <f>'1 prepared data'!F30</f>
        <v/>
      </c>
      <c r="H37" s="7">
        <f>'1 prepared data'!G30</f>
        <v/>
      </c>
      <c r="I37" s="7">
        <f>'1 prepared data'!H30</f>
        <v/>
      </c>
      <c r="J37" s="7">
        <f>'1 prepared data'!I30</f>
        <v/>
      </c>
      <c r="K37" s="7">
        <f>'1 prepared data'!J30</f>
        <v/>
      </c>
      <c r="L37" s="7">
        <f>'1 prepared data'!K30</f>
        <v/>
      </c>
      <c r="M37" s="7">
        <f>'1 prepared data'!L30</f>
        <v/>
      </c>
      <c r="N37" s="7">
        <f>'1 prepared data'!M30</f>
        <v/>
      </c>
      <c r="O37" s="7">
        <f>'1 prepared data'!N30</f>
        <v/>
      </c>
      <c r="P37" s="7">
        <f>'1 prepared data'!O30</f>
        <v/>
      </c>
      <c r="Q37" s="7">
        <f>'1 prepared data'!P30</f>
        <v/>
      </c>
      <c r="R37" s="7">
        <f>'1 prepared data'!Q30</f>
        <v/>
      </c>
      <c r="S37" s="7">
        <f>'1 prepared data'!R30</f>
        <v/>
      </c>
      <c r="T37" s="7">
        <f>'1 prepared data'!S30</f>
        <v/>
      </c>
      <c r="U37" s="7">
        <f>'1 prepared data'!T30</f>
        <v/>
      </c>
      <c r="V37" s="8">
        <f>$AC$12+D37*$AC$13+E37*$AC$14+F37*$AC$15+G37*$AC$16+H37*$AC$17+I37*$AC$18+J37*$AC$19+K37*$AC$20+L37*$AC$21+M37*$AC$22+N37*$AC$23+O37*$AC$24+P37*$AC$25+Q37*$AC$26+R37*$AC$27+S37*$AC$28+T37*$AC$29+U37*$AC$30</f>
        <v/>
      </c>
      <c r="W37" s="8">
        <f>1/(1+EXP(-V37))</f>
        <v/>
      </c>
      <c r="X37" s="9">
        <f>-IF(C37=1,LN(W37),LN(1-W37))</f>
        <v/>
      </c>
      <c r="Y37" s="10">
        <f>IF(W37&gt;$AC$33,1,0)</f>
        <v/>
      </c>
      <c r="Z37">
        <f>IF(Y37=C37,1,0)</f>
        <v/>
      </c>
      <c r="AB37" t="inlineStr">
        <is>
          <t>L1 penalty = λ · Σ |theta|</t>
        </is>
      </c>
      <c r="AC37" s="18">
        <f>$AC$32*SUM($AE$13:$AE$30)</f>
        <v/>
      </c>
    </row>
    <row r="38">
      <c r="A38">
        <f>'1 prepared data'!A31</f>
        <v/>
      </c>
      <c r="B38" s="5">
        <f>'1 prepared data'!U31</f>
        <v/>
      </c>
      <c r="C38">
        <f>'1 prepared data'!B31</f>
        <v/>
      </c>
      <c r="D38" s="7">
        <f>'1 prepared data'!C31</f>
        <v/>
      </c>
      <c r="E38" s="7">
        <f>'1 prepared data'!D31</f>
        <v/>
      </c>
      <c r="F38" s="7">
        <f>'1 prepared data'!E31</f>
        <v/>
      </c>
      <c r="G38" s="7">
        <f>'1 prepared data'!F31</f>
        <v/>
      </c>
      <c r="H38" s="7">
        <f>'1 prepared data'!G31</f>
        <v/>
      </c>
      <c r="I38" s="7">
        <f>'1 prepared data'!H31</f>
        <v/>
      </c>
      <c r="J38" s="7">
        <f>'1 prepared data'!I31</f>
        <v/>
      </c>
      <c r="K38" s="7">
        <f>'1 prepared data'!J31</f>
        <v/>
      </c>
      <c r="L38" s="7">
        <f>'1 prepared data'!K31</f>
        <v/>
      </c>
      <c r="M38" s="7">
        <f>'1 prepared data'!L31</f>
        <v/>
      </c>
      <c r="N38" s="7">
        <f>'1 prepared data'!M31</f>
        <v/>
      </c>
      <c r="O38" s="7">
        <f>'1 prepared data'!N31</f>
        <v/>
      </c>
      <c r="P38" s="7">
        <f>'1 prepared data'!O31</f>
        <v/>
      </c>
      <c r="Q38" s="7">
        <f>'1 prepared data'!P31</f>
        <v/>
      </c>
      <c r="R38" s="7">
        <f>'1 prepared data'!Q31</f>
        <v/>
      </c>
      <c r="S38" s="7">
        <f>'1 prepared data'!R31</f>
        <v/>
      </c>
      <c r="T38" s="7">
        <f>'1 prepared data'!S31</f>
        <v/>
      </c>
      <c r="U38" s="7">
        <f>'1 prepared data'!T31</f>
        <v/>
      </c>
      <c r="V38" s="8">
        <f>$AC$12+D38*$AC$13+E38*$AC$14+F38*$AC$15+G38*$AC$16+H38*$AC$17+I38*$AC$18+J38*$AC$19+K38*$AC$20+L38*$AC$21+M38*$AC$22+N38*$AC$23+O38*$AC$24+P38*$AC$25+Q38*$AC$26+R38*$AC$27+S38*$AC$28+T38*$AC$29+U38*$AC$30</f>
        <v/>
      </c>
      <c r="W38" s="8">
        <f>1/(1+EXP(-V38))</f>
        <v/>
      </c>
      <c r="X38" s="9">
        <f>-IF(C38=1,LN(W38),LN(1-W38))</f>
        <v/>
      </c>
      <c r="Y38" s="10">
        <f>IF(W38&gt;$AC$33,1,0)</f>
        <v/>
      </c>
      <c r="Z38">
        <f>IF(Y38=C38,1,0)</f>
        <v/>
      </c>
      <c r="AB38" t="inlineStr">
        <is>
          <t>J = sum of losses + penalty (SOLVER OBJECTIVE)</t>
        </is>
      </c>
      <c r="AC38" s="17">
        <f>AC36+AC37</f>
        <v/>
      </c>
    </row>
    <row r="39">
      <c r="A39">
        <f>'1 prepared data'!A32</f>
        <v/>
      </c>
      <c r="B39" s="5">
        <f>'1 prepared data'!U32</f>
        <v/>
      </c>
      <c r="C39">
        <f>'1 prepared data'!B32</f>
        <v/>
      </c>
      <c r="D39" s="7">
        <f>'1 prepared data'!C32</f>
        <v/>
      </c>
      <c r="E39" s="7">
        <f>'1 prepared data'!D32</f>
        <v/>
      </c>
      <c r="F39" s="7">
        <f>'1 prepared data'!E32</f>
        <v/>
      </c>
      <c r="G39" s="7">
        <f>'1 prepared data'!F32</f>
        <v/>
      </c>
      <c r="H39" s="7">
        <f>'1 prepared data'!G32</f>
        <v/>
      </c>
      <c r="I39" s="7">
        <f>'1 prepared data'!H32</f>
        <v/>
      </c>
      <c r="J39" s="7">
        <f>'1 prepared data'!I32</f>
        <v/>
      </c>
      <c r="K39" s="7">
        <f>'1 prepared data'!J32</f>
        <v/>
      </c>
      <c r="L39" s="7">
        <f>'1 prepared data'!K32</f>
        <v/>
      </c>
      <c r="M39" s="7">
        <f>'1 prepared data'!L32</f>
        <v/>
      </c>
      <c r="N39" s="7">
        <f>'1 prepared data'!M32</f>
        <v/>
      </c>
      <c r="O39" s="7">
        <f>'1 prepared data'!N32</f>
        <v/>
      </c>
      <c r="P39" s="7">
        <f>'1 prepared data'!O32</f>
        <v/>
      </c>
      <c r="Q39" s="7">
        <f>'1 prepared data'!P32</f>
        <v/>
      </c>
      <c r="R39" s="7">
        <f>'1 prepared data'!Q32</f>
        <v/>
      </c>
      <c r="S39" s="7">
        <f>'1 prepared data'!R32</f>
        <v/>
      </c>
      <c r="T39" s="7">
        <f>'1 prepared data'!S32</f>
        <v/>
      </c>
      <c r="U39" s="7">
        <f>'1 prepared data'!T32</f>
        <v/>
      </c>
      <c r="V39" s="8">
        <f>$AC$12+D39*$AC$13+E39*$AC$14+F39*$AC$15+G39*$AC$16+H39*$AC$17+I39*$AC$18+J39*$AC$19+K39*$AC$20+L39*$AC$21+M39*$AC$22+N39*$AC$23+O39*$AC$24+P39*$AC$25+Q39*$AC$26+R39*$AC$27+S39*$AC$28+T39*$AC$29+U39*$AC$30</f>
        <v/>
      </c>
      <c r="W39" s="8">
        <f>1/(1+EXP(-V39))</f>
        <v/>
      </c>
      <c r="X39" s="9">
        <f>-IF(C39=1,LN(W39),LN(1-W39))</f>
        <v/>
      </c>
      <c r="Y39" s="10">
        <f>IF(W39&gt;$AC$33,1,0)</f>
        <v/>
      </c>
      <c r="Z39">
        <f>IF(Y39=C39,1,0)</f>
        <v/>
      </c>
      <c r="AB39" t="inlineStr">
        <is>
          <t>average training loss</t>
        </is>
      </c>
      <c r="AC39" s="19">
        <f>AC36/COUNTIF($B$12:$B$1011,"training")</f>
        <v/>
      </c>
    </row>
    <row r="40">
      <c r="A40">
        <f>'1 prepared data'!A33</f>
        <v/>
      </c>
      <c r="B40" s="5">
        <f>'1 prepared data'!U33</f>
        <v/>
      </c>
      <c r="C40">
        <f>'1 prepared data'!B33</f>
        <v/>
      </c>
      <c r="D40" s="7">
        <f>'1 prepared data'!C33</f>
        <v/>
      </c>
      <c r="E40" s="7">
        <f>'1 prepared data'!D33</f>
        <v/>
      </c>
      <c r="F40" s="7">
        <f>'1 prepared data'!E33</f>
        <v/>
      </c>
      <c r="G40" s="7">
        <f>'1 prepared data'!F33</f>
        <v/>
      </c>
      <c r="H40" s="7">
        <f>'1 prepared data'!G33</f>
        <v/>
      </c>
      <c r="I40" s="7">
        <f>'1 prepared data'!H33</f>
        <v/>
      </c>
      <c r="J40" s="7">
        <f>'1 prepared data'!I33</f>
        <v/>
      </c>
      <c r="K40" s="7">
        <f>'1 prepared data'!J33</f>
        <v/>
      </c>
      <c r="L40" s="7">
        <f>'1 prepared data'!K33</f>
        <v/>
      </c>
      <c r="M40" s="7">
        <f>'1 prepared data'!L33</f>
        <v/>
      </c>
      <c r="N40" s="7">
        <f>'1 prepared data'!M33</f>
        <v/>
      </c>
      <c r="O40" s="7">
        <f>'1 prepared data'!N33</f>
        <v/>
      </c>
      <c r="P40" s="7">
        <f>'1 prepared data'!O33</f>
        <v/>
      </c>
      <c r="Q40" s="7">
        <f>'1 prepared data'!P33</f>
        <v/>
      </c>
      <c r="R40" s="7">
        <f>'1 prepared data'!Q33</f>
        <v/>
      </c>
      <c r="S40" s="7">
        <f>'1 prepared data'!R33</f>
        <v/>
      </c>
      <c r="T40" s="7">
        <f>'1 prepared data'!S33</f>
        <v/>
      </c>
      <c r="U40" s="7">
        <f>'1 prepared data'!T33</f>
        <v/>
      </c>
      <c r="V40" s="8">
        <f>$AC$12+D40*$AC$13+E40*$AC$14+F40*$AC$15+G40*$AC$16+H40*$AC$17+I40*$AC$18+J40*$AC$19+K40*$AC$20+L40*$AC$21+M40*$AC$22+N40*$AC$23+O40*$AC$24+P40*$AC$25+Q40*$AC$26+R40*$AC$27+S40*$AC$28+T40*$AC$29+U40*$AC$30</f>
        <v/>
      </c>
      <c r="W40" s="8">
        <f>1/(1+EXP(-V40))</f>
        <v/>
      </c>
      <c r="X40" s="9">
        <f>-IF(C40=1,LN(W40),LN(1-W40))</f>
        <v/>
      </c>
      <c r="Y40" s="10">
        <f>IF(W40&gt;$AC$33,1,0)</f>
        <v/>
      </c>
      <c r="Z40">
        <f>IF(Y40=C40,1,0)</f>
        <v/>
      </c>
      <c r="AB40" t="inlineStr">
        <is>
          <t>average testing loss</t>
        </is>
      </c>
      <c r="AC40" s="19">
        <f>SUMPRODUCT(($B$12:$B$1011="testing")*$X$12:$X$1011)/COUNTIF($B$12:$B$1011,"testing")</f>
        <v/>
      </c>
    </row>
    <row r="41">
      <c r="A41">
        <f>'1 prepared data'!A34</f>
        <v/>
      </c>
      <c r="B41" s="5">
        <f>'1 prepared data'!U34</f>
        <v/>
      </c>
      <c r="C41">
        <f>'1 prepared data'!B34</f>
        <v/>
      </c>
      <c r="D41" s="7">
        <f>'1 prepared data'!C34</f>
        <v/>
      </c>
      <c r="E41" s="7">
        <f>'1 prepared data'!D34</f>
        <v/>
      </c>
      <c r="F41" s="7">
        <f>'1 prepared data'!E34</f>
        <v/>
      </c>
      <c r="G41" s="7">
        <f>'1 prepared data'!F34</f>
        <v/>
      </c>
      <c r="H41" s="7">
        <f>'1 prepared data'!G34</f>
        <v/>
      </c>
      <c r="I41" s="7">
        <f>'1 prepared data'!H34</f>
        <v/>
      </c>
      <c r="J41" s="7">
        <f>'1 prepared data'!I34</f>
        <v/>
      </c>
      <c r="K41" s="7">
        <f>'1 prepared data'!J34</f>
        <v/>
      </c>
      <c r="L41" s="7">
        <f>'1 prepared data'!K34</f>
        <v/>
      </c>
      <c r="M41" s="7">
        <f>'1 prepared data'!L34</f>
        <v/>
      </c>
      <c r="N41" s="7">
        <f>'1 prepared data'!M34</f>
        <v/>
      </c>
      <c r="O41" s="7">
        <f>'1 prepared data'!N34</f>
        <v/>
      </c>
      <c r="P41" s="7">
        <f>'1 prepared data'!O34</f>
        <v/>
      </c>
      <c r="Q41" s="7">
        <f>'1 prepared data'!P34</f>
        <v/>
      </c>
      <c r="R41" s="7">
        <f>'1 prepared data'!Q34</f>
        <v/>
      </c>
      <c r="S41" s="7">
        <f>'1 prepared data'!R34</f>
        <v/>
      </c>
      <c r="T41" s="7">
        <f>'1 prepared data'!S34</f>
        <v/>
      </c>
      <c r="U41" s="7">
        <f>'1 prepared data'!T34</f>
        <v/>
      </c>
      <c r="V41" s="8">
        <f>$AC$12+D41*$AC$13+E41*$AC$14+F41*$AC$15+G41*$AC$16+H41*$AC$17+I41*$AC$18+J41*$AC$19+K41*$AC$20+L41*$AC$21+M41*$AC$22+N41*$AC$23+O41*$AC$24+P41*$AC$25+Q41*$AC$26+R41*$AC$27+S41*$AC$28+T41*$AC$29+U41*$AC$30</f>
        <v/>
      </c>
      <c r="W41" s="8">
        <f>1/(1+EXP(-V41))</f>
        <v/>
      </c>
      <c r="X41" s="9">
        <f>-IF(C41=1,LN(W41),LN(1-W41))</f>
        <v/>
      </c>
      <c r="Y41" s="10">
        <f>IF(W41&gt;$AC$33,1,0)</f>
        <v/>
      </c>
      <c r="Z41">
        <f>IF(Y41=C41,1,0)</f>
        <v/>
      </c>
      <c r="AB41" t="inlineStr">
        <is>
          <t>testing accuracy</t>
        </is>
      </c>
      <c r="AC41" s="20">
        <f>SUMPRODUCT(($B$12:$B$1011="testing")*$Z$12:$Z$1011)/COUNTIF($B$12:$B$1011,"testing")</f>
        <v/>
      </c>
    </row>
    <row r="42">
      <c r="A42">
        <f>'1 prepared data'!A35</f>
        <v/>
      </c>
      <c r="B42" s="5">
        <f>'1 prepared data'!U35</f>
        <v/>
      </c>
      <c r="C42">
        <f>'1 prepared data'!B35</f>
        <v/>
      </c>
      <c r="D42" s="7">
        <f>'1 prepared data'!C35</f>
        <v/>
      </c>
      <c r="E42" s="7">
        <f>'1 prepared data'!D35</f>
        <v/>
      </c>
      <c r="F42" s="7">
        <f>'1 prepared data'!E35</f>
        <v/>
      </c>
      <c r="G42" s="7">
        <f>'1 prepared data'!F35</f>
        <v/>
      </c>
      <c r="H42" s="7">
        <f>'1 prepared data'!G35</f>
        <v/>
      </c>
      <c r="I42" s="7">
        <f>'1 prepared data'!H35</f>
        <v/>
      </c>
      <c r="J42" s="7">
        <f>'1 prepared data'!I35</f>
        <v/>
      </c>
      <c r="K42" s="7">
        <f>'1 prepared data'!J35</f>
        <v/>
      </c>
      <c r="L42" s="7">
        <f>'1 prepared data'!K35</f>
        <v/>
      </c>
      <c r="M42" s="7">
        <f>'1 prepared data'!L35</f>
        <v/>
      </c>
      <c r="N42" s="7">
        <f>'1 prepared data'!M35</f>
        <v/>
      </c>
      <c r="O42" s="7">
        <f>'1 prepared data'!N35</f>
        <v/>
      </c>
      <c r="P42" s="7">
        <f>'1 prepared data'!O35</f>
        <v/>
      </c>
      <c r="Q42" s="7">
        <f>'1 prepared data'!P35</f>
        <v/>
      </c>
      <c r="R42" s="7">
        <f>'1 prepared data'!Q35</f>
        <v/>
      </c>
      <c r="S42" s="7">
        <f>'1 prepared data'!R35</f>
        <v/>
      </c>
      <c r="T42" s="7">
        <f>'1 prepared data'!S35</f>
        <v/>
      </c>
      <c r="U42" s="7">
        <f>'1 prepared data'!T35</f>
        <v/>
      </c>
      <c r="V42" s="8">
        <f>$AC$12+D42*$AC$13+E42*$AC$14+F42*$AC$15+G42*$AC$16+H42*$AC$17+I42*$AC$18+J42*$AC$19+K42*$AC$20+L42*$AC$21+M42*$AC$22+N42*$AC$23+O42*$AC$24+P42*$AC$25+Q42*$AC$26+R42*$AC$27+S42*$AC$28+T42*$AC$29+U42*$AC$30</f>
        <v/>
      </c>
      <c r="W42" s="8">
        <f>1/(1+EXP(-V42))</f>
        <v/>
      </c>
      <c r="X42" s="9">
        <f>-IF(C42=1,LN(W42),LN(1-W42))</f>
        <v/>
      </c>
      <c r="Y42" s="10">
        <f>IF(W42&gt;$AC$33,1,0)</f>
        <v/>
      </c>
      <c r="Z42">
        <f>IF(Y42=C42,1,0)</f>
        <v/>
      </c>
      <c r="AB42" t="inlineStr">
        <is>
          <t>weights (excluding intercept) with |theta| &lt; 0.01</t>
        </is>
      </c>
      <c r="AC42" s="21">
        <f>COUNTIF(AC13:AC30,"&lt;0.01")-COUNTIF(AC13:AC30,"&lt;-0.01")</f>
        <v/>
      </c>
    </row>
    <row r="43">
      <c r="A43">
        <f>'1 prepared data'!A36</f>
        <v/>
      </c>
      <c r="B43" s="5">
        <f>'1 prepared data'!U36</f>
        <v/>
      </c>
      <c r="C43">
        <f>'1 prepared data'!B36</f>
        <v/>
      </c>
      <c r="D43" s="7">
        <f>'1 prepared data'!C36</f>
        <v/>
      </c>
      <c r="E43" s="7">
        <f>'1 prepared data'!D36</f>
        <v/>
      </c>
      <c r="F43" s="7">
        <f>'1 prepared data'!E36</f>
        <v/>
      </c>
      <c r="G43" s="7">
        <f>'1 prepared data'!F36</f>
        <v/>
      </c>
      <c r="H43" s="7">
        <f>'1 prepared data'!G36</f>
        <v/>
      </c>
      <c r="I43" s="7">
        <f>'1 prepared data'!H36</f>
        <v/>
      </c>
      <c r="J43" s="7">
        <f>'1 prepared data'!I36</f>
        <v/>
      </c>
      <c r="K43" s="7">
        <f>'1 prepared data'!J36</f>
        <v/>
      </c>
      <c r="L43" s="7">
        <f>'1 prepared data'!K36</f>
        <v/>
      </c>
      <c r="M43" s="7">
        <f>'1 prepared data'!L36</f>
        <v/>
      </c>
      <c r="N43" s="7">
        <f>'1 prepared data'!M36</f>
        <v/>
      </c>
      <c r="O43" s="7">
        <f>'1 prepared data'!N36</f>
        <v/>
      </c>
      <c r="P43" s="7">
        <f>'1 prepared data'!O36</f>
        <v/>
      </c>
      <c r="Q43" s="7">
        <f>'1 prepared data'!P36</f>
        <v/>
      </c>
      <c r="R43" s="7">
        <f>'1 prepared data'!Q36</f>
        <v/>
      </c>
      <c r="S43" s="7">
        <f>'1 prepared data'!R36</f>
        <v/>
      </c>
      <c r="T43" s="7">
        <f>'1 prepared data'!S36</f>
        <v/>
      </c>
      <c r="U43" s="7">
        <f>'1 prepared data'!T36</f>
        <v/>
      </c>
      <c r="V43" s="8">
        <f>$AC$12+D43*$AC$13+E43*$AC$14+F43*$AC$15+G43*$AC$16+H43*$AC$17+I43*$AC$18+J43*$AC$19+K43*$AC$20+L43*$AC$21+M43*$AC$22+N43*$AC$23+O43*$AC$24+P43*$AC$25+Q43*$AC$26+R43*$AC$27+S43*$AC$28+T43*$AC$29+U43*$AC$30</f>
        <v/>
      </c>
      <c r="W43" s="8">
        <f>1/(1+EXP(-V43))</f>
        <v/>
      </c>
      <c r="X43" s="9">
        <f>-IF(C43=1,LN(W43),LN(1-W43))</f>
        <v/>
      </c>
      <c r="Y43" s="10">
        <f>IF(W43&gt;$AC$33,1,0)</f>
        <v/>
      </c>
      <c r="Z43">
        <f>IF(Y43=C43,1,0)</f>
        <v/>
      </c>
      <c r="AB43" t="inlineStr">
        <is>
          <t>scikit-learn reference (λ = 10): J</t>
        </is>
      </c>
      <c r="AC43" s="22" t="n">
        <v>401.6735746256481</v>
      </c>
    </row>
    <row r="44">
      <c r="A44">
        <f>'1 prepared data'!A37</f>
        <v/>
      </c>
      <c r="B44" s="5">
        <f>'1 prepared data'!U37</f>
        <v/>
      </c>
      <c r="C44">
        <f>'1 prepared data'!B37</f>
        <v/>
      </c>
      <c r="D44" s="7">
        <f>'1 prepared data'!C37</f>
        <v/>
      </c>
      <c r="E44" s="7">
        <f>'1 prepared data'!D37</f>
        <v/>
      </c>
      <c r="F44" s="7">
        <f>'1 prepared data'!E37</f>
        <v/>
      </c>
      <c r="G44" s="7">
        <f>'1 prepared data'!F37</f>
        <v/>
      </c>
      <c r="H44" s="7">
        <f>'1 prepared data'!G37</f>
        <v/>
      </c>
      <c r="I44" s="7">
        <f>'1 prepared data'!H37</f>
        <v/>
      </c>
      <c r="J44" s="7">
        <f>'1 prepared data'!I37</f>
        <v/>
      </c>
      <c r="K44" s="7">
        <f>'1 prepared data'!J37</f>
        <v/>
      </c>
      <c r="L44" s="7">
        <f>'1 prepared data'!K37</f>
        <v/>
      </c>
      <c r="M44" s="7">
        <f>'1 prepared data'!L37</f>
        <v/>
      </c>
      <c r="N44" s="7">
        <f>'1 prepared data'!M37</f>
        <v/>
      </c>
      <c r="O44" s="7">
        <f>'1 prepared data'!N37</f>
        <v/>
      </c>
      <c r="P44" s="7">
        <f>'1 prepared data'!O37</f>
        <v/>
      </c>
      <c r="Q44" s="7">
        <f>'1 prepared data'!P37</f>
        <v/>
      </c>
      <c r="R44" s="7">
        <f>'1 prepared data'!Q37</f>
        <v/>
      </c>
      <c r="S44" s="7">
        <f>'1 prepared data'!R37</f>
        <v/>
      </c>
      <c r="T44" s="7">
        <f>'1 prepared data'!S37</f>
        <v/>
      </c>
      <c r="U44" s="7">
        <f>'1 prepared data'!T37</f>
        <v/>
      </c>
      <c r="V44" s="8">
        <f>$AC$12+D44*$AC$13+E44*$AC$14+F44*$AC$15+G44*$AC$16+H44*$AC$17+I44*$AC$18+J44*$AC$19+K44*$AC$20+L44*$AC$21+M44*$AC$22+N44*$AC$23+O44*$AC$24+P44*$AC$25+Q44*$AC$26+R44*$AC$27+S44*$AC$28+T44*$AC$29+U44*$AC$30</f>
        <v/>
      </c>
      <c r="W44" s="8">
        <f>1/(1+EXP(-V44))</f>
        <v/>
      </c>
      <c r="X44" s="9">
        <f>-IF(C44=1,LN(W44),LN(1-W44))</f>
        <v/>
      </c>
      <c r="Y44" s="10">
        <f>IF(W44&gt;$AC$33,1,0)</f>
        <v/>
      </c>
      <c r="Z44">
        <f>IF(Y44=C44,1,0)</f>
        <v/>
      </c>
      <c r="AB44" t="inlineStr">
        <is>
          <t>scikit-learn reference (λ = 10): average testing loss</t>
        </is>
      </c>
      <c r="AC44" s="12" t="n">
        <v>0.5070761919199316</v>
      </c>
    </row>
    <row r="45">
      <c r="A45">
        <f>'1 prepared data'!A38</f>
        <v/>
      </c>
      <c r="B45" s="5">
        <f>'1 prepared data'!U38</f>
        <v/>
      </c>
      <c r="C45">
        <f>'1 prepared data'!B38</f>
        <v/>
      </c>
      <c r="D45" s="7">
        <f>'1 prepared data'!C38</f>
        <v/>
      </c>
      <c r="E45" s="7">
        <f>'1 prepared data'!D38</f>
        <v/>
      </c>
      <c r="F45" s="7">
        <f>'1 prepared data'!E38</f>
        <v/>
      </c>
      <c r="G45" s="7">
        <f>'1 prepared data'!F38</f>
        <v/>
      </c>
      <c r="H45" s="7">
        <f>'1 prepared data'!G38</f>
        <v/>
      </c>
      <c r="I45" s="7">
        <f>'1 prepared data'!H38</f>
        <v/>
      </c>
      <c r="J45" s="7">
        <f>'1 prepared data'!I38</f>
        <v/>
      </c>
      <c r="K45" s="7">
        <f>'1 prepared data'!J38</f>
        <v/>
      </c>
      <c r="L45" s="7">
        <f>'1 prepared data'!K38</f>
        <v/>
      </c>
      <c r="M45" s="7">
        <f>'1 prepared data'!L38</f>
        <v/>
      </c>
      <c r="N45" s="7">
        <f>'1 prepared data'!M38</f>
        <v/>
      </c>
      <c r="O45" s="7">
        <f>'1 prepared data'!N38</f>
        <v/>
      </c>
      <c r="P45" s="7">
        <f>'1 prepared data'!O38</f>
        <v/>
      </c>
      <c r="Q45" s="7">
        <f>'1 prepared data'!P38</f>
        <v/>
      </c>
      <c r="R45" s="7">
        <f>'1 prepared data'!Q38</f>
        <v/>
      </c>
      <c r="S45" s="7">
        <f>'1 prepared data'!R38</f>
        <v/>
      </c>
      <c r="T45" s="7">
        <f>'1 prepared data'!S38</f>
        <v/>
      </c>
      <c r="U45" s="7">
        <f>'1 prepared data'!T38</f>
        <v/>
      </c>
      <c r="V45" s="8">
        <f>$AC$12+D45*$AC$13+E45*$AC$14+F45*$AC$15+G45*$AC$16+H45*$AC$17+I45*$AC$18+J45*$AC$19+K45*$AC$20+L45*$AC$21+M45*$AC$22+N45*$AC$23+O45*$AC$24+P45*$AC$25+Q45*$AC$26+R45*$AC$27+S45*$AC$28+T45*$AC$29+U45*$AC$30</f>
        <v/>
      </c>
      <c r="W45" s="8">
        <f>1/(1+EXP(-V45))</f>
        <v/>
      </c>
      <c r="X45" s="9">
        <f>-IF(C45=1,LN(W45),LN(1-W45))</f>
        <v/>
      </c>
      <c r="Y45" s="10">
        <f>IF(W45&gt;$AC$33,1,0)</f>
        <v/>
      </c>
      <c r="Z45">
        <f>IF(Y45=C45,1,0)</f>
        <v/>
      </c>
      <c r="AB45" t="inlineStr">
        <is>
          <t>scikit-learn reference (λ = 10): weights at zero</t>
        </is>
      </c>
      <c r="AC45" s="23" t="n">
        <v>7</v>
      </c>
    </row>
    <row r="46">
      <c r="A46">
        <f>'1 prepared data'!A39</f>
        <v/>
      </c>
      <c r="B46" s="5">
        <f>'1 prepared data'!U39</f>
        <v/>
      </c>
      <c r="C46">
        <f>'1 prepared data'!B39</f>
        <v/>
      </c>
      <c r="D46" s="7">
        <f>'1 prepared data'!C39</f>
        <v/>
      </c>
      <c r="E46" s="7">
        <f>'1 prepared data'!D39</f>
        <v/>
      </c>
      <c r="F46" s="7">
        <f>'1 prepared data'!E39</f>
        <v/>
      </c>
      <c r="G46" s="7">
        <f>'1 prepared data'!F39</f>
        <v/>
      </c>
      <c r="H46" s="7">
        <f>'1 prepared data'!G39</f>
        <v/>
      </c>
      <c r="I46" s="7">
        <f>'1 prepared data'!H39</f>
        <v/>
      </c>
      <c r="J46" s="7">
        <f>'1 prepared data'!I39</f>
        <v/>
      </c>
      <c r="K46" s="7">
        <f>'1 prepared data'!J39</f>
        <v/>
      </c>
      <c r="L46" s="7">
        <f>'1 prepared data'!K39</f>
        <v/>
      </c>
      <c r="M46" s="7">
        <f>'1 prepared data'!L39</f>
        <v/>
      </c>
      <c r="N46" s="7">
        <f>'1 prepared data'!M39</f>
        <v/>
      </c>
      <c r="O46" s="7">
        <f>'1 prepared data'!N39</f>
        <v/>
      </c>
      <c r="P46" s="7">
        <f>'1 prepared data'!O39</f>
        <v/>
      </c>
      <c r="Q46" s="7">
        <f>'1 prepared data'!P39</f>
        <v/>
      </c>
      <c r="R46" s="7">
        <f>'1 prepared data'!Q39</f>
        <v/>
      </c>
      <c r="S46" s="7">
        <f>'1 prepared data'!R39</f>
        <v/>
      </c>
      <c r="T46" s="7">
        <f>'1 prepared data'!S39</f>
        <v/>
      </c>
      <c r="U46" s="7">
        <f>'1 prepared data'!T39</f>
        <v/>
      </c>
      <c r="V46" s="8">
        <f>$AC$12+D46*$AC$13+E46*$AC$14+F46*$AC$15+G46*$AC$16+H46*$AC$17+I46*$AC$18+J46*$AC$19+K46*$AC$20+L46*$AC$21+M46*$AC$22+N46*$AC$23+O46*$AC$24+P46*$AC$25+Q46*$AC$26+R46*$AC$27+S46*$AC$28+T46*$AC$29+U46*$AC$30</f>
        <v/>
      </c>
      <c r="W46" s="8">
        <f>1/(1+EXP(-V46))</f>
        <v/>
      </c>
      <c r="X46" s="9">
        <f>-IF(C46=1,LN(W46),LN(1-W46))</f>
        <v/>
      </c>
      <c r="Y46" s="10">
        <f>IF(W46&gt;$AC$33,1,0)</f>
        <v/>
      </c>
      <c r="Z46">
        <f>IF(Y46=C46,1,0)</f>
        <v/>
      </c>
      <c r="AB46" t="inlineStr">
        <is>
          <t>unregularized reference (base workbook): average testing loss</t>
        </is>
      </c>
      <c r="AC46" s="12" t="n">
        <v>0.4690599152735907</v>
      </c>
    </row>
    <row r="47">
      <c r="A47">
        <f>'1 prepared data'!A40</f>
        <v/>
      </c>
      <c r="B47" s="5">
        <f>'1 prepared data'!U40</f>
        <v/>
      </c>
      <c r="C47">
        <f>'1 prepared data'!B40</f>
        <v/>
      </c>
      <c r="D47" s="7">
        <f>'1 prepared data'!C40</f>
        <v/>
      </c>
      <c r="E47" s="7">
        <f>'1 prepared data'!D40</f>
        <v/>
      </c>
      <c r="F47" s="7">
        <f>'1 prepared data'!E40</f>
        <v/>
      </c>
      <c r="G47" s="7">
        <f>'1 prepared data'!F40</f>
        <v/>
      </c>
      <c r="H47" s="7">
        <f>'1 prepared data'!G40</f>
        <v/>
      </c>
      <c r="I47" s="7">
        <f>'1 prepared data'!H40</f>
        <v/>
      </c>
      <c r="J47" s="7">
        <f>'1 prepared data'!I40</f>
        <v/>
      </c>
      <c r="K47" s="7">
        <f>'1 prepared data'!J40</f>
        <v/>
      </c>
      <c r="L47" s="7">
        <f>'1 prepared data'!K40</f>
        <v/>
      </c>
      <c r="M47" s="7">
        <f>'1 prepared data'!L40</f>
        <v/>
      </c>
      <c r="N47" s="7">
        <f>'1 prepared data'!M40</f>
        <v/>
      </c>
      <c r="O47" s="7">
        <f>'1 prepared data'!N40</f>
        <v/>
      </c>
      <c r="P47" s="7">
        <f>'1 prepared data'!O40</f>
        <v/>
      </c>
      <c r="Q47" s="7">
        <f>'1 prepared data'!P40</f>
        <v/>
      </c>
      <c r="R47" s="7">
        <f>'1 prepared data'!Q40</f>
        <v/>
      </c>
      <c r="S47" s="7">
        <f>'1 prepared data'!R40</f>
        <v/>
      </c>
      <c r="T47" s="7">
        <f>'1 prepared data'!S40</f>
        <v/>
      </c>
      <c r="U47" s="7">
        <f>'1 prepared data'!T40</f>
        <v/>
      </c>
      <c r="V47" s="8">
        <f>$AC$12+D47*$AC$13+E47*$AC$14+F47*$AC$15+G47*$AC$16+H47*$AC$17+I47*$AC$18+J47*$AC$19+K47*$AC$20+L47*$AC$21+M47*$AC$22+N47*$AC$23+O47*$AC$24+P47*$AC$25+Q47*$AC$26+R47*$AC$27+S47*$AC$28+T47*$AC$29+U47*$AC$30</f>
        <v/>
      </c>
      <c r="W47" s="8">
        <f>1/(1+EXP(-V47))</f>
        <v/>
      </c>
      <c r="X47" s="9">
        <f>-IF(C47=1,LN(W47),LN(1-W47))</f>
        <v/>
      </c>
      <c r="Y47" s="10">
        <f>IF(W47&gt;$AC$33,1,0)</f>
        <v/>
      </c>
      <c r="Z47">
        <f>IF(Y47=C47,1,0)</f>
        <v/>
      </c>
    </row>
    <row r="48" ht="48" customHeight="1">
      <c r="A48">
        <f>'1 prepared data'!A41</f>
        <v/>
      </c>
      <c r="B48" s="5">
        <f>'1 prepared data'!U41</f>
        <v/>
      </c>
      <c r="C48">
        <f>'1 prepared data'!B41</f>
        <v/>
      </c>
      <c r="D48" s="7">
        <f>'1 prepared data'!C41</f>
        <v/>
      </c>
      <c r="E48" s="7">
        <f>'1 prepared data'!D41</f>
        <v/>
      </c>
      <c r="F48" s="7">
        <f>'1 prepared data'!E41</f>
        <v/>
      </c>
      <c r="G48" s="7">
        <f>'1 prepared data'!F41</f>
        <v/>
      </c>
      <c r="H48" s="7">
        <f>'1 prepared data'!G41</f>
        <v/>
      </c>
      <c r="I48" s="7">
        <f>'1 prepared data'!H41</f>
        <v/>
      </c>
      <c r="J48" s="7">
        <f>'1 prepared data'!I41</f>
        <v/>
      </c>
      <c r="K48" s="7">
        <f>'1 prepared data'!J41</f>
        <v/>
      </c>
      <c r="L48" s="7">
        <f>'1 prepared data'!K41</f>
        <v/>
      </c>
      <c r="M48" s="7">
        <f>'1 prepared data'!L41</f>
        <v/>
      </c>
      <c r="N48" s="7">
        <f>'1 prepared data'!M41</f>
        <v/>
      </c>
      <c r="O48" s="7">
        <f>'1 prepared data'!N41</f>
        <v/>
      </c>
      <c r="P48" s="7">
        <f>'1 prepared data'!O41</f>
        <v/>
      </c>
      <c r="Q48" s="7">
        <f>'1 prepared data'!P41</f>
        <v/>
      </c>
      <c r="R48" s="7">
        <f>'1 prepared data'!Q41</f>
        <v/>
      </c>
      <c r="S48" s="7">
        <f>'1 prepared data'!R41</f>
        <v/>
      </c>
      <c r="T48" s="7">
        <f>'1 prepared data'!S41</f>
        <v/>
      </c>
      <c r="U48" s="7">
        <f>'1 prepared data'!T41</f>
        <v/>
      </c>
      <c r="V48" s="8">
        <f>$AC$12+D48*$AC$13+E48*$AC$14+F48*$AC$15+G48*$AC$16+H48*$AC$17+I48*$AC$18+J48*$AC$19+K48*$AC$20+L48*$AC$21+M48*$AC$22+N48*$AC$23+O48*$AC$24+P48*$AC$25+Q48*$AC$26+R48*$AC$27+S48*$AC$28+T48*$AC$29+U48*$AC$30</f>
        <v/>
      </c>
      <c r="W48" s="8">
        <f>1/(1+EXP(-V48))</f>
        <v/>
      </c>
      <c r="X48" s="9">
        <f>-IF(C48=1,LN(W48),LN(1-W48))</f>
        <v/>
      </c>
      <c r="Y48" s="10">
        <f>IF(W48&gt;$AC$33,1,0)</f>
        <v/>
      </c>
      <c r="Z48">
        <f>IF(Y48=C48,1,0)</f>
        <v/>
      </c>
      <c r="AB48" s="2" t="inlineStr">
        <is>
          <t>Solver: minimize J (objective cell) by changing the light blue weight cells, GRG Nonlinear, central derivatives, convergence 0.000001, no constraints and with the box 'Make Unconstrained Variables Non-Negative' UNTICKED. Run twice if it stops early.</t>
        </is>
      </c>
    </row>
    <row r="49" ht="48" customHeight="1">
      <c r="A49">
        <f>'1 prepared data'!A42</f>
        <v/>
      </c>
      <c r="B49" s="5">
        <f>'1 prepared data'!U42</f>
        <v/>
      </c>
      <c r="C49">
        <f>'1 prepared data'!B42</f>
        <v/>
      </c>
      <c r="D49" s="7">
        <f>'1 prepared data'!C42</f>
        <v/>
      </c>
      <c r="E49" s="7">
        <f>'1 prepared data'!D42</f>
        <v/>
      </c>
      <c r="F49" s="7">
        <f>'1 prepared data'!E42</f>
        <v/>
      </c>
      <c r="G49" s="7">
        <f>'1 prepared data'!F42</f>
        <v/>
      </c>
      <c r="H49" s="7">
        <f>'1 prepared data'!G42</f>
        <v/>
      </c>
      <c r="I49" s="7">
        <f>'1 prepared data'!H42</f>
        <v/>
      </c>
      <c r="J49" s="7">
        <f>'1 prepared data'!I42</f>
        <v/>
      </c>
      <c r="K49" s="7">
        <f>'1 prepared data'!J42</f>
        <v/>
      </c>
      <c r="L49" s="7">
        <f>'1 prepared data'!K42</f>
        <v/>
      </c>
      <c r="M49" s="7">
        <f>'1 prepared data'!L42</f>
        <v/>
      </c>
      <c r="N49" s="7">
        <f>'1 prepared data'!M42</f>
        <v/>
      </c>
      <c r="O49" s="7">
        <f>'1 prepared data'!N42</f>
        <v/>
      </c>
      <c r="P49" s="7">
        <f>'1 prepared data'!O42</f>
        <v/>
      </c>
      <c r="Q49" s="7">
        <f>'1 prepared data'!P42</f>
        <v/>
      </c>
      <c r="R49" s="7">
        <f>'1 prepared data'!Q42</f>
        <v/>
      </c>
      <c r="S49" s="7">
        <f>'1 prepared data'!R42</f>
        <v/>
      </c>
      <c r="T49" s="7">
        <f>'1 prepared data'!S42</f>
        <v/>
      </c>
      <c r="U49" s="7">
        <f>'1 prepared data'!T42</f>
        <v/>
      </c>
      <c r="V49" s="8">
        <f>$AC$12+D49*$AC$13+E49*$AC$14+F49*$AC$15+G49*$AC$16+H49*$AC$17+I49*$AC$18+J49*$AC$19+K49*$AC$20+L49*$AC$21+M49*$AC$22+N49*$AC$23+O49*$AC$24+P49*$AC$25+Q49*$AC$26+R49*$AC$27+S49*$AC$28+T49*$AC$29+U49*$AC$30</f>
        <v/>
      </c>
      <c r="W49" s="8">
        <f>1/(1+EXP(-V49))</f>
        <v/>
      </c>
      <c r="X49" s="9">
        <f>-IF(C49=1,LN(W49),LN(1-W49))</f>
        <v/>
      </c>
      <c r="Y49" s="10">
        <f>IF(W49&gt;$AC$33,1,0)</f>
        <v/>
      </c>
      <c r="Z49">
        <f>IF(Y49=C49,1,0)</f>
        <v/>
      </c>
      <c r="AB49" s="2" t="inlineStr">
        <is>
          <t>With L1 the absolute value has no derivative at zero and GRG can leave weights at 0.003 instead of 0: read them as zero. scikit-learn uses an algorithm (saga) that does leave them exactly at zero.</t>
        </is>
      </c>
    </row>
    <row r="50">
      <c r="A50">
        <f>'1 prepared data'!A43</f>
        <v/>
      </c>
      <c r="B50" s="5">
        <f>'1 prepared data'!U43</f>
        <v/>
      </c>
      <c r="C50">
        <f>'1 prepared data'!B43</f>
        <v/>
      </c>
      <c r="D50" s="7">
        <f>'1 prepared data'!C43</f>
        <v/>
      </c>
      <c r="E50" s="7">
        <f>'1 prepared data'!D43</f>
        <v/>
      </c>
      <c r="F50" s="7">
        <f>'1 prepared data'!E43</f>
        <v/>
      </c>
      <c r="G50" s="7">
        <f>'1 prepared data'!F43</f>
        <v/>
      </c>
      <c r="H50" s="7">
        <f>'1 prepared data'!G43</f>
        <v/>
      </c>
      <c r="I50" s="7">
        <f>'1 prepared data'!H43</f>
        <v/>
      </c>
      <c r="J50" s="7">
        <f>'1 prepared data'!I43</f>
        <v/>
      </c>
      <c r="K50" s="7">
        <f>'1 prepared data'!J43</f>
        <v/>
      </c>
      <c r="L50" s="7">
        <f>'1 prepared data'!K43</f>
        <v/>
      </c>
      <c r="M50" s="7">
        <f>'1 prepared data'!L43</f>
        <v/>
      </c>
      <c r="N50" s="7">
        <f>'1 prepared data'!M43</f>
        <v/>
      </c>
      <c r="O50" s="7">
        <f>'1 prepared data'!N43</f>
        <v/>
      </c>
      <c r="P50" s="7">
        <f>'1 prepared data'!O43</f>
        <v/>
      </c>
      <c r="Q50" s="7">
        <f>'1 prepared data'!P43</f>
        <v/>
      </c>
      <c r="R50" s="7">
        <f>'1 prepared data'!Q43</f>
        <v/>
      </c>
      <c r="S50" s="7">
        <f>'1 prepared data'!R43</f>
        <v/>
      </c>
      <c r="T50" s="7">
        <f>'1 prepared data'!S43</f>
        <v/>
      </c>
      <c r="U50" s="7">
        <f>'1 prepared data'!T43</f>
        <v/>
      </c>
      <c r="V50" s="8">
        <f>$AC$12+D50*$AC$13+E50*$AC$14+F50*$AC$15+G50*$AC$16+H50*$AC$17+I50*$AC$18+J50*$AC$19+K50*$AC$20+L50*$AC$21+M50*$AC$22+N50*$AC$23+O50*$AC$24+P50*$AC$25+Q50*$AC$26+R50*$AC$27+S50*$AC$28+T50*$AC$29+U50*$AC$30</f>
        <v/>
      </c>
      <c r="W50" s="8">
        <f>1/(1+EXP(-V50))</f>
        <v/>
      </c>
      <c r="X50" s="9">
        <f>-IF(C50=1,LN(W50),LN(1-W50))</f>
        <v/>
      </c>
      <c r="Y50" s="10">
        <f>IF(W50&gt;$AC$33,1,0)</f>
        <v/>
      </c>
      <c r="Z50">
        <f>IF(Y50=C50,1,0)</f>
        <v/>
      </c>
    </row>
    <row r="51">
      <c r="A51">
        <f>'1 prepared data'!A44</f>
        <v/>
      </c>
      <c r="B51" s="5">
        <f>'1 prepared data'!U44</f>
        <v/>
      </c>
      <c r="C51">
        <f>'1 prepared data'!B44</f>
        <v/>
      </c>
      <c r="D51" s="7">
        <f>'1 prepared data'!C44</f>
        <v/>
      </c>
      <c r="E51" s="7">
        <f>'1 prepared data'!D44</f>
        <v/>
      </c>
      <c r="F51" s="7">
        <f>'1 prepared data'!E44</f>
        <v/>
      </c>
      <c r="G51" s="7">
        <f>'1 prepared data'!F44</f>
        <v/>
      </c>
      <c r="H51" s="7">
        <f>'1 prepared data'!G44</f>
        <v/>
      </c>
      <c r="I51" s="7">
        <f>'1 prepared data'!H44</f>
        <v/>
      </c>
      <c r="J51" s="7">
        <f>'1 prepared data'!I44</f>
        <v/>
      </c>
      <c r="K51" s="7">
        <f>'1 prepared data'!J44</f>
        <v/>
      </c>
      <c r="L51" s="7">
        <f>'1 prepared data'!K44</f>
        <v/>
      </c>
      <c r="M51" s="7">
        <f>'1 prepared data'!L44</f>
        <v/>
      </c>
      <c r="N51" s="7">
        <f>'1 prepared data'!M44</f>
        <v/>
      </c>
      <c r="O51" s="7">
        <f>'1 prepared data'!N44</f>
        <v/>
      </c>
      <c r="P51" s="7">
        <f>'1 prepared data'!O44</f>
        <v/>
      </c>
      <c r="Q51" s="7">
        <f>'1 prepared data'!P44</f>
        <v/>
      </c>
      <c r="R51" s="7">
        <f>'1 prepared data'!Q44</f>
        <v/>
      </c>
      <c r="S51" s="7">
        <f>'1 prepared data'!R44</f>
        <v/>
      </c>
      <c r="T51" s="7">
        <f>'1 prepared data'!S44</f>
        <v/>
      </c>
      <c r="U51" s="7">
        <f>'1 prepared data'!T44</f>
        <v/>
      </c>
      <c r="V51" s="8">
        <f>$AC$12+D51*$AC$13+E51*$AC$14+F51*$AC$15+G51*$AC$16+H51*$AC$17+I51*$AC$18+J51*$AC$19+K51*$AC$20+L51*$AC$21+M51*$AC$22+N51*$AC$23+O51*$AC$24+P51*$AC$25+Q51*$AC$26+R51*$AC$27+S51*$AC$28+T51*$AC$29+U51*$AC$30</f>
        <v/>
      </c>
      <c r="W51" s="8">
        <f>1/(1+EXP(-V51))</f>
        <v/>
      </c>
      <c r="X51" s="9">
        <f>-IF(C51=1,LN(W51),LN(1-W51))</f>
        <v/>
      </c>
      <c r="Y51" s="10">
        <f>IF(W51&gt;$AC$33,1,0)</f>
        <v/>
      </c>
      <c r="Z51">
        <f>IF(Y51=C51,1,0)</f>
        <v/>
      </c>
    </row>
    <row r="52">
      <c r="A52">
        <f>'1 prepared data'!A45</f>
        <v/>
      </c>
      <c r="B52" s="5">
        <f>'1 prepared data'!U45</f>
        <v/>
      </c>
      <c r="C52">
        <f>'1 prepared data'!B45</f>
        <v/>
      </c>
      <c r="D52" s="7">
        <f>'1 prepared data'!C45</f>
        <v/>
      </c>
      <c r="E52" s="7">
        <f>'1 prepared data'!D45</f>
        <v/>
      </c>
      <c r="F52" s="7">
        <f>'1 prepared data'!E45</f>
        <v/>
      </c>
      <c r="G52" s="7">
        <f>'1 prepared data'!F45</f>
        <v/>
      </c>
      <c r="H52" s="7">
        <f>'1 prepared data'!G45</f>
        <v/>
      </c>
      <c r="I52" s="7">
        <f>'1 prepared data'!H45</f>
        <v/>
      </c>
      <c r="J52" s="7">
        <f>'1 prepared data'!I45</f>
        <v/>
      </c>
      <c r="K52" s="7">
        <f>'1 prepared data'!J45</f>
        <v/>
      </c>
      <c r="L52" s="7">
        <f>'1 prepared data'!K45</f>
        <v/>
      </c>
      <c r="M52" s="7">
        <f>'1 prepared data'!L45</f>
        <v/>
      </c>
      <c r="N52" s="7">
        <f>'1 prepared data'!M45</f>
        <v/>
      </c>
      <c r="O52" s="7">
        <f>'1 prepared data'!N45</f>
        <v/>
      </c>
      <c r="P52" s="7">
        <f>'1 prepared data'!O45</f>
        <v/>
      </c>
      <c r="Q52" s="7">
        <f>'1 prepared data'!P45</f>
        <v/>
      </c>
      <c r="R52" s="7">
        <f>'1 prepared data'!Q45</f>
        <v/>
      </c>
      <c r="S52" s="7">
        <f>'1 prepared data'!R45</f>
        <v/>
      </c>
      <c r="T52" s="7">
        <f>'1 prepared data'!S45</f>
        <v/>
      </c>
      <c r="U52" s="7">
        <f>'1 prepared data'!T45</f>
        <v/>
      </c>
      <c r="V52" s="8">
        <f>$AC$12+D52*$AC$13+E52*$AC$14+F52*$AC$15+G52*$AC$16+H52*$AC$17+I52*$AC$18+J52*$AC$19+K52*$AC$20+L52*$AC$21+M52*$AC$22+N52*$AC$23+O52*$AC$24+P52*$AC$25+Q52*$AC$26+R52*$AC$27+S52*$AC$28+T52*$AC$29+U52*$AC$30</f>
        <v/>
      </c>
      <c r="W52" s="8">
        <f>1/(1+EXP(-V52))</f>
        <v/>
      </c>
      <c r="X52" s="9">
        <f>-IF(C52=1,LN(W52),LN(1-W52))</f>
        <v/>
      </c>
      <c r="Y52" s="10">
        <f>IF(W52&gt;$AC$33,1,0)</f>
        <v/>
      </c>
      <c r="Z52">
        <f>IF(Y52=C52,1,0)</f>
        <v/>
      </c>
    </row>
    <row r="53">
      <c r="A53">
        <f>'1 prepared data'!A46</f>
        <v/>
      </c>
      <c r="B53" s="5">
        <f>'1 prepared data'!U46</f>
        <v/>
      </c>
      <c r="C53">
        <f>'1 prepared data'!B46</f>
        <v/>
      </c>
      <c r="D53" s="7">
        <f>'1 prepared data'!C46</f>
        <v/>
      </c>
      <c r="E53" s="7">
        <f>'1 prepared data'!D46</f>
        <v/>
      </c>
      <c r="F53" s="7">
        <f>'1 prepared data'!E46</f>
        <v/>
      </c>
      <c r="G53" s="7">
        <f>'1 prepared data'!F46</f>
        <v/>
      </c>
      <c r="H53" s="7">
        <f>'1 prepared data'!G46</f>
        <v/>
      </c>
      <c r="I53" s="7">
        <f>'1 prepared data'!H46</f>
        <v/>
      </c>
      <c r="J53" s="7">
        <f>'1 prepared data'!I46</f>
        <v/>
      </c>
      <c r="K53" s="7">
        <f>'1 prepared data'!J46</f>
        <v/>
      </c>
      <c r="L53" s="7">
        <f>'1 prepared data'!K46</f>
        <v/>
      </c>
      <c r="M53" s="7">
        <f>'1 prepared data'!L46</f>
        <v/>
      </c>
      <c r="N53" s="7">
        <f>'1 prepared data'!M46</f>
        <v/>
      </c>
      <c r="O53" s="7">
        <f>'1 prepared data'!N46</f>
        <v/>
      </c>
      <c r="P53" s="7">
        <f>'1 prepared data'!O46</f>
        <v/>
      </c>
      <c r="Q53" s="7">
        <f>'1 prepared data'!P46</f>
        <v/>
      </c>
      <c r="R53" s="7">
        <f>'1 prepared data'!Q46</f>
        <v/>
      </c>
      <c r="S53" s="7">
        <f>'1 prepared data'!R46</f>
        <v/>
      </c>
      <c r="T53" s="7">
        <f>'1 prepared data'!S46</f>
        <v/>
      </c>
      <c r="U53" s="7">
        <f>'1 prepared data'!T46</f>
        <v/>
      </c>
      <c r="V53" s="8">
        <f>$AC$12+D53*$AC$13+E53*$AC$14+F53*$AC$15+G53*$AC$16+H53*$AC$17+I53*$AC$18+J53*$AC$19+K53*$AC$20+L53*$AC$21+M53*$AC$22+N53*$AC$23+O53*$AC$24+P53*$AC$25+Q53*$AC$26+R53*$AC$27+S53*$AC$28+T53*$AC$29+U53*$AC$30</f>
        <v/>
      </c>
      <c r="W53" s="8">
        <f>1/(1+EXP(-V53))</f>
        <v/>
      </c>
      <c r="X53" s="9">
        <f>-IF(C53=1,LN(W53),LN(1-W53))</f>
        <v/>
      </c>
      <c r="Y53" s="10">
        <f>IF(W53&gt;$AC$33,1,0)</f>
        <v/>
      </c>
      <c r="Z53">
        <f>IF(Y53=C53,1,0)</f>
        <v/>
      </c>
    </row>
    <row r="54">
      <c r="A54">
        <f>'1 prepared data'!A47</f>
        <v/>
      </c>
      <c r="B54" s="5">
        <f>'1 prepared data'!U47</f>
        <v/>
      </c>
      <c r="C54">
        <f>'1 prepared data'!B47</f>
        <v/>
      </c>
      <c r="D54" s="7">
        <f>'1 prepared data'!C47</f>
        <v/>
      </c>
      <c r="E54" s="7">
        <f>'1 prepared data'!D47</f>
        <v/>
      </c>
      <c r="F54" s="7">
        <f>'1 prepared data'!E47</f>
        <v/>
      </c>
      <c r="G54" s="7">
        <f>'1 prepared data'!F47</f>
        <v/>
      </c>
      <c r="H54" s="7">
        <f>'1 prepared data'!G47</f>
        <v/>
      </c>
      <c r="I54" s="7">
        <f>'1 prepared data'!H47</f>
        <v/>
      </c>
      <c r="J54" s="7">
        <f>'1 prepared data'!I47</f>
        <v/>
      </c>
      <c r="K54" s="7">
        <f>'1 prepared data'!J47</f>
        <v/>
      </c>
      <c r="L54" s="7">
        <f>'1 prepared data'!K47</f>
        <v/>
      </c>
      <c r="M54" s="7">
        <f>'1 prepared data'!L47</f>
        <v/>
      </c>
      <c r="N54" s="7">
        <f>'1 prepared data'!M47</f>
        <v/>
      </c>
      <c r="O54" s="7">
        <f>'1 prepared data'!N47</f>
        <v/>
      </c>
      <c r="P54" s="7">
        <f>'1 prepared data'!O47</f>
        <v/>
      </c>
      <c r="Q54" s="7">
        <f>'1 prepared data'!P47</f>
        <v/>
      </c>
      <c r="R54" s="7">
        <f>'1 prepared data'!Q47</f>
        <v/>
      </c>
      <c r="S54" s="7">
        <f>'1 prepared data'!R47</f>
        <v/>
      </c>
      <c r="T54" s="7">
        <f>'1 prepared data'!S47</f>
        <v/>
      </c>
      <c r="U54" s="7">
        <f>'1 prepared data'!T47</f>
        <v/>
      </c>
      <c r="V54" s="8">
        <f>$AC$12+D54*$AC$13+E54*$AC$14+F54*$AC$15+G54*$AC$16+H54*$AC$17+I54*$AC$18+J54*$AC$19+K54*$AC$20+L54*$AC$21+M54*$AC$22+N54*$AC$23+O54*$AC$24+P54*$AC$25+Q54*$AC$26+R54*$AC$27+S54*$AC$28+T54*$AC$29+U54*$AC$30</f>
        <v/>
      </c>
      <c r="W54" s="8">
        <f>1/(1+EXP(-V54))</f>
        <v/>
      </c>
      <c r="X54" s="9">
        <f>-IF(C54=1,LN(W54),LN(1-W54))</f>
        <v/>
      </c>
      <c r="Y54" s="10">
        <f>IF(W54&gt;$AC$33,1,0)</f>
        <v/>
      </c>
      <c r="Z54">
        <f>IF(Y54=C54,1,0)</f>
        <v/>
      </c>
    </row>
    <row r="55">
      <c r="A55">
        <f>'1 prepared data'!A48</f>
        <v/>
      </c>
      <c r="B55" s="5">
        <f>'1 prepared data'!U48</f>
        <v/>
      </c>
      <c r="C55">
        <f>'1 prepared data'!B48</f>
        <v/>
      </c>
      <c r="D55" s="7">
        <f>'1 prepared data'!C48</f>
        <v/>
      </c>
      <c r="E55" s="7">
        <f>'1 prepared data'!D48</f>
        <v/>
      </c>
      <c r="F55" s="7">
        <f>'1 prepared data'!E48</f>
        <v/>
      </c>
      <c r="G55" s="7">
        <f>'1 prepared data'!F48</f>
        <v/>
      </c>
      <c r="H55" s="7">
        <f>'1 prepared data'!G48</f>
        <v/>
      </c>
      <c r="I55" s="7">
        <f>'1 prepared data'!H48</f>
        <v/>
      </c>
      <c r="J55" s="7">
        <f>'1 prepared data'!I48</f>
        <v/>
      </c>
      <c r="K55" s="7">
        <f>'1 prepared data'!J48</f>
        <v/>
      </c>
      <c r="L55" s="7">
        <f>'1 prepared data'!K48</f>
        <v/>
      </c>
      <c r="M55" s="7">
        <f>'1 prepared data'!L48</f>
        <v/>
      </c>
      <c r="N55" s="7">
        <f>'1 prepared data'!M48</f>
        <v/>
      </c>
      <c r="O55" s="7">
        <f>'1 prepared data'!N48</f>
        <v/>
      </c>
      <c r="P55" s="7">
        <f>'1 prepared data'!O48</f>
        <v/>
      </c>
      <c r="Q55" s="7">
        <f>'1 prepared data'!P48</f>
        <v/>
      </c>
      <c r="R55" s="7">
        <f>'1 prepared data'!Q48</f>
        <v/>
      </c>
      <c r="S55" s="7">
        <f>'1 prepared data'!R48</f>
        <v/>
      </c>
      <c r="T55" s="7">
        <f>'1 prepared data'!S48</f>
        <v/>
      </c>
      <c r="U55" s="7">
        <f>'1 prepared data'!T48</f>
        <v/>
      </c>
      <c r="V55" s="8">
        <f>$AC$12+D55*$AC$13+E55*$AC$14+F55*$AC$15+G55*$AC$16+H55*$AC$17+I55*$AC$18+J55*$AC$19+K55*$AC$20+L55*$AC$21+M55*$AC$22+N55*$AC$23+O55*$AC$24+P55*$AC$25+Q55*$AC$26+R55*$AC$27+S55*$AC$28+T55*$AC$29+U55*$AC$30</f>
        <v/>
      </c>
      <c r="W55" s="8">
        <f>1/(1+EXP(-V55))</f>
        <v/>
      </c>
      <c r="X55" s="9">
        <f>-IF(C55=1,LN(W55),LN(1-W55))</f>
        <v/>
      </c>
      <c r="Y55" s="10">
        <f>IF(W55&gt;$AC$33,1,0)</f>
        <v/>
      </c>
      <c r="Z55">
        <f>IF(Y55=C55,1,0)</f>
        <v/>
      </c>
    </row>
    <row r="56">
      <c r="A56">
        <f>'1 prepared data'!A49</f>
        <v/>
      </c>
      <c r="B56" s="5">
        <f>'1 prepared data'!U49</f>
        <v/>
      </c>
      <c r="C56">
        <f>'1 prepared data'!B49</f>
        <v/>
      </c>
      <c r="D56" s="7">
        <f>'1 prepared data'!C49</f>
        <v/>
      </c>
      <c r="E56" s="7">
        <f>'1 prepared data'!D49</f>
        <v/>
      </c>
      <c r="F56" s="7">
        <f>'1 prepared data'!E49</f>
        <v/>
      </c>
      <c r="G56" s="7">
        <f>'1 prepared data'!F49</f>
        <v/>
      </c>
      <c r="H56" s="7">
        <f>'1 prepared data'!G49</f>
        <v/>
      </c>
      <c r="I56" s="7">
        <f>'1 prepared data'!H49</f>
        <v/>
      </c>
      <c r="J56" s="7">
        <f>'1 prepared data'!I49</f>
        <v/>
      </c>
      <c r="K56" s="7">
        <f>'1 prepared data'!J49</f>
        <v/>
      </c>
      <c r="L56" s="7">
        <f>'1 prepared data'!K49</f>
        <v/>
      </c>
      <c r="M56" s="7">
        <f>'1 prepared data'!L49</f>
        <v/>
      </c>
      <c r="N56" s="7">
        <f>'1 prepared data'!M49</f>
        <v/>
      </c>
      <c r="O56" s="7">
        <f>'1 prepared data'!N49</f>
        <v/>
      </c>
      <c r="P56" s="7">
        <f>'1 prepared data'!O49</f>
        <v/>
      </c>
      <c r="Q56" s="7">
        <f>'1 prepared data'!P49</f>
        <v/>
      </c>
      <c r="R56" s="7">
        <f>'1 prepared data'!Q49</f>
        <v/>
      </c>
      <c r="S56" s="7">
        <f>'1 prepared data'!R49</f>
        <v/>
      </c>
      <c r="T56" s="7">
        <f>'1 prepared data'!S49</f>
        <v/>
      </c>
      <c r="U56" s="7">
        <f>'1 prepared data'!T49</f>
        <v/>
      </c>
      <c r="V56" s="8">
        <f>$AC$12+D56*$AC$13+E56*$AC$14+F56*$AC$15+G56*$AC$16+H56*$AC$17+I56*$AC$18+J56*$AC$19+K56*$AC$20+L56*$AC$21+M56*$AC$22+N56*$AC$23+O56*$AC$24+P56*$AC$25+Q56*$AC$26+R56*$AC$27+S56*$AC$28+T56*$AC$29+U56*$AC$30</f>
        <v/>
      </c>
      <c r="W56" s="8">
        <f>1/(1+EXP(-V56))</f>
        <v/>
      </c>
      <c r="X56" s="9">
        <f>-IF(C56=1,LN(W56),LN(1-W56))</f>
        <v/>
      </c>
      <c r="Y56" s="10">
        <f>IF(W56&gt;$AC$33,1,0)</f>
        <v/>
      </c>
      <c r="Z56">
        <f>IF(Y56=C56,1,0)</f>
        <v/>
      </c>
    </row>
    <row r="57">
      <c r="A57">
        <f>'1 prepared data'!A50</f>
        <v/>
      </c>
      <c r="B57" s="5">
        <f>'1 prepared data'!U50</f>
        <v/>
      </c>
      <c r="C57">
        <f>'1 prepared data'!B50</f>
        <v/>
      </c>
      <c r="D57" s="7">
        <f>'1 prepared data'!C50</f>
        <v/>
      </c>
      <c r="E57" s="7">
        <f>'1 prepared data'!D50</f>
        <v/>
      </c>
      <c r="F57" s="7">
        <f>'1 prepared data'!E50</f>
        <v/>
      </c>
      <c r="G57" s="7">
        <f>'1 prepared data'!F50</f>
        <v/>
      </c>
      <c r="H57" s="7">
        <f>'1 prepared data'!G50</f>
        <v/>
      </c>
      <c r="I57" s="7">
        <f>'1 prepared data'!H50</f>
        <v/>
      </c>
      <c r="J57" s="7">
        <f>'1 prepared data'!I50</f>
        <v/>
      </c>
      <c r="K57" s="7">
        <f>'1 prepared data'!J50</f>
        <v/>
      </c>
      <c r="L57" s="7">
        <f>'1 prepared data'!K50</f>
        <v/>
      </c>
      <c r="M57" s="7">
        <f>'1 prepared data'!L50</f>
        <v/>
      </c>
      <c r="N57" s="7">
        <f>'1 prepared data'!M50</f>
        <v/>
      </c>
      <c r="O57" s="7">
        <f>'1 prepared data'!N50</f>
        <v/>
      </c>
      <c r="P57" s="7">
        <f>'1 prepared data'!O50</f>
        <v/>
      </c>
      <c r="Q57" s="7">
        <f>'1 prepared data'!P50</f>
        <v/>
      </c>
      <c r="R57" s="7">
        <f>'1 prepared data'!Q50</f>
        <v/>
      </c>
      <c r="S57" s="7">
        <f>'1 prepared data'!R50</f>
        <v/>
      </c>
      <c r="T57" s="7">
        <f>'1 prepared data'!S50</f>
        <v/>
      </c>
      <c r="U57" s="7">
        <f>'1 prepared data'!T50</f>
        <v/>
      </c>
      <c r="V57" s="8">
        <f>$AC$12+D57*$AC$13+E57*$AC$14+F57*$AC$15+G57*$AC$16+H57*$AC$17+I57*$AC$18+J57*$AC$19+K57*$AC$20+L57*$AC$21+M57*$AC$22+N57*$AC$23+O57*$AC$24+P57*$AC$25+Q57*$AC$26+R57*$AC$27+S57*$AC$28+T57*$AC$29+U57*$AC$30</f>
        <v/>
      </c>
      <c r="W57" s="8">
        <f>1/(1+EXP(-V57))</f>
        <v/>
      </c>
      <c r="X57" s="9">
        <f>-IF(C57=1,LN(W57),LN(1-W57))</f>
        <v/>
      </c>
      <c r="Y57" s="10">
        <f>IF(W57&gt;$AC$33,1,0)</f>
        <v/>
      </c>
      <c r="Z57">
        <f>IF(Y57=C57,1,0)</f>
        <v/>
      </c>
    </row>
    <row r="58">
      <c r="A58">
        <f>'1 prepared data'!A51</f>
        <v/>
      </c>
      <c r="B58" s="5">
        <f>'1 prepared data'!U51</f>
        <v/>
      </c>
      <c r="C58">
        <f>'1 prepared data'!B51</f>
        <v/>
      </c>
      <c r="D58" s="7">
        <f>'1 prepared data'!C51</f>
        <v/>
      </c>
      <c r="E58" s="7">
        <f>'1 prepared data'!D51</f>
        <v/>
      </c>
      <c r="F58" s="7">
        <f>'1 prepared data'!E51</f>
        <v/>
      </c>
      <c r="G58" s="7">
        <f>'1 prepared data'!F51</f>
        <v/>
      </c>
      <c r="H58" s="7">
        <f>'1 prepared data'!G51</f>
        <v/>
      </c>
      <c r="I58" s="7">
        <f>'1 prepared data'!H51</f>
        <v/>
      </c>
      <c r="J58" s="7">
        <f>'1 prepared data'!I51</f>
        <v/>
      </c>
      <c r="K58" s="7">
        <f>'1 prepared data'!J51</f>
        <v/>
      </c>
      <c r="L58" s="7">
        <f>'1 prepared data'!K51</f>
        <v/>
      </c>
      <c r="M58" s="7">
        <f>'1 prepared data'!L51</f>
        <v/>
      </c>
      <c r="N58" s="7">
        <f>'1 prepared data'!M51</f>
        <v/>
      </c>
      <c r="O58" s="7">
        <f>'1 prepared data'!N51</f>
        <v/>
      </c>
      <c r="P58" s="7">
        <f>'1 prepared data'!O51</f>
        <v/>
      </c>
      <c r="Q58" s="7">
        <f>'1 prepared data'!P51</f>
        <v/>
      </c>
      <c r="R58" s="7">
        <f>'1 prepared data'!Q51</f>
        <v/>
      </c>
      <c r="S58" s="7">
        <f>'1 prepared data'!R51</f>
        <v/>
      </c>
      <c r="T58" s="7">
        <f>'1 prepared data'!S51</f>
        <v/>
      </c>
      <c r="U58" s="7">
        <f>'1 prepared data'!T51</f>
        <v/>
      </c>
      <c r="V58" s="8">
        <f>$AC$12+D58*$AC$13+E58*$AC$14+F58*$AC$15+G58*$AC$16+H58*$AC$17+I58*$AC$18+J58*$AC$19+K58*$AC$20+L58*$AC$21+M58*$AC$22+N58*$AC$23+O58*$AC$24+P58*$AC$25+Q58*$AC$26+R58*$AC$27+S58*$AC$28+T58*$AC$29+U58*$AC$30</f>
        <v/>
      </c>
      <c r="W58" s="8">
        <f>1/(1+EXP(-V58))</f>
        <v/>
      </c>
      <c r="X58" s="9">
        <f>-IF(C58=1,LN(W58),LN(1-W58))</f>
        <v/>
      </c>
      <c r="Y58" s="10">
        <f>IF(W58&gt;$AC$33,1,0)</f>
        <v/>
      </c>
      <c r="Z58">
        <f>IF(Y58=C58,1,0)</f>
        <v/>
      </c>
    </row>
    <row r="59">
      <c r="A59">
        <f>'1 prepared data'!A52</f>
        <v/>
      </c>
      <c r="B59" s="5">
        <f>'1 prepared data'!U52</f>
        <v/>
      </c>
      <c r="C59">
        <f>'1 prepared data'!B52</f>
        <v/>
      </c>
      <c r="D59" s="7">
        <f>'1 prepared data'!C52</f>
        <v/>
      </c>
      <c r="E59" s="7">
        <f>'1 prepared data'!D52</f>
        <v/>
      </c>
      <c r="F59" s="7">
        <f>'1 prepared data'!E52</f>
        <v/>
      </c>
      <c r="G59" s="7">
        <f>'1 prepared data'!F52</f>
        <v/>
      </c>
      <c r="H59" s="7">
        <f>'1 prepared data'!G52</f>
        <v/>
      </c>
      <c r="I59" s="7">
        <f>'1 prepared data'!H52</f>
        <v/>
      </c>
      <c r="J59" s="7">
        <f>'1 prepared data'!I52</f>
        <v/>
      </c>
      <c r="K59" s="7">
        <f>'1 prepared data'!J52</f>
        <v/>
      </c>
      <c r="L59" s="7">
        <f>'1 prepared data'!K52</f>
        <v/>
      </c>
      <c r="M59" s="7">
        <f>'1 prepared data'!L52</f>
        <v/>
      </c>
      <c r="N59" s="7">
        <f>'1 prepared data'!M52</f>
        <v/>
      </c>
      <c r="O59" s="7">
        <f>'1 prepared data'!N52</f>
        <v/>
      </c>
      <c r="P59" s="7">
        <f>'1 prepared data'!O52</f>
        <v/>
      </c>
      <c r="Q59" s="7">
        <f>'1 prepared data'!P52</f>
        <v/>
      </c>
      <c r="R59" s="7">
        <f>'1 prepared data'!Q52</f>
        <v/>
      </c>
      <c r="S59" s="7">
        <f>'1 prepared data'!R52</f>
        <v/>
      </c>
      <c r="T59" s="7">
        <f>'1 prepared data'!S52</f>
        <v/>
      </c>
      <c r="U59" s="7">
        <f>'1 prepared data'!T52</f>
        <v/>
      </c>
      <c r="V59" s="8">
        <f>$AC$12+D59*$AC$13+E59*$AC$14+F59*$AC$15+G59*$AC$16+H59*$AC$17+I59*$AC$18+J59*$AC$19+K59*$AC$20+L59*$AC$21+M59*$AC$22+N59*$AC$23+O59*$AC$24+P59*$AC$25+Q59*$AC$26+R59*$AC$27+S59*$AC$28+T59*$AC$29+U59*$AC$30</f>
        <v/>
      </c>
      <c r="W59" s="8">
        <f>1/(1+EXP(-V59))</f>
        <v/>
      </c>
      <c r="X59" s="9">
        <f>-IF(C59=1,LN(W59),LN(1-W59))</f>
        <v/>
      </c>
      <c r="Y59" s="10">
        <f>IF(W59&gt;$AC$33,1,0)</f>
        <v/>
      </c>
      <c r="Z59">
        <f>IF(Y59=C59,1,0)</f>
        <v/>
      </c>
    </row>
    <row r="60">
      <c r="A60">
        <f>'1 prepared data'!A53</f>
        <v/>
      </c>
      <c r="B60" s="5">
        <f>'1 prepared data'!U53</f>
        <v/>
      </c>
      <c r="C60">
        <f>'1 prepared data'!B53</f>
        <v/>
      </c>
      <c r="D60" s="7">
        <f>'1 prepared data'!C53</f>
        <v/>
      </c>
      <c r="E60" s="7">
        <f>'1 prepared data'!D53</f>
        <v/>
      </c>
      <c r="F60" s="7">
        <f>'1 prepared data'!E53</f>
        <v/>
      </c>
      <c r="G60" s="7">
        <f>'1 prepared data'!F53</f>
        <v/>
      </c>
      <c r="H60" s="7">
        <f>'1 prepared data'!G53</f>
        <v/>
      </c>
      <c r="I60" s="7">
        <f>'1 prepared data'!H53</f>
        <v/>
      </c>
      <c r="J60" s="7">
        <f>'1 prepared data'!I53</f>
        <v/>
      </c>
      <c r="K60" s="7">
        <f>'1 prepared data'!J53</f>
        <v/>
      </c>
      <c r="L60" s="7">
        <f>'1 prepared data'!K53</f>
        <v/>
      </c>
      <c r="M60" s="7">
        <f>'1 prepared data'!L53</f>
        <v/>
      </c>
      <c r="N60" s="7">
        <f>'1 prepared data'!M53</f>
        <v/>
      </c>
      <c r="O60" s="7">
        <f>'1 prepared data'!N53</f>
        <v/>
      </c>
      <c r="P60" s="7">
        <f>'1 prepared data'!O53</f>
        <v/>
      </c>
      <c r="Q60" s="7">
        <f>'1 prepared data'!P53</f>
        <v/>
      </c>
      <c r="R60" s="7">
        <f>'1 prepared data'!Q53</f>
        <v/>
      </c>
      <c r="S60" s="7">
        <f>'1 prepared data'!R53</f>
        <v/>
      </c>
      <c r="T60" s="7">
        <f>'1 prepared data'!S53</f>
        <v/>
      </c>
      <c r="U60" s="7">
        <f>'1 prepared data'!T53</f>
        <v/>
      </c>
      <c r="V60" s="8">
        <f>$AC$12+D60*$AC$13+E60*$AC$14+F60*$AC$15+G60*$AC$16+H60*$AC$17+I60*$AC$18+J60*$AC$19+K60*$AC$20+L60*$AC$21+M60*$AC$22+N60*$AC$23+O60*$AC$24+P60*$AC$25+Q60*$AC$26+R60*$AC$27+S60*$AC$28+T60*$AC$29+U60*$AC$30</f>
        <v/>
      </c>
      <c r="W60" s="8">
        <f>1/(1+EXP(-V60))</f>
        <v/>
      </c>
      <c r="X60" s="9">
        <f>-IF(C60=1,LN(W60),LN(1-W60))</f>
        <v/>
      </c>
      <c r="Y60" s="10">
        <f>IF(W60&gt;$AC$33,1,0)</f>
        <v/>
      </c>
      <c r="Z60">
        <f>IF(Y60=C60,1,0)</f>
        <v/>
      </c>
    </row>
    <row r="61">
      <c r="A61">
        <f>'1 prepared data'!A54</f>
        <v/>
      </c>
      <c r="B61" s="5">
        <f>'1 prepared data'!U54</f>
        <v/>
      </c>
      <c r="C61">
        <f>'1 prepared data'!B54</f>
        <v/>
      </c>
      <c r="D61" s="7">
        <f>'1 prepared data'!C54</f>
        <v/>
      </c>
      <c r="E61" s="7">
        <f>'1 prepared data'!D54</f>
        <v/>
      </c>
      <c r="F61" s="7">
        <f>'1 prepared data'!E54</f>
        <v/>
      </c>
      <c r="G61" s="7">
        <f>'1 prepared data'!F54</f>
        <v/>
      </c>
      <c r="H61" s="7">
        <f>'1 prepared data'!G54</f>
        <v/>
      </c>
      <c r="I61" s="7">
        <f>'1 prepared data'!H54</f>
        <v/>
      </c>
      <c r="J61" s="7">
        <f>'1 prepared data'!I54</f>
        <v/>
      </c>
      <c r="K61" s="7">
        <f>'1 prepared data'!J54</f>
        <v/>
      </c>
      <c r="L61" s="7">
        <f>'1 prepared data'!K54</f>
        <v/>
      </c>
      <c r="M61" s="7">
        <f>'1 prepared data'!L54</f>
        <v/>
      </c>
      <c r="N61" s="7">
        <f>'1 prepared data'!M54</f>
        <v/>
      </c>
      <c r="O61" s="7">
        <f>'1 prepared data'!N54</f>
        <v/>
      </c>
      <c r="P61" s="7">
        <f>'1 prepared data'!O54</f>
        <v/>
      </c>
      <c r="Q61" s="7">
        <f>'1 prepared data'!P54</f>
        <v/>
      </c>
      <c r="R61" s="7">
        <f>'1 prepared data'!Q54</f>
        <v/>
      </c>
      <c r="S61" s="7">
        <f>'1 prepared data'!R54</f>
        <v/>
      </c>
      <c r="T61" s="7">
        <f>'1 prepared data'!S54</f>
        <v/>
      </c>
      <c r="U61" s="7">
        <f>'1 prepared data'!T54</f>
        <v/>
      </c>
      <c r="V61" s="8">
        <f>$AC$12+D61*$AC$13+E61*$AC$14+F61*$AC$15+G61*$AC$16+H61*$AC$17+I61*$AC$18+J61*$AC$19+K61*$AC$20+L61*$AC$21+M61*$AC$22+N61*$AC$23+O61*$AC$24+P61*$AC$25+Q61*$AC$26+R61*$AC$27+S61*$AC$28+T61*$AC$29+U61*$AC$30</f>
        <v/>
      </c>
      <c r="W61" s="8">
        <f>1/(1+EXP(-V61))</f>
        <v/>
      </c>
      <c r="X61" s="9">
        <f>-IF(C61=1,LN(W61),LN(1-W61))</f>
        <v/>
      </c>
      <c r="Y61" s="10">
        <f>IF(W61&gt;$AC$33,1,0)</f>
        <v/>
      </c>
      <c r="Z61">
        <f>IF(Y61=C61,1,0)</f>
        <v/>
      </c>
    </row>
    <row r="62">
      <c r="A62">
        <f>'1 prepared data'!A55</f>
        <v/>
      </c>
      <c r="B62" s="5">
        <f>'1 prepared data'!U55</f>
        <v/>
      </c>
      <c r="C62">
        <f>'1 prepared data'!B55</f>
        <v/>
      </c>
      <c r="D62" s="7">
        <f>'1 prepared data'!C55</f>
        <v/>
      </c>
      <c r="E62" s="7">
        <f>'1 prepared data'!D55</f>
        <v/>
      </c>
      <c r="F62" s="7">
        <f>'1 prepared data'!E55</f>
        <v/>
      </c>
      <c r="G62" s="7">
        <f>'1 prepared data'!F55</f>
        <v/>
      </c>
      <c r="H62" s="7">
        <f>'1 prepared data'!G55</f>
        <v/>
      </c>
      <c r="I62" s="7">
        <f>'1 prepared data'!H55</f>
        <v/>
      </c>
      <c r="J62" s="7">
        <f>'1 prepared data'!I55</f>
        <v/>
      </c>
      <c r="K62" s="7">
        <f>'1 prepared data'!J55</f>
        <v/>
      </c>
      <c r="L62" s="7">
        <f>'1 prepared data'!K55</f>
        <v/>
      </c>
      <c r="M62" s="7">
        <f>'1 prepared data'!L55</f>
        <v/>
      </c>
      <c r="N62" s="7">
        <f>'1 prepared data'!M55</f>
        <v/>
      </c>
      <c r="O62" s="7">
        <f>'1 prepared data'!N55</f>
        <v/>
      </c>
      <c r="P62" s="7">
        <f>'1 prepared data'!O55</f>
        <v/>
      </c>
      <c r="Q62" s="7">
        <f>'1 prepared data'!P55</f>
        <v/>
      </c>
      <c r="R62" s="7">
        <f>'1 prepared data'!Q55</f>
        <v/>
      </c>
      <c r="S62" s="7">
        <f>'1 prepared data'!R55</f>
        <v/>
      </c>
      <c r="T62" s="7">
        <f>'1 prepared data'!S55</f>
        <v/>
      </c>
      <c r="U62" s="7">
        <f>'1 prepared data'!T55</f>
        <v/>
      </c>
      <c r="V62" s="8">
        <f>$AC$12+D62*$AC$13+E62*$AC$14+F62*$AC$15+G62*$AC$16+H62*$AC$17+I62*$AC$18+J62*$AC$19+K62*$AC$20+L62*$AC$21+M62*$AC$22+N62*$AC$23+O62*$AC$24+P62*$AC$25+Q62*$AC$26+R62*$AC$27+S62*$AC$28+T62*$AC$29+U62*$AC$30</f>
        <v/>
      </c>
      <c r="W62" s="8">
        <f>1/(1+EXP(-V62))</f>
        <v/>
      </c>
      <c r="X62" s="9">
        <f>-IF(C62=1,LN(W62),LN(1-W62))</f>
        <v/>
      </c>
      <c r="Y62" s="10">
        <f>IF(W62&gt;$AC$33,1,0)</f>
        <v/>
      </c>
      <c r="Z62">
        <f>IF(Y62=C62,1,0)</f>
        <v/>
      </c>
    </row>
    <row r="63">
      <c r="A63">
        <f>'1 prepared data'!A56</f>
        <v/>
      </c>
      <c r="B63" s="5">
        <f>'1 prepared data'!U56</f>
        <v/>
      </c>
      <c r="C63">
        <f>'1 prepared data'!B56</f>
        <v/>
      </c>
      <c r="D63" s="7">
        <f>'1 prepared data'!C56</f>
        <v/>
      </c>
      <c r="E63" s="7">
        <f>'1 prepared data'!D56</f>
        <v/>
      </c>
      <c r="F63" s="7">
        <f>'1 prepared data'!E56</f>
        <v/>
      </c>
      <c r="G63" s="7">
        <f>'1 prepared data'!F56</f>
        <v/>
      </c>
      <c r="H63" s="7">
        <f>'1 prepared data'!G56</f>
        <v/>
      </c>
      <c r="I63" s="7">
        <f>'1 prepared data'!H56</f>
        <v/>
      </c>
      <c r="J63" s="7">
        <f>'1 prepared data'!I56</f>
        <v/>
      </c>
      <c r="K63" s="7">
        <f>'1 prepared data'!J56</f>
        <v/>
      </c>
      <c r="L63" s="7">
        <f>'1 prepared data'!K56</f>
        <v/>
      </c>
      <c r="M63" s="7">
        <f>'1 prepared data'!L56</f>
        <v/>
      </c>
      <c r="N63" s="7">
        <f>'1 prepared data'!M56</f>
        <v/>
      </c>
      <c r="O63" s="7">
        <f>'1 prepared data'!N56</f>
        <v/>
      </c>
      <c r="P63" s="7">
        <f>'1 prepared data'!O56</f>
        <v/>
      </c>
      <c r="Q63" s="7">
        <f>'1 prepared data'!P56</f>
        <v/>
      </c>
      <c r="R63" s="7">
        <f>'1 prepared data'!Q56</f>
        <v/>
      </c>
      <c r="S63" s="7">
        <f>'1 prepared data'!R56</f>
        <v/>
      </c>
      <c r="T63" s="7">
        <f>'1 prepared data'!S56</f>
        <v/>
      </c>
      <c r="U63" s="7">
        <f>'1 prepared data'!T56</f>
        <v/>
      </c>
      <c r="V63" s="8">
        <f>$AC$12+D63*$AC$13+E63*$AC$14+F63*$AC$15+G63*$AC$16+H63*$AC$17+I63*$AC$18+J63*$AC$19+K63*$AC$20+L63*$AC$21+M63*$AC$22+N63*$AC$23+O63*$AC$24+P63*$AC$25+Q63*$AC$26+R63*$AC$27+S63*$AC$28+T63*$AC$29+U63*$AC$30</f>
        <v/>
      </c>
      <c r="W63" s="8">
        <f>1/(1+EXP(-V63))</f>
        <v/>
      </c>
      <c r="X63" s="9">
        <f>-IF(C63=1,LN(W63),LN(1-W63))</f>
        <v/>
      </c>
      <c r="Y63" s="10">
        <f>IF(W63&gt;$AC$33,1,0)</f>
        <v/>
      </c>
      <c r="Z63">
        <f>IF(Y63=C63,1,0)</f>
        <v/>
      </c>
    </row>
    <row r="64">
      <c r="A64">
        <f>'1 prepared data'!A57</f>
        <v/>
      </c>
      <c r="B64" s="5">
        <f>'1 prepared data'!U57</f>
        <v/>
      </c>
      <c r="C64">
        <f>'1 prepared data'!B57</f>
        <v/>
      </c>
      <c r="D64" s="7">
        <f>'1 prepared data'!C57</f>
        <v/>
      </c>
      <c r="E64" s="7">
        <f>'1 prepared data'!D57</f>
        <v/>
      </c>
      <c r="F64" s="7">
        <f>'1 prepared data'!E57</f>
        <v/>
      </c>
      <c r="G64" s="7">
        <f>'1 prepared data'!F57</f>
        <v/>
      </c>
      <c r="H64" s="7">
        <f>'1 prepared data'!G57</f>
        <v/>
      </c>
      <c r="I64" s="7">
        <f>'1 prepared data'!H57</f>
        <v/>
      </c>
      <c r="J64" s="7">
        <f>'1 prepared data'!I57</f>
        <v/>
      </c>
      <c r="K64" s="7">
        <f>'1 prepared data'!J57</f>
        <v/>
      </c>
      <c r="L64" s="7">
        <f>'1 prepared data'!K57</f>
        <v/>
      </c>
      <c r="M64" s="7">
        <f>'1 prepared data'!L57</f>
        <v/>
      </c>
      <c r="N64" s="7">
        <f>'1 prepared data'!M57</f>
        <v/>
      </c>
      <c r="O64" s="7">
        <f>'1 prepared data'!N57</f>
        <v/>
      </c>
      <c r="P64" s="7">
        <f>'1 prepared data'!O57</f>
        <v/>
      </c>
      <c r="Q64" s="7">
        <f>'1 prepared data'!P57</f>
        <v/>
      </c>
      <c r="R64" s="7">
        <f>'1 prepared data'!Q57</f>
        <v/>
      </c>
      <c r="S64" s="7">
        <f>'1 prepared data'!R57</f>
        <v/>
      </c>
      <c r="T64" s="7">
        <f>'1 prepared data'!S57</f>
        <v/>
      </c>
      <c r="U64" s="7">
        <f>'1 prepared data'!T57</f>
        <v/>
      </c>
      <c r="V64" s="8">
        <f>$AC$12+D64*$AC$13+E64*$AC$14+F64*$AC$15+G64*$AC$16+H64*$AC$17+I64*$AC$18+J64*$AC$19+K64*$AC$20+L64*$AC$21+M64*$AC$22+N64*$AC$23+O64*$AC$24+P64*$AC$25+Q64*$AC$26+R64*$AC$27+S64*$AC$28+T64*$AC$29+U64*$AC$30</f>
        <v/>
      </c>
      <c r="W64" s="8">
        <f>1/(1+EXP(-V64))</f>
        <v/>
      </c>
      <c r="X64" s="9">
        <f>-IF(C64=1,LN(W64),LN(1-W64))</f>
        <v/>
      </c>
      <c r="Y64" s="10">
        <f>IF(W64&gt;$AC$33,1,0)</f>
        <v/>
      </c>
      <c r="Z64">
        <f>IF(Y64=C64,1,0)</f>
        <v/>
      </c>
    </row>
    <row r="65">
      <c r="A65">
        <f>'1 prepared data'!A58</f>
        <v/>
      </c>
      <c r="B65" s="5">
        <f>'1 prepared data'!U58</f>
        <v/>
      </c>
      <c r="C65">
        <f>'1 prepared data'!B58</f>
        <v/>
      </c>
      <c r="D65" s="7">
        <f>'1 prepared data'!C58</f>
        <v/>
      </c>
      <c r="E65" s="7">
        <f>'1 prepared data'!D58</f>
        <v/>
      </c>
      <c r="F65" s="7">
        <f>'1 prepared data'!E58</f>
        <v/>
      </c>
      <c r="G65" s="7">
        <f>'1 prepared data'!F58</f>
        <v/>
      </c>
      <c r="H65" s="7">
        <f>'1 prepared data'!G58</f>
        <v/>
      </c>
      <c r="I65" s="7">
        <f>'1 prepared data'!H58</f>
        <v/>
      </c>
      <c r="J65" s="7">
        <f>'1 prepared data'!I58</f>
        <v/>
      </c>
      <c r="K65" s="7">
        <f>'1 prepared data'!J58</f>
        <v/>
      </c>
      <c r="L65" s="7">
        <f>'1 prepared data'!K58</f>
        <v/>
      </c>
      <c r="M65" s="7">
        <f>'1 prepared data'!L58</f>
        <v/>
      </c>
      <c r="N65" s="7">
        <f>'1 prepared data'!M58</f>
        <v/>
      </c>
      <c r="O65" s="7">
        <f>'1 prepared data'!N58</f>
        <v/>
      </c>
      <c r="P65" s="7">
        <f>'1 prepared data'!O58</f>
        <v/>
      </c>
      <c r="Q65" s="7">
        <f>'1 prepared data'!P58</f>
        <v/>
      </c>
      <c r="R65" s="7">
        <f>'1 prepared data'!Q58</f>
        <v/>
      </c>
      <c r="S65" s="7">
        <f>'1 prepared data'!R58</f>
        <v/>
      </c>
      <c r="T65" s="7">
        <f>'1 prepared data'!S58</f>
        <v/>
      </c>
      <c r="U65" s="7">
        <f>'1 prepared data'!T58</f>
        <v/>
      </c>
      <c r="V65" s="8">
        <f>$AC$12+D65*$AC$13+E65*$AC$14+F65*$AC$15+G65*$AC$16+H65*$AC$17+I65*$AC$18+J65*$AC$19+K65*$AC$20+L65*$AC$21+M65*$AC$22+N65*$AC$23+O65*$AC$24+P65*$AC$25+Q65*$AC$26+R65*$AC$27+S65*$AC$28+T65*$AC$29+U65*$AC$30</f>
        <v/>
      </c>
      <c r="W65" s="8">
        <f>1/(1+EXP(-V65))</f>
        <v/>
      </c>
      <c r="X65" s="9">
        <f>-IF(C65=1,LN(W65),LN(1-W65))</f>
        <v/>
      </c>
      <c r="Y65" s="10">
        <f>IF(W65&gt;$AC$33,1,0)</f>
        <v/>
      </c>
      <c r="Z65">
        <f>IF(Y65=C65,1,0)</f>
        <v/>
      </c>
    </row>
    <row r="66">
      <c r="A66">
        <f>'1 prepared data'!A59</f>
        <v/>
      </c>
      <c r="B66" s="5">
        <f>'1 prepared data'!U59</f>
        <v/>
      </c>
      <c r="C66">
        <f>'1 prepared data'!B59</f>
        <v/>
      </c>
      <c r="D66" s="7">
        <f>'1 prepared data'!C59</f>
        <v/>
      </c>
      <c r="E66" s="7">
        <f>'1 prepared data'!D59</f>
        <v/>
      </c>
      <c r="F66" s="7">
        <f>'1 prepared data'!E59</f>
        <v/>
      </c>
      <c r="G66" s="7">
        <f>'1 prepared data'!F59</f>
        <v/>
      </c>
      <c r="H66" s="7">
        <f>'1 prepared data'!G59</f>
        <v/>
      </c>
      <c r="I66" s="7">
        <f>'1 prepared data'!H59</f>
        <v/>
      </c>
      <c r="J66" s="7">
        <f>'1 prepared data'!I59</f>
        <v/>
      </c>
      <c r="K66" s="7">
        <f>'1 prepared data'!J59</f>
        <v/>
      </c>
      <c r="L66" s="7">
        <f>'1 prepared data'!K59</f>
        <v/>
      </c>
      <c r="M66" s="7">
        <f>'1 prepared data'!L59</f>
        <v/>
      </c>
      <c r="N66" s="7">
        <f>'1 prepared data'!M59</f>
        <v/>
      </c>
      <c r="O66" s="7">
        <f>'1 prepared data'!N59</f>
        <v/>
      </c>
      <c r="P66" s="7">
        <f>'1 prepared data'!O59</f>
        <v/>
      </c>
      <c r="Q66" s="7">
        <f>'1 prepared data'!P59</f>
        <v/>
      </c>
      <c r="R66" s="7">
        <f>'1 prepared data'!Q59</f>
        <v/>
      </c>
      <c r="S66" s="7">
        <f>'1 prepared data'!R59</f>
        <v/>
      </c>
      <c r="T66" s="7">
        <f>'1 prepared data'!S59</f>
        <v/>
      </c>
      <c r="U66" s="7">
        <f>'1 prepared data'!T59</f>
        <v/>
      </c>
      <c r="V66" s="8">
        <f>$AC$12+D66*$AC$13+E66*$AC$14+F66*$AC$15+G66*$AC$16+H66*$AC$17+I66*$AC$18+J66*$AC$19+K66*$AC$20+L66*$AC$21+M66*$AC$22+N66*$AC$23+O66*$AC$24+P66*$AC$25+Q66*$AC$26+R66*$AC$27+S66*$AC$28+T66*$AC$29+U66*$AC$30</f>
        <v/>
      </c>
      <c r="W66" s="8">
        <f>1/(1+EXP(-V66))</f>
        <v/>
      </c>
      <c r="X66" s="9">
        <f>-IF(C66=1,LN(W66),LN(1-W66))</f>
        <v/>
      </c>
      <c r="Y66" s="10">
        <f>IF(W66&gt;$AC$33,1,0)</f>
        <v/>
      </c>
      <c r="Z66">
        <f>IF(Y66=C66,1,0)</f>
        <v/>
      </c>
    </row>
    <row r="67">
      <c r="A67">
        <f>'1 prepared data'!A60</f>
        <v/>
      </c>
      <c r="B67" s="5">
        <f>'1 prepared data'!U60</f>
        <v/>
      </c>
      <c r="C67">
        <f>'1 prepared data'!B60</f>
        <v/>
      </c>
      <c r="D67" s="7">
        <f>'1 prepared data'!C60</f>
        <v/>
      </c>
      <c r="E67" s="7">
        <f>'1 prepared data'!D60</f>
        <v/>
      </c>
      <c r="F67" s="7">
        <f>'1 prepared data'!E60</f>
        <v/>
      </c>
      <c r="G67" s="7">
        <f>'1 prepared data'!F60</f>
        <v/>
      </c>
      <c r="H67" s="7">
        <f>'1 prepared data'!G60</f>
        <v/>
      </c>
      <c r="I67" s="7">
        <f>'1 prepared data'!H60</f>
        <v/>
      </c>
      <c r="J67" s="7">
        <f>'1 prepared data'!I60</f>
        <v/>
      </c>
      <c r="K67" s="7">
        <f>'1 prepared data'!J60</f>
        <v/>
      </c>
      <c r="L67" s="7">
        <f>'1 prepared data'!K60</f>
        <v/>
      </c>
      <c r="M67" s="7">
        <f>'1 prepared data'!L60</f>
        <v/>
      </c>
      <c r="N67" s="7">
        <f>'1 prepared data'!M60</f>
        <v/>
      </c>
      <c r="O67" s="7">
        <f>'1 prepared data'!N60</f>
        <v/>
      </c>
      <c r="P67" s="7">
        <f>'1 prepared data'!O60</f>
        <v/>
      </c>
      <c r="Q67" s="7">
        <f>'1 prepared data'!P60</f>
        <v/>
      </c>
      <c r="R67" s="7">
        <f>'1 prepared data'!Q60</f>
        <v/>
      </c>
      <c r="S67" s="7">
        <f>'1 prepared data'!R60</f>
        <v/>
      </c>
      <c r="T67" s="7">
        <f>'1 prepared data'!S60</f>
        <v/>
      </c>
      <c r="U67" s="7">
        <f>'1 prepared data'!T60</f>
        <v/>
      </c>
      <c r="V67" s="8">
        <f>$AC$12+D67*$AC$13+E67*$AC$14+F67*$AC$15+G67*$AC$16+H67*$AC$17+I67*$AC$18+J67*$AC$19+K67*$AC$20+L67*$AC$21+M67*$AC$22+N67*$AC$23+O67*$AC$24+P67*$AC$25+Q67*$AC$26+R67*$AC$27+S67*$AC$28+T67*$AC$29+U67*$AC$30</f>
        <v/>
      </c>
      <c r="W67" s="8">
        <f>1/(1+EXP(-V67))</f>
        <v/>
      </c>
      <c r="X67" s="9">
        <f>-IF(C67=1,LN(W67),LN(1-W67))</f>
        <v/>
      </c>
      <c r="Y67" s="10">
        <f>IF(W67&gt;$AC$33,1,0)</f>
        <v/>
      </c>
      <c r="Z67">
        <f>IF(Y67=C67,1,0)</f>
        <v/>
      </c>
    </row>
    <row r="68">
      <c r="A68">
        <f>'1 prepared data'!A61</f>
        <v/>
      </c>
      <c r="B68" s="5">
        <f>'1 prepared data'!U61</f>
        <v/>
      </c>
      <c r="C68">
        <f>'1 prepared data'!B61</f>
        <v/>
      </c>
      <c r="D68" s="7">
        <f>'1 prepared data'!C61</f>
        <v/>
      </c>
      <c r="E68" s="7">
        <f>'1 prepared data'!D61</f>
        <v/>
      </c>
      <c r="F68" s="7">
        <f>'1 prepared data'!E61</f>
        <v/>
      </c>
      <c r="G68" s="7">
        <f>'1 prepared data'!F61</f>
        <v/>
      </c>
      <c r="H68" s="7">
        <f>'1 prepared data'!G61</f>
        <v/>
      </c>
      <c r="I68" s="7">
        <f>'1 prepared data'!H61</f>
        <v/>
      </c>
      <c r="J68" s="7">
        <f>'1 prepared data'!I61</f>
        <v/>
      </c>
      <c r="K68" s="7">
        <f>'1 prepared data'!J61</f>
        <v/>
      </c>
      <c r="L68" s="7">
        <f>'1 prepared data'!K61</f>
        <v/>
      </c>
      <c r="M68" s="7">
        <f>'1 prepared data'!L61</f>
        <v/>
      </c>
      <c r="N68" s="7">
        <f>'1 prepared data'!M61</f>
        <v/>
      </c>
      <c r="O68" s="7">
        <f>'1 prepared data'!N61</f>
        <v/>
      </c>
      <c r="P68" s="7">
        <f>'1 prepared data'!O61</f>
        <v/>
      </c>
      <c r="Q68" s="7">
        <f>'1 prepared data'!P61</f>
        <v/>
      </c>
      <c r="R68" s="7">
        <f>'1 prepared data'!Q61</f>
        <v/>
      </c>
      <c r="S68" s="7">
        <f>'1 prepared data'!R61</f>
        <v/>
      </c>
      <c r="T68" s="7">
        <f>'1 prepared data'!S61</f>
        <v/>
      </c>
      <c r="U68" s="7">
        <f>'1 prepared data'!T61</f>
        <v/>
      </c>
      <c r="V68" s="8">
        <f>$AC$12+D68*$AC$13+E68*$AC$14+F68*$AC$15+G68*$AC$16+H68*$AC$17+I68*$AC$18+J68*$AC$19+K68*$AC$20+L68*$AC$21+M68*$AC$22+N68*$AC$23+O68*$AC$24+P68*$AC$25+Q68*$AC$26+R68*$AC$27+S68*$AC$28+T68*$AC$29+U68*$AC$30</f>
        <v/>
      </c>
      <c r="W68" s="8">
        <f>1/(1+EXP(-V68))</f>
        <v/>
      </c>
      <c r="X68" s="9">
        <f>-IF(C68=1,LN(W68),LN(1-W68))</f>
        <v/>
      </c>
      <c r="Y68" s="10">
        <f>IF(W68&gt;$AC$33,1,0)</f>
        <v/>
      </c>
      <c r="Z68">
        <f>IF(Y68=C68,1,0)</f>
        <v/>
      </c>
    </row>
    <row r="69">
      <c r="A69">
        <f>'1 prepared data'!A62</f>
        <v/>
      </c>
      <c r="B69" s="5">
        <f>'1 prepared data'!U62</f>
        <v/>
      </c>
      <c r="C69">
        <f>'1 prepared data'!B62</f>
        <v/>
      </c>
      <c r="D69" s="7">
        <f>'1 prepared data'!C62</f>
        <v/>
      </c>
      <c r="E69" s="7">
        <f>'1 prepared data'!D62</f>
        <v/>
      </c>
      <c r="F69" s="7">
        <f>'1 prepared data'!E62</f>
        <v/>
      </c>
      <c r="G69" s="7">
        <f>'1 prepared data'!F62</f>
        <v/>
      </c>
      <c r="H69" s="7">
        <f>'1 prepared data'!G62</f>
        <v/>
      </c>
      <c r="I69" s="7">
        <f>'1 prepared data'!H62</f>
        <v/>
      </c>
      <c r="J69" s="7">
        <f>'1 prepared data'!I62</f>
        <v/>
      </c>
      <c r="K69" s="7">
        <f>'1 prepared data'!J62</f>
        <v/>
      </c>
      <c r="L69" s="7">
        <f>'1 prepared data'!K62</f>
        <v/>
      </c>
      <c r="M69" s="7">
        <f>'1 prepared data'!L62</f>
        <v/>
      </c>
      <c r="N69" s="7">
        <f>'1 prepared data'!M62</f>
        <v/>
      </c>
      <c r="O69" s="7">
        <f>'1 prepared data'!N62</f>
        <v/>
      </c>
      <c r="P69" s="7">
        <f>'1 prepared data'!O62</f>
        <v/>
      </c>
      <c r="Q69" s="7">
        <f>'1 prepared data'!P62</f>
        <v/>
      </c>
      <c r="R69" s="7">
        <f>'1 prepared data'!Q62</f>
        <v/>
      </c>
      <c r="S69" s="7">
        <f>'1 prepared data'!R62</f>
        <v/>
      </c>
      <c r="T69" s="7">
        <f>'1 prepared data'!S62</f>
        <v/>
      </c>
      <c r="U69" s="7">
        <f>'1 prepared data'!T62</f>
        <v/>
      </c>
      <c r="V69" s="8">
        <f>$AC$12+D69*$AC$13+E69*$AC$14+F69*$AC$15+G69*$AC$16+H69*$AC$17+I69*$AC$18+J69*$AC$19+K69*$AC$20+L69*$AC$21+M69*$AC$22+N69*$AC$23+O69*$AC$24+P69*$AC$25+Q69*$AC$26+R69*$AC$27+S69*$AC$28+T69*$AC$29+U69*$AC$30</f>
        <v/>
      </c>
      <c r="W69" s="8">
        <f>1/(1+EXP(-V69))</f>
        <v/>
      </c>
      <c r="X69" s="9">
        <f>-IF(C69=1,LN(W69),LN(1-W69))</f>
        <v/>
      </c>
      <c r="Y69" s="10">
        <f>IF(W69&gt;$AC$33,1,0)</f>
        <v/>
      </c>
      <c r="Z69">
        <f>IF(Y69=C69,1,0)</f>
        <v/>
      </c>
    </row>
    <row r="70">
      <c r="A70">
        <f>'1 prepared data'!A63</f>
        <v/>
      </c>
      <c r="B70" s="5">
        <f>'1 prepared data'!U63</f>
        <v/>
      </c>
      <c r="C70">
        <f>'1 prepared data'!B63</f>
        <v/>
      </c>
      <c r="D70" s="7">
        <f>'1 prepared data'!C63</f>
        <v/>
      </c>
      <c r="E70" s="7">
        <f>'1 prepared data'!D63</f>
        <v/>
      </c>
      <c r="F70" s="7">
        <f>'1 prepared data'!E63</f>
        <v/>
      </c>
      <c r="G70" s="7">
        <f>'1 prepared data'!F63</f>
        <v/>
      </c>
      <c r="H70" s="7">
        <f>'1 prepared data'!G63</f>
        <v/>
      </c>
      <c r="I70" s="7">
        <f>'1 prepared data'!H63</f>
        <v/>
      </c>
      <c r="J70" s="7">
        <f>'1 prepared data'!I63</f>
        <v/>
      </c>
      <c r="K70" s="7">
        <f>'1 prepared data'!J63</f>
        <v/>
      </c>
      <c r="L70" s="7">
        <f>'1 prepared data'!K63</f>
        <v/>
      </c>
      <c r="M70" s="7">
        <f>'1 prepared data'!L63</f>
        <v/>
      </c>
      <c r="N70" s="7">
        <f>'1 prepared data'!M63</f>
        <v/>
      </c>
      <c r="O70" s="7">
        <f>'1 prepared data'!N63</f>
        <v/>
      </c>
      <c r="P70" s="7">
        <f>'1 prepared data'!O63</f>
        <v/>
      </c>
      <c r="Q70" s="7">
        <f>'1 prepared data'!P63</f>
        <v/>
      </c>
      <c r="R70" s="7">
        <f>'1 prepared data'!Q63</f>
        <v/>
      </c>
      <c r="S70" s="7">
        <f>'1 prepared data'!R63</f>
        <v/>
      </c>
      <c r="T70" s="7">
        <f>'1 prepared data'!S63</f>
        <v/>
      </c>
      <c r="U70" s="7">
        <f>'1 prepared data'!T63</f>
        <v/>
      </c>
      <c r="V70" s="8">
        <f>$AC$12+D70*$AC$13+E70*$AC$14+F70*$AC$15+G70*$AC$16+H70*$AC$17+I70*$AC$18+J70*$AC$19+K70*$AC$20+L70*$AC$21+M70*$AC$22+N70*$AC$23+O70*$AC$24+P70*$AC$25+Q70*$AC$26+R70*$AC$27+S70*$AC$28+T70*$AC$29+U70*$AC$30</f>
        <v/>
      </c>
      <c r="W70" s="8">
        <f>1/(1+EXP(-V70))</f>
        <v/>
      </c>
      <c r="X70" s="9">
        <f>-IF(C70=1,LN(W70),LN(1-W70))</f>
        <v/>
      </c>
      <c r="Y70" s="10">
        <f>IF(W70&gt;$AC$33,1,0)</f>
        <v/>
      </c>
      <c r="Z70">
        <f>IF(Y70=C70,1,0)</f>
        <v/>
      </c>
    </row>
    <row r="71">
      <c r="A71">
        <f>'1 prepared data'!A64</f>
        <v/>
      </c>
      <c r="B71" s="5">
        <f>'1 prepared data'!U64</f>
        <v/>
      </c>
      <c r="C71">
        <f>'1 prepared data'!B64</f>
        <v/>
      </c>
      <c r="D71" s="7">
        <f>'1 prepared data'!C64</f>
        <v/>
      </c>
      <c r="E71" s="7">
        <f>'1 prepared data'!D64</f>
        <v/>
      </c>
      <c r="F71" s="7">
        <f>'1 prepared data'!E64</f>
        <v/>
      </c>
      <c r="G71" s="7">
        <f>'1 prepared data'!F64</f>
        <v/>
      </c>
      <c r="H71" s="7">
        <f>'1 prepared data'!G64</f>
        <v/>
      </c>
      <c r="I71" s="7">
        <f>'1 prepared data'!H64</f>
        <v/>
      </c>
      <c r="J71" s="7">
        <f>'1 prepared data'!I64</f>
        <v/>
      </c>
      <c r="K71" s="7">
        <f>'1 prepared data'!J64</f>
        <v/>
      </c>
      <c r="L71" s="7">
        <f>'1 prepared data'!K64</f>
        <v/>
      </c>
      <c r="M71" s="7">
        <f>'1 prepared data'!L64</f>
        <v/>
      </c>
      <c r="N71" s="7">
        <f>'1 prepared data'!M64</f>
        <v/>
      </c>
      <c r="O71" s="7">
        <f>'1 prepared data'!N64</f>
        <v/>
      </c>
      <c r="P71" s="7">
        <f>'1 prepared data'!O64</f>
        <v/>
      </c>
      <c r="Q71" s="7">
        <f>'1 prepared data'!P64</f>
        <v/>
      </c>
      <c r="R71" s="7">
        <f>'1 prepared data'!Q64</f>
        <v/>
      </c>
      <c r="S71" s="7">
        <f>'1 prepared data'!R64</f>
        <v/>
      </c>
      <c r="T71" s="7">
        <f>'1 prepared data'!S64</f>
        <v/>
      </c>
      <c r="U71" s="7">
        <f>'1 prepared data'!T64</f>
        <v/>
      </c>
      <c r="V71" s="8">
        <f>$AC$12+D71*$AC$13+E71*$AC$14+F71*$AC$15+G71*$AC$16+H71*$AC$17+I71*$AC$18+J71*$AC$19+K71*$AC$20+L71*$AC$21+M71*$AC$22+N71*$AC$23+O71*$AC$24+P71*$AC$25+Q71*$AC$26+R71*$AC$27+S71*$AC$28+T71*$AC$29+U71*$AC$30</f>
        <v/>
      </c>
      <c r="W71" s="8">
        <f>1/(1+EXP(-V71))</f>
        <v/>
      </c>
      <c r="X71" s="9">
        <f>-IF(C71=1,LN(W71),LN(1-W71))</f>
        <v/>
      </c>
      <c r="Y71" s="10">
        <f>IF(W71&gt;$AC$33,1,0)</f>
        <v/>
      </c>
      <c r="Z71">
        <f>IF(Y71=C71,1,0)</f>
        <v/>
      </c>
    </row>
    <row r="72">
      <c r="A72">
        <f>'1 prepared data'!A65</f>
        <v/>
      </c>
      <c r="B72" s="5">
        <f>'1 prepared data'!U65</f>
        <v/>
      </c>
      <c r="C72">
        <f>'1 prepared data'!B65</f>
        <v/>
      </c>
      <c r="D72" s="7">
        <f>'1 prepared data'!C65</f>
        <v/>
      </c>
      <c r="E72" s="7">
        <f>'1 prepared data'!D65</f>
        <v/>
      </c>
      <c r="F72" s="7">
        <f>'1 prepared data'!E65</f>
        <v/>
      </c>
      <c r="G72" s="7">
        <f>'1 prepared data'!F65</f>
        <v/>
      </c>
      <c r="H72" s="7">
        <f>'1 prepared data'!G65</f>
        <v/>
      </c>
      <c r="I72" s="7">
        <f>'1 prepared data'!H65</f>
        <v/>
      </c>
      <c r="J72" s="7">
        <f>'1 prepared data'!I65</f>
        <v/>
      </c>
      <c r="K72" s="7">
        <f>'1 prepared data'!J65</f>
        <v/>
      </c>
      <c r="L72" s="7">
        <f>'1 prepared data'!K65</f>
        <v/>
      </c>
      <c r="M72" s="7">
        <f>'1 prepared data'!L65</f>
        <v/>
      </c>
      <c r="N72" s="7">
        <f>'1 prepared data'!M65</f>
        <v/>
      </c>
      <c r="O72" s="7">
        <f>'1 prepared data'!N65</f>
        <v/>
      </c>
      <c r="P72" s="7">
        <f>'1 prepared data'!O65</f>
        <v/>
      </c>
      <c r="Q72" s="7">
        <f>'1 prepared data'!P65</f>
        <v/>
      </c>
      <c r="R72" s="7">
        <f>'1 prepared data'!Q65</f>
        <v/>
      </c>
      <c r="S72" s="7">
        <f>'1 prepared data'!R65</f>
        <v/>
      </c>
      <c r="T72" s="7">
        <f>'1 prepared data'!S65</f>
        <v/>
      </c>
      <c r="U72" s="7">
        <f>'1 prepared data'!T65</f>
        <v/>
      </c>
      <c r="V72" s="8">
        <f>$AC$12+D72*$AC$13+E72*$AC$14+F72*$AC$15+G72*$AC$16+H72*$AC$17+I72*$AC$18+J72*$AC$19+K72*$AC$20+L72*$AC$21+M72*$AC$22+N72*$AC$23+O72*$AC$24+P72*$AC$25+Q72*$AC$26+R72*$AC$27+S72*$AC$28+T72*$AC$29+U72*$AC$30</f>
        <v/>
      </c>
      <c r="W72" s="8">
        <f>1/(1+EXP(-V72))</f>
        <v/>
      </c>
      <c r="X72" s="9">
        <f>-IF(C72=1,LN(W72),LN(1-W72))</f>
        <v/>
      </c>
      <c r="Y72" s="10">
        <f>IF(W72&gt;$AC$33,1,0)</f>
        <v/>
      </c>
      <c r="Z72">
        <f>IF(Y72=C72,1,0)</f>
        <v/>
      </c>
    </row>
    <row r="73">
      <c r="A73">
        <f>'1 prepared data'!A66</f>
        <v/>
      </c>
      <c r="B73" s="5">
        <f>'1 prepared data'!U66</f>
        <v/>
      </c>
      <c r="C73">
        <f>'1 prepared data'!B66</f>
        <v/>
      </c>
      <c r="D73" s="7">
        <f>'1 prepared data'!C66</f>
        <v/>
      </c>
      <c r="E73" s="7">
        <f>'1 prepared data'!D66</f>
        <v/>
      </c>
      <c r="F73" s="7">
        <f>'1 prepared data'!E66</f>
        <v/>
      </c>
      <c r="G73" s="7">
        <f>'1 prepared data'!F66</f>
        <v/>
      </c>
      <c r="H73" s="7">
        <f>'1 prepared data'!G66</f>
        <v/>
      </c>
      <c r="I73" s="7">
        <f>'1 prepared data'!H66</f>
        <v/>
      </c>
      <c r="J73" s="7">
        <f>'1 prepared data'!I66</f>
        <v/>
      </c>
      <c r="K73" s="7">
        <f>'1 prepared data'!J66</f>
        <v/>
      </c>
      <c r="L73" s="7">
        <f>'1 prepared data'!K66</f>
        <v/>
      </c>
      <c r="M73" s="7">
        <f>'1 prepared data'!L66</f>
        <v/>
      </c>
      <c r="N73" s="7">
        <f>'1 prepared data'!M66</f>
        <v/>
      </c>
      <c r="O73" s="7">
        <f>'1 prepared data'!N66</f>
        <v/>
      </c>
      <c r="P73" s="7">
        <f>'1 prepared data'!O66</f>
        <v/>
      </c>
      <c r="Q73" s="7">
        <f>'1 prepared data'!P66</f>
        <v/>
      </c>
      <c r="R73" s="7">
        <f>'1 prepared data'!Q66</f>
        <v/>
      </c>
      <c r="S73" s="7">
        <f>'1 prepared data'!R66</f>
        <v/>
      </c>
      <c r="T73" s="7">
        <f>'1 prepared data'!S66</f>
        <v/>
      </c>
      <c r="U73" s="7">
        <f>'1 prepared data'!T66</f>
        <v/>
      </c>
      <c r="V73" s="8">
        <f>$AC$12+D73*$AC$13+E73*$AC$14+F73*$AC$15+G73*$AC$16+H73*$AC$17+I73*$AC$18+J73*$AC$19+K73*$AC$20+L73*$AC$21+M73*$AC$22+N73*$AC$23+O73*$AC$24+P73*$AC$25+Q73*$AC$26+R73*$AC$27+S73*$AC$28+T73*$AC$29+U73*$AC$30</f>
        <v/>
      </c>
      <c r="W73" s="8">
        <f>1/(1+EXP(-V73))</f>
        <v/>
      </c>
      <c r="X73" s="9">
        <f>-IF(C73=1,LN(W73),LN(1-W73))</f>
        <v/>
      </c>
      <c r="Y73" s="10">
        <f>IF(W73&gt;$AC$33,1,0)</f>
        <v/>
      </c>
      <c r="Z73">
        <f>IF(Y73=C73,1,0)</f>
        <v/>
      </c>
    </row>
    <row r="74">
      <c r="A74">
        <f>'1 prepared data'!A67</f>
        <v/>
      </c>
      <c r="B74" s="5">
        <f>'1 prepared data'!U67</f>
        <v/>
      </c>
      <c r="C74">
        <f>'1 prepared data'!B67</f>
        <v/>
      </c>
      <c r="D74" s="7">
        <f>'1 prepared data'!C67</f>
        <v/>
      </c>
      <c r="E74" s="7">
        <f>'1 prepared data'!D67</f>
        <v/>
      </c>
      <c r="F74" s="7">
        <f>'1 prepared data'!E67</f>
        <v/>
      </c>
      <c r="G74" s="7">
        <f>'1 prepared data'!F67</f>
        <v/>
      </c>
      <c r="H74" s="7">
        <f>'1 prepared data'!G67</f>
        <v/>
      </c>
      <c r="I74" s="7">
        <f>'1 prepared data'!H67</f>
        <v/>
      </c>
      <c r="J74" s="7">
        <f>'1 prepared data'!I67</f>
        <v/>
      </c>
      <c r="K74" s="7">
        <f>'1 prepared data'!J67</f>
        <v/>
      </c>
      <c r="L74" s="7">
        <f>'1 prepared data'!K67</f>
        <v/>
      </c>
      <c r="M74" s="7">
        <f>'1 prepared data'!L67</f>
        <v/>
      </c>
      <c r="N74" s="7">
        <f>'1 prepared data'!M67</f>
        <v/>
      </c>
      <c r="O74" s="7">
        <f>'1 prepared data'!N67</f>
        <v/>
      </c>
      <c r="P74" s="7">
        <f>'1 prepared data'!O67</f>
        <v/>
      </c>
      <c r="Q74" s="7">
        <f>'1 prepared data'!P67</f>
        <v/>
      </c>
      <c r="R74" s="7">
        <f>'1 prepared data'!Q67</f>
        <v/>
      </c>
      <c r="S74" s="7">
        <f>'1 prepared data'!R67</f>
        <v/>
      </c>
      <c r="T74" s="7">
        <f>'1 prepared data'!S67</f>
        <v/>
      </c>
      <c r="U74" s="7">
        <f>'1 prepared data'!T67</f>
        <v/>
      </c>
      <c r="V74" s="8">
        <f>$AC$12+D74*$AC$13+E74*$AC$14+F74*$AC$15+G74*$AC$16+H74*$AC$17+I74*$AC$18+J74*$AC$19+K74*$AC$20+L74*$AC$21+M74*$AC$22+N74*$AC$23+O74*$AC$24+P74*$AC$25+Q74*$AC$26+R74*$AC$27+S74*$AC$28+T74*$AC$29+U74*$AC$30</f>
        <v/>
      </c>
      <c r="W74" s="8">
        <f>1/(1+EXP(-V74))</f>
        <v/>
      </c>
      <c r="X74" s="9">
        <f>-IF(C74=1,LN(W74),LN(1-W74))</f>
        <v/>
      </c>
      <c r="Y74" s="10">
        <f>IF(W74&gt;$AC$33,1,0)</f>
        <v/>
      </c>
      <c r="Z74">
        <f>IF(Y74=C74,1,0)</f>
        <v/>
      </c>
    </row>
    <row r="75">
      <c r="A75">
        <f>'1 prepared data'!A68</f>
        <v/>
      </c>
      <c r="B75" s="5">
        <f>'1 prepared data'!U68</f>
        <v/>
      </c>
      <c r="C75">
        <f>'1 prepared data'!B68</f>
        <v/>
      </c>
      <c r="D75" s="7">
        <f>'1 prepared data'!C68</f>
        <v/>
      </c>
      <c r="E75" s="7">
        <f>'1 prepared data'!D68</f>
        <v/>
      </c>
      <c r="F75" s="7">
        <f>'1 prepared data'!E68</f>
        <v/>
      </c>
      <c r="G75" s="7">
        <f>'1 prepared data'!F68</f>
        <v/>
      </c>
      <c r="H75" s="7">
        <f>'1 prepared data'!G68</f>
        <v/>
      </c>
      <c r="I75" s="7">
        <f>'1 prepared data'!H68</f>
        <v/>
      </c>
      <c r="J75" s="7">
        <f>'1 prepared data'!I68</f>
        <v/>
      </c>
      <c r="K75" s="7">
        <f>'1 prepared data'!J68</f>
        <v/>
      </c>
      <c r="L75" s="7">
        <f>'1 prepared data'!K68</f>
        <v/>
      </c>
      <c r="M75" s="7">
        <f>'1 prepared data'!L68</f>
        <v/>
      </c>
      <c r="N75" s="7">
        <f>'1 prepared data'!M68</f>
        <v/>
      </c>
      <c r="O75" s="7">
        <f>'1 prepared data'!N68</f>
        <v/>
      </c>
      <c r="P75" s="7">
        <f>'1 prepared data'!O68</f>
        <v/>
      </c>
      <c r="Q75" s="7">
        <f>'1 prepared data'!P68</f>
        <v/>
      </c>
      <c r="R75" s="7">
        <f>'1 prepared data'!Q68</f>
        <v/>
      </c>
      <c r="S75" s="7">
        <f>'1 prepared data'!R68</f>
        <v/>
      </c>
      <c r="T75" s="7">
        <f>'1 prepared data'!S68</f>
        <v/>
      </c>
      <c r="U75" s="7">
        <f>'1 prepared data'!T68</f>
        <v/>
      </c>
      <c r="V75" s="8">
        <f>$AC$12+D75*$AC$13+E75*$AC$14+F75*$AC$15+G75*$AC$16+H75*$AC$17+I75*$AC$18+J75*$AC$19+K75*$AC$20+L75*$AC$21+M75*$AC$22+N75*$AC$23+O75*$AC$24+P75*$AC$25+Q75*$AC$26+R75*$AC$27+S75*$AC$28+T75*$AC$29+U75*$AC$30</f>
        <v/>
      </c>
      <c r="W75" s="8">
        <f>1/(1+EXP(-V75))</f>
        <v/>
      </c>
      <c r="X75" s="9">
        <f>-IF(C75=1,LN(W75),LN(1-W75))</f>
        <v/>
      </c>
      <c r="Y75" s="10">
        <f>IF(W75&gt;$AC$33,1,0)</f>
        <v/>
      </c>
      <c r="Z75">
        <f>IF(Y75=C75,1,0)</f>
        <v/>
      </c>
    </row>
    <row r="76">
      <c r="A76">
        <f>'1 prepared data'!A69</f>
        <v/>
      </c>
      <c r="B76" s="5">
        <f>'1 prepared data'!U69</f>
        <v/>
      </c>
      <c r="C76">
        <f>'1 prepared data'!B69</f>
        <v/>
      </c>
      <c r="D76" s="7">
        <f>'1 prepared data'!C69</f>
        <v/>
      </c>
      <c r="E76" s="7">
        <f>'1 prepared data'!D69</f>
        <v/>
      </c>
      <c r="F76" s="7">
        <f>'1 prepared data'!E69</f>
        <v/>
      </c>
      <c r="G76" s="7">
        <f>'1 prepared data'!F69</f>
        <v/>
      </c>
      <c r="H76" s="7">
        <f>'1 prepared data'!G69</f>
        <v/>
      </c>
      <c r="I76" s="7">
        <f>'1 prepared data'!H69</f>
        <v/>
      </c>
      <c r="J76" s="7">
        <f>'1 prepared data'!I69</f>
        <v/>
      </c>
      <c r="K76" s="7">
        <f>'1 prepared data'!J69</f>
        <v/>
      </c>
      <c r="L76" s="7">
        <f>'1 prepared data'!K69</f>
        <v/>
      </c>
      <c r="M76" s="7">
        <f>'1 prepared data'!L69</f>
        <v/>
      </c>
      <c r="N76" s="7">
        <f>'1 prepared data'!M69</f>
        <v/>
      </c>
      <c r="O76" s="7">
        <f>'1 prepared data'!N69</f>
        <v/>
      </c>
      <c r="P76" s="7">
        <f>'1 prepared data'!O69</f>
        <v/>
      </c>
      <c r="Q76" s="7">
        <f>'1 prepared data'!P69</f>
        <v/>
      </c>
      <c r="R76" s="7">
        <f>'1 prepared data'!Q69</f>
        <v/>
      </c>
      <c r="S76" s="7">
        <f>'1 prepared data'!R69</f>
        <v/>
      </c>
      <c r="T76" s="7">
        <f>'1 prepared data'!S69</f>
        <v/>
      </c>
      <c r="U76" s="7">
        <f>'1 prepared data'!T69</f>
        <v/>
      </c>
      <c r="V76" s="8">
        <f>$AC$12+D76*$AC$13+E76*$AC$14+F76*$AC$15+G76*$AC$16+H76*$AC$17+I76*$AC$18+J76*$AC$19+K76*$AC$20+L76*$AC$21+M76*$AC$22+N76*$AC$23+O76*$AC$24+P76*$AC$25+Q76*$AC$26+R76*$AC$27+S76*$AC$28+T76*$AC$29+U76*$AC$30</f>
        <v/>
      </c>
      <c r="W76" s="8">
        <f>1/(1+EXP(-V76))</f>
        <v/>
      </c>
      <c r="X76" s="9">
        <f>-IF(C76=1,LN(W76),LN(1-W76))</f>
        <v/>
      </c>
      <c r="Y76" s="10">
        <f>IF(W76&gt;$AC$33,1,0)</f>
        <v/>
      </c>
      <c r="Z76">
        <f>IF(Y76=C76,1,0)</f>
        <v/>
      </c>
    </row>
    <row r="77">
      <c r="A77">
        <f>'1 prepared data'!A70</f>
        <v/>
      </c>
      <c r="B77" s="5">
        <f>'1 prepared data'!U70</f>
        <v/>
      </c>
      <c r="C77">
        <f>'1 prepared data'!B70</f>
        <v/>
      </c>
      <c r="D77" s="7">
        <f>'1 prepared data'!C70</f>
        <v/>
      </c>
      <c r="E77" s="7">
        <f>'1 prepared data'!D70</f>
        <v/>
      </c>
      <c r="F77" s="7">
        <f>'1 prepared data'!E70</f>
        <v/>
      </c>
      <c r="G77" s="7">
        <f>'1 prepared data'!F70</f>
        <v/>
      </c>
      <c r="H77" s="7">
        <f>'1 prepared data'!G70</f>
        <v/>
      </c>
      <c r="I77" s="7">
        <f>'1 prepared data'!H70</f>
        <v/>
      </c>
      <c r="J77" s="7">
        <f>'1 prepared data'!I70</f>
        <v/>
      </c>
      <c r="K77" s="7">
        <f>'1 prepared data'!J70</f>
        <v/>
      </c>
      <c r="L77" s="7">
        <f>'1 prepared data'!K70</f>
        <v/>
      </c>
      <c r="M77" s="7">
        <f>'1 prepared data'!L70</f>
        <v/>
      </c>
      <c r="N77" s="7">
        <f>'1 prepared data'!M70</f>
        <v/>
      </c>
      <c r="O77" s="7">
        <f>'1 prepared data'!N70</f>
        <v/>
      </c>
      <c r="P77" s="7">
        <f>'1 prepared data'!O70</f>
        <v/>
      </c>
      <c r="Q77" s="7">
        <f>'1 prepared data'!P70</f>
        <v/>
      </c>
      <c r="R77" s="7">
        <f>'1 prepared data'!Q70</f>
        <v/>
      </c>
      <c r="S77" s="7">
        <f>'1 prepared data'!R70</f>
        <v/>
      </c>
      <c r="T77" s="7">
        <f>'1 prepared data'!S70</f>
        <v/>
      </c>
      <c r="U77" s="7">
        <f>'1 prepared data'!T70</f>
        <v/>
      </c>
      <c r="V77" s="8">
        <f>$AC$12+D77*$AC$13+E77*$AC$14+F77*$AC$15+G77*$AC$16+H77*$AC$17+I77*$AC$18+J77*$AC$19+K77*$AC$20+L77*$AC$21+M77*$AC$22+N77*$AC$23+O77*$AC$24+P77*$AC$25+Q77*$AC$26+R77*$AC$27+S77*$AC$28+T77*$AC$29+U77*$AC$30</f>
        <v/>
      </c>
      <c r="W77" s="8">
        <f>1/(1+EXP(-V77))</f>
        <v/>
      </c>
      <c r="X77" s="9">
        <f>-IF(C77=1,LN(W77),LN(1-W77))</f>
        <v/>
      </c>
      <c r="Y77" s="10">
        <f>IF(W77&gt;$AC$33,1,0)</f>
        <v/>
      </c>
      <c r="Z77">
        <f>IF(Y77=C77,1,0)</f>
        <v/>
      </c>
    </row>
    <row r="78">
      <c r="A78">
        <f>'1 prepared data'!A71</f>
        <v/>
      </c>
      <c r="B78" s="5">
        <f>'1 prepared data'!U71</f>
        <v/>
      </c>
      <c r="C78">
        <f>'1 prepared data'!B71</f>
        <v/>
      </c>
      <c r="D78" s="7">
        <f>'1 prepared data'!C71</f>
        <v/>
      </c>
      <c r="E78" s="7">
        <f>'1 prepared data'!D71</f>
        <v/>
      </c>
      <c r="F78" s="7">
        <f>'1 prepared data'!E71</f>
        <v/>
      </c>
      <c r="G78" s="7">
        <f>'1 prepared data'!F71</f>
        <v/>
      </c>
      <c r="H78" s="7">
        <f>'1 prepared data'!G71</f>
        <v/>
      </c>
      <c r="I78" s="7">
        <f>'1 prepared data'!H71</f>
        <v/>
      </c>
      <c r="J78" s="7">
        <f>'1 prepared data'!I71</f>
        <v/>
      </c>
      <c r="K78" s="7">
        <f>'1 prepared data'!J71</f>
        <v/>
      </c>
      <c r="L78" s="7">
        <f>'1 prepared data'!K71</f>
        <v/>
      </c>
      <c r="M78" s="7">
        <f>'1 prepared data'!L71</f>
        <v/>
      </c>
      <c r="N78" s="7">
        <f>'1 prepared data'!M71</f>
        <v/>
      </c>
      <c r="O78" s="7">
        <f>'1 prepared data'!N71</f>
        <v/>
      </c>
      <c r="P78" s="7">
        <f>'1 prepared data'!O71</f>
        <v/>
      </c>
      <c r="Q78" s="7">
        <f>'1 prepared data'!P71</f>
        <v/>
      </c>
      <c r="R78" s="7">
        <f>'1 prepared data'!Q71</f>
        <v/>
      </c>
      <c r="S78" s="7">
        <f>'1 prepared data'!R71</f>
        <v/>
      </c>
      <c r="T78" s="7">
        <f>'1 prepared data'!S71</f>
        <v/>
      </c>
      <c r="U78" s="7">
        <f>'1 prepared data'!T71</f>
        <v/>
      </c>
      <c r="V78" s="8">
        <f>$AC$12+D78*$AC$13+E78*$AC$14+F78*$AC$15+G78*$AC$16+H78*$AC$17+I78*$AC$18+J78*$AC$19+K78*$AC$20+L78*$AC$21+M78*$AC$22+N78*$AC$23+O78*$AC$24+P78*$AC$25+Q78*$AC$26+R78*$AC$27+S78*$AC$28+T78*$AC$29+U78*$AC$30</f>
        <v/>
      </c>
      <c r="W78" s="8">
        <f>1/(1+EXP(-V78))</f>
        <v/>
      </c>
      <c r="X78" s="9">
        <f>-IF(C78=1,LN(W78),LN(1-W78))</f>
        <v/>
      </c>
      <c r="Y78" s="10">
        <f>IF(W78&gt;$AC$33,1,0)</f>
        <v/>
      </c>
      <c r="Z78">
        <f>IF(Y78=C78,1,0)</f>
        <v/>
      </c>
    </row>
    <row r="79">
      <c r="A79">
        <f>'1 prepared data'!A72</f>
        <v/>
      </c>
      <c r="B79" s="5">
        <f>'1 prepared data'!U72</f>
        <v/>
      </c>
      <c r="C79">
        <f>'1 prepared data'!B72</f>
        <v/>
      </c>
      <c r="D79" s="7">
        <f>'1 prepared data'!C72</f>
        <v/>
      </c>
      <c r="E79" s="7">
        <f>'1 prepared data'!D72</f>
        <v/>
      </c>
      <c r="F79" s="7">
        <f>'1 prepared data'!E72</f>
        <v/>
      </c>
      <c r="G79" s="7">
        <f>'1 prepared data'!F72</f>
        <v/>
      </c>
      <c r="H79" s="7">
        <f>'1 prepared data'!G72</f>
        <v/>
      </c>
      <c r="I79" s="7">
        <f>'1 prepared data'!H72</f>
        <v/>
      </c>
      <c r="J79" s="7">
        <f>'1 prepared data'!I72</f>
        <v/>
      </c>
      <c r="K79" s="7">
        <f>'1 prepared data'!J72</f>
        <v/>
      </c>
      <c r="L79" s="7">
        <f>'1 prepared data'!K72</f>
        <v/>
      </c>
      <c r="M79" s="7">
        <f>'1 prepared data'!L72</f>
        <v/>
      </c>
      <c r="N79" s="7">
        <f>'1 prepared data'!M72</f>
        <v/>
      </c>
      <c r="O79" s="7">
        <f>'1 prepared data'!N72</f>
        <v/>
      </c>
      <c r="P79" s="7">
        <f>'1 prepared data'!O72</f>
        <v/>
      </c>
      <c r="Q79" s="7">
        <f>'1 prepared data'!P72</f>
        <v/>
      </c>
      <c r="R79" s="7">
        <f>'1 prepared data'!Q72</f>
        <v/>
      </c>
      <c r="S79" s="7">
        <f>'1 prepared data'!R72</f>
        <v/>
      </c>
      <c r="T79" s="7">
        <f>'1 prepared data'!S72</f>
        <v/>
      </c>
      <c r="U79" s="7">
        <f>'1 prepared data'!T72</f>
        <v/>
      </c>
      <c r="V79" s="8">
        <f>$AC$12+D79*$AC$13+E79*$AC$14+F79*$AC$15+G79*$AC$16+H79*$AC$17+I79*$AC$18+J79*$AC$19+K79*$AC$20+L79*$AC$21+M79*$AC$22+N79*$AC$23+O79*$AC$24+P79*$AC$25+Q79*$AC$26+R79*$AC$27+S79*$AC$28+T79*$AC$29+U79*$AC$30</f>
        <v/>
      </c>
      <c r="W79" s="8">
        <f>1/(1+EXP(-V79))</f>
        <v/>
      </c>
      <c r="X79" s="9">
        <f>-IF(C79=1,LN(W79),LN(1-W79))</f>
        <v/>
      </c>
      <c r="Y79" s="10">
        <f>IF(W79&gt;$AC$33,1,0)</f>
        <v/>
      </c>
      <c r="Z79">
        <f>IF(Y79=C79,1,0)</f>
        <v/>
      </c>
    </row>
    <row r="80">
      <c r="A80">
        <f>'1 prepared data'!A73</f>
        <v/>
      </c>
      <c r="B80" s="5">
        <f>'1 prepared data'!U73</f>
        <v/>
      </c>
      <c r="C80">
        <f>'1 prepared data'!B73</f>
        <v/>
      </c>
      <c r="D80" s="7">
        <f>'1 prepared data'!C73</f>
        <v/>
      </c>
      <c r="E80" s="7">
        <f>'1 prepared data'!D73</f>
        <v/>
      </c>
      <c r="F80" s="7">
        <f>'1 prepared data'!E73</f>
        <v/>
      </c>
      <c r="G80" s="7">
        <f>'1 prepared data'!F73</f>
        <v/>
      </c>
      <c r="H80" s="7">
        <f>'1 prepared data'!G73</f>
        <v/>
      </c>
      <c r="I80" s="7">
        <f>'1 prepared data'!H73</f>
        <v/>
      </c>
      <c r="J80" s="7">
        <f>'1 prepared data'!I73</f>
        <v/>
      </c>
      <c r="K80" s="7">
        <f>'1 prepared data'!J73</f>
        <v/>
      </c>
      <c r="L80" s="7">
        <f>'1 prepared data'!K73</f>
        <v/>
      </c>
      <c r="M80" s="7">
        <f>'1 prepared data'!L73</f>
        <v/>
      </c>
      <c r="N80" s="7">
        <f>'1 prepared data'!M73</f>
        <v/>
      </c>
      <c r="O80" s="7">
        <f>'1 prepared data'!N73</f>
        <v/>
      </c>
      <c r="P80" s="7">
        <f>'1 prepared data'!O73</f>
        <v/>
      </c>
      <c r="Q80" s="7">
        <f>'1 prepared data'!P73</f>
        <v/>
      </c>
      <c r="R80" s="7">
        <f>'1 prepared data'!Q73</f>
        <v/>
      </c>
      <c r="S80" s="7">
        <f>'1 prepared data'!R73</f>
        <v/>
      </c>
      <c r="T80" s="7">
        <f>'1 prepared data'!S73</f>
        <v/>
      </c>
      <c r="U80" s="7">
        <f>'1 prepared data'!T73</f>
        <v/>
      </c>
      <c r="V80" s="8">
        <f>$AC$12+D80*$AC$13+E80*$AC$14+F80*$AC$15+G80*$AC$16+H80*$AC$17+I80*$AC$18+J80*$AC$19+K80*$AC$20+L80*$AC$21+M80*$AC$22+N80*$AC$23+O80*$AC$24+P80*$AC$25+Q80*$AC$26+R80*$AC$27+S80*$AC$28+T80*$AC$29+U80*$AC$30</f>
        <v/>
      </c>
      <c r="W80" s="8">
        <f>1/(1+EXP(-V80))</f>
        <v/>
      </c>
      <c r="X80" s="9">
        <f>-IF(C80=1,LN(W80),LN(1-W80))</f>
        <v/>
      </c>
      <c r="Y80" s="10">
        <f>IF(W80&gt;$AC$33,1,0)</f>
        <v/>
      </c>
      <c r="Z80">
        <f>IF(Y80=C80,1,0)</f>
        <v/>
      </c>
    </row>
    <row r="81">
      <c r="A81">
        <f>'1 prepared data'!A74</f>
        <v/>
      </c>
      <c r="B81" s="5">
        <f>'1 prepared data'!U74</f>
        <v/>
      </c>
      <c r="C81">
        <f>'1 prepared data'!B74</f>
        <v/>
      </c>
      <c r="D81" s="7">
        <f>'1 prepared data'!C74</f>
        <v/>
      </c>
      <c r="E81" s="7">
        <f>'1 prepared data'!D74</f>
        <v/>
      </c>
      <c r="F81" s="7">
        <f>'1 prepared data'!E74</f>
        <v/>
      </c>
      <c r="G81" s="7">
        <f>'1 prepared data'!F74</f>
        <v/>
      </c>
      <c r="H81" s="7">
        <f>'1 prepared data'!G74</f>
        <v/>
      </c>
      <c r="I81" s="7">
        <f>'1 prepared data'!H74</f>
        <v/>
      </c>
      <c r="J81" s="7">
        <f>'1 prepared data'!I74</f>
        <v/>
      </c>
      <c r="K81" s="7">
        <f>'1 prepared data'!J74</f>
        <v/>
      </c>
      <c r="L81" s="7">
        <f>'1 prepared data'!K74</f>
        <v/>
      </c>
      <c r="M81" s="7">
        <f>'1 prepared data'!L74</f>
        <v/>
      </c>
      <c r="N81" s="7">
        <f>'1 prepared data'!M74</f>
        <v/>
      </c>
      <c r="O81" s="7">
        <f>'1 prepared data'!N74</f>
        <v/>
      </c>
      <c r="P81" s="7">
        <f>'1 prepared data'!O74</f>
        <v/>
      </c>
      <c r="Q81" s="7">
        <f>'1 prepared data'!P74</f>
        <v/>
      </c>
      <c r="R81" s="7">
        <f>'1 prepared data'!Q74</f>
        <v/>
      </c>
      <c r="S81" s="7">
        <f>'1 prepared data'!R74</f>
        <v/>
      </c>
      <c r="T81" s="7">
        <f>'1 prepared data'!S74</f>
        <v/>
      </c>
      <c r="U81" s="7">
        <f>'1 prepared data'!T74</f>
        <v/>
      </c>
      <c r="V81" s="8">
        <f>$AC$12+D81*$AC$13+E81*$AC$14+F81*$AC$15+G81*$AC$16+H81*$AC$17+I81*$AC$18+J81*$AC$19+K81*$AC$20+L81*$AC$21+M81*$AC$22+N81*$AC$23+O81*$AC$24+P81*$AC$25+Q81*$AC$26+R81*$AC$27+S81*$AC$28+T81*$AC$29+U81*$AC$30</f>
        <v/>
      </c>
      <c r="W81" s="8">
        <f>1/(1+EXP(-V81))</f>
        <v/>
      </c>
      <c r="X81" s="9">
        <f>-IF(C81=1,LN(W81),LN(1-W81))</f>
        <v/>
      </c>
      <c r="Y81" s="10">
        <f>IF(W81&gt;$AC$33,1,0)</f>
        <v/>
      </c>
      <c r="Z81">
        <f>IF(Y81=C81,1,0)</f>
        <v/>
      </c>
    </row>
    <row r="82">
      <c r="A82">
        <f>'1 prepared data'!A75</f>
        <v/>
      </c>
      <c r="B82" s="5">
        <f>'1 prepared data'!U75</f>
        <v/>
      </c>
      <c r="C82">
        <f>'1 prepared data'!B75</f>
        <v/>
      </c>
      <c r="D82" s="7">
        <f>'1 prepared data'!C75</f>
        <v/>
      </c>
      <c r="E82" s="7">
        <f>'1 prepared data'!D75</f>
        <v/>
      </c>
      <c r="F82" s="7">
        <f>'1 prepared data'!E75</f>
        <v/>
      </c>
      <c r="G82" s="7">
        <f>'1 prepared data'!F75</f>
        <v/>
      </c>
      <c r="H82" s="7">
        <f>'1 prepared data'!G75</f>
        <v/>
      </c>
      <c r="I82" s="7">
        <f>'1 prepared data'!H75</f>
        <v/>
      </c>
      <c r="J82" s="7">
        <f>'1 prepared data'!I75</f>
        <v/>
      </c>
      <c r="K82" s="7">
        <f>'1 prepared data'!J75</f>
        <v/>
      </c>
      <c r="L82" s="7">
        <f>'1 prepared data'!K75</f>
        <v/>
      </c>
      <c r="M82" s="7">
        <f>'1 prepared data'!L75</f>
        <v/>
      </c>
      <c r="N82" s="7">
        <f>'1 prepared data'!M75</f>
        <v/>
      </c>
      <c r="O82" s="7">
        <f>'1 prepared data'!N75</f>
        <v/>
      </c>
      <c r="P82" s="7">
        <f>'1 prepared data'!O75</f>
        <v/>
      </c>
      <c r="Q82" s="7">
        <f>'1 prepared data'!P75</f>
        <v/>
      </c>
      <c r="R82" s="7">
        <f>'1 prepared data'!Q75</f>
        <v/>
      </c>
      <c r="S82" s="7">
        <f>'1 prepared data'!R75</f>
        <v/>
      </c>
      <c r="T82" s="7">
        <f>'1 prepared data'!S75</f>
        <v/>
      </c>
      <c r="U82" s="7">
        <f>'1 prepared data'!T75</f>
        <v/>
      </c>
      <c r="V82" s="8">
        <f>$AC$12+D82*$AC$13+E82*$AC$14+F82*$AC$15+G82*$AC$16+H82*$AC$17+I82*$AC$18+J82*$AC$19+K82*$AC$20+L82*$AC$21+M82*$AC$22+N82*$AC$23+O82*$AC$24+P82*$AC$25+Q82*$AC$26+R82*$AC$27+S82*$AC$28+T82*$AC$29+U82*$AC$30</f>
        <v/>
      </c>
      <c r="W82" s="8">
        <f>1/(1+EXP(-V82))</f>
        <v/>
      </c>
      <c r="X82" s="9">
        <f>-IF(C82=1,LN(W82),LN(1-W82))</f>
        <v/>
      </c>
      <c r="Y82" s="10">
        <f>IF(W82&gt;$AC$33,1,0)</f>
        <v/>
      </c>
      <c r="Z82">
        <f>IF(Y82=C82,1,0)</f>
        <v/>
      </c>
    </row>
    <row r="83">
      <c r="A83">
        <f>'1 prepared data'!A76</f>
        <v/>
      </c>
      <c r="B83" s="5">
        <f>'1 prepared data'!U76</f>
        <v/>
      </c>
      <c r="C83">
        <f>'1 prepared data'!B76</f>
        <v/>
      </c>
      <c r="D83" s="7">
        <f>'1 prepared data'!C76</f>
        <v/>
      </c>
      <c r="E83" s="7">
        <f>'1 prepared data'!D76</f>
        <v/>
      </c>
      <c r="F83" s="7">
        <f>'1 prepared data'!E76</f>
        <v/>
      </c>
      <c r="G83" s="7">
        <f>'1 prepared data'!F76</f>
        <v/>
      </c>
      <c r="H83" s="7">
        <f>'1 prepared data'!G76</f>
        <v/>
      </c>
      <c r="I83" s="7">
        <f>'1 prepared data'!H76</f>
        <v/>
      </c>
      <c r="J83" s="7">
        <f>'1 prepared data'!I76</f>
        <v/>
      </c>
      <c r="K83" s="7">
        <f>'1 prepared data'!J76</f>
        <v/>
      </c>
      <c r="L83" s="7">
        <f>'1 prepared data'!K76</f>
        <v/>
      </c>
      <c r="M83" s="7">
        <f>'1 prepared data'!L76</f>
        <v/>
      </c>
      <c r="N83" s="7">
        <f>'1 prepared data'!M76</f>
        <v/>
      </c>
      <c r="O83" s="7">
        <f>'1 prepared data'!N76</f>
        <v/>
      </c>
      <c r="P83" s="7">
        <f>'1 prepared data'!O76</f>
        <v/>
      </c>
      <c r="Q83" s="7">
        <f>'1 prepared data'!P76</f>
        <v/>
      </c>
      <c r="R83" s="7">
        <f>'1 prepared data'!Q76</f>
        <v/>
      </c>
      <c r="S83" s="7">
        <f>'1 prepared data'!R76</f>
        <v/>
      </c>
      <c r="T83" s="7">
        <f>'1 prepared data'!S76</f>
        <v/>
      </c>
      <c r="U83" s="7">
        <f>'1 prepared data'!T76</f>
        <v/>
      </c>
      <c r="V83" s="8">
        <f>$AC$12+D83*$AC$13+E83*$AC$14+F83*$AC$15+G83*$AC$16+H83*$AC$17+I83*$AC$18+J83*$AC$19+K83*$AC$20+L83*$AC$21+M83*$AC$22+N83*$AC$23+O83*$AC$24+P83*$AC$25+Q83*$AC$26+R83*$AC$27+S83*$AC$28+T83*$AC$29+U83*$AC$30</f>
        <v/>
      </c>
      <c r="W83" s="8">
        <f>1/(1+EXP(-V83))</f>
        <v/>
      </c>
      <c r="X83" s="9">
        <f>-IF(C83=1,LN(W83),LN(1-W83))</f>
        <v/>
      </c>
      <c r="Y83" s="10">
        <f>IF(W83&gt;$AC$33,1,0)</f>
        <v/>
      </c>
      <c r="Z83">
        <f>IF(Y83=C83,1,0)</f>
        <v/>
      </c>
    </row>
    <row r="84">
      <c r="A84">
        <f>'1 prepared data'!A77</f>
        <v/>
      </c>
      <c r="B84" s="5">
        <f>'1 prepared data'!U77</f>
        <v/>
      </c>
      <c r="C84">
        <f>'1 prepared data'!B77</f>
        <v/>
      </c>
      <c r="D84" s="7">
        <f>'1 prepared data'!C77</f>
        <v/>
      </c>
      <c r="E84" s="7">
        <f>'1 prepared data'!D77</f>
        <v/>
      </c>
      <c r="F84" s="7">
        <f>'1 prepared data'!E77</f>
        <v/>
      </c>
      <c r="G84" s="7">
        <f>'1 prepared data'!F77</f>
        <v/>
      </c>
      <c r="H84" s="7">
        <f>'1 prepared data'!G77</f>
        <v/>
      </c>
      <c r="I84" s="7">
        <f>'1 prepared data'!H77</f>
        <v/>
      </c>
      <c r="J84" s="7">
        <f>'1 prepared data'!I77</f>
        <v/>
      </c>
      <c r="K84" s="7">
        <f>'1 prepared data'!J77</f>
        <v/>
      </c>
      <c r="L84" s="7">
        <f>'1 prepared data'!K77</f>
        <v/>
      </c>
      <c r="M84" s="7">
        <f>'1 prepared data'!L77</f>
        <v/>
      </c>
      <c r="N84" s="7">
        <f>'1 prepared data'!M77</f>
        <v/>
      </c>
      <c r="O84" s="7">
        <f>'1 prepared data'!N77</f>
        <v/>
      </c>
      <c r="P84" s="7">
        <f>'1 prepared data'!O77</f>
        <v/>
      </c>
      <c r="Q84" s="7">
        <f>'1 prepared data'!P77</f>
        <v/>
      </c>
      <c r="R84" s="7">
        <f>'1 prepared data'!Q77</f>
        <v/>
      </c>
      <c r="S84" s="7">
        <f>'1 prepared data'!R77</f>
        <v/>
      </c>
      <c r="T84" s="7">
        <f>'1 prepared data'!S77</f>
        <v/>
      </c>
      <c r="U84" s="7">
        <f>'1 prepared data'!T77</f>
        <v/>
      </c>
      <c r="V84" s="8">
        <f>$AC$12+D84*$AC$13+E84*$AC$14+F84*$AC$15+G84*$AC$16+H84*$AC$17+I84*$AC$18+J84*$AC$19+K84*$AC$20+L84*$AC$21+M84*$AC$22+N84*$AC$23+O84*$AC$24+P84*$AC$25+Q84*$AC$26+R84*$AC$27+S84*$AC$28+T84*$AC$29+U84*$AC$30</f>
        <v/>
      </c>
      <c r="W84" s="8">
        <f>1/(1+EXP(-V84))</f>
        <v/>
      </c>
      <c r="X84" s="9">
        <f>-IF(C84=1,LN(W84),LN(1-W84))</f>
        <v/>
      </c>
      <c r="Y84" s="10">
        <f>IF(W84&gt;$AC$33,1,0)</f>
        <v/>
      </c>
      <c r="Z84">
        <f>IF(Y84=C84,1,0)</f>
        <v/>
      </c>
    </row>
    <row r="85">
      <c r="A85">
        <f>'1 prepared data'!A78</f>
        <v/>
      </c>
      <c r="B85" s="5">
        <f>'1 prepared data'!U78</f>
        <v/>
      </c>
      <c r="C85">
        <f>'1 prepared data'!B78</f>
        <v/>
      </c>
      <c r="D85" s="7">
        <f>'1 prepared data'!C78</f>
        <v/>
      </c>
      <c r="E85" s="7">
        <f>'1 prepared data'!D78</f>
        <v/>
      </c>
      <c r="F85" s="7">
        <f>'1 prepared data'!E78</f>
        <v/>
      </c>
      <c r="G85" s="7">
        <f>'1 prepared data'!F78</f>
        <v/>
      </c>
      <c r="H85" s="7">
        <f>'1 prepared data'!G78</f>
        <v/>
      </c>
      <c r="I85" s="7">
        <f>'1 prepared data'!H78</f>
        <v/>
      </c>
      <c r="J85" s="7">
        <f>'1 prepared data'!I78</f>
        <v/>
      </c>
      <c r="K85" s="7">
        <f>'1 prepared data'!J78</f>
        <v/>
      </c>
      <c r="L85" s="7">
        <f>'1 prepared data'!K78</f>
        <v/>
      </c>
      <c r="M85" s="7">
        <f>'1 prepared data'!L78</f>
        <v/>
      </c>
      <c r="N85" s="7">
        <f>'1 prepared data'!M78</f>
        <v/>
      </c>
      <c r="O85" s="7">
        <f>'1 prepared data'!N78</f>
        <v/>
      </c>
      <c r="P85" s="7">
        <f>'1 prepared data'!O78</f>
        <v/>
      </c>
      <c r="Q85" s="7">
        <f>'1 prepared data'!P78</f>
        <v/>
      </c>
      <c r="R85" s="7">
        <f>'1 prepared data'!Q78</f>
        <v/>
      </c>
      <c r="S85" s="7">
        <f>'1 prepared data'!R78</f>
        <v/>
      </c>
      <c r="T85" s="7">
        <f>'1 prepared data'!S78</f>
        <v/>
      </c>
      <c r="U85" s="7">
        <f>'1 prepared data'!T78</f>
        <v/>
      </c>
      <c r="V85" s="8">
        <f>$AC$12+D85*$AC$13+E85*$AC$14+F85*$AC$15+G85*$AC$16+H85*$AC$17+I85*$AC$18+J85*$AC$19+K85*$AC$20+L85*$AC$21+M85*$AC$22+N85*$AC$23+O85*$AC$24+P85*$AC$25+Q85*$AC$26+R85*$AC$27+S85*$AC$28+T85*$AC$29+U85*$AC$30</f>
        <v/>
      </c>
      <c r="W85" s="8">
        <f>1/(1+EXP(-V85))</f>
        <v/>
      </c>
      <c r="X85" s="9">
        <f>-IF(C85=1,LN(W85),LN(1-W85))</f>
        <v/>
      </c>
      <c r="Y85" s="10">
        <f>IF(W85&gt;$AC$33,1,0)</f>
        <v/>
      </c>
      <c r="Z85">
        <f>IF(Y85=C85,1,0)</f>
        <v/>
      </c>
    </row>
    <row r="86">
      <c r="A86">
        <f>'1 prepared data'!A79</f>
        <v/>
      </c>
      <c r="B86" s="5">
        <f>'1 prepared data'!U79</f>
        <v/>
      </c>
      <c r="C86">
        <f>'1 prepared data'!B79</f>
        <v/>
      </c>
      <c r="D86" s="7">
        <f>'1 prepared data'!C79</f>
        <v/>
      </c>
      <c r="E86" s="7">
        <f>'1 prepared data'!D79</f>
        <v/>
      </c>
      <c r="F86" s="7">
        <f>'1 prepared data'!E79</f>
        <v/>
      </c>
      <c r="G86" s="7">
        <f>'1 prepared data'!F79</f>
        <v/>
      </c>
      <c r="H86" s="7">
        <f>'1 prepared data'!G79</f>
        <v/>
      </c>
      <c r="I86" s="7">
        <f>'1 prepared data'!H79</f>
        <v/>
      </c>
      <c r="J86" s="7">
        <f>'1 prepared data'!I79</f>
        <v/>
      </c>
      <c r="K86" s="7">
        <f>'1 prepared data'!J79</f>
        <v/>
      </c>
      <c r="L86" s="7">
        <f>'1 prepared data'!K79</f>
        <v/>
      </c>
      <c r="M86" s="7">
        <f>'1 prepared data'!L79</f>
        <v/>
      </c>
      <c r="N86" s="7">
        <f>'1 prepared data'!M79</f>
        <v/>
      </c>
      <c r="O86" s="7">
        <f>'1 prepared data'!N79</f>
        <v/>
      </c>
      <c r="P86" s="7">
        <f>'1 prepared data'!O79</f>
        <v/>
      </c>
      <c r="Q86" s="7">
        <f>'1 prepared data'!P79</f>
        <v/>
      </c>
      <c r="R86" s="7">
        <f>'1 prepared data'!Q79</f>
        <v/>
      </c>
      <c r="S86" s="7">
        <f>'1 prepared data'!R79</f>
        <v/>
      </c>
      <c r="T86" s="7">
        <f>'1 prepared data'!S79</f>
        <v/>
      </c>
      <c r="U86" s="7">
        <f>'1 prepared data'!T79</f>
        <v/>
      </c>
      <c r="V86" s="8">
        <f>$AC$12+D86*$AC$13+E86*$AC$14+F86*$AC$15+G86*$AC$16+H86*$AC$17+I86*$AC$18+J86*$AC$19+K86*$AC$20+L86*$AC$21+M86*$AC$22+N86*$AC$23+O86*$AC$24+P86*$AC$25+Q86*$AC$26+R86*$AC$27+S86*$AC$28+T86*$AC$29+U86*$AC$30</f>
        <v/>
      </c>
      <c r="W86" s="8">
        <f>1/(1+EXP(-V86))</f>
        <v/>
      </c>
      <c r="X86" s="9">
        <f>-IF(C86=1,LN(W86),LN(1-W86))</f>
        <v/>
      </c>
      <c r="Y86" s="10">
        <f>IF(W86&gt;$AC$33,1,0)</f>
        <v/>
      </c>
      <c r="Z86">
        <f>IF(Y86=C86,1,0)</f>
        <v/>
      </c>
    </row>
    <row r="87">
      <c r="A87">
        <f>'1 prepared data'!A80</f>
        <v/>
      </c>
      <c r="B87" s="5">
        <f>'1 prepared data'!U80</f>
        <v/>
      </c>
      <c r="C87">
        <f>'1 prepared data'!B80</f>
        <v/>
      </c>
      <c r="D87" s="7">
        <f>'1 prepared data'!C80</f>
        <v/>
      </c>
      <c r="E87" s="7">
        <f>'1 prepared data'!D80</f>
        <v/>
      </c>
      <c r="F87" s="7">
        <f>'1 prepared data'!E80</f>
        <v/>
      </c>
      <c r="G87" s="7">
        <f>'1 prepared data'!F80</f>
        <v/>
      </c>
      <c r="H87" s="7">
        <f>'1 prepared data'!G80</f>
        <v/>
      </c>
      <c r="I87" s="7">
        <f>'1 prepared data'!H80</f>
        <v/>
      </c>
      <c r="J87" s="7">
        <f>'1 prepared data'!I80</f>
        <v/>
      </c>
      <c r="K87" s="7">
        <f>'1 prepared data'!J80</f>
        <v/>
      </c>
      <c r="L87" s="7">
        <f>'1 prepared data'!K80</f>
        <v/>
      </c>
      <c r="M87" s="7">
        <f>'1 prepared data'!L80</f>
        <v/>
      </c>
      <c r="N87" s="7">
        <f>'1 prepared data'!M80</f>
        <v/>
      </c>
      <c r="O87" s="7">
        <f>'1 prepared data'!N80</f>
        <v/>
      </c>
      <c r="P87" s="7">
        <f>'1 prepared data'!O80</f>
        <v/>
      </c>
      <c r="Q87" s="7">
        <f>'1 prepared data'!P80</f>
        <v/>
      </c>
      <c r="R87" s="7">
        <f>'1 prepared data'!Q80</f>
        <v/>
      </c>
      <c r="S87" s="7">
        <f>'1 prepared data'!R80</f>
        <v/>
      </c>
      <c r="T87" s="7">
        <f>'1 prepared data'!S80</f>
        <v/>
      </c>
      <c r="U87" s="7">
        <f>'1 prepared data'!T80</f>
        <v/>
      </c>
      <c r="V87" s="8">
        <f>$AC$12+D87*$AC$13+E87*$AC$14+F87*$AC$15+G87*$AC$16+H87*$AC$17+I87*$AC$18+J87*$AC$19+K87*$AC$20+L87*$AC$21+M87*$AC$22+N87*$AC$23+O87*$AC$24+P87*$AC$25+Q87*$AC$26+R87*$AC$27+S87*$AC$28+T87*$AC$29+U87*$AC$30</f>
        <v/>
      </c>
      <c r="W87" s="8">
        <f>1/(1+EXP(-V87))</f>
        <v/>
      </c>
      <c r="X87" s="9">
        <f>-IF(C87=1,LN(W87),LN(1-W87))</f>
        <v/>
      </c>
      <c r="Y87" s="10">
        <f>IF(W87&gt;$AC$33,1,0)</f>
        <v/>
      </c>
      <c r="Z87">
        <f>IF(Y87=C87,1,0)</f>
        <v/>
      </c>
    </row>
    <row r="88">
      <c r="A88">
        <f>'1 prepared data'!A81</f>
        <v/>
      </c>
      <c r="B88" s="5">
        <f>'1 prepared data'!U81</f>
        <v/>
      </c>
      <c r="C88">
        <f>'1 prepared data'!B81</f>
        <v/>
      </c>
      <c r="D88" s="7">
        <f>'1 prepared data'!C81</f>
        <v/>
      </c>
      <c r="E88" s="7">
        <f>'1 prepared data'!D81</f>
        <v/>
      </c>
      <c r="F88" s="7">
        <f>'1 prepared data'!E81</f>
        <v/>
      </c>
      <c r="G88" s="7">
        <f>'1 prepared data'!F81</f>
        <v/>
      </c>
      <c r="H88" s="7">
        <f>'1 prepared data'!G81</f>
        <v/>
      </c>
      <c r="I88" s="7">
        <f>'1 prepared data'!H81</f>
        <v/>
      </c>
      <c r="J88" s="7">
        <f>'1 prepared data'!I81</f>
        <v/>
      </c>
      <c r="K88" s="7">
        <f>'1 prepared data'!J81</f>
        <v/>
      </c>
      <c r="L88" s="7">
        <f>'1 prepared data'!K81</f>
        <v/>
      </c>
      <c r="M88" s="7">
        <f>'1 prepared data'!L81</f>
        <v/>
      </c>
      <c r="N88" s="7">
        <f>'1 prepared data'!M81</f>
        <v/>
      </c>
      <c r="O88" s="7">
        <f>'1 prepared data'!N81</f>
        <v/>
      </c>
      <c r="P88" s="7">
        <f>'1 prepared data'!O81</f>
        <v/>
      </c>
      <c r="Q88" s="7">
        <f>'1 prepared data'!P81</f>
        <v/>
      </c>
      <c r="R88" s="7">
        <f>'1 prepared data'!Q81</f>
        <v/>
      </c>
      <c r="S88" s="7">
        <f>'1 prepared data'!R81</f>
        <v/>
      </c>
      <c r="T88" s="7">
        <f>'1 prepared data'!S81</f>
        <v/>
      </c>
      <c r="U88" s="7">
        <f>'1 prepared data'!T81</f>
        <v/>
      </c>
      <c r="V88" s="8">
        <f>$AC$12+D88*$AC$13+E88*$AC$14+F88*$AC$15+G88*$AC$16+H88*$AC$17+I88*$AC$18+J88*$AC$19+K88*$AC$20+L88*$AC$21+M88*$AC$22+N88*$AC$23+O88*$AC$24+P88*$AC$25+Q88*$AC$26+R88*$AC$27+S88*$AC$28+T88*$AC$29+U88*$AC$30</f>
        <v/>
      </c>
      <c r="W88" s="8">
        <f>1/(1+EXP(-V88))</f>
        <v/>
      </c>
      <c r="X88" s="9">
        <f>-IF(C88=1,LN(W88),LN(1-W88))</f>
        <v/>
      </c>
      <c r="Y88" s="10">
        <f>IF(W88&gt;$AC$33,1,0)</f>
        <v/>
      </c>
      <c r="Z88">
        <f>IF(Y88=C88,1,0)</f>
        <v/>
      </c>
    </row>
    <row r="89">
      <c r="A89">
        <f>'1 prepared data'!A82</f>
        <v/>
      </c>
      <c r="B89" s="5">
        <f>'1 prepared data'!U82</f>
        <v/>
      </c>
      <c r="C89">
        <f>'1 prepared data'!B82</f>
        <v/>
      </c>
      <c r="D89" s="7">
        <f>'1 prepared data'!C82</f>
        <v/>
      </c>
      <c r="E89" s="7">
        <f>'1 prepared data'!D82</f>
        <v/>
      </c>
      <c r="F89" s="7">
        <f>'1 prepared data'!E82</f>
        <v/>
      </c>
      <c r="G89" s="7">
        <f>'1 prepared data'!F82</f>
        <v/>
      </c>
      <c r="H89" s="7">
        <f>'1 prepared data'!G82</f>
        <v/>
      </c>
      <c r="I89" s="7">
        <f>'1 prepared data'!H82</f>
        <v/>
      </c>
      <c r="J89" s="7">
        <f>'1 prepared data'!I82</f>
        <v/>
      </c>
      <c r="K89" s="7">
        <f>'1 prepared data'!J82</f>
        <v/>
      </c>
      <c r="L89" s="7">
        <f>'1 prepared data'!K82</f>
        <v/>
      </c>
      <c r="M89" s="7">
        <f>'1 prepared data'!L82</f>
        <v/>
      </c>
      <c r="N89" s="7">
        <f>'1 prepared data'!M82</f>
        <v/>
      </c>
      <c r="O89" s="7">
        <f>'1 prepared data'!N82</f>
        <v/>
      </c>
      <c r="P89" s="7">
        <f>'1 prepared data'!O82</f>
        <v/>
      </c>
      <c r="Q89" s="7">
        <f>'1 prepared data'!P82</f>
        <v/>
      </c>
      <c r="R89" s="7">
        <f>'1 prepared data'!Q82</f>
        <v/>
      </c>
      <c r="S89" s="7">
        <f>'1 prepared data'!R82</f>
        <v/>
      </c>
      <c r="T89" s="7">
        <f>'1 prepared data'!S82</f>
        <v/>
      </c>
      <c r="U89" s="7">
        <f>'1 prepared data'!T82</f>
        <v/>
      </c>
      <c r="V89" s="8">
        <f>$AC$12+D89*$AC$13+E89*$AC$14+F89*$AC$15+G89*$AC$16+H89*$AC$17+I89*$AC$18+J89*$AC$19+K89*$AC$20+L89*$AC$21+M89*$AC$22+N89*$AC$23+O89*$AC$24+P89*$AC$25+Q89*$AC$26+R89*$AC$27+S89*$AC$28+T89*$AC$29+U89*$AC$30</f>
        <v/>
      </c>
      <c r="W89" s="8">
        <f>1/(1+EXP(-V89))</f>
        <v/>
      </c>
      <c r="X89" s="9">
        <f>-IF(C89=1,LN(W89),LN(1-W89))</f>
        <v/>
      </c>
      <c r="Y89" s="10">
        <f>IF(W89&gt;$AC$33,1,0)</f>
        <v/>
      </c>
      <c r="Z89">
        <f>IF(Y89=C89,1,0)</f>
        <v/>
      </c>
    </row>
    <row r="90">
      <c r="A90">
        <f>'1 prepared data'!A83</f>
        <v/>
      </c>
      <c r="B90" s="5">
        <f>'1 prepared data'!U83</f>
        <v/>
      </c>
      <c r="C90">
        <f>'1 prepared data'!B83</f>
        <v/>
      </c>
      <c r="D90" s="7">
        <f>'1 prepared data'!C83</f>
        <v/>
      </c>
      <c r="E90" s="7">
        <f>'1 prepared data'!D83</f>
        <v/>
      </c>
      <c r="F90" s="7">
        <f>'1 prepared data'!E83</f>
        <v/>
      </c>
      <c r="G90" s="7">
        <f>'1 prepared data'!F83</f>
        <v/>
      </c>
      <c r="H90" s="7">
        <f>'1 prepared data'!G83</f>
        <v/>
      </c>
      <c r="I90" s="7">
        <f>'1 prepared data'!H83</f>
        <v/>
      </c>
      <c r="J90" s="7">
        <f>'1 prepared data'!I83</f>
        <v/>
      </c>
      <c r="K90" s="7">
        <f>'1 prepared data'!J83</f>
        <v/>
      </c>
      <c r="L90" s="7">
        <f>'1 prepared data'!K83</f>
        <v/>
      </c>
      <c r="M90" s="7">
        <f>'1 prepared data'!L83</f>
        <v/>
      </c>
      <c r="N90" s="7">
        <f>'1 prepared data'!M83</f>
        <v/>
      </c>
      <c r="O90" s="7">
        <f>'1 prepared data'!N83</f>
        <v/>
      </c>
      <c r="P90" s="7">
        <f>'1 prepared data'!O83</f>
        <v/>
      </c>
      <c r="Q90" s="7">
        <f>'1 prepared data'!P83</f>
        <v/>
      </c>
      <c r="R90" s="7">
        <f>'1 prepared data'!Q83</f>
        <v/>
      </c>
      <c r="S90" s="7">
        <f>'1 prepared data'!R83</f>
        <v/>
      </c>
      <c r="T90" s="7">
        <f>'1 prepared data'!S83</f>
        <v/>
      </c>
      <c r="U90" s="7">
        <f>'1 prepared data'!T83</f>
        <v/>
      </c>
      <c r="V90" s="8">
        <f>$AC$12+D90*$AC$13+E90*$AC$14+F90*$AC$15+G90*$AC$16+H90*$AC$17+I90*$AC$18+J90*$AC$19+K90*$AC$20+L90*$AC$21+M90*$AC$22+N90*$AC$23+O90*$AC$24+P90*$AC$25+Q90*$AC$26+R90*$AC$27+S90*$AC$28+T90*$AC$29+U90*$AC$30</f>
        <v/>
      </c>
      <c r="W90" s="8">
        <f>1/(1+EXP(-V90))</f>
        <v/>
      </c>
      <c r="X90" s="9">
        <f>-IF(C90=1,LN(W90),LN(1-W90))</f>
        <v/>
      </c>
      <c r="Y90" s="10">
        <f>IF(W90&gt;$AC$33,1,0)</f>
        <v/>
      </c>
      <c r="Z90">
        <f>IF(Y90=C90,1,0)</f>
        <v/>
      </c>
    </row>
    <row r="91">
      <c r="A91">
        <f>'1 prepared data'!A84</f>
        <v/>
      </c>
      <c r="B91" s="5">
        <f>'1 prepared data'!U84</f>
        <v/>
      </c>
      <c r="C91">
        <f>'1 prepared data'!B84</f>
        <v/>
      </c>
      <c r="D91" s="7">
        <f>'1 prepared data'!C84</f>
        <v/>
      </c>
      <c r="E91" s="7">
        <f>'1 prepared data'!D84</f>
        <v/>
      </c>
      <c r="F91" s="7">
        <f>'1 prepared data'!E84</f>
        <v/>
      </c>
      <c r="G91" s="7">
        <f>'1 prepared data'!F84</f>
        <v/>
      </c>
      <c r="H91" s="7">
        <f>'1 prepared data'!G84</f>
        <v/>
      </c>
      <c r="I91" s="7">
        <f>'1 prepared data'!H84</f>
        <v/>
      </c>
      <c r="J91" s="7">
        <f>'1 prepared data'!I84</f>
        <v/>
      </c>
      <c r="K91" s="7">
        <f>'1 prepared data'!J84</f>
        <v/>
      </c>
      <c r="L91" s="7">
        <f>'1 prepared data'!K84</f>
        <v/>
      </c>
      <c r="M91" s="7">
        <f>'1 prepared data'!L84</f>
        <v/>
      </c>
      <c r="N91" s="7">
        <f>'1 prepared data'!M84</f>
        <v/>
      </c>
      <c r="O91" s="7">
        <f>'1 prepared data'!N84</f>
        <v/>
      </c>
      <c r="P91" s="7">
        <f>'1 prepared data'!O84</f>
        <v/>
      </c>
      <c r="Q91" s="7">
        <f>'1 prepared data'!P84</f>
        <v/>
      </c>
      <c r="R91" s="7">
        <f>'1 prepared data'!Q84</f>
        <v/>
      </c>
      <c r="S91" s="7">
        <f>'1 prepared data'!R84</f>
        <v/>
      </c>
      <c r="T91" s="7">
        <f>'1 prepared data'!S84</f>
        <v/>
      </c>
      <c r="U91" s="7">
        <f>'1 prepared data'!T84</f>
        <v/>
      </c>
      <c r="V91" s="8">
        <f>$AC$12+D91*$AC$13+E91*$AC$14+F91*$AC$15+G91*$AC$16+H91*$AC$17+I91*$AC$18+J91*$AC$19+K91*$AC$20+L91*$AC$21+M91*$AC$22+N91*$AC$23+O91*$AC$24+P91*$AC$25+Q91*$AC$26+R91*$AC$27+S91*$AC$28+T91*$AC$29+U91*$AC$30</f>
        <v/>
      </c>
      <c r="W91" s="8">
        <f>1/(1+EXP(-V91))</f>
        <v/>
      </c>
      <c r="X91" s="9">
        <f>-IF(C91=1,LN(W91),LN(1-W91))</f>
        <v/>
      </c>
      <c r="Y91" s="10">
        <f>IF(W91&gt;$AC$33,1,0)</f>
        <v/>
      </c>
      <c r="Z91">
        <f>IF(Y91=C91,1,0)</f>
        <v/>
      </c>
    </row>
    <row r="92">
      <c r="A92">
        <f>'1 prepared data'!A85</f>
        <v/>
      </c>
      <c r="B92" s="5">
        <f>'1 prepared data'!U85</f>
        <v/>
      </c>
      <c r="C92">
        <f>'1 prepared data'!B85</f>
        <v/>
      </c>
      <c r="D92" s="7">
        <f>'1 prepared data'!C85</f>
        <v/>
      </c>
      <c r="E92" s="7">
        <f>'1 prepared data'!D85</f>
        <v/>
      </c>
      <c r="F92" s="7">
        <f>'1 prepared data'!E85</f>
        <v/>
      </c>
      <c r="G92" s="7">
        <f>'1 prepared data'!F85</f>
        <v/>
      </c>
      <c r="H92" s="7">
        <f>'1 prepared data'!G85</f>
        <v/>
      </c>
      <c r="I92" s="7">
        <f>'1 prepared data'!H85</f>
        <v/>
      </c>
      <c r="J92" s="7">
        <f>'1 prepared data'!I85</f>
        <v/>
      </c>
      <c r="K92" s="7">
        <f>'1 prepared data'!J85</f>
        <v/>
      </c>
      <c r="L92" s="7">
        <f>'1 prepared data'!K85</f>
        <v/>
      </c>
      <c r="M92" s="7">
        <f>'1 prepared data'!L85</f>
        <v/>
      </c>
      <c r="N92" s="7">
        <f>'1 prepared data'!M85</f>
        <v/>
      </c>
      <c r="O92" s="7">
        <f>'1 prepared data'!N85</f>
        <v/>
      </c>
      <c r="P92" s="7">
        <f>'1 prepared data'!O85</f>
        <v/>
      </c>
      <c r="Q92" s="7">
        <f>'1 prepared data'!P85</f>
        <v/>
      </c>
      <c r="R92" s="7">
        <f>'1 prepared data'!Q85</f>
        <v/>
      </c>
      <c r="S92" s="7">
        <f>'1 prepared data'!R85</f>
        <v/>
      </c>
      <c r="T92" s="7">
        <f>'1 prepared data'!S85</f>
        <v/>
      </c>
      <c r="U92" s="7">
        <f>'1 prepared data'!T85</f>
        <v/>
      </c>
      <c r="V92" s="8">
        <f>$AC$12+D92*$AC$13+E92*$AC$14+F92*$AC$15+G92*$AC$16+H92*$AC$17+I92*$AC$18+J92*$AC$19+K92*$AC$20+L92*$AC$21+M92*$AC$22+N92*$AC$23+O92*$AC$24+P92*$AC$25+Q92*$AC$26+R92*$AC$27+S92*$AC$28+T92*$AC$29+U92*$AC$30</f>
        <v/>
      </c>
      <c r="W92" s="8">
        <f>1/(1+EXP(-V92))</f>
        <v/>
      </c>
      <c r="X92" s="9">
        <f>-IF(C92=1,LN(W92),LN(1-W92))</f>
        <v/>
      </c>
      <c r="Y92" s="10">
        <f>IF(W92&gt;$AC$33,1,0)</f>
        <v/>
      </c>
      <c r="Z92">
        <f>IF(Y92=C92,1,0)</f>
        <v/>
      </c>
    </row>
    <row r="93">
      <c r="A93">
        <f>'1 prepared data'!A86</f>
        <v/>
      </c>
      <c r="B93" s="5">
        <f>'1 prepared data'!U86</f>
        <v/>
      </c>
      <c r="C93">
        <f>'1 prepared data'!B86</f>
        <v/>
      </c>
      <c r="D93" s="7">
        <f>'1 prepared data'!C86</f>
        <v/>
      </c>
      <c r="E93" s="7">
        <f>'1 prepared data'!D86</f>
        <v/>
      </c>
      <c r="F93" s="7">
        <f>'1 prepared data'!E86</f>
        <v/>
      </c>
      <c r="G93" s="7">
        <f>'1 prepared data'!F86</f>
        <v/>
      </c>
      <c r="H93" s="7">
        <f>'1 prepared data'!G86</f>
        <v/>
      </c>
      <c r="I93" s="7">
        <f>'1 prepared data'!H86</f>
        <v/>
      </c>
      <c r="J93" s="7">
        <f>'1 prepared data'!I86</f>
        <v/>
      </c>
      <c r="K93" s="7">
        <f>'1 prepared data'!J86</f>
        <v/>
      </c>
      <c r="L93" s="7">
        <f>'1 prepared data'!K86</f>
        <v/>
      </c>
      <c r="M93" s="7">
        <f>'1 prepared data'!L86</f>
        <v/>
      </c>
      <c r="N93" s="7">
        <f>'1 prepared data'!M86</f>
        <v/>
      </c>
      <c r="O93" s="7">
        <f>'1 prepared data'!N86</f>
        <v/>
      </c>
      <c r="P93" s="7">
        <f>'1 prepared data'!O86</f>
        <v/>
      </c>
      <c r="Q93" s="7">
        <f>'1 prepared data'!P86</f>
        <v/>
      </c>
      <c r="R93" s="7">
        <f>'1 prepared data'!Q86</f>
        <v/>
      </c>
      <c r="S93" s="7">
        <f>'1 prepared data'!R86</f>
        <v/>
      </c>
      <c r="T93" s="7">
        <f>'1 prepared data'!S86</f>
        <v/>
      </c>
      <c r="U93" s="7">
        <f>'1 prepared data'!T86</f>
        <v/>
      </c>
      <c r="V93" s="8">
        <f>$AC$12+D93*$AC$13+E93*$AC$14+F93*$AC$15+G93*$AC$16+H93*$AC$17+I93*$AC$18+J93*$AC$19+K93*$AC$20+L93*$AC$21+M93*$AC$22+N93*$AC$23+O93*$AC$24+P93*$AC$25+Q93*$AC$26+R93*$AC$27+S93*$AC$28+T93*$AC$29+U93*$AC$30</f>
        <v/>
      </c>
      <c r="W93" s="8">
        <f>1/(1+EXP(-V93))</f>
        <v/>
      </c>
      <c r="X93" s="9">
        <f>-IF(C93=1,LN(W93),LN(1-W93))</f>
        <v/>
      </c>
      <c r="Y93" s="10">
        <f>IF(W93&gt;$AC$33,1,0)</f>
        <v/>
      </c>
      <c r="Z93">
        <f>IF(Y93=C93,1,0)</f>
        <v/>
      </c>
    </row>
    <row r="94">
      <c r="A94">
        <f>'1 prepared data'!A87</f>
        <v/>
      </c>
      <c r="B94" s="5">
        <f>'1 prepared data'!U87</f>
        <v/>
      </c>
      <c r="C94">
        <f>'1 prepared data'!B87</f>
        <v/>
      </c>
      <c r="D94" s="7">
        <f>'1 prepared data'!C87</f>
        <v/>
      </c>
      <c r="E94" s="7">
        <f>'1 prepared data'!D87</f>
        <v/>
      </c>
      <c r="F94" s="7">
        <f>'1 prepared data'!E87</f>
        <v/>
      </c>
      <c r="G94" s="7">
        <f>'1 prepared data'!F87</f>
        <v/>
      </c>
      <c r="H94" s="7">
        <f>'1 prepared data'!G87</f>
        <v/>
      </c>
      <c r="I94" s="7">
        <f>'1 prepared data'!H87</f>
        <v/>
      </c>
      <c r="J94" s="7">
        <f>'1 prepared data'!I87</f>
        <v/>
      </c>
      <c r="K94" s="7">
        <f>'1 prepared data'!J87</f>
        <v/>
      </c>
      <c r="L94" s="7">
        <f>'1 prepared data'!K87</f>
        <v/>
      </c>
      <c r="M94" s="7">
        <f>'1 prepared data'!L87</f>
        <v/>
      </c>
      <c r="N94" s="7">
        <f>'1 prepared data'!M87</f>
        <v/>
      </c>
      <c r="O94" s="7">
        <f>'1 prepared data'!N87</f>
        <v/>
      </c>
      <c r="P94" s="7">
        <f>'1 prepared data'!O87</f>
        <v/>
      </c>
      <c r="Q94" s="7">
        <f>'1 prepared data'!P87</f>
        <v/>
      </c>
      <c r="R94" s="7">
        <f>'1 prepared data'!Q87</f>
        <v/>
      </c>
      <c r="S94" s="7">
        <f>'1 prepared data'!R87</f>
        <v/>
      </c>
      <c r="T94" s="7">
        <f>'1 prepared data'!S87</f>
        <v/>
      </c>
      <c r="U94" s="7">
        <f>'1 prepared data'!T87</f>
        <v/>
      </c>
      <c r="V94" s="8">
        <f>$AC$12+D94*$AC$13+E94*$AC$14+F94*$AC$15+G94*$AC$16+H94*$AC$17+I94*$AC$18+J94*$AC$19+K94*$AC$20+L94*$AC$21+M94*$AC$22+N94*$AC$23+O94*$AC$24+P94*$AC$25+Q94*$AC$26+R94*$AC$27+S94*$AC$28+T94*$AC$29+U94*$AC$30</f>
        <v/>
      </c>
      <c r="W94" s="8">
        <f>1/(1+EXP(-V94))</f>
        <v/>
      </c>
      <c r="X94" s="9">
        <f>-IF(C94=1,LN(W94),LN(1-W94))</f>
        <v/>
      </c>
      <c r="Y94" s="10">
        <f>IF(W94&gt;$AC$33,1,0)</f>
        <v/>
      </c>
      <c r="Z94">
        <f>IF(Y94=C94,1,0)</f>
        <v/>
      </c>
    </row>
    <row r="95">
      <c r="A95">
        <f>'1 prepared data'!A88</f>
        <v/>
      </c>
      <c r="B95" s="5">
        <f>'1 prepared data'!U88</f>
        <v/>
      </c>
      <c r="C95">
        <f>'1 prepared data'!B88</f>
        <v/>
      </c>
      <c r="D95" s="7">
        <f>'1 prepared data'!C88</f>
        <v/>
      </c>
      <c r="E95" s="7">
        <f>'1 prepared data'!D88</f>
        <v/>
      </c>
      <c r="F95" s="7">
        <f>'1 prepared data'!E88</f>
        <v/>
      </c>
      <c r="G95" s="7">
        <f>'1 prepared data'!F88</f>
        <v/>
      </c>
      <c r="H95" s="7">
        <f>'1 prepared data'!G88</f>
        <v/>
      </c>
      <c r="I95" s="7">
        <f>'1 prepared data'!H88</f>
        <v/>
      </c>
      <c r="J95" s="7">
        <f>'1 prepared data'!I88</f>
        <v/>
      </c>
      <c r="K95" s="7">
        <f>'1 prepared data'!J88</f>
        <v/>
      </c>
      <c r="L95" s="7">
        <f>'1 prepared data'!K88</f>
        <v/>
      </c>
      <c r="M95" s="7">
        <f>'1 prepared data'!L88</f>
        <v/>
      </c>
      <c r="N95" s="7">
        <f>'1 prepared data'!M88</f>
        <v/>
      </c>
      <c r="O95" s="7">
        <f>'1 prepared data'!N88</f>
        <v/>
      </c>
      <c r="P95" s="7">
        <f>'1 prepared data'!O88</f>
        <v/>
      </c>
      <c r="Q95" s="7">
        <f>'1 prepared data'!P88</f>
        <v/>
      </c>
      <c r="R95" s="7">
        <f>'1 prepared data'!Q88</f>
        <v/>
      </c>
      <c r="S95" s="7">
        <f>'1 prepared data'!R88</f>
        <v/>
      </c>
      <c r="T95" s="7">
        <f>'1 prepared data'!S88</f>
        <v/>
      </c>
      <c r="U95" s="7">
        <f>'1 prepared data'!T88</f>
        <v/>
      </c>
      <c r="V95" s="8">
        <f>$AC$12+D95*$AC$13+E95*$AC$14+F95*$AC$15+G95*$AC$16+H95*$AC$17+I95*$AC$18+J95*$AC$19+K95*$AC$20+L95*$AC$21+M95*$AC$22+N95*$AC$23+O95*$AC$24+P95*$AC$25+Q95*$AC$26+R95*$AC$27+S95*$AC$28+T95*$AC$29+U95*$AC$30</f>
        <v/>
      </c>
      <c r="W95" s="8">
        <f>1/(1+EXP(-V95))</f>
        <v/>
      </c>
      <c r="X95" s="9">
        <f>-IF(C95=1,LN(W95),LN(1-W95))</f>
        <v/>
      </c>
      <c r="Y95" s="10">
        <f>IF(W95&gt;$AC$33,1,0)</f>
        <v/>
      </c>
      <c r="Z95">
        <f>IF(Y95=C95,1,0)</f>
        <v/>
      </c>
    </row>
    <row r="96">
      <c r="A96">
        <f>'1 prepared data'!A89</f>
        <v/>
      </c>
      <c r="B96" s="5">
        <f>'1 prepared data'!U89</f>
        <v/>
      </c>
      <c r="C96">
        <f>'1 prepared data'!B89</f>
        <v/>
      </c>
      <c r="D96" s="7">
        <f>'1 prepared data'!C89</f>
        <v/>
      </c>
      <c r="E96" s="7">
        <f>'1 prepared data'!D89</f>
        <v/>
      </c>
      <c r="F96" s="7">
        <f>'1 prepared data'!E89</f>
        <v/>
      </c>
      <c r="G96" s="7">
        <f>'1 prepared data'!F89</f>
        <v/>
      </c>
      <c r="H96" s="7">
        <f>'1 prepared data'!G89</f>
        <v/>
      </c>
      <c r="I96" s="7">
        <f>'1 prepared data'!H89</f>
        <v/>
      </c>
      <c r="J96" s="7">
        <f>'1 prepared data'!I89</f>
        <v/>
      </c>
      <c r="K96" s="7">
        <f>'1 prepared data'!J89</f>
        <v/>
      </c>
      <c r="L96" s="7">
        <f>'1 prepared data'!K89</f>
        <v/>
      </c>
      <c r="M96" s="7">
        <f>'1 prepared data'!L89</f>
        <v/>
      </c>
      <c r="N96" s="7">
        <f>'1 prepared data'!M89</f>
        <v/>
      </c>
      <c r="O96" s="7">
        <f>'1 prepared data'!N89</f>
        <v/>
      </c>
      <c r="P96" s="7">
        <f>'1 prepared data'!O89</f>
        <v/>
      </c>
      <c r="Q96" s="7">
        <f>'1 prepared data'!P89</f>
        <v/>
      </c>
      <c r="R96" s="7">
        <f>'1 prepared data'!Q89</f>
        <v/>
      </c>
      <c r="S96" s="7">
        <f>'1 prepared data'!R89</f>
        <v/>
      </c>
      <c r="T96" s="7">
        <f>'1 prepared data'!S89</f>
        <v/>
      </c>
      <c r="U96" s="7">
        <f>'1 prepared data'!T89</f>
        <v/>
      </c>
      <c r="V96" s="8">
        <f>$AC$12+D96*$AC$13+E96*$AC$14+F96*$AC$15+G96*$AC$16+H96*$AC$17+I96*$AC$18+J96*$AC$19+K96*$AC$20+L96*$AC$21+M96*$AC$22+N96*$AC$23+O96*$AC$24+P96*$AC$25+Q96*$AC$26+R96*$AC$27+S96*$AC$28+T96*$AC$29+U96*$AC$30</f>
        <v/>
      </c>
      <c r="W96" s="8">
        <f>1/(1+EXP(-V96))</f>
        <v/>
      </c>
      <c r="X96" s="9">
        <f>-IF(C96=1,LN(W96),LN(1-W96))</f>
        <v/>
      </c>
      <c r="Y96" s="10">
        <f>IF(W96&gt;$AC$33,1,0)</f>
        <v/>
      </c>
      <c r="Z96">
        <f>IF(Y96=C96,1,0)</f>
        <v/>
      </c>
    </row>
    <row r="97">
      <c r="A97">
        <f>'1 prepared data'!A90</f>
        <v/>
      </c>
      <c r="B97" s="5">
        <f>'1 prepared data'!U90</f>
        <v/>
      </c>
      <c r="C97">
        <f>'1 prepared data'!B90</f>
        <v/>
      </c>
      <c r="D97" s="7">
        <f>'1 prepared data'!C90</f>
        <v/>
      </c>
      <c r="E97" s="7">
        <f>'1 prepared data'!D90</f>
        <v/>
      </c>
      <c r="F97" s="7">
        <f>'1 prepared data'!E90</f>
        <v/>
      </c>
      <c r="G97" s="7">
        <f>'1 prepared data'!F90</f>
        <v/>
      </c>
      <c r="H97" s="7">
        <f>'1 prepared data'!G90</f>
        <v/>
      </c>
      <c r="I97" s="7">
        <f>'1 prepared data'!H90</f>
        <v/>
      </c>
      <c r="J97" s="7">
        <f>'1 prepared data'!I90</f>
        <v/>
      </c>
      <c r="K97" s="7">
        <f>'1 prepared data'!J90</f>
        <v/>
      </c>
      <c r="L97" s="7">
        <f>'1 prepared data'!K90</f>
        <v/>
      </c>
      <c r="M97" s="7">
        <f>'1 prepared data'!L90</f>
        <v/>
      </c>
      <c r="N97" s="7">
        <f>'1 prepared data'!M90</f>
        <v/>
      </c>
      <c r="O97" s="7">
        <f>'1 prepared data'!N90</f>
        <v/>
      </c>
      <c r="P97" s="7">
        <f>'1 prepared data'!O90</f>
        <v/>
      </c>
      <c r="Q97" s="7">
        <f>'1 prepared data'!P90</f>
        <v/>
      </c>
      <c r="R97" s="7">
        <f>'1 prepared data'!Q90</f>
        <v/>
      </c>
      <c r="S97" s="7">
        <f>'1 prepared data'!R90</f>
        <v/>
      </c>
      <c r="T97" s="7">
        <f>'1 prepared data'!S90</f>
        <v/>
      </c>
      <c r="U97" s="7">
        <f>'1 prepared data'!T90</f>
        <v/>
      </c>
      <c r="V97" s="8">
        <f>$AC$12+D97*$AC$13+E97*$AC$14+F97*$AC$15+G97*$AC$16+H97*$AC$17+I97*$AC$18+J97*$AC$19+K97*$AC$20+L97*$AC$21+M97*$AC$22+N97*$AC$23+O97*$AC$24+P97*$AC$25+Q97*$AC$26+R97*$AC$27+S97*$AC$28+T97*$AC$29+U97*$AC$30</f>
        <v/>
      </c>
      <c r="W97" s="8">
        <f>1/(1+EXP(-V97))</f>
        <v/>
      </c>
      <c r="X97" s="9">
        <f>-IF(C97=1,LN(W97),LN(1-W97))</f>
        <v/>
      </c>
      <c r="Y97" s="10">
        <f>IF(W97&gt;$AC$33,1,0)</f>
        <v/>
      </c>
      <c r="Z97">
        <f>IF(Y97=C97,1,0)</f>
        <v/>
      </c>
    </row>
    <row r="98">
      <c r="A98">
        <f>'1 prepared data'!A91</f>
        <v/>
      </c>
      <c r="B98" s="5">
        <f>'1 prepared data'!U91</f>
        <v/>
      </c>
      <c r="C98">
        <f>'1 prepared data'!B91</f>
        <v/>
      </c>
      <c r="D98" s="7">
        <f>'1 prepared data'!C91</f>
        <v/>
      </c>
      <c r="E98" s="7">
        <f>'1 prepared data'!D91</f>
        <v/>
      </c>
      <c r="F98" s="7">
        <f>'1 prepared data'!E91</f>
        <v/>
      </c>
      <c r="G98" s="7">
        <f>'1 prepared data'!F91</f>
        <v/>
      </c>
      <c r="H98" s="7">
        <f>'1 prepared data'!G91</f>
        <v/>
      </c>
      <c r="I98" s="7">
        <f>'1 prepared data'!H91</f>
        <v/>
      </c>
      <c r="J98" s="7">
        <f>'1 prepared data'!I91</f>
        <v/>
      </c>
      <c r="K98" s="7">
        <f>'1 prepared data'!J91</f>
        <v/>
      </c>
      <c r="L98" s="7">
        <f>'1 prepared data'!K91</f>
        <v/>
      </c>
      <c r="M98" s="7">
        <f>'1 prepared data'!L91</f>
        <v/>
      </c>
      <c r="N98" s="7">
        <f>'1 prepared data'!M91</f>
        <v/>
      </c>
      <c r="O98" s="7">
        <f>'1 prepared data'!N91</f>
        <v/>
      </c>
      <c r="P98" s="7">
        <f>'1 prepared data'!O91</f>
        <v/>
      </c>
      <c r="Q98" s="7">
        <f>'1 prepared data'!P91</f>
        <v/>
      </c>
      <c r="R98" s="7">
        <f>'1 prepared data'!Q91</f>
        <v/>
      </c>
      <c r="S98" s="7">
        <f>'1 prepared data'!R91</f>
        <v/>
      </c>
      <c r="T98" s="7">
        <f>'1 prepared data'!S91</f>
        <v/>
      </c>
      <c r="U98" s="7">
        <f>'1 prepared data'!T91</f>
        <v/>
      </c>
      <c r="V98" s="8">
        <f>$AC$12+D98*$AC$13+E98*$AC$14+F98*$AC$15+G98*$AC$16+H98*$AC$17+I98*$AC$18+J98*$AC$19+K98*$AC$20+L98*$AC$21+M98*$AC$22+N98*$AC$23+O98*$AC$24+P98*$AC$25+Q98*$AC$26+R98*$AC$27+S98*$AC$28+T98*$AC$29+U98*$AC$30</f>
        <v/>
      </c>
      <c r="W98" s="8">
        <f>1/(1+EXP(-V98))</f>
        <v/>
      </c>
      <c r="X98" s="9">
        <f>-IF(C98=1,LN(W98),LN(1-W98))</f>
        <v/>
      </c>
      <c r="Y98" s="10">
        <f>IF(W98&gt;$AC$33,1,0)</f>
        <v/>
      </c>
      <c r="Z98">
        <f>IF(Y98=C98,1,0)</f>
        <v/>
      </c>
    </row>
    <row r="99">
      <c r="A99">
        <f>'1 prepared data'!A92</f>
        <v/>
      </c>
      <c r="B99" s="5">
        <f>'1 prepared data'!U92</f>
        <v/>
      </c>
      <c r="C99">
        <f>'1 prepared data'!B92</f>
        <v/>
      </c>
      <c r="D99" s="7">
        <f>'1 prepared data'!C92</f>
        <v/>
      </c>
      <c r="E99" s="7">
        <f>'1 prepared data'!D92</f>
        <v/>
      </c>
      <c r="F99" s="7">
        <f>'1 prepared data'!E92</f>
        <v/>
      </c>
      <c r="G99" s="7">
        <f>'1 prepared data'!F92</f>
        <v/>
      </c>
      <c r="H99" s="7">
        <f>'1 prepared data'!G92</f>
        <v/>
      </c>
      <c r="I99" s="7">
        <f>'1 prepared data'!H92</f>
        <v/>
      </c>
      <c r="J99" s="7">
        <f>'1 prepared data'!I92</f>
        <v/>
      </c>
      <c r="K99" s="7">
        <f>'1 prepared data'!J92</f>
        <v/>
      </c>
      <c r="L99" s="7">
        <f>'1 prepared data'!K92</f>
        <v/>
      </c>
      <c r="M99" s="7">
        <f>'1 prepared data'!L92</f>
        <v/>
      </c>
      <c r="N99" s="7">
        <f>'1 prepared data'!M92</f>
        <v/>
      </c>
      <c r="O99" s="7">
        <f>'1 prepared data'!N92</f>
        <v/>
      </c>
      <c r="P99" s="7">
        <f>'1 prepared data'!O92</f>
        <v/>
      </c>
      <c r="Q99" s="7">
        <f>'1 prepared data'!P92</f>
        <v/>
      </c>
      <c r="R99" s="7">
        <f>'1 prepared data'!Q92</f>
        <v/>
      </c>
      <c r="S99" s="7">
        <f>'1 prepared data'!R92</f>
        <v/>
      </c>
      <c r="T99" s="7">
        <f>'1 prepared data'!S92</f>
        <v/>
      </c>
      <c r="U99" s="7">
        <f>'1 prepared data'!T92</f>
        <v/>
      </c>
      <c r="V99" s="8">
        <f>$AC$12+D99*$AC$13+E99*$AC$14+F99*$AC$15+G99*$AC$16+H99*$AC$17+I99*$AC$18+J99*$AC$19+K99*$AC$20+L99*$AC$21+M99*$AC$22+N99*$AC$23+O99*$AC$24+P99*$AC$25+Q99*$AC$26+R99*$AC$27+S99*$AC$28+T99*$AC$29+U99*$AC$30</f>
        <v/>
      </c>
      <c r="W99" s="8">
        <f>1/(1+EXP(-V99))</f>
        <v/>
      </c>
      <c r="X99" s="9">
        <f>-IF(C99=1,LN(W99),LN(1-W99))</f>
        <v/>
      </c>
      <c r="Y99" s="10">
        <f>IF(W99&gt;$AC$33,1,0)</f>
        <v/>
      </c>
      <c r="Z99">
        <f>IF(Y99=C99,1,0)</f>
        <v/>
      </c>
    </row>
    <row r="100">
      <c r="A100">
        <f>'1 prepared data'!A93</f>
        <v/>
      </c>
      <c r="B100" s="5">
        <f>'1 prepared data'!U93</f>
        <v/>
      </c>
      <c r="C100">
        <f>'1 prepared data'!B93</f>
        <v/>
      </c>
      <c r="D100" s="7">
        <f>'1 prepared data'!C93</f>
        <v/>
      </c>
      <c r="E100" s="7">
        <f>'1 prepared data'!D93</f>
        <v/>
      </c>
      <c r="F100" s="7">
        <f>'1 prepared data'!E93</f>
        <v/>
      </c>
      <c r="G100" s="7">
        <f>'1 prepared data'!F93</f>
        <v/>
      </c>
      <c r="H100" s="7">
        <f>'1 prepared data'!G93</f>
        <v/>
      </c>
      <c r="I100" s="7">
        <f>'1 prepared data'!H93</f>
        <v/>
      </c>
      <c r="J100" s="7">
        <f>'1 prepared data'!I93</f>
        <v/>
      </c>
      <c r="K100" s="7">
        <f>'1 prepared data'!J93</f>
        <v/>
      </c>
      <c r="L100" s="7">
        <f>'1 prepared data'!K93</f>
        <v/>
      </c>
      <c r="M100" s="7">
        <f>'1 prepared data'!L93</f>
        <v/>
      </c>
      <c r="N100" s="7">
        <f>'1 prepared data'!M93</f>
        <v/>
      </c>
      <c r="O100" s="7">
        <f>'1 prepared data'!N93</f>
        <v/>
      </c>
      <c r="P100" s="7">
        <f>'1 prepared data'!O93</f>
        <v/>
      </c>
      <c r="Q100" s="7">
        <f>'1 prepared data'!P93</f>
        <v/>
      </c>
      <c r="R100" s="7">
        <f>'1 prepared data'!Q93</f>
        <v/>
      </c>
      <c r="S100" s="7">
        <f>'1 prepared data'!R93</f>
        <v/>
      </c>
      <c r="T100" s="7">
        <f>'1 prepared data'!S93</f>
        <v/>
      </c>
      <c r="U100" s="7">
        <f>'1 prepared data'!T93</f>
        <v/>
      </c>
      <c r="V100" s="8">
        <f>$AC$12+D100*$AC$13+E100*$AC$14+F100*$AC$15+G100*$AC$16+H100*$AC$17+I100*$AC$18+J100*$AC$19+K100*$AC$20+L100*$AC$21+M100*$AC$22+N100*$AC$23+O100*$AC$24+P100*$AC$25+Q100*$AC$26+R100*$AC$27+S100*$AC$28+T100*$AC$29+U100*$AC$30</f>
        <v/>
      </c>
      <c r="W100" s="8">
        <f>1/(1+EXP(-V100))</f>
        <v/>
      </c>
      <c r="X100" s="9">
        <f>-IF(C100=1,LN(W100),LN(1-W100))</f>
        <v/>
      </c>
      <c r="Y100" s="10">
        <f>IF(W100&gt;$AC$33,1,0)</f>
        <v/>
      </c>
      <c r="Z100">
        <f>IF(Y100=C100,1,0)</f>
        <v/>
      </c>
    </row>
    <row r="101">
      <c r="A101">
        <f>'1 prepared data'!A94</f>
        <v/>
      </c>
      <c r="B101" s="5">
        <f>'1 prepared data'!U94</f>
        <v/>
      </c>
      <c r="C101">
        <f>'1 prepared data'!B94</f>
        <v/>
      </c>
      <c r="D101" s="7">
        <f>'1 prepared data'!C94</f>
        <v/>
      </c>
      <c r="E101" s="7">
        <f>'1 prepared data'!D94</f>
        <v/>
      </c>
      <c r="F101" s="7">
        <f>'1 prepared data'!E94</f>
        <v/>
      </c>
      <c r="G101" s="7">
        <f>'1 prepared data'!F94</f>
        <v/>
      </c>
      <c r="H101" s="7">
        <f>'1 prepared data'!G94</f>
        <v/>
      </c>
      <c r="I101" s="7">
        <f>'1 prepared data'!H94</f>
        <v/>
      </c>
      <c r="J101" s="7">
        <f>'1 prepared data'!I94</f>
        <v/>
      </c>
      <c r="K101" s="7">
        <f>'1 prepared data'!J94</f>
        <v/>
      </c>
      <c r="L101" s="7">
        <f>'1 prepared data'!K94</f>
        <v/>
      </c>
      <c r="M101" s="7">
        <f>'1 prepared data'!L94</f>
        <v/>
      </c>
      <c r="N101" s="7">
        <f>'1 prepared data'!M94</f>
        <v/>
      </c>
      <c r="O101" s="7">
        <f>'1 prepared data'!N94</f>
        <v/>
      </c>
      <c r="P101" s="7">
        <f>'1 prepared data'!O94</f>
        <v/>
      </c>
      <c r="Q101" s="7">
        <f>'1 prepared data'!P94</f>
        <v/>
      </c>
      <c r="R101" s="7">
        <f>'1 prepared data'!Q94</f>
        <v/>
      </c>
      <c r="S101" s="7">
        <f>'1 prepared data'!R94</f>
        <v/>
      </c>
      <c r="T101" s="7">
        <f>'1 prepared data'!S94</f>
        <v/>
      </c>
      <c r="U101" s="7">
        <f>'1 prepared data'!T94</f>
        <v/>
      </c>
      <c r="V101" s="8">
        <f>$AC$12+D101*$AC$13+E101*$AC$14+F101*$AC$15+G101*$AC$16+H101*$AC$17+I101*$AC$18+J101*$AC$19+K101*$AC$20+L101*$AC$21+M101*$AC$22+N101*$AC$23+O101*$AC$24+P101*$AC$25+Q101*$AC$26+R101*$AC$27+S101*$AC$28+T101*$AC$29+U101*$AC$30</f>
        <v/>
      </c>
      <c r="W101" s="8">
        <f>1/(1+EXP(-V101))</f>
        <v/>
      </c>
      <c r="X101" s="9">
        <f>-IF(C101=1,LN(W101),LN(1-W101))</f>
        <v/>
      </c>
      <c r="Y101" s="10">
        <f>IF(W101&gt;$AC$33,1,0)</f>
        <v/>
      </c>
      <c r="Z101">
        <f>IF(Y101=C101,1,0)</f>
        <v/>
      </c>
    </row>
    <row r="102">
      <c r="A102">
        <f>'1 prepared data'!A95</f>
        <v/>
      </c>
      <c r="B102" s="5">
        <f>'1 prepared data'!U95</f>
        <v/>
      </c>
      <c r="C102">
        <f>'1 prepared data'!B95</f>
        <v/>
      </c>
      <c r="D102" s="7">
        <f>'1 prepared data'!C95</f>
        <v/>
      </c>
      <c r="E102" s="7">
        <f>'1 prepared data'!D95</f>
        <v/>
      </c>
      <c r="F102" s="7">
        <f>'1 prepared data'!E95</f>
        <v/>
      </c>
      <c r="G102" s="7">
        <f>'1 prepared data'!F95</f>
        <v/>
      </c>
      <c r="H102" s="7">
        <f>'1 prepared data'!G95</f>
        <v/>
      </c>
      <c r="I102" s="7">
        <f>'1 prepared data'!H95</f>
        <v/>
      </c>
      <c r="J102" s="7">
        <f>'1 prepared data'!I95</f>
        <v/>
      </c>
      <c r="K102" s="7">
        <f>'1 prepared data'!J95</f>
        <v/>
      </c>
      <c r="L102" s="7">
        <f>'1 prepared data'!K95</f>
        <v/>
      </c>
      <c r="M102" s="7">
        <f>'1 prepared data'!L95</f>
        <v/>
      </c>
      <c r="N102" s="7">
        <f>'1 prepared data'!M95</f>
        <v/>
      </c>
      <c r="O102" s="7">
        <f>'1 prepared data'!N95</f>
        <v/>
      </c>
      <c r="P102" s="7">
        <f>'1 prepared data'!O95</f>
        <v/>
      </c>
      <c r="Q102" s="7">
        <f>'1 prepared data'!P95</f>
        <v/>
      </c>
      <c r="R102" s="7">
        <f>'1 prepared data'!Q95</f>
        <v/>
      </c>
      <c r="S102" s="7">
        <f>'1 prepared data'!R95</f>
        <v/>
      </c>
      <c r="T102" s="7">
        <f>'1 prepared data'!S95</f>
        <v/>
      </c>
      <c r="U102" s="7">
        <f>'1 prepared data'!T95</f>
        <v/>
      </c>
      <c r="V102" s="8">
        <f>$AC$12+D102*$AC$13+E102*$AC$14+F102*$AC$15+G102*$AC$16+H102*$AC$17+I102*$AC$18+J102*$AC$19+K102*$AC$20+L102*$AC$21+M102*$AC$22+N102*$AC$23+O102*$AC$24+P102*$AC$25+Q102*$AC$26+R102*$AC$27+S102*$AC$28+T102*$AC$29+U102*$AC$30</f>
        <v/>
      </c>
      <c r="W102" s="8">
        <f>1/(1+EXP(-V102))</f>
        <v/>
      </c>
      <c r="X102" s="9">
        <f>-IF(C102=1,LN(W102),LN(1-W102))</f>
        <v/>
      </c>
      <c r="Y102" s="10">
        <f>IF(W102&gt;$AC$33,1,0)</f>
        <v/>
      </c>
      <c r="Z102">
        <f>IF(Y102=C102,1,0)</f>
        <v/>
      </c>
    </row>
    <row r="103">
      <c r="A103">
        <f>'1 prepared data'!A96</f>
        <v/>
      </c>
      <c r="B103" s="5">
        <f>'1 prepared data'!U96</f>
        <v/>
      </c>
      <c r="C103">
        <f>'1 prepared data'!B96</f>
        <v/>
      </c>
      <c r="D103" s="7">
        <f>'1 prepared data'!C96</f>
        <v/>
      </c>
      <c r="E103" s="7">
        <f>'1 prepared data'!D96</f>
        <v/>
      </c>
      <c r="F103" s="7">
        <f>'1 prepared data'!E96</f>
        <v/>
      </c>
      <c r="G103" s="7">
        <f>'1 prepared data'!F96</f>
        <v/>
      </c>
      <c r="H103" s="7">
        <f>'1 prepared data'!G96</f>
        <v/>
      </c>
      <c r="I103" s="7">
        <f>'1 prepared data'!H96</f>
        <v/>
      </c>
      <c r="J103" s="7">
        <f>'1 prepared data'!I96</f>
        <v/>
      </c>
      <c r="K103" s="7">
        <f>'1 prepared data'!J96</f>
        <v/>
      </c>
      <c r="L103" s="7">
        <f>'1 prepared data'!K96</f>
        <v/>
      </c>
      <c r="M103" s="7">
        <f>'1 prepared data'!L96</f>
        <v/>
      </c>
      <c r="N103" s="7">
        <f>'1 prepared data'!M96</f>
        <v/>
      </c>
      <c r="O103" s="7">
        <f>'1 prepared data'!N96</f>
        <v/>
      </c>
      <c r="P103" s="7">
        <f>'1 prepared data'!O96</f>
        <v/>
      </c>
      <c r="Q103" s="7">
        <f>'1 prepared data'!P96</f>
        <v/>
      </c>
      <c r="R103" s="7">
        <f>'1 prepared data'!Q96</f>
        <v/>
      </c>
      <c r="S103" s="7">
        <f>'1 prepared data'!R96</f>
        <v/>
      </c>
      <c r="T103" s="7">
        <f>'1 prepared data'!S96</f>
        <v/>
      </c>
      <c r="U103" s="7">
        <f>'1 prepared data'!T96</f>
        <v/>
      </c>
      <c r="V103" s="8">
        <f>$AC$12+D103*$AC$13+E103*$AC$14+F103*$AC$15+G103*$AC$16+H103*$AC$17+I103*$AC$18+J103*$AC$19+K103*$AC$20+L103*$AC$21+M103*$AC$22+N103*$AC$23+O103*$AC$24+P103*$AC$25+Q103*$AC$26+R103*$AC$27+S103*$AC$28+T103*$AC$29+U103*$AC$30</f>
        <v/>
      </c>
      <c r="W103" s="8">
        <f>1/(1+EXP(-V103))</f>
        <v/>
      </c>
      <c r="X103" s="9">
        <f>-IF(C103=1,LN(W103),LN(1-W103))</f>
        <v/>
      </c>
      <c r="Y103" s="10">
        <f>IF(W103&gt;$AC$33,1,0)</f>
        <v/>
      </c>
      <c r="Z103">
        <f>IF(Y103=C103,1,0)</f>
        <v/>
      </c>
    </row>
    <row r="104">
      <c r="A104">
        <f>'1 prepared data'!A97</f>
        <v/>
      </c>
      <c r="B104" s="5">
        <f>'1 prepared data'!U97</f>
        <v/>
      </c>
      <c r="C104">
        <f>'1 prepared data'!B97</f>
        <v/>
      </c>
      <c r="D104" s="7">
        <f>'1 prepared data'!C97</f>
        <v/>
      </c>
      <c r="E104" s="7">
        <f>'1 prepared data'!D97</f>
        <v/>
      </c>
      <c r="F104" s="7">
        <f>'1 prepared data'!E97</f>
        <v/>
      </c>
      <c r="G104" s="7">
        <f>'1 prepared data'!F97</f>
        <v/>
      </c>
      <c r="H104" s="7">
        <f>'1 prepared data'!G97</f>
        <v/>
      </c>
      <c r="I104" s="7">
        <f>'1 prepared data'!H97</f>
        <v/>
      </c>
      <c r="J104" s="7">
        <f>'1 prepared data'!I97</f>
        <v/>
      </c>
      <c r="K104" s="7">
        <f>'1 prepared data'!J97</f>
        <v/>
      </c>
      <c r="L104" s="7">
        <f>'1 prepared data'!K97</f>
        <v/>
      </c>
      <c r="M104" s="7">
        <f>'1 prepared data'!L97</f>
        <v/>
      </c>
      <c r="N104" s="7">
        <f>'1 prepared data'!M97</f>
        <v/>
      </c>
      <c r="O104" s="7">
        <f>'1 prepared data'!N97</f>
        <v/>
      </c>
      <c r="P104" s="7">
        <f>'1 prepared data'!O97</f>
        <v/>
      </c>
      <c r="Q104" s="7">
        <f>'1 prepared data'!P97</f>
        <v/>
      </c>
      <c r="R104" s="7">
        <f>'1 prepared data'!Q97</f>
        <v/>
      </c>
      <c r="S104" s="7">
        <f>'1 prepared data'!R97</f>
        <v/>
      </c>
      <c r="T104" s="7">
        <f>'1 prepared data'!S97</f>
        <v/>
      </c>
      <c r="U104" s="7">
        <f>'1 prepared data'!T97</f>
        <v/>
      </c>
      <c r="V104" s="8">
        <f>$AC$12+D104*$AC$13+E104*$AC$14+F104*$AC$15+G104*$AC$16+H104*$AC$17+I104*$AC$18+J104*$AC$19+K104*$AC$20+L104*$AC$21+M104*$AC$22+N104*$AC$23+O104*$AC$24+P104*$AC$25+Q104*$AC$26+R104*$AC$27+S104*$AC$28+T104*$AC$29+U104*$AC$30</f>
        <v/>
      </c>
      <c r="W104" s="8">
        <f>1/(1+EXP(-V104))</f>
        <v/>
      </c>
      <c r="X104" s="9">
        <f>-IF(C104=1,LN(W104),LN(1-W104))</f>
        <v/>
      </c>
      <c r="Y104" s="10">
        <f>IF(W104&gt;$AC$33,1,0)</f>
        <v/>
      </c>
      <c r="Z104">
        <f>IF(Y104=C104,1,0)</f>
        <v/>
      </c>
    </row>
    <row r="105">
      <c r="A105">
        <f>'1 prepared data'!A98</f>
        <v/>
      </c>
      <c r="B105" s="5">
        <f>'1 prepared data'!U98</f>
        <v/>
      </c>
      <c r="C105">
        <f>'1 prepared data'!B98</f>
        <v/>
      </c>
      <c r="D105" s="7">
        <f>'1 prepared data'!C98</f>
        <v/>
      </c>
      <c r="E105" s="7">
        <f>'1 prepared data'!D98</f>
        <v/>
      </c>
      <c r="F105" s="7">
        <f>'1 prepared data'!E98</f>
        <v/>
      </c>
      <c r="G105" s="7">
        <f>'1 prepared data'!F98</f>
        <v/>
      </c>
      <c r="H105" s="7">
        <f>'1 prepared data'!G98</f>
        <v/>
      </c>
      <c r="I105" s="7">
        <f>'1 prepared data'!H98</f>
        <v/>
      </c>
      <c r="J105" s="7">
        <f>'1 prepared data'!I98</f>
        <v/>
      </c>
      <c r="K105" s="7">
        <f>'1 prepared data'!J98</f>
        <v/>
      </c>
      <c r="L105" s="7">
        <f>'1 prepared data'!K98</f>
        <v/>
      </c>
      <c r="M105" s="7">
        <f>'1 prepared data'!L98</f>
        <v/>
      </c>
      <c r="N105" s="7">
        <f>'1 prepared data'!M98</f>
        <v/>
      </c>
      <c r="O105" s="7">
        <f>'1 prepared data'!N98</f>
        <v/>
      </c>
      <c r="P105" s="7">
        <f>'1 prepared data'!O98</f>
        <v/>
      </c>
      <c r="Q105" s="7">
        <f>'1 prepared data'!P98</f>
        <v/>
      </c>
      <c r="R105" s="7">
        <f>'1 prepared data'!Q98</f>
        <v/>
      </c>
      <c r="S105" s="7">
        <f>'1 prepared data'!R98</f>
        <v/>
      </c>
      <c r="T105" s="7">
        <f>'1 prepared data'!S98</f>
        <v/>
      </c>
      <c r="U105" s="7">
        <f>'1 prepared data'!T98</f>
        <v/>
      </c>
      <c r="V105" s="8">
        <f>$AC$12+D105*$AC$13+E105*$AC$14+F105*$AC$15+G105*$AC$16+H105*$AC$17+I105*$AC$18+J105*$AC$19+K105*$AC$20+L105*$AC$21+M105*$AC$22+N105*$AC$23+O105*$AC$24+P105*$AC$25+Q105*$AC$26+R105*$AC$27+S105*$AC$28+T105*$AC$29+U105*$AC$30</f>
        <v/>
      </c>
      <c r="W105" s="8">
        <f>1/(1+EXP(-V105))</f>
        <v/>
      </c>
      <c r="X105" s="9">
        <f>-IF(C105=1,LN(W105),LN(1-W105))</f>
        <v/>
      </c>
      <c r="Y105" s="10">
        <f>IF(W105&gt;$AC$33,1,0)</f>
        <v/>
      </c>
      <c r="Z105">
        <f>IF(Y105=C105,1,0)</f>
        <v/>
      </c>
    </row>
    <row r="106">
      <c r="A106">
        <f>'1 prepared data'!A99</f>
        <v/>
      </c>
      <c r="B106" s="5">
        <f>'1 prepared data'!U99</f>
        <v/>
      </c>
      <c r="C106">
        <f>'1 prepared data'!B99</f>
        <v/>
      </c>
      <c r="D106" s="7">
        <f>'1 prepared data'!C99</f>
        <v/>
      </c>
      <c r="E106" s="7">
        <f>'1 prepared data'!D99</f>
        <v/>
      </c>
      <c r="F106" s="7">
        <f>'1 prepared data'!E99</f>
        <v/>
      </c>
      <c r="G106" s="7">
        <f>'1 prepared data'!F99</f>
        <v/>
      </c>
      <c r="H106" s="7">
        <f>'1 prepared data'!G99</f>
        <v/>
      </c>
      <c r="I106" s="7">
        <f>'1 prepared data'!H99</f>
        <v/>
      </c>
      <c r="J106" s="7">
        <f>'1 prepared data'!I99</f>
        <v/>
      </c>
      <c r="K106" s="7">
        <f>'1 prepared data'!J99</f>
        <v/>
      </c>
      <c r="L106" s="7">
        <f>'1 prepared data'!K99</f>
        <v/>
      </c>
      <c r="M106" s="7">
        <f>'1 prepared data'!L99</f>
        <v/>
      </c>
      <c r="N106" s="7">
        <f>'1 prepared data'!M99</f>
        <v/>
      </c>
      <c r="O106" s="7">
        <f>'1 prepared data'!N99</f>
        <v/>
      </c>
      <c r="P106" s="7">
        <f>'1 prepared data'!O99</f>
        <v/>
      </c>
      <c r="Q106" s="7">
        <f>'1 prepared data'!P99</f>
        <v/>
      </c>
      <c r="R106" s="7">
        <f>'1 prepared data'!Q99</f>
        <v/>
      </c>
      <c r="S106" s="7">
        <f>'1 prepared data'!R99</f>
        <v/>
      </c>
      <c r="T106" s="7">
        <f>'1 prepared data'!S99</f>
        <v/>
      </c>
      <c r="U106" s="7">
        <f>'1 prepared data'!T99</f>
        <v/>
      </c>
      <c r="V106" s="8">
        <f>$AC$12+D106*$AC$13+E106*$AC$14+F106*$AC$15+G106*$AC$16+H106*$AC$17+I106*$AC$18+J106*$AC$19+K106*$AC$20+L106*$AC$21+M106*$AC$22+N106*$AC$23+O106*$AC$24+P106*$AC$25+Q106*$AC$26+R106*$AC$27+S106*$AC$28+T106*$AC$29+U106*$AC$30</f>
        <v/>
      </c>
      <c r="W106" s="8">
        <f>1/(1+EXP(-V106))</f>
        <v/>
      </c>
      <c r="X106" s="9">
        <f>-IF(C106=1,LN(W106),LN(1-W106))</f>
        <v/>
      </c>
      <c r="Y106" s="10">
        <f>IF(W106&gt;$AC$33,1,0)</f>
        <v/>
      </c>
      <c r="Z106">
        <f>IF(Y106=C106,1,0)</f>
        <v/>
      </c>
    </row>
    <row r="107">
      <c r="A107">
        <f>'1 prepared data'!A100</f>
        <v/>
      </c>
      <c r="B107" s="5">
        <f>'1 prepared data'!U100</f>
        <v/>
      </c>
      <c r="C107">
        <f>'1 prepared data'!B100</f>
        <v/>
      </c>
      <c r="D107" s="7">
        <f>'1 prepared data'!C100</f>
        <v/>
      </c>
      <c r="E107" s="7">
        <f>'1 prepared data'!D100</f>
        <v/>
      </c>
      <c r="F107" s="7">
        <f>'1 prepared data'!E100</f>
        <v/>
      </c>
      <c r="G107" s="7">
        <f>'1 prepared data'!F100</f>
        <v/>
      </c>
      <c r="H107" s="7">
        <f>'1 prepared data'!G100</f>
        <v/>
      </c>
      <c r="I107" s="7">
        <f>'1 prepared data'!H100</f>
        <v/>
      </c>
      <c r="J107" s="7">
        <f>'1 prepared data'!I100</f>
        <v/>
      </c>
      <c r="K107" s="7">
        <f>'1 prepared data'!J100</f>
        <v/>
      </c>
      <c r="L107" s="7">
        <f>'1 prepared data'!K100</f>
        <v/>
      </c>
      <c r="M107" s="7">
        <f>'1 prepared data'!L100</f>
        <v/>
      </c>
      <c r="N107" s="7">
        <f>'1 prepared data'!M100</f>
        <v/>
      </c>
      <c r="O107" s="7">
        <f>'1 prepared data'!N100</f>
        <v/>
      </c>
      <c r="P107" s="7">
        <f>'1 prepared data'!O100</f>
        <v/>
      </c>
      <c r="Q107" s="7">
        <f>'1 prepared data'!P100</f>
        <v/>
      </c>
      <c r="R107" s="7">
        <f>'1 prepared data'!Q100</f>
        <v/>
      </c>
      <c r="S107" s="7">
        <f>'1 prepared data'!R100</f>
        <v/>
      </c>
      <c r="T107" s="7">
        <f>'1 prepared data'!S100</f>
        <v/>
      </c>
      <c r="U107" s="7">
        <f>'1 prepared data'!T100</f>
        <v/>
      </c>
      <c r="V107" s="8">
        <f>$AC$12+D107*$AC$13+E107*$AC$14+F107*$AC$15+G107*$AC$16+H107*$AC$17+I107*$AC$18+J107*$AC$19+K107*$AC$20+L107*$AC$21+M107*$AC$22+N107*$AC$23+O107*$AC$24+P107*$AC$25+Q107*$AC$26+R107*$AC$27+S107*$AC$28+T107*$AC$29+U107*$AC$30</f>
        <v/>
      </c>
      <c r="W107" s="8">
        <f>1/(1+EXP(-V107))</f>
        <v/>
      </c>
      <c r="X107" s="9">
        <f>-IF(C107=1,LN(W107),LN(1-W107))</f>
        <v/>
      </c>
      <c r="Y107" s="10">
        <f>IF(W107&gt;$AC$33,1,0)</f>
        <v/>
      </c>
      <c r="Z107">
        <f>IF(Y107=C107,1,0)</f>
        <v/>
      </c>
    </row>
    <row r="108">
      <c r="A108">
        <f>'1 prepared data'!A101</f>
        <v/>
      </c>
      <c r="B108" s="5">
        <f>'1 prepared data'!U101</f>
        <v/>
      </c>
      <c r="C108">
        <f>'1 prepared data'!B101</f>
        <v/>
      </c>
      <c r="D108" s="7">
        <f>'1 prepared data'!C101</f>
        <v/>
      </c>
      <c r="E108" s="7">
        <f>'1 prepared data'!D101</f>
        <v/>
      </c>
      <c r="F108" s="7">
        <f>'1 prepared data'!E101</f>
        <v/>
      </c>
      <c r="G108" s="7">
        <f>'1 prepared data'!F101</f>
        <v/>
      </c>
      <c r="H108" s="7">
        <f>'1 prepared data'!G101</f>
        <v/>
      </c>
      <c r="I108" s="7">
        <f>'1 prepared data'!H101</f>
        <v/>
      </c>
      <c r="J108" s="7">
        <f>'1 prepared data'!I101</f>
        <v/>
      </c>
      <c r="K108" s="7">
        <f>'1 prepared data'!J101</f>
        <v/>
      </c>
      <c r="L108" s="7">
        <f>'1 prepared data'!K101</f>
        <v/>
      </c>
      <c r="M108" s="7">
        <f>'1 prepared data'!L101</f>
        <v/>
      </c>
      <c r="N108" s="7">
        <f>'1 prepared data'!M101</f>
        <v/>
      </c>
      <c r="O108" s="7">
        <f>'1 prepared data'!N101</f>
        <v/>
      </c>
      <c r="P108" s="7">
        <f>'1 prepared data'!O101</f>
        <v/>
      </c>
      <c r="Q108" s="7">
        <f>'1 prepared data'!P101</f>
        <v/>
      </c>
      <c r="R108" s="7">
        <f>'1 prepared data'!Q101</f>
        <v/>
      </c>
      <c r="S108" s="7">
        <f>'1 prepared data'!R101</f>
        <v/>
      </c>
      <c r="T108" s="7">
        <f>'1 prepared data'!S101</f>
        <v/>
      </c>
      <c r="U108" s="7">
        <f>'1 prepared data'!T101</f>
        <v/>
      </c>
      <c r="V108" s="8">
        <f>$AC$12+D108*$AC$13+E108*$AC$14+F108*$AC$15+G108*$AC$16+H108*$AC$17+I108*$AC$18+J108*$AC$19+K108*$AC$20+L108*$AC$21+M108*$AC$22+N108*$AC$23+O108*$AC$24+P108*$AC$25+Q108*$AC$26+R108*$AC$27+S108*$AC$28+T108*$AC$29+U108*$AC$30</f>
        <v/>
      </c>
      <c r="W108" s="8">
        <f>1/(1+EXP(-V108))</f>
        <v/>
      </c>
      <c r="X108" s="9">
        <f>-IF(C108=1,LN(W108),LN(1-W108))</f>
        <v/>
      </c>
      <c r="Y108" s="10">
        <f>IF(W108&gt;$AC$33,1,0)</f>
        <v/>
      </c>
      <c r="Z108">
        <f>IF(Y108=C108,1,0)</f>
        <v/>
      </c>
    </row>
    <row r="109">
      <c r="A109">
        <f>'1 prepared data'!A102</f>
        <v/>
      </c>
      <c r="B109" s="5">
        <f>'1 prepared data'!U102</f>
        <v/>
      </c>
      <c r="C109">
        <f>'1 prepared data'!B102</f>
        <v/>
      </c>
      <c r="D109" s="7">
        <f>'1 prepared data'!C102</f>
        <v/>
      </c>
      <c r="E109" s="7">
        <f>'1 prepared data'!D102</f>
        <v/>
      </c>
      <c r="F109" s="7">
        <f>'1 prepared data'!E102</f>
        <v/>
      </c>
      <c r="G109" s="7">
        <f>'1 prepared data'!F102</f>
        <v/>
      </c>
      <c r="H109" s="7">
        <f>'1 prepared data'!G102</f>
        <v/>
      </c>
      <c r="I109" s="7">
        <f>'1 prepared data'!H102</f>
        <v/>
      </c>
      <c r="J109" s="7">
        <f>'1 prepared data'!I102</f>
        <v/>
      </c>
      <c r="K109" s="7">
        <f>'1 prepared data'!J102</f>
        <v/>
      </c>
      <c r="L109" s="7">
        <f>'1 prepared data'!K102</f>
        <v/>
      </c>
      <c r="M109" s="7">
        <f>'1 prepared data'!L102</f>
        <v/>
      </c>
      <c r="N109" s="7">
        <f>'1 prepared data'!M102</f>
        <v/>
      </c>
      <c r="O109" s="7">
        <f>'1 prepared data'!N102</f>
        <v/>
      </c>
      <c r="P109" s="7">
        <f>'1 prepared data'!O102</f>
        <v/>
      </c>
      <c r="Q109" s="7">
        <f>'1 prepared data'!P102</f>
        <v/>
      </c>
      <c r="R109" s="7">
        <f>'1 prepared data'!Q102</f>
        <v/>
      </c>
      <c r="S109" s="7">
        <f>'1 prepared data'!R102</f>
        <v/>
      </c>
      <c r="T109" s="7">
        <f>'1 prepared data'!S102</f>
        <v/>
      </c>
      <c r="U109" s="7">
        <f>'1 prepared data'!T102</f>
        <v/>
      </c>
      <c r="V109" s="8">
        <f>$AC$12+D109*$AC$13+E109*$AC$14+F109*$AC$15+G109*$AC$16+H109*$AC$17+I109*$AC$18+J109*$AC$19+K109*$AC$20+L109*$AC$21+M109*$AC$22+N109*$AC$23+O109*$AC$24+P109*$AC$25+Q109*$AC$26+R109*$AC$27+S109*$AC$28+T109*$AC$29+U109*$AC$30</f>
        <v/>
      </c>
      <c r="W109" s="8">
        <f>1/(1+EXP(-V109))</f>
        <v/>
      </c>
      <c r="X109" s="9">
        <f>-IF(C109=1,LN(W109),LN(1-W109))</f>
        <v/>
      </c>
      <c r="Y109" s="10">
        <f>IF(W109&gt;$AC$33,1,0)</f>
        <v/>
      </c>
      <c r="Z109">
        <f>IF(Y109=C109,1,0)</f>
        <v/>
      </c>
    </row>
    <row r="110">
      <c r="A110">
        <f>'1 prepared data'!A103</f>
        <v/>
      </c>
      <c r="B110" s="5">
        <f>'1 prepared data'!U103</f>
        <v/>
      </c>
      <c r="C110">
        <f>'1 prepared data'!B103</f>
        <v/>
      </c>
      <c r="D110" s="7">
        <f>'1 prepared data'!C103</f>
        <v/>
      </c>
      <c r="E110" s="7">
        <f>'1 prepared data'!D103</f>
        <v/>
      </c>
      <c r="F110" s="7">
        <f>'1 prepared data'!E103</f>
        <v/>
      </c>
      <c r="G110" s="7">
        <f>'1 prepared data'!F103</f>
        <v/>
      </c>
      <c r="H110" s="7">
        <f>'1 prepared data'!G103</f>
        <v/>
      </c>
      <c r="I110" s="7">
        <f>'1 prepared data'!H103</f>
        <v/>
      </c>
      <c r="J110" s="7">
        <f>'1 prepared data'!I103</f>
        <v/>
      </c>
      <c r="K110" s="7">
        <f>'1 prepared data'!J103</f>
        <v/>
      </c>
      <c r="L110" s="7">
        <f>'1 prepared data'!K103</f>
        <v/>
      </c>
      <c r="M110" s="7">
        <f>'1 prepared data'!L103</f>
        <v/>
      </c>
      <c r="N110" s="7">
        <f>'1 prepared data'!M103</f>
        <v/>
      </c>
      <c r="O110" s="7">
        <f>'1 prepared data'!N103</f>
        <v/>
      </c>
      <c r="P110" s="7">
        <f>'1 prepared data'!O103</f>
        <v/>
      </c>
      <c r="Q110" s="7">
        <f>'1 prepared data'!P103</f>
        <v/>
      </c>
      <c r="R110" s="7">
        <f>'1 prepared data'!Q103</f>
        <v/>
      </c>
      <c r="S110" s="7">
        <f>'1 prepared data'!R103</f>
        <v/>
      </c>
      <c r="T110" s="7">
        <f>'1 prepared data'!S103</f>
        <v/>
      </c>
      <c r="U110" s="7">
        <f>'1 prepared data'!T103</f>
        <v/>
      </c>
      <c r="V110" s="8">
        <f>$AC$12+D110*$AC$13+E110*$AC$14+F110*$AC$15+G110*$AC$16+H110*$AC$17+I110*$AC$18+J110*$AC$19+K110*$AC$20+L110*$AC$21+M110*$AC$22+N110*$AC$23+O110*$AC$24+P110*$AC$25+Q110*$AC$26+R110*$AC$27+S110*$AC$28+T110*$AC$29+U110*$AC$30</f>
        <v/>
      </c>
      <c r="W110" s="8">
        <f>1/(1+EXP(-V110))</f>
        <v/>
      </c>
      <c r="X110" s="9">
        <f>-IF(C110=1,LN(W110),LN(1-W110))</f>
        <v/>
      </c>
      <c r="Y110" s="10">
        <f>IF(W110&gt;$AC$33,1,0)</f>
        <v/>
      </c>
      <c r="Z110">
        <f>IF(Y110=C110,1,0)</f>
        <v/>
      </c>
    </row>
    <row r="111">
      <c r="A111">
        <f>'1 prepared data'!A104</f>
        <v/>
      </c>
      <c r="B111" s="5">
        <f>'1 prepared data'!U104</f>
        <v/>
      </c>
      <c r="C111">
        <f>'1 prepared data'!B104</f>
        <v/>
      </c>
      <c r="D111" s="7">
        <f>'1 prepared data'!C104</f>
        <v/>
      </c>
      <c r="E111" s="7">
        <f>'1 prepared data'!D104</f>
        <v/>
      </c>
      <c r="F111" s="7">
        <f>'1 prepared data'!E104</f>
        <v/>
      </c>
      <c r="G111" s="7">
        <f>'1 prepared data'!F104</f>
        <v/>
      </c>
      <c r="H111" s="7">
        <f>'1 prepared data'!G104</f>
        <v/>
      </c>
      <c r="I111" s="7">
        <f>'1 prepared data'!H104</f>
        <v/>
      </c>
      <c r="J111" s="7">
        <f>'1 prepared data'!I104</f>
        <v/>
      </c>
      <c r="K111" s="7">
        <f>'1 prepared data'!J104</f>
        <v/>
      </c>
      <c r="L111" s="7">
        <f>'1 prepared data'!K104</f>
        <v/>
      </c>
      <c r="M111" s="7">
        <f>'1 prepared data'!L104</f>
        <v/>
      </c>
      <c r="N111" s="7">
        <f>'1 prepared data'!M104</f>
        <v/>
      </c>
      <c r="O111" s="7">
        <f>'1 prepared data'!N104</f>
        <v/>
      </c>
      <c r="P111" s="7">
        <f>'1 prepared data'!O104</f>
        <v/>
      </c>
      <c r="Q111" s="7">
        <f>'1 prepared data'!P104</f>
        <v/>
      </c>
      <c r="R111" s="7">
        <f>'1 prepared data'!Q104</f>
        <v/>
      </c>
      <c r="S111" s="7">
        <f>'1 prepared data'!R104</f>
        <v/>
      </c>
      <c r="T111" s="7">
        <f>'1 prepared data'!S104</f>
        <v/>
      </c>
      <c r="U111" s="7">
        <f>'1 prepared data'!T104</f>
        <v/>
      </c>
      <c r="V111" s="8">
        <f>$AC$12+D111*$AC$13+E111*$AC$14+F111*$AC$15+G111*$AC$16+H111*$AC$17+I111*$AC$18+J111*$AC$19+K111*$AC$20+L111*$AC$21+M111*$AC$22+N111*$AC$23+O111*$AC$24+P111*$AC$25+Q111*$AC$26+R111*$AC$27+S111*$AC$28+T111*$AC$29+U111*$AC$30</f>
        <v/>
      </c>
      <c r="W111" s="8">
        <f>1/(1+EXP(-V111))</f>
        <v/>
      </c>
      <c r="X111" s="9">
        <f>-IF(C111=1,LN(W111),LN(1-W111))</f>
        <v/>
      </c>
      <c r="Y111" s="10">
        <f>IF(W111&gt;$AC$33,1,0)</f>
        <v/>
      </c>
      <c r="Z111">
        <f>IF(Y111=C111,1,0)</f>
        <v/>
      </c>
    </row>
    <row r="112">
      <c r="A112">
        <f>'1 prepared data'!A105</f>
        <v/>
      </c>
      <c r="B112" s="5">
        <f>'1 prepared data'!U105</f>
        <v/>
      </c>
      <c r="C112">
        <f>'1 prepared data'!B105</f>
        <v/>
      </c>
      <c r="D112" s="7">
        <f>'1 prepared data'!C105</f>
        <v/>
      </c>
      <c r="E112" s="7">
        <f>'1 prepared data'!D105</f>
        <v/>
      </c>
      <c r="F112" s="7">
        <f>'1 prepared data'!E105</f>
        <v/>
      </c>
      <c r="G112" s="7">
        <f>'1 prepared data'!F105</f>
        <v/>
      </c>
      <c r="H112" s="7">
        <f>'1 prepared data'!G105</f>
        <v/>
      </c>
      <c r="I112" s="7">
        <f>'1 prepared data'!H105</f>
        <v/>
      </c>
      <c r="J112" s="7">
        <f>'1 prepared data'!I105</f>
        <v/>
      </c>
      <c r="K112" s="7">
        <f>'1 prepared data'!J105</f>
        <v/>
      </c>
      <c r="L112" s="7">
        <f>'1 prepared data'!K105</f>
        <v/>
      </c>
      <c r="M112" s="7">
        <f>'1 prepared data'!L105</f>
        <v/>
      </c>
      <c r="N112" s="7">
        <f>'1 prepared data'!M105</f>
        <v/>
      </c>
      <c r="O112" s="7">
        <f>'1 prepared data'!N105</f>
        <v/>
      </c>
      <c r="P112" s="7">
        <f>'1 prepared data'!O105</f>
        <v/>
      </c>
      <c r="Q112" s="7">
        <f>'1 prepared data'!P105</f>
        <v/>
      </c>
      <c r="R112" s="7">
        <f>'1 prepared data'!Q105</f>
        <v/>
      </c>
      <c r="S112" s="7">
        <f>'1 prepared data'!R105</f>
        <v/>
      </c>
      <c r="T112" s="7">
        <f>'1 prepared data'!S105</f>
        <v/>
      </c>
      <c r="U112" s="7">
        <f>'1 prepared data'!T105</f>
        <v/>
      </c>
      <c r="V112" s="8">
        <f>$AC$12+D112*$AC$13+E112*$AC$14+F112*$AC$15+G112*$AC$16+H112*$AC$17+I112*$AC$18+J112*$AC$19+K112*$AC$20+L112*$AC$21+M112*$AC$22+N112*$AC$23+O112*$AC$24+P112*$AC$25+Q112*$AC$26+R112*$AC$27+S112*$AC$28+T112*$AC$29+U112*$AC$30</f>
        <v/>
      </c>
      <c r="W112" s="8">
        <f>1/(1+EXP(-V112))</f>
        <v/>
      </c>
      <c r="X112" s="9">
        <f>-IF(C112=1,LN(W112),LN(1-W112))</f>
        <v/>
      </c>
      <c r="Y112" s="10">
        <f>IF(W112&gt;$AC$33,1,0)</f>
        <v/>
      </c>
      <c r="Z112">
        <f>IF(Y112=C112,1,0)</f>
        <v/>
      </c>
    </row>
    <row r="113">
      <c r="A113">
        <f>'1 prepared data'!A106</f>
        <v/>
      </c>
      <c r="B113" s="5">
        <f>'1 prepared data'!U106</f>
        <v/>
      </c>
      <c r="C113">
        <f>'1 prepared data'!B106</f>
        <v/>
      </c>
      <c r="D113" s="7">
        <f>'1 prepared data'!C106</f>
        <v/>
      </c>
      <c r="E113" s="7">
        <f>'1 prepared data'!D106</f>
        <v/>
      </c>
      <c r="F113" s="7">
        <f>'1 prepared data'!E106</f>
        <v/>
      </c>
      <c r="G113" s="7">
        <f>'1 prepared data'!F106</f>
        <v/>
      </c>
      <c r="H113" s="7">
        <f>'1 prepared data'!G106</f>
        <v/>
      </c>
      <c r="I113" s="7">
        <f>'1 prepared data'!H106</f>
        <v/>
      </c>
      <c r="J113" s="7">
        <f>'1 prepared data'!I106</f>
        <v/>
      </c>
      <c r="K113" s="7">
        <f>'1 prepared data'!J106</f>
        <v/>
      </c>
      <c r="L113" s="7">
        <f>'1 prepared data'!K106</f>
        <v/>
      </c>
      <c r="M113" s="7">
        <f>'1 prepared data'!L106</f>
        <v/>
      </c>
      <c r="N113" s="7">
        <f>'1 prepared data'!M106</f>
        <v/>
      </c>
      <c r="O113" s="7">
        <f>'1 prepared data'!N106</f>
        <v/>
      </c>
      <c r="P113" s="7">
        <f>'1 prepared data'!O106</f>
        <v/>
      </c>
      <c r="Q113" s="7">
        <f>'1 prepared data'!P106</f>
        <v/>
      </c>
      <c r="R113" s="7">
        <f>'1 prepared data'!Q106</f>
        <v/>
      </c>
      <c r="S113" s="7">
        <f>'1 prepared data'!R106</f>
        <v/>
      </c>
      <c r="T113" s="7">
        <f>'1 prepared data'!S106</f>
        <v/>
      </c>
      <c r="U113" s="7">
        <f>'1 prepared data'!T106</f>
        <v/>
      </c>
      <c r="V113" s="8">
        <f>$AC$12+D113*$AC$13+E113*$AC$14+F113*$AC$15+G113*$AC$16+H113*$AC$17+I113*$AC$18+J113*$AC$19+K113*$AC$20+L113*$AC$21+M113*$AC$22+N113*$AC$23+O113*$AC$24+P113*$AC$25+Q113*$AC$26+R113*$AC$27+S113*$AC$28+T113*$AC$29+U113*$AC$30</f>
        <v/>
      </c>
      <c r="W113" s="8">
        <f>1/(1+EXP(-V113))</f>
        <v/>
      </c>
      <c r="X113" s="9">
        <f>-IF(C113=1,LN(W113),LN(1-W113))</f>
        <v/>
      </c>
      <c r="Y113" s="10">
        <f>IF(W113&gt;$AC$33,1,0)</f>
        <v/>
      </c>
      <c r="Z113">
        <f>IF(Y113=C113,1,0)</f>
        <v/>
      </c>
    </row>
    <row r="114">
      <c r="A114">
        <f>'1 prepared data'!A107</f>
        <v/>
      </c>
      <c r="B114" s="5">
        <f>'1 prepared data'!U107</f>
        <v/>
      </c>
      <c r="C114">
        <f>'1 prepared data'!B107</f>
        <v/>
      </c>
      <c r="D114" s="7">
        <f>'1 prepared data'!C107</f>
        <v/>
      </c>
      <c r="E114" s="7">
        <f>'1 prepared data'!D107</f>
        <v/>
      </c>
      <c r="F114" s="7">
        <f>'1 prepared data'!E107</f>
        <v/>
      </c>
      <c r="G114" s="7">
        <f>'1 prepared data'!F107</f>
        <v/>
      </c>
      <c r="H114" s="7">
        <f>'1 prepared data'!G107</f>
        <v/>
      </c>
      <c r="I114" s="7">
        <f>'1 prepared data'!H107</f>
        <v/>
      </c>
      <c r="J114" s="7">
        <f>'1 prepared data'!I107</f>
        <v/>
      </c>
      <c r="K114" s="7">
        <f>'1 prepared data'!J107</f>
        <v/>
      </c>
      <c r="L114" s="7">
        <f>'1 prepared data'!K107</f>
        <v/>
      </c>
      <c r="M114" s="7">
        <f>'1 prepared data'!L107</f>
        <v/>
      </c>
      <c r="N114" s="7">
        <f>'1 prepared data'!M107</f>
        <v/>
      </c>
      <c r="O114" s="7">
        <f>'1 prepared data'!N107</f>
        <v/>
      </c>
      <c r="P114" s="7">
        <f>'1 prepared data'!O107</f>
        <v/>
      </c>
      <c r="Q114" s="7">
        <f>'1 prepared data'!P107</f>
        <v/>
      </c>
      <c r="R114" s="7">
        <f>'1 prepared data'!Q107</f>
        <v/>
      </c>
      <c r="S114" s="7">
        <f>'1 prepared data'!R107</f>
        <v/>
      </c>
      <c r="T114" s="7">
        <f>'1 prepared data'!S107</f>
        <v/>
      </c>
      <c r="U114" s="7">
        <f>'1 prepared data'!T107</f>
        <v/>
      </c>
      <c r="V114" s="8">
        <f>$AC$12+D114*$AC$13+E114*$AC$14+F114*$AC$15+G114*$AC$16+H114*$AC$17+I114*$AC$18+J114*$AC$19+K114*$AC$20+L114*$AC$21+M114*$AC$22+N114*$AC$23+O114*$AC$24+P114*$AC$25+Q114*$AC$26+R114*$AC$27+S114*$AC$28+T114*$AC$29+U114*$AC$30</f>
        <v/>
      </c>
      <c r="W114" s="8">
        <f>1/(1+EXP(-V114))</f>
        <v/>
      </c>
      <c r="X114" s="9">
        <f>-IF(C114=1,LN(W114),LN(1-W114))</f>
        <v/>
      </c>
      <c r="Y114" s="10">
        <f>IF(W114&gt;$AC$33,1,0)</f>
        <v/>
      </c>
      <c r="Z114">
        <f>IF(Y114=C114,1,0)</f>
        <v/>
      </c>
    </row>
    <row r="115">
      <c r="A115">
        <f>'1 prepared data'!A108</f>
        <v/>
      </c>
      <c r="B115" s="5">
        <f>'1 prepared data'!U108</f>
        <v/>
      </c>
      <c r="C115">
        <f>'1 prepared data'!B108</f>
        <v/>
      </c>
      <c r="D115" s="7">
        <f>'1 prepared data'!C108</f>
        <v/>
      </c>
      <c r="E115" s="7">
        <f>'1 prepared data'!D108</f>
        <v/>
      </c>
      <c r="F115" s="7">
        <f>'1 prepared data'!E108</f>
        <v/>
      </c>
      <c r="G115" s="7">
        <f>'1 prepared data'!F108</f>
        <v/>
      </c>
      <c r="H115" s="7">
        <f>'1 prepared data'!G108</f>
        <v/>
      </c>
      <c r="I115" s="7">
        <f>'1 prepared data'!H108</f>
        <v/>
      </c>
      <c r="J115" s="7">
        <f>'1 prepared data'!I108</f>
        <v/>
      </c>
      <c r="K115" s="7">
        <f>'1 prepared data'!J108</f>
        <v/>
      </c>
      <c r="L115" s="7">
        <f>'1 prepared data'!K108</f>
        <v/>
      </c>
      <c r="M115" s="7">
        <f>'1 prepared data'!L108</f>
        <v/>
      </c>
      <c r="N115" s="7">
        <f>'1 prepared data'!M108</f>
        <v/>
      </c>
      <c r="O115" s="7">
        <f>'1 prepared data'!N108</f>
        <v/>
      </c>
      <c r="P115" s="7">
        <f>'1 prepared data'!O108</f>
        <v/>
      </c>
      <c r="Q115" s="7">
        <f>'1 prepared data'!P108</f>
        <v/>
      </c>
      <c r="R115" s="7">
        <f>'1 prepared data'!Q108</f>
        <v/>
      </c>
      <c r="S115" s="7">
        <f>'1 prepared data'!R108</f>
        <v/>
      </c>
      <c r="T115" s="7">
        <f>'1 prepared data'!S108</f>
        <v/>
      </c>
      <c r="U115" s="7">
        <f>'1 prepared data'!T108</f>
        <v/>
      </c>
      <c r="V115" s="8">
        <f>$AC$12+D115*$AC$13+E115*$AC$14+F115*$AC$15+G115*$AC$16+H115*$AC$17+I115*$AC$18+J115*$AC$19+K115*$AC$20+L115*$AC$21+M115*$AC$22+N115*$AC$23+O115*$AC$24+P115*$AC$25+Q115*$AC$26+R115*$AC$27+S115*$AC$28+T115*$AC$29+U115*$AC$30</f>
        <v/>
      </c>
      <c r="W115" s="8">
        <f>1/(1+EXP(-V115))</f>
        <v/>
      </c>
      <c r="X115" s="9">
        <f>-IF(C115=1,LN(W115),LN(1-W115))</f>
        <v/>
      </c>
      <c r="Y115" s="10">
        <f>IF(W115&gt;$AC$33,1,0)</f>
        <v/>
      </c>
      <c r="Z115">
        <f>IF(Y115=C115,1,0)</f>
        <v/>
      </c>
    </row>
    <row r="116">
      <c r="A116">
        <f>'1 prepared data'!A109</f>
        <v/>
      </c>
      <c r="B116" s="5">
        <f>'1 prepared data'!U109</f>
        <v/>
      </c>
      <c r="C116">
        <f>'1 prepared data'!B109</f>
        <v/>
      </c>
      <c r="D116" s="7">
        <f>'1 prepared data'!C109</f>
        <v/>
      </c>
      <c r="E116" s="7">
        <f>'1 prepared data'!D109</f>
        <v/>
      </c>
      <c r="F116" s="7">
        <f>'1 prepared data'!E109</f>
        <v/>
      </c>
      <c r="G116" s="7">
        <f>'1 prepared data'!F109</f>
        <v/>
      </c>
      <c r="H116" s="7">
        <f>'1 prepared data'!G109</f>
        <v/>
      </c>
      <c r="I116" s="7">
        <f>'1 prepared data'!H109</f>
        <v/>
      </c>
      <c r="J116" s="7">
        <f>'1 prepared data'!I109</f>
        <v/>
      </c>
      <c r="K116" s="7">
        <f>'1 prepared data'!J109</f>
        <v/>
      </c>
      <c r="L116" s="7">
        <f>'1 prepared data'!K109</f>
        <v/>
      </c>
      <c r="M116" s="7">
        <f>'1 prepared data'!L109</f>
        <v/>
      </c>
      <c r="N116" s="7">
        <f>'1 prepared data'!M109</f>
        <v/>
      </c>
      <c r="O116" s="7">
        <f>'1 prepared data'!N109</f>
        <v/>
      </c>
      <c r="P116" s="7">
        <f>'1 prepared data'!O109</f>
        <v/>
      </c>
      <c r="Q116" s="7">
        <f>'1 prepared data'!P109</f>
        <v/>
      </c>
      <c r="R116" s="7">
        <f>'1 prepared data'!Q109</f>
        <v/>
      </c>
      <c r="S116" s="7">
        <f>'1 prepared data'!R109</f>
        <v/>
      </c>
      <c r="T116" s="7">
        <f>'1 prepared data'!S109</f>
        <v/>
      </c>
      <c r="U116" s="7">
        <f>'1 prepared data'!T109</f>
        <v/>
      </c>
      <c r="V116" s="8">
        <f>$AC$12+D116*$AC$13+E116*$AC$14+F116*$AC$15+G116*$AC$16+H116*$AC$17+I116*$AC$18+J116*$AC$19+K116*$AC$20+L116*$AC$21+M116*$AC$22+N116*$AC$23+O116*$AC$24+P116*$AC$25+Q116*$AC$26+R116*$AC$27+S116*$AC$28+T116*$AC$29+U116*$AC$30</f>
        <v/>
      </c>
      <c r="W116" s="8">
        <f>1/(1+EXP(-V116))</f>
        <v/>
      </c>
      <c r="X116" s="9">
        <f>-IF(C116=1,LN(W116),LN(1-W116))</f>
        <v/>
      </c>
      <c r="Y116" s="10">
        <f>IF(W116&gt;$AC$33,1,0)</f>
        <v/>
      </c>
      <c r="Z116">
        <f>IF(Y116=C116,1,0)</f>
        <v/>
      </c>
    </row>
    <row r="117">
      <c r="A117">
        <f>'1 prepared data'!A110</f>
        <v/>
      </c>
      <c r="B117" s="5">
        <f>'1 prepared data'!U110</f>
        <v/>
      </c>
      <c r="C117">
        <f>'1 prepared data'!B110</f>
        <v/>
      </c>
      <c r="D117" s="7">
        <f>'1 prepared data'!C110</f>
        <v/>
      </c>
      <c r="E117" s="7">
        <f>'1 prepared data'!D110</f>
        <v/>
      </c>
      <c r="F117" s="7">
        <f>'1 prepared data'!E110</f>
        <v/>
      </c>
      <c r="G117" s="7">
        <f>'1 prepared data'!F110</f>
        <v/>
      </c>
      <c r="H117" s="7">
        <f>'1 prepared data'!G110</f>
        <v/>
      </c>
      <c r="I117" s="7">
        <f>'1 prepared data'!H110</f>
        <v/>
      </c>
      <c r="J117" s="7">
        <f>'1 prepared data'!I110</f>
        <v/>
      </c>
      <c r="K117" s="7">
        <f>'1 prepared data'!J110</f>
        <v/>
      </c>
      <c r="L117" s="7">
        <f>'1 prepared data'!K110</f>
        <v/>
      </c>
      <c r="M117" s="7">
        <f>'1 prepared data'!L110</f>
        <v/>
      </c>
      <c r="N117" s="7">
        <f>'1 prepared data'!M110</f>
        <v/>
      </c>
      <c r="O117" s="7">
        <f>'1 prepared data'!N110</f>
        <v/>
      </c>
      <c r="P117" s="7">
        <f>'1 prepared data'!O110</f>
        <v/>
      </c>
      <c r="Q117" s="7">
        <f>'1 prepared data'!P110</f>
        <v/>
      </c>
      <c r="R117" s="7">
        <f>'1 prepared data'!Q110</f>
        <v/>
      </c>
      <c r="S117" s="7">
        <f>'1 prepared data'!R110</f>
        <v/>
      </c>
      <c r="T117" s="7">
        <f>'1 prepared data'!S110</f>
        <v/>
      </c>
      <c r="U117" s="7">
        <f>'1 prepared data'!T110</f>
        <v/>
      </c>
      <c r="V117" s="8">
        <f>$AC$12+D117*$AC$13+E117*$AC$14+F117*$AC$15+G117*$AC$16+H117*$AC$17+I117*$AC$18+J117*$AC$19+K117*$AC$20+L117*$AC$21+M117*$AC$22+N117*$AC$23+O117*$AC$24+P117*$AC$25+Q117*$AC$26+R117*$AC$27+S117*$AC$28+T117*$AC$29+U117*$AC$30</f>
        <v/>
      </c>
      <c r="W117" s="8">
        <f>1/(1+EXP(-V117))</f>
        <v/>
      </c>
      <c r="X117" s="9">
        <f>-IF(C117=1,LN(W117),LN(1-W117))</f>
        <v/>
      </c>
      <c r="Y117" s="10">
        <f>IF(W117&gt;$AC$33,1,0)</f>
        <v/>
      </c>
      <c r="Z117">
        <f>IF(Y117=C117,1,0)</f>
        <v/>
      </c>
    </row>
    <row r="118">
      <c r="A118">
        <f>'1 prepared data'!A111</f>
        <v/>
      </c>
      <c r="B118" s="5">
        <f>'1 prepared data'!U111</f>
        <v/>
      </c>
      <c r="C118">
        <f>'1 prepared data'!B111</f>
        <v/>
      </c>
      <c r="D118" s="7">
        <f>'1 prepared data'!C111</f>
        <v/>
      </c>
      <c r="E118" s="7">
        <f>'1 prepared data'!D111</f>
        <v/>
      </c>
      <c r="F118" s="7">
        <f>'1 prepared data'!E111</f>
        <v/>
      </c>
      <c r="G118" s="7">
        <f>'1 prepared data'!F111</f>
        <v/>
      </c>
      <c r="H118" s="7">
        <f>'1 prepared data'!G111</f>
        <v/>
      </c>
      <c r="I118" s="7">
        <f>'1 prepared data'!H111</f>
        <v/>
      </c>
      <c r="J118" s="7">
        <f>'1 prepared data'!I111</f>
        <v/>
      </c>
      <c r="K118" s="7">
        <f>'1 prepared data'!J111</f>
        <v/>
      </c>
      <c r="L118" s="7">
        <f>'1 prepared data'!K111</f>
        <v/>
      </c>
      <c r="M118" s="7">
        <f>'1 prepared data'!L111</f>
        <v/>
      </c>
      <c r="N118" s="7">
        <f>'1 prepared data'!M111</f>
        <v/>
      </c>
      <c r="O118" s="7">
        <f>'1 prepared data'!N111</f>
        <v/>
      </c>
      <c r="P118" s="7">
        <f>'1 prepared data'!O111</f>
        <v/>
      </c>
      <c r="Q118" s="7">
        <f>'1 prepared data'!P111</f>
        <v/>
      </c>
      <c r="R118" s="7">
        <f>'1 prepared data'!Q111</f>
        <v/>
      </c>
      <c r="S118" s="7">
        <f>'1 prepared data'!R111</f>
        <v/>
      </c>
      <c r="T118" s="7">
        <f>'1 prepared data'!S111</f>
        <v/>
      </c>
      <c r="U118" s="7">
        <f>'1 prepared data'!T111</f>
        <v/>
      </c>
      <c r="V118" s="8">
        <f>$AC$12+D118*$AC$13+E118*$AC$14+F118*$AC$15+G118*$AC$16+H118*$AC$17+I118*$AC$18+J118*$AC$19+K118*$AC$20+L118*$AC$21+M118*$AC$22+N118*$AC$23+O118*$AC$24+P118*$AC$25+Q118*$AC$26+R118*$AC$27+S118*$AC$28+T118*$AC$29+U118*$AC$30</f>
        <v/>
      </c>
      <c r="W118" s="8">
        <f>1/(1+EXP(-V118))</f>
        <v/>
      </c>
      <c r="X118" s="9">
        <f>-IF(C118=1,LN(W118),LN(1-W118))</f>
        <v/>
      </c>
      <c r="Y118" s="10">
        <f>IF(W118&gt;$AC$33,1,0)</f>
        <v/>
      </c>
      <c r="Z118">
        <f>IF(Y118=C118,1,0)</f>
        <v/>
      </c>
    </row>
    <row r="119">
      <c r="A119">
        <f>'1 prepared data'!A112</f>
        <v/>
      </c>
      <c r="B119" s="5">
        <f>'1 prepared data'!U112</f>
        <v/>
      </c>
      <c r="C119">
        <f>'1 prepared data'!B112</f>
        <v/>
      </c>
      <c r="D119" s="7">
        <f>'1 prepared data'!C112</f>
        <v/>
      </c>
      <c r="E119" s="7">
        <f>'1 prepared data'!D112</f>
        <v/>
      </c>
      <c r="F119" s="7">
        <f>'1 prepared data'!E112</f>
        <v/>
      </c>
      <c r="G119" s="7">
        <f>'1 prepared data'!F112</f>
        <v/>
      </c>
      <c r="H119" s="7">
        <f>'1 prepared data'!G112</f>
        <v/>
      </c>
      <c r="I119" s="7">
        <f>'1 prepared data'!H112</f>
        <v/>
      </c>
      <c r="J119" s="7">
        <f>'1 prepared data'!I112</f>
        <v/>
      </c>
      <c r="K119" s="7">
        <f>'1 prepared data'!J112</f>
        <v/>
      </c>
      <c r="L119" s="7">
        <f>'1 prepared data'!K112</f>
        <v/>
      </c>
      <c r="M119" s="7">
        <f>'1 prepared data'!L112</f>
        <v/>
      </c>
      <c r="N119" s="7">
        <f>'1 prepared data'!M112</f>
        <v/>
      </c>
      <c r="O119" s="7">
        <f>'1 prepared data'!N112</f>
        <v/>
      </c>
      <c r="P119" s="7">
        <f>'1 prepared data'!O112</f>
        <v/>
      </c>
      <c r="Q119" s="7">
        <f>'1 prepared data'!P112</f>
        <v/>
      </c>
      <c r="R119" s="7">
        <f>'1 prepared data'!Q112</f>
        <v/>
      </c>
      <c r="S119" s="7">
        <f>'1 prepared data'!R112</f>
        <v/>
      </c>
      <c r="T119" s="7">
        <f>'1 prepared data'!S112</f>
        <v/>
      </c>
      <c r="U119" s="7">
        <f>'1 prepared data'!T112</f>
        <v/>
      </c>
      <c r="V119" s="8">
        <f>$AC$12+D119*$AC$13+E119*$AC$14+F119*$AC$15+G119*$AC$16+H119*$AC$17+I119*$AC$18+J119*$AC$19+K119*$AC$20+L119*$AC$21+M119*$AC$22+N119*$AC$23+O119*$AC$24+P119*$AC$25+Q119*$AC$26+R119*$AC$27+S119*$AC$28+T119*$AC$29+U119*$AC$30</f>
        <v/>
      </c>
      <c r="W119" s="8">
        <f>1/(1+EXP(-V119))</f>
        <v/>
      </c>
      <c r="X119" s="9">
        <f>-IF(C119=1,LN(W119),LN(1-W119))</f>
        <v/>
      </c>
      <c r="Y119" s="10">
        <f>IF(W119&gt;$AC$33,1,0)</f>
        <v/>
      </c>
      <c r="Z119">
        <f>IF(Y119=C119,1,0)</f>
        <v/>
      </c>
    </row>
    <row r="120">
      <c r="A120">
        <f>'1 prepared data'!A113</f>
        <v/>
      </c>
      <c r="B120" s="5">
        <f>'1 prepared data'!U113</f>
        <v/>
      </c>
      <c r="C120">
        <f>'1 prepared data'!B113</f>
        <v/>
      </c>
      <c r="D120" s="7">
        <f>'1 prepared data'!C113</f>
        <v/>
      </c>
      <c r="E120" s="7">
        <f>'1 prepared data'!D113</f>
        <v/>
      </c>
      <c r="F120" s="7">
        <f>'1 prepared data'!E113</f>
        <v/>
      </c>
      <c r="G120" s="7">
        <f>'1 prepared data'!F113</f>
        <v/>
      </c>
      <c r="H120" s="7">
        <f>'1 prepared data'!G113</f>
        <v/>
      </c>
      <c r="I120" s="7">
        <f>'1 prepared data'!H113</f>
        <v/>
      </c>
      <c r="J120" s="7">
        <f>'1 prepared data'!I113</f>
        <v/>
      </c>
      <c r="K120" s="7">
        <f>'1 prepared data'!J113</f>
        <v/>
      </c>
      <c r="L120" s="7">
        <f>'1 prepared data'!K113</f>
        <v/>
      </c>
      <c r="M120" s="7">
        <f>'1 prepared data'!L113</f>
        <v/>
      </c>
      <c r="N120" s="7">
        <f>'1 prepared data'!M113</f>
        <v/>
      </c>
      <c r="O120" s="7">
        <f>'1 prepared data'!N113</f>
        <v/>
      </c>
      <c r="P120" s="7">
        <f>'1 prepared data'!O113</f>
        <v/>
      </c>
      <c r="Q120" s="7">
        <f>'1 prepared data'!P113</f>
        <v/>
      </c>
      <c r="R120" s="7">
        <f>'1 prepared data'!Q113</f>
        <v/>
      </c>
      <c r="S120" s="7">
        <f>'1 prepared data'!R113</f>
        <v/>
      </c>
      <c r="T120" s="7">
        <f>'1 prepared data'!S113</f>
        <v/>
      </c>
      <c r="U120" s="7">
        <f>'1 prepared data'!T113</f>
        <v/>
      </c>
      <c r="V120" s="8">
        <f>$AC$12+D120*$AC$13+E120*$AC$14+F120*$AC$15+G120*$AC$16+H120*$AC$17+I120*$AC$18+J120*$AC$19+K120*$AC$20+L120*$AC$21+M120*$AC$22+N120*$AC$23+O120*$AC$24+P120*$AC$25+Q120*$AC$26+R120*$AC$27+S120*$AC$28+T120*$AC$29+U120*$AC$30</f>
        <v/>
      </c>
      <c r="W120" s="8">
        <f>1/(1+EXP(-V120))</f>
        <v/>
      </c>
      <c r="X120" s="9">
        <f>-IF(C120=1,LN(W120),LN(1-W120))</f>
        <v/>
      </c>
      <c r="Y120" s="10">
        <f>IF(W120&gt;$AC$33,1,0)</f>
        <v/>
      </c>
      <c r="Z120">
        <f>IF(Y120=C120,1,0)</f>
        <v/>
      </c>
    </row>
    <row r="121">
      <c r="A121">
        <f>'1 prepared data'!A114</f>
        <v/>
      </c>
      <c r="B121" s="5">
        <f>'1 prepared data'!U114</f>
        <v/>
      </c>
      <c r="C121">
        <f>'1 prepared data'!B114</f>
        <v/>
      </c>
      <c r="D121" s="7">
        <f>'1 prepared data'!C114</f>
        <v/>
      </c>
      <c r="E121" s="7">
        <f>'1 prepared data'!D114</f>
        <v/>
      </c>
      <c r="F121" s="7">
        <f>'1 prepared data'!E114</f>
        <v/>
      </c>
      <c r="G121" s="7">
        <f>'1 prepared data'!F114</f>
        <v/>
      </c>
      <c r="H121" s="7">
        <f>'1 prepared data'!G114</f>
        <v/>
      </c>
      <c r="I121" s="7">
        <f>'1 prepared data'!H114</f>
        <v/>
      </c>
      <c r="J121" s="7">
        <f>'1 prepared data'!I114</f>
        <v/>
      </c>
      <c r="K121" s="7">
        <f>'1 prepared data'!J114</f>
        <v/>
      </c>
      <c r="L121" s="7">
        <f>'1 prepared data'!K114</f>
        <v/>
      </c>
      <c r="M121" s="7">
        <f>'1 prepared data'!L114</f>
        <v/>
      </c>
      <c r="N121" s="7">
        <f>'1 prepared data'!M114</f>
        <v/>
      </c>
      <c r="O121" s="7">
        <f>'1 prepared data'!N114</f>
        <v/>
      </c>
      <c r="P121" s="7">
        <f>'1 prepared data'!O114</f>
        <v/>
      </c>
      <c r="Q121" s="7">
        <f>'1 prepared data'!P114</f>
        <v/>
      </c>
      <c r="R121" s="7">
        <f>'1 prepared data'!Q114</f>
        <v/>
      </c>
      <c r="S121" s="7">
        <f>'1 prepared data'!R114</f>
        <v/>
      </c>
      <c r="T121" s="7">
        <f>'1 prepared data'!S114</f>
        <v/>
      </c>
      <c r="U121" s="7">
        <f>'1 prepared data'!T114</f>
        <v/>
      </c>
      <c r="V121" s="8">
        <f>$AC$12+D121*$AC$13+E121*$AC$14+F121*$AC$15+G121*$AC$16+H121*$AC$17+I121*$AC$18+J121*$AC$19+K121*$AC$20+L121*$AC$21+M121*$AC$22+N121*$AC$23+O121*$AC$24+P121*$AC$25+Q121*$AC$26+R121*$AC$27+S121*$AC$28+T121*$AC$29+U121*$AC$30</f>
        <v/>
      </c>
      <c r="W121" s="8">
        <f>1/(1+EXP(-V121))</f>
        <v/>
      </c>
      <c r="X121" s="9">
        <f>-IF(C121=1,LN(W121),LN(1-W121))</f>
        <v/>
      </c>
      <c r="Y121" s="10">
        <f>IF(W121&gt;$AC$33,1,0)</f>
        <v/>
      </c>
      <c r="Z121">
        <f>IF(Y121=C121,1,0)</f>
        <v/>
      </c>
    </row>
    <row r="122">
      <c r="A122">
        <f>'1 prepared data'!A115</f>
        <v/>
      </c>
      <c r="B122" s="5">
        <f>'1 prepared data'!U115</f>
        <v/>
      </c>
      <c r="C122">
        <f>'1 prepared data'!B115</f>
        <v/>
      </c>
      <c r="D122" s="7">
        <f>'1 prepared data'!C115</f>
        <v/>
      </c>
      <c r="E122" s="7">
        <f>'1 prepared data'!D115</f>
        <v/>
      </c>
      <c r="F122" s="7">
        <f>'1 prepared data'!E115</f>
        <v/>
      </c>
      <c r="G122" s="7">
        <f>'1 prepared data'!F115</f>
        <v/>
      </c>
      <c r="H122" s="7">
        <f>'1 prepared data'!G115</f>
        <v/>
      </c>
      <c r="I122" s="7">
        <f>'1 prepared data'!H115</f>
        <v/>
      </c>
      <c r="J122" s="7">
        <f>'1 prepared data'!I115</f>
        <v/>
      </c>
      <c r="K122" s="7">
        <f>'1 prepared data'!J115</f>
        <v/>
      </c>
      <c r="L122" s="7">
        <f>'1 prepared data'!K115</f>
        <v/>
      </c>
      <c r="M122" s="7">
        <f>'1 prepared data'!L115</f>
        <v/>
      </c>
      <c r="N122" s="7">
        <f>'1 prepared data'!M115</f>
        <v/>
      </c>
      <c r="O122" s="7">
        <f>'1 prepared data'!N115</f>
        <v/>
      </c>
      <c r="P122" s="7">
        <f>'1 prepared data'!O115</f>
        <v/>
      </c>
      <c r="Q122" s="7">
        <f>'1 prepared data'!P115</f>
        <v/>
      </c>
      <c r="R122" s="7">
        <f>'1 prepared data'!Q115</f>
        <v/>
      </c>
      <c r="S122" s="7">
        <f>'1 prepared data'!R115</f>
        <v/>
      </c>
      <c r="T122" s="7">
        <f>'1 prepared data'!S115</f>
        <v/>
      </c>
      <c r="U122" s="7">
        <f>'1 prepared data'!T115</f>
        <v/>
      </c>
      <c r="V122" s="8">
        <f>$AC$12+D122*$AC$13+E122*$AC$14+F122*$AC$15+G122*$AC$16+H122*$AC$17+I122*$AC$18+J122*$AC$19+K122*$AC$20+L122*$AC$21+M122*$AC$22+N122*$AC$23+O122*$AC$24+P122*$AC$25+Q122*$AC$26+R122*$AC$27+S122*$AC$28+T122*$AC$29+U122*$AC$30</f>
        <v/>
      </c>
      <c r="W122" s="8">
        <f>1/(1+EXP(-V122))</f>
        <v/>
      </c>
      <c r="X122" s="9">
        <f>-IF(C122=1,LN(W122),LN(1-W122))</f>
        <v/>
      </c>
      <c r="Y122" s="10">
        <f>IF(W122&gt;$AC$33,1,0)</f>
        <v/>
      </c>
      <c r="Z122">
        <f>IF(Y122=C122,1,0)</f>
        <v/>
      </c>
    </row>
    <row r="123">
      <c r="A123">
        <f>'1 prepared data'!A116</f>
        <v/>
      </c>
      <c r="B123" s="5">
        <f>'1 prepared data'!U116</f>
        <v/>
      </c>
      <c r="C123">
        <f>'1 prepared data'!B116</f>
        <v/>
      </c>
      <c r="D123" s="7">
        <f>'1 prepared data'!C116</f>
        <v/>
      </c>
      <c r="E123" s="7">
        <f>'1 prepared data'!D116</f>
        <v/>
      </c>
      <c r="F123" s="7">
        <f>'1 prepared data'!E116</f>
        <v/>
      </c>
      <c r="G123" s="7">
        <f>'1 prepared data'!F116</f>
        <v/>
      </c>
      <c r="H123" s="7">
        <f>'1 prepared data'!G116</f>
        <v/>
      </c>
      <c r="I123" s="7">
        <f>'1 prepared data'!H116</f>
        <v/>
      </c>
      <c r="J123" s="7">
        <f>'1 prepared data'!I116</f>
        <v/>
      </c>
      <c r="K123" s="7">
        <f>'1 prepared data'!J116</f>
        <v/>
      </c>
      <c r="L123" s="7">
        <f>'1 prepared data'!K116</f>
        <v/>
      </c>
      <c r="M123" s="7">
        <f>'1 prepared data'!L116</f>
        <v/>
      </c>
      <c r="N123" s="7">
        <f>'1 prepared data'!M116</f>
        <v/>
      </c>
      <c r="O123" s="7">
        <f>'1 prepared data'!N116</f>
        <v/>
      </c>
      <c r="P123" s="7">
        <f>'1 prepared data'!O116</f>
        <v/>
      </c>
      <c r="Q123" s="7">
        <f>'1 prepared data'!P116</f>
        <v/>
      </c>
      <c r="R123" s="7">
        <f>'1 prepared data'!Q116</f>
        <v/>
      </c>
      <c r="S123" s="7">
        <f>'1 prepared data'!R116</f>
        <v/>
      </c>
      <c r="T123" s="7">
        <f>'1 prepared data'!S116</f>
        <v/>
      </c>
      <c r="U123" s="7">
        <f>'1 prepared data'!T116</f>
        <v/>
      </c>
      <c r="V123" s="8">
        <f>$AC$12+D123*$AC$13+E123*$AC$14+F123*$AC$15+G123*$AC$16+H123*$AC$17+I123*$AC$18+J123*$AC$19+K123*$AC$20+L123*$AC$21+M123*$AC$22+N123*$AC$23+O123*$AC$24+P123*$AC$25+Q123*$AC$26+R123*$AC$27+S123*$AC$28+T123*$AC$29+U123*$AC$30</f>
        <v/>
      </c>
      <c r="W123" s="8">
        <f>1/(1+EXP(-V123))</f>
        <v/>
      </c>
      <c r="X123" s="9">
        <f>-IF(C123=1,LN(W123),LN(1-W123))</f>
        <v/>
      </c>
      <c r="Y123" s="10">
        <f>IF(W123&gt;$AC$33,1,0)</f>
        <v/>
      </c>
      <c r="Z123">
        <f>IF(Y123=C123,1,0)</f>
        <v/>
      </c>
    </row>
    <row r="124">
      <c r="A124">
        <f>'1 prepared data'!A117</f>
        <v/>
      </c>
      <c r="B124" s="5">
        <f>'1 prepared data'!U117</f>
        <v/>
      </c>
      <c r="C124">
        <f>'1 prepared data'!B117</f>
        <v/>
      </c>
      <c r="D124" s="7">
        <f>'1 prepared data'!C117</f>
        <v/>
      </c>
      <c r="E124" s="7">
        <f>'1 prepared data'!D117</f>
        <v/>
      </c>
      <c r="F124" s="7">
        <f>'1 prepared data'!E117</f>
        <v/>
      </c>
      <c r="G124" s="7">
        <f>'1 prepared data'!F117</f>
        <v/>
      </c>
      <c r="H124" s="7">
        <f>'1 prepared data'!G117</f>
        <v/>
      </c>
      <c r="I124" s="7">
        <f>'1 prepared data'!H117</f>
        <v/>
      </c>
      <c r="J124" s="7">
        <f>'1 prepared data'!I117</f>
        <v/>
      </c>
      <c r="K124" s="7">
        <f>'1 prepared data'!J117</f>
        <v/>
      </c>
      <c r="L124" s="7">
        <f>'1 prepared data'!K117</f>
        <v/>
      </c>
      <c r="M124" s="7">
        <f>'1 prepared data'!L117</f>
        <v/>
      </c>
      <c r="N124" s="7">
        <f>'1 prepared data'!M117</f>
        <v/>
      </c>
      <c r="O124" s="7">
        <f>'1 prepared data'!N117</f>
        <v/>
      </c>
      <c r="P124" s="7">
        <f>'1 prepared data'!O117</f>
        <v/>
      </c>
      <c r="Q124" s="7">
        <f>'1 prepared data'!P117</f>
        <v/>
      </c>
      <c r="R124" s="7">
        <f>'1 prepared data'!Q117</f>
        <v/>
      </c>
      <c r="S124" s="7">
        <f>'1 prepared data'!R117</f>
        <v/>
      </c>
      <c r="T124" s="7">
        <f>'1 prepared data'!S117</f>
        <v/>
      </c>
      <c r="U124" s="7">
        <f>'1 prepared data'!T117</f>
        <v/>
      </c>
      <c r="V124" s="8">
        <f>$AC$12+D124*$AC$13+E124*$AC$14+F124*$AC$15+G124*$AC$16+H124*$AC$17+I124*$AC$18+J124*$AC$19+K124*$AC$20+L124*$AC$21+M124*$AC$22+N124*$AC$23+O124*$AC$24+P124*$AC$25+Q124*$AC$26+R124*$AC$27+S124*$AC$28+T124*$AC$29+U124*$AC$30</f>
        <v/>
      </c>
      <c r="W124" s="8">
        <f>1/(1+EXP(-V124))</f>
        <v/>
      </c>
      <c r="X124" s="9">
        <f>-IF(C124=1,LN(W124),LN(1-W124))</f>
        <v/>
      </c>
      <c r="Y124" s="10">
        <f>IF(W124&gt;$AC$33,1,0)</f>
        <v/>
      </c>
      <c r="Z124">
        <f>IF(Y124=C124,1,0)</f>
        <v/>
      </c>
    </row>
    <row r="125">
      <c r="A125">
        <f>'1 prepared data'!A118</f>
        <v/>
      </c>
      <c r="B125" s="5">
        <f>'1 prepared data'!U118</f>
        <v/>
      </c>
      <c r="C125">
        <f>'1 prepared data'!B118</f>
        <v/>
      </c>
      <c r="D125" s="7">
        <f>'1 prepared data'!C118</f>
        <v/>
      </c>
      <c r="E125" s="7">
        <f>'1 prepared data'!D118</f>
        <v/>
      </c>
      <c r="F125" s="7">
        <f>'1 prepared data'!E118</f>
        <v/>
      </c>
      <c r="G125" s="7">
        <f>'1 prepared data'!F118</f>
        <v/>
      </c>
      <c r="H125" s="7">
        <f>'1 prepared data'!G118</f>
        <v/>
      </c>
      <c r="I125" s="7">
        <f>'1 prepared data'!H118</f>
        <v/>
      </c>
      <c r="J125" s="7">
        <f>'1 prepared data'!I118</f>
        <v/>
      </c>
      <c r="K125" s="7">
        <f>'1 prepared data'!J118</f>
        <v/>
      </c>
      <c r="L125" s="7">
        <f>'1 prepared data'!K118</f>
        <v/>
      </c>
      <c r="M125" s="7">
        <f>'1 prepared data'!L118</f>
        <v/>
      </c>
      <c r="N125" s="7">
        <f>'1 prepared data'!M118</f>
        <v/>
      </c>
      <c r="O125" s="7">
        <f>'1 prepared data'!N118</f>
        <v/>
      </c>
      <c r="P125" s="7">
        <f>'1 prepared data'!O118</f>
        <v/>
      </c>
      <c r="Q125" s="7">
        <f>'1 prepared data'!P118</f>
        <v/>
      </c>
      <c r="R125" s="7">
        <f>'1 prepared data'!Q118</f>
        <v/>
      </c>
      <c r="S125" s="7">
        <f>'1 prepared data'!R118</f>
        <v/>
      </c>
      <c r="T125" s="7">
        <f>'1 prepared data'!S118</f>
        <v/>
      </c>
      <c r="U125" s="7">
        <f>'1 prepared data'!T118</f>
        <v/>
      </c>
      <c r="V125" s="8">
        <f>$AC$12+D125*$AC$13+E125*$AC$14+F125*$AC$15+G125*$AC$16+H125*$AC$17+I125*$AC$18+J125*$AC$19+K125*$AC$20+L125*$AC$21+M125*$AC$22+N125*$AC$23+O125*$AC$24+P125*$AC$25+Q125*$AC$26+R125*$AC$27+S125*$AC$28+T125*$AC$29+U125*$AC$30</f>
        <v/>
      </c>
      <c r="W125" s="8">
        <f>1/(1+EXP(-V125))</f>
        <v/>
      </c>
      <c r="X125" s="9">
        <f>-IF(C125=1,LN(W125),LN(1-W125))</f>
        <v/>
      </c>
      <c r="Y125" s="10">
        <f>IF(W125&gt;$AC$33,1,0)</f>
        <v/>
      </c>
      <c r="Z125">
        <f>IF(Y125=C125,1,0)</f>
        <v/>
      </c>
    </row>
    <row r="126">
      <c r="A126">
        <f>'1 prepared data'!A119</f>
        <v/>
      </c>
      <c r="B126" s="5">
        <f>'1 prepared data'!U119</f>
        <v/>
      </c>
      <c r="C126">
        <f>'1 prepared data'!B119</f>
        <v/>
      </c>
      <c r="D126" s="7">
        <f>'1 prepared data'!C119</f>
        <v/>
      </c>
      <c r="E126" s="7">
        <f>'1 prepared data'!D119</f>
        <v/>
      </c>
      <c r="F126" s="7">
        <f>'1 prepared data'!E119</f>
        <v/>
      </c>
      <c r="G126" s="7">
        <f>'1 prepared data'!F119</f>
        <v/>
      </c>
      <c r="H126" s="7">
        <f>'1 prepared data'!G119</f>
        <v/>
      </c>
      <c r="I126" s="7">
        <f>'1 prepared data'!H119</f>
        <v/>
      </c>
      <c r="J126" s="7">
        <f>'1 prepared data'!I119</f>
        <v/>
      </c>
      <c r="K126" s="7">
        <f>'1 prepared data'!J119</f>
        <v/>
      </c>
      <c r="L126" s="7">
        <f>'1 prepared data'!K119</f>
        <v/>
      </c>
      <c r="M126" s="7">
        <f>'1 prepared data'!L119</f>
        <v/>
      </c>
      <c r="N126" s="7">
        <f>'1 prepared data'!M119</f>
        <v/>
      </c>
      <c r="O126" s="7">
        <f>'1 prepared data'!N119</f>
        <v/>
      </c>
      <c r="P126" s="7">
        <f>'1 prepared data'!O119</f>
        <v/>
      </c>
      <c r="Q126" s="7">
        <f>'1 prepared data'!P119</f>
        <v/>
      </c>
      <c r="R126" s="7">
        <f>'1 prepared data'!Q119</f>
        <v/>
      </c>
      <c r="S126" s="7">
        <f>'1 prepared data'!R119</f>
        <v/>
      </c>
      <c r="T126" s="7">
        <f>'1 prepared data'!S119</f>
        <v/>
      </c>
      <c r="U126" s="7">
        <f>'1 prepared data'!T119</f>
        <v/>
      </c>
      <c r="V126" s="8">
        <f>$AC$12+D126*$AC$13+E126*$AC$14+F126*$AC$15+G126*$AC$16+H126*$AC$17+I126*$AC$18+J126*$AC$19+K126*$AC$20+L126*$AC$21+M126*$AC$22+N126*$AC$23+O126*$AC$24+P126*$AC$25+Q126*$AC$26+R126*$AC$27+S126*$AC$28+T126*$AC$29+U126*$AC$30</f>
        <v/>
      </c>
      <c r="W126" s="8">
        <f>1/(1+EXP(-V126))</f>
        <v/>
      </c>
      <c r="X126" s="9">
        <f>-IF(C126=1,LN(W126),LN(1-W126))</f>
        <v/>
      </c>
      <c r="Y126" s="10">
        <f>IF(W126&gt;$AC$33,1,0)</f>
        <v/>
      </c>
      <c r="Z126">
        <f>IF(Y126=C126,1,0)</f>
        <v/>
      </c>
    </row>
    <row r="127">
      <c r="A127">
        <f>'1 prepared data'!A120</f>
        <v/>
      </c>
      <c r="B127" s="5">
        <f>'1 prepared data'!U120</f>
        <v/>
      </c>
      <c r="C127">
        <f>'1 prepared data'!B120</f>
        <v/>
      </c>
      <c r="D127" s="7">
        <f>'1 prepared data'!C120</f>
        <v/>
      </c>
      <c r="E127" s="7">
        <f>'1 prepared data'!D120</f>
        <v/>
      </c>
      <c r="F127" s="7">
        <f>'1 prepared data'!E120</f>
        <v/>
      </c>
      <c r="G127" s="7">
        <f>'1 prepared data'!F120</f>
        <v/>
      </c>
      <c r="H127" s="7">
        <f>'1 prepared data'!G120</f>
        <v/>
      </c>
      <c r="I127" s="7">
        <f>'1 prepared data'!H120</f>
        <v/>
      </c>
      <c r="J127" s="7">
        <f>'1 prepared data'!I120</f>
        <v/>
      </c>
      <c r="K127" s="7">
        <f>'1 prepared data'!J120</f>
        <v/>
      </c>
      <c r="L127" s="7">
        <f>'1 prepared data'!K120</f>
        <v/>
      </c>
      <c r="M127" s="7">
        <f>'1 prepared data'!L120</f>
        <v/>
      </c>
      <c r="N127" s="7">
        <f>'1 prepared data'!M120</f>
        <v/>
      </c>
      <c r="O127" s="7">
        <f>'1 prepared data'!N120</f>
        <v/>
      </c>
      <c r="P127" s="7">
        <f>'1 prepared data'!O120</f>
        <v/>
      </c>
      <c r="Q127" s="7">
        <f>'1 prepared data'!P120</f>
        <v/>
      </c>
      <c r="R127" s="7">
        <f>'1 prepared data'!Q120</f>
        <v/>
      </c>
      <c r="S127" s="7">
        <f>'1 prepared data'!R120</f>
        <v/>
      </c>
      <c r="T127" s="7">
        <f>'1 prepared data'!S120</f>
        <v/>
      </c>
      <c r="U127" s="7">
        <f>'1 prepared data'!T120</f>
        <v/>
      </c>
      <c r="V127" s="8">
        <f>$AC$12+D127*$AC$13+E127*$AC$14+F127*$AC$15+G127*$AC$16+H127*$AC$17+I127*$AC$18+J127*$AC$19+K127*$AC$20+L127*$AC$21+M127*$AC$22+N127*$AC$23+O127*$AC$24+P127*$AC$25+Q127*$AC$26+R127*$AC$27+S127*$AC$28+T127*$AC$29+U127*$AC$30</f>
        <v/>
      </c>
      <c r="W127" s="8">
        <f>1/(1+EXP(-V127))</f>
        <v/>
      </c>
      <c r="X127" s="9">
        <f>-IF(C127=1,LN(W127),LN(1-W127))</f>
        <v/>
      </c>
      <c r="Y127" s="10">
        <f>IF(W127&gt;$AC$33,1,0)</f>
        <v/>
      </c>
      <c r="Z127">
        <f>IF(Y127=C127,1,0)</f>
        <v/>
      </c>
    </row>
    <row r="128">
      <c r="A128">
        <f>'1 prepared data'!A121</f>
        <v/>
      </c>
      <c r="B128" s="5">
        <f>'1 prepared data'!U121</f>
        <v/>
      </c>
      <c r="C128">
        <f>'1 prepared data'!B121</f>
        <v/>
      </c>
      <c r="D128" s="7">
        <f>'1 prepared data'!C121</f>
        <v/>
      </c>
      <c r="E128" s="7">
        <f>'1 prepared data'!D121</f>
        <v/>
      </c>
      <c r="F128" s="7">
        <f>'1 prepared data'!E121</f>
        <v/>
      </c>
      <c r="G128" s="7">
        <f>'1 prepared data'!F121</f>
        <v/>
      </c>
      <c r="H128" s="7">
        <f>'1 prepared data'!G121</f>
        <v/>
      </c>
      <c r="I128" s="7">
        <f>'1 prepared data'!H121</f>
        <v/>
      </c>
      <c r="J128" s="7">
        <f>'1 prepared data'!I121</f>
        <v/>
      </c>
      <c r="K128" s="7">
        <f>'1 prepared data'!J121</f>
        <v/>
      </c>
      <c r="L128" s="7">
        <f>'1 prepared data'!K121</f>
        <v/>
      </c>
      <c r="M128" s="7">
        <f>'1 prepared data'!L121</f>
        <v/>
      </c>
      <c r="N128" s="7">
        <f>'1 prepared data'!M121</f>
        <v/>
      </c>
      <c r="O128" s="7">
        <f>'1 prepared data'!N121</f>
        <v/>
      </c>
      <c r="P128" s="7">
        <f>'1 prepared data'!O121</f>
        <v/>
      </c>
      <c r="Q128" s="7">
        <f>'1 prepared data'!P121</f>
        <v/>
      </c>
      <c r="R128" s="7">
        <f>'1 prepared data'!Q121</f>
        <v/>
      </c>
      <c r="S128" s="7">
        <f>'1 prepared data'!R121</f>
        <v/>
      </c>
      <c r="T128" s="7">
        <f>'1 prepared data'!S121</f>
        <v/>
      </c>
      <c r="U128" s="7">
        <f>'1 prepared data'!T121</f>
        <v/>
      </c>
      <c r="V128" s="8">
        <f>$AC$12+D128*$AC$13+E128*$AC$14+F128*$AC$15+G128*$AC$16+H128*$AC$17+I128*$AC$18+J128*$AC$19+K128*$AC$20+L128*$AC$21+M128*$AC$22+N128*$AC$23+O128*$AC$24+P128*$AC$25+Q128*$AC$26+R128*$AC$27+S128*$AC$28+T128*$AC$29+U128*$AC$30</f>
        <v/>
      </c>
      <c r="W128" s="8">
        <f>1/(1+EXP(-V128))</f>
        <v/>
      </c>
      <c r="X128" s="9">
        <f>-IF(C128=1,LN(W128),LN(1-W128))</f>
        <v/>
      </c>
      <c r="Y128" s="10">
        <f>IF(W128&gt;$AC$33,1,0)</f>
        <v/>
      </c>
      <c r="Z128">
        <f>IF(Y128=C128,1,0)</f>
        <v/>
      </c>
    </row>
    <row r="129">
      <c r="A129">
        <f>'1 prepared data'!A122</f>
        <v/>
      </c>
      <c r="B129" s="5">
        <f>'1 prepared data'!U122</f>
        <v/>
      </c>
      <c r="C129">
        <f>'1 prepared data'!B122</f>
        <v/>
      </c>
      <c r="D129" s="7">
        <f>'1 prepared data'!C122</f>
        <v/>
      </c>
      <c r="E129" s="7">
        <f>'1 prepared data'!D122</f>
        <v/>
      </c>
      <c r="F129" s="7">
        <f>'1 prepared data'!E122</f>
        <v/>
      </c>
      <c r="G129" s="7">
        <f>'1 prepared data'!F122</f>
        <v/>
      </c>
      <c r="H129" s="7">
        <f>'1 prepared data'!G122</f>
        <v/>
      </c>
      <c r="I129" s="7">
        <f>'1 prepared data'!H122</f>
        <v/>
      </c>
      <c r="J129" s="7">
        <f>'1 prepared data'!I122</f>
        <v/>
      </c>
      <c r="K129" s="7">
        <f>'1 prepared data'!J122</f>
        <v/>
      </c>
      <c r="L129" s="7">
        <f>'1 prepared data'!K122</f>
        <v/>
      </c>
      <c r="M129" s="7">
        <f>'1 prepared data'!L122</f>
        <v/>
      </c>
      <c r="N129" s="7">
        <f>'1 prepared data'!M122</f>
        <v/>
      </c>
      <c r="O129" s="7">
        <f>'1 prepared data'!N122</f>
        <v/>
      </c>
      <c r="P129" s="7">
        <f>'1 prepared data'!O122</f>
        <v/>
      </c>
      <c r="Q129" s="7">
        <f>'1 prepared data'!P122</f>
        <v/>
      </c>
      <c r="R129" s="7">
        <f>'1 prepared data'!Q122</f>
        <v/>
      </c>
      <c r="S129" s="7">
        <f>'1 prepared data'!R122</f>
        <v/>
      </c>
      <c r="T129" s="7">
        <f>'1 prepared data'!S122</f>
        <v/>
      </c>
      <c r="U129" s="7">
        <f>'1 prepared data'!T122</f>
        <v/>
      </c>
      <c r="V129" s="8">
        <f>$AC$12+D129*$AC$13+E129*$AC$14+F129*$AC$15+G129*$AC$16+H129*$AC$17+I129*$AC$18+J129*$AC$19+K129*$AC$20+L129*$AC$21+M129*$AC$22+N129*$AC$23+O129*$AC$24+P129*$AC$25+Q129*$AC$26+R129*$AC$27+S129*$AC$28+T129*$AC$29+U129*$AC$30</f>
        <v/>
      </c>
      <c r="W129" s="8">
        <f>1/(1+EXP(-V129))</f>
        <v/>
      </c>
      <c r="X129" s="9">
        <f>-IF(C129=1,LN(W129),LN(1-W129))</f>
        <v/>
      </c>
      <c r="Y129" s="10">
        <f>IF(W129&gt;$AC$33,1,0)</f>
        <v/>
      </c>
      <c r="Z129">
        <f>IF(Y129=C129,1,0)</f>
        <v/>
      </c>
    </row>
    <row r="130">
      <c r="A130">
        <f>'1 prepared data'!A123</f>
        <v/>
      </c>
      <c r="B130" s="5">
        <f>'1 prepared data'!U123</f>
        <v/>
      </c>
      <c r="C130">
        <f>'1 prepared data'!B123</f>
        <v/>
      </c>
      <c r="D130" s="7">
        <f>'1 prepared data'!C123</f>
        <v/>
      </c>
      <c r="E130" s="7">
        <f>'1 prepared data'!D123</f>
        <v/>
      </c>
      <c r="F130" s="7">
        <f>'1 prepared data'!E123</f>
        <v/>
      </c>
      <c r="G130" s="7">
        <f>'1 prepared data'!F123</f>
        <v/>
      </c>
      <c r="H130" s="7">
        <f>'1 prepared data'!G123</f>
        <v/>
      </c>
      <c r="I130" s="7">
        <f>'1 prepared data'!H123</f>
        <v/>
      </c>
      <c r="J130" s="7">
        <f>'1 prepared data'!I123</f>
        <v/>
      </c>
      <c r="K130" s="7">
        <f>'1 prepared data'!J123</f>
        <v/>
      </c>
      <c r="L130" s="7">
        <f>'1 prepared data'!K123</f>
        <v/>
      </c>
      <c r="M130" s="7">
        <f>'1 prepared data'!L123</f>
        <v/>
      </c>
      <c r="N130" s="7">
        <f>'1 prepared data'!M123</f>
        <v/>
      </c>
      <c r="O130" s="7">
        <f>'1 prepared data'!N123</f>
        <v/>
      </c>
      <c r="P130" s="7">
        <f>'1 prepared data'!O123</f>
        <v/>
      </c>
      <c r="Q130" s="7">
        <f>'1 prepared data'!P123</f>
        <v/>
      </c>
      <c r="R130" s="7">
        <f>'1 prepared data'!Q123</f>
        <v/>
      </c>
      <c r="S130" s="7">
        <f>'1 prepared data'!R123</f>
        <v/>
      </c>
      <c r="T130" s="7">
        <f>'1 prepared data'!S123</f>
        <v/>
      </c>
      <c r="U130" s="7">
        <f>'1 prepared data'!T123</f>
        <v/>
      </c>
      <c r="V130" s="8">
        <f>$AC$12+D130*$AC$13+E130*$AC$14+F130*$AC$15+G130*$AC$16+H130*$AC$17+I130*$AC$18+J130*$AC$19+K130*$AC$20+L130*$AC$21+M130*$AC$22+N130*$AC$23+O130*$AC$24+P130*$AC$25+Q130*$AC$26+R130*$AC$27+S130*$AC$28+T130*$AC$29+U130*$AC$30</f>
        <v/>
      </c>
      <c r="W130" s="8">
        <f>1/(1+EXP(-V130))</f>
        <v/>
      </c>
      <c r="X130" s="9">
        <f>-IF(C130=1,LN(W130),LN(1-W130))</f>
        <v/>
      </c>
      <c r="Y130" s="10">
        <f>IF(W130&gt;$AC$33,1,0)</f>
        <v/>
      </c>
      <c r="Z130">
        <f>IF(Y130=C130,1,0)</f>
        <v/>
      </c>
    </row>
    <row r="131">
      <c r="A131">
        <f>'1 prepared data'!A124</f>
        <v/>
      </c>
      <c r="B131" s="5">
        <f>'1 prepared data'!U124</f>
        <v/>
      </c>
      <c r="C131">
        <f>'1 prepared data'!B124</f>
        <v/>
      </c>
      <c r="D131" s="7">
        <f>'1 prepared data'!C124</f>
        <v/>
      </c>
      <c r="E131" s="7">
        <f>'1 prepared data'!D124</f>
        <v/>
      </c>
      <c r="F131" s="7">
        <f>'1 prepared data'!E124</f>
        <v/>
      </c>
      <c r="G131" s="7">
        <f>'1 prepared data'!F124</f>
        <v/>
      </c>
      <c r="H131" s="7">
        <f>'1 prepared data'!G124</f>
        <v/>
      </c>
      <c r="I131" s="7">
        <f>'1 prepared data'!H124</f>
        <v/>
      </c>
      <c r="J131" s="7">
        <f>'1 prepared data'!I124</f>
        <v/>
      </c>
      <c r="K131" s="7">
        <f>'1 prepared data'!J124</f>
        <v/>
      </c>
      <c r="L131" s="7">
        <f>'1 prepared data'!K124</f>
        <v/>
      </c>
      <c r="M131" s="7">
        <f>'1 prepared data'!L124</f>
        <v/>
      </c>
      <c r="N131" s="7">
        <f>'1 prepared data'!M124</f>
        <v/>
      </c>
      <c r="O131" s="7">
        <f>'1 prepared data'!N124</f>
        <v/>
      </c>
      <c r="P131" s="7">
        <f>'1 prepared data'!O124</f>
        <v/>
      </c>
      <c r="Q131" s="7">
        <f>'1 prepared data'!P124</f>
        <v/>
      </c>
      <c r="R131" s="7">
        <f>'1 prepared data'!Q124</f>
        <v/>
      </c>
      <c r="S131" s="7">
        <f>'1 prepared data'!R124</f>
        <v/>
      </c>
      <c r="T131" s="7">
        <f>'1 prepared data'!S124</f>
        <v/>
      </c>
      <c r="U131" s="7">
        <f>'1 prepared data'!T124</f>
        <v/>
      </c>
      <c r="V131" s="8">
        <f>$AC$12+D131*$AC$13+E131*$AC$14+F131*$AC$15+G131*$AC$16+H131*$AC$17+I131*$AC$18+J131*$AC$19+K131*$AC$20+L131*$AC$21+M131*$AC$22+N131*$AC$23+O131*$AC$24+P131*$AC$25+Q131*$AC$26+R131*$AC$27+S131*$AC$28+T131*$AC$29+U131*$AC$30</f>
        <v/>
      </c>
      <c r="W131" s="8">
        <f>1/(1+EXP(-V131))</f>
        <v/>
      </c>
      <c r="X131" s="9">
        <f>-IF(C131=1,LN(W131),LN(1-W131))</f>
        <v/>
      </c>
      <c r="Y131" s="10">
        <f>IF(W131&gt;$AC$33,1,0)</f>
        <v/>
      </c>
      <c r="Z131">
        <f>IF(Y131=C131,1,0)</f>
        <v/>
      </c>
    </row>
    <row r="132">
      <c r="A132">
        <f>'1 prepared data'!A125</f>
        <v/>
      </c>
      <c r="B132" s="5">
        <f>'1 prepared data'!U125</f>
        <v/>
      </c>
      <c r="C132">
        <f>'1 prepared data'!B125</f>
        <v/>
      </c>
      <c r="D132" s="7">
        <f>'1 prepared data'!C125</f>
        <v/>
      </c>
      <c r="E132" s="7">
        <f>'1 prepared data'!D125</f>
        <v/>
      </c>
      <c r="F132" s="7">
        <f>'1 prepared data'!E125</f>
        <v/>
      </c>
      <c r="G132" s="7">
        <f>'1 prepared data'!F125</f>
        <v/>
      </c>
      <c r="H132" s="7">
        <f>'1 prepared data'!G125</f>
        <v/>
      </c>
      <c r="I132" s="7">
        <f>'1 prepared data'!H125</f>
        <v/>
      </c>
      <c r="J132" s="7">
        <f>'1 prepared data'!I125</f>
        <v/>
      </c>
      <c r="K132" s="7">
        <f>'1 prepared data'!J125</f>
        <v/>
      </c>
      <c r="L132" s="7">
        <f>'1 prepared data'!K125</f>
        <v/>
      </c>
      <c r="M132" s="7">
        <f>'1 prepared data'!L125</f>
        <v/>
      </c>
      <c r="N132" s="7">
        <f>'1 prepared data'!M125</f>
        <v/>
      </c>
      <c r="O132" s="7">
        <f>'1 prepared data'!N125</f>
        <v/>
      </c>
      <c r="P132" s="7">
        <f>'1 prepared data'!O125</f>
        <v/>
      </c>
      <c r="Q132" s="7">
        <f>'1 prepared data'!P125</f>
        <v/>
      </c>
      <c r="R132" s="7">
        <f>'1 prepared data'!Q125</f>
        <v/>
      </c>
      <c r="S132" s="7">
        <f>'1 prepared data'!R125</f>
        <v/>
      </c>
      <c r="T132" s="7">
        <f>'1 prepared data'!S125</f>
        <v/>
      </c>
      <c r="U132" s="7">
        <f>'1 prepared data'!T125</f>
        <v/>
      </c>
      <c r="V132" s="8">
        <f>$AC$12+D132*$AC$13+E132*$AC$14+F132*$AC$15+G132*$AC$16+H132*$AC$17+I132*$AC$18+J132*$AC$19+K132*$AC$20+L132*$AC$21+M132*$AC$22+N132*$AC$23+O132*$AC$24+P132*$AC$25+Q132*$AC$26+R132*$AC$27+S132*$AC$28+T132*$AC$29+U132*$AC$30</f>
        <v/>
      </c>
      <c r="W132" s="8">
        <f>1/(1+EXP(-V132))</f>
        <v/>
      </c>
      <c r="X132" s="9">
        <f>-IF(C132=1,LN(W132),LN(1-W132))</f>
        <v/>
      </c>
      <c r="Y132" s="10">
        <f>IF(W132&gt;$AC$33,1,0)</f>
        <v/>
      </c>
      <c r="Z132">
        <f>IF(Y132=C132,1,0)</f>
        <v/>
      </c>
    </row>
    <row r="133">
      <c r="A133">
        <f>'1 prepared data'!A126</f>
        <v/>
      </c>
      <c r="B133" s="5">
        <f>'1 prepared data'!U126</f>
        <v/>
      </c>
      <c r="C133">
        <f>'1 prepared data'!B126</f>
        <v/>
      </c>
      <c r="D133" s="7">
        <f>'1 prepared data'!C126</f>
        <v/>
      </c>
      <c r="E133" s="7">
        <f>'1 prepared data'!D126</f>
        <v/>
      </c>
      <c r="F133" s="7">
        <f>'1 prepared data'!E126</f>
        <v/>
      </c>
      <c r="G133" s="7">
        <f>'1 prepared data'!F126</f>
        <v/>
      </c>
      <c r="H133" s="7">
        <f>'1 prepared data'!G126</f>
        <v/>
      </c>
      <c r="I133" s="7">
        <f>'1 prepared data'!H126</f>
        <v/>
      </c>
      <c r="J133" s="7">
        <f>'1 prepared data'!I126</f>
        <v/>
      </c>
      <c r="K133" s="7">
        <f>'1 prepared data'!J126</f>
        <v/>
      </c>
      <c r="L133" s="7">
        <f>'1 prepared data'!K126</f>
        <v/>
      </c>
      <c r="M133" s="7">
        <f>'1 prepared data'!L126</f>
        <v/>
      </c>
      <c r="N133" s="7">
        <f>'1 prepared data'!M126</f>
        <v/>
      </c>
      <c r="O133" s="7">
        <f>'1 prepared data'!N126</f>
        <v/>
      </c>
      <c r="P133" s="7">
        <f>'1 prepared data'!O126</f>
        <v/>
      </c>
      <c r="Q133" s="7">
        <f>'1 prepared data'!P126</f>
        <v/>
      </c>
      <c r="R133" s="7">
        <f>'1 prepared data'!Q126</f>
        <v/>
      </c>
      <c r="S133" s="7">
        <f>'1 prepared data'!R126</f>
        <v/>
      </c>
      <c r="T133" s="7">
        <f>'1 prepared data'!S126</f>
        <v/>
      </c>
      <c r="U133" s="7">
        <f>'1 prepared data'!T126</f>
        <v/>
      </c>
      <c r="V133" s="8">
        <f>$AC$12+D133*$AC$13+E133*$AC$14+F133*$AC$15+G133*$AC$16+H133*$AC$17+I133*$AC$18+J133*$AC$19+K133*$AC$20+L133*$AC$21+M133*$AC$22+N133*$AC$23+O133*$AC$24+P133*$AC$25+Q133*$AC$26+R133*$AC$27+S133*$AC$28+T133*$AC$29+U133*$AC$30</f>
        <v/>
      </c>
      <c r="W133" s="8">
        <f>1/(1+EXP(-V133))</f>
        <v/>
      </c>
      <c r="X133" s="9">
        <f>-IF(C133=1,LN(W133),LN(1-W133))</f>
        <v/>
      </c>
      <c r="Y133" s="10">
        <f>IF(W133&gt;$AC$33,1,0)</f>
        <v/>
      </c>
      <c r="Z133">
        <f>IF(Y133=C133,1,0)</f>
        <v/>
      </c>
    </row>
    <row r="134">
      <c r="A134">
        <f>'1 prepared data'!A127</f>
        <v/>
      </c>
      <c r="B134" s="5">
        <f>'1 prepared data'!U127</f>
        <v/>
      </c>
      <c r="C134">
        <f>'1 prepared data'!B127</f>
        <v/>
      </c>
      <c r="D134" s="7">
        <f>'1 prepared data'!C127</f>
        <v/>
      </c>
      <c r="E134" s="7">
        <f>'1 prepared data'!D127</f>
        <v/>
      </c>
      <c r="F134" s="7">
        <f>'1 prepared data'!E127</f>
        <v/>
      </c>
      <c r="G134" s="7">
        <f>'1 prepared data'!F127</f>
        <v/>
      </c>
      <c r="H134" s="7">
        <f>'1 prepared data'!G127</f>
        <v/>
      </c>
      <c r="I134" s="7">
        <f>'1 prepared data'!H127</f>
        <v/>
      </c>
      <c r="J134" s="7">
        <f>'1 prepared data'!I127</f>
        <v/>
      </c>
      <c r="K134" s="7">
        <f>'1 prepared data'!J127</f>
        <v/>
      </c>
      <c r="L134" s="7">
        <f>'1 prepared data'!K127</f>
        <v/>
      </c>
      <c r="M134" s="7">
        <f>'1 prepared data'!L127</f>
        <v/>
      </c>
      <c r="N134" s="7">
        <f>'1 prepared data'!M127</f>
        <v/>
      </c>
      <c r="O134" s="7">
        <f>'1 prepared data'!N127</f>
        <v/>
      </c>
      <c r="P134" s="7">
        <f>'1 prepared data'!O127</f>
        <v/>
      </c>
      <c r="Q134" s="7">
        <f>'1 prepared data'!P127</f>
        <v/>
      </c>
      <c r="R134" s="7">
        <f>'1 prepared data'!Q127</f>
        <v/>
      </c>
      <c r="S134" s="7">
        <f>'1 prepared data'!R127</f>
        <v/>
      </c>
      <c r="T134" s="7">
        <f>'1 prepared data'!S127</f>
        <v/>
      </c>
      <c r="U134" s="7">
        <f>'1 prepared data'!T127</f>
        <v/>
      </c>
      <c r="V134" s="8">
        <f>$AC$12+D134*$AC$13+E134*$AC$14+F134*$AC$15+G134*$AC$16+H134*$AC$17+I134*$AC$18+J134*$AC$19+K134*$AC$20+L134*$AC$21+M134*$AC$22+N134*$AC$23+O134*$AC$24+P134*$AC$25+Q134*$AC$26+R134*$AC$27+S134*$AC$28+T134*$AC$29+U134*$AC$30</f>
        <v/>
      </c>
      <c r="W134" s="8">
        <f>1/(1+EXP(-V134))</f>
        <v/>
      </c>
      <c r="X134" s="9">
        <f>-IF(C134=1,LN(W134),LN(1-W134))</f>
        <v/>
      </c>
      <c r="Y134" s="10">
        <f>IF(W134&gt;$AC$33,1,0)</f>
        <v/>
      </c>
      <c r="Z134">
        <f>IF(Y134=C134,1,0)</f>
        <v/>
      </c>
    </row>
    <row r="135">
      <c r="A135">
        <f>'1 prepared data'!A128</f>
        <v/>
      </c>
      <c r="B135" s="5">
        <f>'1 prepared data'!U128</f>
        <v/>
      </c>
      <c r="C135">
        <f>'1 prepared data'!B128</f>
        <v/>
      </c>
      <c r="D135" s="7">
        <f>'1 prepared data'!C128</f>
        <v/>
      </c>
      <c r="E135" s="7">
        <f>'1 prepared data'!D128</f>
        <v/>
      </c>
      <c r="F135" s="7">
        <f>'1 prepared data'!E128</f>
        <v/>
      </c>
      <c r="G135" s="7">
        <f>'1 prepared data'!F128</f>
        <v/>
      </c>
      <c r="H135" s="7">
        <f>'1 prepared data'!G128</f>
        <v/>
      </c>
      <c r="I135" s="7">
        <f>'1 prepared data'!H128</f>
        <v/>
      </c>
      <c r="J135" s="7">
        <f>'1 prepared data'!I128</f>
        <v/>
      </c>
      <c r="K135" s="7">
        <f>'1 prepared data'!J128</f>
        <v/>
      </c>
      <c r="L135" s="7">
        <f>'1 prepared data'!K128</f>
        <v/>
      </c>
      <c r="M135" s="7">
        <f>'1 prepared data'!L128</f>
        <v/>
      </c>
      <c r="N135" s="7">
        <f>'1 prepared data'!M128</f>
        <v/>
      </c>
      <c r="O135" s="7">
        <f>'1 prepared data'!N128</f>
        <v/>
      </c>
      <c r="P135" s="7">
        <f>'1 prepared data'!O128</f>
        <v/>
      </c>
      <c r="Q135" s="7">
        <f>'1 prepared data'!P128</f>
        <v/>
      </c>
      <c r="R135" s="7">
        <f>'1 prepared data'!Q128</f>
        <v/>
      </c>
      <c r="S135" s="7">
        <f>'1 prepared data'!R128</f>
        <v/>
      </c>
      <c r="T135" s="7">
        <f>'1 prepared data'!S128</f>
        <v/>
      </c>
      <c r="U135" s="7">
        <f>'1 prepared data'!T128</f>
        <v/>
      </c>
      <c r="V135" s="8">
        <f>$AC$12+D135*$AC$13+E135*$AC$14+F135*$AC$15+G135*$AC$16+H135*$AC$17+I135*$AC$18+J135*$AC$19+K135*$AC$20+L135*$AC$21+M135*$AC$22+N135*$AC$23+O135*$AC$24+P135*$AC$25+Q135*$AC$26+R135*$AC$27+S135*$AC$28+T135*$AC$29+U135*$AC$30</f>
        <v/>
      </c>
      <c r="W135" s="8">
        <f>1/(1+EXP(-V135))</f>
        <v/>
      </c>
      <c r="X135" s="9">
        <f>-IF(C135=1,LN(W135),LN(1-W135))</f>
        <v/>
      </c>
      <c r="Y135" s="10">
        <f>IF(W135&gt;$AC$33,1,0)</f>
        <v/>
      </c>
      <c r="Z135">
        <f>IF(Y135=C135,1,0)</f>
        <v/>
      </c>
    </row>
    <row r="136">
      <c r="A136">
        <f>'1 prepared data'!A129</f>
        <v/>
      </c>
      <c r="B136" s="5">
        <f>'1 prepared data'!U129</f>
        <v/>
      </c>
      <c r="C136">
        <f>'1 prepared data'!B129</f>
        <v/>
      </c>
      <c r="D136" s="7">
        <f>'1 prepared data'!C129</f>
        <v/>
      </c>
      <c r="E136" s="7">
        <f>'1 prepared data'!D129</f>
        <v/>
      </c>
      <c r="F136" s="7">
        <f>'1 prepared data'!E129</f>
        <v/>
      </c>
      <c r="G136" s="7">
        <f>'1 prepared data'!F129</f>
        <v/>
      </c>
      <c r="H136" s="7">
        <f>'1 prepared data'!G129</f>
        <v/>
      </c>
      <c r="I136" s="7">
        <f>'1 prepared data'!H129</f>
        <v/>
      </c>
      <c r="J136" s="7">
        <f>'1 prepared data'!I129</f>
        <v/>
      </c>
      <c r="K136" s="7">
        <f>'1 prepared data'!J129</f>
        <v/>
      </c>
      <c r="L136" s="7">
        <f>'1 prepared data'!K129</f>
        <v/>
      </c>
      <c r="M136" s="7">
        <f>'1 prepared data'!L129</f>
        <v/>
      </c>
      <c r="N136" s="7">
        <f>'1 prepared data'!M129</f>
        <v/>
      </c>
      <c r="O136" s="7">
        <f>'1 prepared data'!N129</f>
        <v/>
      </c>
      <c r="P136" s="7">
        <f>'1 prepared data'!O129</f>
        <v/>
      </c>
      <c r="Q136" s="7">
        <f>'1 prepared data'!P129</f>
        <v/>
      </c>
      <c r="R136" s="7">
        <f>'1 prepared data'!Q129</f>
        <v/>
      </c>
      <c r="S136" s="7">
        <f>'1 prepared data'!R129</f>
        <v/>
      </c>
      <c r="T136" s="7">
        <f>'1 prepared data'!S129</f>
        <v/>
      </c>
      <c r="U136" s="7">
        <f>'1 prepared data'!T129</f>
        <v/>
      </c>
      <c r="V136" s="8">
        <f>$AC$12+D136*$AC$13+E136*$AC$14+F136*$AC$15+G136*$AC$16+H136*$AC$17+I136*$AC$18+J136*$AC$19+K136*$AC$20+L136*$AC$21+M136*$AC$22+N136*$AC$23+O136*$AC$24+P136*$AC$25+Q136*$AC$26+R136*$AC$27+S136*$AC$28+T136*$AC$29+U136*$AC$30</f>
        <v/>
      </c>
      <c r="W136" s="8">
        <f>1/(1+EXP(-V136))</f>
        <v/>
      </c>
      <c r="X136" s="9">
        <f>-IF(C136=1,LN(W136),LN(1-W136))</f>
        <v/>
      </c>
      <c r="Y136" s="10">
        <f>IF(W136&gt;$AC$33,1,0)</f>
        <v/>
      </c>
      <c r="Z136">
        <f>IF(Y136=C136,1,0)</f>
        <v/>
      </c>
    </row>
    <row r="137">
      <c r="A137">
        <f>'1 prepared data'!A130</f>
        <v/>
      </c>
      <c r="B137" s="5">
        <f>'1 prepared data'!U130</f>
        <v/>
      </c>
      <c r="C137">
        <f>'1 prepared data'!B130</f>
        <v/>
      </c>
      <c r="D137" s="7">
        <f>'1 prepared data'!C130</f>
        <v/>
      </c>
      <c r="E137" s="7">
        <f>'1 prepared data'!D130</f>
        <v/>
      </c>
      <c r="F137" s="7">
        <f>'1 prepared data'!E130</f>
        <v/>
      </c>
      <c r="G137" s="7">
        <f>'1 prepared data'!F130</f>
        <v/>
      </c>
      <c r="H137" s="7">
        <f>'1 prepared data'!G130</f>
        <v/>
      </c>
      <c r="I137" s="7">
        <f>'1 prepared data'!H130</f>
        <v/>
      </c>
      <c r="J137" s="7">
        <f>'1 prepared data'!I130</f>
        <v/>
      </c>
      <c r="K137" s="7">
        <f>'1 prepared data'!J130</f>
        <v/>
      </c>
      <c r="L137" s="7">
        <f>'1 prepared data'!K130</f>
        <v/>
      </c>
      <c r="M137" s="7">
        <f>'1 prepared data'!L130</f>
        <v/>
      </c>
      <c r="N137" s="7">
        <f>'1 prepared data'!M130</f>
        <v/>
      </c>
      <c r="O137" s="7">
        <f>'1 prepared data'!N130</f>
        <v/>
      </c>
      <c r="P137" s="7">
        <f>'1 prepared data'!O130</f>
        <v/>
      </c>
      <c r="Q137" s="7">
        <f>'1 prepared data'!P130</f>
        <v/>
      </c>
      <c r="R137" s="7">
        <f>'1 prepared data'!Q130</f>
        <v/>
      </c>
      <c r="S137" s="7">
        <f>'1 prepared data'!R130</f>
        <v/>
      </c>
      <c r="T137" s="7">
        <f>'1 prepared data'!S130</f>
        <v/>
      </c>
      <c r="U137" s="7">
        <f>'1 prepared data'!T130</f>
        <v/>
      </c>
      <c r="V137" s="8">
        <f>$AC$12+D137*$AC$13+E137*$AC$14+F137*$AC$15+G137*$AC$16+H137*$AC$17+I137*$AC$18+J137*$AC$19+K137*$AC$20+L137*$AC$21+M137*$AC$22+N137*$AC$23+O137*$AC$24+P137*$AC$25+Q137*$AC$26+R137*$AC$27+S137*$AC$28+T137*$AC$29+U137*$AC$30</f>
        <v/>
      </c>
      <c r="W137" s="8">
        <f>1/(1+EXP(-V137))</f>
        <v/>
      </c>
      <c r="X137" s="9">
        <f>-IF(C137=1,LN(W137),LN(1-W137))</f>
        <v/>
      </c>
      <c r="Y137" s="10">
        <f>IF(W137&gt;$AC$33,1,0)</f>
        <v/>
      </c>
      <c r="Z137">
        <f>IF(Y137=C137,1,0)</f>
        <v/>
      </c>
    </row>
    <row r="138">
      <c r="A138">
        <f>'1 prepared data'!A131</f>
        <v/>
      </c>
      <c r="B138" s="5">
        <f>'1 prepared data'!U131</f>
        <v/>
      </c>
      <c r="C138">
        <f>'1 prepared data'!B131</f>
        <v/>
      </c>
      <c r="D138" s="7">
        <f>'1 prepared data'!C131</f>
        <v/>
      </c>
      <c r="E138" s="7">
        <f>'1 prepared data'!D131</f>
        <v/>
      </c>
      <c r="F138" s="7">
        <f>'1 prepared data'!E131</f>
        <v/>
      </c>
      <c r="G138" s="7">
        <f>'1 prepared data'!F131</f>
        <v/>
      </c>
      <c r="H138" s="7">
        <f>'1 prepared data'!G131</f>
        <v/>
      </c>
      <c r="I138" s="7">
        <f>'1 prepared data'!H131</f>
        <v/>
      </c>
      <c r="J138" s="7">
        <f>'1 prepared data'!I131</f>
        <v/>
      </c>
      <c r="K138" s="7">
        <f>'1 prepared data'!J131</f>
        <v/>
      </c>
      <c r="L138" s="7">
        <f>'1 prepared data'!K131</f>
        <v/>
      </c>
      <c r="M138" s="7">
        <f>'1 prepared data'!L131</f>
        <v/>
      </c>
      <c r="N138" s="7">
        <f>'1 prepared data'!M131</f>
        <v/>
      </c>
      <c r="O138" s="7">
        <f>'1 prepared data'!N131</f>
        <v/>
      </c>
      <c r="P138" s="7">
        <f>'1 prepared data'!O131</f>
        <v/>
      </c>
      <c r="Q138" s="7">
        <f>'1 prepared data'!P131</f>
        <v/>
      </c>
      <c r="R138" s="7">
        <f>'1 prepared data'!Q131</f>
        <v/>
      </c>
      <c r="S138" s="7">
        <f>'1 prepared data'!R131</f>
        <v/>
      </c>
      <c r="T138" s="7">
        <f>'1 prepared data'!S131</f>
        <v/>
      </c>
      <c r="U138" s="7">
        <f>'1 prepared data'!T131</f>
        <v/>
      </c>
      <c r="V138" s="8">
        <f>$AC$12+D138*$AC$13+E138*$AC$14+F138*$AC$15+G138*$AC$16+H138*$AC$17+I138*$AC$18+J138*$AC$19+K138*$AC$20+L138*$AC$21+M138*$AC$22+N138*$AC$23+O138*$AC$24+P138*$AC$25+Q138*$AC$26+R138*$AC$27+S138*$AC$28+T138*$AC$29+U138*$AC$30</f>
        <v/>
      </c>
      <c r="W138" s="8">
        <f>1/(1+EXP(-V138))</f>
        <v/>
      </c>
      <c r="X138" s="9">
        <f>-IF(C138=1,LN(W138),LN(1-W138))</f>
        <v/>
      </c>
      <c r="Y138" s="10">
        <f>IF(W138&gt;$AC$33,1,0)</f>
        <v/>
      </c>
      <c r="Z138">
        <f>IF(Y138=C138,1,0)</f>
        <v/>
      </c>
    </row>
    <row r="139">
      <c r="A139">
        <f>'1 prepared data'!A132</f>
        <v/>
      </c>
      <c r="B139" s="5">
        <f>'1 prepared data'!U132</f>
        <v/>
      </c>
      <c r="C139">
        <f>'1 prepared data'!B132</f>
        <v/>
      </c>
      <c r="D139" s="7">
        <f>'1 prepared data'!C132</f>
        <v/>
      </c>
      <c r="E139" s="7">
        <f>'1 prepared data'!D132</f>
        <v/>
      </c>
      <c r="F139" s="7">
        <f>'1 prepared data'!E132</f>
        <v/>
      </c>
      <c r="G139" s="7">
        <f>'1 prepared data'!F132</f>
        <v/>
      </c>
      <c r="H139" s="7">
        <f>'1 prepared data'!G132</f>
        <v/>
      </c>
      <c r="I139" s="7">
        <f>'1 prepared data'!H132</f>
        <v/>
      </c>
      <c r="J139" s="7">
        <f>'1 prepared data'!I132</f>
        <v/>
      </c>
      <c r="K139" s="7">
        <f>'1 prepared data'!J132</f>
        <v/>
      </c>
      <c r="L139" s="7">
        <f>'1 prepared data'!K132</f>
        <v/>
      </c>
      <c r="M139" s="7">
        <f>'1 prepared data'!L132</f>
        <v/>
      </c>
      <c r="N139" s="7">
        <f>'1 prepared data'!M132</f>
        <v/>
      </c>
      <c r="O139" s="7">
        <f>'1 prepared data'!N132</f>
        <v/>
      </c>
      <c r="P139" s="7">
        <f>'1 prepared data'!O132</f>
        <v/>
      </c>
      <c r="Q139" s="7">
        <f>'1 prepared data'!P132</f>
        <v/>
      </c>
      <c r="R139" s="7">
        <f>'1 prepared data'!Q132</f>
        <v/>
      </c>
      <c r="S139" s="7">
        <f>'1 prepared data'!R132</f>
        <v/>
      </c>
      <c r="T139" s="7">
        <f>'1 prepared data'!S132</f>
        <v/>
      </c>
      <c r="U139" s="7">
        <f>'1 prepared data'!T132</f>
        <v/>
      </c>
      <c r="V139" s="8">
        <f>$AC$12+D139*$AC$13+E139*$AC$14+F139*$AC$15+G139*$AC$16+H139*$AC$17+I139*$AC$18+J139*$AC$19+K139*$AC$20+L139*$AC$21+M139*$AC$22+N139*$AC$23+O139*$AC$24+P139*$AC$25+Q139*$AC$26+R139*$AC$27+S139*$AC$28+T139*$AC$29+U139*$AC$30</f>
        <v/>
      </c>
      <c r="W139" s="8">
        <f>1/(1+EXP(-V139))</f>
        <v/>
      </c>
      <c r="X139" s="9">
        <f>-IF(C139=1,LN(W139),LN(1-W139))</f>
        <v/>
      </c>
      <c r="Y139" s="10">
        <f>IF(W139&gt;$AC$33,1,0)</f>
        <v/>
      </c>
      <c r="Z139">
        <f>IF(Y139=C139,1,0)</f>
        <v/>
      </c>
    </row>
    <row r="140">
      <c r="A140">
        <f>'1 prepared data'!A133</f>
        <v/>
      </c>
      <c r="B140" s="5">
        <f>'1 prepared data'!U133</f>
        <v/>
      </c>
      <c r="C140">
        <f>'1 prepared data'!B133</f>
        <v/>
      </c>
      <c r="D140" s="7">
        <f>'1 prepared data'!C133</f>
        <v/>
      </c>
      <c r="E140" s="7">
        <f>'1 prepared data'!D133</f>
        <v/>
      </c>
      <c r="F140" s="7">
        <f>'1 prepared data'!E133</f>
        <v/>
      </c>
      <c r="G140" s="7">
        <f>'1 prepared data'!F133</f>
        <v/>
      </c>
      <c r="H140" s="7">
        <f>'1 prepared data'!G133</f>
        <v/>
      </c>
      <c r="I140" s="7">
        <f>'1 prepared data'!H133</f>
        <v/>
      </c>
      <c r="J140" s="7">
        <f>'1 prepared data'!I133</f>
        <v/>
      </c>
      <c r="K140" s="7">
        <f>'1 prepared data'!J133</f>
        <v/>
      </c>
      <c r="L140" s="7">
        <f>'1 prepared data'!K133</f>
        <v/>
      </c>
      <c r="M140" s="7">
        <f>'1 prepared data'!L133</f>
        <v/>
      </c>
      <c r="N140" s="7">
        <f>'1 prepared data'!M133</f>
        <v/>
      </c>
      <c r="O140" s="7">
        <f>'1 prepared data'!N133</f>
        <v/>
      </c>
      <c r="P140" s="7">
        <f>'1 prepared data'!O133</f>
        <v/>
      </c>
      <c r="Q140" s="7">
        <f>'1 prepared data'!P133</f>
        <v/>
      </c>
      <c r="R140" s="7">
        <f>'1 prepared data'!Q133</f>
        <v/>
      </c>
      <c r="S140" s="7">
        <f>'1 prepared data'!R133</f>
        <v/>
      </c>
      <c r="T140" s="7">
        <f>'1 prepared data'!S133</f>
        <v/>
      </c>
      <c r="U140" s="7">
        <f>'1 prepared data'!T133</f>
        <v/>
      </c>
      <c r="V140" s="8">
        <f>$AC$12+D140*$AC$13+E140*$AC$14+F140*$AC$15+G140*$AC$16+H140*$AC$17+I140*$AC$18+J140*$AC$19+K140*$AC$20+L140*$AC$21+M140*$AC$22+N140*$AC$23+O140*$AC$24+P140*$AC$25+Q140*$AC$26+R140*$AC$27+S140*$AC$28+T140*$AC$29+U140*$AC$30</f>
        <v/>
      </c>
      <c r="W140" s="8">
        <f>1/(1+EXP(-V140))</f>
        <v/>
      </c>
      <c r="X140" s="9">
        <f>-IF(C140=1,LN(W140),LN(1-W140))</f>
        <v/>
      </c>
      <c r="Y140" s="10">
        <f>IF(W140&gt;$AC$33,1,0)</f>
        <v/>
      </c>
      <c r="Z140">
        <f>IF(Y140=C140,1,0)</f>
        <v/>
      </c>
    </row>
    <row r="141">
      <c r="A141">
        <f>'1 prepared data'!A134</f>
        <v/>
      </c>
      <c r="B141" s="5">
        <f>'1 prepared data'!U134</f>
        <v/>
      </c>
      <c r="C141">
        <f>'1 prepared data'!B134</f>
        <v/>
      </c>
      <c r="D141" s="7">
        <f>'1 prepared data'!C134</f>
        <v/>
      </c>
      <c r="E141" s="7">
        <f>'1 prepared data'!D134</f>
        <v/>
      </c>
      <c r="F141" s="7">
        <f>'1 prepared data'!E134</f>
        <v/>
      </c>
      <c r="G141" s="7">
        <f>'1 prepared data'!F134</f>
        <v/>
      </c>
      <c r="H141" s="7">
        <f>'1 prepared data'!G134</f>
        <v/>
      </c>
      <c r="I141" s="7">
        <f>'1 prepared data'!H134</f>
        <v/>
      </c>
      <c r="J141" s="7">
        <f>'1 prepared data'!I134</f>
        <v/>
      </c>
      <c r="K141" s="7">
        <f>'1 prepared data'!J134</f>
        <v/>
      </c>
      <c r="L141" s="7">
        <f>'1 prepared data'!K134</f>
        <v/>
      </c>
      <c r="M141" s="7">
        <f>'1 prepared data'!L134</f>
        <v/>
      </c>
      <c r="N141" s="7">
        <f>'1 prepared data'!M134</f>
        <v/>
      </c>
      <c r="O141" s="7">
        <f>'1 prepared data'!N134</f>
        <v/>
      </c>
      <c r="P141" s="7">
        <f>'1 prepared data'!O134</f>
        <v/>
      </c>
      <c r="Q141" s="7">
        <f>'1 prepared data'!P134</f>
        <v/>
      </c>
      <c r="R141" s="7">
        <f>'1 prepared data'!Q134</f>
        <v/>
      </c>
      <c r="S141" s="7">
        <f>'1 prepared data'!R134</f>
        <v/>
      </c>
      <c r="T141" s="7">
        <f>'1 prepared data'!S134</f>
        <v/>
      </c>
      <c r="U141" s="7">
        <f>'1 prepared data'!T134</f>
        <v/>
      </c>
      <c r="V141" s="8">
        <f>$AC$12+D141*$AC$13+E141*$AC$14+F141*$AC$15+G141*$AC$16+H141*$AC$17+I141*$AC$18+J141*$AC$19+K141*$AC$20+L141*$AC$21+M141*$AC$22+N141*$AC$23+O141*$AC$24+P141*$AC$25+Q141*$AC$26+R141*$AC$27+S141*$AC$28+T141*$AC$29+U141*$AC$30</f>
        <v/>
      </c>
      <c r="W141" s="8">
        <f>1/(1+EXP(-V141))</f>
        <v/>
      </c>
      <c r="X141" s="9">
        <f>-IF(C141=1,LN(W141),LN(1-W141))</f>
        <v/>
      </c>
      <c r="Y141" s="10">
        <f>IF(W141&gt;$AC$33,1,0)</f>
        <v/>
      </c>
      <c r="Z141">
        <f>IF(Y141=C141,1,0)</f>
        <v/>
      </c>
    </row>
    <row r="142">
      <c r="A142">
        <f>'1 prepared data'!A135</f>
        <v/>
      </c>
      <c r="B142" s="5">
        <f>'1 prepared data'!U135</f>
        <v/>
      </c>
      <c r="C142">
        <f>'1 prepared data'!B135</f>
        <v/>
      </c>
      <c r="D142" s="7">
        <f>'1 prepared data'!C135</f>
        <v/>
      </c>
      <c r="E142" s="7">
        <f>'1 prepared data'!D135</f>
        <v/>
      </c>
      <c r="F142" s="7">
        <f>'1 prepared data'!E135</f>
        <v/>
      </c>
      <c r="G142" s="7">
        <f>'1 prepared data'!F135</f>
        <v/>
      </c>
      <c r="H142" s="7">
        <f>'1 prepared data'!G135</f>
        <v/>
      </c>
      <c r="I142" s="7">
        <f>'1 prepared data'!H135</f>
        <v/>
      </c>
      <c r="J142" s="7">
        <f>'1 prepared data'!I135</f>
        <v/>
      </c>
      <c r="K142" s="7">
        <f>'1 prepared data'!J135</f>
        <v/>
      </c>
      <c r="L142" s="7">
        <f>'1 prepared data'!K135</f>
        <v/>
      </c>
      <c r="M142" s="7">
        <f>'1 prepared data'!L135</f>
        <v/>
      </c>
      <c r="N142" s="7">
        <f>'1 prepared data'!M135</f>
        <v/>
      </c>
      <c r="O142" s="7">
        <f>'1 prepared data'!N135</f>
        <v/>
      </c>
      <c r="P142" s="7">
        <f>'1 prepared data'!O135</f>
        <v/>
      </c>
      <c r="Q142" s="7">
        <f>'1 prepared data'!P135</f>
        <v/>
      </c>
      <c r="R142" s="7">
        <f>'1 prepared data'!Q135</f>
        <v/>
      </c>
      <c r="S142" s="7">
        <f>'1 prepared data'!R135</f>
        <v/>
      </c>
      <c r="T142" s="7">
        <f>'1 prepared data'!S135</f>
        <v/>
      </c>
      <c r="U142" s="7">
        <f>'1 prepared data'!T135</f>
        <v/>
      </c>
      <c r="V142" s="8">
        <f>$AC$12+D142*$AC$13+E142*$AC$14+F142*$AC$15+G142*$AC$16+H142*$AC$17+I142*$AC$18+J142*$AC$19+K142*$AC$20+L142*$AC$21+M142*$AC$22+N142*$AC$23+O142*$AC$24+P142*$AC$25+Q142*$AC$26+R142*$AC$27+S142*$AC$28+T142*$AC$29+U142*$AC$30</f>
        <v/>
      </c>
      <c r="W142" s="8">
        <f>1/(1+EXP(-V142))</f>
        <v/>
      </c>
      <c r="X142" s="9">
        <f>-IF(C142=1,LN(W142),LN(1-W142))</f>
        <v/>
      </c>
      <c r="Y142" s="10">
        <f>IF(W142&gt;$AC$33,1,0)</f>
        <v/>
      </c>
      <c r="Z142">
        <f>IF(Y142=C142,1,0)</f>
        <v/>
      </c>
    </row>
    <row r="143">
      <c r="A143">
        <f>'1 prepared data'!A136</f>
        <v/>
      </c>
      <c r="B143" s="5">
        <f>'1 prepared data'!U136</f>
        <v/>
      </c>
      <c r="C143">
        <f>'1 prepared data'!B136</f>
        <v/>
      </c>
      <c r="D143" s="7">
        <f>'1 prepared data'!C136</f>
        <v/>
      </c>
      <c r="E143" s="7">
        <f>'1 prepared data'!D136</f>
        <v/>
      </c>
      <c r="F143" s="7">
        <f>'1 prepared data'!E136</f>
        <v/>
      </c>
      <c r="G143" s="7">
        <f>'1 prepared data'!F136</f>
        <v/>
      </c>
      <c r="H143" s="7">
        <f>'1 prepared data'!G136</f>
        <v/>
      </c>
      <c r="I143" s="7">
        <f>'1 prepared data'!H136</f>
        <v/>
      </c>
      <c r="J143" s="7">
        <f>'1 prepared data'!I136</f>
        <v/>
      </c>
      <c r="K143" s="7">
        <f>'1 prepared data'!J136</f>
        <v/>
      </c>
      <c r="L143" s="7">
        <f>'1 prepared data'!K136</f>
        <v/>
      </c>
      <c r="M143" s="7">
        <f>'1 prepared data'!L136</f>
        <v/>
      </c>
      <c r="N143" s="7">
        <f>'1 prepared data'!M136</f>
        <v/>
      </c>
      <c r="O143" s="7">
        <f>'1 prepared data'!N136</f>
        <v/>
      </c>
      <c r="P143" s="7">
        <f>'1 prepared data'!O136</f>
        <v/>
      </c>
      <c r="Q143" s="7">
        <f>'1 prepared data'!P136</f>
        <v/>
      </c>
      <c r="R143" s="7">
        <f>'1 prepared data'!Q136</f>
        <v/>
      </c>
      <c r="S143" s="7">
        <f>'1 prepared data'!R136</f>
        <v/>
      </c>
      <c r="T143" s="7">
        <f>'1 prepared data'!S136</f>
        <v/>
      </c>
      <c r="U143" s="7">
        <f>'1 prepared data'!T136</f>
        <v/>
      </c>
      <c r="V143" s="8">
        <f>$AC$12+D143*$AC$13+E143*$AC$14+F143*$AC$15+G143*$AC$16+H143*$AC$17+I143*$AC$18+J143*$AC$19+K143*$AC$20+L143*$AC$21+M143*$AC$22+N143*$AC$23+O143*$AC$24+P143*$AC$25+Q143*$AC$26+R143*$AC$27+S143*$AC$28+T143*$AC$29+U143*$AC$30</f>
        <v/>
      </c>
      <c r="W143" s="8">
        <f>1/(1+EXP(-V143))</f>
        <v/>
      </c>
      <c r="X143" s="9">
        <f>-IF(C143=1,LN(W143),LN(1-W143))</f>
        <v/>
      </c>
      <c r="Y143" s="10">
        <f>IF(W143&gt;$AC$33,1,0)</f>
        <v/>
      </c>
      <c r="Z143">
        <f>IF(Y143=C143,1,0)</f>
        <v/>
      </c>
    </row>
    <row r="144">
      <c r="A144">
        <f>'1 prepared data'!A137</f>
        <v/>
      </c>
      <c r="B144" s="5">
        <f>'1 prepared data'!U137</f>
        <v/>
      </c>
      <c r="C144">
        <f>'1 prepared data'!B137</f>
        <v/>
      </c>
      <c r="D144" s="7">
        <f>'1 prepared data'!C137</f>
        <v/>
      </c>
      <c r="E144" s="7">
        <f>'1 prepared data'!D137</f>
        <v/>
      </c>
      <c r="F144" s="7">
        <f>'1 prepared data'!E137</f>
        <v/>
      </c>
      <c r="G144" s="7">
        <f>'1 prepared data'!F137</f>
        <v/>
      </c>
      <c r="H144" s="7">
        <f>'1 prepared data'!G137</f>
        <v/>
      </c>
      <c r="I144" s="7">
        <f>'1 prepared data'!H137</f>
        <v/>
      </c>
      <c r="J144" s="7">
        <f>'1 prepared data'!I137</f>
        <v/>
      </c>
      <c r="K144" s="7">
        <f>'1 prepared data'!J137</f>
        <v/>
      </c>
      <c r="L144" s="7">
        <f>'1 prepared data'!K137</f>
        <v/>
      </c>
      <c r="M144" s="7">
        <f>'1 prepared data'!L137</f>
        <v/>
      </c>
      <c r="N144" s="7">
        <f>'1 prepared data'!M137</f>
        <v/>
      </c>
      <c r="O144" s="7">
        <f>'1 prepared data'!N137</f>
        <v/>
      </c>
      <c r="P144" s="7">
        <f>'1 prepared data'!O137</f>
        <v/>
      </c>
      <c r="Q144" s="7">
        <f>'1 prepared data'!P137</f>
        <v/>
      </c>
      <c r="R144" s="7">
        <f>'1 prepared data'!Q137</f>
        <v/>
      </c>
      <c r="S144" s="7">
        <f>'1 prepared data'!R137</f>
        <v/>
      </c>
      <c r="T144" s="7">
        <f>'1 prepared data'!S137</f>
        <v/>
      </c>
      <c r="U144" s="7">
        <f>'1 prepared data'!T137</f>
        <v/>
      </c>
      <c r="V144" s="8">
        <f>$AC$12+D144*$AC$13+E144*$AC$14+F144*$AC$15+G144*$AC$16+H144*$AC$17+I144*$AC$18+J144*$AC$19+K144*$AC$20+L144*$AC$21+M144*$AC$22+N144*$AC$23+O144*$AC$24+P144*$AC$25+Q144*$AC$26+R144*$AC$27+S144*$AC$28+T144*$AC$29+U144*$AC$30</f>
        <v/>
      </c>
      <c r="W144" s="8">
        <f>1/(1+EXP(-V144))</f>
        <v/>
      </c>
      <c r="X144" s="9">
        <f>-IF(C144=1,LN(W144),LN(1-W144))</f>
        <v/>
      </c>
      <c r="Y144" s="10">
        <f>IF(W144&gt;$AC$33,1,0)</f>
        <v/>
      </c>
      <c r="Z144">
        <f>IF(Y144=C144,1,0)</f>
        <v/>
      </c>
    </row>
    <row r="145">
      <c r="A145">
        <f>'1 prepared data'!A138</f>
        <v/>
      </c>
      <c r="B145" s="5">
        <f>'1 prepared data'!U138</f>
        <v/>
      </c>
      <c r="C145">
        <f>'1 prepared data'!B138</f>
        <v/>
      </c>
      <c r="D145" s="7">
        <f>'1 prepared data'!C138</f>
        <v/>
      </c>
      <c r="E145" s="7">
        <f>'1 prepared data'!D138</f>
        <v/>
      </c>
      <c r="F145" s="7">
        <f>'1 prepared data'!E138</f>
        <v/>
      </c>
      <c r="G145" s="7">
        <f>'1 prepared data'!F138</f>
        <v/>
      </c>
      <c r="H145" s="7">
        <f>'1 prepared data'!G138</f>
        <v/>
      </c>
      <c r="I145" s="7">
        <f>'1 prepared data'!H138</f>
        <v/>
      </c>
      <c r="J145" s="7">
        <f>'1 prepared data'!I138</f>
        <v/>
      </c>
      <c r="K145" s="7">
        <f>'1 prepared data'!J138</f>
        <v/>
      </c>
      <c r="L145" s="7">
        <f>'1 prepared data'!K138</f>
        <v/>
      </c>
      <c r="M145" s="7">
        <f>'1 prepared data'!L138</f>
        <v/>
      </c>
      <c r="N145" s="7">
        <f>'1 prepared data'!M138</f>
        <v/>
      </c>
      <c r="O145" s="7">
        <f>'1 prepared data'!N138</f>
        <v/>
      </c>
      <c r="P145" s="7">
        <f>'1 prepared data'!O138</f>
        <v/>
      </c>
      <c r="Q145" s="7">
        <f>'1 prepared data'!P138</f>
        <v/>
      </c>
      <c r="R145" s="7">
        <f>'1 prepared data'!Q138</f>
        <v/>
      </c>
      <c r="S145" s="7">
        <f>'1 prepared data'!R138</f>
        <v/>
      </c>
      <c r="T145" s="7">
        <f>'1 prepared data'!S138</f>
        <v/>
      </c>
      <c r="U145" s="7">
        <f>'1 prepared data'!T138</f>
        <v/>
      </c>
      <c r="V145" s="8">
        <f>$AC$12+D145*$AC$13+E145*$AC$14+F145*$AC$15+G145*$AC$16+H145*$AC$17+I145*$AC$18+J145*$AC$19+K145*$AC$20+L145*$AC$21+M145*$AC$22+N145*$AC$23+O145*$AC$24+P145*$AC$25+Q145*$AC$26+R145*$AC$27+S145*$AC$28+T145*$AC$29+U145*$AC$30</f>
        <v/>
      </c>
      <c r="W145" s="8">
        <f>1/(1+EXP(-V145))</f>
        <v/>
      </c>
      <c r="X145" s="9">
        <f>-IF(C145=1,LN(W145),LN(1-W145))</f>
        <v/>
      </c>
      <c r="Y145" s="10">
        <f>IF(W145&gt;$AC$33,1,0)</f>
        <v/>
      </c>
      <c r="Z145">
        <f>IF(Y145=C145,1,0)</f>
        <v/>
      </c>
    </row>
    <row r="146">
      <c r="A146">
        <f>'1 prepared data'!A139</f>
        <v/>
      </c>
      <c r="B146" s="5">
        <f>'1 prepared data'!U139</f>
        <v/>
      </c>
      <c r="C146">
        <f>'1 prepared data'!B139</f>
        <v/>
      </c>
      <c r="D146" s="7">
        <f>'1 prepared data'!C139</f>
        <v/>
      </c>
      <c r="E146" s="7">
        <f>'1 prepared data'!D139</f>
        <v/>
      </c>
      <c r="F146" s="7">
        <f>'1 prepared data'!E139</f>
        <v/>
      </c>
      <c r="G146" s="7">
        <f>'1 prepared data'!F139</f>
        <v/>
      </c>
      <c r="H146" s="7">
        <f>'1 prepared data'!G139</f>
        <v/>
      </c>
      <c r="I146" s="7">
        <f>'1 prepared data'!H139</f>
        <v/>
      </c>
      <c r="J146" s="7">
        <f>'1 prepared data'!I139</f>
        <v/>
      </c>
      <c r="K146" s="7">
        <f>'1 prepared data'!J139</f>
        <v/>
      </c>
      <c r="L146" s="7">
        <f>'1 prepared data'!K139</f>
        <v/>
      </c>
      <c r="M146" s="7">
        <f>'1 prepared data'!L139</f>
        <v/>
      </c>
      <c r="N146" s="7">
        <f>'1 prepared data'!M139</f>
        <v/>
      </c>
      <c r="O146" s="7">
        <f>'1 prepared data'!N139</f>
        <v/>
      </c>
      <c r="P146" s="7">
        <f>'1 prepared data'!O139</f>
        <v/>
      </c>
      <c r="Q146" s="7">
        <f>'1 prepared data'!P139</f>
        <v/>
      </c>
      <c r="R146" s="7">
        <f>'1 prepared data'!Q139</f>
        <v/>
      </c>
      <c r="S146" s="7">
        <f>'1 prepared data'!R139</f>
        <v/>
      </c>
      <c r="T146" s="7">
        <f>'1 prepared data'!S139</f>
        <v/>
      </c>
      <c r="U146" s="7">
        <f>'1 prepared data'!T139</f>
        <v/>
      </c>
      <c r="V146" s="8">
        <f>$AC$12+D146*$AC$13+E146*$AC$14+F146*$AC$15+G146*$AC$16+H146*$AC$17+I146*$AC$18+J146*$AC$19+K146*$AC$20+L146*$AC$21+M146*$AC$22+N146*$AC$23+O146*$AC$24+P146*$AC$25+Q146*$AC$26+R146*$AC$27+S146*$AC$28+T146*$AC$29+U146*$AC$30</f>
        <v/>
      </c>
      <c r="W146" s="8">
        <f>1/(1+EXP(-V146))</f>
        <v/>
      </c>
      <c r="X146" s="9">
        <f>-IF(C146=1,LN(W146),LN(1-W146))</f>
        <v/>
      </c>
      <c r="Y146" s="10">
        <f>IF(W146&gt;$AC$33,1,0)</f>
        <v/>
      </c>
      <c r="Z146">
        <f>IF(Y146=C146,1,0)</f>
        <v/>
      </c>
    </row>
    <row r="147">
      <c r="A147">
        <f>'1 prepared data'!A140</f>
        <v/>
      </c>
      <c r="B147" s="5">
        <f>'1 prepared data'!U140</f>
        <v/>
      </c>
      <c r="C147">
        <f>'1 prepared data'!B140</f>
        <v/>
      </c>
      <c r="D147" s="7">
        <f>'1 prepared data'!C140</f>
        <v/>
      </c>
      <c r="E147" s="7">
        <f>'1 prepared data'!D140</f>
        <v/>
      </c>
      <c r="F147" s="7">
        <f>'1 prepared data'!E140</f>
        <v/>
      </c>
      <c r="G147" s="7">
        <f>'1 prepared data'!F140</f>
        <v/>
      </c>
      <c r="H147" s="7">
        <f>'1 prepared data'!G140</f>
        <v/>
      </c>
      <c r="I147" s="7">
        <f>'1 prepared data'!H140</f>
        <v/>
      </c>
      <c r="J147" s="7">
        <f>'1 prepared data'!I140</f>
        <v/>
      </c>
      <c r="K147" s="7">
        <f>'1 prepared data'!J140</f>
        <v/>
      </c>
      <c r="L147" s="7">
        <f>'1 prepared data'!K140</f>
        <v/>
      </c>
      <c r="M147" s="7">
        <f>'1 prepared data'!L140</f>
        <v/>
      </c>
      <c r="N147" s="7">
        <f>'1 prepared data'!M140</f>
        <v/>
      </c>
      <c r="O147" s="7">
        <f>'1 prepared data'!N140</f>
        <v/>
      </c>
      <c r="P147" s="7">
        <f>'1 prepared data'!O140</f>
        <v/>
      </c>
      <c r="Q147" s="7">
        <f>'1 prepared data'!P140</f>
        <v/>
      </c>
      <c r="R147" s="7">
        <f>'1 prepared data'!Q140</f>
        <v/>
      </c>
      <c r="S147" s="7">
        <f>'1 prepared data'!R140</f>
        <v/>
      </c>
      <c r="T147" s="7">
        <f>'1 prepared data'!S140</f>
        <v/>
      </c>
      <c r="U147" s="7">
        <f>'1 prepared data'!T140</f>
        <v/>
      </c>
      <c r="V147" s="8">
        <f>$AC$12+D147*$AC$13+E147*$AC$14+F147*$AC$15+G147*$AC$16+H147*$AC$17+I147*$AC$18+J147*$AC$19+K147*$AC$20+L147*$AC$21+M147*$AC$22+N147*$AC$23+O147*$AC$24+P147*$AC$25+Q147*$AC$26+R147*$AC$27+S147*$AC$28+T147*$AC$29+U147*$AC$30</f>
        <v/>
      </c>
      <c r="W147" s="8">
        <f>1/(1+EXP(-V147))</f>
        <v/>
      </c>
      <c r="X147" s="9">
        <f>-IF(C147=1,LN(W147),LN(1-W147))</f>
        <v/>
      </c>
      <c r="Y147" s="10">
        <f>IF(W147&gt;$AC$33,1,0)</f>
        <v/>
      </c>
      <c r="Z147">
        <f>IF(Y147=C147,1,0)</f>
        <v/>
      </c>
    </row>
    <row r="148">
      <c r="A148">
        <f>'1 prepared data'!A141</f>
        <v/>
      </c>
      <c r="B148" s="5">
        <f>'1 prepared data'!U141</f>
        <v/>
      </c>
      <c r="C148">
        <f>'1 prepared data'!B141</f>
        <v/>
      </c>
      <c r="D148" s="7">
        <f>'1 prepared data'!C141</f>
        <v/>
      </c>
      <c r="E148" s="7">
        <f>'1 prepared data'!D141</f>
        <v/>
      </c>
      <c r="F148" s="7">
        <f>'1 prepared data'!E141</f>
        <v/>
      </c>
      <c r="G148" s="7">
        <f>'1 prepared data'!F141</f>
        <v/>
      </c>
      <c r="H148" s="7">
        <f>'1 prepared data'!G141</f>
        <v/>
      </c>
      <c r="I148" s="7">
        <f>'1 prepared data'!H141</f>
        <v/>
      </c>
      <c r="J148" s="7">
        <f>'1 prepared data'!I141</f>
        <v/>
      </c>
      <c r="K148" s="7">
        <f>'1 prepared data'!J141</f>
        <v/>
      </c>
      <c r="L148" s="7">
        <f>'1 prepared data'!K141</f>
        <v/>
      </c>
      <c r="M148" s="7">
        <f>'1 prepared data'!L141</f>
        <v/>
      </c>
      <c r="N148" s="7">
        <f>'1 prepared data'!M141</f>
        <v/>
      </c>
      <c r="O148" s="7">
        <f>'1 prepared data'!N141</f>
        <v/>
      </c>
      <c r="P148" s="7">
        <f>'1 prepared data'!O141</f>
        <v/>
      </c>
      <c r="Q148" s="7">
        <f>'1 prepared data'!P141</f>
        <v/>
      </c>
      <c r="R148" s="7">
        <f>'1 prepared data'!Q141</f>
        <v/>
      </c>
      <c r="S148" s="7">
        <f>'1 prepared data'!R141</f>
        <v/>
      </c>
      <c r="T148" s="7">
        <f>'1 prepared data'!S141</f>
        <v/>
      </c>
      <c r="U148" s="7">
        <f>'1 prepared data'!T141</f>
        <v/>
      </c>
      <c r="V148" s="8">
        <f>$AC$12+D148*$AC$13+E148*$AC$14+F148*$AC$15+G148*$AC$16+H148*$AC$17+I148*$AC$18+J148*$AC$19+K148*$AC$20+L148*$AC$21+M148*$AC$22+N148*$AC$23+O148*$AC$24+P148*$AC$25+Q148*$AC$26+R148*$AC$27+S148*$AC$28+T148*$AC$29+U148*$AC$30</f>
        <v/>
      </c>
      <c r="W148" s="8">
        <f>1/(1+EXP(-V148))</f>
        <v/>
      </c>
      <c r="X148" s="9">
        <f>-IF(C148=1,LN(W148),LN(1-W148))</f>
        <v/>
      </c>
      <c r="Y148" s="10">
        <f>IF(W148&gt;$AC$33,1,0)</f>
        <v/>
      </c>
      <c r="Z148">
        <f>IF(Y148=C148,1,0)</f>
        <v/>
      </c>
    </row>
    <row r="149">
      <c r="A149">
        <f>'1 prepared data'!A142</f>
        <v/>
      </c>
      <c r="B149" s="5">
        <f>'1 prepared data'!U142</f>
        <v/>
      </c>
      <c r="C149">
        <f>'1 prepared data'!B142</f>
        <v/>
      </c>
      <c r="D149" s="7">
        <f>'1 prepared data'!C142</f>
        <v/>
      </c>
      <c r="E149" s="7">
        <f>'1 prepared data'!D142</f>
        <v/>
      </c>
      <c r="F149" s="7">
        <f>'1 prepared data'!E142</f>
        <v/>
      </c>
      <c r="G149" s="7">
        <f>'1 prepared data'!F142</f>
        <v/>
      </c>
      <c r="H149" s="7">
        <f>'1 prepared data'!G142</f>
        <v/>
      </c>
      <c r="I149" s="7">
        <f>'1 prepared data'!H142</f>
        <v/>
      </c>
      <c r="J149" s="7">
        <f>'1 prepared data'!I142</f>
        <v/>
      </c>
      <c r="K149" s="7">
        <f>'1 prepared data'!J142</f>
        <v/>
      </c>
      <c r="L149" s="7">
        <f>'1 prepared data'!K142</f>
        <v/>
      </c>
      <c r="M149" s="7">
        <f>'1 prepared data'!L142</f>
        <v/>
      </c>
      <c r="N149" s="7">
        <f>'1 prepared data'!M142</f>
        <v/>
      </c>
      <c r="O149" s="7">
        <f>'1 prepared data'!N142</f>
        <v/>
      </c>
      <c r="P149" s="7">
        <f>'1 prepared data'!O142</f>
        <v/>
      </c>
      <c r="Q149" s="7">
        <f>'1 prepared data'!P142</f>
        <v/>
      </c>
      <c r="R149" s="7">
        <f>'1 prepared data'!Q142</f>
        <v/>
      </c>
      <c r="S149" s="7">
        <f>'1 prepared data'!R142</f>
        <v/>
      </c>
      <c r="T149" s="7">
        <f>'1 prepared data'!S142</f>
        <v/>
      </c>
      <c r="U149" s="7">
        <f>'1 prepared data'!T142</f>
        <v/>
      </c>
      <c r="V149" s="8">
        <f>$AC$12+D149*$AC$13+E149*$AC$14+F149*$AC$15+G149*$AC$16+H149*$AC$17+I149*$AC$18+J149*$AC$19+K149*$AC$20+L149*$AC$21+M149*$AC$22+N149*$AC$23+O149*$AC$24+P149*$AC$25+Q149*$AC$26+R149*$AC$27+S149*$AC$28+T149*$AC$29+U149*$AC$30</f>
        <v/>
      </c>
      <c r="W149" s="8">
        <f>1/(1+EXP(-V149))</f>
        <v/>
      </c>
      <c r="X149" s="9">
        <f>-IF(C149=1,LN(W149),LN(1-W149))</f>
        <v/>
      </c>
      <c r="Y149" s="10">
        <f>IF(W149&gt;$AC$33,1,0)</f>
        <v/>
      </c>
      <c r="Z149">
        <f>IF(Y149=C149,1,0)</f>
        <v/>
      </c>
    </row>
    <row r="150">
      <c r="A150">
        <f>'1 prepared data'!A143</f>
        <v/>
      </c>
      <c r="B150" s="5">
        <f>'1 prepared data'!U143</f>
        <v/>
      </c>
      <c r="C150">
        <f>'1 prepared data'!B143</f>
        <v/>
      </c>
      <c r="D150" s="7">
        <f>'1 prepared data'!C143</f>
        <v/>
      </c>
      <c r="E150" s="7">
        <f>'1 prepared data'!D143</f>
        <v/>
      </c>
      <c r="F150" s="7">
        <f>'1 prepared data'!E143</f>
        <v/>
      </c>
      <c r="G150" s="7">
        <f>'1 prepared data'!F143</f>
        <v/>
      </c>
      <c r="H150" s="7">
        <f>'1 prepared data'!G143</f>
        <v/>
      </c>
      <c r="I150" s="7">
        <f>'1 prepared data'!H143</f>
        <v/>
      </c>
      <c r="J150" s="7">
        <f>'1 prepared data'!I143</f>
        <v/>
      </c>
      <c r="K150" s="7">
        <f>'1 prepared data'!J143</f>
        <v/>
      </c>
      <c r="L150" s="7">
        <f>'1 prepared data'!K143</f>
        <v/>
      </c>
      <c r="M150" s="7">
        <f>'1 prepared data'!L143</f>
        <v/>
      </c>
      <c r="N150" s="7">
        <f>'1 prepared data'!M143</f>
        <v/>
      </c>
      <c r="O150" s="7">
        <f>'1 prepared data'!N143</f>
        <v/>
      </c>
      <c r="P150" s="7">
        <f>'1 prepared data'!O143</f>
        <v/>
      </c>
      <c r="Q150" s="7">
        <f>'1 prepared data'!P143</f>
        <v/>
      </c>
      <c r="R150" s="7">
        <f>'1 prepared data'!Q143</f>
        <v/>
      </c>
      <c r="S150" s="7">
        <f>'1 prepared data'!R143</f>
        <v/>
      </c>
      <c r="T150" s="7">
        <f>'1 prepared data'!S143</f>
        <v/>
      </c>
      <c r="U150" s="7">
        <f>'1 prepared data'!T143</f>
        <v/>
      </c>
      <c r="V150" s="8">
        <f>$AC$12+D150*$AC$13+E150*$AC$14+F150*$AC$15+G150*$AC$16+H150*$AC$17+I150*$AC$18+J150*$AC$19+K150*$AC$20+L150*$AC$21+M150*$AC$22+N150*$AC$23+O150*$AC$24+P150*$AC$25+Q150*$AC$26+R150*$AC$27+S150*$AC$28+T150*$AC$29+U150*$AC$30</f>
        <v/>
      </c>
      <c r="W150" s="8">
        <f>1/(1+EXP(-V150))</f>
        <v/>
      </c>
      <c r="X150" s="9">
        <f>-IF(C150=1,LN(W150),LN(1-W150))</f>
        <v/>
      </c>
      <c r="Y150" s="10">
        <f>IF(W150&gt;$AC$33,1,0)</f>
        <v/>
      </c>
      <c r="Z150">
        <f>IF(Y150=C150,1,0)</f>
        <v/>
      </c>
    </row>
    <row r="151">
      <c r="A151">
        <f>'1 prepared data'!A144</f>
        <v/>
      </c>
      <c r="B151" s="5">
        <f>'1 prepared data'!U144</f>
        <v/>
      </c>
      <c r="C151">
        <f>'1 prepared data'!B144</f>
        <v/>
      </c>
      <c r="D151" s="7">
        <f>'1 prepared data'!C144</f>
        <v/>
      </c>
      <c r="E151" s="7">
        <f>'1 prepared data'!D144</f>
        <v/>
      </c>
      <c r="F151" s="7">
        <f>'1 prepared data'!E144</f>
        <v/>
      </c>
      <c r="G151" s="7">
        <f>'1 prepared data'!F144</f>
        <v/>
      </c>
      <c r="H151" s="7">
        <f>'1 prepared data'!G144</f>
        <v/>
      </c>
      <c r="I151" s="7">
        <f>'1 prepared data'!H144</f>
        <v/>
      </c>
      <c r="J151" s="7">
        <f>'1 prepared data'!I144</f>
        <v/>
      </c>
      <c r="K151" s="7">
        <f>'1 prepared data'!J144</f>
        <v/>
      </c>
      <c r="L151" s="7">
        <f>'1 prepared data'!K144</f>
        <v/>
      </c>
      <c r="M151" s="7">
        <f>'1 prepared data'!L144</f>
        <v/>
      </c>
      <c r="N151" s="7">
        <f>'1 prepared data'!M144</f>
        <v/>
      </c>
      <c r="O151" s="7">
        <f>'1 prepared data'!N144</f>
        <v/>
      </c>
      <c r="P151" s="7">
        <f>'1 prepared data'!O144</f>
        <v/>
      </c>
      <c r="Q151" s="7">
        <f>'1 prepared data'!P144</f>
        <v/>
      </c>
      <c r="R151" s="7">
        <f>'1 prepared data'!Q144</f>
        <v/>
      </c>
      <c r="S151" s="7">
        <f>'1 prepared data'!R144</f>
        <v/>
      </c>
      <c r="T151" s="7">
        <f>'1 prepared data'!S144</f>
        <v/>
      </c>
      <c r="U151" s="7">
        <f>'1 prepared data'!T144</f>
        <v/>
      </c>
      <c r="V151" s="8">
        <f>$AC$12+D151*$AC$13+E151*$AC$14+F151*$AC$15+G151*$AC$16+H151*$AC$17+I151*$AC$18+J151*$AC$19+K151*$AC$20+L151*$AC$21+M151*$AC$22+N151*$AC$23+O151*$AC$24+P151*$AC$25+Q151*$AC$26+R151*$AC$27+S151*$AC$28+T151*$AC$29+U151*$AC$30</f>
        <v/>
      </c>
      <c r="W151" s="8">
        <f>1/(1+EXP(-V151))</f>
        <v/>
      </c>
      <c r="X151" s="9">
        <f>-IF(C151=1,LN(W151),LN(1-W151))</f>
        <v/>
      </c>
      <c r="Y151" s="10">
        <f>IF(W151&gt;$AC$33,1,0)</f>
        <v/>
      </c>
      <c r="Z151">
        <f>IF(Y151=C151,1,0)</f>
        <v/>
      </c>
    </row>
    <row r="152">
      <c r="A152">
        <f>'1 prepared data'!A145</f>
        <v/>
      </c>
      <c r="B152" s="5">
        <f>'1 prepared data'!U145</f>
        <v/>
      </c>
      <c r="C152">
        <f>'1 prepared data'!B145</f>
        <v/>
      </c>
      <c r="D152" s="7">
        <f>'1 prepared data'!C145</f>
        <v/>
      </c>
      <c r="E152" s="7">
        <f>'1 prepared data'!D145</f>
        <v/>
      </c>
      <c r="F152" s="7">
        <f>'1 prepared data'!E145</f>
        <v/>
      </c>
      <c r="G152" s="7">
        <f>'1 prepared data'!F145</f>
        <v/>
      </c>
      <c r="H152" s="7">
        <f>'1 prepared data'!G145</f>
        <v/>
      </c>
      <c r="I152" s="7">
        <f>'1 prepared data'!H145</f>
        <v/>
      </c>
      <c r="J152" s="7">
        <f>'1 prepared data'!I145</f>
        <v/>
      </c>
      <c r="K152" s="7">
        <f>'1 prepared data'!J145</f>
        <v/>
      </c>
      <c r="L152" s="7">
        <f>'1 prepared data'!K145</f>
        <v/>
      </c>
      <c r="M152" s="7">
        <f>'1 prepared data'!L145</f>
        <v/>
      </c>
      <c r="N152" s="7">
        <f>'1 prepared data'!M145</f>
        <v/>
      </c>
      <c r="O152" s="7">
        <f>'1 prepared data'!N145</f>
        <v/>
      </c>
      <c r="P152" s="7">
        <f>'1 prepared data'!O145</f>
        <v/>
      </c>
      <c r="Q152" s="7">
        <f>'1 prepared data'!P145</f>
        <v/>
      </c>
      <c r="R152" s="7">
        <f>'1 prepared data'!Q145</f>
        <v/>
      </c>
      <c r="S152" s="7">
        <f>'1 prepared data'!R145</f>
        <v/>
      </c>
      <c r="T152" s="7">
        <f>'1 prepared data'!S145</f>
        <v/>
      </c>
      <c r="U152" s="7">
        <f>'1 prepared data'!T145</f>
        <v/>
      </c>
      <c r="V152" s="8">
        <f>$AC$12+D152*$AC$13+E152*$AC$14+F152*$AC$15+G152*$AC$16+H152*$AC$17+I152*$AC$18+J152*$AC$19+K152*$AC$20+L152*$AC$21+M152*$AC$22+N152*$AC$23+O152*$AC$24+P152*$AC$25+Q152*$AC$26+R152*$AC$27+S152*$AC$28+T152*$AC$29+U152*$AC$30</f>
        <v/>
      </c>
      <c r="W152" s="8">
        <f>1/(1+EXP(-V152))</f>
        <v/>
      </c>
      <c r="X152" s="9">
        <f>-IF(C152=1,LN(W152),LN(1-W152))</f>
        <v/>
      </c>
      <c r="Y152" s="10">
        <f>IF(W152&gt;$AC$33,1,0)</f>
        <v/>
      </c>
      <c r="Z152">
        <f>IF(Y152=C152,1,0)</f>
        <v/>
      </c>
    </row>
    <row r="153">
      <c r="A153">
        <f>'1 prepared data'!A146</f>
        <v/>
      </c>
      <c r="B153" s="5">
        <f>'1 prepared data'!U146</f>
        <v/>
      </c>
      <c r="C153">
        <f>'1 prepared data'!B146</f>
        <v/>
      </c>
      <c r="D153" s="7">
        <f>'1 prepared data'!C146</f>
        <v/>
      </c>
      <c r="E153" s="7">
        <f>'1 prepared data'!D146</f>
        <v/>
      </c>
      <c r="F153" s="7">
        <f>'1 prepared data'!E146</f>
        <v/>
      </c>
      <c r="G153" s="7">
        <f>'1 prepared data'!F146</f>
        <v/>
      </c>
      <c r="H153" s="7">
        <f>'1 prepared data'!G146</f>
        <v/>
      </c>
      <c r="I153" s="7">
        <f>'1 prepared data'!H146</f>
        <v/>
      </c>
      <c r="J153" s="7">
        <f>'1 prepared data'!I146</f>
        <v/>
      </c>
      <c r="K153" s="7">
        <f>'1 prepared data'!J146</f>
        <v/>
      </c>
      <c r="L153" s="7">
        <f>'1 prepared data'!K146</f>
        <v/>
      </c>
      <c r="M153" s="7">
        <f>'1 prepared data'!L146</f>
        <v/>
      </c>
      <c r="N153" s="7">
        <f>'1 prepared data'!M146</f>
        <v/>
      </c>
      <c r="O153" s="7">
        <f>'1 prepared data'!N146</f>
        <v/>
      </c>
      <c r="P153" s="7">
        <f>'1 prepared data'!O146</f>
        <v/>
      </c>
      <c r="Q153" s="7">
        <f>'1 prepared data'!P146</f>
        <v/>
      </c>
      <c r="R153" s="7">
        <f>'1 prepared data'!Q146</f>
        <v/>
      </c>
      <c r="S153" s="7">
        <f>'1 prepared data'!R146</f>
        <v/>
      </c>
      <c r="T153" s="7">
        <f>'1 prepared data'!S146</f>
        <v/>
      </c>
      <c r="U153" s="7">
        <f>'1 prepared data'!T146</f>
        <v/>
      </c>
      <c r="V153" s="8">
        <f>$AC$12+D153*$AC$13+E153*$AC$14+F153*$AC$15+G153*$AC$16+H153*$AC$17+I153*$AC$18+J153*$AC$19+K153*$AC$20+L153*$AC$21+M153*$AC$22+N153*$AC$23+O153*$AC$24+P153*$AC$25+Q153*$AC$26+R153*$AC$27+S153*$AC$28+T153*$AC$29+U153*$AC$30</f>
        <v/>
      </c>
      <c r="W153" s="8">
        <f>1/(1+EXP(-V153))</f>
        <v/>
      </c>
      <c r="X153" s="9">
        <f>-IF(C153=1,LN(W153),LN(1-W153))</f>
        <v/>
      </c>
      <c r="Y153" s="10">
        <f>IF(W153&gt;$AC$33,1,0)</f>
        <v/>
      </c>
      <c r="Z153">
        <f>IF(Y153=C153,1,0)</f>
        <v/>
      </c>
    </row>
    <row r="154">
      <c r="A154">
        <f>'1 prepared data'!A147</f>
        <v/>
      </c>
      <c r="B154" s="5">
        <f>'1 prepared data'!U147</f>
        <v/>
      </c>
      <c r="C154">
        <f>'1 prepared data'!B147</f>
        <v/>
      </c>
      <c r="D154" s="7">
        <f>'1 prepared data'!C147</f>
        <v/>
      </c>
      <c r="E154" s="7">
        <f>'1 prepared data'!D147</f>
        <v/>
      </c>
      <c r="F154" s="7">
        <f>'1 prepared data'!E147</f>
        <v/>
      </c>
      <c r="G154" s="7">
        <f>'1 prepared data'!F147</f>
        <v/>
      </c>
      <c r="H154" s="7">
        <f>'1 prepared data'!G147</f>
        <v/>
      </c>
      <c r="I154" s="7">
        <f>'1 prepared data'!H147</f>
        <v/>
      </c>
      <c r="J154" s="7">
        <f>'1 prepared data'!I147</f>
        <v/>
      </c>
      <c r="K154" s="7">
        <f>'1 prepared data'!J147</f>
        <v/>
      </c>
      <c r="L154" s="7">
        <f>'1 prepared data'!K147</f>
        <v/>
      </c>
      <c r="M154" s="7">
        <f>'1 prepared data'!L147</f>
        <v/>
      </c>
      <c r="N154" s="7">
        <f>'1 prepared data'!M147</f>
        <v/>
      </c>
      <c r="O154" s="7">
        <f>'1 prepared data'!N147</f>
        <v/>
      </c>
      <c r="P154" s="7">
        <f>'1 prepared data'!O147</f>
        <v/>
      </c>
      <c r="Q154" s="7">
        <f>'1 prepared data'!P147</f>
        <v/>
      </c>
      <c r="R154" s="7">
        <f>'1 prepared data'!Q147</f>
        <v/>
      </c>
      <c r="S154" s="7">
        <f>'1 prepared data'!R147</f>
        <v/>
      </c>
      <c r="T154" s="7">
        <f>'1 prepared data'!S147</f>
        <v/>
      </c>
      <c r="U154" s="7">
        <f>'1 prepared data'!T147</f>
        <v/>
      </c>
      <c r="V154" s="8">
        <f>$AC$12+D154*$AC$13+E154*$AC$14+F154*$AC$15+G154*$AC$16+H154*$AC$17+I154*$AC$18+J154*$AC$19+K154*$AC$20+L154*$AC$21+M154*$AC$22+N154*$AC$23+O154*$AC$24+P154*$AC$25+Q154*$AC$26+R154*$AC$27+S154*$AC$28+T154*$AC$29+U154*$AC$30</f>
        <v/>
      </c>
      <c r="W154" s="8">
        <f>1/(1+EXP(-V154))</f>
        <v/>
      </c>
      <c r="X154" s="9">
        <f>-IF(C154=1,LN(W154),LN(1-W154))</f>
        <v/>
      </c>
      <c r="Y154" s="10">
        <f>IF(W154&gt;$AC$33,1,0)</f>
        <v/>
      </c>
      <c r="Z154">
        <f>IF(Y154=C154,1,0)</f>
        <v/>
      </c>
    </row>
    <row r="155">
      <c r="A155">
        <f>'1 prepared data'!A148</f>
        <v/>
      </c>
      <c r="B155" s="5">
        <f>'1 prepared data'!U148</f>
        <v/>
      </c>
      <c r="C155">
        <f>'1 prepared data'!B148</f>
        <v/>
      </c>
      <c r="D155" s="7">
        <f>'1 prepared data'!C148</f>
        <v/>
      </c>
      <c r="E155" s="7">
        <f>'1 prepared data'!D148</f>
        <v/>
      </c>
      <c r="F155" s="7">
        <f>'1 prepared data'!E148</f>
        <v/>
      </c>
      <c r="G155" s="7">
        <f>'1 prepared data'!F148</f>
        <v/>
      </c>
      <c r="H155" s="7">
        <f>'1 prepared data'!G148</f>
        <v/>
      </c>
      <c r="I155" s="7">
        <f>'1 prepared data'!H148</f>
        <v/>
      </c>
      <c r="J155" s="7">
        <f>'1 prepared data'!I148</f>
        <v/>
      </c>
      <c r="K155" s="7">
        <f>'1 prepared data'!J148</f>
        <v/>
      </c>
      <c r="L155" s="7">
        <f>'1 prepared data'!K148</f>
        <v/>
      </c>
      <c r="M155" s="7">
        <f>'1 prepared data'!L148</f>
        <v/>
      </c>
      <c r="N155" s="7">
        <f>'1 prepared data'!M148</f>
        <v/>
      </c>
      <c r="O155" s="7">
        <f>'1 prepared data'!N148</f>
        <v/>
      </c>
      <c r="P155" s="7">
        <f>'1 prepared data'!O148</f>
        <v/>
      </c>
      <c r="Q155" s="7">
        <f>'1 prepared data'!P148</f>
        <v/>
      </c>
      <c r="R155" s="7">
        <f>'1 prepared data'!Q148</f>
        <v/>
      </c>
      <c r="S155" s="7">
        <f>'1 prepared data'!R148</f>
        <v/>
      </c>
      <c r="T155" s="7">
        <f>'1 prepared data'!S148</f>
        <v/>
      </c>
      <c r="U155" s="7">
        <f>'1 prepared data'!T148</f>
        <v/>
      </c>
      <c r="V155" s="8">
        <f>$AC$12+D155*$AC$13+E155*$AC$14+F155*$AC$15+G155*$AC$16+H155*$AC$17+I155*$AC$18+J155*$AC$19+K155*$AC$20+L155*$AC$21+M155*$AC$22+N155*$AC$23+O155*$AC$24+P155*$AC$25+Q155*$AC$26+R155*$AC$27+S155*$AC$28+T155*$AC$29+U155*$AC$30</f>
        <v/>
      </c>
      <c r="W155" s="8">
        <f>1/(1+EXP(-V155))</f>
        <v/>
      </c>
      <c r="X155" s="9">
        <f>-IF(C155=1,LN(W155),LN(1-W155))</f>
        <v/>
      </c>
      <c r="Y155" s="10">
        <f>IF(W155&gt;$AC$33,1,0)</f>
        <v/>
      </c>
      <c r="Z155">
        <f>IF(Y155=C155,1,0)</f>
        <v/>
      </c>
    </row>
    <row r="156">
      <c r="A156">
        <f>'1 prepared data'!A149</f>
        <v/>
      </c>
      <c r="B156" s="5">
        <f>'1 prepared data'!U149</f>
        <v/>
      </c>
      <c r="C156">
        <f>'1 prepared data'!B149</f>
        <v/>
      </c>
      <c r="D156" s="7">
        <f>'1 prepared data'!C149</f>
        <v/>
      </c>
      <c r="E156" s="7">
        <f>'1 prepared data'!D149</f>
        <v/>
      </c>
      <c r="F156" s="7">
        <f>'1 prepared data'!E149</f>
        <v/>
      </c>
      <c r="G156" s="7">
        <f>'1 prepared data'!F149</f>
        <v/>
      </c>
      <c r="H156" s="7">
        <f>'1 prepared data'!G149</f>
        <v/>
      </c>
      <c r="I156" s="7">
        <f>'1 prepared data'!H149</f>
        <v/>
      </c>
      <c r="J156" s="7">
        <f>'1 prepared data'!I149</f>
        <v/>
      </c>
      <c r="K156" s="7">
        <f>'1 prepared data'!J149</f>
        <v/>
      </c>
      <c r="L156" s="7">
        <f>'1 prepared data'!K149</f>
        <v/>
      </c>
      <c r="M156" s="7">
        <f>'1 prepared data'!L149</f>
        <v/>
      </c>
      <c r="N156" s="7">
        <f>'1 prepared data'!M149</f>
        <v/>
      </c>
      <c r="O156" s="7">
        <f>'1 prepared data'!N149</f>
        <v/>
      </c>
      <c r="P156" s="7">
        <f>'1 prepared data'!O149</f>
        <v/>
      </c>
      <c r="Q156" s="7">
        <f>'1 prepared data'!P149</f>
        <v/>
      </c>
      <c r="R156" s="7">
        <f>'1 prepared data'!Q149</f>
        <v/>
      </c>
      <c r="S156" s="7">
        <f>'1 prepared data'!R149</f>
        <v/>
      </c>
      <c r="T156" s="7">
        <f>'1 prepared data'!S149</f>
        <v/>
      </c>
      <c r="U156" s="7">
        <f>'1 prepared data'!T149</f>
        <v/>
      </c>
      <c r="V156" s="8">
        <f>$AC$12+D156*$AC$13+E156*$AC$14+F156*$AC$15+G156*$AC$16+H156*$AC$17+I156*$AC$18+J156*$AC$19+K156*$AC$20+L156*$AC$21+M156*$AC$22+N156*$AC$23+O156*$AC$24+P156*$AC$25+Q156*$AC$26+R156*$AC$27+S156*$AC$28+T156*$AC$29+U156*$AC$30</f>
        <v/>
      </c>
      <c r="W156" s="8">
        <f>1/(1+EXP(-V156))</f>
        <v/>
      </c>
      <c r="X156" s="9">
        <f>-IF(C156=1,LN(W156),LN(1-W156))</f>
        <v/>
      </c>
      <c r="Y156" s="10">
        <f>IF(W156&gt;$AC$33,1,0)</f>
        <v/>
      </c>
      <c r="Z156">
        <f>IF(Y156=C156,1,0)</f>
        <v/>
      </c>
    </row>
    <row r="157">
      <c r="A157">
        <f>'1 prepared data'!A150</f>
        <v/>
      </c>
      <c r="B157" s="5">
        <f>'1 prepared data'!U150</f>
        <v/>
      </c>
      <c r="C157">
        <f>'1 prepared data'!B150</f>
        <v/>
      </c>
      <c r="D157" s="7">
        <f>'1 prepared data'!C150</f>
        <v/>
      </c>
      <c r="E157" s="7">
        <f>'1 prepared data'!D150</f>
        <v/>
      </c>
      <c r="F157" s="7">
        <f>'1 prepared data'!E150</f>
        <v/>
      </c>
      <c r="G157" s="7">
        <f>'1 prepared data'!F150</f>
        <v/>
      </c>
      <c r="H157" s="7">
        <f>'1 prepared data'!G150</f>
        <v/>
      </c>
      <c r="I157" s="7">
        <f>'1 prepared data'!H150</f>
        <v/>
      </c>
      <c r="J157" s="7">
        <f>'1 prepared data'!I150</f>
        <v/>
      </c>
      <c r="K157" s="7">
        <f>'1 prepared data'!J150</f>
        <v/>
      </c>
      <c r="L157" s="7">
        <f>'1 prepared data'!K150</f>
        <v/>
      </c>
      <c r="M157" s="7">
        <f>'1 prepared data'!L150</f>
        <v/>
      </c>
      <c r="N157" s="7">
        <f>'1 prepared data'!M150</f>
        <v/>
      </c>
      <c r="O157" s="7">
        <f>'1 prepared data'!N150</f>
        <v/>
      </c>
      <c r="P157" s="7">
        <f>'1 prepared data'!O150</f>
        <v/>
      </c>
      <c r="Q157" s="7">
        <f>'1 prepared data'!P150</f>
        <v/>
      </c>
      <c r="R157" s="7">
        <f>'1 prepared data'!Q150</f>
        <v/>
      </c>
      <c r="S157" s="7">
        <f>'1 prepared data'!R150</f>
        <v/>
      </c>
      <c r="T157" s="7">
        <f>'1 prepared data'!S150</f>
        <v/>
      </c>
      <c r="U157" s="7">
        <f>'1 prepared data'!T150</f>
        <v/>
      </c>
      <c r="V157" s="8">
        <f>$AC$12+D157*$AC$13+E157*$AC$14+F157*$AC$15+G157*$AC$16+H157*$AC$17+I157*$AC$18+J157*$AC$19+K157*$AC$20+L157*$AC$21+M157*$AC$22+N157*$AC$23+O157*$AC$24+P157*$AC$25+Q157*$AC$26+R157*$AC$27+S157*$AC$28+T157*$AC$29+U157*$AC$30</f>
        <v/>
      </c>
      <c r="W157" s="8">
        <f>1/(1+EXP(-V157))</f>
        <v/>
      </c>
      <c r="X157" s="9">
        <f>-IF(C157=1,LN(W157),LN(1-W157))</f>
        <v/>
      </c>
      <c r="Y157" s="10">
        <f>IF(W157&gt;$AC$33,1,0)</f>
        <v/>
      </c>
      <c r="Z157">
        <f>IF(Y157=C157,1,0)</f>
        <v/>
      </c>
    </row>
    <row r="158">
      <c r="A158">
        <f>'1 prepared data'!A151</f>
        <v/>
      </c>
      <c r="B158" s="5">
        <f>'1 prepared data'!U151</f>
        <v/>
      </c>
      <c r="C158">
        <f>'1 prepared data'!B151</f>
        <v/>
      </c>
      <c r="D158" s="7">
        <f>'1 prepared data'!C151</f>
        <v/>
      </c>
      <c r="E158" s="7">
        <f>'1 prepared data'!D151</f>
        <v/>
      </c>
      <c r="F158" s="7">
        <f>'1 prepared data'!E151</f>
        <v/>
      </c>
      <c r="G158" s="7">
        <f>'1 prepared data'!F151</f>
        <v/>
      </c>
      <c r="H158" s="7">
        <f>'1 prepared data'!G151</f>
        <v/>
      </c>
      <c r="I158" s="7">
        <f>'1 prepared data'!H151</f>
        <v/>
      </c>
      <c r="J158" s="7">
        <f>'1 prepared data'!I151</f>
        <v/>
      </c>
      <c r="K158" s="7">
        <f>'1 prepared data'!J151</f>
        <v/>
      </c>
      <c r="L158" s="7">
        <f>'1 prepared data'!K151</f>
        <v/>
      </c>
      <c r="M158" s="7">
        <f>'1 prepared data'!L151</f>
        <v/>
      </c>
      <c r="N158" s="7">
        <f>'1 prepared data'!M151</f>
        <v/>
      </c>
      <c r="O158" s="7">
        <f>'1 prepared data'!N151</f>
        <v/>
      </c>
      <c r="P158" s="7">
        <f>'1 prepared data'!O151</f>
        <v/>
      </c>
      <c r="Q158" s="7">
        <f>'1 prepared data'!P151</f>
        <v/>
      </c>
      <c r="R158" s="7">
        <f>'1 prepared data'!Q151</f>
        <v/>
      </c>
      <c r="S158" s="7">
        <f>'1 prepared data'!R151</f>
        <v/>
      </c>
      <c r="T158" s="7">
        <f>'1 prepared data'!S151</f>
        <v/>
      </c>
      <c r="U158" s="7">
        <f>'1 prepared data'!T151</f>
        <v/>
      </c>
      <c r="V158" s="8">
        <f>$AC$12+D158*$AC$13+E158*$AC$14+F158*$AC$15+G158*$AC$16+H158*$AC$17+I158*$AC$18+J158*$AC$19+K158*$AC$20+L158*$AC$21+M158*$AC$22+N158*$AC$23+O158*$AC$24+P158*$AC$25+Q158*$AC$26+R158*$AC$27+S158*$AC$28+T158*$AC$29+U158*$AC$30</f>
        <v/>
      </c>
      <c r="W158" s="8">
        <f>1/(1+EXP(-V158))</f>
        <v/>
      </c>
      <c r="X158" s="9">
        <f>-IF(C158=1,LN(W158),LN(1-W158))</f>
        <v/>
      </c>
      <c r="Y158" s="10">
        <f>IF(W158&gt;$AC$33,1,0)</f>
        <v/>
      </c>
      <c r="Z158">
        <f>IF(Y158=C158,1,0)</f>
        <v/>
      </c>
    </row>
    <row r="159">
      <c r="A159">
        <f>'1 prepared data'!A152</f>
        <v/>
      </c>
      <c r="B159" s="5">
        <f>'1 prepared data'!U152</f>
        <v/>
      </c>
      <c r="C159">
        <f>'1 prepared data'!B152</f>
        <v/>
      </c>
      <c r="D159" s="7">
        <f>'1 prepared data'!C152</f>
        <v/>
      </c>
      <c r="E159" s="7">
        <f>'1 prepared data'!D152</f>
        <v/>
      </c>
      <c r="F159" s="7">
        <f>'1 prepared data'!E152</f>
        <v/>
      </c>
      <c r="G159" s="7">
        <f>'1 prepared data'!F152</f>
        <v/>
      </c>
      <c r="H159" s="7">
        <f>'1 prepared data'!G152</f>
        <v/>
      </c>
      <c r="I159" s="7">
        <f>'1 prepared data'!H152</f>
        <v/>
      </c>
      <c r="J159" s="7">
        <f>'1 prepared data'!I152</f>
        <v/>
      </c>
      <c r="K159" s="7">
        <f>'1 prepared data'!J152</f>
        <v/>
      </c>
      <c r="L159" s="7">
        <f>'1 prepared data'!K152</f>
        <v/>
      </c>
      <c r="M159" s="7">
        <f>'1 prepared data'!L152</f>
        <v/>
      </c>
      <c r="N159" s="7">
        <f>'1 prepared data'!M152</f>
        <v/>
      </c>
      <c r="O159" s="7">
        <f>'1 prepared data'!N152</f>
        <v/>
      </c>
      <c r="P159" s="7">
        <f>'1 prepared data'!O152</f>
        <v/>
      </c>
      <c r="Q159" s="7">
        <f>'1 prepared data'!P152</f>
        <v/>
      </c>
      <c r="R159" s="7">
        <f>'1 prepared data'!Q152</f>
        <v/>
      </c>
      <c r="S159" s="7">
        <f>'1 prepared data'!R152</f>
        <v/>
      </c>
      <c r="T159" s="7">
        <f>'1 prepared data'!S152</f>
        <v/>
      </c>
      <c r="U159" s="7">
        <f>'1 prepared data'!T152</f>
        <v/>
      </c>
      <c r="V159" s="8">
        <f>$AC$12+D159*$AC$13+E159*$AC$14+F159*$AC$15+G159*$AC$16+H159*$AC$17+I159*$AC$18+J159*$AC$19+K159*$AC$20+L159*$AC$21+M159*$AC$22+N159*$AC$23+O159*$AC$24+P159*$AC$25+Q159*$AC$26+R159*$AC$27+S159*$AC$28+T159*$AC$29+U159*$AC$30</f>
        <v/>
      </c>
      <c r="W159" s="8">
        <f>1/(1+EXP(-V159))</f>
        <v/>
      </c>
      <c r="X159" s="9">
        <f>-IF(C159=1,LN(W159),LN(1-W159))</f>
        <v/>
      </c>
      <c r="Y159" s="10">
        <f>IF(W159&gt;$AC$33,1,0)</f>
        <v/>
      </c>
      <c r="Z159">
        <f>IF(Y159=C159,1,0)</f>
        <v/>
      </c>
    </row>
    <row r="160">
      <c r="A160">
        <f>'1 prepared data'!A153</f>
        <v/>
      </c>
      <c r="B160" s="5">
        <f>'1 prepared data'!U153</f>
        <v/>
      </c>
      <c r="C160">
        <f>'1 prepared data'!B153</f>
        <v/>
      </c>
      <c r="D160" s="7">
        <f>'1 prepared data'!C153</f>
        <v/>
      </c>
      <c r="E160" s="7">
        <f>'1 prepared data'!D153</f>
        <v/>
      </c>
      <c r="F160" s="7">
        <f>'1 prepared data'!E153</f>
        <v/>
      </c>
      <c r="G160" s="7">
        <f>'1 prepared data'!F153</f>
        <v/>
      </c>
      <c r="H160" s="7">
        <f>'1 prepared data'!G153</f>
        <v/>
      </c>
      <c r="I160" s="7">
        <f>'1 prepared data'!H153</f>
        <v/>
      </c>
      <c r="J160" s="7">
        <f>'1 prepared data'!I153</f>
        <v/>
      </c>
      <c r="K160" s="7">
        <f>'1 prepared data'!J153</f>
        <v/>
      </c>
      <c r="L160" s="7">
        <f>'1 prepared data'!K153</f>
        <v/>
      </c>
      <c r="M160" s="7">
        <f>'1 prepared data'!L153</f>
        <v/>
      </c>
      <c r="N160" s="7">
        <f>'1 prepared data'!M153</f>
        <v/>
      </c>
      <c r="O160" s="7">
        <f>'1 prepared data'!N153</f>
        <v/>
      </c>
      <c r="P160" s="7">
        <f>'1 prepared data'!O153</f>
        <v/>
      </c>
      <c r="Q160" s="7">
        <f>'1 prepared data'!P153</f>
        <v/>
      </c>
      <c r="R160" s="7">
        <f>'1 prepared data'!Q153</f>
        <v/>
      </c>
      <c r="S160" s="7">
        <f>'1 prepared data'!R153</f>
        <v/>
      </c>
      <c r="T160" s="7">
        <f>'1 prepared data'!S153</f>
        <v/>
      </c>
      <c r="U160" s="7">
        <f>'1 prepared data'!T153</f>
        <v/>
      </c>
      <c r="V160" s="8">
        <f>$AC$12+D160*$AC$13+E160*$AC$14+F160*$AC$15+G160*$AC$16+H160*$AC$17+I160*$AC$18+J160*$AC$19+K160*$AC$20+L160*$AC$21+M160*$AC$22+N160*$AC$23+O160*$AC$24+P160*$AC$25+Q160*$AC$26+R160*$AC$27+S160*$AC$28+T160*$AC$29+U160*$AC$30</f>
        <v/>
      </c>
      <c r="W160" s="8">
        <f>1/(1+EXP(-V160))</f>
        <v/>
      </c>
      <c r="X160" s="9">
        <f>-IF(C160=1,LN(W160),LN(1-W160))</f>
        <v/>
      </c>
      <c r="Y160" s="10">
        <f>IF(W160&gt;$AC$33,1,0)</f>
        <v/>
      </c>
      <c r="Z160">
        <f>IF(Y160=C160,1,0)</f>
        <v/>
      </c>
    </row>
    <row r="161">
      <c r="A161">
        <f>'1 prepared data'!A154</f>
        <v/>
      </c>
      <c r="B161" s="5">
        <f>'1 prepared data'!U154</f>
        <v/>
      </c>
      <c r="C161">
        <f>'1 prepared data'!B154</f>
        <v/>
      </c>
      <c r="D161" s="7">
        <f>'1 prepared data'!C154</f>
        <v/>
      </c>
      <c r="E161" s="7">
        <f>'1 prepared data'!D154</f>
        <v/>
      </c>
      <c r="F161" s="7">
        <f>'1 prepared data'!E154</f>
        <v/>
      </c>
      <c r="G161" s="7">
        <f>'1 prepared data'!F154</f>
        <v/>
      </c>
      <c r="H161" s="7">
        <f>'1 prepared data'!G154</f>
        <v/>
      </c>
      <c r="I161" s="7">
        <f>'1 prepared data'!H154</f>
        <v/>
      </c>
      <c r="J161" s="7">
        <f>'1 prepared data'!I154</f>
        <v/>
      </c>
      <c r="K161" s="7">
        <f>'1 prepared data'!J154</f>
        <v/>
      </c>
      <c r="L161" s="7">
        <f>'1 prepared data'!K154</f>
        <v/>
      </c>
      <c r="M161" s="7">
        <f>'1 prepared data'!L154</f>
        <v/>
      </c>
      <c r="N161" s="7">
        <f>'1 prepared data'!M154</f>
        <v/>
      </c>
      <c r="O161" s="7">
        <f>'1 prepared data'!N154</f>
        <v/>
      </c>
      <c r="P161" s="7">
        <f>'1 prepared data'!O154</f>
        <v/>
      </c>
      <c r="Q161" s="7">
        <f>'1 prepared data'!P154</f>
        <v/>
      </c>
      <c r="R161" s="7">
        <f>'1 prepared data'!Q154</f>
        <v/>
      </c>
      <c r="S161" s="7">
        <f>'1 prepared data'!R154</f>
        <v/>
      </c>
      <c r="T161" s="7">
        <f>'1 prepared data'!S154</f>
        <v/>
      </c>
      <c r="U161" s="7">
        <f>'1 prepared data'!T154</f>
        <v/>
      </c>
      <c r="V161" s="8">
        <f>$AC$12+D161*$AC$13+E161*$AC$14+F161*$AC$15+G161*$AC$16+H161*$AC$17+I161*$AC$18+J161*$AC$19+K161*$AC$20+L161*$AC$21+M161*$AC$22+N161*$AC$23+O161*$AC$24+P161*$AC$25+Q161*$AC$26+R161*$AC$27+S161*$AC$28+T161*$AC$29+U161*$AC$30</f>
        <v/>
      </c>
      <c r="W161" s="8">
        <f>1/(1+EXP(-V161))</f>
        <v/>
      </c>
      <c r="X161" s="9">
        <f>-IF(C161=1,LN(W161),LN(1-W161))</f>
        <v/>
      </c>
      <c r="Y161" s="10">
        <f>IF(W161&gt;$AC$33,1,0)</f>
        <v/>
      </c>
      <c r="Z161">
        <f>IF(Y161=C161,1,0)</f>
        <v/>
      </c>
    </row>
    <row r="162">
      <c r="A162">
        <f>'1 prepared data'!A155</f>
        <v/>
      </c>
      <c r="B162" s="5">
        <f>'1 prepared data'!U155</f>
        <v/>
      </c>
      <c r="C162">
        <f>'1 prepared data'!B155</f>
        <v/>
      </c>
      <c r="D162" s="7">
        <f>'1 prepared data'!C155</f>
        <v/>
      </c>
      <c r="E162" s="7">
        <f>'1 prepared data'!D155</f>
        <v/>
      </c>
      <c r="F162" s="7">
        <f>'1 prepared data'!E155</f>
        <v/>
      </c>
      <c r="G162" s="7">
        <f>'1 prepared data'!F155</f>
        <v/>
      </c>
      <c r="H162" s="7">
        <f>'1 prepared data'!G155</f>
        <v/>
      </c>
      <c r="I162" s="7">
        <f>'1 prepared data'!H155</f>
        <v/>
      </c>
      <c r="J162" s="7">
        <f>'1 prepared data'!I155</f>
        <v/>
      </c>
      <c r="K162" s="7">
        <f>'1 prepared data'!J155</f>
        <v/>
      </c>
      <c r="L162" s="7">
        <f>'1 prepared data'!K155</f>
        <v/>
      </c>
      <c r="M162" s="7">
        <f>'1 prepared data'!L155</f>
        <v/>
      </c>
      <c r="N162" s="7">
        <f>'1 prepared data'!M155</f>
        <v/>
      </c>
      <c r="O162" s="7">
        <f>'1 prepared data'!N155</f>
        <v/>
      </c>
      <c r="P162" s="7">
        <f>'1 prepared data'!O155</f>
        <v/>
      </c>
      <c r="Q162" s="7">
        <f>'1 prepared data'!P155</f>
        <v/>
      </c>
      <c r="R162" s="7">
        <f>'1 prepared data'!Q155</f>
        <v/>
      </c>
      <c r="S162" s="7">
        <f>'1 prepared data'!R155</f>
        <v/>
      </c>
      <c r="T162" s="7">
        <f>'1 prepared data'!S155</f>
        <v/>
      </c>
      <c r="U162" s="7">
        <f>'1 prepared data'!T155</f>
        <v/>
      </c>
      <c r="V162" s="8">
        <f>$AC$12+D162*$AC$13+E162*$AC$14+F162*$AC$15+G162*$AC$16+H162*$AC$17+I162*$AC$18+J162*$AC$19+K162*$AC$20+L162*$AC$21+M162*$AC$22+N162*$AC$23+O162*$AC$24+P162*$AC$25+Q162*$AC$26+R162*$AC$27+S162*$AC$28+T162*$AC$29+U162*$AC$30</f>
        <v/>
      </c>
      <c r="W162" s="8">
        <f>1/(1+EXP(-V162))</f>
        <v/>
      </c>
      <c r="X162" s="9">
        <f>-IF(C162=1,LN(W162),LN(1-W162))</f>
        <v/>
      </c>
      <c r="Y162" s="10">
        <f>IF(W162&gt;$AC$33,1,0)</f>
        <v/>
      </c>
      <c r="Z162">
        <f>IF(Y162=C162,1,0)</f>
        <v/>
      </c>
    </row>
    <row r="163">
      <c r="A163">
        <f>'1 prepared data'!A156</f>
        <v/>
      </c>
      <c r="B163" s="5">
        <f>'1 prepared data'!U156</f>
        <v/>
      </c>
      <c r="C163">
        <f>'1 prepared data'!B156</f>
        <v/>
      </c>
      <c r="D163" s="7">
        <f>'1 prepared data'!C156</f>
        <v/>
      </c>
      <c r="E163" s="7">
        <f>'1 prepared data'!D156</f>
        <v/>
      </c>
      <c r="F163" s="7">
        <f>'1 prepared data'!E156</f>
        <v/>
      </c>
      <c r="G163" s="7">
        <f>'1 prepared data'!F156</f>
        <v/>
      </c>
      <c r="H163" s="7">
        <f>'1 prepared data'!G156</f>
        <v/>
      </c>
      <c r="I163" s="7">
        <f>'1 prepared data'!H156</f>
        <v/>
      </c>
      <c r="J163" s="7">
        <f>'1 prepared data'!I156</f>
        <v/>
      </c>
      <c r="K163" s="7">
        <f>'1 prepared data'!J156</f>
        <v/>
      </c>
      <c r="L163" s="7">
        <f>'1 prepared data'!K156</f>
        <v/>
      </c>
      <c r="M163" s="7">
        <f>'1 prepared data'!L156</f>
        <v/>
      </c>
      <c r="N163" s="7">
        <f>'1 prepared data'!M156</f>
        <v/>
      </c>
      <c r="O163" s="7">
        <f>'1 prepared data'!N156</f>
        <v/>
      </c>
      <c r="P163" s="7">
        <f>'1 prepared data'!O156</f>
        <v/>
      </c>
      <c r="Q163" s="7">
        <f>'1 prepared data'!P156</f>
        <v/>
      </c>
      <c r="R163" s="7">
        <f>'1 prepared data'!Q156</f>
        <v/>
      </c>
      <c r="S163" s="7">
        <f>'1 prepared data'!R156</f>
        <v/>
      </c>
      <c r="T163" s="7">
        <f>'1 prepared data'!S156</f>
        <v/>
      </c>
      <c r="U163" s="7">
        <f>'1 prepared data'!T156</f>
        <v/>
      </c>
      <c r="V163" s="8">
        <f>$AC$12+D163*$AC$13+E163*$AC$14+F163*$AC$15+G163*$AC$16+H163*$AC$17+I163*$AC$18+J163*$AC$19+K163*$AC$20+L163*$AC$21+M163*$AC$22+N163*$AC$23+O163*$AC$24+P163*$AC$25+Q163*$AC$26+R163*$AC$27+S163*$AC$28+T163*$AC$29+U163*$AC$30</f>
        <v/>
      </c>
      <c r="W163" s="8">
        <f>1/(1+EXP(-V163))</f>
        <v/>
      </c>
      <c r="X163" s="9">
        <f>-IF(C163=1,LN(W163),LN(1-W163))</f>
        <v/>
      </c>
      <c r="Y163" s="10">
        <f>IF(W163&gt;$AC$33,1,0)</f>
        <v/>
      </c>
      <c r="Z163">
        <f>IF(Y163=C163,1,0)</f>
        <v/>
      </c>
    </row>
    <row r="164">
      <c r="A164">
        <f>'1 prepared data'!A157</f>
        <v/>
      </c>
      <c r="B164" s="5">
        <f>'1 prepared data'!U157</f>
        <v/>
      </c>
      <c r="C164">
        <f>'1 prepared data'!B157</f>
        <v/>
      </c>
      <c r="D164" s="7">
        <f>'1 prepared data'!C157</f>
        <v/>
      </c>
      <c r="E164" s="7">
        <f>'1 prepared data'!D157</f>
        <v/>
      </c>
      <c r="F164" s="7">
        <f>'1 prepared data'!E157</f>
        <v/>
      </c>
      <c r="G164" s="7">
        <f>'1 prepared data'!F157</f>
        <v/>
      </c>
      <c r="H164" s="7">
        <f>'1 prepared data'!G157</f>
        <v/>
      </c>
      <c r="I164" s="7">
        <f>'1 prepared data'!H157</f>
        <v/>
      </c>
      <c r="J164" s="7">
        <f>'1 prepared data'!I157</f>
        <v/>
      </c>
      <c r="K164" s="7">
        <f>'1 prepared data'!J157</f>
        <v/>
      </c>
      <c r="L164" s="7">
        <f>'1 prepared data'!K157</f>
        <v/>
      </c>
      <c r="M164" s="7">
        <f>'1 prepared data'!L157</f>
        <v/>
      </c>
      <c r="N164" s="7">
        <f>'1 prepared data'!M157</f>
        <v/>
      </c>
      <c r="O164" s="7">
        <f>'1 prepared data'!N157</f>
        <v/>
      </c>
      <c r="P164" s="7">
        <f>'1 prepared data'!O157</f>
        <v/>
      </c>
      <c r="Q164" s="7">
        <f>'1 prepared data'!P157</f>
        <v/>
      </c>
      <c r="R164" s="7">
        <f>'1 prepared data'!Q157</f>
        <v/>
      </c>
      <c r="S164" s="7">
        <f>'1 prepared data'!R157</f>
        <v/>
      </c>
      <c r="T164" s="7">
        <f>'1 prepared data'!S157</f>
        <v/>
      </c>
      <c r="U164" s="7">
        <f>'1 prepared data'!T157</f>
        <v/>
      </c>
      <c r="V164" s="8">
        <f>$AC$12+D164*$AC$13+E164*$AC$14+F164*$AC$15+G164*$AC$16+H164*$AC$17+I164*$AC$18+J164*$AC$19+K164*$AC$20+L164*$AC$21+M164*$AC$22+N164*$AC$23+O164*$AC$24+P164*$AC$25+Q164*$AC$26+R164*$AC$27+S164*$AC$28+T164*$AC$29+U164*$AC$30</f>
        <v/>
      </c>
      <c r="W164" s="8">
        <f>1/(1+EXP(-V164))</f>
        <v/>
      </c>
      <c r="X164" s="9">
        <f>-IF(C164=1,LN(W164),LN(1-W164))</f>
        <v/>
      </c>
      <c r="Y164" s="10">
        <f>IF(W164&gt;$AC$33,1,0)</f>
        <v/>
      </c>
      <c r="Z164">
        <f>IF(Y164=C164,1,0)</f>
        <v/>
      </c>
    </row>
    <row r="165">
      <c r="A165">
        <f>'1 prepared data'!A158</f>
        <v/>
      </c>
      <c r="B165" s="5">
        <f>'1 prepared data'!U158</f>
        <v/>
      </c>
      <c r="C165">
        <f>'1 prepared data'!B158</f>
        <v/>
      </c>
      <c r="D165" s="7">
        <f>'1 prepared data'!C158</f>
        <v/>
      </c>
      <c r="E165" s="7">
        <f>'1 prepared data'!D158</f>
        <v/>
      </c>
      <c r="F165" s="7">
        <f>'1 prepared data'!E158</f>
        <v/>
      </c>
      <c r="G165" s="7">
        <f>'1 prepared data'!F158</f>
        <v/>
      </c>
      <c r="H165" s="7">
        <f>'1 prepared data'!G158</f>
        <v/>
      </c>
      <c r="I165" s="7">
        <f>'1 prepared data'!H158</f>
        <v/>
      </c>
      <c r="J165" s="7">
        <f>'1 prepared data'!I158</f>
        <v/>
      </c>
      <c r="K165" s="7">
        <f>'1 prepared data'!J158</f>
        <v/>
      </c>
      <c r="L165" s="7">
        <f>'1 prepared data'!K158</f>
        <v/>
      </c>
      <c r="M165" s="7">
        <f>'1 prepared data'!L158</f>
        <v/>
      </c>
      <c r="N165" s="7">
        <f>'1 prepared data'!M158</f>
        <v/>
      </c>
      <c r="O165" s="7">
        <f>'1 prepared data'!N158</f>
        <v/>
      </c>
      <c r="P165" s="7">
        <f>'1 prepared data'!O158</f>
        <v/>
      </c>
      <c r="Q165" s="7">
        <f>'1 prepared data'!P158</f>
        <v/>
      </c>
      <c r="R165" s="7">
        <f>'1 prepared data'!Q158</f>
        <v/>
      </c>
      <c r="S165" s="7">
        <f>'1 prepared data'!R158</f>
        <v/>
      </c>
      <c r="T165" s="7">
        <f>'1 prepared data'!S158</f>
        <v/>
      </c>
      <c r="U165" s="7">
        <f>'1 prepared data'!T158</f>
        <v/>
      </c>
      <c r="V165" s="8">
        <f>$AC$12+D165*$AC$13+E165*$AC$14+F165*$AC$15+G165*$AC$16+H165*$AC$17+I165*$AC$18+J165*$AC$19+K165*$AC$20+L165*$AC$21+M165*$AC$22+N165*$AC$23+O165*$AC$24+P165*$AC$25+Q165*$AC$26+R165*$AC$27+S165*$AC$28+T165*$AC$29+U165*$AC$30</f>
        <v/>
      </c>
      <c r="W165" s="8">
        <f>1/(1+EXP(-V165))</f>
        <v/>
      </c>
      <c r="X165" s="9">
        <f>-IF(C165=1,LN(W165),LN(1-W165))</f>
        <v/>
      </c>
      <c r="Y165" s="10">
        <f>IF(W165&gt;$AC$33,1,0)</f>
        <v/>
      </c>
      <c r="Z165">
        <f>IF(Y165=C165,1,0)</f>
        <v/>
      </c>
    </row>
    <row r="166">
      <c r="A166">
        <f>'1 prepared data'!A159</f>
        <v/>
      </c>
      <c r="B166" s="5">
        <f>'1 prepared data'!U159</f>
        <v/>
      </c>
      <c r="C166">
        <f>'1 prepared data'!B159</f>
        <v/>
      </c>
      <c r="D166" s="7">
        <f>'1 prepared data'!C159</f>
        <v/>
      </c>
      <c r="E166" s="7">
        <f>'1 prepared data'!D159</f>
        <v/>
      </c>
      <c r="F166" s="7">
        <f>'1 prepared data'!E159</f>
        <v/>
      </c>
      <c r="G166" s="7">
        <f>'1 prepared data'!F159</f>
        <v/>
      </c>
      <c r="H166" s="7">
        <f>'1 prepared data'!G159</f>
        <v/>
      </c>
      <c r="I166" s="7">
        <f>'1 prepared data'!H159</f>
        <v/>
      </c>
      <c r="J166" s="7">
        <f>'1 prepared data'!I159</f>
        <v/>
      </c>
      <c r="K166" s="7">
        <f>'1 prepared data'!J159</f>
        <v/>
      </c>
      <c r="L166" s="7">
        <f>'1 prepared data'!K159</f>
        <v/>
      </c>
      <c r="M166" s="7">
        <f>'1 prepared data'!L159</f>
        <v/>
      </c>
      <c r="N166" s="7">
        <f>'1 prepared data'!M159</f>
        <v/>
      </c>
      <c r="O166" s="7">
        <f>'1 prepared data'!N159</f>
        <v/>
      </c>
      <c r="P166" s="7">
        <f>'1 prepared data'!O159</f>
        <v/>
      </c>
      <c r="Q166" s="7">
        <f>'1 prepared data'!P159</f>
        <v/>
      </c>
      <c r="R166" s="7">
        <f>'1 prepared data'!Q159</f>
        <v/>
      </c>
      <c r="S166" s="7">
        <f>'1 prepared data'!R159</f>
        <v/>
      </c>
      <c r="T166" s="7">
        <f>'1 prepared data'!S159</f>
        <v/>
      </c>
      <c r="U166" s="7">
        <f>'1 prepared data'!T159</f>
        <v/>
      </c>
      <c r="V166" s="8">
        <f>$AC$12+D166*$AC$13+E166*$AC$14+F166*$AC$15+G166*$AC$16+H166*$AC$17+I166*$AC$18+J166*$AC$19+K166*$AC$20+L166*$AC$21+M166*$AC$22+N166*$AC$23+O166*$AC$24+P166*$AC$25+Q166*$AC$26+R166*$AC$27+S166*$AC$28+T166*$AC$29+U166*$AC$30</f>
        <v/>
      </c>
      <c r="W166" s="8">
        <f>1/(1+EXP(-V166))</f>
        <v/>
      </c>
      <c r="X166" s="9">
        <f>-IF(C166=1,LN(W166),LN(1-W166))</f>
        <v/>
      </c>
      <c r="Y166" s="10">
        <f>IF(W166&gt;$AC$33,1,0)</f>
        <v/>
      </c>
      <c r="Z166">
        <f>IF(Y166=C166,1,0)</f>
        <v/>
      </c>
    </row>
    <row r="167">
      <c r="A167">
        <f>'1 prepared data'!A160</f>
        <v/>
      </c>
      <c r="B167" s="5">
        <f>'1 prepared data'!U160</f>
        <v/>
      </c>
      <c r="C167">
        <f>'1 prepared data'!B160</f>
        <v/>
      </c>
      <c r="D167" s="7">
        <f>'1 prepared data'!C160</f>
        <v/>
      </c>
      <c r="E167" s="7">
        <f>'1 prepared data'!D160</f>
        <v/>
      </c>
      <c r="F167" s="7">
        <f>'1 prepared data'!E160</f>
        <v/>
      </c>
      <c r="G167" s="7">
        <f>'1 prepared data'!F160</f>
        <v/>
      </c>
      <c r="H167" s="7">
        <f>'1 prepared data'!G160</f>
        <v/>
      </c>
      <c r="I167" s="7">
        <f>'1 prepared data'!H160</f>
        <v/>
      </c>
      <c r="J167" s="7">
        <f>'1 prepared data'!I160</f>
        <v/>
      </c>
      <c r="K167" s="7">
        <f>'1 prepared data'!J160</f>
        <v/>
      </c>
      <c r="L167" s="7">
        <f>'1 prepared data'!K160</f>
        <v/>
      </c>
      <c r="M167" s="7">
        <f>'1 prepared data'!L160</f>
        <v/>
      </c>
      <c r="N167" s="7">
        <f>'1 prepared data'!M160</f>
        <v/>
      </c>
      <c r="O167" s="7">
        <f>'1 prepared data'!N160</f>
        <v/>
      </c>
      <c r="P167" s="7">
        <f>'1 prepared data'!O160</f>
        <v/>
      </c>
      <c r="Q167" s="7">
        <f>'1 prepared data'!P160</f>
        <v/>
      </c>
      <c r="R167" s="7">
        <f>'1 prepared data'!Q160</f>
        <v/>
      </c>
      <c r="S167" s="7">
        <f>'1 prepared data'!R160</f>
        <v/>
      </c>
      <c r="T167" s="7">
        <f>'1 prepared data'!S160</f>
        <v/>
      </c>
      <c r="U167" s="7">
        <f>'1 prepared data'!T160</f>
        <v/>
      </c>
      <c r="V167" s="8">
        <f>$AC$12+D167*$AC$13+E167*$AC$14+F167*$AC$15+G167*$AC$16+H167*$AC$17+I167*$AC$18+J167*$AC$19+K167*$AC$20+L167*$AC$21+M167*$AC$22+N167*$AC$23+O167*$AC$24+P167*$AC$25+Q167*$AC$26+R167*$AC$27+S167*$AC$28+T167*$AC$29+U167*$AC$30</f>
        <v/>
      </c>
      <c r="W167" s="8">
        <f>1/(1+EXP(-V167))</f>
        <v/>
      </c>
      <c r="X167" s="9">
        <f>-IF(C167=1,LN(W167),LN(1-W167))</f>
        <v/>
      </c>
      <c r="Y167" s="10">
        <f>IF(W167&gt;$AC$33,1,0)</f>
        <v/>
      </c>
      <c r="Z167">
        <f>IF(Y167=C167,1,0)</f>
        <v/>
      </c>
    </row>
    <row r="168">
      <c r="A168">
        <f>'1 prepared data'!A161</f>
        <v/>
      </c>
      <c r="B168" s="5">
        <f>'1 prepared data'!U161</f>
        <v/>
      </c>
      <c r="C168">
        <f>'1 prepared data'!B161</f>
        <v/>
      </c>
      <c r="D168" s="7">
        <f>'1 prepared data'!C161</f>
        <v/>
      </c>
      <c r="E168" s="7">
        <f>'1 prepared data'!D161</f>
        <v/>
      </c>
      <c r="F168" s="7">
        <f>'1 prepared data'!E161</f>
        <v/>
      </c>
      <c r="G168" s="7">
        <f>'1 prepared data'!F161</f>
        <v/>
      </c>
      <c r="H168" s="7">
        <f>'1 prepared data'!G161</f>
        <v/>
      </c>
      <c r="I168" s="7">
        <f>'1 prepared data'!H161</f>
        <v/>
      </c>
      <c r="J168" s="7">
        <f>'1 prepared data'!I161</f>
        <v/>
      </c>
      <c r="K168" s="7">
        <f>'1 prepared data'!J161</f>
        <v/>
      </c>
      <c r="L168" s="7">
        <f>'1 prepared data'!K161</f>
        <v/>
      </c>
      <c r="M168" s="7">
        <f>'1 prepared data'!L161</f>
        <v/>
      </c>
      <c r="N168" s="7">
        <f>'1 prepared data'!M161</f>
        <v/>
      </c>
      <c r="O168" s="7">
        <f>'1 prepared data'!N161</f>
        <v/>
      </c>
      <c r="P168" s="7">
        <f>'1 prepared data'!O161</f>
        <v/>
      </c>
      <c r="Q168" s="7">
        <f>'1 prepared data'!P161</f>
        <v/>
      </c>
      <c r="R168" s="7">
        <f>'1 prepared data'!Q161</f>
        <v/>
      </c>
      <c r="S168" s="7">
        <f>'1 prepared data'!R161</f>
        <v/>
      </c>
      <c r="T168" s="7">
        <f>'1 prepared data'!S161</f>
        <v/>
      </c>
      <c r="U168" s="7">
        <f>'1 prepared data'!T161</f>
        <v/>
      </c>
      <c r="V168" s="8">
        <f>$AC$12+D168*$AC$13+E168*$AC$14+F168*$AC$15+G168*$AC$16+H168*$AC$17+I168*$AC$18+J168*$AC$19+K168*$AC$20+L168*$AC$21+M168*$AC$22+N168*$AC$23+O168*$AC$24+P168*$AC$25+Q168*$AC$26+R168*$AC$27+S168*$AC$28+T168*$AC$29+U168*$AC$30</f>
        <v/>
      </c>
      <c r="W168" s="8">
        <f>1/(1+EXP(-V168))</f>
        <v/>
      </c>
      <c r="X168" s="9">
        <f>-IF(C168=1,LN(W168),LN(1-W168))</f>
        <v/>
      </c>
      <c r="Y168" s="10">
        <f>IF(W168&gt;$AC$33,1,0)</f>
        <v/>
      </c>
      <c r="Z168">
        <f>IF(Y168=C168,1,0)</f>
        <v/>
      </c>
    </row>
    <row r="169">
      <c r="A169">
        <f>'1 prepared data'!A162</f>
        <v/>
      </c>
      <c r="B169" s="5">
        <f>'1 prepared data'!U162</f>
        <v/>
      </c>
      <c r="C169">
        <f>'1 prepared data'!B162</f>
        <v/>
      </c>
      <c r="D169" s="7">
        <f>'1 prepared data'!C162</f>
        <v/>
      </c>
      <c r="E169" s="7">
        <f>'1 prepared data'!D162</f>
        <v/>
      </c>
      <c r="F169" s="7">
        <f>'1 prepared data'!E162</f>
        <v/>
      </c>
      <c r="G169" s="7">
        <f>'1 prepared data'!F162</f>
        <v/>
      </c>
      <c r="H169" s="7">
        <f>'1 prepared data'!G162</f>
        <v/>
      </c>
      <c r="I169" s="7">
        <f>'1 prepared data'!H162</f>
        <v/>
      </c>
      <c r="J169" s="7">
        <f>'1 prepared data'!I162</f>
        <v/>
      </c>
      <c r="K169" s="7">
        <f>'1 prepared data'!J162</f>
        <v/>
      </c>
      <c r="L169" s="7">
        <f>'1 prepared data'!K162</f>
        <v/>
      </c>
      <c r="M169" s="7">
        <f>'1 prepared data'!L162</f>
        <v/>
      </c>
      <c r="N169" s="7">
        <f>'1 prepared data'!M162</f>
        <v/>
      </c>
      <c r="O169" s="7">
        <f>'1 prepared data'!N162</f>
        <v/>
      </c>
      <c r="P169" s="7">
        <f>'1 prepared data'!O162</f>
        <v/>
      </c>
      <c r="Q169" s="7">
        <f>'1 prepared data'!P162</f>
        <v/>
      </c>
      <c r="R169" s="7">
        <f>'1 prepared data'!Q162</f>
        <v/>
      </c>
      <c r="S169" s="7">
        <f>'1 prepared data'!R162</f>
        <v/>
      </c>
      <c r="T169" s="7">
        <f>'1 prepared data'!S162</f>
        <v/>
      </c>
      <c r="U169" s="7">
        <f>'1 prepared data'!T162</f>
        <v/>
      </c>
      <c r="V169" s="8">
        <f>$AC$12+D169*$AC$13+E169*$AC$14+F169*$AC$15+G169*$AC$16+H169*$AC$17+I169*$AC$18+J169*$AC$19+K169*$AC$20+L169*$AC$21+M169*$AC$22+N169*$AC$23+O169*$AC$24+P169*$AC$25+Q169*$AC$26+R169*$AC$27+S169*$AC$28+T169*$AC$29+U169*$AC$30</f>
        <v/>
      </c>
      <c r="W169" s="8">
        <f>1/(1+EXP(-V169))</f>
        <v/>
      </c>
      <c r="X169" s="9">
        <f>-IF(C169=1,LN(W169),LN(1-W169))</f>
        <v/>
      </c>
      <c r="Y169" s="10">
        <f>IF(W169&gt;$AC$33,1,0)</f>
        <v/>
      </c>
      <c r="Z169">
        <f>IF(Y169=C169,1,0)</f>
        <v/>
      </c>
    </row>
    <row r="170">
      <c r="A170">
        <f>'1 prepared data'!A163</f>
        <v/>
      </c>
      <c r="B170" s="5">
        <f>'1 prepared data'!U163</f>
        <v/>
      </c>
      <c r="C170">
        <f>'1 prepared data'!B163</f>
        <v/>
      </c>
      <c r="D170" s="7">
        <f>'1 prepared data'!C163</f>
        <v/>
      </c>
      <c r="E170" s="7">
        <f>'1 prepared data'!D163</f>
        <v/>
      </c>
      <c r="F170" s="7">
        <f>'1 prepared data'!E163</f>
        <v/>
      </c>
      <c r="G170" s="7">
        <f>'1 prepared data'!F163</f>
        <v/>
      </c>
      <c r="H170" s="7">
        <f>'1 prepared data'!G163</f>
        <v/>
      </c>
      <c r="I170" s="7">
        <f>'1 prepared data'!H163</f>
        <v/>
      </c>
      <c r="J170" s="7">
        <f>'1 prepared data'!I163</f>
        <v/>
      </c>
      <c r="K170" s="7">
        <f>'1 prepared data'!J163</f>
        <v/>
      </c>
      <c r="L170" s="7">
        <f>'1 prepared data'!K163</f>
        <v/>
      </c>
      <c r="M170" s="7">
        <f>'1 prepared data'!L163</f>
        <v/>
      </c>
      <c r="N170" s="7">
        <f>'1 prepared data'!M163</f>
        <v/>
      </c>
      <c r="O170" s="7">
        <f>'1 prepared data'!N163</f>
        <v/>
      </c>
      <c r="P170" s="7">
        <f>'1 prepared data'!O163</f>
        <v/>
      </c>
      <c r="Q170" s="7">
        <f>'1 prepared data'!P163</f>
        <v/>
      </c>
      <c r="R170" s="7">
        <f>'1 prepared data'!Q163</f>
        <v/>
      </c>
      <c r="S170" s="7">
        <f>'1 prepared data'!R163</f>
        <v/>
      </c>
      <c r="T170" s="7">
        <f>'1 prepared data'!S163</f>
        <v/>
      </c>
      <c r="U170" s="7">
        <f>'1 prepared data'!T163</f>
        <v/>
      </c>
      <c r="V170" s="8">
        <f>$AC$12+D170*$AC$13+E170*$AC$14+F170*$AC$15+G170*$AC$16+H170*$AC$17+I170*$AC$18+J170*$AC$19+K170*$AC$20+L170*$AC$21+M170*$AC$22+N170*$AC$23+O170*$AC$24+P170*$AC$25+Q170*$AC$26+R170*$AC$27+S170*$AC$28+T170*$AC$29+U170*$AC$30</f>
        <v/>
      </c>
      <c r="W170" s="8">
        <f>1/(1+EXP(-V170))</f>
        <v/>
      </c>
      <c r="X170" s="9">
        <f>-IF(C170=1,LN(W170),LN(1-W170))</f>
        <v/>
      </c>
      <c r="Y170" s="10">
        <f>IF(W170&gt;$AC$33,1,0)</f>
        <v/>
      </c>
      <c r="Z170">
        <f>IF(Y170=C170,1,0)</f>
        <v/>
      </c>
    </row>
    <row r="171">
      <c r="A171">
        <f>'1 prepared data'!A164</f>
        <v/>
      </c>
      <c r="B171" s="5">
        <f>'1 prepared data'!U164</f>
        <v/>
      </c>
      <c r="C171">
        <f>'1 prepared data'!B164</f>
        <v/>
      </c>
      <c r="D171" s="7">
        <f>'1 prepared data'!C164</f>
        <v/>
      </c>
      <c r="E171" s="7">
        <f>'1 prepared data'!D164</f>
        <v/>
      </c>
      <c r="F171" s="7">
        <f>'1 prepared data'!E164</f>
        <v/>
      </c>
      <c r="G171" s="7">
        <f>'1 prepared data'!F164</f>
        <v/>
      </c>
      <c r="H171" s="7">
        <f>'1 prepared data'!G164</f>
        <v/>
      </c>
      <c r="I171" s="7">
        <f>'1 prepared data'!H164</f>
        <v/>
      </c>
      <c r="J171" s="7">
        <f>'1 prepared data'!I164</f>
        <v/>
      </c>
      <c r="K171" s="7">
        <f>'1 prepared data'!J164</f>
        <v/>
      </c>
      <c r="L171" s="7">
        <f>'1 prepared data'!K164</f>
        <v/>
      </c>
      <c r="M171" s="7">
        <f>'1 prepared data'!L164</f>
        <v/>
      </c>
      <c r="N171" s="7">
        <f>'1 prepared data'!M164</f>
        <v/>
      </c>
      <c r="O171" s="7">
        <f>'1 prepared data'!N164</f>
        <v/>
      </c>
      <c r="P171" s="7">
        <f>'1 prepared data'!O164</f>
        <v/>
      </c>
      <c r="Q171" s="7">
        <f>'1 prepared data'!P164</f>
        <v/>
      </c>
      <c r="R171" s="7">
        <f>'1 prepared data'!Q164</f>
        <v/>
      </c>
      <c r="S171" s="7">
        <f>'1 prepared data'!R164</f>
        <v/>
      </c>
      <c r="T171" s="7">
        <f>'1 prepared data'!S164</f>
        <v/>
      </c>
      <c r="U171" s="7">
        <f>'1 prepared data'!T164</f>
        <v/>
      </c>
      <c r="V171" s="8">
        <f>$AC$12+D171*$AC$13+E171*$AC$14+F171*$AC$15+G171*$AC$16+H171*$AC$17+I171*$AC$18+J171*$AC$19+K171*$AC$20+L171*$AC$21+M171*$AC$22+N171*$AC$23+O171*$AC$24+P171*$AC$25+Q171*$AC$26+R171*$AC$27+S171*$AC$28+T171*$AC$29+U171*$AC$30</f>
        <v/>
      </c>
      <c r="W171" s="8">
        <f>1/(1+EXP(-V171))</f>
        <v/>
      </c>
      <c r="X171" s="9">
        <f>-IF(C171=1,LN(W171),LN(1-W171))</f>
        <v/>
      </c>
      <c r="Y171" s="10">
        <f>IF(W171&gt;$AC$33,1,0)</f>
        <v/>
      </c>
      <c r="Z171">
        <f>IF(Y171=C171,1,0)</f>
        <v/>
      </c>
    </row>
    <row r="172">
      <c r="A172">
        <f>'1 prepared data'!A165</f>
        <v/>
      </c>
      <c r="B172" s="5">
        <f>'1 prepared data'!U165</f>
        <v/>
      </c>
      <c r="C172">
        <f>'1 prepared data'!B165</f>
        <v/>
      </c>
      <c r="D172" s="7">
        <f>'1 prepared data'!C165</f>
        <v/>
      </c>
      <c r="E172" s="7">
        <f>'1 prepared data'!D165</f>
        <v/>
      </c>
      <c r="F172" s="7">
        <f>'1 prepared data'!E165</f>
        <v/>
      </c>
      <c r="G172" s="7">
        <f>'1 prepared data'!F165</f>
        <v/>
      </c>
      <c r="H172" s="7">
        <f>'1 prepared data'!G165</f>
        <v/>
      </c>
      <c r="I172" s="7">
        <f>'1 prepared data'!H165</f>
        <v/>
      </c>
      <c r="J172" s="7">
        <f>'1 prepared data'!I165</f>
        <v/>
      </c>
      <c r="K172" s="7">
        <f>'1 prepared data'!J165</f>
        <v/>
      </c>
      <c r="L172" s="7">
        <f>'1 prepared data'!K165</f>
        <v/>
      </c>
      <c r="M172" s="7">
        <f>'1 prepared data'!L165</f>
        <v/>
      </c>
      <c r="N172" s="7">
        <f>'1 prepared data'!M165</f>
        <v/>
      </c>
      <c r="O172" s="7">
        <f>'1 prepared data'!N165</f>
        <v/>
      </c>
      <c r="P172" s="7">
        <f>'1 prepared data'!O165</f>
        <v/>
      </c>
      <c r="Q172" s="7">
        <f>'1 prepared data'!P165</f>
        <v/>
      </c>
      <c r="R172" s="7">
        <f>'1 prepared data'!Q165</f>
        <v/>
      </c>
      <c r="S172" s="7">
        <f>'1 prepared data'!R165</f>
        <v/>
      </c>
      <c r="T172" s="7">
        <f>'1 prepared data'!S165</f>
        <v/>
      </c>
      <c r="U172" s="7">
        <f>'1 prepared data'!T165</f>
        <v/>
      </c>
      <c r="V172" s="8">
        <f>$AC$12+D172*$AC$13+E172*$AC$14+F172*$AC$15+G172*$AC$16+H172*$AC$17+I172*$AC$18+J172*$AC$19+K172*$AC$20+L172*$AC$21+M172*$AC$22+N172*$AC$23+O172*$AC$24+P172*$AC$25+Q172*$AC$26+R172*$AC$27+S172*$AC$28+T172*$AC$29+U172*$AC$30</f>
        <v/>
      </c>
      <c r="W172" s="8">
        <f>1/(1+EXP(-V172))</f>
        <v/>
      </c>
      <c r="X172" s="9">
        <f>-IF(C172=1,LN(W172),LN(1-W172))</f>
        <v/>
      </c>
      <c r="Y172" s="10">
        <f>IF(W172&gt;$AC$33,1,0)</f>
        <v/>
      </c>
      <c r="Z172">
        <f>IF(Y172=C172,1,0)</f>
        <v/>
      </c>
    </row>
    <row r="173">
      <c r="A173">
        <f>'1 prepared data'!A166</f>
        <v/>
      </c>
      <c r="B173" s="5">
        <f>'1 prepared data'!U166</f>
        <v/>
      </c>
      <c r="C173">
        <f>'1 prepared data'!B166</f>
        <v/>
      </c>
      <c r="D173" s="7">
        <f>'1 prepared data'!C166</f>
        <v/>
      </c>
      <c r="E173" s="7">
        <f>'1 prepared data'!D166</f>
        <v/>
      </c>
      <c r="F173" s="7">
        <f>'1 prepared data'!E166</f>
        <v/>
      </c>
      <c r="G173" s="7">
        <f>'1 prepared data'!F166</f>
        <v/>
      </c>
      <c r="H173" s="7">
        <f>'1 prepared data'!G166</f>
        <v/>
      </c>
      <c r="I173" s="7">
        <f>'1 prepared data'!H166</f>
        <v/>
      </c>
      <c r="J173" s="7">
        <f>'1 prepared data'!I166</f>
        <v/>
      </c>
      <c r="K173" s="7">
        <f>'1 prepared data'!J166</f>
        <v/>
      </c>
      <c r="L173" s="7">
        <f>'1 prepared data'!K166</f>
        <v/>
      </c>
      <c r="M173" s="7">
        <f>'1 prepared data'!L166</f>
        <v/>
      </c>
      <c r="N173" s="7">
        <f>'1 prepared data'!M166</f>
        <v/>
      </c>
      <c r="O173" s="7">
        <f>'1 prepared data'!N166</f>
        <v/>
      </c>
      <c r="P173" s="7">
        <f>'1 prepared data'!O166</f>
        <v/>
      </c>
      <c r="Q173" s="7">
        <f>'1 prepared data'!P166</f>
        <v/>
      </c>
      <c r="R173" s="7">
        <f>'1 prepared data'!Q166</f>
        <v/>
      </c>
      <c r="S173" s="7">
        <f>'1 prepared data'!R166</f>
        <v/>
      </c>
      <c r="T173" s="7">
        <f>'1 prepared data'!S166</f>
        <v/>
      </c>
      <c r="U173" s="7">
        <f>'1 prepared data'!T166</f>
        <v/>
      </c>
      <c r="V173" s="8">
        <f>$AC$12+D173*$AC$13+E173*$AC$14+F173*$AC$15+G173*$AC$16+H173*$AC$17+I173*$AC$18+J173*$AC$19+K173*$AC$20+L173*$AC$21+M173*$AC$22+N173*$AC$23+O173*$AC$24+P173*$AC$25+Q173*$AC$26+R173*$AC$27+S173*$AC$28+T173*$AC$29+U173*$AC$30</f>
        <v/>
      </c>
      <c r="W173" s="8">
        <f>1/(1+EXP(-V173))</f>
        <v/>
      </c>
      <c r="X173" s="9">
        <f>-IF(C173=1,LN(W173),LN(1-W173))</f>
        <v/>
      </c>
      <c r="Y173" s="10">
        <f>IF(W173&gt;$AC$33,1,0)</f>
        <v/>
      </c>
      <c r="Z173">
        <f>IF(Y173=C173,1,0)</f>
        <v/>
      </c>
    </row>
    <row r="174">
      <c r="A174">
        <f>'1 prepared data'!A167</f>
        <v/>
      </c>
      <c r="B174" s="5">
        <f>'1 prepared data'!U167</f>
        <v/>
      </c>
      <c r="C174">
        <f>'1 prepared data'!B167</f>
        <v/>
      </c>
      <c r="D174" s="7">
        <f>'1 prepared data'!C167</f>
        <v/>
      </c>
      <c r="E174" s="7">
        <f>'1 prepared data'!D167</f>
        <v/>
      </c>
      <c r="F174" s="7">
        <f>'1 prepared data'!E167</f>
        <v/>
      </c>
      <c r="G174" s="7">
        <f>'1 prepared data'!F167</f>
        <v/>
      </c>
      <c r="H174" s="7">
        <f>'1 prepared data'!G167</f>
        <v/>
      </c>
      <c r="I174" s="7">
        <f>'1 prepared data'!H167</f>
        <v/>
      </c>
      <c r="J174" s="7">
        <f>'1 prepared data'!I167</f>
        <v/>
      </c>
      <c r="K174" s="7">
        <f>'1 prepared data'!J167</f>
        <v/>
      </c>
      <c r="L174" s="7">
        <f>'1 prepared data'!K167</f>
        <v/>
      </c>
      <c r="M174" s="7">
        <f>'1 prepared data'!L167</f>
        <v/>
      </c>
      <c r="N174" s="7">
        <f>'1 prepared data'!M167</f>
        <v/>
      </c>
      <c r="O174" s="7">
        <f>'1 prepared data'!N167</f>
        <v/>
      </c>
      <c r="P174" s="7">
        <f>'1 prepared data'!O167</f>
        <v/>
      </c>
      <c r="Q174" s="7">
        <f>'1 prepared data'!P167</f>
        <v/>
      </c>
      <c r="R174" s="7">
        <f>'1 prepared data'!Q167</f>
        <v/>
      </c>
      <c r="S174" s="7">
        <f>'1 prepared data'!R167</f>
        <v/>
      </c>
      <c r="T174" s="7">
        <f>'1 prepared data'!S167</f>
        <v/>
      </c>
      <c r="U174" s="7">
        <f>'1 prepared data'!T167</f>
        <v/>
      </c>
      <c r="V174" s="8">
        <f>$AC$12+D174*$AC$13+E174*$AC$14+F174*$AC$15+G174*$AC$16+H174*$AC$17+I174*$AC$18+J174*$AC$19+K174*$AC$20+L174*$AC$21+M174*$AC$22+N174*$AC$23+O174*$AC$24+P174*$AC$25+Q174*$AC$26+R174*$AC$27+S174*$AC$28+T174*$AC$29+U174*$AC$30</f>
        <v/>
      </c>
      <c r="W174" s="8">
        <f>1/(1+EXP(-V174))</f>
        <v/>
      </c>
      <c r="X174" s="9">
        <f>-IF(C174=1,LN(W174),LN(1-W174))</f>
        <v/>
      </c>
      <c r="Y174" s="10">
        <f>IF(W174&gt;$AC$33,1,0)</f>
        <v/>
      </c>
      <c r="Z174">
        <f>IF(Y174=C174,1,0)</f>
        <v/>
      </c>
    </row>
    <row r="175">
      <c r="A175">
        <f>'1 prepared data'!A168</f>
        <v/>
      </c>
      <c r="B175" s="5">
        <f>'1 prepared data'!U168</f>
        <v/>
      </c>
      <c r="C175">
        <f>'1 prepared data'!B168</f>
        <v/>
      </c>
      <c r="D175" s="7">
        <f>'1 prepared data'!C168</f>
        <v/>
      </c>
      <c r="E175" s="7">
        <f>'1 prepared data'!D168</f>
        <v/>
      </c>
      <c r="F175" s="7">
        <f>'1 prepared data'!E168</f>
        <v/>
      </c>
      <c r="G175" s="7">
        <f>'1 prepared data'!F168</f>
        <v/>
      </c>
      <c r="H175" s="7">
        <f>'1 prepared data'!G168</f>
        <v/>
      </c>
      <c r="I175" s="7">
        <f>'1 prepared data'!H168</f>
        <v/>
      </c>
      <c r="J175" s="7">
        <f>'1 prepared data'!I168</f>
        <v/>
      </c>
      <c r="K175" s="7">
        <f>'1 prepared data'!J168</f>
        <v/>
      </c>
      <c r="L175" s="7">
        <f>'1 prepared data'!K168</f>
        <v/>
      </c>
      <c r="M175" s="7">
        <f>'1 prepared data'!L168</f>
        <v/>
      </c>
      <c r="N175" s="7">
        <f>'1 prepared data'!M168</f>
        <v/>
      </c>
      <c r="O175" s="7">
        <f>'1 prepared data'!N168</f>
        <v/>
      </c>
      <c r="P175" s="7">
        <f>'1 prepared data'!O168</f>
        <v/>
      </c>
      <c r="Q175" s="7">
        <f>'1 prepared data'!P168</f>
        <v/>
      </c>
      <c r="R175" s="7">
        <f>'1 prepared data'!Q168</f>
        <v/>
      </c>
      <c r="S175" s="7">
        <f>'1 prepared data'!R168</f>
        <v/>
      </c>
      <c r="T175" s="7">
        <f>'1 prepared data'!S168</f>
        <v/>
      </c>
      <c r="U175" s="7">
        <f>'1 prepared data'!T168</f>
        <v/>
      </c>
      <c r="V175" s="8">
        <f>$AC$12+D175*$AC$13+E175*$AC$14+F175*$AC$15+G175*$AC$16+H175*$AC$17+I175*$AC$18+J175*$AC$19+K175*$AC$20+L175*$AC$21+M175*$AC$22+N175*$AC$23+O175*$AC$24+P175*$AC$25+Q175*$AC$26+R175*$AC$27+S175*$AC$28+T175*$AC$29+U175*$AC$30</f>
        <v/>
      </c>
      <c r="W175" s="8">
        <f>1/(1+EXP(-V175))</f>
        <v/>
      </c>
      <c r="X175" s="9">
        <f>-IF(C175=1,LN(W175),LN(1-W175))</f>
        <v/>
      </c>
      <c r="Y175" s="10">
        <f>IF(W175&gt;$AC$33,1,0)</f>
        <v/>
      </c>
      <c r="Z175">
        <f>IF(Y175=C175,1,0)</f>
        <v/>
      </c>
    </row>
    <row r="176">
      <c r="A176">
        <f>'1 prepared data'!A169</f>
        <v/>
      </c>
      <c r="B176" s="5">
        <f>'1 prepared data'!U169</f>
        <v/>
      </c>
      <c r="C176">
        <f>'1 prepared data'!B169</f>
        <v/>
      </c>
      <c r="D176" s="7">
        <f>'1 prepared data'!C169</f>
        <v/>
      </c>
      <c r="E176" s="7">
        <f>'1 prepared data'!D169</f>
        <v/>
      </c>
      <c r="F176" s="7">
        <f>'1 prepared data'!E169</f>
        <v/>
      </c>
      <c r="G176" s="7">
        <f>'1 prepared data'!F169</f>
        <v/>
      </c>
      <c r="H176" s="7">
        <f>'1 prepared data'!G169</f>
        <v/>
      </c>
      <c r="I176" s="7">
        <f>'1 prepared data'!H169</f>
        <v/>
      </c>
      <c r="J176" s="7">
        <f>'1 prepared data'!I169</f>
        <v/>
      </c>
      <c r="K176" s="7">
        <f>'1 prepared data'!J169</f>
        <v/>
      </c>
      <c r="L176" s="7">
        <f>'1 prepared data'!K169</f>
        <v/>
      </c>
      <c r="M176" s="7">
        <f>'1 prepared data'!L169</f>
        <v/>
      </c>
      <c r="N176" s="7">
        <f>'1 prepared data'!M169</f>
        <v/>
      </c>
      <c r="O176" s="7">
        <f>'1 prepared data'!N169</f>
        <v/>
      </c>
      <c r="P176" s="7">
        <f>'1 prepared data'!O169</f>
        <v/>
      </c>
      <c r="Q176" s="7">
        <f>'1 prepared data'!P169</f>
        <v/>
      </c>
      <c r="R176" s="7">
        <f>'1 prepared data'!Q169</f>
        <v/>
      </c>
      <c r="S176" s="7">
        <f>'1 prepared data'!R169</f>
        <v/>
      </c>
      <c r="T176" s="7">
        <f>'1 prepared data'!S169</f>
        <v/>
      </c>
      <c r="U176" s="7">
        <f>'1 prepared data'!T169</f>
        <v/>
      </c>
      <c r="V176" s="8">
        <f>$AC$12+D176*$AC$13+E176*$AC$14+F176*$AC$15+G176*$AC$16+H176*$AC$17+I176*$AC$18+J176*$AC$19+K176*$AC$20+L176*$AC$21+M176*$AC$22+N176*$AC$23+O176*$AC$24+P176*$AC$25+Q176*$AC$26+R176*$AC$27+S176*$AC$28+T176*$AC$29+U176*$AC$30</f>
        <v/>
      </c>
      <c r="W176" s="8">
        <f>1/(1+EXP(-V176))</f>
        <v/>
      </c>
      <c r="X176" s="9">
        <f>-IF(C176=1,LN(W176),LN(1-W176))</f>
        <v/>
      </c>
      <c r="Y176" s="10">
        <f>IF(W176&gt;$AC$33,1,0)</f>
        <v/>
      </c>
      <c r="Z176">
        <f>IF(Y176=C176,1,0)</f>
        <v/>
      </c>
    </row>
    <row r="177">
      <c r="A177">
        <f>'1 prepared data'!A170</f>
        <v/>
      </c>
      <c r="B177" s="5">
        <f>'1 prepared data'!U170</f>
        <v/>
      </c>
      <c r="C177">
        <f>'1 prepared data'!B170</f>
        <v/>
      </c>
      <c r="D177" s="7">
        <f>'1 prepared data'!C170</f>
        <v/>
      </c>
      <c r="E177" s="7">
        <f>'1 prepared data'!D170</f>
        <v/>
      </c>
      <c r="F177" s="7">
        <f>'1 prepared data'!E170</f>
        <v/>
      </c>
      <c r="G177" s="7">
        <f>'1 prepared data'!F170</f>
        <v/>
      </c>
      <c r="H177" s="7">
        <f>'1 prepared data'!G170</f>
        <v/>
      </c>
      <c r="I177" s="7">
        <f>'1 prepared data'!H170</f>
        <v/>
      </c>
      <c r="J177" s="7">
        <f>'1 prepared data'!I170</f>
        <v/>
      </c>
      <c r="K177" s="7">
        <f>'1 prepared data'!J170</f>
        <v/>
      </c>
      <c r="L177" s="7">
        <f>'1 prepared data'!K170</f>
        <v/>
      </c>
      <c r="M177" s="7">
        <f>'1 prepared data'!L170</f>
        <v/>
      </c>
      <c r="N177" s="7">
        <f>'1 prepared data'!M170</f>
        <v/>
      </c>
      <c r="O177" s="7">
        <f>'1 prepared data'!N170</f>
        <v/>
      </c>
      <c r="P177" s="7">
        <f>'1 prepared data'!O170</f>
        <v/>
      </c>
      <c r="Q177" s="7">
        <f>'1 prepared data'!P170</f>
        <v/>
      </c>
      <c r="R177" s="7">
        <f>'1 prepared data'!Q170</f>
        <v/>
      </c>
      <c r="S177" s="7">
        <f>'1 prepared data'!R170</f>
        <v/>
      </c>
      <c r="T177" s="7">
        <f>'1 prepared data'!S170</f>
        <v/>
      </c>
      <c r="U177" s="7">
        <f>'1 prepared data'!T170</f>
        <v/>
      </c>
      <c r="V177" s="8">
        <f>$AC$12+D177*$AC$13+E177*$AC$14+F177*$AC$15+G177*$AC$16+H177*$AC$17+I177*$AC$18+J177*$AC$19+K177*$AC$20+L177*$AC$21+M177*$AC$22+N177*$AC$23+O177*$AC$24+P177*$AC$25+Q177*$AC$26+R177*$AC$27+S177*$AC$28+T177*$AC$29+U177*$AC$30</f>
        <v/>
      </c>
      <c r="W177" s="8">
        <f>1/(1+EXP(-V177))</f>
        <v/>
      </c>
      <c r="X177" s="9">
        <f>-IF(C177=1,LN(W177),LN(1-W177))</f>
        <v/>
      </c>
      <c r="Y177" s="10">
        <f>IF(W177&gt;$AC$33,1,0)</f>
        <v/>
      </c>
      <c r="Z177">
        <f>IF(Y177=C177,1,0)</f>
        <v/>
      </c>
    </row>
    <row r="178">
      <c r="A178">
        <f>'1 prepared data'!A171</f>
        <v/>
      </c>
      <c r="B178" s="5">
        <f>'1 prepared data'!U171</f>
        <v/>
      </c>
      <c r="C178">
        <f>'1 prepared data'!B171</f>
        <v/>
      </c>
      <c r="D178" s="7">
        <f>'1 prepared data'!C171</f>
        <v/>
      </c>
      <c r="E178" s="7">
        <f>'1 prepared data'!D171</f>
        <v/>
      </c>
      <c r="F178" s="7">
        <f>'1 prepared data'!E171</f>
        <v/>
      </c>
      <c r="G178" s="7">
        <f>'1 prepared data'!F171</f>
        <v/>
      </c>
      <c r="H178" s="7">
        <f>'1 prepared data'!G171</f>
        <v/>
      </c>
      <c r="I178" s="7">
        <f>'1 prepared data'!H171</f>
        <v/>
      </c>
      <c r="J178" s="7">
        <f>'1 prepared data'!I171</f>
        <v/>
      </c>
      <c r="K178" s="7">
        <f>'1 prepared data'!J171</f>
        <v/>
      </c>
      <c r="L178" s="7">
        <f>'1 prepared data'!K171</f>
        <v/>
      </c>
      <c r="M178" s="7">
        <f>'1 prepared data'!L171</f>
        <v/>
      </c>
      <c r="N178" s="7">
        <f>'1 prepared data'!M171</f>
        <v/>
      </c>
      <c r="O178" s="7">
        <f>'1 prepared data'!N171</f>
        <v/>
      </c>
      <c r="P178" s="7">
        <f>'1 prepared data'!O171</f>
        <v/>
      </c>
      <c r="Q178" s="7">
        <f>'1 prepared data'!P171</f>
        <v/>
      </c>
      <c r="R178" s="7">
        <f>'1 prepared data'!Q171</f>
        <v/>
      </c>
      <c r="S178" s="7">
        <f>'1 prepared data'!R171</f>
        <v/>
      </c>
      <c r="T178" s="7">
        <f>'1 prepared data'!S171</f>
        <v/>
      </c>
      <c r="U178" s="7">
        <f>'1 prepared data'!T171</f>
        <v/>
      </c>
      <c r="V178" s="8">
        <f>$AC$12+D178*$AC$13+E178*$AC$14+F178*$AC$15+G178*$AC$16+H178*$AC$17+I178*$AC$18+J178*$AC$19+K178*$AC$20+L178*$AC$21+M178*$AC$22+N178*$AC$23+O178*$AC$24+P178*$AC$25+Q178*$AC$26+R178*$AC$27+S178*$AC$28+T178*$AC$29+U178*$AC$30</f>
        <v/>
      </c>
      <c r="W178" s="8">
        <f>1/(1+EXP(-V178))</f>
        <v/>
      </c>
      <c r="X178" s="9">
        <f>-IF(C178=1,LN(W178),LN(1-W178))</f>
        <v/>
      </c>
      <c r="Y178" s="10">
        <f>IF(W178&gt;$AC$33,1,0)</f>
        <v/>
      </c>
      <c r="Z178">
        <f>IF(Y178=C178,1,0)</f>
        <v/>
      </c>
    </row>
    <row r="179">
      <c r="A179">
        <f>'1 prepared data'!A172</f>
        <v/>
      </c>
      <c r="B179" s="5">
        <f>'1 prepared data'!U172</f>
        <v/>
      </c>
      <c r="C179">
        <f>'1 prepared data'!B172</f>
        <v/>
      </c>
      <c r="D179" s="7">
        <f>'1 prepared data'!C172</f>
        <v/>
      </c>
      <c r="E179" s="7">
        <f>'1 prepared data'!D172</f>
        <v/>
      </c>
      <c r="F179" s="7">
        <f>'1 prepared data'!E172</f>
        <v/>
      </c>
      <c r="G179" s="7">
        <f>'1 prepared data'!F172</f>
        <v/>
      </c>
      <c r="H179" s="7">
        <f>'1 prepared data'!G172</f>
        <v/>
      </c>
      <c r="I179" s="7">
        <f>'1 prepared data'!H172</f>
        <v/>
      </c>
      <c r="J179" s="7">
        <f>'1 prepared data'!I172</f>
        <v/>
      </c>
      <c r="K179" s="7">
        <f>'1 prepared data'!J172</f>
        <v/>
      </c>
      <c r="L179" s="7">
        <f>'1 prepared data'!K172</f>
        <v/>
      </c>
      <c r="M179" s="7">
        <f>'1 prepared data'!L172</f>
        <v/>
      </c>
      <c r="N179" s="7">
        <f>'1 prepared data'!M172</f>
        <v/>
      </c>
      <c r="O179" s="7">
        <f>'1 prepared data'!N172</f>
        <v/>
      </c>
      <c r="P179" s="7">
        <f>'1 prepared data'!O172</f>
        <v/>
      </c>
      <c r="Q179" s="7">
        <f>'1 prepared data'!P172</f>
        <v/>
      </c>
      <c r="R179" s="7">
        <f>'1 prepared data'!Q172</f>
        <v/>
      </c>
      <c r="S179" s="7">
        <f>'1 prepared data'!R172</f>
        <v/>
      </c>
      <c r="T179" s="7">
        <f>'1 prepared data'!S172</f>
        <v/>
      </c>
      <c r="U179" s="7">
        <f>'1 prepared data'!T172</f>
        <v/>
      </c>
      <c r="V179" s="8">
        <f>$AC$12+D179*$AC$13+E179*$AC$14+F179*$AC$15+G179*$AC$16+H179*$AC$17+I179*$AC$18+J179*$AC$19+K179*$AC$20+L179*$AC$21+M179*$AC$22+N179*$AC$23+O179*$AC$24+P179*$AC$25+Q179*$AC$26+R179*$AC$27+S179*$AC$28+T179*$AC$29+U179*$AC$30</f>
        <v/>
      </c>
      <c r="W179" s="8">
        <f>1/(1+EXP(-V179))</f>
        <v/>
      </c>
      <c r="X179" s="9">
        <f>-IF(C179=1,LN(W179),LN(1-W179))</f>
        <v/>
      </c>
      <c r="Y179" s="10">
        <f>IF(W179&gt;$AC$33,1,0)</f>
        <v/>
      </c>
      <c r="Z179">
        <f>IF(Y179=C179,1,0)</f>
        <v/>
      </c>
    </row>
    <row r="180">
      <c r="A180">
        <f>'1 prepared data'!A173</f>
        <v/>
      </c>
      <c r="B180" s="5">
        <f>'1 prepared data'!U173</f>
        <v/>
      </c>
      <c r="C180">
        <f>'1 prepared data'!B173</f>
        <v/>
      </c>
      <c r="D180" s="7">
        <f>'1 prepared data'!C173</f>
        <v/>
      </c>
      <c r="E180" s="7">
        <f>'1 prepared data'!D173</f>
        <v/>
      </c>
      <c r="F180" s="7">
        <f>'1 prepared data'!E173</f>
        <v/>
      </c>
      <c r="G180" s="7">
        <f>'1 prepared data'!F173</f>
        <v/>
      </c>
      <c r="H180" s="7">
        <f>'1 prepared data'!G173</f>
        <v/>
      </c>
      <c r="I180" s="7">
        <f>'1 prepared data'!H173</f>
        <v/>
      </c>
      <c r="J180" s="7">
        <f>'1 prepared data'!I173</f>
        <v/>
      </c>
      <c r="K180" s="7">
        <f>'1 prepared data'!J173</f>
        <v/>
      </c>
      <c r="L180" s="7">
        <f>'1 prepared data'!K173</f>
        <v/>
      </c>
      <c r="M180" s="7">
        <f>'1 prepared data'!L173</f>
        <v/>
      </c>
      <c r="N180" s="7">
        <f>'1 prepared data'!M173</f>
        <v/>
      </c>
      <c r="O180" s="7">
        <f>'1 prepared data'!N173</f>
        <v/>
      </c>
      <c r="P180" s="7">
        <f>'1 prepared data'!O173</f>
        <v/>
      </c>
      <c r="Q180" s="7">
        <f>'1 prepared data'!P173</f>
        <v/>
      </c>
      <c r="R180" s="7">
        <f>'1 prepared data'!Q173</f>
        <v/>
      </c>
      <c r="S180" s="7">
        <f>'1 prepared data'!R173</f>
        <v/>
      </c>
      <c r="T180" s="7">
        <f>'1 prepared data'!S173</f>
        <v/>
      </c>
      <c r="U180" s="7">
        <f>'1 prepared data'!T173</f>
        <v/>
      </c>
      <c r="V180" s="8">
        <f>$AC$12+D180*$AC$13+E180*$AC$14+F180*$AC$15+G180*$AC$16+H180*$AC$17+I180*$AC$18+J180*$AC$19+K180*$AC$20+L180*$AC$21+M180*$AC$22+N180*$AC$23+O180*$AC$24+P180*$AC$25+Q180*$AC$26+R180*$AC$27+S180*$AC$28+T180*$AC$29+U180*$AC$30</f>
        <v/>
      </c>
      <c r="W180" s="8">
        <f>1/(1+EXP(-V180))</f>
        <v/>
      </c>
      <c r="X180" s="9">
        <f>-IF(C180=1,LN(W180),LN(1-W180))</f>
        <v/>
      </c>
      <c r="Y180" s="10">
        <f>IF(W180&gt;$AC$33,1,0)</f>
        <v/>
      </c>
      <c r="Z180">
        <f>IF(Y180=C180,1,0)</f>
        <v/>
      </c>
    </row>
    <row r="181">
      <c r="A181">
        <f>'1 prepared data'!A174</f>
        <v/>
      </c>
      <c r="B181" s="5">
        <f>'1 prepared data'!U174</f>
        <v/>
      </c>
      <c r="C181">
        <f>'1 prepared data'!B174</f>
        <v/>
      </c>
      <c r="D181" s="7">
        <f>'1 prepared data'!C174</f>
        <v/>
      </c>
      <c r="E181" s="7">
        <f>'1 prepared data'!D174</f>
        <v/>
      </c>
      <c r="F181" s="7">
        <f>'1 prepared data'!E174</f>
        <v/>
      </c>
      <c r="G181" s="7">
        <f>'1 prepared data'!F174</f>
        <v/>
      </c>
      <c r="H181" s="7">
        <f>'1 prepared data'!G174</f>
        <v/>
      </c>
      <c r="I181" s="7">
        <f>'1 prepared data'!H174</f>
        <v/>
      </c>
      <c r="J181" s="7">
        <f>'1 prepared data'!I174</f>
        <v/>
      </c>
      <c r="K181" s="7">
        <f>'1 prepared data'!J174</f>
        <v/>
      </c>
      <c r="L181" s="7">
        <f>'1 prepared data'!K174</f>
        <v/>
      </c>
      <c r="M181" s="7">
        <f>'1 prepared data'!L174</f>
        <v/>
      </c>
      <c r="N181" s="7">
        <f>'1 prepared data'!M174</f>
        <v/>
      </c>
      <c r="O181" s="7">
        <f>'1 prepared data'!N174</f>
        <v/>
      </c>
      <c r="P181" s="7">
        <f>'1 prepared data'!O174</f>
        <v/>
      </c>
      <c r="Q181" s="7">
        <f>'1 prepared data'!P174</f>
        <v/>
      </c>
      <c r="R181" s="7">
        <f>'1 prepared data'!Q174</f>
        <v/>
      </c>
      <c r="S181" s="7">
        <f>'1 prepared data'!R174</f>
        <v/>
      </c>
      <c r="T181" s="7">
        <f>'1 prepared data'!S174</f>
        <v/>
      </c>
      <c r="U181" s="7">
        <f>'1 prepared data'!T174</f>
        <v/>
      </c>
      <c r="V181" s="8">
        <f>$AC$12+D181*$AC$13+E181*$AC$14+F181*$AC$15+G181*$AC$16+H181*$AC$17+I181*$AC$18+J181*$AC$19+K181*$AC$20+L181*$AC$21+M181*$AC$22+N181*$AC$23+O181*$AC$24+P181*$AC$25+Q181*$AC$26+R181*$AC$27+S181*$AC$28+T181*$AC$29+U181*$AC$30</f>
        <v/>
      </c>
      <c r="W181" s="8">
        <f>1/(1+EXP(-V181))</f>
        <v/>
      </c>
      <c r="X181" s="9">
        <f>-IF(C181=1,LN(W181),LN(1-W181))</f>
        <v/>
      </c>
      <c r="Y181" s="10">
        <f>IF(W181&gt;$AC$33,1,0)</f>
        <v/>
      </c>
      <c r="Z181">
        <f>IF(Y181=C181,1,0)</f>
        <v/>
      </c>
    </row>
    <row r="182">
      <c r="A182">
        <f>'1 prepared data'!A175</f>
        <v/>
      </c>
      <c r="B182" s="5">
        <f>'1 prepared data'!U175</f>
        <v/>
      </c>
      <c r="C182">
        <f>'1 prepared data'!B175</f>
        <v/>
      </c>
      <c r="D182" s="7">
        <f>'1 prepared data'!C175</f>
        <v/>
      </c>
      <c r="E182" s="7">
        <f>'1 prepared data'!D175</f>
        <v/>
      </c>
      <c r="F182" s="7">
        <f>'1 prepared data'!E175</f>
        <v/>
      </c>
      <c r="G182" s="7">
        <f>'1 prepared data'!F175</f>
        <v/>
      </c>
      <c r="H182" s="7">
        <f>'1 prepared data'!G175</f>
        <v/>
      </c>
      <c r="I182" s="7">
        <f>'1 prepared data'!H175</f>
        <v/>
      </c>
      <c r="J182" s="7">
        <f>'1 prepared data'!I175</f>
        <v/>
      </c>
      <c r="K182" s="7">
        <f>'1 prepared data'!J175</f>
        <v/>
      </c>
      <c r="L182" s="7">
        <f>'1 prepared data'!K175</f>
        <v/>
      </c>
      <c r="M182" s="7">
        <f>'1 prepared data'!L175</f>
        <v/>
      </c>
      <c r="N182" s="7">
        <f>'1 prepared data'!M175</f>
        <v/>
      </c>
      <c r="O182" s="7">
        <f>'1 prepared data'!N175</f>
        <v/>
      </c>
      <c r="P182" s="7">
        <f>'1 prepared data'!O175</f>
        <v/>
      </c>
      <c r="Q182" s="7">
        <f>'1 prepared data'!P175</f>
        <v/>
      </c>
      <c r="R182" s="7">
        <f>'1 prepared data'!Q175</f>
        <v/>
      </c>
      <c r="S182" s="7">
        <f>'1 prepared data'!R175</f>
        <v/>
      </c>
      <c r="T182" s="7">
        <f>'1 prepared data'!S175</f>
        <v/>
      </c>
      <c r="U182" s="7">
        <f>'1 prepared data'!T175</f>
        <v/>
      </c>
      <c r="V182" s="8">
        <f>$AC$12+D182*$AC$13+E182*$AC$14+F182*$AC$15+G182*$AC$16+H182*$AC$17+I182*$AC$18+J182*$AC$19+K182*$AC$20+L182*$AC$21+M182*$AC$22+N182*$AC$23+O182*$AC$24+P182*$AC$25+Q182*$AC$26+R182*$AC$27+S182*$AC$28+T182*$AC$29+U182*$AC$30</f>
        <v/>
      </c>
      <c r="W182" s="8">
        <f>1/(1+EXP(-V182))</f>
        <v/>
      </c>
      <c r="X182" s="9">
        <f>-IF(C182=1,LN(W182),LN(1-W182))</f>
        <v/>
      </c>
      <c r="Y182" s="10">
        <f>IF(W182&gt;$AC$33,1,0)</f>
        <v/>
      </c>
      <c r="Z182">
        <f>IF(Y182=C182,1,0)</f>
        <v/>
      </c>
    </row>
    <row r="183">
      <c r="A183">
        <f>'1 prepared data'!A176</f>
        <v/>
      </c>
      <c r="B183" s="5">
        <f>'1 prepared data'!U176</f>
        <v/>
      </c>
      <c r="C183">
        <f>'1 prepared data'!B176</f>
        <v/>
      </c>
      <c r="D183" s="7">
        <f>'1 prepared data'!C176</f>
        <v/>
      </c>
      <c r="E183" s="7">
        <f>'1 prepared data'!D176</f>
        <v/>
      </c>
      <c r="F183" s="7">
        <f>'1 prepared data'!E176</f>
        <v/>
      </c>
      <c r="G183" s="7">
        <f>'1 prepared data'!F176</f>
        <v/>
      </c>
      <c r="H183" s="7">
        <f>'1 prepared data'!G176</f>
        <v/>
      </c>
      <c r="I183" s="7">
        <f>'1 prepared data'!H176</f>
        <v/>
      </c>
      <c r="J183" s="7">
        <f>'1 prepared data'!I176</f>
        <v/>
      </c>
      <c r="K183" s="7">
        <f>'1 prepared data'!J176</f>
        <v/>
      </c>
      <c r="L183" s="7">
        <f>'1 prepared data'!K176</f>
        <v/>
      </c>
      <c r="M183" s="7">
        <f>'1 prepared data'!L176</f>
        <v/>
      </c>
      <c r="N183" s="7">
        <f>'1 prepared data'!M176</f>
        <v/>
      </c>
      <c r="O183" s="7">
        <f>'1 prepared data'!N176</f>
        <v/>
      </c>
      <c r="P183" s="7">
        <f>'1 prepared data'!O176</f>
        <v/>
      </c>
      <c r="Q183" s="7">
        <f>'1 prepared data'!P176</f>
        <v/>
      </c>
      <c r="R183" s="7">
        <f>'1 prepared data'!Q176</f>
        <v/>
      </c>
      <c r="S183" s="7">
        <f>'1 prepared data'!R176</f>
        <v/>
      </c>
      <c r="T183" s="7">
        <f>'1 prepared data'!S176</f>
        <v/>
      </c>
      <c r="U183" s="7">
        <f>'1 prepared data'!T176</f>
        <v/>
      </c>
      <c r="V183" s="8">
        <f>$AC$12+D183*$AC$13+E183*$AC$14+F183*$AC$15+G183*$AC$16+H183*$AC$17+I183*$AC$18+J183*$AC$19+K183*$AC$20+L183*$AC$21+M183*$AC$22+N183*$AC$23+O183*$AC$24+P183*$AC$25+Q183*$AC$26+R183*$AC$27+S183*$AC$28+T183*$AC$29+U183*$AC$30</f>
        <v/>
      </c>
      <c r="W183" s="8">
        <f>1/(1+EXP(-V183))</f>
        <v/>
      </c>
      <c r="X183" s="9">
        <f>-IF(C183=1,LN(W183),LN(1-W183))</f>
        <v/>
      </c>
      <c r="Y183" s="10">
        <f>IF(W183&gt;$AC$33,1,0)</f>
        <v/>
      </c>
      <c r="Z183">
        <f>IF(Y183=C183,1,0)</f>
        <v/>
      </c>
    </row>
    <row r="184">
      <c r="A184">
        <f>'1 prepared data'!A177</f>
        <v/>
      </c>
      <c r="B184" s="5">
        <f>'1 prepared data'!U177</f>
        <v/>
      </c>
      <c r="C184">
        <f>'1 prepared data'!B177</f>
        <v/>
      </c>
      <c r="D184" s="7">
        <f>'1 prepared data'!C177</f>
        <v/>
      </c>
      <c r="E184" s="7">
        <f>'1 prepared data'!D177</f>
        <v/>
      </c>
      <c r="F184" s="7">
        <f>'1 prepared data'!E177</f>
        <v/>
      </c>
      <c r="G184" s="7">
        <f>'1 prepared data'!F177</f>
        <v/>
      </c>
      <c r="H184" s="7">
        <f>'1 prepared data'!G177</f>
        <v/>
      </c>
      <c r="I184" s="7">
        <f>'1 prepared data'!H177</f>
        <v/>
      </c>
      <c r="J184" s="7">
        <f>'1 prepared data'!I177</f>
        <v/>
      </c>
      <c r="K184" s="7">
        <f>'1 prepared data'!J177</f>
        <v/>
      </c>
      <c r="L184" s="7">
        <f>'1 prepared data'!K177</f>
        <v/>
      </c>
      <c r="M184" s="7">
        <f>'1 prepared data'!L177</f>
        <v/>
      </c>
      <c r="N184" s="7">
        <f>'1 prepared data'!M177</f>
        <v/>
      </c>
      <c r="O184" s="7">
        <f>'1 prepared data'!N177</f>
        <v/>
      </c>
      <c r="P184" s="7">
        <f>'1 prepared data'!O177</f>
        <v/>
      </c>
      <c r="Q184" s="7">
        <f>'1 prepared data'!P177</f>
        <v/>
      </c>
      <c r="R184" s="7">
        <f>'1 prepared data'!Q177</f>
        <v/>
      </c>
      <c r="S184" s="7">
        <f>'1 prepared data'!R177</f>
        <v/>
      </c>
      <c r="T184" s="7">
        <f>'1 prepared data'!S177</f>
        <v/>
      </c>
      <c r="U184" s="7">
        <f>'1 prepared data'!T177</f>
        <v/>
      </c>
      <c r="V184" s="8">
        <f>$AC$12+D184*$AC$13+E184*$AC$14+F184*$AC$15+G184*$AC$16+H184*$AC$17+I184*$AC$18+J184*$AC$19+K184*$AC$20+L184*$AC$21+M184*$AC$22+N184*$AC$23+O184*$AC$24+P184*$AC$25+Q184*$AC$26+R184*$AC$27+S184*$AC$28+T184*$AC$29+U184*$AC$30</f>
        <v/>
      </c>
      <c r="W184" s="8">
        <f>1/(1+EXP(-V184))</f>
        <v/>
      </c>
      <c r="X184" s="9">
        <f>-IF(C184=1,LN(W184),LN(1-W184))</f>
        <v/>
      </c>
      <c r="Y184" s="10">
        <f>IF(W184&gt;$AC$33,1,0)</f>
        <v/>
      </c>
      <c r="Z184">
        <f>IF(Y184=C184,1,0)</f>
        <v/>
      </c>
    </row>
    <row r="185">
      <c r="A185">
        <f>'1 prepared data'!A178</f>
        <v/>
      </c>
      <c r="B185" s="5">
        <f>'1 prepared data'!U178</f>
        <v/>
      </c>
      <c r="C185">
        <f>'1 prepared data'!B178</f>
        <v/>
      </c>
      <c r="D185" s="7">
        <f>'1 prepared data'!C178</f>
        <v/>
      </c>
      <c r="E185" s="7">
        <f>'1 prepared data'!D178</f>
        <v/>
      </c>
      <c r="F185" s="7">
        <f>'1 prepared data'!E178</f>
        <v/>
      </c>
      <c r="G185" s="7">
        <f>'1 prepared data'!F178</f>
        <v/>
      </c>
      <c r="H185" s="7">
        <f>'1 prepared data'!G178</f>
        <v/>
      </c>
      <c r="I185" s="7">
        <f>'1 prepared data'!H178</f>
        <v/>
      </c>
      <c r="J185" s="7">
        <f>'1 prepared data'!I178</f>
        <v/>
      </c>
      <c r="K185" s="7">
        <f>'1 prepared data'!J178</f>
        <v/>
      </c>
      <c r="L185" s="7">
        <f>'1 prepared data'!K178</f>
        <v/>
      </c>
      <c r="M185" s="7">
        <f>'1 prepared data'!L178</f>
        <v/>
      </c>
      <c r="N185" s="7">
        <f>'1 prepared data'!M178</f>
        <v/>
      </c>
      <c r="O185" s="7">
        <f>'1 prepared data'!N178</f>
        <v/>
      </c>
      <c r="P185" s="7">
        <f>'1 prepared data'!O178</f>
        <v/>
      </c>
      <c r="Q185" s="7">
        <f>'1 prepared data'!P178</f>
        <v/>
      </c>
      <c r="R185" s="7">
        <f>'1 prepared data'!Q178</f>
        <v/>
      </c>
      <c r="S185" s="7">
        <f>'1 prepared data'!R178</f>
        <v/>
      </c>
      <c r="T185" s="7">
        <f>'1 prepared data'!S178</f>
        <v/>
      </c>
      <c r="U185" s="7">
        <f>'1 prepared data'!T178</f>
        <v/>
      </c>
      <c r="V185" s="8">
        <f>$AC$12+D185*$AC$13+E185*$AC$14+F185*$AC$15+G185*$AC$16+H185*$AC$17+I185*$AC$18+J185*$AC$19+K185*$AC$20+L185*$AC$21+M185*$AC$22+N185*$AC$23+O185*$AC$24+P185*$AC$25+Q185*$AC$26+R185*$AC$27+S185*$AC$28+T185*$AC$29+U185*$AC$30</f>
        <v/>
      </c>
      <c r="W185" s="8">
        <f>1/(1+EXP(-V185))</f>
        <v/>
      </c>
      <c r="X185" s="9">
        <f>-IF(C185=1,LN(W185),LN(1-W185))</f>
        <v/>
      </c>
      <c r="Y185" s="10">
        <f>IF(W185&gt;$AC$33,1,0)</f>
        <v/>
      </c>
      <c r="Z185">
        <f>IF(Y185=C185,1,0)</f>
        <v/>
      </c>
    </row>
    <row r="186">
      <c r="A186">
        <f>'1 prepared data'!A179</f>
        <v/>
      </c>
      <c r="B186" s="5">
        <f>'1 prepared data'!U179</f>
        <v/>
      </c>
      <c r="C186">
        <f>'1 prepared data'!B179</f>
        <v/>
      </c>
      <c r="D186" s="7">
        <f>'1 prepared data'!C179</f>
        <v/>
      </c>
      <c r="E186" s="7">
        <f>'1 prepared data'!D179</f>
        <v/>
      </c>
      <c r="F186" s="7">
        <f>'1 prepared data'!E179</f>
        <v/>
      </c>
      <c r="G186" s="7">
        <f>'1 prepared data'!F179</f>
        <v/>
      </c>
      <c r="H186" s="7">
        <f>'1 prepared data'!G179</f>
        <v/>
      </c>
      <c r="I186" s="7">
        <f>'1 prepared data'!H179</f>
        <v/>
      </c>
      <c r="J186" s="7">
        <f>'1 prepared data'!I179</f>
        <v/>
      </c>
      <c r="K186" s="7">
        <f>'1 prepared data'!J179</f>
        <v/>
      </c>
      <c r="L186" s="7">
        <f>'1 prepared data'!K179</f>
        <v/>
      </c>
      <c r="M186" s="7">
        <f>'1 prepared data'!L179</f>
        <v/>
      </c>
      <c r="N186" s="7">
        <f>'1 prepared data'!M179</f>
        <v/>
      </c>
      <c r="O186" s="7">
        <f>'1 prepared data'!N179</f>
        <v/>
      </c>
      <c r="P186" s="7">
        <f>'1 prepared data'!O179</f>
        <v/>
      </c>
      <c r="Q186" s="7">
        <f>'1 prepared data'!P179</f>
        <v/>
      </c>
      <c r="R186" s="7">
        <f>'1 prepared data'!Q179</f>
        <v/>
      </c>
      <c r="S186" s="7">
        <f>'1 prepared data'!R179</f>
        <v/>
      </c>
      <c r="T186" s="7">
        <f>'1 prepared data'!S179</f>
        <v/>
      </c>
      <c r="U186" s="7">
        <f>'1 prepared data'!T179</f>
        <v/>
      </c>
      <c r="V186" s="8">
        <f>$AC$12+D186*$AC$13+E186*$AC$14+F186*$AC$15+G186*$AC$16+H186*$AC$17+I186*$AC$18+J186*$AC$19+K186*$AC$20+L186*$AC$21+M186*$AC$22+N186*$AC$23+O186*$AC$24+P186*$AC$25+Q186*$AC$26+R186*$AC$27+S186*$AC$28+T186*$AC$29+U186*$AC$30</f>
        <v/>
      </c>
      <c r="W186" s="8">
        <f>1/(1+EXP(-V186))</f>
        <v/>
      </c>
      <c r="X186" s="9">
        <f>-IF(C186=1,LN(W186),LN(1-W186))</f>
        <v/>
      </c>
      <c r="Y186" s="10">
        <f>IF(W186&gt;$AC$33,1,0)</f>
        <v/>
      </c>
      <c r="Z186">
        <f>IF(Y186=C186,1,0)</f>
        <v/>
      </c>
    </row>
    <row r="187">
      <c r="A187">
        <f>'1 prepared data'!A180</f>
        <v/>
      </c>
      <c r="B187" s="5">
        <f>'1 prepared data'!U180</f>
        <v/>
      </c>
      <c r="C187">
        <f>'1 prepared data'!B180</f>
        <v/>
      </c>
      <c r="D187" s="7">
        <f>'1 prepared data'!C180</f>
        <v/>
      </c>
      <c r="E187" s="7">
        <f>'1 prepared data'!D180</f>
        <v/>
      </c>
      <c r="F187" s="7">
        <f>'1 prepared data'!E180</f>
        <v/>
      </c>
      <c r="G187" s="7">
        <f>'1 prepared data'!F180</f>
        <v/>
      </c>
      <c r="H187" s="7">
        <f>'1 prepared data'!G180</f>
        <v/>
      </c>
      <c r="I187" s="7">
        <f>'1 prepared data'!H180</f>
        <v/>
      </c>
      <c r="J187" s="7">
        <f>'1 prepared data'!I180</f>
        <v/>
      </c>
      <c r="K187" s="7">
        <f>'1 prepared data'!J180</f>
        <v/>
      </c>
      <c r="L187" s="7">
        <f>'1 prepared data'!K180</f>
        <v/>
      </c>
      <c r="M187" s="7">
        <f>'1 prepared data'!L180</f>
        <v/>
      </c>
      <c r="N187" s="7">
        <f>'1 prepared data'!M180</f>
        <v/>
      </c>
      <c r="O187" s="7">
        <f>'1 prepared data'!N180</f>
        <v/>
      </c>
      <c r="P187" s="7">
        <f>'1 prepared data'!O180</f>
        <v/>
      </c>
      <c r="Q187" s="7">
        <f>'1 prepared data'!P180</f>
        <v/>
      </c>
      <c r="R187" s="7">
        <f>'1 prepared data'!Q180</f>
        <v/>
      </c>
      <c r="S187" s="7">
        <f>'1 prepared data'!R180</f>
        <v/>
      </c>
      <c r="T187" s="7">
        <f>'1 prepared data'!S180</f>
        <v/>
      </c>
      <c r="U187" s="7">
        <f>'1 prepared data'!T180</f>
        <v/>
      </c>
      <c r="V187" s="8">
        <f>$AC$12+D187*$AC$13+E187*$AC$14+F187*$AC$15+G187*$AC$16+H187*$AC$17+I187*$AC$18+J187*$AC$19+K187*$AC$20+L187*$AC$21+M187*$AC$22+N187*$AC$23+O187*$AC$24+P187*$AC$25+Q187*$AC$26+R187*$AC$27+S187*$AC$28+T187*$AC$29+U187*$AC$30</f>
        <v/>
      </c>
      <c r="W187" s="8">
        <f>1/(1+EXP(-V187))</f>
        <v/>
      </c>
      <c r="X187" s="9">
        <f>-IF(C187=1,LN(W187),LN(1-W187))</f>
        <v/>
      </c>
      <c r="Y187" s="10">
        <f>IF(W187&gt;$AC$33,1,0)</f>
        <v/>
      </c>
      <c r="Z187">
        <f>IF(Y187=C187,1,0)</f>
        <v/>
      </c>
    </row>
    <row r="188">
      <c r="A188">
        <f>'1 prepared data'!A181</f>
        <v/>
      </c>
      <c r="B188" s="5">
        <f>'1 prepared data'!U181</f>
        <v/>
      </c>
      <c r="C188">
        <f>'1 prepared data'!B181</f>
        <v/>
      </c>
      <c r="D188" s="7">
        <f>'1 prepared data'!C181</f>
        <v/>
      </c>
      <c r="E188" s="7">
        <f>'1 prepared data'!D181</f>
        <v/>
      </c>
      <c r="F188" s="7">
        <f>'1 prepared data'!E181</f>
        <v/>
      </c>
      <c r="G188" s="7">
        <f>'1 prepared data'!F181</f>
        <v/>
      </c>
      <c r="H188" s="7">
        <f>'1 prepared data'!G181</f>
        <v/>
      </c>
      <c r="I188" s="7">
        <f>'1 prepared data'!H181</f>
        <v/>
      </c>
      <c r="J188" s="7">
        <f>'1 prepared data'!I181</f>
        <v/>
      </c>
      <c r="K188" s="7">
        <f>'1 prepared data'!J181</f>
        <v/>
      </c>
      <c r="L188" s="7">
        <f>'1 prepared data'!K181</f>
        <v/>
      </c>
      <c r="M188" s="7">
        <f>'1 prepared data'!L181</f>
        <v/>
      </c>
      <c r="N188" s="7">
        <f>'1 prepared data'!M181</f>
        <v/>
      </c>
      <c r="O188" s="7">
        <f>'1 prepared data'!N181</f>
        <v/>
      </c>
      <c r="P188" s="7">
        <f>'1 prepared data'!O181</f>
        <v/>
      </c>
      <c r="Q188" s="7">
        <f>'1 prepared data'!P181</f>
        <v/>
      </c>
      <c r="R188" s="7">
        <f>'1 prepared data'!Q181</f>
        <v/>
      </c>
      <c r="S188" s="7">
        <f>'1 prepared data'!R181</f>
        <v/>
      </c>
      <c r="T188" s="7">
        <f>'1 prepared data'!S181</f>
        <v/>
      </c>
      <c r="U188" s="7">
        <f>'1 prepared data'!T181</f>
        <v/>
      </c>
      <c r="V188" s="8">
        <f>$AC$12+D188*$AC$13+E188*$AC$14+F188*$AC$15+G188*$AC$16+H188*$AC$17+I188*$AC$18+J188*$AC$19+K188*$AC$20+L188*$AC$21+M188*$AC$22+N188*$AC$23+O188*$AC$24+P188*$AC$25+Q188*$AC$26+R188*$AC$27+S188*$AC$28+T188*$AC$29+U188*$AC$30</f>
        <v/>
      </c>
      <c r="W188" s="8">
        <f>1/(1+EXP(-V188))</f>
        <v/>
      </c>
      <c r="X188" s="9">
        <f>-IF(C188=1,LN(W188),LN(1-W188))</f>
        <v/>
      </c>
      <c r="Y188" s="10">
        <f>IF(W188&gt;$AC$33,1,0)</f>
        <v/>
      </c>
      <c r="Z188">
        <f>IF(Y188=C188,1,0)</f>
        <v/>
      </c>
    </row>
    <row r="189">
      <c r="A189">
        <f>'1 prepared data'!A182</f>
        <v/>
      </c>
      <c r="B189" s="5">
        <f>'1 prepared data'!U182</f>
        <v/>
      </c>
      <c r="C189">
        <f>'1 prepared data'!B182</f>
        <v/>
      </c>
      <c r="D189" s="7">
        <f>'1 prepared data'!C182</f>
        <v/>
      </c>
      <c r="E189" s="7">
        <f>'1 prepared data'!D182</f>
        <v/>
      </c>
      <c r="F189" s="7">
        <f>'1 prepared data'!E182</f>
        <v/>
      </c>
      <c r="G189" s="7">
        <f>'1 prepared data'!F182</f>
        <v/>
      </c>
      <c r="H189" s="7">
        <f>'1 prepared data'!G182</f>
        <v/>
      </c>
      <c r="I189" s="7">
        <f>'1 prepared data'!H182</f>
        <v/>
      </c>
      <c r="J189" s="7">
        <f>'1 prepared data'!I182</f>
        <v/>
      </c>
      <c r="K189" s="7">
        <f>'1 prepared data'!J182</f>
        <v/>
      </c>
      <c r="L189" s="7">
        <f>'1 prepared data'!K182</f>
        <v/>
      </c>
      <c r="M189" s="7">
        <f>'1 prepared data'!L182</f>
        <v/>
      </c>
      <c r="N189" s="7">
        <f>'1 prepared data'!M182</f>
        <v/>
      </c>
      <c r="O189" s="7">
        <f>'1 prepared data'!N182</f>
        <v/>
      </c>
      <c r="P189" s="7">
        <f>'1 prepared data'!O182</f>
        <v/>
      </c>
      <c r="Q189" s="7">
        <f>'1 prepared data'!P182</f>
        <v/>
      </c>
      <c r="R189" s="7">
        <f>'1 prepared data'!Q182</f>
        <v/>
      </c>
      <c r="S189" s="7">
        <f>'1 prepared data'!R182</f>
        <v/>
      </c>
      <c r="T189" s="7">
        <f>'1 prepared data'!S182</f>
        <v/>
      </c>
      <c r="U189" s="7">
        <f>'1 prepared data'!T182</f>
        <v/>
      </c>
      <c r="V189" s="8">
        <f>$AC$12+D189*$AC$13+E189*$AC$14+F189*$AC$15+G189*$AC$16+H189*$AC$17+I189*$AC$18+J189*$AC$19+K189*$AC$20+L189*$AC$21+M189*$AC$22+N189*$AC$23+O189*$AC$24+P189*$AC$25+Q189*$AC$26+R189*$AC$27+S189*$AC$28+T189*$AC$29+U189*$AC$30</f>
        <v/>
      </c>
      <c r="W189" s="8">
        <f>1/(1+EXP(-V189))</f>
        <v/>
      </c>
      <c r="X189" s="9">
        <f>-IF(C189=1,LN(W189),LN(1-W189))</f>
        <v/>
      </c>
      <c r="Y189" s="10">
        <f>IF(W189&gt;$AC$33,1,0)</f>
        <v/>
      </c>
      <c r="Z189">
        <f>IF(Y189=C189,1,0)</f>
        <v/>
      </c>
    </row>
    <row r="190">
      <c r="A190">
        <f>'1 prepared data'!A183</f>
        <v/>
      </c>
      <c r="B190" s="5">
        <f>'1 prepared data'!U183</f>
        <v/>
      </c>
      <c r="C190">
        <f>'1 prepared data'!B183</f>
        <v/>
      </c>
      <c r="D190" s="7">
        <f>'1 prepared data'!C183</f>
        <v/>
      </c>
      <c r="E190" s="7">
        <f>'1 prepared data'!D183</f>
        <v/>
      </c>
      <c r="F190" s="7">
        <f>'1 prepared data'!E183</f>
        <v/>
      </c>
      <c r="G190" s="7">
        <f>'1 prepared data'!F183</f>
        <v/>
      </c>
      <c r="H190" s="7">
        <f>'1 prepared data'!G183</f>
        <v/>
      </c>
      <c r="I190" s="7">
        <f>'1 prepared data'!H183</f>
        <v/>
      </c>
      <c r="J190" s="7">
        <f>'1 prepared data'!I183</f>
        <v/>
      </c>
      <c r="K190" s="7">
        <f>'1 prepared data'!J183</f>
        <v/>
      </c>
      <c r="L190" s="7">
        <f>'1 prepared data'!K183</f>
        <v/>
      </c>
      <c r="M190" s="7">
        <f>'1 prepared data'!L183</f>
        <v/>
      </c>
      <c r="N190" s="7">
        <f>'1 prepared data'!M183</f>
        <v/>
      </c>
      <c r="O190" s="7">
        <f>'1 prepared data'!N183</f>
        <v/>
      </c>
      <c r="P190" s="7">
        <f>'1 prepared data'!O183</f>
        <v/>
      </c>
      <c r="Q190" s="7">
        <f>'1 prepared data'!P183</f>
        <v/>
      </c>
      <c r="R190" s="7">
        <f>'1 prepared data'!Q183</f>
        <v/>
      </c>
      <c r="S190" s="7">
        <f>'1 prepared data'!R183</f>
        <v/>
      </c>
      <c r="T190" s="7">
        <f>'1 prepared data'!S183</f>
        <v/>
      </c>
      <c r="U190" s="7">
        <f>'1 prepared data'!T183</f>
        <v/>
      </c>
      <c r="V190" s="8">
        <f>$AC$12+D190*$AC$13+E190*$AC$14+F190*$AC$15+G190*$AC$16+H190*$AC$17+I190*$AC$18+J190*$AC$19+K190*$AC$20+L190*$AC$21+M190*$AC$22+N190*$AC$23+O190*$AC$24+P190*$AC$25+Q190*$AC$26+R190*$AC$27+S190*$AC$28+T190*$AC$29+U190*$AC$30</f>
        <v/>
      </c>
      <c r="W190" s="8">
        <f>1/(1+EXP(-V190))</f>
        <v/>
      </c>
      <c r="X190" s="9">
        <f>-IF(C190=1,LN(W190),LN(1-W190))</f>
        <v/>
      </c>
      <c r="Y190" s="10">
        <f>IF(W190&gt;$AC$33,1,0)</f>
        <v/>
      </c>
      <c r="Z190">
        <f>IF(Y190=C190,1,0)</f>
        <v/>
      </c>
    </row>
    <row r="191">
      <c r="A191">
        <f>'1 prepared data'!A184</f>
        <v/>
      </c>
      <c r="B191" s="5">
        <f>'1 prepared data'!U184</f>
        <v/>
      </c>
      <c r="C191">
        <f>'1 prepared data'!B184</f>
        <v/>
      </c>
      <c r="D191" s="7">
        <f>'1 prepared data'!C184</f>
        <v/>
      </c>
      <c r="E191" s="7">
        <f>'1 prepared data'!D184</f>
        <v/>
      </c>
      <c r="F191" s="7">
        <f>'1 prepared data'!E184</f>
        <v/>
      </c>
      <c r="G191" s="7">
        <f>'1 prepared data'!F184</f>
        <v/>
      </c>
      <c r="H191" s="7">
        <f>'1 prepared data'!G184</f>
        <v/>
      </c>
      <c r="I191" s="7">
        <f>'1 prepared data'!H184</f>
        <v/>
      </c>
      <c r="J191" s="7">
        <f>'1 prepared data'!I184</f>
        <v/>
      </c>
      <c r="K191" s="7">
        <f>'1 prepared data'!J184</f>
        <v/>
      </c>
      <c r="L191" s="7">
        <f>'1 prepared data'!K184</f>
        <v/>
      </c>
      <c r="M191" s="7">
        <f>'1 prepared data'!L184</f>
        <v/>
      </c>
      <c r="N191" s="7">
        <f>'1 prepared data'!M184</f>
        <v/>
      </c>
      <c r="O191" s="7">
        <f>'1 prepared data'!N184</f>
        <v/>
      </c>
      <c r="P191" s="7">
        <f>'1 prepared data'!O184</f>
        <v/>
      </c>
      <c r="Q191" s="7">
        <f>'1 prepared data'!P184</f>
        <v/>
      </c>
      <c r="R191" s="7">
        <f>'1 prepared data'!Q184</f>
        <v/>
      </c>
      <c r="S191" s="7">
        <f>'1 prepared data'!R184</f>
        <v/>
      </c>
      <c r="T191" s="7">
        <f>'1 prepared data'!S184</f>
        <v/>
      </c>
      <c r="U191" s="7">
        <f>'1 prepared data'!T184</f>
        <v/>
      </c>
      <c r="V191" s="8">
        <f>$AC$12+D191*$AC$13+E191*$AC$14+F191*$AC$15+G191*$AC$16+H191*$AC$17+I191*$AC$18+J191*$AC$19+K191*$AC$20+L191*$AC$21+M191*$AC$22+N191*$AC$23+O191*$AC$24+P191*$AC$25+Q191*$AC$26+R191*$AC$27+S191*$AC$28+T191*$AC$29+U191*$AC$30</f>
        <v/>
      </c>
      <c r="W191" s="8">
        <f>1/(1+EXP(-V191))</f>
        <v/>
      </c>
      <c r="X191" s="9">
        <f>-IF(C191=1,LN(W191),LN(1-W191))</f>
        <v/>
      </c>
      <c r="Y191" s="10">
        <f>IF(W191&gt;$AC$33,1,0)</f>
        <v/>
      </c>
      <c r="Z191">
        <f>IF(Y191=C191,1,0)</f>
        <v/>
      </c>
    </row>
    <row r="192">
      <c r="A192">
        <f>'1 prepared data'!A185</f>
        <v/>
      </c>
      <c r="B192" s="5">
        <f>'1 prepared data'!U185</f>
        <v/>
      </c>
      <c r="C192">
        <f>'1 prepared data'!B185</f>
        <v/>
      </c>
      <c r="D192" s="7">
        <f>'1 prepared data'!C185</f>
        <v/>
      </c>
      <c r="E192" s="7">
        <f>'1 prepared data'!D185</f>
        <v/>
      </c>
      <c r="F192" s="7">
        <f>'1 prepared data'!E185</f>
        <v/>
      </c>
      <c r="G192" s="7">
        <f>'1 prepared data'!F185</f>
        <v/>
      </c>
      <c r="H192" s="7">
        <f>'1 prepared data'!G185</f>
        <v/>
      </c>
      <c r="I192" s="7">
        <f>'1 prepared data'!H185</f>
        <v/>
      </c>
      <c r="J192" s="7">
        <f>'1 prepared data'!I185</f>
        <v/>
      </c>
      <c r="K192" s="7">
        <f>'1 prepared data'!J185</f>
        <v/>
      </c>
      <c r="L192" s="7">
        <f>'1 prepared data'!K185</f>
        <v/>
      </c>
      <c r="M192" s="7">
        <f>'1 prepared data'!L185</f>
        <v/>
      </c>
      <c r="N192" s="7">
        <f>'1 prepared data'!M185</f>
        <v/>
      </c>
      <c r="O192" s="7">
        <f>'1 prepared data'!N185</f>
        <v/>
      </c>
      <c r="P192" s="7">
        <f>'1 prepared data'!O185</f>
        <v/>
      </c>
      <c r="Q192" s="7">
        <f>'1 prepared data'!P185</f>
        <v/>
      </c>
      <c r="R192" s="7">
        <f>'1 prepared data'!Q185</f>
        <v/>
      </c>
      <c r="S192" s="7">
        <f>'1 prepared data'!R185</f>
        <v/>
      </c>
      <c r="T192" s="7">
        <f>'1 prepared data'!S185</f>
        <v/>
      </c>
      <c r="U192" s="7">
        <f>'1 prepared data'!T185</f>
        <v/>
      </c>
      <c r="V192" s="8">
        <f>$AC$12+D192*$AC$13+E192*$AC$14+F192*$AC$15+G192*$AC$16+H192*$AC$17+I192*$AC$18+J192*$AC$19+K192*$AC$20+L192*$AC$21+M192*$AC$22+N192*$AC$23+O192*$AC$24+P192*$AC$25+Q192*$AC$26+R192*$AC$27+S192*$AC$28+T192*$AC$29+U192*$AC$30</f>
        <v/>
      </c>
      <c r="W192" s="8">
        <f>1/(1+EXP(-V192))</f>
        <v/>
      </c>
      <c r="X192" s="9">
        <f>-IF(C192=1,LN(W192),LN(1-W192))</f>
        <v/>
      </c>
      <c r="Y192" s="10">
        <f>IF(W192&gt;$AC$33,1,0)</f>
        <v/>
      </c>
      <c r="Z192">
        <f>IF(Y192=C192,1,0)</f>
        <v/>
      </c>
    </row>
    <row r="193">
      <c r="A193">
        <f>'1 prepared data'!A186</f>
        <v/>
      </c>
      <c r="B193" s="5">
        <f>'1 prepared data'!U186</f>
        <v/>
      </c>
      <c r="C193">
        <f>'1 prepared data'!B186</f>
        <v/>
      </c>
      <c r="D193" s="7">
        <f>'1 prepared data'!C186</f>
        <v/>
      </c>
      <c r="E193" s="7">
        <f>'1 prepared data'!D186</f>
        <v/>
      </c>
      <c r="F193" s="7">
        <f>'1 prepared data'!E186</f>
        <v/>
      </c>
      <c r="G193" s="7">
        <f>'1 prepared data'!F186</f>
        <v/>
      </c>
      <c r="H193" s="7">
        <f>'1 prepared data'!G186</f>
        <v/>
      </c>
      <c r="I193" s="7">
        <f>'1 prepared data'!H186</f>
        <v/>
      </c>
      <c r="J193" s="7">
        <f>'1 prepared data'!I186</f>
        <v/>
      </c>
      <c r="K193" s="7">
        <f>'1 prepared data'!J186</f>
        <v/>
      </c>
      <c r="L193" s="7">
        <f>'1 prepared data'!K186</f>
        <v/>
      </c>
      <c r="M193" s="7">
        <f>'1 prepared data'!L186</f>
        <v/>
      </c>
      <c r="N193" s="7">
        <f>'1 prepared data'!M186</f>
        <v/>
      </c>
      <c r="O193" s="7">
        <f>'1 prepared data'!N186</f>
        <v/>
      </c>
      <c r="P193" s="7">
        <f>'1 prepared data'!O186</f>
        <v/>
      </c>
      <c r="Q193" s="7">
        <f>'1 prepared data'!P186</f>
        <v/>
      </c>
      <c r="R193" s="7">
        <f>'1 prepared data'!Q186</f>
        <v/>
      </c>
      <c r="S193" s="7">
        <f>'1 prepared data'!R186</f>
        <v/>
      </c>
      <c r="T193" s="7">
        <f>'1 prepared data'!S186</f>
        <v/>
      </c>
      <c r="U193" s="7">
        <f>'1 prepared data'!T186</f>
        <v/>
      </c>
      <c r="V193" s="8">
        <f>$AC$12+D193*$AC$13+E193*$AC$14+F193*$AC$15+G193*$AC$16+H193*$AC$17+I193*$AC$18+J193*$AC$19+K193*$AC$20+L193*$AC$21+M193*$AC$22+N193*$AC$23+O193*$AC$24+P193*$AC$25+Q193*$AC$26+R193*$AC$27+S193*$AC$28+T193*$AC$29+U193*$AC$30</f>
        <v/>
      </c>
      <c r="W193" s="8">
        <f>1/(1+EXP(-V193))</f>
        <v/>
      </c>
      <c r="X193" s="9">
        <f>-IF(C193=1,LN(W193),LN(1-W193))</f>
        <v/>
      </c>
      <c r="Y193" s="10">
        <f>IF(W193&gt;$AC$33,1,0)</f>
        <v/>
      </c>
      <c r="Z193">
        <f>IF(Y193=C193,1,0)</f>
        <v/>
      </c>
    </row>
    <row r="194">
      <c r="A194">
        <f>'1 prepared data'!A187</f>
        <v/>
      </c>
      <c r="B194" s="5">
        <f>'1 prepared data'!U187</f>
        <v/>
      </c>
      <c r="C194">
        <f>'1 prepared data'!B187</f>
        <v/>
      </c>
      <c r="D194" s="7">
        <f>'1 prepared data'!C187</f>
        <v/>
      </c>
      <c r="E194" s="7">
        <f>'1 prepared data'!D187</f>
        <v/>
      </c>
      <c r="F194" s="7">
        <f>'1 prepared data'!E187</f>
        <v/>
      </c>
      <c r="G194" s="7">
        <f>'1 prepared data'!F187</f>
        <v/>
      </c>
      <c r="H194" s="7">
        <f>'1 prepared data'!G187</f>
        <v/>
      </c>
      <c r="I194" s="7">
        <f>'1 prepared data'!H187</f>
        <v/>
      </c>
      <c r="J194" s="7">
        <f>'1 prepared data'!I187</f>
        <v/>
      </c>
      <c r="K194" s="7">
        <f>'1 prepared data'!J187</f>
        <v/>
      </c>
      <c r="L194" s="7">
        <f>'1 prepared data'!K187</f>
        <v/>
      </c>
      <c r="M194" s="7">
        <f>'1 prepared data'!L187</f>
        <v/>
      </c>
      <c r="N194" s="7">
        <f>'1 prepared data'!M187</f>
        <v/>
      </c>
      <c r="O194" s="7">
        <f>'1 prepared data'!N187</f>
        <v/>
      </c>
      <c r="P194" s="7">
        <f>'1 prepared data'!O187</f>
        <v/>
      </c>
      <c r="Q194" s="7">
        <f>'1 prepared data'!P187</f>
        <v/>
      </c>
      <c r="R194" s="7">
        <f>'1 prepared data'!Q187</f>
        <v/>
      </c>
      <c r="S194" s="7">
        <f>'1 prepared data'!R187</f>
        <v/>
      </c>
      <c r="T194" s="7">
        <f>'1 prepared data'!S187</f>
        <v/>
      </c>
      <c r="U194" s="7">
        <f>'1 prepared data'!T187</f>
        <v/>
      </c>
      <c r="V194" s="8">
        <f>$AC$12+D194*$AC$13+E194*$AC$14+F194*$AC$15+G194*$AC$16+H194*$AC$17+I194*$AC$18+J194*$AC$19+K194*$AC$20+L194*$AC$21+M194*$AC$22+N194*$AC$23+O194*$AC$24+P194*$AC$25+Q194*$AC$26+R194*$AC$27+S194*$AC$28+T194*$AC$29+U194*$AC$30</f>
        <v/>
      </c>
      <c r="W194" s="8">
        <f>1/(1+EXP(-V194))</f>
        <v/>
      </c>
      <c r="X194" s="9">
        <f>-IF(C194=1,LN(W194),LN(1-W194))</f>
        <v/>
      </c>
      <c r="Y194" s="10">
        <f>IF(W194&gt;$AC$33,1,0)</f>
        <v/>
      </c>
      <c r="Z194">
        <f>IF(Y194=C194,1,0)</f>
        <v/>
      </c>
    </row>
    <row r="195">
      <c r="A195">
        <f>'1 prepared data'!A188</f>
        <v/>
      </c>
      <c r="B195" s="5">
        <f>'1 prepared data'!U188</f>
        <v/>
      </c>
      <c r="C195">
        <f>'1 prepared data'!B188</f>
        <v/>
      </c>
      <c r="D195" s="7">
        <f>'1 prepared data'!C188</f>
        <v/>
      </c>
      <c r="E195" s="7">
        <f>'1 prepared data'!D188</f>
        <v/>
      </c>
      <c r="F195" s="7">
        <f>'1 prepared data'!E188</f>
        <v/>
      </c>
      <c r="G195" s="7">
        <f>'1 prepared data'!F188</f>
        <v/>
      </c>
      <c r="H195" s="7">
        <f>'1 prepared data'!G188</f>
        <v/>
      </c>
      <c r="I195" s="7">
        <f>'1 prepared data'!H188</f>
        <v/>
      </c>
      <c r="J195" s="7">
        <f>'1 prepared data'!I188</f>
        <v/>
      </c>
      <c r="K195" s="7">
        <f>'1 prepared data'!J188</f>
        <v/>
      </c>
      <c r="L195" s="7">
        <f>'1 prepared data'!K188</f>
        <v/>
      </c>
      <c r="M195" s="7">
        <f>'1 prepared data'!L188</f>
        <v/>
      </c>
      <c r="N195" s="7">
        <f>'1 prepared data'!M188</f>
        <v/>
      </c>
      <c r="O195" s="7">
        <f>'1 prepared data'!N188</f>
        <v/>
      </c>
      <c r="P195" s="7">
        <f>'1 prepared data'!O188</f>
        <v/>
      </c>
      <c r="Q195" s="7">
        <f>'1 prepared data'!P188</f>
        <v/>
      </c>
      <c r="R195" s="7">
        <f>'1 prepared data'!Q188</f>
        <v/>
      </c>
      <c r="S195" s="7">
        <f>'1 prepared data'!R188</f>
        <v/>
      </c>
      <c r="T195" s="7">
        <f>'1 prepared data'!S188</f>
        <v/>
      </c>
      <c r="U195" s="7">
        <f>'1 prepared data'!T188</f>
        <v/>
      </c>
      <c r="V195" s="8">
        <f>$AC$12+D195*$AC$13+E195*$AC$14+F195*$AC$15+G195*$AC$16+H195*$AC$17+I195*$AC$18+J195*$AC$19+K195*$AC$20+L195*$AC$21+M195*$AC$22+N195*$AC$23+O195*$AC$24+P195*$AC$25+Q195*$AC$26+R195*$AC$27+S195*$AC$28+T195*$AC$29+U195*$AC$30</f>
        <v/>
      </c>
      <c r="W195" s="8">
        <f>1/(1+EXP(-V195))</f>
        <v/>
      </c>
      <c r="X195" s="9">
        <f>-IF(C195=1,LN(W195),LN(1-W195))</f>
        <v/>
      </c>
      <c r="Y195" s="10">
        <f>IF(W195&gt;$AC$33,1,0)</f>
        <v/>
      </c>
      <c r="Z195">
        <f>IF(Y195=C195,1,0)</f>
        <v/>
      </c>
    </row>
    <row r="196">
      <c r="A196">
        <f>'1 prepared data'!A189</f>
        <v/>
      </c>
      <c r="B196" s="5">
        <f>'1 prepared data'!U189</f>
        <v/>
      </c>
      <c r="C196">
        <f>'1 prepared data'!B189</f>
        <v/>
      </c>
      <c r="D196" s="7">
        <f>'1 prepared data'!C189</f>
        <v/>
      </c>
      <c r="E196" s="7">
        <f>'1 prepared data'!D189</f>
        <v/>
      </c>
      <c r="F196" s="7">
        <f>'1 prepared data'!E189</f>
        <v/>
      </c>
      <c r="G196" s="7">
        <f>'1 prepared data'!F189</f>
        <v/>
      </c>
      <c r="H196" s="7">
        <f>'1 prepared data'!G189</f>
        <v/>
      </c>
      <c r="I196" s="7">
        <f>'1 prepared data'!H189</f>
        <v/>
      </c>
      <c r="J196" s="7">
        <f>'1 prepared data'!I189</f>
        <v/>
      </c>
      <c r="K196" s="7">
        <f>'1 prepared data'!J189</f>
        <v/>
      </c>
      <c r="L196" s="7">
        <f>'1 prepared data'!K189</f>
        <v/>
      </c>
      <c r="M196" s="7">
        <f>'1 prepared data'!L189</f>
        <v/>
      </c>
      <c r="N196" s="7">
        <f>'1 prepared data'!M189</f>
        <v/>
      </c>
      <c r="O196" s="7">
        <f>'1 prepared data'!N189</f>
        <v/>
      </c>
      <c r="P196" s="7">
        <f>'1 prepared data'!O189</f>
        <v/>
      </c>
      <c r="Q196" s="7">
        <f>'1 prepared data'!P189</f>
        <v/>
      </c>
      <c r="R196" s="7">
        <f>'1 prepared data'!Q189</f>
        <v/>
      </c>
      <c r="S196" s="7">
        <f>'1 prepared data'!R189</f>
        <v/>
      </c>
      <c r="T196" s="7">
        <f>'1 prepared data'!S189</f>
        <v/>
      </c>
      <c r="U196" s="7">
        <f>'1 prepared data'!T189</f>
        <v/>
      </c>
      <c r="V196" s="8">
        <f>$AC$12+D196*$AC$13+E196*$AC$14+F196*$AC$15+G196*$AC$16+H196*$AC$17+I196*$AC$18+J196*$AC$19+K196*$AC$20+L196*$AC$21+M196*$AC$22+N196*$AC$23+O196*$AC$24+P196*$AC$25+Q196*$AC$26+R196*$AC$27+S196*$AC$28+T196*$AC$29+U196*$AC$30</f>
        <v/>
      </c>
      <c r="W196" s="8">
        <f>1/(1+EXP(-V196))</f>
        <v/>
      </c>
      <c r="X196" s="9">
        <f>-IF(C196=1,LN(W196),LN(1-W196))</f>
        <v/>
      </c>
      <c r="Y196" s="10">
        <f>IF(W196&gt;$AC$33,1,0)</f>
        <v/>
      </c>
      <c r="Z196">
        <f>IF(Y196=C196,1,0)</f>
        <v/>
      </c>
    </row>
    <row r="197">
      <c r="A197">
        <f>'1 prepared data'!A190</f>
        <v/>
      </c>
      <c r="B197" s="5">
        <f>'1 prepared data'!U190</f>
        <v/>
      </c>
      <c r="C197">
        <f>'1 prepared data'!B190</f>
        <v/>
      </c>
      <c r="D197" s="7">
        <f>'1 prepared data'!C190</f>
        <v/>
      </c>
      <c r="E197" s="7">
        <f>'1 prepared data'!D190</f>
        <v/>
      </c>
      <c r="F197" s="7">
        <f>'1 prepared data'!E190</f>
        <v/>
      </c>
      <c r="G197" s="7">
        <f>'1 prepared data'!F190</f>
        <v/>
      </c>
      <c r="H197" s="7">
        <f>'1 prepared data'!G190</f>
        <v/>
      </c>
      <c r="I197" s="7">
        <f>'1 prepared data'!H190</f>
        <v/>
      </c>
      <c r="J197" s="7">
        <f>'1 prepared data'!I190</f>
        <v/>
      </c>
      <c r="K197" s="7">
        <f>'1 prepared data'!J190</f>
        <v/>
      </c>
      <c r="L197" s="7">
        <f>'1 prepared data'!K190</f>
        <v/>
      </c>
      <c r="M197" s="7">
        <f>'1 prepared data'!L190</f>
        <v/>
      </c>
      <c r="N197" s="7">
        <f>'1 prepared data'!M190</f>
        <v/>
      </c>
      <c r="O197" s="7">
        <f>'1 prepared data'!N190</f>
        <v/>
      </c>
      <c r="P197" s="7">
        <f>'1 prepared data'!O190</f>
        <v/>
      </c>
      <c r="Q197" s="7">
        <f>'1 prepared data'!P190</f>
        <v/>
      </c>
      <c r="R197" s="7">
        <f>'1 prepared data'!Q190</f>
        <v/>
      </c>
      <c r="S197" s="7">
        <f>'1 prepared data'!R190</f>
        <v/>
      </c>
      <c r="T197" s="7">
        <f>'1 prepared data'!S190</f>
        <v/>
      </c>
      <c r="U197" s="7">
        <f>'1 prepared data'!T190</f>
        <v/>
      </c>
      <c r="V197" s="8">
        <f>$AC$12+D197*$AC$13+E197*$AC$14+F197*$AC$15+G197*$AC$16+H197*$AC$17+I197*$AC$18+J197*$AC$19+K197*$AC$20+L197*$AC$21+M197*$AC$22+N197*$AC$23+O197*$AC$24+P197*$AC$25+Q197*$AC$26+R197*$AC$27+S197*$AC$28+T197*$AC$29+U197*$AC$30</f>
        <v/>
      </c>
      <c r="W197" s="8">
        <f>1/(1+EXP(-V197))</f>
        <v/>
      </c>
      <c r="X197" s="9">
        <f>-IF(C197=1,LN(W197),LN(1-W197))</f>
        <v/>
      </c>
      <c r="Y197" s="10">
        <f>IF(W197&gt;$AC$33,1,0)</f>
        <v/>
      </c>
      <c r="Z197">
        <f>IF(Y197=C197,1,0)</f>
        <v/>
      </c>
    </row>
    <row r="198">
      <c r="A198">
        <f>'1 prepared data'!A191</f>
        <v/>
      </c>
      <c r="B198" s="5">
        <f>'1 prepared data'!U191</f>
        <v/>
      </c>
      <c r="C198">
        <f>'1 prepared data'!B191</f>
        <v/>
      </c>
      <c r="D198" s="7">
        <f>'1 prepared data'!C191</f>
        <v/>
      </c>
      <c r="E198" s="7">
        <f>'1 prepared data'!D191</f>
        <v/>
      </c>
      <c r="F198" s="7">
        <f>'1 prepared data'!E191</f>
        <v/>
      </c>
      <c r="G198" s="7">
        <f>'1 prepared data'!F191</f>
        <v/>
      </c>
      <c r="H198" s="7">
        <f>'1 prepared data'!G191</f>
        <v/>
      </c>
      <c r="I198" s="7">
        <f>'1 prepared data'!H191</f>
        <v/>
      </c>
      <c r="J198" s="7">
        <f>'1 prepared data'!I191</f>
        <v/>
      </c>
      <c r="K198" s="7">
        <f>'1 prepared data'!J191</f>
        <v/>
      </c>
      <c r="L198" s="7">
        <f>'1 prepared data'!K191</f>
        <v/>
      </c>
      <c r="M198" s="7">
        <f>'1 prepared data'!L191</f>
        <v/>
      </c>
      <c r="N198" s="7">
        <f>'1 prepared data'!M191</f>
        <v/>
      </c>
      <c r="O198" s="7">
        <f>'1 prepared data'!N191</f>
        <v/>
      </c>
      <c r="P198" s="7">
        <f>'1 prepared data'!O191</f>
        <v/>
      </c>
      <c r="Q198" s="7">
        <f>'1 prepared data'!P191</f>
        <v/>
      </c>
      <c r="R198" s="7">
        <f>'1 prepared data'!Q191</f>
        <v/>
      </c>
      <c r="S198" s="7">
        <f>'1 prepared data'!R191</f>
        <v/>
      </c>
      <c r="T198" s="7">
        <f>'1 prepared data'!S191</f>
        <v/>
      </c>
      <c r="U198" s="7">
        <f>'1 prepared data'!T191</f>
        <v/>
      </c>
      <c r="V198" s="8">
        <f>$AC$12+D198*$AC$13+E198*$AC$14+F198*$AC$15+G198*$AC$16+H198*$AC$17+I198*$AC$18+J198*$AC$19+K198*$AC$20+L198*$AC$21+M198*$AC$22+N198*$AC$23+O198*$AC$24+P198*$AC$25+Q198*$AC$26+R198*$AC$27+S198*$AC$28+T198*$AC$29+U198*$AC$30</f>
        <v/>
      </c>
      <c r="W198" s="8">
        <f>1/(1+EXP(-V198))</f>
        <v/>
      </c>
      <c r="X198" s="9">
        <f>-IF(C198=1,LN(W198),LN(1-W198))</f>
        <v/>
      </c>
      <c r="Y198" s="10">
        <f>IF(W198&gt;$AC$33,1,0)</f>
        <v/>
      </c>
      <c r="Z198">
        <f>IF(Y198=C198,1,0)</f>
        <v/>
      </c>
    </row>
    <row r="199">
      <c r="A199">
        <f>'1 prepared data'!A192</f>
        <v/>
      </c>
      <c r="B199" s="5">
        <f>'1 prepared data'!U192</f>
        <v/>
      </c>
      <c r="C199">
        <f>'1 prepared data'!B192</f>
        <v/>
      </c>
      <c r="D199" s="7">
        <f>'1 prepared data'!C192</f>
        <v/>
      </c>
      <c r="E199" s="7">
        <f>'1 prepared data'!D192</f>
        <v/>
      </c>
      <c r="F199" s="7">
        <f>'1 prepared data'!E192</f>
        <v/>
      </c>
      <c r="G199" s="7">
        <f>'1 prepared data'!F192</f>
        <v/>
      </c>
      <c r="H199" s="7">
        <f>'1 prepared data'!G192</f>
        <v/>
      </c>
      <c r="I199" s="7">
        <f>'1 prepared data'!H192</f>
        <v/>
      </c>
      <c r="J199" s="7">
        <f>'1 prepared data'!I192</f>
        <v/>
      </c>
      <c r="K199" s="7">
        <f>'1 prepared data'!J192</f>
        <v/>
      </c>
      <c r="L199" s="7">
        <f>'1 prepared data'!K192</f>
        <v/>
      </c>
      <c r="M199" s="7">
        <f>'1 prepared data'!L192</f>
        <v/>
      </c>
      <c r="N199" s="7">
        <f>'1 prepared data'!M192</f>
        <v/>
      </c>
      <c r="O199" s="7">
        <f>'1 prepared data'!N192</f>
        <v/>
      </c>
      <c r="P199" s="7">
        <f>'1 prepared data'!O192</f>
        <v/>
      </c>
      <c r="Q199" s="7">
        <f>'1 prepared data'!P192</f>
        <v/>
      </c>
      <c r="R199" s="7">
        <f>'1 prepared data'!Q192</f>
        <v/>
      </c>
      <c r="S199" s="7">
        <f>'1 prepared data'!R192</f>
        <v/>
      </c>
      <c r="T199" s="7">
        <f>'1 prepared data'!S192</f>
        <v/>
      </c>
      <c r="U199" s="7">
        <f>'1 prepared data'!T192</f>
        <v/>
      </c>
      <c r="V199" s="8">
        <f>$AC$12+D199*$AC$13+E199*$AC$14+F199*$AC$15+G199*$AC$16+H199*$AC$17+I199*$AC$18+J199*$AC$19+K199*$AC$20+L199*$AC$21+M199*$AC$22+N199*$AC$23+O199*$AC$24+P199*$AC$25+Q199*$AC$26+R199*$AC$27+S199*$AC$28+T199*$AC$29+U199*$AC$30</f>
        <v/>
      </c>
      <c r="W199" s="8">
        <f>1/(1+EXP(-V199))</f>
        <v/>
      </c>
      <c r="X199" s="9">
        <f>-IF(C199=1,LN(W199),LN(1-W199))</f>
        <v/>
      </c>
      <c r="Y199" s="10">
        <f>IF(W199&gt;$AC$33,1,0)</f>
        <v/>
      </c>
      <c r="Z199">
        <f>IF(Y199=C199,1,0)</f>
        <v/>
      </c>
    </row>
    <row r="200">
      <c r="A200">
        <f>'1 prepared data'!A193</f>
        <v/>
      </c>
      <c r="B200" s="5">
        <f>'1 prepared data'!U193</f>
        <v/>
      </c>
      <c r="C200">
        <f>'1 prepared data'!B193</f>
        <v/>
      </c>
      <c r="D200" s="7">
        <f>'1 prepared data'!C193</f>
        <v/>
      </c>
      <c r="E200" s="7">
        <f>'1 prepared data'!D193</f>
        <v/>
      </c>
      <c r="F200" s="7">
        <f>'1 prepared data'!E193</f>
        <v/>
      </c>
      <c r="G200" s="7">
        <f>'1 prepared data'!F193</f>
        <v/>
      </c>
      <c r="H200" s="7">
        <f>'1 prepared data'!G193</f>
        <v/>
      </c>
      <c r="I200" s="7">
        <f>'1 prepared data'!H193</f>
        <v/>
      </c>
      <c r="J200" s="7">
        <f>'1 prepared data'!I193</f>
        <v/>
      </c>
      <c r="K200" s="7">
        <f>'1 prepared data'!J193</f>
        <v/>
      </c>
      <c r="L200" s="7">
        <f>'1 prepared data'!K193</f>
        <v/>
      </c>
      <c r="M200" s="7">
        <f>'1 prepared data'!L193</f>
        <v/>
      </c>
      <c r="N200" s="7">
        <f>'1 prepared data'!M193</f>
        <v/>
      </c>
      <c r="O200" s="7">
        <f>'1 prepared data'!N193</f>
        <v/>
      </c>
      <c r="P200" s="7">
        <f>'1 prepared data'!O193</f>
        <v/>
      </c>
      <c r="Q200" s="7">
        <f>'1 prepared data'!P193</f>
        <v/>
      </c>
      <c r="R200" s="7">
        <f>'1 prepared data'!Q193</f>
        <v/>
      </c>
      <c r="S200" s="7">
        <f>'1 prepared data'!R193</f>
        <v/>
      </c>
      <c r="T200" s="7">
        <f>'1 prepared data'!S193</f>
        <v/>
      </c>
      <c r="U200" s="7">
        <f>'1 prepared data'!T193</f>
        <v/>
      </c>
      <c r="V200" s="8">
        <f>$AC$12+D200*$AC$13+E200*$AC$14+F200*$AC$15+G200*$AC$16+H200*$AC$17+I200*$AC$18+J200*$AC$19+K200*$AC$20+L200*$AC$21+M200*$AC$22+N200*$AC$23+O200*$AC$24+P200*$AC$25+Q200*$AC$26+R200*$AC$27+S200*$AC$28+T200*$AC$29+U200*$AC$30</f>
        <v/>
      </c>
      <c r="W200" s="8">
        <f>1/(1+EXP(-V200))</f>
        <v/>
      </c>
      <c r="X200" s="9">
        <f>-IF(C200=1,LN(W200),LN(1-W200))</f>
        <v/>
      </c>
      <c r="Y200" s="10">
        <f>IF(W200&gt;$AC$33,1,0)</f>
        <v/>
      </c>
      <c r="Z200">
        <f>IF(Y200=C200,1,0)</f>
        <v/>
      </c>
    </row>
    <row r="201">
      <c r="A201">
        <f>'1 prepared data'!A194</f>
        <v/>
      </c>
      <c r="B201" s="5">
        <f>'1 prepared data'!U194</f>
        <v/>
      </c>
      <c r="C201">
        <f>'1 prepared data'!B194</f>
        <v/>
      </c>
      <c r="D201" s="7">
        <f>'1 prepared data'!C194</f>
        <v/>
      </c>
      <c r="E201" s="7">
        <f>'1 prepared data'!D194</f>
        <v/>
      </c>
      <c r="F201" s="7">
        <f>'1 prepared data'!E194</f>
        <v/>
      </c>
      <c r="G201" s="7">
        <f>'1 prepared data'!F194</f>
        <v/>
      </c>
      <c r="H201" s="7">
        <f>'1 prepared data'!G194</f>
        <v/>
      </c>
      <c r="I201" s="7">
        <f>'1 prepared data'!H194</f>
        <v/>
      </c>
      <c r="J201" s="7">
        <f>'1 prepared data'!I194</f>
        <v/>
      </c>
      <c r="K201" s="7">
        <f>'1 prepared data'!J194</f>
        <v/>
      </c>
      <c r="L201" s="7">
        <f>'1 prepared data'!K194</f>
        <v/>
      </c>
      <c r="M201" s="7">
        <f>'1 prepared data'!L194</f>
        <v/>
      </c>
      <c r="N201" s="7">
        <f>'1 prepared data'!M194</f>
        <v/>
      </c>
      <c r="O201" s="7">
        <f>'1 prepared data'!N194</f>
        <v/>
      </c>
      <c r="P201" s="7">
        <f>'1 prepared data'!O194</f>
        <v/>
      </c>
      <c r="Q201" s="7">
        <f>'1 prepared data'!P194</f>
        <v/>
      </c>
      <c r="R201" s="7">
        <f>'1 prepared data'!Q194</f>
        <v/>
      </c>
      <c r="S201" s="7">
        <f>'1 prepared data'!R194</f>
        <v/>
      </c>
      <c r="T201" s="7">
        <f>'1 prepared data'!S194</f>
        <v/>
      </c>
      <c r="U201" s="7">
        <f>'1 prepared data'!T194</f>
        <v/>
      </c>
      <c r="V201" s="8">
        <f>$AC$12+D201*$AC$13+E201*$AC$14+F201*$AC$15+G201*$AC$16+H201*$AC$17+I201*$AC$18+J201*$AC$19+K201*$AC$20+L201*$AC$21+M201*$AC$22+N201*$AC$23+O201*$AC$24+P201*$AC$25+Q201*$AC$26+R201*$AC$27+S201*$AC$28+T201*$AC$29+U201*$AC$30</f>
        <v/>
      </c>
      <c r="W201" s="8">
        <f>1/(1+EXP(-V201))</f>
        <v/>
      </c>
      <c r="X201" s="9">
        <f>-IF(C201=1,LN(W201),LN(1-W201))</f>
        <v/>
      </c>
      <c r="Y201" s="10">
        <f>IF(W201&gt;$AC$33,1,0)</f>
        <v/>
      </c>
      <c r="Z201">
        <f>IF(Y201=C201,1,0)</f>
        <v/>
      </c>
    </row>
    <row r="202">
      <c r="A202">
        <f>'1 prepared data'!A195</f>
        <v/>
      </c>
      <c r="B202" s="5">
        <f>'1 prepared data'!U195</f>
        <v/>
      </c>
      <c r="C202">
        <f>'1 prepared data'!B195</f>
        <v/>
      </c>
      <c r="D202" s="7">
        <f>'1 prepared data'!C195</f>
        <v/>
      </c>
      <c r="E202" s="7">
        <f>'1 prepared data'!D195</f>
        <v/>
      </c>
      <c r="F202" s="7">
        <f>'1 prepared data'!E195</f>
        <v/>
      </c>
      <c r="G202" s="7">
        <f>'1 prepared data'!F195</f>
        <v/>
      </c>
      <c r="H202" s="7">
        <f>'1 prepared data'!G195</f>
        <v/>
      </c>
      <c r="I202" s="7">
        <f>'1 prepared data'!H195</f>
        <v/>
      </c>
      <c r="J202" s="7">
        <f>'1 prepared data'!I195</f>
        <v/>
      </c>
      <c r="K202" s="7">
        <f>'1 prepared data'!J195</f>
        <v/>
      </c>
      <c r="L202" s="7">
        <f>'1 prepared data'!K195</f>
        <v/>
      </c>
      <c r="M202" s="7">
        <f>'1 prepared data'!L195</f>
        <v/>
      </c>
      <c r="N202" s="7">
        <f>'1 prepared data'!M195</f>
        <v/>
      </c>
      <c r="O202" s="7">
        <f>'1 prepared data'!N195</f>
        <v/>
      </c>
      <c r="P202" s="7">
        <f>'1 prepared data'!O195</f>
        <v/>
      </c>
      <c r="Q202" s="7">
        <f>'1 prepared data'!P195</f>
        <v/>
      </c>
      <c r="R202" s="7">
        <f>'1 prepared data'!Q195</f>
        <v/>
      </c>
      <c r="S202" s="7">
        <f>'1 prepared data'!R195</f>
        <v/>
      </c>
      <c r="T202" s="7">
        <f>'1 prepared data'!S195</f>
        <v/>
      </c>
      <c r="U202" s="7">
        <f>'1 prepared data'!T195</f>
        <v/>
      </c>
      <c r="V202" s="8">
        <f>$AC$12+D202*$AC$13+E202*$AC$14+F202*$AC$15+G202*$AC$16+H202*$AC$17+I202*$AC$18+J202*$AC$19+K202*$AC$20+L202*$AC$21+M202*$AC$22+N202*$AC$23+O202*$AC$24+P202*$AC$25+Q202*$AC$26+R202*$AC$27+S202*$AC$28+T202*$AC$29+U202*$AC$30</f>
        <v/>
      </c>
      <c r="W202" s="8">
        <f>1/(1+EXP(-V202))</f>
        <v/>
      </c>
      <c r="X202" s="9">
        <f>-IF(C202=1,LN(W202),LN(1-W202))</f>
        <v/>
      </c>
      <c r="Y202" s="10">
        <f>IF(W202&gt;$AC$33,1,0)</f>
        <v/>
      </c>
      <c r="Z202">
        <f>IF(Y202=C202,1,0)</f>
        <v/>
      </c>
    </row>
    <row r="203">
      <c r="A203">
        <f>'1 prepared data'!A196</f>
        <v/>
      </c>
      <c r="B203" s="5">
        <f>'1 prepared data'!U196</f>
        <v/>
      </c>
      <c r="C203">
        <f>'1 prepared data'!B196</f>
        <v/>
      </c>
      <c r="D203" s="7">
        <f>'1 prepared data'!C196</f>
        <v/>
      </c>
      <c r="E203" s="7">
        <f>'1 prepared data'!D196</f>
        <v/>
      </c>
      <c r="F203" s="7">
        <f>'1 prepared data'!E196</f>
        <v/>
      </c>
      <c r="G203" s="7">
        <f>'1 prepared data'!F196</f>
        <v/>
      </c>
      <c r="H203" s="7">
        <f>'1 prepared data'!G196</f>
        <v/>
      </c>
      <c r="I203" s="7">
        <f>'1 prepared data'!H196</f>
        <v/>
      </c>
      <c r="J203" s="7">
        <f>'1 prepared data'!I196</f>
        <v/>
      </c>
      <c r="K203" s="7">
        <f>'1 prepared data'!J196</f>
        <v/>
      </c>
      <c r="L203" s="7">
        <f>'1 prepared data'!K196</f>
        <v/>
      </c>
      <c r="M203" s="7">
        <f>'1 prepared data'!L196</f>
        <v/>
      </c>
      <c r="N203" s="7">
        <f>'1 prepared data'!M196</f>
        <v/>
      </c>
      <c r="O203" s="7">
        <f>'1 prepared data'!N196</f>
        <v/>
      </c>
      <c r="P203" s="7">
        <f>'1 prepared data'!O196</f>
        <v/>
      </c>
      <c r="Q203" s="7">
        <f>'1 prepared data'!P196</f>
        <v/>
      </c>
      <c r="R203" s="7">
        <f>'1 prepared data'!Q196</f>
        <v/>
      </c>
      <c r="S203" s="7">
        <f>'1 prepared data'!R196</f>
        <v/>
      </c>
      <c r="T203" s="7">
        <f>'1 prepared data'!S196</f>
        <v/>
      </c>
      <c r="U203" s="7">
        <f>'1 prepared data'!T196</f>
        <v/>
      </c>
      <c r="V203" s="8">
        <f>$AC$12+D203*$AC$13+E203*$AC$14+F203*$AC$15+G203*$AC$16+H203*$AC$17+I203*$AC$18+J203*$AC$19+K203*$AC$20+L203*$AC$21+M203*$AC$22+N203*$AC$23+O203*$AC$24+P203*$AC$25+Q203*$AC$26+R203*$AC$27+S203*$AC$28+T203*$AC$29+U203*$AC$30</f>
        <v/>
      </c>
      <c r="W203" s="8">
        <f>1/(1+EXP(-V203))</f>
        <v/>
      </c>
      <c r="X203" s="9">
        <f>-IF(C203=1,LN(W203),LN(1-W203))</f>
        <v/>
      </c>
      <c r="Y203" s="10">
        <f>IF(W203&gt;$AC$33,1,0)</f>
        <v/>
      </c>
      <c r="Z203">
        <f>IF(Y203=C203,1,0)</f>
        <v/>
      </c>
    </row>
    <row r="204">
      <c r="A204">
        <f>'1 prepared data'!A197</f>
        <v/>
      </c>
      <c r="B204" s="5">
        <f>'1 prepared data'!U197</f>
        <v/>
      </c>
      <c r="C204">
        <f>'1 prepared data'!B197</f>
        <v/>
      </c>
      <c r="D204" s="7">
        <f>'1 prepared data'!C197</f>
        <v/>
      </c>
      <c r="E204" s="7">
        <f>'1 prepared data'!D197</f>
        <v/>
      </c>
      <c r="F204" s="7">
        <f>'1 prepared data'!E197</f>
        <v/>
      </c>
      <c r="G204" s="7">
        <f>'1 prepared data'!F197</f>
        <v/>
      </c>
      <c r="H204" s="7">
        <f>'1 prepared data'!G197</f>
        <v/>
      </c>
      <c r="I204" s="7">
        <f>'1 prepared data'!H197</f>
        <v/>
      </c>
      <c r="J204" s="7">
        <f>'1 prepared data'!I197</f>
        <v/>
      </c>
      <c r="K204" s="7">
        <f>'1 prepared data'!J197</f>
        <v/>
      </c>
      <c r="L204" s="7">
        <f>'1 prepared data'!K197</f>
        <v/>
      </c>
      <c r="M204" s="7">
        <f>'1 prepared data'!L197</f>
        <v/>
      </c>
      <c r="N204" s="7">
        <f>'1 prepared data'!M197</f>
        <v/>
      </c>
      <c r="O204" s="7">
        <f>'1 prepared data'!N197</f>
        <v/>
      </c>
      <c r="P204" s="7">
        <f>'1 prepared data'!O197</f>
        <v/>
      </c>
      <c r="Q204" s="7">
        <f>'1 prepared data'!P197</f>
        <v/>
      </c>
      <c r="R204" s="7">
        <f>'1 prepared data'!Q197</f>
        <v/>
      </c>
      <c r="S204" s="7">
        <f>'1 prepared data'!R197</f>
        <v/>
      </c>
      <c r="T204" s="7">
        <f>'1 prepared data'!S197</f>
        <v/>
      </c>
      <c r="U204" s="7">
        <f>'1 prepared data'!T197</f>
        <v/>
      </c>
      <c r="V204" s="8">
        <f>$AC$12+D204*$AC$13+E204*$AC$14+F204*$AC$15+G204*$AC$16+H204*$AC$17+I204*$AC$18+J204*$AC$19+K204*$AC$20+L204*$AC$21+M204*$AC$22+N204*$AC$23+O204*$AC$24+P204*$AC$25+Q204*$AC$26+R204*$AC$27+S204*$AC$28+T204*$AC$29+U204*$AC$30</f>
        <v/>
      </c>
      <c r="W204" s="8">
        <f>1/(1+EXP(-V204))</f>
        <v/>
      </c>
      <c r="X204" s="9">
        <f>-IF(C204=1,LN(W204),LN(1-W204))</f>
        <v/>
      </c>
      <c r="Y204" s="10">
        <f>IF(W204&gt;$AC$33,1,0)</f>
        <v/>
      </c>
      <c r="Z204">
        <f>IF(Y204=C204,1,0)</f>
        <v/>
      </c>
    </row>
    <row r="205">
      <c r="A205">
        <f>'1 prepared data'!A198</f>
        <v/>
      </c>
      <c r="B205" s="5">
        <f>'1 prepared data'!U198</f>
        <v/>
      </c>
      <c r="C205">
        <f>'1 prepared data'!B198</f>
        <v/>
      </c>
      <c r="D205" s="7">
        <f>'1 prepared data'!C198</f>
        <v/>
      </c>
      <c r="E205" s="7">
        <f>'1 prepared data'!D198</f>
        <v/>
      </c>
      <c r="F205" s="7">
        <f>'1 prepared data'!E198</f>
        <v/>
      </c>
      <c r="G205" s="7">
        <f>'1 prepared data'!F198</f>
        <v/>
      </c>
      <c r="H205" s="7">
        <f>'1 prepared data'!G198</f>
        <v/>
      </c>
      <c r="I205" s="7">
        <f>'1 prepared data'!H198</f>
        <v/>
      </c>
      <c r="J205" s="7">
        <f>'1 prepared data'!I198</f>
        <v/>
      </c>
      <c r="K205" s="7">
        <f>'1 prepared data'!J198</f>
        <v/>
      </c>
      <c r="L205" s="7">
        <f>'1 prepared data'!K198</f>
        <v/>
      </c>
      <c r="M205" s="7">
        <f>'1 prepared data'!L198</f>
        <v/>
      </c>
      <c r="N205" s="7">
        <f>'1 prepared data'!M198</f>
        <v/>
      </c>
      <c r="O205" s="7">
        <f>'1 prepared data'!N198</f>
        <v/>
      </c>
      <c r="P205" s="7">
        <f>'1 prepared data'!O198</f>
        <v/>
      </c>
      <c r="Q205" s="7">
        <f>'1 prepared data'!P198</f>
        <v/>
      </c>
      <c r="R205" s="7">
        <f>'1 prepared data'!Q198</f>
        <v/>
      </c>
      <c r="S205" s="7">
        <f>'1 prepared data'!R198</f>
        <v/>
      </c>
      <c r="T205" s="7">
        <f>'1 prepared data'!S198</f>
        <v/>
      </c>
      <c r="U205" s="7">
        <f>'1 prepared data'!T198</f>
        <v/>
      </c>
      <c r="V205" s="8">
        <f>$AC$12+D205*$AC$13+E205*$AC$14+F205*$AC$15+G205*$AC$16+H205*$AC$17+I205*$AC$18+J205*$AC$19+K205*$AC$20+L205*$AC$21+M205*$AC$22+N205*$AC$23+O205*$AC$24+P205*$AC$25+Q205*$AC$26+R205*$AC$27+S205*$AC$28+T205*$AC$29+U205*$AC$30</f>
        <v/>
      </c>
      <c r="W205" s="8">
        <f>1/(1+EXP(-V205))</f>
        <v/>
      </c>
      <c r="X205" s="9">
        <f>-IF(C205=1,LN(W205),LN(1-W205))</f>
        <v/>
      </c>
      <c r="Y205" s="10">
        <f>IF(W205&gt;$AC$33,1,0)</f>
        <v/>
      </c>
      <c r="Z205">
        <f>IF(Y205=C205,1,0)</f>
        <v/>
      </c>
    </row>
    <row r="206">
      <c r="A206">
        <f>'1 prepared data'!A199</f>
        <v/>
      </c>
      <c r="B206" s="5">
        <f>'1 prepared data'!U199</f>
        <v/>
      </c>
      <c r="C206">
        <f>'1 prepared data'!B199</f>
        <v/>
      </c>
      <c r="D206" s="7">
        <f>'1 prepared data'!C199</f>
        <v/>
      </c>
      <c r="E206" s="7">
        <f>'1 prepared data'!D199</f>
        <v/>
      </c>
      <c r="F206" s="7">
        <f>'1 prepared data'!E199</f>
        <v/>
      </c>
      <c r="G206" s="7">
        <f>'1 prepared data'!F199</f>
        <v/>
      </c>
      <c r="H206" s="7">
        <f>'1 prepared data'!G199</f>
        <v/>
      </c>
      <c r="I206" s="7">
        <f>'1 prepared data'!H199</f>
        <v/>
      </c>
      <c r="J206" s="7">
        <f>'1 prepared data'!I199</f>
        <v/>
      </c>
      <c r="K206" s="7">
        <f>'1 prepared data'!J199</f>
        <v/>
      </c>
      <c r="L206" s="7">
        <f>'1 prepared data'!K199</f>
        <v/>
      </c>
      <c r="M206" s="7">
        <f>'1 prepared data'!L199</f>
        <v/>
      </c>
      <c r="N206" s="7">
        <f>'1 prepared data'!M199</f>
        <v/>
      </c>
      <c r="O206" s="7">
        <f>'1 prepared data'!N199</f>
        <v/>
      </c>
      <c r="P206" s="7">
        <f>'1 prepared data'!O199</f>
        <v/>
      </c>
      <c r="Q206" s="7">
        <f>'1 prepared data'!P199</f>
        <v/>
      </c>
      <c r="R206" s="7">
        <f>'1 prepared data'!Q199</f>
        <v/>
      </c>
      <c r="S206" s="7">
        <f>'1 prepared data'!R199</f>
        <v/>
      </c>
      <c r="T206" s="7">
        <f>'1 prepared data'!S199</f>
        <v/>
      </c>
      <c r="U206" s="7">
        <f>'1 prepared data'!T199</f>
        <v/>
      </c>
      <c r="V206" s="8">
        <f>$AC$12+D206*$AC$13+E206*$AC$14+F206*$AC$15+G206*$AC$16+H206*$AC$17+I206*$AC$18+J206*$AC$19+K206*$AC$20+L206*$AC$21+M206*$AC$22+N206*$AC$23+O206*$AC$24+P206*$AC$25+Q206*$AC$26+R206*$AC$27+S206*$AC$28+T206*$AC$29+U206*$AC$30</f>
        <v/>
      </c>
      <c r="W206" s="8">
        <f>1/(1+EXP(-V206))</f>
        <v/>
      </c>
      <c r="X206" s="9">
        <f>-IF(C206=1,LN(W206),LN(1-W206))</f>
        <v/>
      </c>
      <c r="Y206" s="10">
        <f>IF(W206&gt;$AC$33,1,0)</f>
        <v/>
      </c>
      <c r="Z206">
        <f>IF(Y206=C206,1,0)</f>
        <v/>
      </c>
    </row>
    <row r="207">
      <c r="A207">
        <f>'1 prepared data'!A200</f>
        <v/>
      </c>
      <c r="B207" s="5">
        <f>'1 prepared data'!U200</f>
        <v/>
      </c>
      <c r="C207">
        <f>'1 prepared data'!B200</f>
        <v/>
      </c>
      <c r="D207" s="7">
        <f>'1 prepared data'!C200</f>
        <v/>
      </c>
      <c r="E207" s="7">
        <f>'1 prepared data'!D200</f>
        <v/>
      </c>
      <c r="F207" s="7">
        <f>'1 prepared data'!E200</f>
        <v/>
      </c>
      <c r="G207" s="7">
        <f>'1 prepared data'!F200</f>
        <v/>
      </c>
      <c r="H207" s="7">
        <f>'1 prepared data'!G200</f>
        <v/>
      </c>
      <c r="I207" s="7">
        <f>'1 prepared data'!H200</f>
        <v/>
      </c>
      <c r="J207" s="7">
        <f>'1 prepared data'!I200</f>
        <v/>
      </c>
      <c r="K207" s="7">
        <f>'1 prepared data'!J200</f>
        <v/>
      </c>
      <c r="L207" s="7">
        <f>'1 prepared data'!K200</f>
        <v/>
      </c>
      <c r="M207" s="7">
        <f>'1 prepared data'!L200</f>
        <v/>
      </c>
      <c r="N207" s="7">
        <f>'1 prepared data'!M200</f>
        <v/>
      </c>
      <c r="O207" s="7">
        <f>'1 prepared data'!N200</f>
        <v/>
      </c>
      <c r="P207" s="7">
        <f>'1 prepared data'!O200</f>
        <v/>
      </c>
      <c r="Q207" s="7">
        <f>'1 prepared data'!P200</f>
        <v/>
      </c>
      <c r="R207" s="7">
        <f>'1 prepared data'!Q200</f>
        <v/>
      </c>
      <c r="S207" s="7">
        <f>'1 prepared data'!R200</f>
        <v/>
      </c>
      <c r="T207" s="7">
        <f>'1 prepared data'!S200</f>
        <v/>
      </c>
      <c r="U207" s="7">
        <f>'1 prepared data'!T200</f>
        <v/>
      </c>
      <c r="V207" s="8">
        <f>$AC$12+D207*$AC$13+E207*$AC$14+F207*$AC$15+G207*$AC$16+H207*$AC$17+I207*$AC$18+J207*$AC$19+K207*$AC$20+L207*$AC$21+M207*$AC$22+N207*$AC$23+O207*$AC$24+P207*$AC$25+Q207*$AC$26+R207*$AC$27+S207*$AC$28+T207*$AC$29+U207*$AC$30</f>
        <v/>
      </c>
      <c r="W207" s="8">
        <f>1/(1+EXP(-V207))</f>
        <v/>
      </c>
      <c r="X207" s="9">
        <f>-IF(C207=1,LN(W207),LN(1-W207))</f>
        <v/>
      </c>
      <c r="Y207" s="10">
        <f>IF(W207&gt;$AC$33,1,0)</f>
        <v/>
      </c>
      <c r="Z207">
        <f>IF(Y207=C207,1,0)</f>
        <v/>
      </c>
    </row>
    <row r="208">
      <c r="A208">
        <f>'1 prepared data'!A201</f>
        <v/>
      </c>
      <c r="B208" s="5">
        <f>'1 prepared data'!U201</f>
        <v/>
      </c>
      <c r="C208">
        <f>'1 prepared data'!B201</f>
        <v/>
      </c>
      <c r="D208" s="7">
        <f>'1 prepared data'!C201</f>
        <v/>
      </c>
      <c r="E208" s="7">
        <f>'1 prepared data'!D201</f>
        <v/>
      </c>
      <c r="F208" s="7">
        <f>'1 prepared data'!E201</f>
        <v/>
      </c>
      <c r="G208" s="7">
        <f>'1 prepared data'!F201</f>
        <v/>
      </c>
      <c r="H208" s="7">
        <f>'1 prepared data'!G201</f>
        <v/>
      </c>
      <c r="I208" s="7">
        <f>'1 prepared data'!H201</f>
        <v/>
      </c>
      <c r="J208" s="7">
        <f>'1 prepared data'!I201</f>
        <v/>
      </c>
      <c r="K208" s="7">
        <f>'1 prepared data'!J201</f>
        <v/>
      </c>
      <c r="L208" s="7">
        <f>'1 prepared data'!K201</f>
        <v/>
      </c>
      <c r="M208" s="7">
        <f>'1 prepared data'!L201</f>
        <v/>
      </c>
      <c r="N208" s="7">
        <f>'1 prepared data'!M201</f>
        <v/>
      </c>
      <c r="O208" s="7">
        <f>'1 prepared data'!N201</f>
        <v/>
      </c>
      <c r="P208" s="7">
        <f>'1 prepared data'!O201</f>
        <v/>
      </c>
      <c r="Q208" s="7">
        <f>'1 prepared data'!P201</f>
        <v/>
      </c>
      <c r="R208" s="7">
        <f>'1 prepared data'!Q201</f>
        <v/>
      </c>
      <c r="S208" s="7">
        <f>'1 prepared data'!R201</f>
        <v/>
      </c>
      <c r="T208" s="7">
        <f>'1 prepared data'!S201</f>
        <v/>
      </c>
      <c r="U208" s="7">
        <f>'1 prepared data'!T201</f>
        <v/>
      </c>
      <c r="V208" s="8">
        <f>$AC$12+D208*$AC$13+E208*$AC$14+F208*$AC$15+G208*$AC$16+H208*$AC$17+I208*$AC$18+J208*$AC$19+K208*$AC$20+L208*$AC$21+M208*$AC$22+N208*$AC$23+O208*$AC$24+P208*$AC$25+Q208*$AC$26+R208*$AC$27+S208*$AC$28+T208*$AC$29+U208*$AC$30</f>
        <v/>
      </c>
      <c r="W208" s="8">
        <f>1/(1+EXP(-V208))</f>
        <v/>
      </c>
      <c r="X208" s="9">
        <f>-IF(C208=1,LN(W208),LN(1-W208))</f>
        <v/>
      </c>
      <c r="Y208" s="10">
        <f>IF(W208&gt;$AC$33,1,0)</f>
        <v/>
      </c>
      <c r="Z208">
        <f>IF(Y208=C208,1,0)</f>
        <v/>
      </c>
    </row>
    <row r="209">
      <c r="A209">
        <f>'1 prepared data'!A202</f>
        <v/>
      </c>
      <c r="B209" s="5">
        <f>'1 prepared data'!U202</f>
        <v/>
      </c>
      <c r="C209">
        <f>'1 prepared data'!B202</f>
        <v/>
      </c>
      <c r="D209" s="7">
        <f>'1 prepared data'!C202</f>
        <v/>
      </c>
      <c r="E209" s="7">
        <f>'1 prepared data'!D202</f>
        <v/>
      </c>
      <c r="F209" s="7">
        <f>'1 prepared data'!E202</f>
        <v/>
      </c>
      <c r="G209" s="7">
        <f>'1 prepared data'!F202</f>
        <v/>
      </c>
      <c r="H209" s="7">
        <f>'1 prepared data'!G202</f>
        <v/>
      </c>
      <c r="I209" s="7">
        <f>'1 prepared data'!H202</f>
        <v/>
      </c>
      <c r="J209" s="7">
        <f>'1 prepared data'!I202</f>
        <v/>
      </c>
      <c r="K209" s="7">
        <f>'1 prepared data'!J202</f>
        <v/>
      </c>
      <c r="L209" s="7">
        <f>'1 prepared data'!K202</f>
        <v/>
      </c>
      <c r="M209" s="7">
        <f>'1 prepared data'!L202</f>
        <v/>
      </c>
      <c r="N209" s="7">
        <f>'1 prepared data'!M202</f>
        <v/>
      </c>
      <c r="O209" s="7">
        <f>'1 prepared data'!N202</f>
        <v/>
      </c>
      <c r="P209" s="7">
        <f>'1 prepared data'!O202</f>
        <v/>
      </c>
      <c r="Q209" s="7">
        <f>'1 prepared data'!P202</f>
        <v/>
      </c>
      <c r="R209" s="7">
        <f>'1 prepared data'!Q202</f>
        <v/>
      </c>
      <c r="S209" s="7">
        <f>'1 prepared data'!R202</f>
        <v/>
      </c>
      <c r="T209" s="7">
        <f>'1 prepared data'!S202</f>
        <v/>
      </c>
      <c r="U209" s="7">
        <f>'1 prepared data'!T202</f>
        <v/>
      </c>
      <c r="V209" s="8">
        <f>$AC$12+D209*$AC$13+E209*$AC$14+F209*$AC$15+G209*$AC$16+H209*$AC$17+I209*$AC$18+J209*$AC$19+K209*$AC$20+L209*$AC$21+M209*$AC$22+N209*$AC$23+O209*$AC$24+P209*$AC$25+Q209*$AC$26+R209*$AC$27+S209*$AC$28+T209*$AC$29+U209*$AC$30</f>
        <v/>
      </c>
      <c r="W209" s="8">
        <f>1/(1+EXP(-V209))</f>
        <v/>
      </c>
      <c r="X209" s="9">
        <f>-IF(C209=1,LN(W209),LN(1-W209))</f>
        <v/>
      </c>
      <c r="Y209" s="10">
        <f>IF(W209&gt;$AC$33,1,0)</f>
        <v/>
      </c>
      <c r="Z209">
        <f>IF(Y209=C209,1,0)</f>
        <v/>
      </c>
    </row>
    <row r="210">
      <c r="A210">
        <f>'1 prepared data'!A203</f>
        <v/>
      </c>
      <c r="B210" s="5">
        <f>'1 prepared data'!U203</f>
        <v/>
      </c>
      <c r="C210">
        <f>'1 prepared data'!B203</f>
        <v/>
      </c>
      <c r="D210" s="7">
        <f>'1 prepared data'!C203</f>
        <v/>
      </c>
      <c r="E210" s="7">
        <f>'1 prepared data'!D203</f>
        <v/>
      </c>
      <c r="F210" s="7">
        <f>'1 prepared data'!E203</f>
        <v/>
      </c>
      <c r="G210" s="7">
        <f>'1 prepared data'!F203</f>
        <v/>
      </c>
      <c r="H210" s="7">
        <f>'1 prepared data'!G203</f>
        <v/>
      </c>
      <c r="I210" s="7">
        <f>'1 prepared data'!H203</f>
        <v/>
      </c>
      <c r="J210" s="7">
        <f>'1 prepared data'!I203</f>
        <v/>
      </c>
      <c r="K210" s="7">
        <f>'1 prepared data'!J203</f>
        <v/>
      </c>
      <c r="L210" s="7">
        <f>'1 prepared data'!K203</f>
        <v/>
      </c>
      <c r="M210" s="7">
        <f>'1 prepared data'!L203</f>
        <v/>
      </c>
      <c r="N210" s="7">
        <f>'1 prepared data'!M203</f>
        <v/>
      </c>
      <c r="O210" s="7">
        <f>'1 prepared data'!N203</f>
        <v/>
      </c>
      <c r="P210" s="7">
        <f>'1 prepared data'!O203</f>
        <v/>
      </c>
      <c r="Q210" s="7">
        <f>'1 prepared data'!P203</f>
        <v/>
      </c>
      <c r="R210" s="7">
        <f>'1 prepared data'!Q203</f>
        <v/>
      </c>
      <c r="S210" s="7">
        <f>'1 prepared data'!R203</f>
        <v/>
      </c>
      <c r="T210" s="7">
        <f>'1 prepared data'!S203</f>
        <v/>
      </c>
      <c r="U210" s="7">
        <f>'1 prepared data'!T203</f>
        <v/>
      </c>
      <c r="V210" s="8">
        <f>$AC$12+D210*$AC$13+E210*$AC$14+F210*$AC$15+G210*$AC$16+H210*$AC$17+I210*$AC$18+J210*$AC$19+K210*$AC$20+L210*$AC$21+M210*$AC$22+N210*$AC$23+O210*$AC$24+P210*$AC$25+Q210*$AC$26+R210*$AC$27+S210*$AC$28+T210*$AC$29+U210*$AC$30</f>
        <v/>
      </c>
      <c r="W210" s="8">
        <f>1/(1+EXP(-V210))</f>
        <v/>
      </c>
      <c r="X210" s="9">
        <f>-IF(C210=1,LN(W210),LN(1-W210))</f>
        <v/>
      </c>
      <c r="Y210" s="10">
        <f>IF(W210&gt;$AC$33,1,0)</f>
        <v/>
      </c>
      <c r="Z210">
        <f>IF(Y210=C210,1,0)</f>
        <v/>
      </c>
    </row>
    <row r="211">
      <c r="A211">
        <f>'1 prepared data'!A204</f>
        <v/>
      </c>
      <c r="B211" s="5">
        <f>'1 prepared data'!U204</f>
        <v/>
      </c>
      <c r="C211">
        <f>'1 prepared data'!B204</f>
        <v/>
      </c>
      <c r="D211" s="7">
        <f>'1 prepared data'!C204</f>
        <v/>
      </c>
      <c r="E211" s="7">
        <f>'1 prepared data'!D204</f>
        <v/>
      </c>
      <c r="F211" s="7">
        <f>'1 prepared data'!E204</f>
        <v/>
      </c>
      <c r="G211" s="7">
        <f>'1 prepared data'!F204</f>
        <v/>
      </c>
      <c r="H211" s="7">
        <f>'1 prepared data'!G204</f>
        <v/>
      </c>
      <c r="I211" s="7">
        <f>'1 prepared data'!H204</f>
        <v/>
      </c>
      <c r="J211" s="7">
        <f>'1 prepared data'!I204</f>
        <v/>
      </c>
      <c r="K211" s="7">
        <f>'1 prepared data'!J204</f>
        <v/>
      </c>
      <c r="L211" s="7">
        <f>'1 prepared data'!K204</f>
        <v/>
      </c>
      <c r="M211" s="7">
        <f>'1 prepared data'!L204</f>
        <v/>
      </c>
      <c r="N211" s="7">
        <f>'1 prepared data'!M204</f>
        <v/>
      </c>
      <c r="O211" s="7">
        <f>'1 prepared data'!N204</f>
        <v/>
      </c>
      <c r="P211" s="7">
        <f>'1 prepared data'!O204</f>
        <v/>
      </c>
      <c r="Q211" s="7">
        <f>'1 prepared data'!P204</f>
        <v/>
      </c>
      <c r="R211" s="7">
        <f>'1 prepared data'!Q204</f>
        <v/>
      </c>
      <c r="S211" s="7">
        <f>'1 prepared data'!R204</f>
        <v/>
      </c>
      <c r="T211" s="7">
        <f>'1 prepared data'!S204</f>
        <v/>
      </c>
      <c r="U211" s="7">
        <f>'1 prepared data'!T204</f>
        <v/>
      </c>
      <c r="V211" s="8">
        <f>$AC$12+D211*$AC$13+E211*$AC$14+F211*$AC$15+G211*$AC$16+H211*$AC$17+I211*$AC$18+J211*$AC$19+K211*$AC$20+L211*$AC$21+M211*$AC$22+N211*$AC$23+O211*$AC$24+P211*$AC$25+Q211*$AC$26+R211*$AC$27+S211*$AC$28+T211*$AC$29+U211*$AC$30</f>
        <v/>
      </c>
      <c r="W211" s="8">
        <f>1/(1+EXP(-V211))</f>
        <v/>
      </c>
      <c r="X211" s="9">
        <f>-IF(C211=1,LN(W211),LN(1-W211))</f>
        <v/>
      </c>
      <c r="Y211" s="10">
        <f>IF(W211&gt;$AC$33,1,0)</f>
        <v/>
      </c>
      <c r="Z211">
        <f>IF(Y211=C211,1,0)</f>
        <v/>
      </c>
    </row>
    <row r="212">
      <c r="A212">
        <f>'1 prepared data'!A205</f>
        <v/>
      </c>
      <c r="B212" s="5">
        <f>'1 prepared data'!U205</f>
        <v/>
      </c>
      <c r="C212">
        <f>'1 prepared data'!B205</f>
        <v/>
      </c>
      <c r="D212" s="7">
        <f>'1 prepared data'!C205</f>
        <v/>
      </c>
      <c r="E212" s="7">
        <f>'1 prepared data'!D205</f>
        <v/>
      </c>
      <c r="F212" s="7">
        <f>'1 prepared data'!E205</f>
        <v/>
      </c>
      <c r="G212" s="7">
        <f>'1 prepared data'!F205</f>
        <v/>
      </c>
      <c r="H212" s="7">
        <f>'1 prepared data'!G205</f>
        <v/>
      </c>
      <c r="I212" s="7">
        <f>'1 prepared data'!H205</f>
        <v/>
      </c>
      <c r="J212" s="7">
        <f>'1 prepared data'!I205</f>
        <v/>
      </c>
      <c r="K212" s="7">
        <f>'1 prepared data'!J205</f>
        <v/>
      </c>
      <c r="L212" s="7">
        <f>'1 prepared data'!K205</f>
        <v/>
      </c>
      <c r="M212" s="7">
        <f>'1 prepared data'!L205</f>
        <v/>
      </c>
      <c r="N212" s="7">
        <f>'1 prepared data'!M205</f>
        <v/>
      </c>
      <c r="O212" s="7">
        <f>'1 prepared data'!N205</f>
        <v/>
      </c>
      <c r="P212" s="7">
        <f>'1 prepared data'!O205</f>
        <v/>
      </c>
      <c r="Q212" s="7">
        <f>'1 prepared data'!P205</f>
        <v/>
      </c>
      <c r="R212" s="7">
        <f>'1 prepared data'!Q205</f>
        <v/>
      </c>
      <c r="S212" s="7">
        <f>'1 prepared data'!R205</f>
        <v/>
      </c>
      <c r="T212" s="7">
        <f>'1 prepared data'!S205</f>
        <v/>
      </c>
      <c r="U212" s="7">
        <f>'1 prepared data'!T205</f>
        <v/>
      </c>
      <c r="V212" s="8">
        <f>$AC$12+D212*$AC$13+E212*$AC$14+F212*$AC$15+G212*$AC$16+H212*$AC$17+I212*$AC$18+J212*$AC$19+K212*$AC$20+L212*$AC$21+M212*$AC$22+N212*$AC$23+O212*$AC$24+P212*$AC$25+Q212*$AC$26+R212*$AC$27+S212*$AC$28+T212*$AC$29+U212*$AC$30</f>
        <v/>
      </c>
      <c r="W212" s="8">
        <f>1/(1+EXP(-V212))</f>
        <v/>
      </c>
      <c r="X212" s="9">
        <f>-IF(C212=1,LN(W212),LN(1-W212))</f>
        <v/>
      </c>
      <c r="Y212" s="10">
        <f>IF(W212&gt;$AC$33,1,0)</f>
        <v/>
      </c>
      <c r="Z212">
        <f>IF(Y212=C212,1,0)</f>
        <v/>
      </c>
    </row>
    <row r="213">
      <c r="A213">
        <f>'1 prepared data'!A206</f>
        <v/>
      </c>
      <c r="B213" s="5">
        <f>'1 prepared data'!U206</f>
        <v/>
      </c>
      <c r="C213">
        <f>'1 prepared data'!B206</f>
        <v/>
      </c>
      <c r="D213" s="7">
        <f>'1 prepared data'!C206</f>
        <v/>
      </c>
      <c r="E213" s="7">
        <f>'1 prepared data'!D206</f>
        <v/>
      </c>
      <c r="F213" s="7">
        <f>'1 prepared data'!E206</f>
        <v/>
      </c>
      <c r="G213" s="7">
        <f>'1 prepared data'!F206</f>
        <v/>
      </c>
      <c r="H213" s="7">
        <f>'1 prepared data'!G206</f>
        <v/>
      </c>
      <c r="I213" s="7">
        <f>'1 prepared data'!H206</f>
        <v/>
      </c>
      <c r="J213" s="7">
        <f>'1 prepared data'!I206</f>
        <v/>
      </c>
      <c r="K213" s="7">
        <f>'1 prepared data'!J206</f>
        <v/>
      </c>
      <c r="L213" s="7">
        <f>'1 prepared data'!K206</f>
        <v/>
      </c>
      <c r="M213" s="7">
        <f>'1 prepared data'!L206</f>
        <v/>
      </c>
      <c r="N213" s="7">
        <f>'1 prepared data'!M206</f>
        <v/>
      </c>
      <c r="O213" s="7">
        <f>'1 prepared data'!N206</f>
        <v/>
      </c>
      <c r="P213" s="7">
        <f>'1 prepared data'!O206</f>
        <v/>
      </c>
      <c r="Q213" s="7">
        <f>'1 prepared data'!P206</f>
        <v/>
      </c>
      <c r="R213" s="7">
        <f>'1 prepared data'!Q206</f>
        <v/>
      </c>
      <c r="S213" s="7">
        <f>'1 prepared data'!R206</f>
        <v/>
      </c>
      <c r="T213" s="7">
        <f>'1 prepared data'!S206</f>
        <v/>
      </c>
      <c r="U213" s="7">
        <f>'1 prepared data'!T206</f>
        <v/>
      </c>
      <c r="V213" s="8">
        <f>$AC$12+D213*$AC$13+E213*$AC$14+F213*$AC$15+G213*$AC$16+H213*$AC$17+I213*$AC$18+J213*$AC$19+K213*$AC$20+L213*$AC$21+M213*$AC$22+N213*$AC$23+O213*$AC$24+P213*$AC$25+Q213*$AC$26+R213*$AC$27+S213*$AC$28+T213*$AC$29+U213*$AC$30</f>
        <v/>
      </c>
      <c r="W213" s="8">
        <f>1/(1+EXP(-V213))</f>
        <v/>
      </c>
      <c r="X213" s="9">
        <f>-IF(C213=1,LN(W213),LN(1-W213))</f>
        <v/>
      </c>
      <c r="Y213" s="10">
        <f>IF(W213&gt;$AC$33,1,0)</f>
        <v/>
      </c>
      <c r="Z213">
        <f>IF(Y213=C213,1,0)</f>
        <v/>
      </c>
    </row>
    <row r="214">
      <c r="A214">
        <f>'1 prepared data'!A207</f>
        <v/>
      </c>
      <c r="B214" s="5">
        <f>'1 prepared data'!U207</f>
        <v/>
      </c>
      <c r="C214">
        <f>'1 prepared data'!B207</f>
        <v/>
      </c>
      <c r="D214" s="7">
        <f>'1 prepared data'!C207</f>
        <v/>
      </c>
      <c r="E214" s="7">
        <f>'1 prepared data'!D207</f>
        <v/>
      </c>
      <c r="F214" s="7">
        <f>'1 prepared data'!E207</f>
        <v/>
      </c>
      <c r="G214" s="7">
        <f>'1 prepared data'!F207</f>
        <v/>
      </c>
      <c r="H214" s="7">
        <f>'1 prepared data'!G207</f>
        <v/>
      </c>
      <c r="I214" s="7">
        <f>'1 prepared data'!H207</f>
        <v/>
      </c>
      <c r="J214" s="7">
        <f>'1 prepared data'!I207</f>
        <v/>
      </c>
      <c r="K214" s="7">
        <f>'1 prepared data'!J207</f>
        <v/>
      </c>
      <c r="L214" s="7">
        <f>'1 prepared data'!K207</f>
        <v/>
      </c>
      <c r="M214" s="7">
        <f>'1 prepared data'!L207</f>
        <v/>
      </c>
      <c r="N214" s="7">
        <f>'1 prepared data'!M207</f>
        <v/>
      </c>
      <c r="O214" s="7">
        <f>'1 prepared data'!N207</f>
        <v/>
      </c>
      <c r="P214" s="7">
        <f>'1 prepared data'!O207</f>
        <v/>
      </c>
      <c r="Q214" s="7">
        <f>'1 prepared data'!P207</f>
        <v/>
      </c>
      <c r="R214" s="7">
        <f>'1 prepared data'!Q207</f>
        <v/>
      </c>
      <c r="S214" s="7">
        <f>'1 prepared data'!R207</f>
        <v/>
      </c>
      <c r="T214" s="7">
        <f>'1 prepared data'!S207</f>
        <v/>
      </c>
      <c r="U214" s="7">
        <f>'1 prepared data'!T207</f>
        <v/>
      </c>
      <c r="V214" s="8">
        <f>$AC$12+D214*$AC$13+E214*$AC$14+F214*$AC$15+G214*$AC$16+H214*$AC$17+I214*$AC$18+J214*$AC$19+K214*$AC$20+L214*$AC$21+M214*$AC$22+N214*$AC$23+O214*$AC$24+P214*$AC$25+Q214*$AC$26+R214*$AC$27+S214*$AC$28+T214*$AC$29+U214*$AC$30</f>
        <v/>
      </c>
      <c r="W214" s="8">
        <f>1/(1+EXP(-V214))</f>
        <v/>
      </c>
      <c r="X214" s="9">
        <f>-IF(C214=1,LN(W214),LN(1-W214))</f>
        <v/>
      </c>
      <c r="Y214" s="10">
        <f>IF(W214&gt;$AC$33,1,0)</f>
        <v/>
      </c>
      <c r="Z214">
        <f>IF(Y214=C214,1,0)</f>
        <v/>
      </c>
    </row>
    <row r="215">
      <c r="A215">
        <f>'1 prepared data'!A208</f>
        <v/>
      </c>
      <c r="B215" s="5">
        <f>'1 prepared data'!U208</f>
        <v/>
      </c>
      <c r="C215">
        <f>'1 prepared data'!B208</f>
        <v/>
      </c>
      <c r="D215" s="7">
        <f>'1 prepared data'!C208</f>
        <v/>
      </c>
      <c r="E215" s="7">
        <f>'1 prepared data'!D208</f>
        <v/>
      </c>
      <c r="F215" s="7">
        <f>'1 prepared data'!E208</f>
        <v/>
      </c>
      <c r="G215" s="7">
        <f>'1 prepared data'!F208</f>
        <v/>
      </c>
      <c r="H215" s="7">
        <f>'1 prepared data'!G208</f>
        <v/>
      </c>
      <c r="I215" s="7">
        <f>'1 prepared data'!H208</f>
        <v/>
      </c>
      <c r="J215" s="7">
        <f>'1 prepared data'!I208</f>
        <v/>
      </c>
      <c r="K215" s="7">
        <f>'1 prepared data'!J208</f>
        <v/>
      </c>
      <c r="L215" s="7">
        <f>'1 prepared data'!K208</f>
        <v/>
      </c>
      <c r="M215" s="7">
        <f>'1 prepared data'!L208</f>
        <v/>
      </c>
      <c r="N215" s="7">
        <f>'1 prepared data'!M208</f>
        <v/>
      </c>
      <c r="O215" s="7">
        <f>'1 prepared data'!N208</f>
        <v/>
      </c>
      <c r="P215" s="7">
        <f>'1 prepared data'!O208</f>
        <v/>
      </c>
      <c r="Q215" s="7">
        <f>'1 prepared data'!P208</f>
        <v/>
      </c>
      <c r="R215" s="7">
        <f>'1 prepared data'!Q208</f>
        <v/>
      </c>
      <c r="S215" s="7">
        <f>'1 prepared data'!R208</f>
        <v/>
      </c>
      <c r="T215" s="7">
        <f>'1 prepared data'!S208</f>
        <v/>
      </c>
      <c r="U215" s="7">
        <f>'1 prepared data'!T208</f>
        <v/>
      </c>
      <c r="V215" s="8">
        <f>$AC$12+D215*$AC$13+E215*$AC$14+F215*$AC$15+G215*$AC$16+H215*$AC$17+I215*$AC$18+J215*$AC$19+K215*$AC$20+L215*$AC$21+M215*$AC$22+N215*$AC$23+O215*$AC$24+P215*$AC$25+Q215*$AC$26+R215*$AC$27+S215*$AC$28+T215*$AC$29+U215*$AC$30</f>
        <v/>
      </c>
      <c r="W215" s="8">
        <f>1/(1+EXP(-V215))</f>
        <v/>
      </c>
      <c r="X215" s="9">
        <f>-IF(C215=1,LN(W215),LN(1-W215))</f>
        <v/>
      </c>
      <c r="Y215" s="10">
        <f>IF(W215&gt;$AC$33,1,0)</f>
        <v/>
      </c>
      <c r="Z215">
        <f>IF(Y215=C215,1,0)</f>
        <v/>
      </c>
    </row>
    <row r="216">
      <c r="A216">
        <f>'1 prepared data'!A209</f>
        <v/>
      </c>
      <c r="B216" s="5">
        <f>'1 prepared data'!U209</f>
        <v/>
      </c>
      <c r="C216">
        <f>'1 prepared data'!B209</f>
        <v/>
      </c>
      <c r="D216" s="7">
        <f>'1 prepared data'!C209</f>
        <v/>
      </c>
      <c r="E216" s="7">
        <f>'1 prepared data'!D209</f>
        <v/>
      </c>
      <c r="F216" s="7">
        <f>'1 prepared data'!E209</f>
        <v/>
      </c>
      <c r="G216" s="7">
        <f>'1 prepared data'!F209</f>
        <v/>
      </c>
      <c r="H216" s="7">
        <f>'1 prepared data'!G209</f>
        <v/>
      </c>
      <c r="I216" s="7">
        <f>'1 prepared data'!H209</f>
        <v/>
      </c>
      <c r="J216" s="7">
        <f>'1 prepared data'!I209</f>
        <v/>
      </c>
      <c r="K216" s="7">
        <f>'1 prepared data'!J209</f>
        <v/>
      </c>
      <c r="L216" s="7">
        <f>'1 prepared data'!K209</f>
        <v/>
      </c>
      <c r="M216" s="7">
        <f>'1 prepared data'!L209</f>
        <v/>
      </c>
      <c r="N216" s="7">
        <f>'1 prepared data'!M209</f>
        <v/>
      </c>
      <c r="O216" s="7">
        <f>'1 prepared data'!N209</f>
        <v/>
      </c>
      <c r="P216" s="7">
        <f>'1 prepared data'!O209</f>
        <v/>
      </c>
      <c r="Q216" s="7">
        <f>'1 prepared data'!P209</f>
        <v/>
      </c>
      <c r="R216" s="7">
        <f>'1 prepared data'!Q209</f>
        <v/>
      </c>
      <c r="S216" s="7">
        <f>'1 prepared data'!R209</f>
        <v/>
      </c>
      <c r="T216" s="7">
        <f>'1 prepared data'!S209</f>
        <v/>
      </c>
      <c r="U216" s="7">
        <f>'1 prepared data'!T209</f>
        <v/>
      </c>
      <c r="V216" s="8">
        <f>$AC$12+D216*$AC$13+E216*$AC$14+F216*$AC$15+G216*$AC$16+H216*$AC$17+I216*$AC$18+J216*$AC$19+K216*$AC$20+L216*$AC$21+M216*$AC$22+N216*$AC$23+O216*$AC$24+P216*$AC$25+Q216*$AC$26+R216*$AC$27+S216*$AC$28+T216*$AC$29+U216*$AC$30</f>
        <v/>
      </c>
      <c r="W216" s="8">
        <f>1/(1+EXP(-V216))</f>
        <v/>
      </c>
      <c r="X216" s="9">
        <f>-IF(C216=1,LN(W216),LN(1-W216))</f>
        <v/>
      </c>
      <c r="Y216" s="10">
        <f>IF(W216&gt;$AC$33,1,0)</f>
        <v/>
      </c>
      <c r="Z216">
        <f>IF(Y216=C216,1,0)</f>
        <v/>
      </c>
    </row>
    <row r="217">
      <c r="A217">
        <f>'1 prepared data'!A210</f>
        <v/>
      </c>
      <c r="B217" s="5">
        <f>'1 prepared data'!U210</f>
        <v/>
      </c>
      <c r="C217">
        <f>'1 prepared data'!B210</f>
        <v/>
      </c>
      <c r="D217" s="7">
        <f>'1 prepared data'!C210</f>
        <v/>
      </c>
      <c r="E217" s="7">
        <f>'1 prepared data'!D210</f>
        <v/>
      </c>
      <c r="F217" s="7">
        <f>'1 prepared data'!E210</f>
        <v/>
      </c>
      <c r="G217" s="7">
        <f>'1 prepared data'!F210</f>
        <v/>
      </c>
      <c r="H217" s="7">
        <f>'1 prepared data'!G210</f>
        <v/>
      </c>
      <c r="I217" s="7">
        <f>'1 prepared data'!H210</f>
        <v/>
      </c>
      <c r="J217" s="7">
        <f>'1 prepared data'!I210</f>
        <v/>
      </c>
      <c r="K217" s="7">
        <f>'1 prepared data'!J210</f>
        <v/>
      </c>
      <c r="L217" s="7">
        <f>'1 prepared data'!K210</f>
        <v/>
      </c>
      <c r="M217" s="7">
        <f>'1 prepared data'!L210</f>
        <v/>
      </c>
      <c r="N217" s="7">
        <f>'1 prepared data'!M210</f>
        <v/>
      </c>
      <c r="O217" s="7">
        <f>'1 prepared data'!N210</f>
        <v/>
      </c>
      <c r="P217" s="7">
        <f>'1 prepared data'!O210</f>
        <v/>
      </c>
      <c r="Q217" s="7">
        <f>'1 prepared data'!P210</f>
        <v/>
      </c>
      <c r="R217" s="7">
        <f>'1 prepared data'!Q210</f>
        <v/>
      </c>
      <c r="S217" s="7">
        <f>'1 prepared data'!R210</f>
        <v/>
      </c>
      <c r="T217" s="7">
        <f>'1 prepared data'!S210</f>
        <v/>
      </c>
      <c r="U217" s="7">
        <f>'1 prepared data'!T210</f>
        <v/>
      </c>
      <c r="V217" s="8">
        <f>$AC$12+D217*$AC$13+E217*$AC$14+F217*$AC$15+G217*$AC$16+H217*$AC$17+I217*$AC$18+J217*$AC$19+K217*$AC$20+L217*$AC$21+M217*$AC$22+N217*$AC$23+O217*$AC$24+P217*$AC$25+Q217*$AC$26+R217*$AC$27+S217*$AC$28+T217*$AC$29+U217*$AC$30</f>
        <v/>
      </c>
      <c r="W217" s="8">
        <f>1/(1+EXP(-V217))</f>
        <v/>
      </c>
      <c r="X217" s="9">
        <f>-IF(C217=1,LN(W217),LN(1-W217))</f>
        <v/>
      </c>
      <c r="Y217" s="10">
        <f>IF(W217&gt;$AC$33,1,0)</f>
        <v/>
      </c>
      <c r="Z217">
        <f>IF(Y217=C217,1,0)</f>
        <v/>
      </c>
    </row>
    <row r="218">
      <c r="A218">
        <f>'1 prepared data'!A211</f>
        <v/>
      </c>
      <c r="B218" s="5">
        <f>'1 prepared data'!U211</f>
        <v/>
      </c>
      <c r="C218">
        <f>'1 prepared data'!B211</f>
        <v/>
      </c>
      <c r="D218" s="7">
        <f>'1 prepared data'!C211</f>
        <v/>
      </c>
      <c r="E218" s="7">
        <f>'1 prepared data'!D211</f>
        <v/>
      </c>
      <c r="F218" s="7">
        <f>'1 prepared data'!E211</f>
        <v/>
      </c>
      <c r="G218" s="7">
        <f>'1 prepared data'!F211</f>
        <v/>
      </c>
      <c r="H218" s="7">
        <f>'1 prepared data'!G211</f>
        <v/>
      </c>
      <c r="I218" s="7">
        <f>'1 prepared data'!H211</f>
        <v/>
      </c>
      <c r="J218" s="7">
        <f>'1 prepared data'!I211</f>
        <v/>
      </c>
      <c r="K218" s="7">
        <f>'1 prepared data'!J211</f>
        <v/>
      </c>
      <c r="L218" s="7">
        <f>'1 prepared data'!K211</f>
        <v/>
      </c>
      <c r="M218" s="7">
        <f>'1 prepared data'!L211</f>
        <v/>
      </c>
      <c r="N218" s="7">
        <f>'1 prepared data'!M211</f>
        <v/>
      </c>
      <c r="O218" s="7">
        <f>'1 prepared data'!N211</f>
        <v/>
      </c>
      <c r="P218" s="7">
        <f>'1 prepared data'!O211</f>
        <v/>
      </c>
      <c r="Q218" s="7">
        <f>'1 prepared data'!P211</f>
        <v/>
      </c>
      <c r="R218" s="7">
        <f>'1 prepared data'!Q211</f>
        <v/>
      </c>
      <c r="S218" s="7">
        <f>'1 prepared data'!R211</f>
        <v/>
      </c>
      <c r="T218" s="7">
        <f>'1 prepared data'!S211</f>
        <v/>
      </c>
      <c r="U218" s="7">
        <f>'1 prepared data'!T211</f>
        <v/>
      </c>
      <c r="V218" s="8">
        <f>$AC$12+D218*$AC$13+E218*$AC$14+F218*$AC$15+G218*$AC$16+H218*$AC$17+I218*$AC$18+J218*$AC$19+K218*$AC$20+L218*$AC$21+M218*$AC$22+N218*$AC$23+O218*$AC$24+P218*$AC$25+Q218*$AC$26+R218*$AC$27+S218*$AC$28+T218*$AC$29+U218*$AC$30</f>
        <v/>
      </c>
      <c r="W218" s="8">
        <f>1/(1+EXP(-V218))</f>
        <v/>
      </c>
      <c r="X218" s="9">
        <f>-IF(C218=1,LN(W218),LN(1-W218))</f>
        <v/>
      </c>
      <c r="Y218" s="10">
        <f>IF(W218&gt;$AC$33,1,0)</f>
        <v/>
      </c>
      <c r="Z218">
        <f>IF(Y218=C218,1,0)</f>
        <v/>
      </c>
    </row>
    <row r="219">
      <c r="A219">
        <f>'1 prepared data'!A212</f>
        <v/>
      </c>
      <c r="B219" s="5">
        <f>'1 prepared data'!U212</f>
        <v/>
      </c>
      <c r="C219">
        <f>'1 prepared data'!B212</f>
        <v/>
      </c>
      <c r="D219" s="7">
        <f>'1 prepared data'!C212</f>
        <v/>
      </c>
      <c r="E219" s="7">
        <f>'1 prepared data'!D212</f>
        <v/>
      </c>
      <c r="F219" s="7">
        <f>'1 prepared data'!E212</f>
        <v/>
      </c>
      <c r="G219" s="7">
        <f>'1 prepared data'!F212</f>
        <v/>
      </c>
      <c r="H219" s="7">
        <f>'1 prepared data'!G212</f>
        <v/>
      </c>
      <c r="I219" s="7">
        <f>'1 prepared data'!H212</f>
        <v/>
      </c>
      <c r="J219" s="7">
        <f>'1 prepared data'!I212</f>
        <v/>
      </c>
      <c r="K219" s="7">
        <f>'1 prepared data'!J212</f>
        <v/>
      </c>
      <c r="L219" s="7">
        <f>'1 prepared data'!K212</f>
        <v/>
      </c>
      <c r="M219" s="7">
        <f>'1 prepared data'!L212</f>
        <v/>
      </c>
      <c r="N219" s="7">
        <f>'1 prepared data'!M212</f>
        <v/>
      </c>
      <c r="O219" s="7">
        <f>'1 prepared data'!N212</f>
        <v/>
      </c>
      <c r="P219" s="7">
        <f>'1 prepared data'!O212</f>
        <v/>
      </c>
      <c r="Q219" s="7">
        <f>'1 prepared data'!P212</f>
        <v/>
      </c>
      <c r="R219" s="7">
        <f>'1 prepared data'!Q212</f>
        <v/>
      </c>
      <c r="S219" s="7">
        <f>'1 prepared data'!R212</f>
        <v/>
      </c>
      <c r="T219" s="7">
        <f>'1 prepared data'!S212</f>
        <v/>
      </c>
      <c r="U219" s="7">
        <f>'1 prepared data'!T212</f>
        <v/>
      </c>
      <c r="V219" s="8">
        <f>$AC$12+D219*$AC$13+E219*$AC$14+F219*$AC$15+G219*$AC$16+H219*$AC$17+I219*$AC$18+J219*$AC$19+K219*$AC$20+L219*$AC$21+M219*$AC$22+N219*$AC$23+O219*$AC$24+P219*$AC$25+Q219*$AC$26+R219*$AC$27+S219*$AC$28+T219*$AC$29+U219*$AC$30</f>
        <v/>
      </c>
      <c r="W219" s="8">
        <f>1/(1+EXP(-V219))</f>
        <v/>
      </c>
      <c r="X219" s="9">
        <f>-IF(C219=1,LN(W219),LN(1-W219))</f>
        <v/>
      </c>
      <c r="Y219" s="10">
        <f>IF(W219&gt;$AC$33,1,0)</f>
        <v/>
      </c>
      <c r="Z219">
        <f>IF(Y219=C219,1,0)</f>
        <v/>
      </c>
    </row>
    <row r="220">
      <c r="A220">
        <f>'1 prepared data'!A213</f>
        <v/>
      </c>
      <c r="B220" s="5">
        <f>'1 prepared data'!U213</f>
        <v/>
      </c>
      <c r="C220">
        <f>'1 prepared data'!B213</f>
        <v/>
      </c>
      <c r="D220" s="7">
        <f>'1 prepared data'!C213</f>
        <v/>
      </c>
      <c r="E220" s="7">
        <f>'1 prepared data'!D213</f>
        <v/>
      </c>
      <c r="F220" s="7">
        <f>'1 prepared data'!E213</f>
        <v/>
      </c>
      <c r="G220" s="7">
        <f>'1 prepared data'!F213</f>
        <v/>
      </c>
      <c r="H220" s="7">
        <f>'1 prepared data'!G213</f>
        <v/>
      </c>
      <c r="I220" s="7">
        <f>'1 prepared data'!H213</f>
        <v/>
      </c>
      <c r="J220" s="7">
        <f>'1 prepared data'!I213</f>
        <v/>
      </c>
      <c r="K220" s="7">
        <f>'1 prepared data'!J213</f>
        <v/>
      </c>
      <c r="L220" s="7">
        <f>'1 prepared data'!K213</f>
        <v/>
      </c>
      <c r="M220" s="7">
        <f>'1 prepared data'!L213</f>
        <v/>
      </c>
      <c r="N220" s="7">
        <f>'1 prepared data'!M213</f>
        <v/>
      </c>
      <c r="O220" s="7">
        <f>'1 prepared data'!N213</f>
        <v/>
      </c>
      <c r="P220" s="7">
        <f>'1 prepared data'!O213</f>
        <v/>
      </c>
      <c r="Q220" s="7">
        <f>'1 prepared data'!P213</f>
        <v/>
      </c>
      <c r="R220" s="7">
        <f>'1 prepared data'!Q213</f>
        <v/>
      </c>
      <c r="S220" s="7">
        <f>'1 prepared data'!R213</f>
        <v/>
      </c>
      <c r="T220" s="7">
        <f>'1 prepared data'!S213</f>
        <v/>
      </c>
      <c r="U220" s="7">
        <f>'1 prepared data'!T213</f>
        <v/>
      </c>
      <c r="V220" s="8">
        <f>$AC$12+D220*$AC$13+E220*$AC$14+F220*$AC$15+G220*$AC$16+H220*$AC$17+I220*$AC$18+J220*$AC$19+K220*$AC$20+L220*$AC$21+M220*$AC$22+N220*$AC$23+O220*$AC$24+P220*$AC$25+Q220*$AC$26+R220*$AC$27+S220*$AC$28+T220*$AC$29+U220*$AC$30</f>
        <v/>
      </c>
      <c r="W220" s="8">
        <f>1/(1+EXP(-V220))</f>
        <v/>
      </c>
      <c r="X220" s="9">
        <f>-IF(C220=1,LN(W220),LN(1-W220))</f>
        <v/>
      </c>
      <c r="Y220" s="10">
        <f>IF(W220&gt;$AC$33,1,0)</f>
        <v/>
      </c>
      <c r="Z220">
        <f>IF(Y220=C220,1,0)</f>
        <v/>
      </c>
    </row>
    <row r="221">
      <c r="A221">
        <f>'1 prepared data'!A214</f>
        <v/>
      </c>
      <c r="B221" s="5">
        <f>'1 prepared data'!U214</f>
        <v/>
      </c>
      <c r="C221">
        <f>'1 prepared data'!B214</f>
        <v/>
      </c>
      <c r="D221" s="7">
        <f>'1 prepared data'!C214</f>
        <v/>
      </c>
      <c r="E221" s="7">
        <f>'1 prepared data'!D214</f>
        <v/>
      </c>
      <c r="F221" s="7">
        <f>'1 prepared data'!E214</f>
        <v/>
      </c>
      <c r="G221" s="7">
        <f>'1 prepared data'!F214</f>
        <v/>
      </c>
      <c r="H221" s="7">
        <f>'1 prepared data'!G214</f>
        <v/>
      </c>
      <c r="I221" s="7">
        <f>'1 prepared data'!H214</f>
        <v/>
      </c>
      <c r="J221" s="7">
        <f>'1 prepared data'!I214</f>
        <v/>
      </c>
      <c r="K221" s="7">
        <f>'1 prepared data'!J214</f>
        <v/>
      </c>
      <c r="L221" s="7">
        <f>'1 prepared data'!K214</f>
        <v/>
      </c>
      <c r="M221" s="7">
        <f>'1 prepared data'!L214</f>
        <v/>
      </c>
      <c r="N221" s="7">
        <f>'1 prepared data'!M214</f>
        <v/>
      </c>
      <c r="O221" s="7">
        <f>'1 prepared data'!N214</f>
        <v/>
      </c>
      <c r="P221" s="7">
        <f>'1 prepared data'!O214</f>
        <v/>
      </c>
      <c r="Q221" s="7">
        <f>'1 prepared data'!P214</f>
        <v/>
      </c>
      <c r="R221" s="7">
        <f>'1 prepared data'!Q214</f>
        <v/>
      </c>
      <c r="S221" s="7">
        <f>'1 prepared data'!R214</f>
        <v/>
      </c>
      <c r="T221" s="7">
        <f>'1 prepared data'!S214</f>
        <v/>
      </c>
      <c r="U221" s="7">
        <f>'1 prepared data'!T214</f>
        <v/>
      </c>
      <c r="V221" s="8">
        <f>$AC$12+D221*$AC$13+E221*$AC$14+F221*$AC$15+G221*$AC$16+H221*$AC$17+I221*$AC$18+J221*$AC$19+K221*$AC$20+L221*$AC$21+M221*$AC$22+N221*$AC$23+O221*$AC$24+P221*$AC$25+Q221*$AC$26+R221*$AC$27+S221*$AC$28+T221*$AC$29+U221*$AC$30</f>
        <v/>
      </c>
      <c r="W221" s="8">
        <f>1/(1+EXP(-V221))</f>
        <v/>
      </c>
      <c r="X221" s="9">
        <f>-IF(C221=1,LN(W221),LN(1-W221))</f>
        <v/>
      </c>
      <c r="Y221" s="10">
        <f>IF(W221&gt;$AC$33,1,0)</f>
        <v/>
      </c>
      <c r="Z221">
        <f>IF(Y221=C221,1,0)</f>
        <v/>
      </c>
    </row>
    <row r="222">
      <c r="A222">
        <f>'1 prepared data'!A215</f>
        <v/>
      </c>
      <c r="B222" s="5">
        <f>'1 prepared data'!U215</f>
        <v/>
      </c>
      <c r="C222">
        <f>'1 prepared data'!B215</f>
        <v/>
      </c>
      <c r="D222" s="7">
        <f>'1 prepared data'!C215</f>
        <v/>
      </c>
      <c r="E222" s="7">
        <f>'1 prepared data'!D215</f>
        <v/>
      </c>
      <c r="F222" s="7">
        <f>'1 prepared data'!E215</f>
        <v/>
      </c>
      <c r="G222" s="7">
        <f>'1 prepared data'!F215</f>
        <v/>
      </c>
      <c r="H222" s="7">
        <f>'1 prepared data'!G215</f>
        <v/>
      </c>
      <c r="I222" s="7">
        <f>'1 prepared data'!H215</f>
        <v/>
      </c>
      <c r="J222" s="7">
        <f>'1 prepared data'!I215</f>
        <v/>
      </c>
      <c r="K222" s="7">
        <f>'1 prepared data'!J215</f>
        <v/>
      </c>
      <c r="L222" s="7">
        <f>'1 prepared data'!K215</f>
        <v/>
      </c>
      <c r="M222" s="7">
        <f>'1 prepared data'!L215</f>
        <v/>
      </c>
      <c r="N222" s="7">
        <f>'1 prepared data'!M215</f>
        <v/>
      </c>
      <c r="O222" s="7">
        <f>'1 prepared data'!N215</f>
        <v/>
      </c>
      <c r="P222" s="7">
        <f>'1 prepared data'!O215</f>
        <v/>
      </c>
      <c r="Q222" s="7">
        <f>'1 prepared data'!P215</f>
        <v/>
      </c>
      <c r="R222" s="7">
        <f>'1 prepared data'!Q215</f>
        <v/>
      </c>
      <c r="S222" s="7">
        <f>'1 prepared data'!R215</f>
        <v/>
      </c>
      <c r="T222" s="7">
        <f>'1 prepared data'!S215</f>
        <v/>
      </c>
      <c r="U222" s="7">
        <f>'1 prepared data'!T215</f>
        <v/>
      </c>
      <c r="V222" s="8">
        <f>$AC$12+D222*$AC$13+E222*$AC$14+F222*$AC$15+G222*$AC$16+H222*$AC$17+I222*$AC$18+J222*$AC$19+K222*$AC$20+L222*$AC$21+M222*$AC$22+N222*$AC$23+O222*$AC$24+P222*$AC$25+Q222*$AC$26+R222*$AC$27+S222*$AC$28+T222*$AC$29+U222*$AC$30</f>
        <v/>
      </c>
      <c r="W222" s="8">
        <f>1/(1+EXP(-V222))</f>
        <v/>
      </c>
      <c r="X222" s="9">
        <f>-IF(C222=1,LN(W222),LN(1-W222))</f>
        <v/>
      </c>
      <c r="Y222" s="10">
        <f>IF(W222&gt;$AC$33,1,0)</f>
        <v/>
      </c>
      <c r="Z222">
        <f>IF(Y222=C222,1,0)</f>
        <v/>
      </c>
    </row>
    <row r="223">
      <c r="A223">
        <f>'1 prepared data'!A216</f>
        <v/>
      </c>
      <c r="B223" s="5">
        <f>'1 prepared data'!U216</f>
        <v/>
      </c>
      <c r="C223">
        <f>'1 prepared data'!B216</f>
        <v/>
      </c>
      <c r="D223" s="7">
        <f>'1 prepared data'!C216</f>
        <v/>
      </c>
      <c r="E223" s="7">
        <f>'1 prepared data'!D216</f>
        <v/>
      </c>
      <c r="F223" s="7">
        <f>'1 prepared data'!E216</f>
        <v/>
      </c>
      <c r="G223" s="7">
        <f>'1 prepared data'!F216</f>
        <v/>
      </c>
      <c r="H223" s="7">
        <f>'1 prepared data'!G216</f>
        <v/>
      </c>
      <c r="I223" s="7">
        <f>'1 prepared data'!H216</f>
        <v/>
      </c>
      <c r="J223" s="7">
        <f>'1 prepared data'!I216</f>
        <v/>
      </c>
      <c r="K223" s="7">
        <f>'1 prepared data'!J216</f>
        <v/>
      </c>
      <c r="L223" s="7">
        <f>'1 prepared data'!K216</f>
        <v/>
      </c>
      <c r="M223" s="7">
        <f>'1 prepared data'!L216</f>
        <v/>
      </c>
      <c r="N223" s="7">
        <f>'1 prepared data'!M216</f>
        <v/>
      </c>
      <c r="O223" s="7">
        <f>'1 prepared data'!N216</f>
        <v/>
      </c>
      <c r="P223" s="7">
        <f>'1 prepared data'!O216</f>
        <v/>
      </c>
      <c r="Q223" s="7">
        <f>'1 prepared data'!P216</f>
        <v/>
      </c>
      <c r="R223" s="7">
        <f>'1 prepared data'!Q216</f>
        <v/>
      </c>
      <c r="S223" s="7">
        <f>'1 prepared data'!R216</f>
        <v/>
      </c>
      <c r="T223" s="7">
        <f>'1 prepared data'!S216</f>
        <v/>
      </c>
      <c r="U223" s="7">
        <f>'1 prepared data'!T216</f>
        <v/>
      </c>
      <c r="V223" s="8">
        <f>$AC$12+D223*$AC$13+E223*$AC$14+F223*$AC$15+G223*$AC$16+H223*$AC$17+I223*$AC$18+J223*$AC$19+K223*$AC$20+L223*$AC$21+M223*$AC$22+N223*$AC$23+O223*$AC$24+P223*$AC$25+Q223*$AC$26+R223*$AC$27+S223*$AC$28+T223*$AC$29+U223*$AC$30</f>
        <v/>
      </c>
      <c r="W223" s="8">
        <f>1/(1+EXP(-V223))</f>
        <v/>
      </c>
      <c r="X223" s="9">
        <f>-IF(C223=1,LN(W223),LN(1-W223))</f>
        <v/>
      </c>
      <c r="Y223" s="10">
        <f>IF(W223&gt;$AC$33,1,0)</f>
        <v/>
      </c>
      <c r="Z223">
        <f>IF(Y223=C223,1,0)</f>
        <v/>
      </c>
    </row>
    <row r="224">
      <c r="A224">
        <f>'1 prepared data'!A217</f>
        <v/>
      </c>
      <c r="B224" s="5">
        <f>'1 prepared data'!U217</f>
        <v/>
      </c>
      <c r="C224">
        <f>'1 prepared data'!B217</f>
        <v/>
      </c>
      <c r="D224" s="7">
        <f>'1 prepared data'!C217</f>
        <v/>
      </c>
      <c r="E224" s="7">
        <f>'1 prepared data'!D217</f>
        <v/>
      </c>
      <c r="F224" s="7">
        <f>'1 prepared data'!E217</f>
        <v/>
      </c>
      <c r="G224" s="7">
        <f>'1 prepared data'!F217</f>
        <v/>
      </c>
      <c r="H224" s="7">
        <f>'1 prepared data'!G217</f>
        <v/>
      </c>
      <c r="I224" s="7">
        <f>'1 prepared data'!H217</f>
        <v/>
      </c>
      <c r="J224" s="7">
        <f>'1 prepared data'!I217</f>
        <v/>
      </c>
      <c r="K224" s="7">
        <f>'1 prepared data'!J217</f>
        <v/>
      </c>
      <c r="L224" s="7">
        <f>'1 prepared data'!K217</f>
        <v/>
      </c>
      <c r="M224" s="7">
        <f>'1 prepared data'!L217</f>
        <v/>
      </c>
      <c r="N224" s="7">
        <f>'1 prepared data'!M217</f>
        <v/>
      </c>
      <c r="O224" s="7">
        <f>'1 prepared data'!N217</f>
        <v/>
      </c>
      <c r="P224" s="7">
        <f>'1 prepared data'!O217</f>
        <v/>
      </c>
      <c r="Q224" s="7">
        <f>'1 prepared data'!P217</f>
        <v/>
      </c>
      <c r="R224" s="7">
        <f>'1 prepared data'!Q217</f>
        <v/>
      </c>
      <c r="S224" s="7">
        <f>'1 prepared data'!R217</f>
        <v/>
      </c>
      <c r="T224" s="7">
        <f>'1 prepared data'!S217</f>
        <v/>
      </c>
      <c r="U224" s="7">
        <f>'1 prepared data'!T217</f>
        <v/>
      </c>
      <c r="V224" s="8">
        <f>$AC$12+D224*$AC$13+E224*$AC$14+F224*$AC$15+G224*$AC$16+H224*$AC$17+I224*$AC$18+J224*$AC$19+K224*$AC$20+L224*$AC$21+M224*$AC$22+N224*$AC$23+O224*$AC$24+P224*$AC$25+Q224*$AC$26+R224*$AC$27+S224*$AC$28+T224*$AC$29+U224*$AC$30</f>
        <v/>
      </c>
      <c r="W224" s="8">
        <f>1/(1+EXP(-V224))</f>
        <v/>
      </c>
      <c r="X224" s="9">
        <f>-IF(C224=1,LN(W224),LN(1-W224))</f>
        <v/>
      </c>
      <c r="Y224" s="10">
        <f>IF(W224&gt;$AC$33,1,0)</f>
        <v/>
      </c>
      <c r="Z224">
        <f>IF(Y224=C224,1,0)</f>
        <v/>
      </c>
    </row>
    <row r="225">
      <c r="A225">
        <f>'1 prepared data'!A218</f>
        <v/>
      </c>
      <c r="B225" s="5">
        <f>'1 prepared data'!U218</f>
        <v/>
      </c>
      <c r="C225">
        <f>'1 prepared data'!B218</f>
        <v/>
      </c>
      <c r="D225" s="7">
        <f>'1 prepared data'!C218</f>
        <v/>
      </c>
      <c r="E225" s="7">
        <f>'1 prepared data'!D218</f>
        <v/>
      </c>
      <c r="F225" s="7">
        <f>'1 prepared data'!E218</f>
        <v/>
      </c>
      <c r="G225" s="7">
        <f>'1 prepared data'!F218</f>
        <v/>
      </c>
      <c r="H225" s="7">
        <f>'1 prepared data'!G218</f>
        <v/>
      </c>
      <c r="I225" s="7">
        <f>'1 prepared data'!H218</f>
        <v/>
      </c>
      <c r="J225" s="7">
        <f>'1 prepared data'!I218</f>
        <v/>
      </c>
      <c r="K225" s="7">
        <f>'1 prepared data'!J218</f>
        <v/>
      </c>
      <c r="L225" s="7">
        <f>'1 prepared data'!K218</f>
        <v/>
      </c>
      <c r="M225" s="7">
        <f>'1 prepared data'!L218</f>
        <v/>
      </c>
      <c r="N225" s="7">
        <f>'1 prepared data'!M218</f>
        <v/>
      </c>
      <c r="O225" s="7">
        <f>'1 prepared data'!N218</f>
        <v/>
      </c>
      <c r="P225" s="7">
        <f>'1 prepared data'!O218</f>
        <v/>
      </c>
      <c r="Q225" s="7">
        <f>'1 prepared data'!P218</f>
        <v/>
      </c>
      <c r="R225" s="7">
        <f>'1 prepared data'!Q218</f>
        <v/>
      </c>
      <c r="S225" s="7">
        <f>'1 prepared data'!R218</f>
        <v/>
      </c>
      <c r="T225" s="7">
        <f>'1 prepared data'!S218</f>
        <v/>
      </c>
      <c r="U225" s="7">
        <f>'1 prepared data'!T218</f>
        <v/>
      </c>
      <c r="V225" s="8">
        <f>$AC$12+D225*$AC$13+E225*$AC$14+F225*$AC$15+G225*$AC$16+H225*$AC$17+I225*$AC$18+J225*$AC$19+K225*$AC$20+L225*$AC$21+M225*$AC$22+N225*$AC$23+O225*$AC$24+P225*$AC$25+Q225*$AC$26+R225*$AC$27+S225*$AC$28+T225*$AC$29+U225*$AC$30</f>
        <v/>
      </c>
      <c r="W225" s="8">
        <f>1/(1+EXP(-V225))</f>
        <v/>
      </c>
      <c r="X225" s="9">
        <f>-IF(C225=1,LN(W225),LN(1-W225))</f>
        <v/>
      </c>
      <c r="Y225" s="10">
        <f>IF(W225&gt;$AC$33,1,0)</f>
        <v/>
      </c>
      <c r="Z225">
        <f>IF(Y225=C225,1,0)</f>
        <v/>
      </c>
    </row>
    <row r="226">
      <c r="A226">
        <f>'1 prepared data'!A219</f>
        <v/>
      </c>
      <c r="B226" s="5">
        <f>'1 prepared data'!U219</f>
        <v/>
      </c>
      <c r="C226">
        <f>'1 prepared data'!B219</f>
        <v/>
      </c>
      <c r="D226" s="7">
        <f>'1 prepared data'!C219</f>
        <v/>
      </c>
      <c r="E226" s="7">
        <f>'1 prepared data'!D219</f>
        <v/>
      </c>
      <c r="F226" s="7">
        <f>'1 prepared data'!E219</f>
        <v/>
      </c>
      <c r="G226" s="7">
        <f>'1 prepared data'!F219</f>
        <v/>
      </c>
      <c r="H226" s="7">
        <f>'1 prepared data'!G219</f>
        <v/>
      </c>
      <c r="I226" s="7">
        <f>'1 prepared data'!H219</f>
        <v/>
      </c>
      <c r="J226" s="7">
        <f>'1 prepared data'!I219</f>
        <v/>
      </c>
      <c r="K226" s="7">
        <f>'1 prepared data'!J219</f>
        <v/>
      </c>
      <c r="L226" s="7">
        <f>'1 prepared data'!K219</f>
        <v/>
      </c>
      <c r="M226" s="7">
        <f>'1 prepared data'!L219</f>
        <v/>
      </c>
      <c r="N226" s="7">
        <f>'1 prepared data'!M219</f>
        <v/>
      </c>
      <c r="O226" s="7">
        <f>'1 prepared data'!N219</f>
        <v/>
      </c>
      <c r="P226" s="7">
        <f>'1 prepared data'!O219</f>
        <v/>
      </c>
      <c r="Q226" s="7">
        <f>'1 prepared data'!P219</f>
        <v/>
      </c>
      <c r="R226" s="7">
        <f>'1 prepared data'!Q219</f>
        <v/>
      </c>
      <c r="S226" s="7">
        <f>'1 prepared data'!R219</f>
        <v/>
      </c>
      <c r="T226" s="7">
        <f>'1 prepared data'!S219</f>
        <v/>
      </c>
      <c r="U226" s="7">
        <f>'1 prepared data'!T219</f>
        <v/>
      </c>
      <c r="V226" s="8">
        <f>$AC$12+D226*$AC$13+E226*$AC$14+F226*$AC$15+G226*$AC$16+H226*$AC$17+I226*$AC$18+J226*$AC$19+K226*$AC$20+L226*$AC$21+M226*$AC$22+N226*$AC$23+O226*$AC$24+P226*$AC$25+Q226*$AC$26+R226*$AC$27+S226*$AC$28+T226*$AC$29+U226*$AC$30</f>
        <v/>
      </c>
      <c r="W226" s="8">
        <f>1/(1+EXP(-V226))</f>
        <v/>
      </c>
      <c r="X226" s="9">
        <f>-IF(C226=1,LN(W226),LN(1-W226))</f>
        <v/>
      </c>
      <c r="Y226" s="10">
        <f>IF(W226&gt;$AC$33,1,0)</f>
        <v/>
      </c>
      <c r="Z226">
        <f>IF(Y226=C226,1,0)</f>
        <v/>
      </c>
    </row>
    <row r="227">
      <c r="A227">
        <f>'1 prepared data'!A220</f>
        <v/>
      </c>
      <c r="B227" s="5">
        <f>'1 prepared data'!U220</f>
        <v/>
      </c>
      <c r="C227">
        <f>'1 prepared data'!B220</f>
        <v/>
      </c>
      <c r="D227" s="7">
        <f>'1 prepared data'!C220</f>
        <v/>
      </c>
      <c r="E227" s="7">
        <f>'1 prepared data'!D220</f>
        <v/>
      </c>
      <c r="F227" s="7">
        <f>'1 prepared data'!E220</f>
        <v/>
      </c>
      <c r="G227" s="7">
        <f>'1 prepared data'!F220</f>
        <v/>
      </c>
      <c r="H227" s="7">
        <f>'1 prepared data'!G220</f>
        <v/>
      </c>
      <c r="I227" s="7">
        <f>'1 prepared data'!H220</f>
        <v/>
      </c>
      <c r="J227" s="7">
        <f>'1 prepared data'!I220</f>
        <v/>
      </c>
      <c r="K227" s="7">
        <f>'1 prepared data'!J220</f>
        <v/>
      </c>
      <c r="L227" s="7">
        <f>'1 prepared data'!K220</f>
        <v/>
      </c>
      <c r="M227" s="7">
        <f>'1 prepared data'!L220</f>
        <v/>
      </c>
      <c r="N227" s="7">
        <f>'1 prepared data'!M220</f>
        <v/>
      </c>
      <c r="O227" s="7">
        <f>'1 prepared data'!N220</f>
        <v/>
      </c>
      <c r="P227" s="7">
        <f>'1 prepared data'!O220</f>
        <v/>
      </c>
      <c r="Q227" s="7">
        <f>'1 prepared data'!P220</f>
        <v/>
      </c>
      <c r="R227" s="7">
        <f>'1 prepared data'!Q220</f>
        <v/>
      </c>
      <c r="S227" s="7">
        <f>'1 prepared data'!R220</f>
        <v/>
      </c>
      <c r="T227" s="7">
        <f>'1 prepared data'!S220</f>
        <v/>
      </c>
      <c r="U227" s="7">
        <f>'1 prepared data'!T220</f>
        <v/>
      </c>
      <c r="V227" s="8">
        <f>$AC$12+D227*$AC$13+E227*$AC$14+F227*$AC$15+G227*$AC$16+H227*$AC$17+I227*$AC$18+J227*$AC$19+K227*$AC$20+L227*$AC$21+M227*$AC$22+N227*$AC$23+O227*$AC$24+P227*$AC$25+Q227*$AC$26+R227*$AC$27+S227*$AC$28+T227*$AC$29+U227*$AC$30</f>
        <v/>
      </c>
      <c r="W227" s="8">
        <f>1/(1+EXP(-V227))</f>
        <v/>
      </c>
      <c r="X227" s="9">
        <f>-IF(C227=1,LN(W227),LN(1-W227))</f>
        <v/>
      </c>
      <c r="Y227" s="10">
        <f>IF(W227&gt;$AC$33,1,0)</f>
        <v/>
      </c>
      <c r="Z227">
        <f>IF(Y227=C227,1,0)</f>
        <v/>
      </c>
    </row>
    <row r="228">
      <c r="A228">
        <f>'1 prepared data'!A221</f>
        <v/>
      </c>
      <c r="B228" s="5">
        <f>'1 prepared data'!U221</f>
        <v/>
      </c>
      <c r="C228">
        <f>'1 prepared data'!B221</f>
        <v/>
      </c>
      <c r="D228" s="7">
        <f>'1 prepared data'!C221</f>
        <v/>
      </c>
      <c r="E228" s="7">
        <f>'1 prepared data'!D221</f>
        <v/>
      </c>
      <c r="F228" s="7">
        <f>'1 prepared data'!E221</f>
        <v/>
      </c>
      <c r="G228" s="7">
        <f>'1 prepared data'!F221</f>
        <v/>
      </c>
      <c r="H228" s="7">
        <f>'1 prepared data'!G221</f>
        <v/>
      </c>
      <c r="I228" s="7">
        <f>'1 prepared data'!H221</f>
        <v/>
      </c>
      <c r="J228" s="7">
        <f>'1 prepared data'!I221</f>
        <v/>
      </c>
      <c r="K228" s="7">
        <f>'1 prepared data'!J221</f>
        <v/>
      </c>
      <c r="L228" s="7">
        <f>'1 prepared data'!K221</f>
        <v/>
      </c>
      <c r="M228" s="7">
        <f>'1 prepared data'!L221</f>
        <v/>
      </c>
      <c r="N228" s="7">
        <f>'1 prepared data'!M221</f>
        <v/>
      </c>
      <c r="O228" s="7">
        <f>'1 prepared data'!N221</f>
        <v/>
      </c>
      <c r="P228" s="7">
        <f>'1 prepared data'!O221</f>
        <v/>
      </c>
      <c r="Q228" s="7">
        <f>'1 prepared data'!P221</f>
        <v/>
      </c>
      <c r="R228" s="7">
        <f>'1 prepared data'!Q221</f>
        <v/>
      </c>
      <c r="S228" s="7">
        <f>'1 prepared data'!R221</f>
        <v/>
      </c>
      <c r="T228" s="7">
        <f>'1 prepared data'!S221</f>
        <v/>
      </c>
      <c r="U228" s="7">
        <f>'1 prepared data'!T221</f>
        <v/>
      </c>
      <c r="V228" s="8">
        <f>$AC$12+D228*$AC$13+E228*$AC$14+F228*$AC$15+G228*$AC$16+H228*$AC$17+I228*$AC$18+J228*$AC$19+K228*$AC$20+L228*$AC$21+M228*$AC$22+N228*$AC$23+O228*$AC$24+P228*$AC$25+Q228*$AC$26+R228*$AC$27+S228*$AC$28+T228*$AC$29+U228*$AC$30</f>
        <v/>
      </c>
      <c r="W228" s="8">
        <f>1/(1+EXP(-V228))</f>
        <v/>
      </c>
      <c r="X228" s="9">
        <f>-IF(C228=1,LN(W228),LN(1-W228))</f>
        <v/>
      </c>
      <c r="Y228" s="10">
        <f>IF(W228&gt;$AC$33,1,0)</f>
        <v/>
      </c>
      <c r="Z228">
        <f>IF(Y228=C228,1,0)</f>
        <v/>
      </c>
    </row>
    <row r="229">
      <c r="A229">
        <f>'1 prepared data'!A222</f>
        <v/>
      </c>
      <c r="B229" s="5">
        <f>'1 prepared data'!U222</f>
        <v/>
      </c>
      <c r="C229">
        <f>'1 prepared data'!B222</f>
        <v/>
      </c>
      <c r="D229" s="7">
        <f>'1 prepared data'!C222</f>
        <v/>
      </c>
      <c r="E229" s="7">
        <f>'1 prepared data'!D222</f>
        <v/>
      </c>
      <c r="F229" s="7">
        <f>'1 prepared data'!E222</f>
        <v/>
      </c>
      <c r="G229" s="7">
        <f>'1 prepared data'!F222</f>
        <v/>
      </c>
      <c r="H229" s="7">
        <f>'1 prepared data'!G222</f>
        <v/>
      </c>
      <c r="I229" s="7">
        <f>'1 prepared data'!H222</f>
        <v/>
      </c>
      <c r="J229" s="7">
        <f>'1 prepared data'!I222</f>
        <v/>
      </c>
      <c r="K229" s="7">
        <f>'1 prepared data'!J222</f>
        <v/>
      </c>
      <c r="L229" s="7">
        <f>'1 prepared data'!K222</f>
        <v/>
      </c>
      <c r="M229" s="7">
        <f>'1 prepared data'!L222</f>
        <v/>
      </c>
      <c r="N229" s="7">
        <f>'1 prepared data'!M222</f>
        <v/>
      </c>
      <c r="O229" s="7">
        <f>'1 prepared data'!N222</f>
        <v/>
      </c>
      <c r="P229" s="7">
        <f>'1 prepared data'!O222</f>
        <v/>
      </c>
      <c r="Q229" s="7">
        <f>'1 prepared data'!P222</f>
        <v/>
      </c>
      <c r="R229" s="7">
        <f>'1 prepared data'!Q222</f>
        <v/>
      </c>
      <c r="S229" s="7">
        <f>'1 prepared data'!R222</f>
        <v/>
      </c>
      <c r="T229" s="7">
        <f>'1 prepared data'!S222</f>
        <v/>
      </c>
      <c r="U229" s="7">
        <f>'1 prepared data'!T222</f>
        <v/>
      </c>
      <c r="V229" s="8">
        <f>$AC$12+D229*$AC$13+E229*$AC$14+F229*$AC$15+G229*$AC$16+H229*$AC$17+I229*$AC$18+J229*$AC$19+K229*$AC$20+L229*$AC$21+M229*$AC$22+N229*$AC$23+O229*$AC$24+P229*$AC$25+Q229*$AC$26+R229*$AC$27+S229*$AC$28+T229*$AC$29+U229*$AC$30</f>
        <v/>
      </c>
      <c r="W229" s="8">
        <f>1/(1+EXP(-V229))</f>
        <v/>
      </c>
      <c r="X229" s="9">
        <f>-IF(C229=1,LN(W229),LN(1-W229))</f>
        <v/>
      </c>
      <c r="Y229" s="10">
        <f>IF(W229&gt;$AC$33,1,0)</f>
        <v/>
      </c>
      <c r="Z229">
        <f>IF(Y229=C229,1,0)</f>
        <v/>
      </c>
    </row>
    <row r="230">
      <c r="A230">
        <f>'1 prepared data'!A223</f>
        <v/>
      </c>
      <c r="B230" s="5">
        <f>'1 prepared data'!U223</f>
        <v/>
      </c>
      <c r="C230">
        <f>'1 prepared data'!B223</f>
        <v/>
      </c>
      <c r="D230" s="7">
        <f>'1 prepared data'!C223</f>
        <v/>
      </c>
      <c r="E230" s="7">
        <f>'1 prepared data'!D223</f>
        <v/>
      </c>
      <c r="F230" s="7">
        <f>'1 prepared data'!E223</f>
        <v/>
      </c>
      <c r="G230" s="7">
        <f>'1 prepared data'!F223</f>
        <v/>
      </c>
      <c r="H230" s="7">
        <f>'1 prepared data'!G223</f>
        <v/>
      </c>
      <c r="I230" s="7">
        <f>'1 prepared data'!H223</f>
        <v/>
      </c>
      <c r="J230" s="7">
        <f>'1 prepared data'!I223</f>
        <v/>
      </c>
      <c r="K230" s="7">
        <f>'1 prepared data'!J223</f>
        <v/>
      </c>
      <c r="L230" s="7">
        <f>'1 prepared data'!K223</f>
        <v/>
      </c>
      <c r="M230" s="7">
        <f>'1 prepared data'!L223</f>
        <v/>
      </c>
      <c r="N230" s="7">
        <f>'1 prepared data'!M223</f>
        <v/>
      </c>
      <c r="O230" s="7">
        <f>'1 prepared data'!N223</f>
        <v/>
      </c>
      <c r="P230" s="7">
        <f>'1 prepared data'!O223</f>
        <v/>
      </c>
      <c r="Q230" s="7">
        <f>'1 prepared data'!P223</f>
        <v/>
      </c>
      <c r="R230" s="7">
        <f>'1 prepared data'!Q223</f>
        <v/>
      </c>
      <c r="S230" s="7">
        <f>'1 prepared data'!R223</f>
        <v/>
      </c>
      <c r="T230" s="7">
        <f>'1 prepared data'!S223</f>
        <v/>
      </c>
      <c r="U230" s="7">
        <f>'1 prepared data'!T223</f>
        <v/>
      </c>
      <c r="V230" s="8">
        <f>$AC$12+D230*$AC$13+E230*$AC$14+F230*$AC$15+G230*$AC$16+H230*$AC$17+I230*$AC$18+J230*$AC$19+K230*$AC$20+L230*$AC$21+M230*$AC$22+N230*$AC$23+O230*$AC$24+P230*$AC$25+Q230*$AC$26+R230*$AC$27+S230*$AC$28+T230*$AC$29+U230*$AC$30</f>
        <v/>
      </c>
      <c r="W230" s="8">
        <f>1/(1+EXP(-V230))</f>
        <v/>
      </c>
      <c r="X230" s="9">
        <f>-IF(C230=1,LN(W230),LN(1-W230))</f>
        <v/>
      </c>
      <c r="Y230" s="10">
        <f>IF(W230&gt;$AC$33,1,0)</f>
        <v/>
      </c>
      <c r="Z230">
        <f>IF(Y230=C230,1,0)</f>
        <v/>
      </c>
    </row>
    <row r="231">
      <c r="A231">
        <f>'1 prepared data'!A224</f>
        <v/>
      </c>
      <c r="B231" s="5">
        <f>'1 prepared data'!U224</f>
        <v/>
      </c>
      <c r="C231">
        <f>'1 prepared data'!B224</f>
        <v/>
      </c>
      <c r="D231" s="7">
        <f>'1 prepared data'!C224</f>
        <v/>
      </c>
      <c r="E231" s="7">
        <f>'1 prepared data'!D224</f>
        <v/>
      </c>
      <c r="F231" s="7">
        <f>'1 prepared data'!E224</f>
        <v/>
      </c>
      <c r="G231" s="7">
        <f>'1 prepared data'!F224</f>
        <v/>
      </c>
      <c r="H231" s="7">
        <f>'1 prepared data'!G224</f>
        <v/>
      </c>
      <c r="I231" s="7">
        <f>'1 prepared data'!H224</f>
        <v/>
      </c>
      <c r="J231" s="7">
        <f>'1 prepared data'!I224</f>
        <v/>
      </c>
      <c r="K231" s="7">
        <f>'1 prepared data'!J224</f>
        <v/>
      </c>
      <c r="L231" s="7">
        <f>'1 prepared data'!K224</f>
        <v/>
      </c>
      <c r="M231" s="7">
        <f>'1 prepared data'!L224</f>
        <v/>
      </c>
      <c r="N231" s="7">
        <f>'1 prepared data'!M224</f>
        <v/>
      </c>
      <c r="O231" s="7">
        <f>'1 prepared data'!N224</f>
        <v/>
      </c>
      <c r="P231" s="7">
        <f>'1 prepared data'!O224</f>
        <v/>
      </c>
      <c r="Q231" s="7">
        <f>'1 prepared data'!P224</f>
        <v/>
      </c>
      <c r="R231" s="7">
        <f>'1 prepared data'!Q224</f>
        <v/>
      </c>
      <c r="S231" s="7">
        <f>'1 prepared data'!R224</f>
        <v/>
      </c>
      <c r="T231" s="7">
        <f>'1 prepared data'!S224</f>
        <v/>
      </c>
      <c r="U231" s="7">
        <f>'1 prepared data'!T224</f>
        <v/>
      </c>
      <c r="V231" s="8">
        <f>$AC$12+D231*$AC$13+E231*$AC$14+F231*$AC$15+G231*$AC$16+H231*$AC$17+I231*$AC$18+J231*$AC$19+K231*$AC$20+L231*$AC$21+M231*$AC$22+N231*$AC$23+O231*$AC$24+P231*$AC$25+Q231*$AC$26+R231*$AC$27+S231*$AC$28+T231*$AC$29+U231*$AC$30</f>
        <v/>
      </c>
      <c r="W231" s="8">
        <f>1/(1+EXP(-V231))</f>
        <v/>
      </c>
      <c r="X231" s="9">
        <f>-IF(C231=1,LN(W231),LN(1-W231))</f>
        <v/>
      </c>
      <c r="Y231" s="10">
        <f>IF(W231&gt;$AC$33,1,0)</f>
        <v/>
      </c>
      <c r="Z231">
        <f>IF(Y231=C231,1,0)</f>
        <v/>
      </c>
    </row>
    <row r="232">
      <c r="A232">
        <f>'1 prepared data'!A225</f>
        <v/>
      </c>
      <c r="B232" s="5">
        <f>'1 prepared data'!U225</f>
        <v/>
      </c>
      <c r="C232">
        <f>'1 prepared data'!B225</f>
        <v/>
      </c>
      <c r="D232" s="7">
        <f>'1 prepared data'!C225</f>
        <v/>
      </c>
      <c r="E232" s="7">
        <f>'1 prepared data'!D225</f>
        <v/>
      </c>
      <c r="F232" s="7">
        <f>'1 prepared data'!E225</f>
        <v/>
      </c>
      <c r="G232" s="7">
        <f>'1 prepared data'!F225</f>
        <v/>
      </c>
      <c r="H232" s="7">
        <f>'1 prepared data'!G225</f>
        <v/>
      </c>
      <c r="I232" s="7">
        <f>'1 prepared data'!H225</f>
        <v/>
      </c>
      <c r="J232" s="7">
        <f>'1 prepared data'!I225</f>
        <v/>
      </c>
      <c r="K232" s="7">
        <f>'1 prepared data'!J225</f>
        <v/>
      </c>
      <c r="L232" s="7">
        <f>'1 prepared data'!K225</f>
        <v/>
      </c>
      <c r="M232" s="7">
        <f>'1 prepared data'!L225</f>
        <v/>
      </c>
      <c r="N232" s="7">
        <f>'1 prepared data'!M225</f>
        <v/>
      </c>
      <c r="O232" s="7">
        <f>'1 prepared data'!N225</f>
        <v/>
      </c>
      <c r="P232" s="7">
        <f>'1 prepared data'!O225</f>
        <v/>
      </c>
      <c r="Q232" s="7">
        <f>'1 prepared data'!P225</f>
        <v/>
      </c>
      <c r="R232" s="7">
        <f>'1 prepared data'!Q225</f>
        <v/>
      </c>
      <c r="S232" s="7">
        <f>'1 prepared data'!R225</f>
        <v/>
      </c>
      <c r="T232" s="7">
        <f>'1 prepared data'!S225</f>
        <v/>
      </c>
      <c r="U232" s="7">
        <f>'1 prepared data'!T225</f>
        <v/>
      </c>
      <c r="V232" s="8">
        <f>$AC$12+D232*$AC$13+E232*$AC$14+F232*$AC$15+G232*$AC$16+H232*$AC$17+I232*$AC$18+J232*$AC$19+K232*$AC$20+L232*$AC$21+M232*$AC$22+N232*$AC$23+O232*$AC$24+P232*$AC$25+Q232*$AC$26+R232*$AC$27+S232*$AC$28+T232*$AC$29+U232*$AC$30</f>
        <v/>
      </c>
      <c r="W232" s="8">
        <f>1/(1+EXP(-V232))</f>
        <v/>
      </c>
      <c r="X232" s="9">
        <f>-IF(C232=1,LN(W232),LN(1-W232))</f>
        <v/>
      </c>
      <c r="Y232" s="10">
        <f>IF(W232&gt;$AC$33,1,0)</f>
        <v/>
      </c>
      <c r="Z232">
        <f>IF(Y232=C232,1,0)</f>
        <v/>
      </c>
    </row>
    <row r="233">
      <c r="A233">
        <f>'1 prepared data'!A226</f>
        <v/>
      </c>
      <c r="B233" s="5">
        <f>'1 prepared data'!U226</f>
        <v/>
      </c>
      <c r="C233">
        <f>'1 prepared data'!B226</f>
        <v/>
      </c>
      <c r="D233" s="7">
        <f>'1 prepared data'!C226</f>
        <v/>
      </c>
      <c r="E233" s="7">
        <f>'1 prepared data'!D226</f>
        <v/>
      </c>
      <c r="F233" s="7">
        <f>'1 prepared data'!E226</f>
        <v/>
      </c>
      <c r="G233" s="7">
        <f>'1 prepared data'!F226</f>
        <v/>
      </c>
      <c r="H233" s="7">
        <f>'1 prepared data'!G226</f>
        <v/>
      </c>
      <c r="I233" s="7">
        <f>'1 prepared data'!H226</f>
        <v/>
      </c>
      <c r="J233" s="7">
        <f>'1 prepared data'!I226</f>
        <v/>
      </c>
      <c r="K233" s="7">
        <f>'1 prepared data'!J226</f>
        <v/>
      </c>
      <c r="L233" s="7">
        <f>'1 prepared data'!K226</f>
        <v/>
      </c>
      <c r="M233" s="7">
        <f>'1 prepared data'!L226</f>
        <v/>
      </c>
      <c r="N233" s="7">
        <f>'1 prepared data'!M226</f>
        <v/>
      </c>
      <c r="O233" s="7">
        <f>'1 prepared data'!N226</f>
        <v/>
      </c>
      <c r="P233" s="7">
        <f>'1 prepared data'!O226</f>
        <v/>
      </c>
      <c r="Q233" s="7">
        <f>'1 prepared data'!P226</f>
        <v/>
      </c>
      <c r="R233" s="7">
        <f>'1 prepared data'!Q226</f>
        <v/>
      </c>
      <c r="S233" s="7">
        <f>'1 prepared data'!R226</f>
        <v/>
      </c>
      <c r="T233" s="7">
        <f>'1 prepared data'!S226</f>
        <v/>
      </c>
      <c r="U233" s="7">
        <f>'1 prepared data'!T226</f>
        <v/>
      </c>
      <c r="V233" s="8">
        <f>$AC$12+D233*$AC$13+E233*$AC$14+F233*$AC$15+G233*$AC$16+H233*$AC$17+I233*$AC$18+J233*$AC$19+K233*$AC$20+L233*$AC$21+M233*$AC$22+N233*$AC$23+O233*$AC$24+P233*$AC$25+Q233*$AC$26+R233*$AC$27+S233*$AC$28+T233*$AC$29+U233*$AC$30</f>
        <v/>
      </c>
      <c r="W233" s="8">
        <f>1/(1+EXP(-V233))</f>
        <v/>
      </c>
      <c r="X233" s="9">
        <f>-IF(C233=1,LN(W233),LN(1-W233))</f>
        <v/>
      </c>
      <c r="Y233" s="10">
        <f>IF(W233&gt;$AC$33,1,0)</f>
        <v/>
      </c>
      <c r="Z233">
        <f>IF(Y233=C233,1,0)</f>
        <v/>
      </c>
    </row>
    <row r="234">
      <c r="A234">
        <f>'1 prepared data'!A227</f>
        <v/>
      </c>
      <c r="B234" s="5">
        <f>'1 prepared data'!U227</f>
        <v/>
      </c>
      <c r="C234">
        <f>'1 prepared data'!B227</f>
        <v/>
      </c>
      <c r="D234" s="7">
        <f>'1 prepared data'!C227</f>
        <v/>
      </c>
      <c r="E234" s="7">
        <f>'1 prepared data'!D227</f>
        <v/>
      </c>
      <c r="F234" s="7">
        <f>'1 prepared data'!E227</f>
        <v/>
      </c>
      <c r="G234" s="7">
        <f>'1 prepared data'!F227</f>
        <v/>
      </c>
      <c r="H234" s="7">
        <f>'1 prepared data'!G227</f>
        <v/>
      </c>
      <c r="I234" s="7">
        <f>'1 prepared data'!H227</f>
        <v/>
      </c>
      <c r="J234" s="7">
        <f>'1 prepared data'!I227</f>
        <v/>
      </c>
      <c r="K234" s="7">
        <f>'1 prepared data'!J227</f>
        <v/>
      </c>
      <c r="L234" s="7">
        <f>'1 prepared data'!K227</f>
        <v/>
      </c>
      <c r="M234" s="7">
        <f>'1 prepared data'!L227</f>
        <v/>
      </c>
      <c r="N234" s="7">
        <f>'1 prepared data'!M227</f>
        <v/>
      </c>
      <c r="O234" s="7">
        <f>'1 prepared data'!N227</f>
        <v/>
      </c>
      <c r="P234" s="7">
        <f>'1 prepared data'!O227</f>
        <v/>
      </c>
      <c r="Q234" s="7">
        <f>'1 prepared data'!P227</f>
        <v/>
      </c>
      <c r="R234" s="7">
        <f>'1 prepared data'!Q227</f>
        <v/>
      </c>
      <c r="S234" s="7">
        <f>'1 prepared data'!R227</f>
        <v/>
      </c>
      <c r="T234" s="7">
        <f>'1 prepared data'!S227</f>
        <v/>
      </c>
      <c r="U234" s="7">
        <f>'1 prepared data'!T227</f>
        <v/>
      </c>
      <c r="V234" s="8">
        <f>$AC$12+D234*$AC$13+E234*$AC$14+F234*$AC$15+G234*$AC$16+H234*$AC$17+I234*$AC$18+J234*$AC$19+K234*$AC$20+L234*$AC$21+M234*$AC$22+N234*$AC$23+O234*$AC$24+P234*$AC$25+Q234*$AC$26+R234*$AC$27+S234*$AC$28+T234*$AC$29+U234*$AC$30</f>
        <v/>
      </c>
      <c r="W234" s="8">
        <f>1/(1+EXP(-V234))</f>
        <v/>
      </c>
      <c r="X234" s="9">
        <f>-IF(C234=1,LN(W234),LN(1-W234))</f>
        <v/>
      </c>
      <c r="Y234" s="10">
        <f>IF(W234&gt;$AC$33,1,0)</f>
        <v/>
      </c>
      <c r="Z234">
        <f>IF(Y234=C234,1,0)</f>
        <v/>
      </c>
    </row>
    <row r="235">
      <c r="A235">
        <f>'1 prepared data'!A228</f>
        <v/>
      </c>
      <c r="B235" s="5">
        <f>'1 prepared data'!U228</f>
        <v/>
      </c>
      <c r="C235">
        <f>'1 prepared data'!B228</f>
        <v/>
      </c>
      <c r="D235" s="7">
        <f>'1 prepared data'!C228</f>
        <v/>
      </c>
      <c r="E235" s="7">
        <f>'1 prepared data'!D228</f>
        <v/>
      </c>
      <c r="F235" s="7">
        <f>'1 prepared data'!E228</f>
        <v/>
      </c>
      <c r="G235" s="7">
        <f>'1 prepared data'!F228</f>
        <v/>
      </c>
      <c r="H235" s="7">
        <f>'1 prepared data'!G228</f>
        <v/>
      </c>
      <c r="I235" s="7">
        <f>'1 prepared data'!H228</f>
        <v/>
      </c>
      <c r="J235" s="7">
        <f>'1 prepared data'!I228</f>
        <v/>
      </c>
      <c r="K235" s="7">
        <f>'1 prepared data'!J228</f>
        <v/>
      </c>
      <c r="L235" s="7">
        <f>'1 prepared data'!K228</f>
        <v/>
      </c>
      <c r="M235" s="7">
        <f>'1 prepared data'!L228</f>
        <v/>
      </c>
      <c r="N235" s="7">
        <f>'1 prepared data'!M228</f>
        <v/>
      </c>
      <c r="O235" s="7">
        <f>'1 prepared data'!N228</f>
        <v/>
      </c>
      <c r="P235" s="7">
        <f>'1 prepared data'!O228</f>
        <v/>
      </c>
      <c r="Q235" s="7">
        <f>'1 prepared data'!P228</f>
        <v/>
      </c>
      <c r="R235" s="7">
        <f>'1 prepared data'!Q228</f>
        <v/>
      </c>
      <c r="S235" s="7">
        <f>'1 prepared data'!R228</f>
        <v/>
      </c>
      <c r="T235" s="7">
        <f>'1 prepared data'!S228</f>
        <v/>
      </c>
      <c r="U235" s="7">
        <f>'1 prepared data'!T228</f>
        <v/>
      </c>
      <c r="V235" s="8">
        <f>$AC$12+D235*$AC$13+E235*$AC$14+F235*$AC$15+G235*$AC$16+H235*$AC$17+I235*$AC$18+J235*$AC$19+K235*$AC$20+L235*$AC$21+M235*$AC$22+N235*$AC$23+O235*$AC$24+P235*$AC$25+Q235*$AC$26+R235*$AC$27+S235*$AC$28+T235*$AC$29+U235*$AC$30</f>
        <v/>
      </c>
      <c r="W235" s="8">
        <f>1/(1+EXP(-V235))</f>
        <v/>
      </c>
      <c r="X235" s="9">
        <f>-IF(C235=1,LN(W235),LN(1-W235))</f>
        <v/>
      </c>
      <c r="Y235" s="10">
        <f>IF(W235&gt;$AC$33,1,0)</f>
        <v/>
      </c>
      <c r="Z235">
        <f>IF(Y235=C235,1,0)</f>
        <v/>
      </c>
    </row>
    <row r="236">
      <c r="A236">
        <f>'1 prepared data'!A229</f>
        <v/>
      </c>
      <c r="B236" s="5">
        <f>'1 prepared data'!U229</f>
        <v/>
      </c>
      <c r="C236">
        <f>'1 prepared data'!B229</f>
        <v/>
      </c>
      <c r="D236" s="7">
        <f>'1 prepared data'!C229</f>
        <v/>
      </c>
      <c r="E236" s="7">
        <f>'1 prepared data'!D229</f>
        <v/>
      </c>
      <c r="F236" s="7">
        <f>'1 prepared data'!E229</f>
        <v/>
      </c>
      <c r="G236" s="7">
        <f>'1 prepared data'!F229</f>
        <v/>
      </c>
      <c r="H236" s="7">
        <f>'1 prepared data'!G229</f>
        <v/>
      </c>
      <c r="I236" s="7">
        <f>'1 prepared data'!H229</f>
        <v/>
      </c>
      <c r="J236" s="7">
        <f>'1 prepared data'!I229</f>
        <v/>
      </c>
      <c r="K236" s="7">
        <f>'1 prepared data'!J229</f>
        <v/>
      </c>
      <c r="L236" s="7">
        <f>'1 prepared data'!K229</f>
        <v/>
      </c>
      <c r="M236" s="7">
        <f>'1 prepared data'!L229</f>
        <v/>
      </c>
      <c r="N236" s="7">
        <f>'1 prepared data'!M229</f>
        <v/>
      </c>
      <c r="O236" s="7">
        <f>'1 prepared data'!N229</f>
        <v/>
      </c>
      <c r="P236" s="7">
        <f>'1 prepared data'!O229</f>
        <v/>
      </c>
      <c r="Q236" s="7">
        <f>'1 prepared data'!P229</f>
        <v/>
      </c>
      <c r="R236" s="7">
        <f>'1 prepared data'!Q229</f>
        <v/>
      </c>
      <c r="S236" s="7">
        <f>'1 prepared data'!R229</f>
        <v/>
      </c>
      <c r="T236" s="7">
        <f>'1 prepared data'!S229</f>
        <v/>
      </c>
      <c r="U236" s="7">
        <f>'1 prepared data'!T229</f>
        <v/>
      </c>
      <c r="V236" s="8">
        <f>$AC$12+D236*$AC$13+E236*$AC$14+F236*$AC$15+G236*$AC$16+H236*$AC$17+I236*$AC$18+J236*$AC$19+K236*$AC$20+L236*$AC$21+M236*$AC$22+N236*$AC$23+O236*$AC$24+P236*$AC$25+Q236*$AC$26+R236*$AC$27+S236*$AC$28+T236*$AC$29+U236*$AC$30</f>
        <v/>
      </c>
      <c r="W236" s="8">
        <f>1/(1+EXP(-V236))</f>
        <v/>
      </c>
      <c r="X236" s="9">
        <f>-IF(C236=1,LN(W236),LN(1-W236))</f>
        <v/>
      </c>
      <c r="Y236" s="10">
        <f>IF(W236&gt;$AC$33,1,0)</f>
        <v/>
      </c>
      <c r="Z236">
        <f>IF(Y236=C236,1,0)</f>
        <v/>
      </c>
    </row>
    <row r="237">
      <c r="A237">
        <f>'1 prepared data'!A230</f>
        <v/>
      </c>
      <c r="B237" s="5">
        <f>'1 prepared data'!U230</f>
        <v/>
      </c>
      <c r="C237">
        <f>'1 prepared data'!B230</f>
        <v/>
      </c>
      <c r="D237" s="7">
        <f>'1 prepared data'!C230</f>
        <v/>
      </c>
      <c r="E237" s="7">
        <f>'1 prepared data'!D230</f>
        <v/>
      </c>
      <c r="F237" s="7">
        <f>'1 prepared data'!E230</f>
        <v/>
      </c>
      <c r="G237" s="7">
        <f>'1 prepared data'!F230</f>
        <v/>
      </c>
      <c r="H237" s="7">
        <f>'1 prepared data'!G230</f>
        <v/>
      </c>
      <c r="I237" s="7">
        <f>'1 prepared data'!H230</f>
        <v/>
      </c>
      <c r="J237" s="7">
        <f>'1 prepared data'!I230</f>
        <v/>
      </c>
      <c r="K237" s="7">
        <f>'1 prepared data'!J230</f>
        <v/>
      </c>
      <c r="L237" s="7">
        <f>'1 prepared data'!K230</f>
        <v/>
      </c>
      <c r="M237" s="7">
        <f>'1 prepared data'!L230</f>
        <v/>
      </c>
      <c r="N237" s="7">
        <f>'1 prepared data'!M230</f>
        <v/>
      </c>
      <c r="O237" s="7">
        <f>'1 prepared data'!N230</f>
        <v/>
      </c>
      <c r="P237" s="7">
        <f>'1 prepared data'!O230</f>
        <v/>
      </c>
      <c r="Q237" s="7">
        <f>'1 prepared data'!P230</f>
        <v/>
      </c>
      <c r="R237" s="7">
        <f>'1 prepared data'!Q230</f>
        <v/>
      </c>
      <c r="S237" s="7">
        <f>'1 prepared data'!R230</f>
        <v/>
      </c>
      <c r="T237" s="7">
        <f>'1 prepared data'!S230</f>
        <v/>
      </c>
      <c r="U237" s="7">
        <f>'1 prepared data'!T230</f>
        <v/>
      </c>
      <c r="V237" s="8">
        <f>$AC$12+D237*$AC$13+E237*$AC$14+F237*$AC$15+G237*$AC$16+H237*$AC$17+I237*$AC$18+J237*$AC$19+K237*$AC$20+L237*$AC$21+M237*$AC$22+N237*$AC$23+O237*$AC$24+P237*$AC$25+Q237*$AC$26+R237*$AC$27+S237*$AC$28+T237*$AC$29+U237*$AC$30</f>
        <v/>
      </c>
      <c r="W237" s="8">
        <f>1/(1+EXP(-V237))</f>
        <v/>
      </c>
      <c r="X237" s="9">
        <f>-IF(C237=1,LN(W237),LN(1-W237))</f>
        <v/>
      </c>
      <c r="Y237" s="10">
        <f>IF(W237&gt;$AC$33,1,0)</f>
        <v/>
      </c>
      <c r="Z237">
        <f>IF(Y237=C237,1,0)</f>
        <v/>
      </c>
    </row>
    <row r="238">
      <c r="A238">
        <f>'1 prepared data'!A231</f>
        <v/>
      </c>
      <c r="B238" s="5">
        <f>'1 prepared data'!U231</f>
        <v/>
      </c>
      <c r="C238">
        <f>'1 prepared data'!B231</f>
        <v/>
      </c>
      <c r="D238" s="7">
        <f>'1 prepared data'!C231</f>
        <v/>
      </c>
      <c r="E238" s="7">
        <f>'1 prepared data'!D231</f>
        <v/>
      </c>
      <c r="F238" s="7">
        <f>'1 prepared data'!E231</f>
        <v/>
      </c>
      <c r="G238" s="7">
        <f>'1 prepared data'!F231</f>
        <v/>
      </c>
      <c r="H238" s="7">
        <f>'1 prepared data'!G231</f>
        <v/>
      </c>
      <c r="I238" s="7">
        <f>'1 prepared data'!H231</f>
        <v/>
      </c>
      <c r="J238" s="7">
        <f>'1 prepared data'!I231</f>
        <v/>
      </c>
      <c r="K238" s="7">
        <f>'1 prepared data'!J231</f>
        <v/>
      </c>
      <c r="L238" s="7">
        <f>'1 prepared data'!K231</f>
        <v/>
      </c>
      <c r="M238" s="7">
        <f>'1 prepared data'!L231</f>
        <v/>
      </c>
      <c r="N238" s="7">
        <f>'1 prepared data'!M231</f>
        <v/>
      </c>
      <c r="O238" s="7">
        <f>'1 prepared data'!N231</f>
        <v/>
      </c>
      <c r="P238" s="7">
        <f>'1 prepared data'!O231</f>
        <v/>
      </c>
      <c r="Q238" s="7">
        <f>'1 prepared data'!P231</f>
        <v/>
      </c>
      <c r="R238" s="7">
        <f>'1 prepared data'!Q231</f>
        <v/>
      </c>
      <c r="S238" s="7">
        <f>'1 prepared data'!R231</f>
        <v/>
      </c>
      <c r="T238" s="7">
        <f>'1 prepared data'!S231</f>
        <v/>
      </c>
      <c r="U238" s="7">
        <f>'1 prepared data'!T231</f>
        <v/>
      </c>
      <c r="V238" s="8">
        <f>$AC$12+D238*$AC$13+E238*$AC$14+F238*$AC$15+G238*$AC$16+H238*$AC$17+I238*$AC$18+J238*$AC$19+K238*$AC$20+L238*$AC$21+M238*$AC$22+N238*$AC$23+O238*$AC$24+P238*$AC$25+Q238*$AC$26+R238*$AC$27+S238*$AC$28+T238*$AC$29+U238*$AC$30</f>
        <v/>
      </c>
      <c r="W238" s="8">
        <f>1/(1+EXP(-V238))</f>
        <v/>
      </c>
      <c r="X238" s="9">
        <f>-IF(C238=1,LN(W238),LN(1-W238))</f>
        <v/>
      </c>
      <c r="Y238" s="10">
        <f>IF(W238&gt;$AC$33,1,0)</f>
        <v/>
      </c>
      <c r="Z238">
        <f>IF(Y238=C238,1,0)</f>
        <v/>
      </c>
    </row>
    <row r="239">
      <c r="A239">
        <f>'1 prepared data'!A232</f>
        <v/>
      </c>
      <c r="B239" s="5">
        <f>'1 prepared data'!U232</f>
        <v/>
      </c>
      <c r="C239">
        <f>'1 prepared data'!B232</f>
        <v/>
      </c>
      <c r="D239" s="7">
        <f>'1 prepared data'!C232</f>
        <v/>
      </c>
      <c r="E239" s="7">
        <f>'1 prepared data'!D232</f>
        <v/>
      </c>
      <c r="F239" s="7">
        <f>'1 prepared data'!E232</f>
        <v/>
      </c>
      <c r="G239" s="7">
        <f>'1 prepared data'!F232</f>
        <v/>
      </c>
      <c r="H239" s="7">
        <f>'1 prepared data'!G232</f>
        <v/>
      </c>
      <c r="I239" s="7">
        <f>'1 prepared data'!H232</f>
        <v/>
      </c>
      <c r="J239" s="7">
        <f>'1 prepared data'!I232</f>
        <v/>
      </c>
      <c r="K239" s="7">
        <f>'1 prepared data'!J232</f>
        <v/>
      </c>
      <c r="L239" s="7">
        <f>'1 prepared data'!K232</f>
        <v/>
      </c>
      <c r="M239" s="7">
        <f>'1 prepared data'!L232</f>
        <v/>
      </c>
      <c r="N239" s="7">
        <f>'1 prepared data'!M232</f>
        <v/>
      </c>
      <c r="O239" s="7">
        <f>'1 prepared data'!N232</f>
        <v/>
      </c>
      <c r="P239" s="7">
        <f>'1 prepared data'!O232</f>
        <v/>
      </c>
      <c r="Q239" s="7">
        <f>'1 prepared data'!P232</f>
        <v/>
      </c>
      <c r="R239" s="7">
        <f>'1 prepared data'!Q232</f>
        <v/>
      </c>
      <c r="S239" s="7">
        <f>'1 prepared data'!R232</f>
        <v/>
      </c>
      <c r="T239" s="7">
        <f>'1 prepared data'!S232</f>
        <v/>
      </c>
      <c r="U239" s="7">
        <f>'1 prepared data'!T232</f>
        <v/>
      </c>
      <c r="V239" s="8">
        <f>$AC$12+D239*$AC$13+E239*$AC$14+F239*$AC$15+G239*$AC$16+H239*$AC$17+I239*$AC$18+J239*$AC$19+K239*$AC$20+L239*$AC$21+M239*$AC$22+N239*$AC$23+O239*$AC$24+P239*$AC$25+Q239*$AC$26+R239*$AC$27+S239*$AC$28+T239*$AC$29+U239*$AC$30</f>
        <v/>
      </c>
      <c r="W239" s="8">
        <f>1/(1+EXP(-V239))</f>
        <v/>
      </c>
      <c r="X239" s="9">
        <f>-IF(C239=1,LN(W239),LN(1-W239))</f>
        <v/>
      </c>
      <c r="Y239" s="10">
        <f>IF(W239&gt;$AC$33,1,0)</f>
        <v/>
      </c>
      <c r="Z239">
        <f>IF(Y239=C239,1,0)</f>
        <v/>
      </c>
    </row>
    <row r="240">
      <c r="A240">
        <f>'1 prepared data'!A233</f>
        <v/>
      </c>
      <c r="B240" s="5">
        <f>'1 prepared data'!U233</f>
        <v/>
      </c>
      <c r="C240">
        <f>'1 prepared data'!B233</f>
        <v/>
      </c>
      <c r="D240" s="7">
        <f>'1 prepared data'!C233</f>
        <v/>
      </c>
      <c r="E240" s="7">
        <f>'1 prepared data'!D233</f>
        <v/>
      </c>
      <c r="F240" s="7">
        <f>'1 prepared data'!E233</f>
        <v/>
      </c>
      <c r="G240" s="7">
        <f>'1 prepared data'!F233</f>
        <v/>
      </c>
      <c r="H240" s="7">
        <f>'1 prepared data'!G233</f>
        <v/>
      </c>
      <c r="I240" s="7">
        <f>'1 prepared data'!H233</f>
        <v/>
      </c>
      <c r="J240" s="7">
        <f>'1 prepared data'!I233</f>
        <v/>
      </c>
      <c r="K240" s="7">
        <f>'1 prepared data'!J233</f>
        <v/>
      </c>
      <c r="L240" s="7">
        <f>'1 prepared data'!K233</f>
        <v/>
      </c>
      <c r="M240" s="7">
        <f>'1 prepared data'!L233</f>
        <v/>
      </c>
      <c r="N240" s="7">
        <f>'1 prepared data'!M233</f>
        <v/>
      </c>
      <c r="O240" s="7">
        <f>'1 prepared data'!N233</f>
        <v/>
      </c>
      <c r="P240" s="7">
        <f>'1 prepared data'!O233</f>
        <v/>
      </c>
      <c r="Q240" s="7">
        <f>'1 prepared data'!P233</f>
        <v/>
      </c>
      <c r="R240" s="7">
        <f>'1 prepared data'!Q233</f>
        <v/>
      </c>
      <c r="S240" s="7">
        <f>'1 prepared data'!R233</f>
        <v/>
      </c>
      <c r="T240" s="7">
        <f>'1 prepared data'!S233</f>
        <v/>
      </c>
      <c r="U240" s="7">
        <f>'1 prepared data'!T233</f>
        <v/>
      </c>
      <c r="V240" s="8">
        <f>$AC$12+D240*$AC$13+E240*$AC$14+F240*$AC$15+G240*$AC$16+H240*$AC$17+I240*$AC$18+J240*$AC$19+K240*$AC$20+L240*$AC$21+M240*$AC$22+N240*$AC$23+O240*$AC$24+P240*$AC$25+Q240*$AC$26+R240*$AC$27+S240*$AC$28+T240*$AC$29+U240*$AC$30</f>
        <v/>
      </c>
      <c r="W240" s="8">
        <f>1/(1+EXP(-V240))</f>
        <v/>
      </c>
      <c r="X240" s="9">
        <f>-IF(C240=1,LN(W240),LN(1-W240))</f>
        <v/>
      </c>
      <c r="Y240" s="10">
        <f>IF(W240&gt;$AC$33,1,0)</f>
        <v/>
      </c>
      <c r="Z240">
        <f>IF(Y240=C240,1,0)</f>
        <v/>
      </c>
    </row>
    <row r="241">
      <c r="A241">
        <f>'1 prepared data'!A234</f>
        <v/>
      </c>
      <c r="B241" s="5">
        <f>'1 prepared data'!U234</f>
        <v/>
      </c>
      <c r="C241">
        <f>'1 prepared data'!B234</f>
        <v/>
      </c>
      <c r="D241" s="7">
        <f>'1 prepared data'!C234</f>
        <v/>
      </c>
      <c r="E241" s="7">
        <f>'1 prepared data'!D234</f>
        <v/>
      </c>
      <c r="F241" s="7">
        <f>'1 prepared data'!E234</f>
        <v/>
      </c>
      <c r="G241" s="7">
        <f>'1 prepared data'!F234</f>
        <v/>
      </c>
      <c r="H241" s="7">
        <f>'1 prepared data'!G234</f>
        <v/>
      </c>
      <c r="I241" s="7">
        <f>'1 prepared data'!H234</f>
        <v/>
      </c>
      <c r="J241" s="7">
        <f>'1 prepared data'!I234</f>
        <v/>
      </c>
      <c r="K241" s="7">
        <f>'1 prepared data'!J234</f>
        <v/>
      </c>
      <c r="L241" s="7">
        <f>'1 prepared data'!K234</f>
        <v/>
      </c>
      <c r="M241" s="7">
        <f>'1 prepared data'!L234</f>
        <v/>
      </c>
      <c r="N241" s="7">
        <f>'1 prepared data'!M234</f>
        <v/>
      </c>
      <c r="O241" s="7">
        <f>'1 prepared data'!N234</f>
        <v/>
      </c>
      <c r="P241" s="7">
        <f>'1 prepared data'!O234</f>
        <v/>
      </c>
      <c r="Q241" s="7">
        <f>'1 prepared data'!P234</f>
        <v/>
      </c>
      <c r="R241" s="7">
        <f>'1 prepared data'!Q234</f>
        <v/>
      </c>
      <c r="S241" s="7">
        <f>'1 prepared data'!R234</f>
        <v/>
      </c>
      <c r="T241" s="7">
        <f>'1 prepared data'!S234</f>
        <v/>
      </c>
      <c r="U241" s="7">
        <f>'1 prepared data'!T234</f>
        <v/>
      </c>
      <c r="V241" s="8">
        <f>$AC$12+D241*$AC$13+E241*$AC$14+F241*$AC$15+G241*$AC$16+H241*$AC$17+I241*$AC$18+J241*$AC$19+K241*$AC$20+L241*$AC$21+M241*$AC$22+N241*$AC$23+O241*$AC$24+P241*$AC$25+Q241*$AC$26+R241*$AC$27+S241*$AC$28+T241*$AC$29+U241*$AC$30</f>
        <v/>
      </c>
      <c r="W241" s="8">
        <f>1/(1+EXP(-V241))</f>
        <v/>
      </c>
      <c r="X241" s="9">
        <f>-IF(C241=1,LN(W241),LN(1-W241))</f>
        <v/>
      </c>
      <c r="Y241" s="10">
        <f>IF(W241&gt;$AC$33,1,0)</f>
        <v/>
      </c>
      <c r="Z241">
        <f>IF(Y241=C241,1,0)</f>
        <v/>
      </c>
    </row>
    <row r="242">
      <c r="A242">
        <f>'1 prepared data'!A235</f>
        <v/>
      </c>
      <c r="B242" s="5">
        <f>'1 prepared data'!U235</f>
        <v/>
      </c>
      <c r="C242">
        <f>'1 prepared data'!B235</f>
        <v/>
      </c>
      <c r="D242" s="7">
        <f>'1 prepared data'!C235</f>
        <v/>
      </c>
      <c r="E242" s="7">
        <f>'1 prepared data'!D235</f>
        <v/>
      </c>
      <c r="F242" s="7">
        <f>'1 prepared data'!E235</f>
        <v/>
      </c>
      <c r="G242" s="7">
        <f>'1 prepared data'!F235</f>
        <v/>
      </c>
      <c r="H242" s="7">
        <f>'1 prepared data'!G235</f>
        <v/>
      </c>
      <c r="I242" s="7">
        <f>'1 prepared data'!H235</f>
        <v/>
      </c>
      <c r="J242" s="7">
        <f>'1 prepared data'!I235</f>
        <v/>
      </c>
      <c r="K242" s="7">
        <f>'1 prepared data'!J235</f>
        <v/>
      </c>
      <c r="L242" s="7">
        <f>'1 prepared data'!K235</f>
        <v/>
      </c>
      <c r="M242" s="7">
        <f>'1 prepared data'!L235</f>
        <v/>
      </c>
      <c r="N242" s="7">
        <f>'1 prepared data'!M235</f>
        <v/>
      </c>
      <c r="O242" s="7">
        <f>'1 prepared data'!N235</f>
        <v/>
      </c>
      <c r="P242" s="7">
        <f>'1 prepared data'!O235</f>
        <v/>
      </c>
      <c r="Q242" s="7">
        <f>'1 prepared data'!P235</f>
        <v/>
      </c>
      <c r="R242" s="7">
        <f>'1 prepared data'!Q235</f>
        <v/>
      </c>
      <c r="S242" s="7">
        <f>'1 prepared data'!R235</f>
        <v/>
      </c>
      <c r="T242" s="7">
        <f>'1 prepared data'!S235</f>
        <v/>
      </c>
      <c r="U242" s="7">
        <f>'1 prepared data'!T235</f>
        <v/>
      </c>
      <c r="V242" s="8">
        <f>$AC$12+D242*$AC$13+E242*$AC$14+F242*$AC$15+G242*$AC$16+H242*$AC$17+I242*$AC$18+J242*$AC$19+K242*$AC$20+L242*$AC$21+M242*$AC$22+N242*$AC$23+O242*$AC$24+P242*$AC$25+Q242*$AC$26+R242*$AC$27+S242*$AC$28+T242*$AC$29+U242*$AC$30</f>
        <v/>
      </c>
      <c r="W242" s="8">
        <f>1/(1+EXP(-V242))</f>
        <v/>
      </c>
      <c r="X242" s="9">
        <f>-IF(C242=1,LN(W242),LN(1-W242))</f>
        <v/>
      </c>
      <c r="Y242" s="10">
        <f>IF(W242&gt;$AC$33,1,0)</f>
        <v/>
      </c>
      <c r="Z242">
        <f>IF(Y242=C242,1,0)</f>
        <v/>
      </c>
    </row>
    <row r="243">
      <c r="A243">
        <f>'1 prepared data'!A236</f>
        <v/>
      </c>
      <c r="B243" s="5">
        <f>'1 prepared data'!U236</f>
        <v/>
      </c>
      <c r="C243">
        <f>'1 prepared data'!B236</f>
        <v/>
      </c>
      <c r="D243" s="7">
        <f>'1 prepared data'!C236</f>
        <v/>
      </c>
      <c r="E243" s="7">
        <f>'1 prepared data'!D236</f>
        <v/>
      </c>
      <c r="F243" s="7">
        <f>'1 prepared data'!E236</f>
        <v/>
      </c>
      <c r="G243" s="7">
        <f>'1 prepared data'!F236</f>
        <v/>
      </c>
      <c r="H243" s="7">
        <f>'1 prepared data'!G236</f>
        <v/>
      </c>
      <c r="I243" s="7">
        <f>'1 prepared data'!H236</f>
        <v/>
      </c>
      <c r="J243" s="7">
        <f>'1 prepared data'!I236</f>
        <v/>
      </c>
      <c r="K243" s="7">
        <f>'1 prepared data'!J236</f>
        <v/>
      </c>
      <c r="L243" s="7">
        <f>'1 prepared data'!K236</f>
        <v/>
      </c>
      <c r="M243" s="7">
        <f>'1 prepared data'!L236</f>
        <v/>
      </c>
      <c r="N243" s="7">
        <f>'1 prepared data'!M236</f>
        <v/>
      </c>
      <c r="O243" s="7">
        <f>'1 prepared data'!N236</f>
        <v/>
      </c>
      <c r="P243" s="7">
        <f>'1 prepared data'!O236</f>
        <v/>
      </c>
      <c r="Q243" s="7">
        <f>'1 prepared data'!P236</f>
        <v/>
      </c>
      <c r="R243" s="7">
        <f>'1 prepared data'!Q236</f>
        <v/>
      </c>
      <c r="S243" s="7">
        <f>'1 prepared data'!R236</f>
        <v/>
      </c>
      <c r="T243" s="7">
        <f>'1 prepared data'!S236</f>
        <v/>
      </c>
      <c r="U243" s="7">
        <f>'1 prepared data'!T236</f>
        <v/>
      </c>
      <c r="V243" s="8">
        <f>$AC$12+D243*$AC$13+E243*$AC$14+F243*$AC$15+G243*$AC$16+H243*$AC$17+I243*$AC$18+J243*$AC$19+K243*$AC$20+L243*$AC$21+M243*$AC$22+N243*$AC$23+O243*$AC$24+P243*$AC$25+Q243*$AC$26+R243*$AC$27+S243*$AC$28+T243*$AC$29+U243*$AC$30</f>
        <v/>
      </c>
      <c r="W243" s="8">
        <f>1/(1+EXP(-V243))</f>
        <v/>
      </c>
      <c r="X243" s="9">
        <f>-IF(C243=1,LN(W243),LN(1-W243))</f>
        <v/>
      </c>
      <c r="Y243" s="10">
        <f>IF(W243&gt;$AC$33,1,0)</f>
        <v/>
      </c>
      <c r="Z243">
        <f>IF(Y243=C243,1,0)</f>
        <v/>
      </c>
    </row>
    <row r="244">
      <c r="A244">
        <f>'1 prepared data'!A237</f>
        <v/>
      </c>
      <c r="B244" s="5">
        <f>'1 prepared data'!U237</f>
        <v/>
      </c>
      <c r="C244">
        <f>'1 prepared data'!B237</f>
        <v/>
      </c>
      <c r="D244" s="7">
        <f>'1 prepared data'!C237</f>
        <v/>
      </c>
      <c r="E244" s="7">
        <f>'1 prepared data'!D237</f>
        <v/>
      </c>
      <c r="F244" s="7">
        <f>'1 prepared data'!E237</f>
        <v/>
      </c>
      <c r="G244" s="7">
        <f>'1 prepared data'!F237</f>
        <v/>
      </c>
      <c r="H244" s="7">
        <f>'1 prepared data'!G237</f>
        <v/>
      </c>
      <c r="I244" s="7">
        <f>'1 prepared data'!H237</f>
        <v/>
      </c>
      <c r="J244" s="7">
        <f>'1 prepared data'!I237</f>
        <v/>
      </c>
      <c r="K244" s="7">
        <f>'1 prepared data'!J237</f>
        <v/>
      </c>
      <c r="L244" s="7">
        <f>'1 prepared data'!K237</f>
        <v/>
      </c>
      <c r="M244" s="7">
        <f>'1 prepared data'!L237</f>
        <v/>
      </c>
      <c r="N244" s="7">
        <f>'1 prepared data'!M237</f>
        <v/>
      </c>
      <c r="O244" s="7">
        <f>'1 prepared data'!N237</f>
        <v/>
      </c>
      <c r="P244" s="7">
        <f>'1 prepared data'!O237</f>
        <v/>
      </c>
      <c r="Q244" s="7">
        <f>'1 prepared data'!P237</f>
        <v/>
      </c>
      <c r="R244" s="7">
        <f>'1 prepared data'!Q237</f>
        <v/>
      </c>
      <c r="S244" s="7">
        <f>'1 prepared data'!R237</f>
        <v/>
      </c>
      <c r="T244" s="7">
        <f>'1 prepared data'!S237</f>
        <v/>
      </c>
      <c r="U244" s="7">
        <f>'1 prepared data'!T237</f>
        <v/>
      </c>
      <c r="V244" s="8">
        <f>$AC$12+D244*$AC$13+E244*$AC$14+F244*$AC$15+G244*$AC$16+H244*$AC$17+I244*$AC$18+J244*$AC$19+K244*$AC$20+L244*$AC$21+M244*$AC$22+N244*$AC$23+O244*$AC$24+P244*$AC$25+Q244*$AC$26+R244*$AC$27+S244*$AC$28+T244*$AC$29+U244*$AC$30</f>
        <v/>
      </c>
      <c r="W244" s="8">
        <f>1/(1+EXP(-V244))</f>
        <v/>
      </c>
      <c r="X244" s="9">
        <f>-IF(C244=1,LN(W244),LN(1-W244))</f>
        <v/>
      </c>
      <c r="Y244" s="10">
        <f>IF(W244&gt;$AC$33,1,0)</f>
        <v/>
      </c>
      <c r="Z244">
        <f>IF(Y244=C244,1,0)</f>
        <v/>
      </c>
    </row>
    <row r="245">
      <c r="A245">
        <f>'1 prepared data'!A238</f>
        <v/>
      </c>
      <c r="B245" s="5">
        <f>'1 prepared data'!U238</f>
        <v/>
      </c>
      <c r="C245">
        <f>'1 prepared data'!B238</f>
        <v/>
      </c>
      <c r="D245" s="7">
        <f>'1 prepared data'!C238</f>
        <v/>
      </c>
      <c r="E245" s="7">
        <f>'1 prepared data'!D238</f>
        <v/>
      </c>
      <c r="F245" s="7">
        <f>'1 prepared data'!E238</f>
        <v/>
      </c>
      <c r="G245" s="7">
        <f>'1 prepared data'!F238</f>
        <v/>
      </c>
      <c r="H245" s="7">
        <f>'1 prepared data'!G238</f>
        <v/>
      </c>
      <c r="I245" s="7">
        <f>'1 prepared data'!H238</f>
        <v/>
      </c>
      <c r="J245" s="7">
        <f>'1 prepared data'!I238</f>
        <v/>
      </c>
      <c r="K245" s="7">
        <f>'1 prepared data'!J238</f>
        <v/>
      </c>
      <c r="L245" s="7">
        <f>'1 prepared data'!K238</f>
        <v/>
      </c>
      <c r="M245" s="7">
        <f>'1 prepared data'!L238</f>
        <v/>
      </c>
      <c r="N245" s="7">
        <f>'1 prepared data'!M238</f>
        <v/>
      </c>
      <c r="O245" s="7">
        <f>'1 prepared data'!N238</f>
        <v/>
      </c>
      <c r="P245" s="7">
        <f>'1 prepared data'!O238</f>
        <v/>
      </c>
      <c r="Q245" s="7">
        <f>'1 prepared data'!P238</f>
        <v/>
      </c>
      <c r="R245" s="7">
        <f>'1 prepared data'!Q238</f>
        <v/>
      </c>
      <c r="S245" s="7">
        <f>'1 prepared data'!R238</f>
        <v/>
      </c>
      <c r="T245" s="7">
        <f>'1 prepared data'!S238</f>
        <v/>
      </c>
      <c r="U245" s="7">
        <f>'1 prepared data'!T238</f>
        <v/>
      </c>
      <c r="V245" s="8">
        <f>$AC$12+D245*$AC$13+E245*$AC$14+F245*$AC$15+G245*$AC$16+H245*$AC$17+I245*$AC$18+J245*$AC$19+K245*$AC$20+L245*$AC$21+M245*$AC$22+N245*$AC$23+O245*$AC$24+P245*$AC$25+Q245*$AC$26+R245*$AC$27+S245*$AC$28+T245*$AC$29+U245*$AC$30</f>
        <v/>
      </c>
      <c r="W245" s="8">
        <f>1/(1+EXP(-V245))</f>
        <v/>
      </c>
      <c r="X245" s="9">
        <f>-IF(C245=1,LN(W245),LN(1-W245))</f>
        <v/>
      </c>
      <c r="Y245" s="10">
        <f>IF(W245&gt;$AC$33,1,0)</f>
        <v/>
      </c>
      <c r="Z245">
        <f>IF(Y245=C245,1,0)</f>
        <v/>
      </c>
    </row>
    <row r="246">
      <c r="A246">
        <f>'1 prepared data'!A239</f>
        <v/>
      </c>
      <c r="B246" s="5">
        <f>'1 prepared data'!U239</f>
        <v/>
      </c>
      <c r="C246">
        <f>'1 prepared data'!B239</f>
        <v/>
      </c>
      <c r="D246" s="7">
        <f>'1 prepared data'!C239</f>
        <v/>
      </c>
      <c r="E246" s="7">
        <f>'1 prepared data'!D239</f>
        <v/>
      </c>
      <c r="F246" s="7">
        <f>'1 prepared data'!E239</f>
        <v/>
      </c>
      <c r="G246" s="7">
        <f>'1 prepared data'!F239</f>
        <v/>
      </c>
      <c r="H246" s="7">
        <f>'1 prepared data'!G239</f>
        <v/>
      </c>
      <c r="I246" s="7">
        <f>'1 prepared data'!H239</f>
        <v/>
      </c>
      <c r="J246" s="7">
        <f>'1 prepared data'!I239</f>
        <v/>
      </c>
      <c r="K246" s="7">
        <f>'1 prepared data'!J239</f>
        <v/>
      </c>
      <c r="L246" s="7">
        <f>'1 prepared data'!K239</f>
        <v/>
      </c>
      <c r="M246" s="7">
        <f>'1 prepared data'!L239</f>
        <v/>
      </c>
      <c r="N246" s="7">
        <f>'1 prepared data'!M239</f>
        <v/>
      </c>
      <c r="O246" s="7">
        <f>'1 prepared data'!N239</f>
        <v/>
      </c>
      <c r="P246" s="7">
        <f>'1 prepared data'!O239</f>
        <v/>
      </c>
      <c r="Q246" s="7">
        <f>'1 prepared data'!P239</f>
        <v/>
      </c>
      <c r="R246" s="7">
        <f>'1 prepared data'!Q239</f>
        <v/>
      </c>
      <c r="S246" s="7">
        <f>'1 prepared data'!R239</f>
        <v/>
      </c>
      <c r="T246" s="7">
        <f>'1 prepared data'!S239</f>
        <v/>
      </c>
      <c r="U246" s="7">
        <f>'1 prepared data'!T239</f>
        <v/>
      </c>
      <c r="V246" s="8">
        <f>$AC$12+D246*$AC$13+E246*$AC$14+F246*$AC$15+G246*$AC$16+H246*$AC$17+I246*$AC$18+J246*$AC$19+K246*$AC$20+L246*$AC$21+M246*$AC$22+N246*$AC$23+O246*$AC$24+P246*$AC$25+Q246*$AC$26+R246*$AC$27+S246*$AC$28+T246*$AC$29+U246*$AC$30</f>
        <v/>
      </c>
      <c r="W246" s="8">
        <f>1/(1+EXP(-V246))</f>
        <v/>
      </c>
      <c r="X246" s="9">
        <f>-IF(C246=1,LN(W246),LN(1-W246))</f>
        <v/>
      </c>
      <c r="Y246" s="10">
        <f>IF(W246&gt;$AC$33,1,0)</f>
        <v/>
      </c>
      <c r="Z246">
        <f>IF(Y246=C246,1,0)</f>
        <v/>
      </c>
    </row>
    <row r="247">
      <c r="A247">
        <f>'1 prepared data'!A240</f>
        <v/>
      </c>
      <c r="B247" s="5">
        <f>'1 prepared data'!U240</f>
        <v/>
      </c>
      <c r="C247">
        <f>'1 prepared data'!B240</f>
        <v/>
      </c>
      <c r="D247" s="7">
        <f>'1 prepared data'!C240</f>
        <v/>
      </c>
      <c r="E247" s="7">
        <f>'1 prepared data'!D240</f>
        <v/>
      </c>
      <c r="F247" s="7">
        <f>'1 prepared data'!E240</f>
        <v/>
      </c>
      <c r="G247" s="7">
        <f>'1 prepared data'!F240</f>
        <v/>
      </c>
      <c r="H247" s="7">
        <f>'1 prepared data'!G240</f>
        <v/>
      </c>
      <c r="I247" s="7">
        <f>'1 prepared data'!H240</f>
        <v/>
      </c>
      <c r="J247" s="7">
        <f>'1 prepared data'!I240</f>
        <v/>
      </c>
      <c r="K247" s="7">
        <f>'1 prepared data'!J240</f>
        <v/>
      </c>
      <c r="L247" s="7">
        <f>'1 prepared data'!K240</f>
        <v/>
      </c>
      <c r="M247" s="7">
        <f>'1 prepared data'!L240</f>
        <v/>
      </c>
      <c r="N247" s="7">
        <f>'1 prepared data'!M240</f>
        <v/>
      </c>
      <c r="O247" s="7">
        <f>'1 prepared data'!N240</f>
        <v/>
      </c>
      <c r="P247" s="7">
        <f>'1 prepared data'!O240</f>
        <v/>
      </c>
      <c r="Q247" s="7">
        <f>'1 prepared data'!P240</f>
        <v/>
      </c>
      <c r="R247" s="7">
        <f>'1 prepared data'!Q240</f>
        <v/>
      </c>
      <c r="S247" s="7">
        <f>'1 prepared data'!R240</f>
        <v/>
      </c>
      <c r="T247" s="7">
        <f>'1 prepared data'!S240</f>
        <v/>
      </c>
      <c r="U247" s="7">
        <f>'1 prepared data'!T240</f>
        <v/>
      </c>
      <c r="V247" s="8">
        <f>$AC$12+D247*$AC$13+E247*$AC$14+F247*$AC$15+G247*$AC$16+H247*$AC$17+I247*$AC$18+J247*$AC$19+K247*$AC$20+L247*$AC$21+M247*$AC$22+N247*$AC$23+O247*$AC$24+P247*$AC$25+Q247*$AC$26+R247*$AC$27+S247*$AC$28+T247*$AC$29+U247*$AC$30</f>
        <v/>
      </c>
      <c r="W247" s="8">
        <f>1/(1+EXP(-V247))</f>
        <v/>
      </c>
      <c r="X247" s="9">
        <f>-IF(C247=1,LN(W247),LN(1-W247))</f>
        <v/>
      </c>
      <c r="Y247" s="10">
        <f>IF(W247&gt;$AC$33,1,0)</f>
        <v/>
      </c>
      <c r="Z247">
        <f>IF(Y247=C247,1,0)</f>
        <v/>
      </c>
    </row>
    <row r="248">
      <c r="A248">
        <f>'1 prepared data'!A241</f>
        <v/>
      </c>
      <c r="B248" s="5">
        <f>'1 prepared data'!U241</f>
        <v/>
      </c>
      <c r="C248">
        <f>'1 prepared data'!B241</f>
        <v/>
      </c>
      <c r="D248" s="7">
        <f>'1 prepared data'!C241</f>
        <v/>
      </c>
      <c r="E248" s="7">
        <f>'1 prepared data'!D241</f>
        <v/>
      </c>
      <c r="F248" s="7">
        <f>'1 prepared data'!E241</f>
        <v/>
      </c>
      <c r="G248" s="7">
        <f>'1 prepared data'!F241</f>
        <v/>
      </c>
      <c r="H248" s="7">
        <f>'1 prepared data'!G241</f>
        <v/>
      </c>
      <c r="I248" s="7">
        <f>'1 prepared data'!H241</f>
        <v/>
      </c>
      <c r="J248" s="7">
        <f>'1 prepared data'!I241</f>
        <v/>
      </c>
      <c r="K248" s="7">
        <f>'1 prepared data'!J241</f>
        <v/>
      </c>
      <c r="L248" s="7">
        <f>'1 prepared data'!K241</f>
        <v/>
      </c>
      <c r="M248" s="7">
        <f>'1 prepared data'!L241</f>
        <v/>
      </c>
      <c r="N248" s="7">
        <f>'1 prepared data'!M241</f>
        <v/>
      </c>
      <c r="O248" s="7">
        <f>'1 prepared data'!N241</f>
        <v/>
      </c>
      <c r="P248" s="7">
        <f>'1 prepared data'!O241</f>
        <v/>
      </c>
      <c r="Q248" s="7">
        <f>'1 prepared data'!P241</f>
        <v/>
      </c>
      <c r="R248" s="7">
        <f>'1 prepared data'!Q241</f>
        <v/>
      </c>
      <c r="S248" s="7">
        <f>'1 prepared data'!R241</f>
        <v/>
      </c>
      <c r="T248" s="7">
        <f>'1 prepared data'!S241</f>
        <v/>
      </c>
      <c r="U248" s="7">
        <f>'1 prepared data'!T241</f>
        <v/>
      </c>
      <c r="V248" s="8">
        <f>$AC$12+D248*$AC$13+E248*$AC$14+F248*$AC$15+G248*$AC$16+H248*$AC$17+I248*$AC$18+J248*$AC$19+K248*$AC$20+L248*$AC$21+M248*$AC$22+N248*$AC$23+O248*$AC$24+P248*$AC$25+Q248*$AC$26+R248*$AC$27+S248*$AC$28+T248*$AC$29+U248*$AC$30</f>
        <v/>
      </c>
      <c r="W248" s="8">
        <f>1/(1+EXP(-V248))</f>
        <v/>
      </c>
      <c r="X248" s="9">
        <f>-IF(C248=1,LN(W248),LN(1-W248))</f>
        <v/>
      </c>
      <c r="Y248" s="10">
        <f>IF(W248&gt;$AC$33,1,0)</f>
        <v/>
      </c>
      <c r="Z248">
        <f>IF(Y248=C248,1,0)</f>
        <v/>
      </c>
    </row>
    <row r="249">
      <c r="A249">
        <f>'1 prepared data'!A242</f>
        <v/>
      </c>
      <c r="B249" s="5">
        <f>'1 prepared data'!U242</f>
        <v/>
      </c>
      <c r="C249">
        <f>'1 prepared data'!B242</f>
        <v/>
      </c>
      <c r="D249" s="7">
        <f>'1 prepared data'!C242</f>
        <v/>
      </c>
      <c r="E249" s="7">
        <f>'1 prepared data'!D242</f>
        <v/>
      </c>
      <c r="F249" s="7">
        <f>'1 prepared data'!E242</f>
        <v/>
      </c>
      <c r="G249" s="7">
        <f>'1 prepared data'!F242</f>
        <v/>
      </c>
      <c r="H249" s="7">
        <f>'1 prepared data'!G242</f>
        <v/>
      </c>
      <c r="I249" s="7">
        <f>'1 prepared data'!H242</f>
        <v/>
      </c>
      <c r="J249" s="7">
        <f>'1 prepared data'!I242</f>
        <v/>
      </c>
      <c r="K249" s="7">
        <f>'1 prepared data'!J242</f>
        <v/>
      </c>
      <c r="L249" s="7">
        <f>'1 prepared data'!K242</f>
        <v/>
      </c>
      <c r="M249" s="7">
        <f>'1 prepared data'!L242</f>
        <v/>
      </c>
      <c r="N249" s="7">
        <f>'1 prepared data'!M242</f>
        <v/>
      </c>
      <c r="O249" s="7">
        <f>'1 prepared data'!N242</f>
        <v/>
      </c>
      <c r="P249" s="7">
        <f>'1 prepared data'!O242</f>
        <v/>
      </c>
      <c r="Q249" s="7">
        <f>'1 prepared data'!P242</f>
        <v/>
      </c>
      <c r="R249" s="7">
        <f>'1 prepared data'!Q242</f>
        <v/>
      </c>
      <c r="S249" s="7">
        <f>'1 prepared data'!R242</f>
        <v/>
      </c>
      <c r="T249" s="7">
        <f>'1 prepared data'!S242</f>
        <v/>
      </c>
      <c r="U249" s="7">
        <f>'1 prepared data'!T242</f>
        <v/>
      </c>
      <c r="V249" s="8">
        <f>$AC$12+D249*$AC$13+E249*$AC$14+F249*$AC$15+G249*$AC$16+H249*$AC$17+I249*$AC$18+J249*$AC$19+K249*$AC$20+L249*$AC$21+M249*$AC$22+N249*$AC$23+O249*$AC$24+P249*$AC$25+Q249*$AC$26+R249*$AC$27+S249*$AC$28+T249*$AC$29+U249*$AC$30</f>
        <v/>
      </c>
      <c r="W249" s="8">
        <f>1/(1+EXP(-V249))</f>
        <v/>
      </c>
      <c r="X249" s="9">
        <f>-IF(C249=1,LN(W249),LN(1-W249))</f>
        <v/>
      </c>
      <c r="Y249" s="10">
        <f>IF(W249&gt;$AC$33,1,0)</f>
        <v/>
      </c>
      <c r="Z249">
        <f>IF(Y249=C249,1,0)</f>
        <v/>
      </c>
    </row>
    <row r="250">
      <c r="A250">
        <f>'1 prepared data'!A243</f>
        <v/>
      </c>
      <c r="B250" s="5">
        <f>'1 prepared data'!U243</f>
        <v/>
      </c>
      <c r="C250">
        <f>'1 prepared data'!B243</f>
        <v/>
      </c>
      <c r="D250" s="7">
        <f>'1 prepared data'!C243</f>
        <v/>
      </c>
      <c r="E250" s="7">
        <f>'1 prepared data'!D243</f>
        <v/>
      </c>
      <c r="F250" s="7">
        <f>'1 prepared data'!E243</f>
        <v/>
      </c>
      <c r="G250" s="7">
        <f>'1 prepared data'!F243</f>
        <v/>
      </c>
      <c r="H250" s="7">
        <f>'1 prepared data'!G243</f>
        <v/>
      </c>
      <c r="I250" s="7">
        <f>'1 prepared data'!H243</f>
        <v/>
      </c>
      <c r="J250" s="7">
        <f>'1 prepared data'!I243</f>
        <v/>
      </c>
      <c r="K250" s="7">
        <f>'1 prepared data'!J243</f>
        <v/>
      </c>
      <c r="L250" s="7">
        <f>'1 prepared data'!K243</f>
        <v/>
      </c>
      <c r="M250" s="7">
        <f>'1 prepared data'!L243</f>
        <v/>
      </c>
      <c r="N250" s="7">
        <f>'1 prepared data'!M243</f>
        <v/>
      </c>
      <c r="O250" s="7">
        <f>'1 prepared data'!N243</f>
        <v/>
      </c>
      <c r="P250" s="7">
        <f>'1 prepared data'!O243</f>
        <v/>
      </c>
      <c r="Q250" s="7">
        <f>'1 prepared data'!P243</f>
        <v/>
      </c>
      <c r="R250" s="7">
        <f>'1 prepared data'!Q243</f>
        <v/>
      </c>
      <c r="S250" s="7">
        <f>'1 prepared data'!R243</f>
        <v/>
      </c>
      <c r="T250" s="7">
        <f>'1 prepared data'!S243</f>
        <v/>
      </c>
      <c r="U250" s="7">
        <f>'1 prepared data'!T243</f>
        <v/>
      </c>
      <c r="V250" s="8">
        <f>$AC$12+D250*$AC$13+E250*$AC$14+F250*$AC$15+G250*$AC$16+H250*$AC$17+I250*$AC$18+J250*$AC$19+K250*$AC$20+L250*$AC$21+M250*$AC$22+N250*$AC$23+O250*$AC$24+P250*$AC$25+Q250*$AC$26+R250*$AC$27+S250*$AC$28+T250*$AC$29+U250*$AC$30</f>
        <v/>
      </c>
      <c r="W250" s="8">
        <f>1/(1+EXP(-V250))</f>
        <v/>
      </c>
      <c r="X250" s="9">
        <f>-IF(C250=1,LN(W250),LN(1-W250))</f>
        <v/>
      </c>
      <c r="Y250" s="10">
        <f>IF(W250&gt;$AC$33,1,0)</f>
        <v/>
      </c>
      <c r="Z250">
        <f>IF(Y250=C250,1,0)</f>
        <v/>
      </c>
    </row>
    <row r="251">
      <c r="A251">
        <f>'1 prepared data'!A244</f>
        <v/>
      </c>
      <c r="B251" s="5">
        <f>'1 prepared data'!U244</f>
        <v/>
      </c>
      <c r="C251">
        <f>'1 prepared data'!B244</f>
        <v/>
      </c>
      <c r="D251" s="7">
        <f>'1 prepared data'!C244</f>
        <v/>
      </c>
      <c r="E251" s="7">
        <f>'1 prepared data'!D244</f>
        <v/>
      </c>
      <c r="F251" s="7">
        <f>'1 prepared data'!E244</f>
        <v/>
      </c>
      <c r="G251" s="7">
        <f>'1 prepared data'!F244</f>
        <v/>
      </c>
      <c r="H251" s="7">
        <f>'1 prepared data'!G244</f>
        <v/>
      </c>
      <c r="I251" s="7">
        <f>'1 prepared data'!H244</f>
        <v/>
      </c>
      <c r="J251" s="7">
        <f>'1 prepared data'!I244</f>
        <v/>
      </c>
      <c r="K251" s="7">
        <f>'1 prepared data'!J244</f>
        <v/>
      </c>
      <c r="L251" s="7">
        <f>'1 prepared data'!K244</f>
        <v/>
      </c>
      <c r="M251" s="7">
        <f>'1 prepared data'!L244</f>
        <v/>
      </c>
      <c r="N251" s="7">
        <f>'1 prepared data'!M244</f>
        <v/>
      </c>
      <c r="O251" s="7">
        <f>'1 prepared data'!N244</f>
        <v/>
      </c>
      <c r="P251" s="7">
        <f>'1 prepared data'!O244</f>
        <v/>
      </c>
      <c r="Q251" s="7">
        <f>'1 prepared data'!P244</f>
        <v/>
      </c>
      <c r="R251" s="7">
        <f>'1 prepared data'!Q244</f>
        <v/>
      </c>
      <c r="S251" s="7">
        <f>'1 prepared data'!R244</f>
        <v/>
      </c>
      <c r="T251" s="7">
        <f>'1 prepared data'!S244</f>
        <v/>
      </c>
      <c r="U251" s="7">
        <f>'1 prepared data'!T244</f>
        <v/>
      </c>
      <c r="V251" s="8">
        <f>$AC$12+D251*$AC$13+E251*$AC$14+F251*$AC$15+G251*$AC$16+H251*$AC$17+I251*$AC$18+J251*$AC$19+K251*$AC$20+L251*$AC$21+M251*$AC$22+N251*$AC$23+O251*$AC$24+P251*$AC$25+Q251*$AC$26+R251*$AC$27+S251*$AC$28+T251*$AC$29+U251*$AC$30</f>
        <v/>
      </c>
      <c r="W251" s="8">
        <f>1/(1+EXP(-V251))</f>
        <v/>
      </c>
      <c r="X251" s="9">
        <f>-IF(C251=1,LN(W251),LN(1-W251))</f>
        <v/>
      </c>
      <c r="Y251" s="10">
        <f>IF(W251&gt;$AC$33,1,0)</f>
        <v/>
      </c>
      <c r="Z251">
        <f>IF(Y251=C251,1,0)</f>
        <v/>
      </c>
    </row>
    <row r="252">
      <c r="A252">
        <f>'1 prepared data'!A245</f>
        <v/>
      </c>
      <c r="B252" s="5">
        <f>'1 prepared data'!U245</f>
        <v/>
      </c>
      <c r="C252">
        <f>'1 prepared data'!B245</f>
        <v/>
      </c>
      <c r="D252" s="7">
        <f>'1 prepared data'!C245</f>
        <v/>
      </c>
      <c r="E252" s="7">
        <f>'1 prepared data'!D245</f>
        <v/>
      </c>
      <c r="F252" s="7">
        <f>'1 prepared data'!E245</f>
        <v/>
      </c>
      <c r="G252" s="7">
        <f>'1 prepared data'!F245</f>
        <v/>
      </c>
      <c r="H252" s="7">
        <f>'1 prepared data'!G245</f>
        <v/>
      </c>
      <c r="I252" s="7">
        <f>'1 prepared data'!H245</f>
        <v/>
      </c>
      <c r="J252" s="7">
        <f>'1 prepared data'!I245</f>
        <v/>
      </c>
      <c r="K252" s="7">
        <f>'1 prepared data'!J245</f>
        <v/>
      </c>
      <c r="L252" s="7">
        <f>'1 prepared data'!K245</f>
        <v/>
      </c>
      <c r="M252" s="7">
        <f>'1 prepared data'!L245</f>
        <v/>
      </c>
      <c r="N252" s="7">
        <f>'1 prepared data'!M245</f>
        <v/>
      </c>
      <c r="O252" s="7">
        <f>'1 prepared data'!N245</f>
        <v/>
      </c>
      <c r="P252" s="7">
        <f>'1 prepared data'!O245</f>
        <v/>
      </c>
      <c r="Q252" s="7">
        <f>'1 prepared data'!P245</f>
        <v/>
      </c>
      <c r="R252" s="7">
        <f>'1 prepared data'!Q245</f>
        <v/>
      </c>
      <c r="S252" s="7">
        <f>'1 prepared data'!R245</f>
        <v/>
      </c>
      <c r="T252" s="7">
        <f>'1 prepared data'!S245</f>
        <v/>
      </c>
      <c r="U252" s="7">
        <f>'1 prepared data'!T245</f>
        <v/>
      </c>
      <c r="V252" s="8">
        <f>$AC$12+D252*$AC$13+E252*$AC$14+F252*$AC$15+G252*$AC$16+H252*$AC$17+I252*$AC$18+J252*$AC$19+K252*$AC$20+L252*$AC$21+M252*$AC$22+N252*$AC$23+O252*$AC$24+P252*$AC$25+Q252*$AC$26+R252*$AC$27+S252*$AC$28+T252*$AC$29+U252*$AC$30</f>
        <v/>
      </c>
      <c r="W252" s="8">
        <f>1/(1+EXP(-V252))</f>
        <v/>
      </c>
      <c r="X252" s="9">
        <f>-IF(C252=1,LN(W252),LN(1-W252))</f>
        <v/>
      </c>
      <c r="Y252" s="10">
        <f>IF(W252&gt;$AC$33,1,0)</f>
        <v/>
      </c>
      <c r="Z252">
        <f>IF(Y252=C252,1,0)</f>
        <v/>
      </c>
    </row>
    <row r="253">
      <c r="A253">
        <f>'1 prepared data'!A246</f>
        <v/>
      </c>
      <c r="B253" s="5">
        <f>'1 prepared data'!U246</f>
        <v/>
      </c>
      <c r="C253">
        <f>'1 prepared data'!B246</f>
        <v/>
      </c>
      <c r="D253" s="7">
        <f>'1 prepared data'!C246</f>
        <v/>
      </c>
      <c r="E253" s="7">
        <f>'1 prepared data'!D246</f>
        <v/>
      </c>
      <c r="F253" s="7">
        <f>'1 prepared data'!E246</f>
        <v/>
      </c>
      <c r="G253" s="7">
        <f>'1 prepared data'!F246</f>
        <v/>
      </c>
      <c r="H253" s="7">
        <f>'1 prepared data'!G246</f>
        <v/>
      </c>
      <c r="I253" s="7">
        <f>'1 prepared data'!H246</f>
        <v/>
      </c>
      <c r="J253" s="7">
        <f>'1 prepared data'!I246</f>
        <v/>
      </c>
      <c r="K253" s="7">
        <f>'1 prepared data'!J246</f>
        <v/>
      </c>
      <c r="L253" s="7">
        <f>'1 prepared data'!K246</f>
        <v/>
      </c>
      <c r="M253" s="7">
        <f>'1 prepared data'!L246</f>
        <v/>
      </c>
      <c r="N253" s="7">
        <f>'1 prepared data'!M246</f>
        <v/>
      </c>
      <c r="O253" s="7">
        <f>'1 prepared data'!N246</f>
        <v/>
      </c>
      <c r="P253" s="7">
        <f>'1 prepared data'!O246</f>
        <v/>
      </c>
      <c r="Q253" s="7">
        <f>'1 prepared data'!P246</f>
        <v/>
      </c>
      <c r="R253" s="7">
        <f>'1 prepared data'!Q246</f>
        <v/>
      </c>
      <c r="S253" s="7">
        <f>'1 prepared data'!R246</f>
        <v/>
      </c>
      <c r="T253" s="7">
        <f>'1 prepared data'!S246</f>
        <v/>
      </c>
      <c r="U253" s="7">
        <f>'1 prepared data'!T246</f>
        <v/>
      </c>
      <c r="V253" s="8">
        <f>$AC$12+D253*$AC$13+E253*$AC$14+F253*$AC$15+G253*$AC$16+H253*$AC$17+I253*$AC$18+J253*$AC$19+K253*$AC$20+L253*$AC$21+M253*$AC$22+N253*$AC$23+O253*$AC$24+P253*$AC$25+Q253*$AC$26+R253*$AC$27+S253*$AC$28+T253*$AC$29+U253*$AC$30</f>
        <v/>
      </c>
      <c r="W253" s="8">
        <f>1/(1+EXP(-V253))</f>
        <v/>
      </c>
      <c r="X253" s="9">
        <f>-IF(C253=1,LN(W253),LN(1-W253))</f>
        <v/>
      </c>
      <c r="Y253" s="10">
        <f>IF(W253&gt;$AC$33,1,0)</f>
        <v/>
      </c>
      <c r="Z253">
        <f>IF(Y253=C253,1,0)</f>
        <v/>
      </c>
    </row>
    <row r="254">
      <c r="A254">
        <f>'1 prepared data'!A247</f>
        <v/>
      </c>
      <c r="B254" s="5">
        <f>'1 prepared data'!U247</f>
        <v/>
      </c>
      <c r="C254">
        <f>'1 prepared data'!B247</f>
        <v/>
      </c>
      <c r="D254" s="7">
        <f>'1 prepared data'!C247</f>
        <v/>
      </c>
      <c r="E254" s="7">
        <f>'1 prepared data'!D247</f>
        <v/>
      </c>
      <c r="F254" s="7">
        <f>'1 prepared data'!E247</f>
        <v/>
      </c>
      <c r="G254" s="7">
        <f>'1 prepared data'!F247</f>
        <v/>
      </c>
      <c r="H254" s="7">
        <f>'1 prepared data'!G247</f>
        <v/>
      </c>
      <c r="I254" s="7">
        <f>'1 prepared data'!H247</f>
        <v/>
      </c>
      <c r="J254" s="7">
        <f>'1 prepared data'!I247</f>
        <v/>
      </c>
      <c r="K254" s="7">
        <f>'1 prepared data'!J247</f>
        <v/>
      </c>
      <c r="L254" s="7">
        <f>'1 prepared data'!K247</f>
        <v/>
      </c>
      <c r="M254" s="7">
        <f>'1 prepared data'!L247</f>
        <v/>
      </c>
      <c r="N254" s="7">
        <f>'1 prepared data'!M247</f>
        <v/>
      </c>
      <c r="O254" s="7">
        <f>'1 prepared data'!N247</f>
        <v/>
      </c>
      <c r="P254" s="7">
        <f>'1 prepared data'!O247</f>
        <v/>
      </c>
      <c r="Q254" s="7">
        <f>'1 prepared data'!P247</f>
        <v/>
      </c>
      <c r="R254" s="7">
        <f>'1 prepared data'!Q247</f>
        <v/>
      </c>
      <c r="S254" s="7">
        <f>'1 prepared data'!R247</f>
        <v/>
      </c>
      <c r="T254" s="7">
        <f>'1 prepared data'!S247</f>
        <v/>
      </c>
      <c r="U254" s="7">
        <f>'1 prepared data'!T247</f>
        <v/>
      </c>
      <c r="V254" s="8">
        <f>$AC$12+D254*$AC$13+E254*$AC$14+F254*$AC$15+G254*$AC$16+H254*$AC$17+I254*$AC$18+J254*$AC$19+K254*$AC$20+L254*$AC$21+M254*$AC$22+N254*$AC$23+O254*$AC$24+P254*$AC$25+Q254*$AC$26+R254*$AC$27+S254*$AC$28+T254*$AC$29+U254*$AC$30</f>
        <v/>
      </c>
      <c r="W254" s="8">
        <f>1/(1+EXP(-V254))</f>
        <v/>
      </c>
      <c r="X254" s="9">
        <f>-IF(C254=1,LN(W254),LN(1-W254))</f>
        <v/>
      </c>
      <c r="Y254" s="10">
        <f>IF(W254&gt;$AC$33,1,0)</f>
        <v/>
      </c>
      <c r="Z254">
        <f>IF(Y254=C254,1,0)</f>
        <v/>
      </c>
    </row>
    <row r="255">
      <c r="A255">
        <f>'1 prepared data'!A248</f>
        <v/>
      </c>
      <c r="B255" s="5">
        <f>'1 prepared data'!U248</f>
        <v/>
      </c>
      <c r="C255">
        <f>'1 prepared data'!B248</f>
        <v/>
      </c>
      <c r="D255" s="7">
        <f>'1 prepared data'!C248</f>
        <v/>
      </c>
      <c r="E255" s="7">
        <f>'1 prepared data'!D248</f>
        <v/>
      </c>
      <c r="F255" s="7">
        <f>'1 prepared data'!E248</f>
        <v/>
      </c>
      <c r="G255" s="7">
        <f>'1 prepared data'!F248</f>
        <v/>
      </c>
      <c r="H255" s="7">
        <f>'1 prepared data'!G248</f>
        <v/>
      </c>
      <c r="I255" s="7">
        <f>'1 prepared data'!H248</f>
        <v/>
      </c>
      <c r="J255" s="7">
        <f>'1 prepared data'!I248</f>
        <v/>
      </c>
      <c r="K255" s="7">
        <f>'1 prepared data'!J248</f>
        <v/>
      </c>
      <c r="L255" s="7">
        <f>'1 prepared data'!K248</f>
        <v/>
      </c>
      <c r="M255" s="7">
        <f>'1 prepared data'!L248</f>
        <v/>
      </c>
      <c r="N255" s="7">
        <f>'1 prepared data'!M248</f>
        <v/>
      </c>
      <c r="O255" s="7">
        <f>'1 prepared data'!N248</f>
        <v/>
      </c>
      <c r="P255" s="7">
        <f>'1 prepared data'!O248</f>
        <v/>
      </c>
      <c r="Q255" s="7">
        <f>'1 prepared data'!P248</f>
        <v/>
      </c>
      <c r="R255" s="7">
        <f>'1 prepared data'!Q248</f>
        <v/>
      </c>
      <c r="S255" s="7">
        <f>'1 prepared data'!R248</f>
        <v/>
      </c>
      <c r="T255" s="7">
        <f>'1 prepared data'!S248</f>
        <v/>
      </c>
      <c r="U255" s="7">
        <f>'1 prepared data'!T248</f>
        <v/>
      </c>
      <c r="V255" s="8">
        <f>$AC$12+D255*$AC$13+E255*$AC$14+F255*$AC$15+G255*$AC$16+H255*$AC$17+I255*$AC$18+J255*$AC$19+K255*$AC$20+L255*$AC$21+M255*$AC$22+N255*$AC$23+O255*$AC$24+P255*$AC$25+Q255*$AC$26+R255*$AC$27+S255*$AC$28+T255*$AC$29+U255*$AC$30</f>
        <v/>
      </c>
      <c r="W255" s="8">
        <f>1/(1+EXP(-V255))</f>
        <v/>
      </c>
      <c r="X255" s="9">
        <f>-IF(C255=1,LN(W255),LN(1-W255))</f>
        <v/>
      </c>
      <c r="Y255" s="10">
        <f>IF(W255&gt;$AC$33,1,0)</f>
        <v/>
      </c>
      <c r="Z255">
        <f>IF(Y255=C255,1,0)</f>
        <v/>
      </c>
    </row>
    <row r="256">
      <c r="A256">
        <f>'1 prepared data'!A249</f>
        <v/>
      </c>
      <c r="B256" s="5">
        <f>'1 prepared data'!U249</f>
        <v/>
      </c>
      <c r="C256">
        <f>'1 prepared data'!B249</f>
        <v/>
      </c>
      <c r="D256" s="7">
        <f>'1 prepared data'!C249</f>
        <v/>
      </c>
      <c r="E256" s="7">
        <f>'1 prepared data'!D249</f>
        <v/>
      </c>
      <c r="F256" s="7">
        <f>'1 prepared data'!E249</f>
        <v/>
      </c>
      <c r="G256" s="7">
        <f>'1 prepared data'!F249</f>
        <v/>
      </c>
      <c r="H256" s="7">
        <f>'1 prepared data'!G249</f>
        <v/>
      </c>
      <c r="I256" s="7">
        <f>'1 prepared data'!H249</f>
        <v/>
      </c>
      <c r="J256" s="7">
        <f>'1 prepared data'!I249</f>
        <v/>
      </c>
      <c r="K256" s="7">
        <f>'1 prepared data'!J249</f>
        <v/>
      </c>
      <c r="L256" s="7">
        <f>'1 prepared data'!K249</f>
        <v/>
      </c>
      <c r="M256" s="7">
        <f>'1 prepared data'!L249</f>
        <v/>
      </c>
      <c r="N256" s="7">
        <f>'1 prepared data'!M249</f>
        <v/>
      </c>
      <c r="O256" s="7">
        <f>'1 prepared data'!N249</f>
        <v/>
      </c>
      <c r="P256" s="7">
        <f>'1 prepared data'!O249</f>
        <v/>
      </c>
      <c r="Q256" s="7">
        <f>'1 prepared data'!P249</f>
        <v/>
      </c>
      <c r="R256" s="7">
        <f>'1 prepared data'!Q249</f>
        <v/>
      </c>
      <c r="S256" s="7">
        <f>'1 prepared data'!R249</f>
        <v/>
      </c>
      <c r="T256" s="7">
        <f>'1 prepared data'!S249</f>
        <v/>
      </c>
      <c r="U256" s="7">
        <f>'1 prepared data'!T249</f>
        <v/>
      </c>
      <c r="V256" s="8">
        <f>$AC$12+D256*$AC$13+E256*$AC$14+F256*$AC$15+G256*$AC$16+H256*$AC$17+I256*$AC$18+J256*$AC$19+K256*$AC$20+L256*$AC$21+M256*$AC$22+N256*$AC$23+O256*$AC$24+P256*$AC$25+Q256*$AC$26+R256*$AC$27+S256*$AC$28+T256*$AC$29+U256*$AC$30</f>
        <v/>
      </c>
      <c r="W256" s="8">
        <f>1/(1+EXP(-V256))</f>
        <v/>
      </c>
      <c r="X256" s="9">
        <f>-IF(C256=1,LN(W256),LN(1-W256))</f>
        <v/>
      </c>
      <c r="Y256" s="10">
        <f>IF(W256&gt;$AC$33,1,0)</f>
        <v/>
      </c>
      <c r="Z256">
        <f>IF(Y256=C256,1,0)</f>
        <v/>
      </c>
    </row>
    <row r="257">
      <c r="A257">
        <f>'1 prepared data'!A250</f>
        <v/>
      </c>
      <c r="B257" s="5">
        <f>'1 prepared data'!U250</f>
        <v/>
      </c>
      <c r="C257">
        <f>'1 prepared data'!B250</f>
        <v/>
      </c>
      <c r="D257" s="7">
        <f>'1 prepared data'!C250</f>
        <v/>
      </c>
      <c r="E257" s="7">
        <f>'1 prepared data'!D250</f>
        <v/>
      </c>
      <c r="F257" s="7">
        <f>'1 prepared data'!E250</f>
        <v/>
      </c>
      <c r="G257" s="7">
        <f>'1 prepared data'!F250</f>
        <v/>
      </c>
      <c r="H257" s="7">
        <f>'1 prepared data'!G250</f>
        <v/>
      </c>
      <c r="I257" s="7">
        <f>'1 prepared data'!H250</f>
        <v/>
      </c>
      <c r="J257" s="7">
        <f>'1 prepared data'!I250</f>
        <v/>
      </c>
      <c r="K257" s="7">
        <f>'1 prepared data'!J250</f>
        <v/>
      </c>
      <c r="L257" s="7">
        <f>'1 prepared data'!K250</f>
        <v/>
      </c>
      <c r="M257" s="7">
        <f>'1 prepared data'!L250</f>
        <v/>
      </c>
      <c r="N257" s="7">
        <f>'1 prepared data'!M250</f>
        <v/>
      </c>
      <c r="O257" s="7">
        <f>'1 prepared data'!N250</f>
        <v/>
      </c>
      <c r="P257" s="7">
        <f>'1 prepared data'!O250</f>
        <v/>
      </c>
      <c r="Q257" s="7">
        <f>'1 prepared data'!P250</f>
        <v/>
      </c>
      <c r="R257" s="7">
        <f>'1 prepared data'!Q250</f>
        <v/>
      </c>
      <c r="S257" s="7">
        <f>'1 prepared data'!R250</f>
        <v/>
      </c>
      <c r="T257" s="7">
        <f>'1 prepared data'!S250</f>
        <v/>
      </c>
      <c r="U257" s="7">
        <f>'1 prepared data'!T250</f>
        <v/>
      </c>
      <c r="V257" s="8">
        <f>$AC$12+D257*$AC$13+E257*$AC$14+F257*$AC$15+G257*$AC$16+H257*$AC$17+I257*$AC$18+J257*$AC$19+K257*$AC$20+L257*$AC$21+M257*$AC$22+N257*$AC$23+O257*$AC$24+P257*$AC$25+Q257*$AC$26+R257*$AC$27+S257*$AC$28+T257*$AC$29+U257*$AC$30</f>
        <v/>
      </c>
      <c r="W257" s="8">
        <f>1/(1+EXP(-V257))</f>
        <v/>
      </c>
      <c r="X257" s="9">
        <f>-IF(C257=1,LN(W257),LN(1-W257))</f>
        <v/>
      </c>
      <c r="Y257" s="10">
        <f>IF(W257&gt;$AC$33,1,0)</f>
        <v/>
      </c>
      <c r="Z257">
        <f>IF(Y257=C257,1,0)</f>
        <v/>
      </c>
    </row>
    <row r="258">
      <c r="A258">
        <f>'1 prepared data'!A251</f>
        <v/>
      </c>
      <c r="B258" s="5">
        <f>'1 prepared data'!U251</f>
        <v/>
      </c>
      <c r="C258">
        <f>'1 prepared data'!B251</f>
        <v/>
      </c>
      <c r="D258" s="7">
        <f>'1 prepared data'!C251</f>
        <v/>
      </c>
      <c r="E258" s="7">
        <f>'1 prepared data'!D251</f>
        <v/>
      </c>
      <c r="F258" s="7">
        <f>'1 prepared data'!E251</f>
        <v/>
      </c>
      <c r="G258" s="7">
        <f>'1 prepared data'!F251</f>
        <v/>
      </c>
      <c r="H258" s="7">
        <f>'1 prepared data'!G251</f>
        <v/>
      </c>
      <c r="I258" s="7">
        <f>'1 prepared data'!H251</f>
        <v/>
      </c>
      <c r="J258" s="7">
        <f>'1 prepared data'!I251</f>
        <v/>
      </c>
      <c r="K258" s="7">
        <f>'1 prepared data'!J251</f>
        <v/>
      </c>
      <c r="L258" s="7">
        <f>'1 prepared data'!K251</f>
        <v/>
      </c>
      <c r="M258" s="7">
        <f>'1 prepared data'!L251</f>
        <v/>
      </c>
      <c r="N258" s="7">
        <f>'1 prepared data'!M251</f>
        <v/>
      </c>
      <c r="O258" s="7">
        <f>'1 prepared data'!N251</f>
        <v/>
      </c>
      <c r="P258" s="7">
        <f>'1 prepared data'!O251</f>
        <v/>
      </c>
      <c r="Q258" s="7">
        <f>'1 prepared data'!P251</f>
        <v/>
      </c>
      <c r="R258" s="7">
        <f>'1 prepared data'!Q251</f>
        <v/>
      </c>
      <c r="S258" s="7">
        <f>'1 prepared data'!R251</f>
        <v/>
      </c>
      <c r="T258" s="7">
        <f>'1 prepared data'!S251</f>
        <v/>
      </c>
      <c r="U258" s="7">
        <f>'1 prepared data'!T251</f>
        <v/>
      </c>
      <c r="V258" s="8">
        <f>$AC$12+D258*$AC$13+E258*$AC$14+F258*$AC$15+G258*$AC$16+H258*$AC$17+I258*$AC$18+J258*$AC$19+K258*$AC$20+L258*$AC$21+M258*$AC$22+N258*$AC$23+O258*$AC$24+P258*$AC$25+Q258*$AC$26+R258*$AC$27+S258*$AC$28+T258*$AC$29+U258*$AC$30</f>
        <v/>
      </c>
      <c r="W258" s="8">
        <f>1/(1+EXP(-V258))</f>
        <v/>
      </c>
      <c r="X258" s="9">
        <f>-IF(C258=1,LN(W258),LN(1-W258))</f>
        <v/>
      </c>
      <c r="Y258" s="10">
        <f>IF(W258&gt;$AC$33,1,0)</f>
        <v/>
      </c>
      <c r="Z258">
        <f>IF(Y258=C258,1,0)</f>
        <v/>
      </c>
    </row>
    <row r="259">
      <c r="A259">
        <f>'1 prepared data'!A252</f>
        <v/>
      </c>
      <c r="B259" s="5">
        <f>'1 prepared data'!U252</f>
        <v/>
      </c>
      <c r="C259">
        <f>'1 prepared data'!B252</f>
        <v/>
      </c>
      <c r="D259" s="7">
        <f>'1 prepared data'!C252</f>
        <v/>
      </c>
      <c r="E259" s="7">
        <f>'1 prepared data'!D252</f>
        <v/>
      </c>
      <c r="F259" s="7">
        <f>'1 prepared data'!E252</f>
        <v/>
      </c>
      <c r="G259" s="7">
        <f>'1 prepared data'!F252</f>
        <v/>
      </c>
      <c r="H259" s="7">
        <f>'1 prepared data'!G252</f>
        <v/>
      </c>
      <c r="I259" s="7">
        <f>'1 prepared data'!H252</f>
        <v/>
      </c>
      <c r="J259" s="7">
        <f>'1 prepared data'!I252</f>
        <v/>
      </c>
      <c r="K259" s="7">
        <f>'1 prepared data'!J252</f>
        <v/>
      </c>
      <c r="L259" s="7">
        <f>'1 prepared data'!K252</f>
        <v/>
      </c>
      <c r="M259" s="7">
        <f>'1 prepared data'!L252</f>
        <v/>
      </c>
      <c r="N259" s="7">
        <f>'1 prepared data'!M252</f>
        <v/>
      </c>
      <c r="O259" s="7">
        <f>'1 prepared data'!N252</f>
        <v/>
      </c>
      <c r="P259" s="7">
        <f>'1 prepared data'!O252</f>
        <v/>
      </c>
      <c r="Q259" s="7">
        <f>'1 prepared data'!P252</f>
        <v/>
      </c>
      <c r="R259" s="7">
        <f>'1 prepared data'!Q252</f>
        <v/>
      </c>
      <c r="S259" s="7">
        <f>'1 prepared data'!R252</f>
        <v/>
      </c>
      <c r="T259" s="7">
        <f>'1 prepared data'!S252</f>
        <v/>
      </c>
      <c r="U259" s="7">
        <f>'1 prepared data'!T252</f>
        <v/>
      </c>
      <c r="V259" s="8">
        <f>$AC$12+D259*$AC$13+E259*$AC$14+F259*$AC$15+G259*$AC$16+H259*$AC$17+I259*$AC$18+J259*$AC$19+K259*$AC$20+L259*$AC$21+M259*$AC$22+N259*$AC$23+O259*$AC$24+P259*$AC$25+Q259*$AC$26+R259*$AC$27+S259*$AC$28+T259*$AC$29+U259*$AC$30</f>
        <v/>
      </c>
      <c r="W259" s="8">
        <f>1/(1+EXP(-V259))</f>
        <v/>
      </c>
      <c r="X259" s="9">
        <f>-IF(C259=1,LN(W259),LN(1-W259))</f>
        <v/>
      </c>
      <c r="Y259" s="10">
        <f>IF(W259&gt;$AC$33,1,0)</f>
        <v/>
      </c>
      <c r="Z259">
        <f>IF(Y259=C259,1,0)</f>
        <v/>
      </c>
    </row>
    <row r="260">
      <c r="A260">
        <f>'1 prepared data'!A253</f>
        <v/>
      </c>
      <c r="B260" s="5">
        <f>'1 prepared data'!U253</f>
        <v/>
      </c>
      <c r="C260">
        <f>'1 prepared data'!B253</f>
        <v/>
      </c>
      <c r="D260" s="7">
        <f>'1 prepared data'!C253</f>
        <v/>
      </c>
      <c r="E260" s="7">
        <f>'1 prepared data'!D253</f>
        <v/>
      </c>
      <c r="F260" s="7">
        <f>'1 prepared data'!E253</f>
        <v/>
      </c>
      <c r="G260" s="7">
        <f>'1 prepared data'!F253</f>
        <v/>
      </c>
      <c r="H260" s="7">
        <f>'1 prepared data'!G253</f>
        <v/>
      </c>
      <c r="I260" s="7">
        <f>'1 prepared data'!H253</f>
        <v/>
      </c>
      <c r="J260" s="7">
        <f>'1 prepared data'!I253</f>
        <v/>
      </c>
      <c r="K260" s="7">
        <f>'1 prepared data'!J253</f>
        <v/>
      </c>
      <c r="L260" s="7">
        <f>'1 prepared data'!K253</f>
        <v/>
      </c>
      <c r="M260" s="7">
        <f>'1 prepared data'!L253</f>
        <v/>
      </c>
      <c r="N260" s="7">
        <f>'1 prepared data'!M253</f>
        <v/>
      </c>
      <c r="O260" s="7">
        <f>'1 prepared data'!N253</f>
        <v/>
      </c>
      <c r="P260" s="7">
        <f>'1 prepared data'!O253</f>
        <v/>
      </c>
      <c r="Q260" s="7">
        <f>'1 prepared data'!P253</f>
        <v/>
      </c>
      <c r="R260" s="7">
        <f>'1 prepared data'!Q253</f>
        <v/>
      </c>
      <c r="S260" s="7">
        <f>'1 prepared data'!R253</f>
        <v/>
      </c>
      <c r="T260" s="7">
        <f>'1 prepared data'!S253</f>
        <v/>
      </c>
      <c r="U260" s="7">
        <f>'1 prepared data'!T253</f>
        <v/>
      </c>
      <c r="V260" s="8">
        <f>$AC$12+D260*$AC$13+E260*$AC$14+F260*$AC$15+G260*$AC$16+H260*$AC$17+I260*$AC$18+J260*$AC$19+K260*$AC$20+L260*$AC$21+M260*$AC$22+N260*$AC$23+O260*$AC$24+P260*$AC$25+Q260*$AC$26+R260*$AC$27+S260*$AC$28+T260*$AC$29+U260*$AC$30</f>
        <v/>
      </c>
      <c r="W260" s="8">
        <f>1/(1+EXP(-V260))</f>
        <v/>
      </c>
      <c r="X260" s="9">
        <f>-IF(C260=1,LN(W260),LN(1-W260))</f>
        <v/>
      </c>
      <c r="Y260" s="10">
        <f>IF(W260&gt;$AC$33,1,0)</f>
        <v/>
      </c>
      <c r="Z260">
        <f>IF(Y260=C260,1,0)</f>
        <v/>
      </c>
    </row>
    <row r="261">
      <c r="A261">
        <f>'1 prepared data'!A254</f>
        <v/>
      </c>
      <c r="B261" s="5">
        <f>'1 prepared data'!U254</f>
        <v/>
      </c>
      <c r="C261">
        <f>'1 prepared data'!B254</f>
        <v/>
      </c>
      <c r="D261" s="7">
        <f>'1 prepared data'!C254</f>
        <v/>
      </c>
      <c r="E261" s="7">
        <f>'1 prepared data'!D254</f>
        <v/>
      </c>
      <c r="F261" s="7">
        <f>'1 prepared data'!E254</f>
        <v/>
      </c>
      <c r="G261" s="7">
        <f>'1 prepared data'!F254</f>
        <v/>
      </c>
      <c r="H261" s="7">
        <f>'1 prepared data'!G254</f>
        <v/>
      </c>
      <c r="I261" s="7">
        <f>'1 prepared data'!H254</f>
        <v/>
      </c>
      <c r="J261" s="7">
        <f>'1 prepared data'!I254</f>
        <v/>
      </c>
      <c r="K261" s="7">
        <f>'1 prepared data'!J254</f>
        <v/>
      </c>
      <c r="L261" s="7">
        <f>'1 prepared data'!K254</f>
        <v/>
      </c>
      <c r="M261" s="7">
        <f>'1 prepared data'!L254</f>
        <v/>
      </c>
      <c r="N261" s="7">
        <f>'1 prepared data'!M254</f>
        <v/>
      </c>
      <c r="O261" s="7">
        <f>'1 prepared data'!N254</f>
        <v/>
      </c>
      <c r="P261" s="7">
        <f>'1 prepared data'!O254</f>
        <v/>
      </c>
      <c r="Q261" s="7">
        <f>'1 prepared data'!P254</f>
        <v/>
      </c>
      <c r="R261" s="7">
        <f>'1 prepared data'!Q254</f>
        <v/>
      </c>
      <c r="S261" s="7">
        <f>'1 prepared data'!R254</f>
        <v/>
      </c>
      <c r="T261" s="7">
        <f>'1 prepared data'!S254</f>
        <v/>
      </c>
      <c r="U261" s="7">
        <f>'1 prepared data'!T254</f>
        <v/>
      </c>
      <c r="V261" s="8">
        <f>$AC$12+D261*$AC$13+E261*$AC$14+F261*$AC$15+G261*$AC$16+H261*$AC$17+I261*$AC$18+J261*$AC$19+K261*$AC$20+L261*$AC$21+M261*$AC$22+N261*$AC$23+O261*$AC$24+P261*$AC$25+Q261*$AC$26+R261*$AC$27+S261*$AC$28+T261*$AC$29+U261*$AC$30</f>
        <v/>
      </c>
      <c r="W261" s="8">
        <f>1/(1+EXP(-V261))</f>
        <v/>
      </c>
      <c r="X261" s="9">
        <f>-IF(C261=1,LN(W261),LN(1-W261))</f>
        <v/>
      </c>
      <c r="Y261" s="10">
        <f>IF(W261&gt;$AC$33,1,0)</f>
        <v/>
      </c>
      <c r="Z261">
        <f>IF(Y261=C261,1,0)</f>
        <v/>
      </c>
    </row>
    <row r="262">
      <c r="A262">
        <f>'1 prepared data'!A255</f>
        <v/>
      </c>
      <c r="B262" s="5">
        <f>'1 prepared data'!U255</f>
        <v/>
      </c>
      <c r="C262">
        <f>'1 prepared data'!B255</f>
        <v/>
      </c>
      <c r="D262" s="7">
        <f>'1 prepared data'!C255</f>
        <v/>
      </c>
      <c r="E262" s="7">
        <f>'1 prepared data'!D255</f>
        <v/>
      </c>
      <c r="F262" s="7">
        <f>'1 prepared data'!E255</f>
        <v/>
      </c>
      <c r="G262" s="7">
        <f>'1 prepared data'!F255</f>
        <v/>
      </c>
      <c r="H262" s="7">
        <f>'1 prepared data'!G255</f>
        <v/>
      </c>
      <c r="I262" s="7">
        <f>'1 prepared data'!H255</f>
        <v/>
      </c>
      <c r="J262" s="7">
        <f>'1 prepared data'!I255</f>
        <v/>
      </c>
      <c r="K262" s="7">
        <f>'1 prepared data'!J255</f>
        <v/>
      </c>
      <c r="L262" s="7">
        <f>'1 prepared data'!K255</f>
        <v/>
      </c>
      <c r="M262" s="7">
        <f>'1 prepared data'!L255</f>
        <v/>
      </c>
      <c r="N262" s="7">
        <f>'1 prepared data'!M255</f>
        <v/>
      </c>
      <c r="O262" s="7">
        <f>'1 prepared data'!N255</f>
        <v/>
      </c>
      <c r="P262" s="7">
        <f>'1 prepared data'!O255</f>
        <v/>
      </c>
      <c r="Q262" s="7">
        <f>'1 prepared data'!P255</f>
        <v/>
      </c>
      <c r="R262" s="7">
        <f>'1 prepared data'!Q255</f>
        <v/>
      </c>
      <c r="S262" s="7">
        <f>'1 prepared data'!R255</f>
        <v/>
      </c>
      <c r="T262" s="7">
        <f>'1 prepared data'!S255</f>
        <v/>
      </c>
      <c r="U262" s="7">
        <f>'1 prepared data'!T255</f>
        <v/>
      </c>
      <c r="V262" s="8">
        <f>$AC$12+D262*$AC$13+E262*$AC$14+F262*$AC$15+G262*$AC$16+H262*$AC$17+I262*$AC$18+J262*$AC$19+K262*$AC$20+L262*$AC$21+M262*$AC$22+N262*$AC$23+O262*$AC$24+P262*$AC$25+Q262*$AC$26+R262*$AC$27+S262*$AC$28+T262*$AC$29+U262*$AC$30</f>
        <v/>
      </c>
      <c r="W262" s="8">
        <f>1/(1+EXP(-V262))</f>
        <v/>
      </c>
      <c r="X262" s="9">
        <f>-IF(C262=1,LN(W262),LN(1-W262))</f>
        <v/>
      </c>
      <c r="Y262" s="10">
        <f>IF(W262&gt;$AC$33,1,0)</f>
        <v/>
      </c>
      <c r="Z262">
        <f>IF(Y262=C262,1,0)</f>
        <v/>
      </c>
    </row>
    <row r="263">
      <c r="A263">
        <f>'1 prepared data'!A256</f>
        <v/>
      </c>
      <c r="B263" s="5">
        <f>'1 prepared data'!U256</f>
        <v/>
      </c>
      <c r="C263">
        <f>'1 prepared data'!B256</f>
        <v/>
      </c>
      <c r="D263" s="7">
        <f>'1 prepared data'!C256</f>
        <v/>
      </c>
      <c r="E263" s="7">
        <f>'1 prepared data'!D256</f>
        <v/>
      </c>
      <c r="F263" s="7">
        <f>'1 prepared data'!E256</f>
        <v/>
      </c>
      <c r="G263" s="7">
        <f>'1 prepared data'!F256</f>
        <v/>
      </c>
      <c r="H263" s="7">
        <f>'1 prepared data'!G256</f>
        <v/>
      </c>
      <c r="I263" s="7">
        <f>'1 prepared data'!H256</f>
        <v/>
      </c>
      <c r="J263" s="7">
        <f>'1 prepared data'!I256</f>
        <v/>
      </c>
      <c r="K263" s="7">
        <f>'1 prepared data'!J256</f>
        <v/>
      </c>
      <c r="L263" s="7">
        <f>'1 prepared data'!K256</f>
        <v/>
      </c>
      <c r="M263" s="7">
        <f>'1 prepared data'!L256</f>
        <v/>
      </c>
      <c r="N263" s="7">
        <f>'1 prepared data'!M256</f>
        <v/>
      </c>
      <c r="O263" s="7">
        <f>'1 prepared data'!N256</f>
        <v/>
      </c>
      <c r="P263" s="7">
        <f>'1 prepared data'!O256</f>
        <v/>
      </c>
      <c r="Q263" s="7">
        <f>'1 prepared data'!P256</f>
        <v/>
      </c>
      <c r="R263" s="7">
        <f>'1 prepared data'!Q256</f>
        <v/>
      </c>
      <c r="S263" s="7">
        <f>'1 prepared data'!R256</f>
        <v/>
      </c>
      <c r="T263" s="7">
        <f>'1 prepared data'!S256</f>
        <v/>
      </c>
      <c r="U263" s="7">
        <f>'1 prepared data'!T256</f>
        <v/>
      </c>
      <c r="V263" s="8">
        <f>$AC$12+D263*$AC$13+E263*$AC$14+F263*$AC$15+G263*$AC$16+H263*$AC$17+I263*$AC$18+J263*$AC$19+K263*$AC$20+L263*$AC$21+M263*$AC$22+N263*$AC$23+O263*$AC$24+P263*$AC$25+Q263*$AC$26+R263*$AC$27+S263*$AC$28+T263*$AC$29+U263*$AC$30</f>
        <v/>
      </c>
      <c r="W263" s="8">
        <f>1/(1+EXP(-V263))</f>
        <v/>
      </c>
      <c r="X263" s="9">
        <f>-IF(C263=1,LN(W263),LN(1-W263))</f>
        <v/>
      </c>
      <c r="Y263" s="10">
        <f>IF(W263&gt;$AC$33,1,0)</f>
        <v/>
      </c>
      <c r="Z263">
        <f>IF(Y263=C263,1,0)</f>
        <v/>
      </c>
    </row>
    <row r="264">
      <c r="A264">
        <f>'1 prepared data'!A257</f>
        <v/>
      </c>
      <c r="B264" s="5">
        <f>'1 prepared data'!U257</f>
        <v/>
      </c>
      <c r="C264">
        <f>'1 prepared data'!B257</f>
        <v/>
      </c>
      <c r="D264" s="7">
        <f>'1 prepared data'!C257</f>
        <v/>
      </c>
      <c r="E264" s="7">
        <f>'1 prepared data'!D257</f>
        <v/>
      </c>
      <c r="F264" s="7">
        <f>'1 prepared data'!E257</f>
        <v/>
      </c>
      <c r="G264" s="7">
        <f>'1 prepared data'!F257</f>
        <v/>
      </c>
      <c r="H264" s="7">
        <f>'1 prepared data'!G257</f>
        <v/>
      </c>
      <c r="I264" s="7">
        <f>'1 prepared data'!H257</f>
        <v/>
      </c>
      <c r="J264" s="7">
        <f>'1 prepared data'!I257</f>
        <v/>
      </c>
      <c r="K264" s="7">
        <f>'1 prepared data'!J257</f>
        <v/>
      </c>
      <c r="L264" s="7">
        <f>'1 prepared data'!K257</f>
        <v/>
      </c>
      <c r="M264" s="7">
        <f>'1 prepared data'!L257</f>
        <v/>
      </c>
      <c r="N264" s="7">
        <f>'1 prepared data'!M257</f>
        <v/>
      </c>
      <c r="O264" s="7">
        <f>'1 prepared data'!N257</f>
        <v/>
      </c>
      <c r="P264" s="7">
        <f>'1 prepared data'!O257</f>
        <v/>
      </c>
      <c r="Q264" s="7">
        <f>'1 prepared data'!P257</f>
        <v/>
      </c>
      <c r="R264" s="7">
        <f>'1 prepared data'!Q257</f>
        <v/>
      </c>
      <c r="S264" s="7">
        <f>'1 prepared data'!R257</f>
        <v/>
      </c>
      <c r="T264" s="7">
        <f>'1 prepared data'!S257</f>
        <v/>
      </c>
      <c r="U264" s="7">
        <f>'1 prepared data'!T257</f>
        <v/>
      </c>
      <c r="V264" s="8">
        <f>$AC$12+D264*$AC$13+E264*$AC$14+F264*$AC$15+G264*$AC$16+H264*$AC$17+I264*$AC$18+J264*$AC$19+K264*$AC$20+L264*$AC$21+M264*$AC$22+N264*$AC$23+O264*$AC$24+P264*$AC$25+Q264*$AC$26+R264*$AC$27+S264*$AC$28+T264*$AC$29+U264*$AC$30</f>
        <v/>
      </c>
      <c r="W264" s="8">
        <f>1/(1+EXP(-V264))</f>
        <v/>
      </c>
      <c r="X264" s="9">
        <f>-IF(C264=1,LN(W264),LN(1-W264))</f>
        <v/>
      </c>
      <c r="Y264" s="10">
        <f>IF(W264&gt;$AC$33,1,0)</f>
        <v/>
      </c>
      <c r="Z264">
        <f>IF(Y264=C264,1,0)</f>
        <v/>
      </c>
    </row>
    <row r="265">
      <c r="A265">
        <f>'1 prepared data'!A258</f>
        <v/>
      </c>
      <c r="B265" s="5">
        <f>'1 prepared data'!U258</f>
        <v/>
      </c>
      <c r="C265">
        <f>'1 prepared data'!B258</f>
        <v/>
      </c>
      <c r="D265" s="7">
        <f>'1 prepared data'!C258</f>
        <v/>
      </c>
      <c r="E265" s="7">
        <f>'1 prepared data'!D258</f>
        <v/>
      </c>
      <c r="F265" s="7">
        <f>'1 prepared data'!E258</f>
        <v/>
      </c>
      <c r="G265" s="7">
        <f>'1 prepared data'!F258</f>
        <v/>
      </c>
      <c r="H265" s="7">
        <f>'1 prepared data'!G258</f>
        <v/>
      </c>
      <c r="I265" s="7">
        <f>'1 prepared data'!H258</f>
        <v/>
      </c>
      <c r="J265" s="7">
        <f>'1 prepared data'!I258</f>
        <v/>
      </c>
      <c r="K265" s="7">
        <f>'1 prepared data'!J258</f>
        <v/>
      </c>
      <c r="L265" s="7">
        <f>'1 prepared data'!K258</f>
        <v/>
      </c>
      <c r="M265" s="7">
        <f>'1 prepared data'!L258</f>
        <v/>
      </c>
      <c r="N265" s="7">
        <f>'1 prepared data'!M258</f>
        <v/>
      </c>
      <c r="O265" s="7">
        <f>'1 prepared data'!N258</f>
        <v/>
      </c>
      <c r="P265" s="7">
        <f>'1 prepared data'!O258</f>
        <v/>
      </c>
      <c r="Q265" s="7">
        <f>'1 prepared data'!P258</f>
        <v/>
      </c>
      <c r="R265" s="7">
        <f>'1 prepared data'!Q258</f>
        <v/>
      </c>
      <c r="S265" s="7">
        <f>'1 prepared data'!R258</f>
        <v/>
      </c>
      <c r="T265" s="7">
        <f>'1 prepared data'!S258</f>
        <v/>
      </c>
      <c r="U265" s="7">
        <f>'1 prepared data'!T258</f>
        <v/>
      </c>
      <c r="V265" s="8">
        <f>$AC$12+D265*$AC$13+E265*$AC$14+F265*$AC$15+G265*$AC$16+H265*$AC$17+I265*$AC$18+J265*$AC$19+K265*$AC$20+L265*$AC$21+M265*$AC$22+N265*$AC$23+O265*$AC$24+P265*$AC$25+Q265*$AC$26+R265*$AC$27+S265*$AC$28+T265*$AC$29+U265*$AC$30</f>
        <v/>
      </c>
      <c r="W265" s="8">
        <f>1/(1+EXP(-V265))</f>
        <v/>
      </c>
      <c r="X265" s="9">
        <f>-IF(C265=1,LN(W265),LN(1-W265))</f>
        <v/>
      </c>
      <c r="Y265" s="10">
        <f>IF(W265&gt;$AC$33,1,0)</f>
        <v/>
      </c>
      <c r="Z265">
        <f>IF(Y265=C265,1,0)</f>
        <v/>
      </c>
    </row>
    <row r="266">
      <c r="A266">
        <f>'1 prepared data'!A259</f>
        <v/>
      </c>
      <c r="B266" s="5">
        <f>'1 prepared data'!U259</f>
        <v/>
      </c>
      <c r="C266">
        <f>'1 prepared data'!B259</f>
        <v/>
      </c>
      <c r="D266" s="7">
        <f>'1 prepared data'!C259</f>
        <v/>
      </c>
      <c r="E266" s="7">
        <f>'1 prepared data'!D259</f>
        <v/>
      </c>
      <c r="F266" s="7">
        <f>'1 prepared data'!E259</f>
        <v/>
      </c>
      <c r="G266" s="7">
        <f>'1 prepared data'!F259</f>
        <v/>
      </c>
      <c r="H266" s="7">
        <f>'1 prepared data'!G259</f>
        <v/>
      </c>
      <c r="I266" s="7">
        <f>'1 prepared data'!H259</f>
        <v/>
      </c>
      <c r="J266" s="7">
        <f>'1 prepared data'!I259</f>
        <v/>
      </c>
      <c r="K266" s="7">
        <f>'1 prepared data'!J259</f>
        <v/>
      </c>
      <c r="L266" s="7">
        <f>'1 prepared data'!K259</f>
        <v/>
      </c>
      <c r="M266" s="7">
        <f>'1 prepared data'!L259</f>
        <v/>
      </c>
      <c r="N266" s="7">
        <f>'1 prepared data'!M259</f>
        <v/>
      </c>
      <c r="O266" s="7">
        <f>'1 prepared data'!N259</f>
        <v/>
      </c>
      <c r="P266" s="7">
        <f>'1 prepared data'!O259</f>
        <v/>
      </c>
      <c r="Q266" s="7">
        <f>'1 prepared data'!P259</f>
        <v/>
      </c>
      <c r="R266" s="7">
        <f>'1 prepared data'!Q259</f>
        <v/>
      </c>
      <c r="S266" s="7">
        <f>'1 prepared data'!R259</f>
        <v/>
      </c>
      <c r="T266" s="7">
        <f>'1 prepared data'!S259</f>
        <v/>
      </c>
      <c r="U266" s="7">
        <f>'1 prepared data'!T259</f>
        <v/>
      </c>
      <c r="V266" s="8">
        <f>$AC$12+D266*$AC$13+E266*$AC$14+F266*$AC$15+G266*$AC$16+H266*$AC$17+I266*$AC$18+J266*$AC$19+K266*$AC$20+L266*$AC$21+M266*$AC$22+N266*$AC$23+O266*$AC$24+P266*$AC$25+Q266*$AC$26+R266*$AC$27+S266*$AC$28+T266*$AC$29+U266*$AC$30</f>
        <v/>
      </c>
      <c r="W266" s="8">
        <f>1/(1+EXP(-V266))</f>
        <v/>
      </c>
      <c r="X266" s="9">
        <f>-IF(C266=1,LN(W266),LN(1-W266))</f>
        <v/>
      </c>
      <c r="Y266" s="10">
        <f>IF(W266&gt;$AC$33,1,0)</f>
        <v/>
      </c>
      <c r="Z266">
        <f>IF(Y266=C266,1,0)</f>
        <v/>
      </c>
    </row>
    <row r="267">
      <c r="A267">
        <f>'1 prepared data'!A260</f>
        <v/>
      </c>
      <c r="B267" s="5">
        <f>'1 prepared data'!U260</f>
        <v/>
      </c>
      <c r="C267">
        <f>'1 prepared data'!B260</f>
        <v/>
      </c>
      <c r="D267" s="7">
        <f>'1 prepared data'!C260</f>
        <v/>
      </c>
      <c r="E267" s="7">
        <f>'1 prepared data'!D260</f>
        <v/>
      </c>
      <c r="F267" s="7">
        <f>'1 prepared data'!E260</f>
        <v/>
      </c>
      <c r="G267" s="7">
        <f>'1 prepared data'!F260</f>
        <v/>
      </c>
      <c r="H267" s="7">
        <f>'1 prepared data'!G260</f>
        <v/>
      </c>
      <c r="I267" s="7">
        <f>'1 prepared data'!H260</f>
        <v/>
      </c>
      <c r="J267" s="7">
        <f>'1 prepared data'!I260</f>
        <v/>
      </c>
      <c r="K267" s="7">
        <f>'1 prepared data'!J260</f>
        <v/>
      </c>
      <c r="L267" s="7">
        <f>'1 prepared data'!K260</f>
        <v/>
      </c>
      <c r="M267" s="7">
        <f>'1 prepared data'!L260</f>
        <v/>
      </c>
      <c r="N267" s="7">
        <f>'1 prepared data'!M260</f>
        <v/>
      </c>
      <c r="O267" s="7">
        <f>'1 prepared data'!N260</f>
        <v/>
      </c>
      <c r="P267" s="7">
        <f>'1 prepared data'!O260</f>
        <v/>
      </c>
      <c r="Q267" s="7">
        <f>'1 prepared data'!P260</f>
        <v/>
      </c>
      <c r="R267" s="7">
        <f>'1 prepared data'!Q260</f>
        <v/>
      </c>
      <c r="S267" s="7">
        <f>'1 prepared data'!R260</f>
        <v/>
      </c>
      <c r="T267" s="7">
        <f>'1 prepared data'!S260</f>
        <v/>
      </c>
      <c r="U267" s="7">
        <f>'1 prepared data'!T260</f>
        <v/>
      </c>
      <c r="V267" s="8">
        <f>$AC$12+D267*$AC$13+E267*$AC$14+F267*$AC$15+G267*$AC$16+H267*$AC$17+I267*$AC$18+J267*$AC$19+K267*$AC$20+L267*$AC$21+M267*$AC$22+N267*$AC$23+O267*$AC$24+P267*$AC$25+Q267*$AC$26+R267*$AC$27+S267*$AC$28+T267*$AC$29+U267*$AC$30</f>
        <v/>
      </c>
      <c r="W267" s="8">
        <f>1/(1+EXP(-V267))</f>
        <v/>
      </c>
      <c r="X267" s="9">
        <f>-IF(C267=1,LN(W267),LN(1-W267))</f>
        <v/>
      </c>
      <c r="Y267" s="10">
        <f>IF(W267&gt;$AC$33,1,0)</f>
        <v/>
      </c>
      <c r="Z267">
        <f>IF(Y267=C267,1,0)</f>
        <v/>
      </c>
    </row>
    <row r="268">
      <c r="A268">
        <f>'1 prepared data'!A261</f>
        <v/>
      </c>
      <c r="B268" s="5">
        <f>'1 prepared data'!U261</f>
        <v/>
      </c>
      <c r="C268">
        <f>'1 prepared data'!B261</f>
        <v/>
      </c>
      <c r="D268" s="7">
        <f>'1 prepared data'!C261</f>
        <v/>
      </c>
      <c r="E268" s="7">
        <f>'1 prepared data'!D261</f>
        <v/>
      </c>
      <c r="F268" s="7">
        <f>'1 prepared data'!E261</f>
        <v/>
      </c>
      <c r="G268" s="7">
        <f>'1 prepared data'!F261</f>
        <v/>
      </c>
      <c r="H268" s="7">
        <f>'1 prepared data'!G261</f>
        <v/>
      </c>
      <c r="I268" s="7">
        <f>'1 prepared data'!H261</f>
        <v/>
      </c>
      <c r="J268" s="7">
        <f>'1 prepared data'!I261</f>
        <v/>
      </c>
      <c r="K268" s="7">
        <f>'1 prepared data'!J261</f>
        <v/>
      </c>
      <c r="L268" s="7">
        <f>'1 prepared data'!K261</f>
        <v/>
      </c>
      <c r="M268" s="7">
        <f>'1 prepared data'!L261</f>
        <v/>
      </c>
      <c r="N268" s="7">
        <f>'1 prepared data'!M261</f>
        <v/>
      </c>
      <c r="O268" s="7">
        <f>'1 prepared data'!N261</f>
        <v/>
      </c>
      <c r="P268" s="7">
        <f>'1 prepared data'!O261</f>
        <v/>
      </c>
      <c r="Q268" s="7">
        <f>'1 prepared data'!P261</f>
        <v/>
      </c>
      <c r="R268" s="7">
        <f>'1 prepared data'!Q261</f>
        <v/>
      </c>
      <c r="S268" s="7">
        <f>'1 prepared data'!R261</f>
        <v/>
      </c>
      <c r="T268" s="7">
        <f>'1 prepared data'!S261</f>
        <v/>
      </c>
      <c r="U268" s="7">
        <f>'1 prepared data'!T261</f>
        <v/>
      </c>
      <c r="V268" s="8">
        <f>$AC$12+D268*$AC$13+E268*$AC$14+F268*$AC$15+G268*$AC$16+H268*$AC$17+I268*$AC$18+J268*$AC$19+K268*$AC$20+L268*$AC$21+M268*$AC$22+N268*$AC$23+O268*$AC$24+P268*$AC$25+Q268*$AC$26+R268*$AC$27+S268*$AC$28+T268*$AC$29+U268*$AC$30</f>
        <v/>
      </c>
      <c r="W268" s="8">
        <f>1/(1+EXP(-V268))</f>
        <v/>
      </c>
      <c r="X268" s="9">
        <f>-IF(C268=1,LN(W268),LN(1-W268))</f>
        <v/>
      </c>
      <c r="Y268" s="10">
        <f>IF(W268&gt;$AC$33,1,0)</f>
        <v/>
      </c>
      <c r="Z268">
        <f>IF(Y268=C268,1,0)</f>
        <v/>
      </c>
    </row>
    <row r="269">
      <c r="A269">
        <f>'1 prepared data'!A262</f>
        <v/>
      </c>
      <c r="B269" s="5">
        <f>'1 prepared data'!U262</f>
        <v/>
      </c>
      <c r="C269">
        <f>'1 prepared data'!B262</f>
        <v/>
      </c>
      <c r="D269" s="7">
        <f>'1 prepared data'!C262</f>
        <v/>
      </c>
      <c r="E269" s="7">
        <f>'1 prepared data'!D262</f>
        <v/>
      </c>
      <c r="F269" s="7">
        <f>'1 prepared data'!E262</f>
        <v/>
      </c>
      <c r="G269" s="7">
        <f>'1 prepared data'!F262</f>
        <v/>
      </c>
      <c r="H269" s="7">
        <f>'1 prepared data'!G262</f>
        <v/>
      </c>
      <c r="I269" s="7">
        <f>'1 prepared data'!H262</f>
        <v/>
      </c>
      <c r="J269" s="7">
        <f>'1 prepared data'!I262</f>
        <v/>
      </c>
      <c r="K269" s="7">
        <f>'1 prepared data'!J262</f>
        <v/>
      </c>
      <c r="L269" s="7">
        <f>'1 prepared data'!K262</f>
        <v/>
      </c>
      <c r="M269" s="7">
        <f>'1 prepared data'!L262</f>
        <v/>
      </c>
      <c r="N269" s="7">
        <f>'1 prepared data'!M262</f>
        <v/>
      </c>
      <c r="O269" s="7">
        <f>'1 prepared data'!N262</f>
        <v/>
      </c>
      <c r="P269" s="7">
        <f>'1 prepared data'!O262</f>
        <v/>
      </c>
      <c r="Q269" s="7">
        <f>'1 prepared data'!P262</f>
        <v/>
      </c>
      <c r="R269" s="7">
        <f>'1 prepared data'!Q262</f>
        <v/>
      </c>
      <c r="S269" s="7">
        <f>'1 prepared data'!R262</f>
        <v/>
      </c>
      <c r="T269" s="7">
        <f>'1 prepared data'!S262</f>
        <v/>
      </c>
      <c r="U269" s="7">
        <f>'1 prepared data'!T262</f>
        <v/>
      </c>
      <c r="V269" s="8">
        <f>$AC$12+D269*$AC$13+E269*$AC$14+F269*$AC$15+G269*$AC$16+H269*$AC$17+I269*$AC$18+J269*$AC$19+K269*$AC$20+L269*$AC$21+M269*$AC$22+N269*$AC$23+O269*$AC$24+P269*$AC$25+Q269*$AC$26+R269*$AC$27+S269*$AC$28+T269*$AC$29+U269*$AC$30</f>
        <v/>
      </c>
      <c r="W269" s="8">
        <f>1/(1+EXP(-V269))</f>
        <v/>
      </c>
      <c r="X269" s="9">
        <f>-IF(C269=1,LN(W269),LN(1-W269))</f>
        <v/>
      </c>
      <c r="Y269" s="10">
        <f>IF(W269&gt;$AC$33,1,0)</f>
        <v/>
      </c>
      <c r="Z269">
        <f>IF(Y269=C269,1,0)</f>
        <v/>
      </c>
    </row>
    <row r="270">
      <c r="A270">
        <f>'1 prepared data'!A263</f>
        <v/>
      </c>
      <c r="B270" s="5">
        <f>'1 prepared data'!U263</f>
        <v/>
      </c>
      <c r="C270">
        <f>'1 prepared data'!B263</f>
        <v/>
      </c>
      <c r="D270" s="7">
        <f>'1 prepared data'!C263</f>
        <v/>
      </c>
      <c r="E270" s="7">
        <f>'1 prepared data'!D263</f>
        <v/>
      </c>
      <c r="F270" s="7">
        <f>'1 prepared data'!E263</f>
        <v/>
      </c>
      <c r="G270" s="7">
        <f>'1 prepared data'!F263</f>
        <v/>
      </c>
      <c r="H270" s="7">
        <f>'1 prepared data'!G263</f>
        <v/>
      </c>
      <c r="I270" s="7">
        <f>'1 prepared data'!H263</f>
        <v/>
      </c>
      <c r="J270" s="7">
        <f>'1 prepared data'!I263</f>
        <v/>
      </c>
      <c r="K270" s="7">
        <f>'1 prepared data'!J263</f>
        <v/>
      </c>
      <c r="L270" s="7">
        <f>'1 prepared data'!K263</f>
        <v/>
      </c>
      <c r="M270" s="7">
        <f>'1 prepared data'!L263</f>
        <v/>
      </c>
      <c r="N270" s="7">
        <f>'1 prepared data'!M263</f>
        <v/>
      </c>
      <c r="O270" s="7">
        <f>'1 prepared data'!N263</f>
        <v/>
      </c>
      <c r="P270" s="7">
        <f>'1 prepared data'!O263</f>
        <v/>
      </c>
      <c r="Q270" s="7">
        <f>'1 prepared data'!P263</f>
        <v/>
      </c>
      <c r="R270" s="7">
        <f>'1 prepared data'!Q263</f>
        <v/>
      </c>
      <c r="S270" s="7">
        <f>'1 prepared data'!R263</f>
        <v/>
      </c>
      <c r="T270" s="7">
        <f>'1 prepared data'!S263</f>
        <v/>
      </c>
      <c r="U270" s="7">
        <f>'1 prepared data'!T263</f>
        <v/>
      </c>
      <c r="V270" s="8">
        <f>$AC$12+D270*$AC$13+E270*$AC$14+F270*$AC$15+G270*$AC$16+H270*$AC$17+I270*$AC$18+J270*$AC$19+K270*$AC$20+L270*$AC$21+M270*$AC$22+N270*$AC$23+O270*$AC$24+P270*$AC$25+Q270*$AC$26+R270*$AC$27+S270*$AC$28+T270*$AC$29+U270*$AC$30</f>
        <v/>
      </c>
      <c r="W270" s="8">
        <f>1/(1+EXP(-V270))</f>
        <v/>
      </c>
      <c r="X270" s="9">
        <f>-IF(C270=1,LN(W270),LN(1-W270))</f>
        <v/>
      </c>
      <c r="Y270" s="10">
        <f>IF(W270&gt;$AC$33,1,0)</f>
        <v/>
      </c>
      <c r="Z270">
        <f>IF(Y270=C270,1,0)</f>
        <v/>
      </c>
    </row>
    <row r="271">
      <c r="A271">
        <f>'1 prepared data'!A264</f>
        <v/>
      </c>
      <c r="B271" s="5">
        <f>'1 prepared data'!U264</f>
        <v/>
      </c>
      <c r="C271">
        <f>'1 prepared data'!B264</f>
        <v/>
      </c>
      <c r="D271" s="7">
        <f>'1 prepared data'!C264</f>
        <v/>
      </c>
      <c r="E271" s="7">
        <f>'1 prepared data'!D264</f>
        <v/>
      </c>
      <c r="F271" s="7">
        <f>'1 prepared data'!E264</f>
        <v/>
      </c>
      <c r="G271" s="7">
        <f>'1 prepared data'!F264</f>
        <v/>
      </c>
      <c r="H271" s="7">
        <f>'1 prepared data'!G264</f>
        <v/>
      </c>
      <c r="I271" s="7">
        <f>'1 prepared data'!H264</f>
        <v/>
      </c>
      <c r="J271" s="7">
        <f>'1 prepared data'!I264</f>
        <v/>
      </c>
      <c r="K271" s="7">
        <f>'1 prepared data'!J264</f>
        <v/>
      </c>
      <c r="L271" s="7">
        <f>'1 prepared data'!K264</f>
        <v/>
      </c>
      <c r="M271" s="7">
        <f>'1 prepared data'!L264</f>
        <v/>
      </c>
      <c r="N271" s="7">
        <f>'1 prepared data'!M264</f>
        <v/>
      </c>
      <c r="O271" s="7">
        <f>'1 prepared data'!N264</f>
        <v/>
      </c>
      <c r="P271" s="7">
        <f>'1 prepared data'!O264</f>
        <v/>
      </c>
      <c r="Q271" s="7">
        <f>'1 prepared data'!P264</f>
        <v/>
      </c>
      <c r="R271" s="7">
        <f>'1 prepared data'!Q264</f>
        <v/>
      </c>
      <c r="S271" s="7">
        <f>'1 prepared data'!R264</f>
        <v/>
      </c>
      <c r="T271" s="7">
        <f>'1 prepared data'!S264</f>
        <v/>
      </c>
      <c r="U271" s="7">
        <f>'1 prepared data'!T264</f>
        <v/>
      </c>
      <c r="V271" s="8">
        <f>$AC$12+D271*$AC$13+E271*$AC$14+F271*$AC$15+G271*$AC$16+H271*$AC$17+I271*$AC$18+J271*$AC$19+K271*$AC$20+L271*$AC$21+M271*$AC$22+N271*$AC$23+O271*$AC$24+P271*$AC$25+Q271*$AC$26+R271*$AC$27+S271*$AC$28+T271*$AC$29+U271*$AC$30</f>
        <v/>
      </c>
      <c r="W271" s="8">
        <f>1/(1+EXP(-V271))</f>
        <v/>
      </c>
      <c r="X271" s="9">
        <f>-IF(C271=1,LN(W271),LN(1-W271))</f>
        <v/>
      </c>
      <c r="Y271" s="10">
        <f>IF(W271&gt;$AC$33,1,0)</f>
        <v/>
      </c>
      <c r="Z271">
        <f>IF(Y271=C271,1,0)</f>
        <v/>
      </c>
    </row>
    <row r="272">
      <c r="A272">
        <f>'1 prepared data'!A265</f>
        <v/>
      </c>
      <c r="B272" s="5">
        <f>'1 prepared data'!U265</f>
        <v/>
      </c>
      <c r="C272">
        <f>'1 prepared data'!B265</f>
        <v/>
      </c>
      <c r="D272" s="7">
        <f>'1 prepared data'!C265</f>
        <v/>
      </c>
      <c r="E272" s="7">
        <f>'1 prepared data'!D265</f>
        <v/>
      </c>
      <c r="F272" s="7">
        <f>'1 prepared data'!E265</f>
        <v/>
      </c>
      <c r="G272" s="7">
        <f>'1 prepared data'!F265</f>
        <v/>
      </c>
      <c r="H272" s="7">
        <f>'1 prepared data'!G265</f>
        <v/>
      </c>
      <c r="I272" s="7">
        <f>'1 prepared data'!H265</f>
        <v/>
      </c>
      <c r="J272" s="7">
        <f>'1 prepared data'!I265</f>
        <v/>
      </c>
      <c r="K272" s="7">
        <f>'1 prepared data'!J265</f>
        <v/>
      </c>
      <c r="L272" s="7">
        <f>'1 prepared data'!K265</f>
        <v/>
      </c>
      <c r="M272" s="7">
        <f>'1 prepared data'!L265</f>
        <v/>
      </c>
      <c r="N272" s="7">
        <f>'1 prepared data'!M265</f>
        <v/>
      </c>
      <c r="O272" s="7">
        <f>'1 prepared data'!N265</f>
        <v/>
      </c>
      <c r="P272" s="7">
        <f>'1 prepared data'!O265</f>
        <v/>
      </c>
      <c r="Q272" s="7">
        <f>'1 prepared data'!P265</f>
        <v/>
      </c>
      <c r="R272" s="7">
        <f>'1 prepared data'!Q265</f>
        <v/>
      </c>
      <c r="S272" s="7">
        <f>'1 prepared data'!R265</f>
        <v/>
      </c>
      <c r="T272" s="7">
        <f>'1 prepared data'!S265</f>
        <v/>
      </c>
      <c r="U272" s="7">
        <f>'1 prepared data'!T265</f>
        <v/>
      </c>
      <c r="V272" s="8">
        <f>$AC$12+D272*$AC$13+E272*$AC$14+F272*$AC$15+G272*$AC$16+H272*$AC$17+I272*$AC$18+J272*$AC$19+K272*$AC$20+L272*$AC$21+M272*$AC$22+N272*$AC$23+O272*$AC$24+P272*$AC$25+Q272*$AC$26+R272*$AC$27+S272*$AC$28+T272*$AC$29+U272*$AC$30</f>
        <v/>
      </c>
      <c r="W272" s="8">
        <f>1/(1+EXP(-V272))</f>
        <v/>
      </c>
      <c r="X272" s="9">
        <f>-IF(C272=1,LN(W272),LN(1-W272))</f>
        <v/>
      </c>
      <c r="Y272" s="10">
        <f>IF(W272&gt;$AC$33,1,0)</f>
        <v/>
      </c>
      <c r="Z272">
        <f>IF(Y272=C272,1,0)</f>
        <v/>
      </c>
    </row>
    <row r="273">
      <c r="A273">
        <f>'1 prepared data'!A266</f>
        <v/>
      </c>
      <c r="B273" s="5">
        <f>'1 prepared data'!U266</f>
        <v/>
      </c>
      <c r="C273">
        <f>'1 prepared data'!B266</f>
        <v/>
      </c>
      <c r="D273" s="7">
        <f>'1 prepared data'!C266</f>
        <v/>
      </c>
      <c r="E273" s="7">
        <f>'1 prepared data'!D266</f>
        <v/>
      </c>
      <c r="F273" s="7">
        <f>'1 prepared data'!E266</f>
        <v/>
      </c>
      <c r="G273" s="7">
        <f>'1 prepared data'!F266</f>
        <v/>
      </c>
      <c r="H273" s="7">
        <f>'1 prepared data'!G266</f>
        <v/>
      </c>
      <c r="I273" s="7">
        <f>'1 prepared data'!H266</f>
        <v/>
      </c>
      <c r="J273" s="7">
        <f>'1 prepared data'!I266</f>
        <v/>
      </c>
      <c r="K273" s="7">
        <f>'1 prepared data'!J266</f>
        <v/>
      </c>
      <c r="L273" s="7">
        <f>'1 prepared data'!K266</f>
        <v/>
      </c>
      <c r="M273" s="7">
        <f>'1 prepared data'!L266</f>
        <v/>
      </c>
      <c r="N273" s="7">
        <f>'1 prepared data'!M266</f>
        <v/>
      </c>
      <c r="O273" s="7">
        <f>'1 prepared data'!N266</f>
        <v/>
      </c>
      <c r="P273" s="7">
        <f>'1 prepared data'!O266</f>
        <v/>
      </c>
      <c r="Q273" s="7">
        <f>'1 prepared data'!P266</f>
        <v/>
      </c>
      <c r="R273" s="7">
        <f>'1 prepared data'!Q266</f>
        <v/>
      </c>
      <c r="S273" s="7">
        <f>'1 prepared data'!R266</f>
        <v/>
      </c>
      <c r="T273" s="7">
        <f>'1 prepared data'!S266</f>
        <v/>
      </c>
      <c r="U273" s="7">
        <f>'1 prepared data'!T266</f>
        <v/>
      </c>
      <c r="V273" s="8">
        <f>$AC$12+D273*$AC$13+E273*$AC$14+F273*$AC$15+G273*$AC$16+H273*$AC$17+I273*$AC$18+J273*$AC$19+K273*$AC$20+L273*$AC$21+M273*$AC$22+N273*$AC$23+O273*$AC$24+P273*$AC$25+Q273*$AC$26+R273*$AC$27+S273*$AC$28+T273*$AC$29+U273*$AC$30</f>
        <v/>
      </c>
      <c r="W273" s="8">
        <f>1/(1+EXP(-V273))</f>
        <v/>
      </c>
      <c r="X273" s="9">
        <f>-IF(C273=1,LN(W273),LN(1-W273))</f>
        <v/>
      </c>
      <c r="Y273" s="10">
        <f>IF(W273&gt;$AC$33,1,0)</f>
        <v/>
      </c>
      <c r="Z273">
        <f>IF(Y273=C273,1,0)</f>
        <v/>
      </c>
    </row>
    <row r="274">
      <c r="A274">
        <f>'1 prepared data'!A267</f>
        <v/>
      </c>
      <c r="B274" s="5">
        <f>'1 prepared data'!U267</f>
        <v/>
      </c>
      <c r="C274">
        <f>'1 prepared data'!B267</f>
        <v/>
      </c>
      <c r="D274" s="7">
        <f>'1 prepared data'!C267</f>
        <v/>
      </c>
      <c r="E274" s="7">
        <f>'1 prepared data'!D267</f>
        <v/>
      </c>
      <c r="F274" s="7">
        <f>'1 prepared data'!E267</f>
        <v/>
      </c>
      <c r="G274" s="7">
        <f>'1 prepared data'!F267</f>
        <v/>
      </c>
      <c r="H274" s="7">
        <f>'1 prepared data'!G267</f>
        <v/>
      </c>
      <c r="I274" s="7">
        <f>'1 prepared data'!H267</f>
        <v/>
      </c>
      <c r="J274" s="7">
        <f>'1 prepared data'!I267</f>
        <v/>
      </c>
      <c r="K274" s="7">
        <f>'1 prepared data'!J267</f>
        <v/>
      </c>
      <c r="L274" s="7">
        <f>'1 prepared data'!K267</f>
        <v/>
      </c>
      <c r="M274" s="7">
        <f>'1 prepared data'!L267</f>
        <v/>
      </c>
      <c r="N274" s="7">
        <f>'1 prepared data'!M267</f>
        <v/>
      </c>
      <c r="O274" s="7">
        <f>'1 prepared data'!N267</f>
        <v/>
      </c>
      <c r="P274" s="7">
        <f>'1 prepared data'!O267</f>
        <v/>
      </c>
      <c r="Q274" s="7">
        <f>'1 prepared data'!P267</f>
        <v/>
      </c>
      <c r="R274" s="7">
        <f>'1 prepared data'!Q267</f>
        <v/>
      </c>
      <c r="S274" s="7">
        <f>'1 prepared data'!R267</f>
        <v/>
      </c>
      <c r="T274" s="7">
        <f>'1 prepared data'!S267</f>
        <v/>
      </c>
      <c r="U274" s="7">
        <f>'1 prepared data'!T267</f>
        <v/>
      </c>
      <c r="V274" s="8">
        <f>$AC$12+D274*$AC$13+E274*$AC$14+F274*$AC$15+G274*$AC$16+H274*$AC$17+I274*$AC$18+J274*$AC$19+K274*$AC$20+L274*$AC$21+M274*$AC$22+N274*$AC$23+O274*$AC$24+P274*$AC$25+Q274*$AC$26+R274*$AC$27+S274*$AC$28+T274*$AC$29+U274*$AC$30</f>
        <v/>
      </c>
      <c r="W274" s="8">
        <f>1/(1+EXP(-V274))</f>
        <v/>
      </c>
      <c r="X274" s="9">
        <f>-IF(C274=1,LN(W274),LN(1-W274))</f>
        <v/>
      </c>
      <c r="Y274" s="10">
        <f>IF(W274&gt;$AC$33,1,0)</f>
        <v/>
      </c>
      <c r="Z274">
        <f>IF(Y274=C274,1,0)</f>
        <v/>
      </c>
    </row>
    <row r="275">
      <c r="A275">
        <f>'1 prepared data'!A268</f>
        <v/>
      </c>
      <c r="B275" s="5">
        <f>'1 prepared data'!U268</f>
        <v/>
      </c>
      <c r="C275">
        <f>'1 prepared data'!B268</f>
        <v/>
      </c>
      <c r="D275" s="7">
        <f>'1 prepared data'!C268</f>
        <v/>
      </c>
      <c r="E275" s="7">
        <f>'1 prepared data'!D268</f>
        <v/>
      </c>
      <c r="F275" s="7">
        <f>'1 prepared data'!E268</f>
        <v/>
      </c>
      <c r="G275" s="7">
        <f>'1 prepared data'!F268</f>
        <v/>
      </c>
      <c r="H275" s="7">
        <f>'1 prepared data'!G268</f>
        <v/>
      </c>
      <c r="I275" s="7">
        <f>'1 prepared data'!H268</f>
        <v/>
      </c>
      <c r="J275" s="7">
        <f>'1 prepared data'!I268</f>
        <v/>
      </c>
      <c r="K275" s="7">
        <f>'1 prepared data'!J268</f>
        <v/>
      </c>
      <c r="L275" s="7">
        <f>'1 prepared data'!K268</f>
        <v/>
      </c>
      <c r="M275" s="7">
        <f>'1 prepared data'!L268</f>
        <v/>
      </c>
      <c r="N275" s="7">
        <f>'1 prepared data'!M268</f>
        <v/>
      </c>
      <c r="O275" s="7">
        <f>'1 prepared data'!N268</f>
        <v/>
      </c>
      <c r="P275" s="7">
        <f>'1 prepared data'!O268</f>
        <v/>
      </c>
      <c r="Q275" s="7">
        <f>'1 prepared data'!P268</f>
        <v/>
      </c>
      <c r="R275" s="7">
        <f>'1 prepared data'!Q268</f>
        <v/>
      </c>
      <c r="S275" s="7">
        <f>'1 prepared data'!R268</f>
        <v/>
      </c>
      <c r="T275" s="7">
        <f>'1 prepared data'!S268</f>
        <v/>
      </c>
      <c r="U275" s="7">
        <f>'1 prepared data'!T268</f>
        <v/>
      </c>
      <c r="V275" s="8">
        <f>$AC$12+D275*$AC$13+E275*$AC$14+F275*$AC$15+G275*$AC$16+H275*$AC$17+I275*$AC$18+J275*$AC$19+K275*$AC$20+L275*$AC$21+M275*$AC$22+N275*$AC$23+O275*$AC$24+P275*$AC$25+Q275*$AC$26+R275*$AC$27+S275*$AC$28+T275*$AC$29+U275*$AC$30</f>
        <v/>
      </c>
      <c r="W275" s="8">
        <f>1/(1+EXP(-V275))</f>
        <v/>
      </c>
      <c r="X275" s="9">
        <f>-IF(C275=1,LN(W275),LN(1-W275))</f>
        <v/>
      </c>
      <c r="Y275" s="10">
        <f>IF(W275&gt;$AC$33,1,0)</f>
        <v/>
      </c>
      <c r="Z275">
        <f>IF(Y275=C275,1,0)</f>
        <v/>
      </c>
    </row>
    <row r="276">
      <c r="A276">
        <f>'1 prepared data'!A269</f>
        <v/>
      </c>
      <c r="B276" s="5">
        <f>'1 prepared data'!U269</f>
        <v/>
      </c>
      <c r="C276">
        <f>'1 prepared data'!B269</f>
        <v/>
      </c>
      <c r="D276" s="7">
        <f>'1 prepared data'!C269</f>
        <v/>
      </c>
      <c r="E276" s="7">
        <f>'1 prepared data'!D269</f>
        <v/>
      </c>
      <c r="F276" s="7">
        <f>'1 prepared data'!E269</f>
        <v/>
      </c>
      <c r="G276" s="7">
        <f>'1 prepared data'!F269</f>
        <v/>
      </c>
      <c r="H276" s="7">
        <f>'1 prepared data'!G269</f>
        <v/>
      </c>
      <c r="I276" s="7">
        <f>'1 prepared data'!H269</f>
        <v/>
      </c>
      <c r="J276" s="7">
        <f>'1 prepared data'!I269</f>
        <v/>
      </c>
      <c r="K276" s="7">
        <f>'1 prepared data'!J269</f>
        <v/>
      </c>
      <c r="L276" s="7">
        <f>'1 prepared data'!K269</f>
        <v/>
      </c>
      <c r="M276" s="7">
        <f>'1 prepared data'!L269</f>
        <v/>
      </c>
      <c r="N276" s="7">
        <f>'1 prepared data'!M269</f>
        <v/>
      </c>
      <c r="O276" s="7">
        <f>'1 prepared data'!N269</f>
        <v/>
      </c>
      <c r="P276" s="7">
        <f>'1 prepared data'!O269</f>
        <v/>
      </c>
      <c r="Q276" s="7">
        <f>'1 prepared data'!P269</f>
        <v/>
      </c>
      <c r="R276" s="7">
        <f>'1 prepared data'!Q269</f>
        <v/>
      </c>
      <c r="S276" s="7">
        <f>'1 prepared data'!R269</f>
        <v/>
      </c>
      <c r="T276" s="7">
        <f>'1 prepared data'!S269</f>
        <v/>
      </c>
      <c r="U276" s="7">
        <f>'1 prepared data'!T269</f>
        <v/>
      </c>
      <c r="V276" s="8">
        <f>$AC$12+D276*$AC$13+E276*$AC$14+F276*$AC$15+G276*$AC$16+H276*$AC$17+I276*$AC$18+J276*$AC$19+K276*$AC$20+L276*$AC$21+M276*$AC$22+N276*$AC$23+O276*$AC$24+P276*$AC$25+Q276*$AC$26+R276*$AC$27+S276*$AC$28+T276*$AC$29+U276*$AC$30</f>
        <v/>
      </c>
      <c r="W276" s="8">
        <f>1/(1+EXP(-V276))</f>
        <v/>
      </c>
      <c r="X276" s="9">
        <f>-IF(C276=1,LN(W276),LN(1-W276))</f>
        <v/>
      </c>
      <c r="Y276" s="10">
        <f>IF(W276&gt;$AC$33,1,0)</f>
        <v/>
      </c>
      <c r="Z276">
        <f>IF(Y276=C276,1,0)</f>
        <v/>
      </c>
    </row>
    <row r="277">
      <c r="A277">
        <f>'1 prepared data'!A270</f>
        <v/>
      </c>
      <c r="B277" s="5">
        <f>'1 prepared data'!U270</f>
        <v/>
      </c>
      <c r="C277">
        <f>'1 prepared data'!B270</f>
        <v/>
      </c>
      <c r="D277" s="7">
        <f>'1 prepared data'!C270</f>
        <v/>
      </c>
      <c r="E277" s="7">
        <f>'1 prepared data'!D270</f>
        <v/>
      </c>
      <c r="F277" s="7">
        <f>'1 prepared data'!E270</f>
        <v/>
      </c>
      <c r="G277" s="7">
        <f>'1 prepared data'!F270</f>
        <v/>
      </c>
      <c r="H277" s="7">
        <f>'1 prepared data'!G270</f>
        <v/>
      </c>
      <c r="I277" s="7">
        <f>'1 prepared data'!H270</f>
        <v/>
      </c>
      <c r="J277" s="7">
        <f>'1 prepared data'!I270</f>
        <v/>
      </c>
      <c r="K277" s="7">
        <f>'1 prepared data'!J270</f>
        <v/>
      </c>
      <c r="L277" s="7">
        <f>'1 prepared data'!K270</f>
        <v/>
      </c>
      <c r="M277" s="7">
        <f>'1 prepared data'!L270</f>
        <v/>
      </c>
      <c r="N277" s="7">
        <f>'1 prepared data'!M270</f>
        <v/>
      </c>
      <c r="O277" s="7">
        <f>'1 prepared data'!N270</f>
        <v/>
      </c>
      <c r="P277" s="7">
        <f>'1 prepared data'!O270</f>
        <v/>
      </c>
      <c r="Q277" s="7">
        <f>'1 prepared data'!P270</f>
        <v/>
      </c>
      <c r="R277" s="7">
        <f>'1 prepared data'!Q270</f>
        <v/>
      </c>
      <c r="S277" s="7">
        <f>'1 prepared data'!R270</f>
        <v/>
      </c>
      <c r="T277" s="7">
        <f>'1 prepared data'!S270</f>
        <v/>
      </c>
      <c r="U277" s="7">
        <f>'1 prepared data'!T270</f>
        <v/>
      </c>
      <c r="V277" s="8">
        <f>$AC$12+D277*$AC$13+E277*$AC$14+F277*$AC$15+G277*$AC$16+H277*$AC$17+I277*$AC$18+J277*$AC$19+K277*$AC$20+L277*$AC$21+M277*$AC$22+N277*$AC$23+O277*$AC$24+P277*$AC$25+Q277*$AC$26+R277*$AC$27+S277*$AC$28+T277*$AC$29+U277*$AC$30</f>
        <v/>
      </c>
      <c r="W277" s="8">
        <f>1/(1+EXP(-V277))</f>
        <v/>
      </c>
      <c r="X277" s="9">
        <f>-IF(C277=1,LN(W277),LN(1-W277))</f>
        <v/>
      </c>
      <c r="Y277" s="10">
        <f>IF(W277&gt;$AC$33,1,0)</f>
        <v/>
      </c>
      <c r="Z277">
        <f>IF(Y277=C277,1,0)</f>
        <v/>
      </c>
    </row>
    <row r="278">
      <c r="A278">
        <f>'1 prepared data'!A271</f>
        <v/>
      </c>
      <c r="B278" s="5">
        <f>'1 prepared data'!U271</f>
        <v/>
      </c>
      <c r="C278">
        <f>'1 prepared data'!B271</f>
        <v/>
      </c>
      <c r="D278" s="7">
        <f>'1 prepared data'!C271</f>
        <v/>
      </c>
      <c r="E278" s="7">
        <f>'1 prepared data'!D271</f>
        <v/>
      </c>
      <c r="F278" s="7">
        <f>'1 prepared data'!E271</f>
        <v/>
      </c>
      <c r="G278" s="7">
        <f>'1 prepared data'!F271</f>
        <v/>
      </c>
      <c r="H278" s="7">
        <f>'1 prepared data'!G271</f>
        <v/>
      </c>
      <c r="I278" s="7">
        <f>'1 prepared data'!H271</f>
        <v/>
      </c>
      <c r="J278" s="7">
        <f>'1 prepared data'!I271</f>
        <v/>
      </c>
      <c r="K278" s="7">
        <f>'1 prepared data'!J271</f>
        <v/>
      </c>
      <c r="L278" s="7">
        <f>'1 prepared data'!K271</f>
        <v/>
      </c>
      <c r="M278" s="7">
        <f>'1 prepared data'!L271</f>
        <v/>
      </c>
      <c r="N278" s="7">
        <f>'1 prepared data'!M271</f>
        <v/>
      </c>
      <c r="O278" s="7">
        <f>'1 prepared data'!N271</f>
        <v/>
      </c>
      <c r="P278" s="7">
        <f>'1 prepared data'!O271</f>
        <v/>
      </c>
      <c r="Q278" s="7">
        <f>'1 prepared data'!P271</f>
        <v/>
      </c>
      <c r="R278" s="7">
        <f>'1 prepared data'!Q271</f>
        <v/>
      </c>
      <c r="S278" s="7">
        <f>'1 prepared data'!R271</f>
        <v/>
      </c>
      <c r="T278" s="7">
        <f>'1 prepared data'!S271</f>
        <v/>
      </c>
      <c r="U278" s="7">
        <f>'1 prepared data'!T271</f>
        <v/>
      </c>
      <c r="V278" s="8">
        <f>$AC$12+D278*$AC$13+E278*$AC$14+F278*$AC$15+G278*$AC$16+H278*$AC$17+I278*$AC$18+J278*$AC$19+K278*$AC$20+L278*$AC$21+M278*$AC$22+N278*$AC$23+O278*$AC$24+P278*$AC$25+Q278*$AC$26+R278*$AC$27+S278*$AC$28+T278*$AC$29+U278*$AC$30</f>
        <v/>
      </c>
      <c r="W278" s="8">
        <f>1/(1+EXP(-V278))</f>
        <v/>
      </c>
      <c r="X278" s="9">
        <f>-IF(C278=1,LN(W278),LN(1-W278))</f>
        <v/>
      </c>
      <c r="Y278" s="10">
        <f>IF(W278&gt;$AC$33,1,0)</f>
        <v/>
      </c>
      <c r="Z278">
        <f>IF(Y278=C278,1,0)</f>
        <v/>
      </c>
    </row>
    <row r="279">
      <c r="A279">
        <f>'1 prepared data'!A272</f>
        <v/>
      </c>
      <c r="B279" s="5">
        <f>'1 prepared data'!U272</f>
        <v/>
      </c>
      <c r="C279">
        <f>'1 prepared data'!B272</f>
        <v/>
      </c>
      <c r="D279" s="7">
        <f>'1 prepared data'!C272</f>
        <v/>
      </c>
      <c r="E279" s="7">
        <f>'1 prepared data'!D272</f>
        <v/>
      </c>
      <c r="F279" s="7">
        <f>'1 prepared data'!E272</f>
        <v/>
      </c>
      <c r="G279" s="7">
        <f>'1 prepared data'!F272</f>
        <v/>
      </c>
      <c r="H279" s="7">
        <f>'1 prepared data'!G272</f>
        <v/>
      </c>
      <c r="I279" s="7">
        <f>'1 prepared data'!H272</f>
        <v/>
      </c>
      <c r="J279" s="7">
        <f>'1 prepared data'!I272</f>
        <v/>
      </c>
      <c r="K279" s="7">
        <f>'1 prepared data'!J272</f>
        <v/>
      </c>
      <c r="L279" s="7">
        <f>'1 prepared data'!K272</f>
        <v/>
      </c>
      <c r="M279" s="7">
        <f>'1 prepared data'!L272</f>
        <v/>
      </c>
      <c r="N279" s="7">
        <f>'1 prepared data'!M272</f>
        <v/>
      </c>
      <c r="O279" s="7">
        <f>'1 prepared data'!N272</f>
        <v/>
      </c>
      <c r="P279" s="7">
        <f>'1 prepared data'!O272</f>
        <v/>
      </c>
      <c r="Q279" s="7">
        <f>'1 prepared data'!P272</f>
        <v/>
      </c>
      <c r="R279" s="7">
        <f>'1 prepared data'!Q272</f>
        <v/>
      </c>
      <c r="S279" s="7">
        <f>'1 prepared data'!R272</f>
        <v/>
      </c>
      <c r="T279" s="7">
        <f>'1 prepared data'!S272</f>
        <v/>
      </c>
      <c r="U279" s="7">
        <f>'1 prepared data'!T272</f>
        <v/>
      </c>
      <c r="V279" s="8">
        <f>$AC$12+D279*$AC$13+E279*$AC$14+F279*$AC$15+G279*$AC$16+H279*$AC$17+I279*$AC$18+J279*$AC$19+K279*$AC$20+L279*$AC$21+M279*$AC$22+N279*$AC$23+O279*$AC$24+P279*$AC$25+Q279*$AC$26+R279*$AC$27+S279*$AC$28+T279*$AC$29+U279*$AC$30</f>
        <v/>
      </c>
      <c r="W279" s="8">
        <f>1/(1+EXP(-V279))</f>
        <v/>
      </c>
      <c r="X279" s="9">
        <f>-IF(C279=1,LN(W279),LN(1-W279))</f>
        <v/>
      </c>
      <c r="Y279" s="10">
        <f>IF(W279&gt;$AC$33,1,0)</f>
        <v/>
      </c>
      <c r="Z279">
        <f>IF(Y279=C279,1,0)</f>
        <v/>
      </c>
    </row>
    <row r="280">
      <c r="A280">
        <f>'1 prepared data'!A273</f>
        <v/>
      </c>
      <c r="B280" s="5">
        <f>'1 prepared data'!U273</f>
        <v/>
      </c>
      <c r="C280">
        <f>'1 prepared data'!B273</f>
        <v/>
      </c>
      <c r="D280" s="7">
        <f>'1 prepared data'!C273</f>
        <v/>
      </c>
      <c r="E280" s="7">
        <f>'1 prepared data'!D273</f>
        <v/>
      </c>
      <c r="F280" s="7">
        <f>'1 prepared data'!E273</f>
        <v/>
      </c>
      <c r="G280" s="7">
        <f>'1 prepared data'!F273</f>
        <v/>
      </c>
      <c r="H280" s="7">
        <f>'1 prepared data'!G273</f>
        <v/>
      </c>
      <c r="I280" s="7">
        <f>'1 prepared data'!H273</f>
        <v/>
      </c>
      <c r="J280" s="7">
        <f>'1 prepared data'!I273</f>
        <v/>
      </c>
      <c r="K280" s="7">
        <f>'1 prepared data'!J273</f>
        <v/>
      </c>
      <c r="L280" s="7">
        <f>'1 prepared data'!K273</f>
        <v/>
      </c>
      <c r="M280" s="7">
        <f>'1 prepared data'!L273</f>
        <v/>
      </c>
      <c r="N280" s="7">
        <f>'1 prepared data'!M273</f>
        <v/>
      </c>
      <c r="O280" s="7">
        <f>'1 prepared data'!N273</f>
        <v/>
      </c>
      <c r="P280" s="7">
        <f>'1 prepared data'!O273</f>
        <v/>
      </c>
      <c r="Q280" s="7">
        <f>'1 prepared data'!P273</f>
        <v/>
      </c>
      <c r="R280" s="7">
        <f>'1 prepared data'!Q273</f>
        <v/>
      </c>
      <c r="S280" s="7">
        <f>'1 prepared data'!R273</f>
        <v/>
      </c>
      <c r="T280" s="7">
        <f>'1 prepared data'!S273</f>
        <v/>
      </c>
      <c r="U280" s="7">
        <f>'1 prepared data'!T273</f>
        <v/>
      </c>
      <c r="V280" s="8">
        <f>$AC$12+D280*$AC$13+E280*$AC$14+F280*$AC$15+G280*$AC$16+H280*$AC$17+I280*$AC$18+J280*$AC$19+K280*$AC$20+L280*$AC$21+M280*$AC$22+N280*$AC$23+O280*$AC$24+P280*$AC$25+Q280*$AC$26+R280*$AC$27+S280*$AC$28+T280*$AC$29+U280*$AC$30</f>
        <v/>
      </c>
      <c r="W280" s="8">
        <f>1/(1+EXP(-V280))</f>
        <v/>
      </c>
      <c r="X280" s="9">
        <f>-IF(C280=1,LN(W280),LN(1-W280))</f>
        <v/>
      </c>
      <c r="Y280" s="10">
        <f>IF(W280&gt;$AC$33,1,0)</f>
        <v/>
      </c>
      <c r="Z280">
        <f>IF(Y280=C280,1,0)</f>
        <v/>
      </c>
    </row>
    <row r="281">
      <c r="A281">
        <f>'1 prepared data'!A274</f>
        <v/>
      </c>
      <c r="B281" s="5">
        <f>'1 prepared data'!U274</f>
        <v/>
      </c>
      <c r="C281">
        <f>'1 prepared data'!B274</f>
        <v/>
      </c>
      <c r="D281" s="7">
        <f>'1 prepared data'!C274</f>
        <v/>
      </c>
      <c r="E281" s="7">
        <f>'1 prepared data'!D274</f>
        <v/>
      </c>
      <c r="F281" s="7">
        <f>'1 prepared data'!E274</f>
        <v/>
      </c>
      <c r="G281" s="7">
        <f>'1 prepared data'!F274</f>
        <v/>
      </c>
      <c r="H281" s="7">
        <f>'1 prepared data'!G274</f>
        <v/>
      </c>
      <c r="I281" s="7">
        <f>'1 prepared data'!H274</f>
        <v/>
      </c>
      <c r="J281" s="7">
        <f>'1 prepared data'!I274</f>
        <v/>
      </c>
      <c r="K281" s="7">
        <f>'1 prepared data'!J274</f>
        <v/>
      </c>
      <c r="L281" s="7">
        <f>'1 prepared data'!K274</f>
        <v/>
      </c>
      <c r="M281" s="7">
        <f>'1 prepared data'!L274</f>
        <v/>
      </c>
      <c r="N281" s="7">
        <f>'1 prepared data'!M274</f>
        <v/>
      </c>
      <c r="O281" s="7">
        <f>'1 prepared data'!N274</f>
        <v/>
      </c>
      <c r="P281" s="7">
        <f>'1 prepared data'!O274</f>
        <v/>
      </c>
      <c r="Q281" s="7">
        <f>'1 prepared data'!P274</f>
        <v/>
      </c>
      <c r="R281" s="7">
        <f>'1 prepared data'!Q274</f>
        <v/>
      </c>
      <c r="S281" s="7">
        <f>'1 prepared data'!R274</f>
        <v/>
      </c>
      <c r="T281" s="7">
        <f>'1 prepared data'!S274</f>
        <v/>
      </c>
      <c r="U281" s="7">
        <f>'1 prepared data'!T274</f>
        <v/>
      </c>
      <c r="V281" s="8">
        <f>$AC$12+D281*$AC$13+E281*$AC$14+F281*$AC$15+G281*$AC$16+H281*$AC$17+I281*$AC$18+J281*$AC$19+K281*$AC$20+L281*$AC$21+M281*$AC$22+N281*$AC$23+O281*$AC$24+P281*$AC$25+Q281*$AC$26+R281*$AC$27+S281*$AC$28+T281*$AC$29+U281*$AC$30</f>
        <v/>
      </c>
      <c r="W281" s="8">
        <f>1/(1+EXP(-V281))</f>
        <v/>
      </c>
      <c r="X281" s="9">
        <f>-IF(C281=1,LN(W281),LN(1-W281))</f>
        <v/>
      </c>
      <c r="Y281" s="10">
        <f>IF(W281&gt;$AC$33,1,0)</f>
        <v/>
      </c>
      <c r="Z281">
        <f>IF(Y281=C281,1,0)</f>
        <v/>
      </c>
    </row>
    <row r="282">
      <c r="A282">
        <f>'1 prepared data'!A275</f>
        <v/>
      </c>
      <c r="B282" s="5">
        <f>'1 prepared data'!U275</f>
        <v/>
      </c>
      <c r="C282">
        <f>'1 prepared data'!B275</f>
        <v/>
      </c>
      <c r="D282" s="7">
        <f>'1 prepared data'!C275</f>
        <v/>
      </c>
      <c r="E282" s="7">
        <f>'1 prepared data'!D275</f>
        <v/>
      </c>
      <c r="F282" s="7">
        <f>'1 prepared data'!E275</f>
        <v/>
      </c>
      <c r="G282" s="7">
        <f>'1 prepared data'!F275</f>
        <v/>
      </c>
      <c r="H282" s="7">
        <f>'1 prepared data'!G275</f>
        <v/>
      </c>
      <c r="I282" s="7">
        <f>'1 prepared data'!H275</f>
        <v/>
      </c>
      <c r="J282" s="7">
        <f>'1 prepared data'!I275</f>
        <v/>
      </c>
      <c r="K282" s="7">
        <f>'1 prepared data'!J275</f>
        <v/>
      </c>
      <c r="L282" s="7">
        <f>'1 prepared data'!K275</f>
        <v/>
      </c>
      <c r="M282" s="7">
        <f>'1 prepared data'!L275</f>
        <v/>
      </c>
      <c r="N282" s="7">
        <f>'1 prepared data'!M275</f>
        <v/>
      </c>
      <c r="O282" s="7">
        <f>'1 prepared data'!N275</f>
        <v/>
      </c>
      <c r="P282" s="7">
        <f>'1 prepared data'!O275</f>
        <v/>
      </c>
      <c r="Q282" s="7">
        <f>'1 prepared data'!P275</f>
        <v/>
      </c>
      <c r="R282" s="7">
        <f>'1 prepared data'!Q275</f>
        <v/>
      </c>
      <c r="S282" s="7">
        <f>'1 prepared data'!R275</f>
        <v/>
      </c>
      <c r="T282" s="7">
        <f>'1 prepared data'!S275</f>
        <v/>
      </c>
      <c r="U282" s="7">
        <f>'1 prepared data'!T275</f>
        <v/>
      </c>
      <c r="V282" s="8">
        <f>$AC$12+D282*$AC$13+E282*$AC$14+F282*$AC$15+G282*$AC$16+H282*$AC$17+I282*$AC$18+J282*$AC$19+K282*$AC$20+L282*$AC$21+M282*$AC$22+N282*$AC$23+O282*$AC$24+P282*$AC$25+Q282*$AC$26+R282*$AC$27+S282*$AC$28+T282*$AC$29+U282*$AC$30</f>
        <v/>
      </c>
      <c r="W282" s="8">
        <f>1/(1+EXP(-V282))</f>
        <v/>
      </c>
      <c r="X282" s="9">
        <f>-IF(C282=1,LN(W282),LN(1-W282))</f>
        <v/>
      </c>
      <c r="Y282" s="10">
        <f>IF(W282&gt;$AC$33,1,0)</f>
        <v/>
      </c>
      <c r="Z282">
        <f>IF(Y282=C282,1,0)</f>
        <v/>
      </c>
    </row>
    <row r="283">
      <c r="A283">
        <f>'1 prepared data'!A276</f>
        <v/>
      </c>
      <c r="B283" s="5">
        <f>'1 prepared data'!U276</f>
        <v/>
      </c>
      <c r="C283">
        <f>'1 prepared data'!B276</f>
        <v/>
      </c>
      <c r="D283" s="7">
        <f>'1 prepared data'!C276</f>
        <v/>
      </c>
      <c r="E283" s="7">
        <f>'1 prepared data'!D276</f>
        <v/>
      </c>
      <c r="F283" s="7">
        <f>'1 prepared data'!E276</f>
        <v/>
      </c>
      <c r="G283" s="7">
        <f>'1 prepared data'!F276</f>
        <v/>
      </c>
      <c r="H283" s="7">
        <f>'1 prepared data'!G276</f>
        <v/>
      </c>
      <c r="I283" s="7">
        <f>'1 prepared data'!H276</f>
        <v/>
      </c>
      <c r="J283" s="7">
        <f>'1 prepared data'!I276</f>
        <v/>
      </c>
      <c r="K283" s="7">
        <f>'1 prepared data'!J276</f>
        <v/>
      </c>
      <c r="L283" s="7">
        <f>'1 prepared data'!K276</f>
        <v/>
      </c>
      <c r="M283" s="7">
        <f>'1 prepared data'!L276</f>
        <v/>
      </c>
      <c r="N283" s="7">
        <f>'1 prepared data'!M276</f>
        <v/>
      </c>
      <c r="O283" s="7">
        <f>'1 prepared data'!N276</f>
        <v/>
      </c>
      <c r="P283" s="7">
        <f>'1 prepared data'!O276</f>
        <v/>
      </c>
      <c r="Q283" s="7">
        <f>'1 prepared data'!P276</f>
        <v/>
      </c>
      <c r="R283" s="7">
        <f>'1 prepared data'!Q276</f>
        <v/>
      </c>
      <c r="S283" s="7">
        <f>'1 prepared data'!R276</f>
        <v/>
      </c>
      <c r="T283" s="7">
        <f>'1 prepared data'!S276</f>
        <v/>
      </c>
      <c r="U283" s="7">
        <f>'1 prepared data'!T276</f>
        <v/>
      </c>
      <c r="V283" s="8">
        <f>$AC$12+D283*$AC$13+E283*$AC$14+F283*$AC$15+G283*$AC$16+H283*$AC$17+I283*$AC$18+J283*$AC$19+K283*$AC$20+L283*$AC$21+M283*$AC$22+N283*$AC$23+O283*$AC$24+P283*$AC$25+Q283*$AC$26+R283*$AC$27+S283*$AC$28+T283*$AC$29+U283*$AC$30</f>
        <v/>
      </c>
      <c r="W283" s="8">
        <f>1/(1+EXP(-V283))</f>
        <v/>
      </c>
      <c r="X283" s="9">
        <f>-IF(C283=1,LN(W283),LN(1-W283))</f>
        <v/>
      </c>
      <c r="Y283" s="10">
        <f>IF(W283&gt;$AC$33,1,0)</f>
        <v/>
      </c>
      <c r="Z283">
        <f>IF(Y283=C283,1,0)</f>
        <v/>
      </c>
    </row>
    <row r="284">
      <c r="A284">
        <f>'1 prepared data'!A277</f>
        <v/>
      </c>
      <c r="B284" s="5">
        <f>'1 prepared data'!U277</f>
        <v/>
      </c>
      <c r="C284">
        <f>'1 prepared data'!B277</f>
        <v/>
      </c>
      <c r="D284" s="7">
        <f>'1 prepared data'!C277</f>
        <v/>
      </c>
      <c r="E284" s="7">
        <f>'1 prepared data'!D277</f>
        <v/>
      </c>
      <c r="F284" s="7">
        <f>'1 prepared data'!E277</f>
        <v/>
      </c>
      <c r="G284" s="7">
        <f>'1 prepared data'!F277</f>
        <v/>
      </c>
      <c r="H284" s="7">
        <f>'1 prepared data'!G277</f>
        <v/>
      </c>
      <c r="I284" s="7">
        <f>'1 prepared data'!H277</f>
        <v/>
      </c>
      <c r="J284" s="7">
        <f>'1 prepared data'!I277</f>
        <v/>
      </c>
      <c r="K284" s="7">
        <f>'1 prepared data'!J277</f>
        <v/>
      </c>
      <c r="L284" s="7">
        <f>'1 prepared data'!K277</f>
        <v/>
      </c>
      <c r="M284" s="7">
        <f>'1 prepared data'!L277</f>
        <v/>
      </c>
      <c r="N284" s="7">
        <f>'1 prepared data'!M277</f>
        <v/>
      </c>
      <c r="O284" s="7">
        <f>'1 prepared data'!N277</f>
        <v/>
      </c>
      <c r="P284" s="7">
        <f>'1 prepared data'!O277</f>
        <v/>
      </c>
      <c r="Q284" s="7">
        <f>'1 prepared data'!P277</f>
        <v/>
      </c>
      <c r="R284" s="7">
        <f>'1 prepared data'!Q277</f>
        <v/>
      </c>
      <c r="S284" s="7">
        <f>'1 prepared data'!R277</f>
        <v/>
      </c>
      <c r="T284" s="7">
        <f>'1 prepared data'!S277</f>
        <v/>
      </c>
      <c r="U284" s="7">
        <f>'1 prepared data'!T277</f>
        <v/>
      </c>
      <c r="V284" s="8">
        <f>$AC$12+D284*$AC$13+E284*$AC$14+F284*$AC$15+G284*$AC$16+H284*$AC$17+I284*$AC$18+J284*$AC$19+K284*$AC$20+L284*$AC$21+M284*$AC$22+N284*$AC$23+O284*$AC$24+P284*$AC$25+Q284*$AC$26+R284*$AC$27+S284*$AC$28+T284*$AC$29+U284*$AC$30</f>
        <v/>
      </c>
      <c r="W284" s="8">
        <f>1/(1+EXP(-V284))</f>
        <v/>
      </c>
      <c r="X284" s="9">
        <f>-IF(C284=1,LN(W284),LN(1-W284))</f>
        <v/>
      </c>
      <c r="Y284" s="10">
        <f>IF(W284&gt;$AC$33,1,0)</f>
        <v/>
      </c>
      <c r="Z284">
        <f>IF(Y284=C284,1,0)</f>
        <v/>
      </c>
    </row>
    <row r="285">
      <c r="A285">
        <f>'1 prepared data'!A278</f>
        <v/>
      </c>
      <c r="B285" s="5">
        <f>'1 prepared data'!U278</f>
        <v/>
      </c>
      <c r="C285">
        <f>'1 prepared data'!B278</f>
        <v/>
      </c>
      <c r="D285" s="7">
        <f>'1 prepared data'!C278</f>
        <v/>
      </c>
      <c r="E285" s="7">
        <f>'1 prepared data'!D278</f>
        <v/>
      </c>
      <c r="F285" s="7">
        <f>'1 prepared data'!E278</f>
        <v/>
      </c>
      <c r="G285" s="7">
        <f>'1 prepared data'!F278</f>
        <v/>
      </c>
      <c r="H285" s="7">
        <f>'1 prepared data'!G278</f>
        <v/>
      </c>
      <c r="I285" s="7">
        <f>'1 prepared data'!H278</f>
        <v/>
      </c>
      <c r="J285" s="7">
        <f>'1 prepared data'!I278</f>
        <v/>
      </c>
      <c r="K285" s="7">
        <f>'1 prepared data'!J278</f>
        <v/>
      </c>
      <c r="L285" s="7">
        <f>'1 prepared data'!K278</f>
        <v/>
      </c>
      <c r="M285" s="7">
        <f>'1 prepared data'!L278</f>
        <v/>
      </c>
      <c r="N285" s="7">
        <f>'1 prepared data'!M278</f>
        <v/>
      </c>
      <c r="O285" s="7">
        <f>'1 prepared data'!N278</f>
        <v/>
      </c>
      <c r="P285" s="7">
        <f>'1 prepared data'!O278</f>
        <v/>
      </c>
      <c r="Q285" s="7">
        <f>'1 prepared data'!P278</f>
        <v/>
      </c>
      <c r="R285" s="7">
        <f>'1 prepared data'!Q278</f>
        <v/>
      </c>
      <c r="S285" s="7">
        <f>'1 prepared data'!R278</f>
        <v/>
      </c>
      <c r="T285" s="7">
        <f>'1 prepared data'!S278</f>
        <v/>
      </c>
      <c r="U285" s="7">
        <f>'1 prepared data'!T278</f>
        <v/>
      </c>
      <c r="V285" s="8">
        <f>$AC$12+D285*$AC$13+E285*$AC$14+F285*$AC$15+G285*$AC$16+H285*$AC$17+I285*$AC$18+J285*$AC$19+K285*$AC$20+L285*$AC$21+M285*$AC$22+N285*$AC$23+O285*$AC$24+P285*$AC$25+Q285*$AC$26+R285*$AC$27+S285*$AC$28+T285*$AC$29+U285*$AC$30</f>
        <v/>
      </c>
      <c r="W285" s="8">
        <f>1/(1+EXP(-V285))</f>
        <v/>
      </c>
      <c r="X285" s="9">
        <f>-IF(C285=1,LN(W285),LN(1-W285))</f>
        <v/>
      </c>
      <c r="Y285" s="10">
        <f>IF(W285&gt;$AC$33,1,0)</f>
        <v/>
      </c>
      <c r="Z285">
        <f>IF(Y285=C285,1,0)</f>
        <v/>
      </c>
    </row>
    <row r="286">
      <c r="A286">
        <f>'1 prepared data'!A279</f>
        <v/>
      </c>
      <c r="B286" s="5">
        <f>'1 prepared data'!U279</f>
        <v/>
      </c>
      <c r="C286">
        <f>'1 prepared data'!B279</f>
        <v/>
      </c>
      <c r="D286" s="7">
        <f>'1 prepared data'!C279</f>
        <v/>
      </c>
      <c r="E286" s="7">
        <f>'1 prepared data'!D279</f>
        <v/>
      </c>
      <c r="F286" s="7">
        <f>'1 prepared data'!E279</f>
        <v/>
      </c>
      <c r="G286" s="7">
        <f>'1 prepared data'!F279</f>
        <v/>
      </c>
      <c r="H286" s="7">
        <f>'1 prepared data'!G279</f>
        <v/>
      </c>
      <c r="I286" s="7">
        <f>'1 prepared data'!H279</f>
        <v/>
      </c>
      <c r="J286" s="7">
        <f>'1 prepared data'!I279</f>
        <v/>
      </c>
      <c r="K286" s="7">
        <f>'1 prepared data'!J279</f>
        <v/>
      </c>
      <c r="L286" s="7">
        <f>'1 prepared data'!K279</f>
        <v/>
      </c>
      <c r="M286" s="7">
        <f>'1 prepared data'!L279</f>
        <v/>
      </c>
      <c r="N286" s="7">
        <f>'1 prepared data'!M279</f>
        <v/>
      </c>
      <c r="O286" s="7">
        <f>'1 prepared data'!N279</f>
        <v/>
      </c>
      <c r="P286" s="7">
        <f>'1 prepared data'!O279</f>
        <v/>
      </c>
      <c r="Q286" s="7">
        <f>'1 prepared data'!P279</f>
        <v/>
      </c>
      <c r="R286" s="7">
        <f>'1 prepared data'!Q279</f>
        <v/>
      </c>
      <c r="S286" s="7">
        <f>'1 prepared data'!R279</f>
        <v/>
      </c>
      <c r="T286" s="7">
        <f>'1 prepared data'!S279</f>
        <v/>
      </c>
      <c r="U286" s="7">
        <f>'1 prepared data'!T279</f>
        <v/>
      </c>
      <c r="V286" s="8">
        <f>$AC$12+D286*$AC$13+E286*$AC$14+F286*$AC$15+G286*$AC$16+H286*$AC$17+I286*$AC$18+J286*$AC$19+K286*$AC$20+L286*$AC$21+M286*$AC$22+N286*$AC$23+O286*$AC$24+P286*$AC$25+Q286*$AC$26+R286*$AC$27+S286*$AC$28+T286*$AC$29+U286*$AC$30</f>
        <v/>
      </c>
      <c r="W286" s="8">
        <f>1/(1+EXP(-V286))</f>
        <v/>
      </c>
      <c r="X286" s="9">
        <f>-IF(C286=1,LN(W286),LN(1-W286))</f>
        <v/>
      </c>
      <c r="Y286" s="10">
        <f>IF(W286&gt;$AC$33,1,0)</f>
        <v/>
      </c>
      <c r="Z286">
        <f>IF(Y286=C286,1,0)</f>
        <v/>
      </c>
    </row>
    <row r="287">
      <c r="A287">
        <f>'1 prepared data'!A280</f>
        <v/>
      </c>
      <c r="B287" s="5">
        <f>'1 prepared data'!U280</f>
        <v/>
      </c>
      <c r="C287">
        <f>'1 prepared data'!B280</f>
        <v/>
      </c>
      <c r="D287" s="7">
        <f>'1 prepared data'!C280</f>
        <v/>
      </c>
      <c r="E287" s="7">
        <f>'1 prepared data'!D280</f>
        <v/>
      </c>
      <c r="F287" s="7">
        <f>'1 prepared data'!E280</f>
        <v/>
      </c>
      <c r="G287" s="7">
        <f>'1 prepared data'!F280</f>
        <v/>
      </c>
      <c r="H287" s="7">
        <f>'1 prepared data'!G280</f>
        <v/>
      </c>
      <c r="I287" s="7">
        <f>'1 prepared data'!H280</f>
        <v/>
      </c>
      <c r="J287" s="7">
        <f>'1 prepared data'!I280</f>
        <v/>
      </c>
      <c r="K287" s="7">
        <f>'1 prepared data'!J280</f>
        <v/>
      </c>
      <c r="L287" s="7">
        <f>'1 prepared data'!K280</f>
        <v/>
      </c>
      <c r="M287" s="7">
        <f>'1 prepared data'!L280</f>
        <v/>
      </c>
      <c r="N287" s="7">
        <f>'1 prepared data'!M280</f>
        <v/>
      </c>
      <c r="O287" s="7">
        <f>'1 prepared data'!N280</f>
        <v/>
      </c>
      <c r="P287" s="7">
        <f>'1 prepared data'!O280</f>
        <v/>
      </c>
      <c r="Q287" s="7">
        <f>'1 prepared data'!P280</f>
        <v/>
      </c>
      <c r="R287" s="7">
        <f>'1 prepared data'!Q280</f>
        <v/>
      </c>
      <c r="S287" s="7">
        <f>'1 prepared data'!R280</f>
        <v/>
      </c>
      <c r="T287" s="7">
        <f>'1 prepared data'!S280</f>
        <v/>
      </c>
      <c r="U287" s="7">
        <f>'1 prepared data'!T280</f>
        <v/>
      </c>
      <c r="V287" s="8">
        <f>$AC$12+D287*$AC$13+E287*$AC$14+F287*$AC$15+G287*$AC$16+H287*$AC$17+I287*$AC$18+J287*$AC$19+K287*$AC$20+L287*$AC$21+M287*$AC$22+N287*$AC$23+O287*$AC$24+P287*$AC$25+Q287*$AC$26+R287*$AC$27+S287*$AC$28+T287*$AC$29+U287*$AC$30</f>
        <v/>
      </c>
      <c r="W287" s="8">
        <f>1/(1+EXP(-V287))</f>
        <v/>
      </c>
      <c r="X287" s="9">
        <f>-IF(C287=1,LN(W287),LN(1-W287))</f>
        <v/>
      </c>
      <c r="Y287" s="10">
        <f>IF(W287&gt;$AC$33,1,0)</f>
        <v/>
      </c>
      <c r="Z287">
        <f>IF(Y287=C287,1,0)</f>
        <v/>
      </c>
    </row>
    <row r="288">
      <c r="A288">
        <f>'1 prepared data'!A281</f>
        <v/>
      </c>
      <c r="B288" s="5">
        <f>'1 prepared data'!U281</f>
        <v/>
      </c>
      <c r="C288">
        <f>'1 prepared data'!B281</f>
        <v/>
      </c>
      <c r="D288" s="7">
        <f>'1 prepared data'!C281</f>
        <v/>
      </c>
      <c r="E288" s="7">
        <f>'1 prepared data'!D281</f>
        <v/>
      </c>
      <c r="F288" s="7">
        <f>'1 prepared data'!E281</f>
        <v/>
      </c>
      <c r="G288" s="7">
        <f>'1 prepared data'!F281</f>
        <v/>
      </c>
      <c r="H288" s="7">
        <f>'1 prepared data'!G281</f>
        <v/>
      </c>
      <c r="I288" s="7">
        <f>'1 prepared data'!H281</f>
        <v/>
      </c>
      <c r="J288" s="7">
        <f>'1 prepared data'!I281</f>
        <v/>
      </c>
      <c r="K288" s="7">
        <f>'1 prepared data'!J281</f>
        <v/>
      </c>
      <c r="L288" s="7">
        <f>'1 prepared data'!K281</f>
        <v/>
      </c>
      <c r="M288" s="7">
        <f>'1 prepared data'!L281</f>
        <v/>
      </c>
      <c r="N288" s="7">
        <f>'1 prepared data'!M281</f>
        <v/>
      </c>
      <c r="O288" s="7">
        <f>'1 prepared data'!N281</f>
        <v/>
      </c>
      <c r="P288" s="7">
        <f>'1 prepared data'!O281</f>
        <v/>
      </c>
      <c r="Q288" s="7">
        <f>'1 prepared data'!P281</f>
        <v/>
      </c>
      <c r="R288" s="7">
        <f>'1 prepared data'!Q281</f>
        <v/>
      </c>
      <c r="S288" s="7">
        <f>'1 prepared data'!R281</f>
        <v/>
      </c>
      <c r="T288" s="7">
        <f>'1 prepared data'!S281</f>
        <v/>
      </c>
      <c r="U288" s="7">
        <f>'1 prepared data'!T281</f>
        <v/>
      </c>
      <c r="V288" s="8">
        <f>$AC$12+D288*$AC$13+E288*$AC$14+F288*$AC$15+G288*$AC$16+H288*$AC$17+I288*$AC$18+J288*$AC$19+K288*$AC$20+L288*$AC$21+M288*$AC$22+N288*$AC$23+O288*$AC$24+P288*$AC$25+Q288*$AC$26+R288*$AC$27+S288*$AC$28+T288*$AC$29+U288*$AC$30</f>
        <v/>
      </c>
      <c r="W288" s="8">
        <f>1/(1+EXP(-V288))</f>
        <v/>
      </c>
      <c r="X288" s="9">
        <f>-IF(C288=1,LN(W288),LN(1-W288))</f>
        <v/>
      </c>
      <c r="Y288" s="10">
        <f>IF(W288&gt;$AC$33,1,0)</f>
        <v/>
      </c>
      <c r="Z288">
        <f>IF(Y288=C288,1,0)</f>
        <v/>
      </c>
    </row>
    <row r="289">
      <c r="A289">
        <f>'1 prepared data'!A282</f>
        <v/>
      </c>
      <c r="B289" s="5">
        <f>'1 prepared data'!U282</f>
        <v/>
      </c>
      <c r="C289">
        <f>'1 prepared data'!B282</f>
        <v/>
      </c>
      <c r="D289" s="7">
        <f>'1 prepared data'!C282</f>
        <v/>
      </c>
      <c r="E289" s="7">
        <f>'1 prepared data'!D282</f>
        <v/>
      </c>
      <c r="F289" s="7">
        <f>'1 prepared data'!E282</f>
        <v/>
      </c>
      <c r="G289" s="7">
        <f>'1 prepared data'!F282</f>
        <v/>
      </c>
      <c r="H289" s="7">
        <f>'1 prepared data'!G282</f>
        <v/>
      </c>
      <c r="I289" s="7">
        <f>'1 prepared data'!H282</f>
        <v/>
      </c>
      <c r="J289" s="7">
        <f>'1 prepared data'!I282</f>
        <v/>
      </c>
      <c r="K289" s="7">
        <f>'1 prepared data'!J282</f>
        <v/>
      </c>
      <c r="L289" s="7">
        <f>'1 prepared data'!K282</f>
        <v/>
      </c>
      <c r="M289" s="7">
        <f>'1 prepared data'!L282</f>
        <v/>
      </c>
      <c r="N289" s="7">
        <f>'1 prepared data'!M282</f>
        <v/>
      </c>
      <c r="O289" s="7">
        <f>'1 prepared data'!N282</f>
        <v/>
      </c>
      <c r="P289" s="7">
        <f>'1 prepared data'!O282</f>
        <v/>
      </c>
      <c r="Q289" s="7">
        <f>'1 prepared data'!P282</f>
        <v/>
      </c>
      <c r="R289" s="7">
        <f>'1 prepared data'!Q282</f>
        <v/>
      </c>
      <c r="S289" s="7">
        <f>'1 prepared data'!R282</f>
        <v/>
      </c>
      <c r="T289" s="7">
        <f>'1 prepared data'!S282</f>
        <v/>
      </c>
      <c r="U289" s="7">
        <f>'1 prepared data'!T282</f>
        <v/>
      </c>
      <c r="V289" s="8">
        <f>$AC$12+D289*$AC$13+E289*$AC$14+F289*$AC$15+G289*$AC$16+H289*$AC$17+I289*$AC$18+J289*$AC$19+K289*$AC$20+L289*$AC$21+M289*$AC$22+N289*$AC$23+O289*$AC$24+P289*$AC$25+Q289*$AC$26+R289*$AC$27+S289*$AC$28+T289*$AC$29+U289*$AC$30</f>
        <v/>
      </c>
      <c r="W289" s="8">
        <f>1/(1+EXP(-V289))</f>
        <v/>
      </c>
      <c r="X289" s="9">
        <f>-IF(C289=1,LN(W289),LN(1-W289))</f>
        <v/>
      </c>
      <c r="Y289" s="10">
        <f>IF(W289&gt;$AC$33,1,0)</f>
        <v/>
      </c>
      <c r="Z289">
        <f>IF(Y289=C289,1,0)</f>
        <v/>
      </c>
    </row>
    <row r="290">
      <c r="A290">
        <f>'1 prepared data'!A283</f>
        <v/>
      </c>
      <c r="B290" s="5">
        <f>'1 prepared data'!U283</f>
        <v/>
      </c>
      <c r="C290">
        <f>'1 prepared data'!B283</f>
        <v/>
      </c>
      <c r="D290" s="7">
        <f>'1 prepared data'!C283</f>
        <v/>
      </c>
      <c r="E290" s="7">
        <f>'1 prepared data'!D283</f>
        <v/>
      </c>
      <c r="F290" s="7">
        <f>'1 prepared data'!E283</f>
        <v/>
      </c>
      <c r="G290" s="7">
        <f>'1 prepared data'!F283</f>
        <v/>
      </c>
      <c r="H290" s="7">
        <f>'1 prepared data'!G283</f>
        <v/>
      </c>
      <c r="I290" s="7">
        <f>'1 prepared data'!H283</f>
        <v/>
      </c>
      <c r="J290" s="7">
        <f>'1 prepared data'!I283</f>
        <v/>
      </c>
      <c r="K290" s="7">
        <f>'1 prepared data'!J283</f>
        <v/>
      </c>
      <c r="L290" s="7">
        <f>'1 prepared data'!K283</f>
        <v/>
      </c>
      <c r="M290" s="7">
        <f>'1 prepared data'!L283</f>
        <v/>
      </c>
      <c r="N290" s="7">
        <f>'1 prepared data'!M283</f>
        <v/>
      </c>
      <c r="O290" s="7">
        <f>'1 prepared data'!N283</f>
        <v/>
      </c>
      <c r="P290" s="7">
        <f>'1 prepared data'!O283</f>
        <v/>
      </c>
      <c r="Q290" s="7">
        <f>'1 prepared data'!P283</f>
        <v/>
      </c>
      <c r="R290" s="7">
        <f>'1 prepared data'!Q283</f>
        <v/>
      </c>
      <c r="S290" s="7">
        <f>'1 prepared data'!R283</f>
        <v/>
      </c>
      <c r="T290" s="7">
        <f>'1 prepared data'!S283</f>
        <v/>
      </c>
      <c r="U290" s="7">
        <f>'1 prepared data'!T283</f>
        <v/>
      </c>
      <c r="V290" s="8">
        <f>$AC$12+D290*$AC$13+E290*$AC$14+F290*$AC$15+G290*$AC$16+H290*$AC$17+I290*$AC$18+J290*$AC$19+K290*$AC$20+L290*$AC$21+M290*$AC$22+N290*$AC$23+O290*$AC$24+P290*$AC$25+Q290*$AC$26+R290*$AC$27+S290*$AC$28+T290*$AC$29+U290*$AC$30</f>
        <v/>
      </c>
      <c r="W290" s="8">
        <f>1/(1+EXP(-V290))</f>
        <v/>
      </c>
      <c r="X290" s="9">
        <f>-IF(C290=1,LN(W290),LN(1-W290))</f>
        <v/>
      </c>
      <c r="Y290" s="10">
        <f>IF(W290&gt;$AC$33,1,0)</f>
        <v/>
      </c>
      <c r="Z290">
        <f>IF(Y290=C290,1,0)</f>
        <v/>
      </c>
    </row>
    <row r="291">
      <c r="A291">
        <f>'1 prepared data'!A284</f>
        <v/>
      </c>
      <c r="B291" s="5">
        <f>'1 prepared data'!U284</f>
        <v/>
      </c>
      <c r="C291">
        <f>'1 prepared data'!B284</f>
        <v/>
      </c>
      <c r="D291" s="7">
        <f>'1 prepared data'!C284</f>
        <v/>
      </c>
      <c r="E291" s="7">
        <f>'1 prepared data'!D284</f>
        <v/>
      </c>
      <c r="F291" s="7">
        <f>'1 prepared data'!E284</f>
        <v/>
      </c>
      <c r="G291" s="7">
        <f>'1 prepared data'!F284</f>
        <v/>
      </c>
      <c r="H291" s="7">
        <f>'1 prepared data'!G284</f>
        <v/>
      </c>
      <c r="I291" s="7">
        <f>'1 prepared data'!H284</f>
        <v/>
      </c>
      <c r="J291" s="7">
        <f>'1 prepared data'!I284</f>
        <v/>
      </c>
      <c r="K291" s="7">
        <f>'1 prepared data'!J284</f>
        <v/>
      </c>
      <c r="L291" s="7">
        <f>'1 prepared data'!K284</f>
        <v/>
      </c>
      <c r="M291" s="7">
        <f>'1 prepared data'!L284</f>
        <v/>
      </c>
      <c r="N291" s="7">
        <f>'1 prepared data'!M284</f>
        <v/>
      </c>
      <c r="O291" s="7">
        <f>'1 prepared data'!N284</f>
        <v/>
      </c>
      <c r="P291" s="7">
        <f>'1 prepared data'!O284</f>
        <v/>
      </c>
      <c r="Q291" s="7">
        <f>'1 prepared data'!P284</f>
        <v/>
      </c>
      <c r="R291" s="7">
        <f>'1 prepared data'!Q284</f>
        <v/>
      </c>
      <c r="S291" s="7">
        <f>'1 prepared data'!R284</f>
        <v/>
      </c>
      <c r="T291" s="7">
        <f>'1 prepared data'!S284</f>
        <v/>
      </c>
      <c r="U291" s="7">
        <f>'1 prepared data'!T284</f>
        <v/>
      </c>
      <c r="V291" s="8">
        <f>$AC$12+D291*$AC$13+E291*$AC$14+F291*$AC$15+G291*$AC$16+H291*$AC$17+I291*$AC$18+J291*$AC$19+K291*$AC$20+L291*$AC$21+M291*$AC$22+N291*$AC$23+O291*$AC$24+P291*$AC$25+Q291*$AC$26+R291*$AC$27+S291*$AC$28+T291*$AC$29+U291*$AC$30</f>
        <v/>
      </c>
      <c r="W291" s="8">
        <f>1/(1+EXP(-V291))</f>
        <v/>
      </c>
      <c r="X291" s="9">
        <f>-IF(C291=1,LN(W291),LN(1-W291))</f>
        <v/>
      </c>
      <c r="Y291" s="10">
        <f>IF(W291&gt;$AC$33,1,0)</f>
        <v/>
      </c>
      <c r="Z291">
        <f>IF(Y291=C291,1,0)</f>
        <v/>
      </c>
    </row>
    <row r="292">
      <c r="A292">
        <f>'1 prepared data'!A285</f>
        <v/>
      </c>
      <c r="B292" s="5">
        <f>'1 prepared data'!U285</f>
        <v/>
      </c>
      <c r="C292">
        <f>'1 prepared data'!B285</f>
        <v/>
      </c>
      <c r="D292" s="7">
        <f>'1 prepared data'!C285</f>
        <v/>
      </c>
      <c r="E292" s="7">
        <f>'1 prepared data'!D285</f>
        <v/>
      </c>
      <c r="F292" s="7">
        <f>'1 prepared data'!E285</f>
        <v/>
      </c>
      <c r="G292" s="7">
        <f>'1 prepared data'!F285</f>
        <v/>
      </c>
      <c r="H292" s="7">
        <f>'1 prepared data'!G285</f>
        <v/>
      </c>
      <c r="I292" s="7">
        <f>'1 prepared data'!H285</f>
        <v/>
      </c>
      <c r="J292" s="7">
        <f>'1 prepared data'!I285</f>
        <v/>
      </c>
      <c r="K292" s="7">
        <f>'1 prepared data'!J285</f>
        <v/>
      </c>
      <c r="L292" s="7">
        <f>'1 prepared data'!K285</f>
        <v/>
      </c>
      <c r="M292" s="7">
        <f>'1 prepared data'!L285</f>
        <v/>
      </c>
      <c r="N292" s="7">
        <f>'1 prepared data'!M285</f>
        <v/>
      </c>
      <c r="O292" s="7">
        <f>'1 prepared data'!N285</f>
        <v/>
      </c>
      <c r="P292" s="7">
        <f>'1 prepared data'!O285</f>
        <v/>
      </c>
      <c r="Q292" s="7">
        <f>'1 prepared data'!P285</f>
        <v/>
      </c>
      <c r="R292" s="7">
        <f>'1 prepared data'!Q285</f>
        <v/>
      </c>
      <c r="S292" s="7">
        <f>'1 prepared data'!R285</f>
        <v/>
      </c>
      <c r="T292" s="7">
        <f>'1 prepared data'!S285</f>
        <v/>
      </c>
      <c r="U292" s="7">
        <f>'1 prepared data'!T285</f>
        <v/>
      </c>
      <c r="V292" s="8">
        <f>$AC$12+D292*$AC$13+E292*$AC$14+F292*$AC$15+G292*$AC$16+H292*$AC$17+I292*$AC$18+J292*$AC$19+K292*$AC$20+L292*$AC$21+M292*$AC$22+N292*$AC$23+O292*$AC$24+P292*$AC$25+Q292*$AC$26+R292*$AC$27+S292*$AC$28+T292*$AC$29+U292*$AC$30</f>
        <v/>
      </c>
      <c r="W292" s="8">
        <f>1/(1+EXP(-V292))</f>
        <v/>
      </c>
      <c r="X292" s="9">
        <f>-IF(C292=1,LN(W292),LN(1-W292))</f>
        <v/>
      </c>
      <c r="Y292" s="10">
        <f>IF(W292&gt;$AC$33,1,0)</f>
        <v/>
      </c>
      <c r="Z292">
        <f>IF(Y292=C292,1,0)</f>
        <v/>
      </c>
    </row>
    <row r="293">
      <c r="A293">
        <f>'1 prepared data'!A286</f>
        <v/>
      </c>
      <c r="B293" s="5">
        <f>'1 prepared data'!U286</f>
        <v/>
      </c>
      <c r="C293">
        <f>'1 prepared data'!B286</f>
        <v/>
      </c>
      <c r="D293" s="7">
        <f>'1 prepared data'!C286</f>
        <v/>
      </c>
      <c r="E293" s="7">
        <f>'1 prepared data'!D286</f>
        <v/>
      </c>
      <c r="F293" s="7">
        <f>'1 prepared data'!E286</f>
        <v/>
      </c>
      <c r="G293" s="7">
        <f>'1 prepared data'!F286</f>
        <v/>
      </c>
      <c r="H293" s="7">
        <f>'1 prepared data'!G286</f>
        <v/>
      </c>
      <c r="I293" s="7">
        <f>'1 prepared data'!H286</f>
        <v/>
      </c>
      <c r="J293" s="7">
        <f>'1 prepared data'!I286</f>
        <v/>
      </c>
      <c r="K293" s="7">
        <f>'1 prepared data'!J286</f>
        <v/>
      </c>
      <c r="L293" s="7">
        <f>'1 prepared data'!K286</f>
        <v/>
      </c>
      <c r="M293" s="7">
        <f>'1 prepared data'!L286</f>
        <v/>
      </c>
      <c r="N293" s="7">
        <f>'1 prepared data'!M286</f>
        <v/>
      </c>
      <c r="O293" s="7">
        <f>'1 prepared data'!N286</f>
        <v/>
      </c>
      <c r="P293" s="7">
        <f>'1 prepared data'!O286</f>
        <v/>
      </c>
      <c r="Q293" s="7">
        <f>'1 prepared data'!P286</f>
        <v/>
      </c>
      <c r="R293" s="7">
        <f>'1 prepared data'!Q286</f>
        <v/>
      </c>
      <c r="S293" s="7">
        <f>'1 prepared data'!R286</f>
        <v/>
      </c>
      <c r="T293" s="7">
        <f>'1 prepared data'!S286</f>
        <v/>
      </c>
      <c r="U293" s="7">
        <f>'1 prepared data'!T286</f>
        <v/>
      </c>
      <c r="V293" s="8">
        <f>$AC$12+D293*$AC$13+E293*$AC$14+F293*$AC$15+G293*$AC$16+H293*$AC$17+I293*$AC$18+J293*$AC$19+K293*$AC$20+L293*$AC$21+M293*$AC$22+N293*$AC$23+O293*$AC$24+P293*$AC$25+Q293*$AC$26+R293*$AC$27+S293*$AC$28+T293*$AC$29+U293*$AC$30</f>
        <v/>
      </c>
      <c r="W293" s="8">
        <f>1/(1+EXP(-V293))</f>
        <v/>
      </c>
      <c r="X293" s="9">
        <f>-IF(C293=1,LN(W293),LN(1-W293))</f>
        <v/>
      </c>
      <c r="Y293" s="10">
        <f>IF(W293&gt;$AC$33,1,0)</f>
        <v/>
      </c>
      <c r="Z293">
        <f>IF(Y293=C293,1,0)</f>
        <v/>
      </c>
    </row>
    <row r="294">
      <c r="A294">
        <f>'1 prepared data'!A287</f>
        <v/>
      </c>
      <c r="B294" s="5">
        <f>'1 prepared data'!U287</f>
        <v/>
      </c>
      <c r="C294">
        <f>'1 prepared data'!B287</f>
        <v/>
      </c>
      <c r="D294" s="7">
        <f>'1 prepared data'!C287</f>
        <v/>
      </c>
      <c r="E294" s="7">
        <f>'1 prepared data'!D287</f>
        <v/>
      </c>
      <c r="F294" s="7">
        <f>'1 prepared data'!E287</f>
        <v/>
      </c>
      <c r="G294" s="7">
        <f>'1 prepared data'!F287</f>
        <v/>
      </c>
      <c r="H294" s="7">
        <f>'1 prepared data'!G287</f>
        <v/>
      </c>
      <c r="I294" s="7">
        <f>'1 prepared data'!H287</f>
        <v/>
      </c>
      <c r="J294" s="7">
        <f>'1 prepared data'!I287</f>
        <v/>
      </c>
      <c r="K294" s="7">
        <f>'1 prepared data'!J287</f>
        <v/>
      </c>
      <c r="L294" s="7">
        <f>'1 prepared data'!K287</f>
        <v/>
      </c>
      <c r="M294" s="7">
        <f>'1 prepared data'!L287</f>
        <v/>
      </c>
      <c r="N294" s="7">
        <f>'1 prepared data'!M287</f>
        <v/>
      </c>
      <c r="O294" s="7">
        <f>'1 prepared data'!N287</f>
        <v/>
      </c>
      <c r="P294" s="7">
        <f>'1 prepared data'!O287</f>
        <v/>
      </c>
      <c r="Q294" s="7">
        <f>'1 prepared data'!P287</f>
        <v/>
      </c>
      <c r="R294" s="7">
        <f>'1 prepared data'!Q287</f>
        <v/>
      </c>
      <c r="S294" s="7">
        <f>'1 prepared data'!R287</f>
        <v/>
      </c>
      <c r="T294" s="7">
        <f>'1 prepared data'!S287</f>
        <v/>
      </c>
      <c r="U294" s="7">
        <f>'1 prepared data'!T287</f>
        <v/>
      </c>
      <c r="V294" s="8">
        <f>$AC$12+D294*$AC$13+E294*$AC$14+F294*$AC$15+G294*$AC$16+H294*$AC$17+I294*$AC$18+J294*$AC$19+K294*$AC$20+L294*$AC$21+M294*$AC$22+N294*$AC$23+O294*$AC$24+P294*$AC$25+Q294*$AC$26+R294*$AC$27+S294*$AC$28+T294*$AC$29+U294*$AC$30</f>
        <v/>
      </c>
      <c r="W294" s="8">
        <f>1/(1+EXP(-V294))</f>
        <v/>
      </c>
      <c r="X294" s="9">
        <f>-IF(C294=1,LN(W294),LN(1-W294))</f>
        <v/>
      </c>
      <c r="Y294" s="10">
        <f>IF(W294&gt;$AC$33,1,0)</f>
        <v/>
      </c>
      <c r="Z294">
        <f>IF(Y294=C294,1,0)</f>
        <v/>
      </c>
    </row>
    <row r="295">
      <c r="A295">
        <f>'1 prepared data'!A288</f>
        <v/>
      </c>
      <c r="B295" s="5">
        <f>'1 prepared data'!U288</f>
        <v/>
      </c>
      <c r="C295">
        <f>'1 prepared data'!B288</f>
        <v/>
      </c>
      <c r="D295" s="7">
        <f>'1 prepared data'!C288</f>
        <v/>
      </c>
      <c r="E295" s="7">
        <f>'1 prepared data'!D288</f>
        <v/>
      </c>
      <c r="F295" s="7">
        <f>'1 prepared data'!E288</f>
        <v/>
      </c>
      <c r="G295" s="7">
        <f>'1 prepared data'!F288</f>
        <v/>
      </c>
      <c r="H295" s="7">
        <f>'1 prepared data'!G288</f>
        <v/>
      </c>
      <c r="I295" s="7">
        <f>'1 prepared data'!H288</f>
        <v/>
      </c>
      <c r="J295" s="7">
        <f>'1 prepared data'!I288</f>
        <v/>
      </c>
      <c r="K295" s="7">
        <f>'1 prepared data'!J288</f>
        <v/>
      </c>
      <c r="L295" s="7">
        <f>'1 prepared data'!K288</f>
        <v/>
      </c>
      <c r="M295" s="7">
        <f>'1 prepared data'!L288</f>
        <v/>
      </c>
      <c r="N295" s="7">
        <f>'1 prepared data'!M288</f>
        <v/>
      </c>
      <c r="O295" s="7">
        <f>'1 prepared data'!N288</f>
        <v/>
      </c>
      <c r="P295" s="7">
        <f>'1 prepared data'!O288</f>
        <v/>
      </c>
      <c r="Q295" s="7">
        <f>'1 prepared data'!P288</f>
        <v/>
      </c>
      <c r="R295" s="7">
        <f>'1 prepared data'!Q288</f>
        <v/>
      </c>
      <c r="S295" s="7">
        <f>'1 prepared data'!R288</f>
        <v/>
      </c>
      <c r="T295" s="7">
        <f>'1 prepared data'!S288</f>
        <v/>
      </c>
      <c r="U295" s="7">
        <f>'1 prepared data'!T288</f>
        <v/>
      </c>
      <c r="V295" s="8">
        <f>$AC$12+D295*$AC$13+E295*$AC$14+F295*$AC$15+G295*$AC$16+H295*$AC$17+I295*$AC$18+J295*$AC$19+K295*$AC$20+L295*$AC$21+M295*$AC$22+N295*$AC$23+O295*$AC$24+P295*$AC$25+Q295*$AC$26+R295*$AC$27+S295*$AC$28+T295*$AC$29+U295*$AC$30</f>
        <v/>
      </c>
      <c r="W295" s="8">
        <f>1/(1+EXP(-V295))</f>
        <v/>
      </c>
      <c r="X295" s="9">
        <f>-IF(C295=1,LN(W295),LN(1-W295))</f>
        <v/>
      </c>
      <c r="Y295" s="10">
        <f>IF(W295&gt;$AC$33,1,0)</f>
        <v/>
      </c>
      <c r="Z295">
        <f>IF(Y295=C295,1,0)</f>
        <v/>
      </c>
    </row>
    <row r="296">
      <c r="A296">
        <f>'1 prepared data'!A289</f>
        <v/>
      </c>
      <c r="B296" s="5">
        <f>'1 prepared data'!U289</f>
        <v/>
      </c>
      <c r="C296">
        <f>'1 prepared data'!B289</f>
        <v/>
      </c>
      <c r="D296" s="7">
        <f>'1 prepared data'!C289</f>
        <v/>
      </c>
      <c r="E296" s="7">
        <f>'1 prepared data'!D289</f>
        <v/>
      </c>
      <c r="F296" s="7">
        <f>'1 prepared data'!E289</f>
        <v/>
      </c>
      <c r="G296" s="7">
        <f>'1 prepared data'!F289</f>
        <v/>
      </c>
      <c r="H296" s="7">
        <f>'1 prepared data'!G289</f>
        <v/>
      </c>
      <c r="I296" s="7">
        <f>'1 prepared data'!H289</f>
        <v/>
      </c>
      <c r="J296" s="7">
        <f>'1 prepared data'!I289</f>
        <v/>
      </c>
      <c r="K296" s="7">
        <f>'1 prepared data'!J289</f>
        <v/>
      </c>
      <c r="L296" s="7">
        <f>'1 prepared data'!K289</f>
        <v/>
      </c>
      <c r="M296" s="7">
        <f>'1 prepared data'!L289</f>
        <v/>
      </c>
      <c r="N296" s="7">
        <f>'1 prepared data'!M289</f>
        <v/>
      </c>
      <c r="O296" s="7">
        <f>'1 prepared data'!N289</f>
        <v/>
      </c>
      <c r="P296" s="7">
        <f>'1 prepared data'!O289</f>
        <v/>
      </c>
      <c r="Q296" s="7">
        <f>'1 prepared data'!P289</f>
        <v/>
      </c>
      <c r="R296" s="7">
        <f>'1 prepared data'!Q289</f>
        <v/>
      </c>
      <c r="S296" s="7">
        <f>'1 prepared data'!R289</f>
        <v/>
      </c>
      <c r="T296" s="7">
        <f>'1 prepared data'!S289</f>
        <v/>
      </c>
      <c r="U296" s="7">
        <f>'1 prepared data'!T289</f>
        <v/>
      </c>
      <c r="V296" s="8">
        <f>$AC$12+D296*$AC$13+E296*$AC$14+F296*$AC$15+G296*$AC$16+H296*$AC$17+I296*$AC$18+J296*$AC$19+K296*$AC$20+L296*$AC$21+M296*$AC$22+N296*$AC$23+O296*$AC$24+P296*$AC$25+Q296*$AC$26+R296*$AC$27+S296*$AC$28+T296*$AC$29+U296*$AC$30</f>
        <v/>
      </c>
      <c r="W296" s="8">
        <f>1/(1+EXP(-V296))</f>
        <v/>
      </c>
      <c r="X296" s="9">
        <f>-IF(C296=1,LN(W296),LN(1-W296))</f>
        <v/>
      </c>
      <c r="Y296" s="10">
        <f>IF(W296&gt;$AC$33,1,0)</f>
        <v/>
      </c>
      <c r="Z296">
        <f>IF(Y296=C296,1,0)</f>
        <v/>
      </c>
    </row>
    <row r="297">
      <c r="A297">
        <f>'1 prepared data'!A290</f>
        <v/>
      </c>
      <c r="B297" s="5">
        <f>'1 prepared data'!U290</f>
        <v/>
      </c>
      <c r="C297">
        <f>'1 prepared data'!B290</f>
        <v/>
      </c>
      <c r="D297" s="7">
        <f>'1 prepared data'!C290</f>
        <v/>
      </c>
      <c r="E297" s="7">
        <f>'1 prepared data'!D290</f>
        <v/>
      </c>
      <c r="F297" s="7">
        <f>'1 prepared data'!E290</f>
        <v/>
      </c>
      <c r="G297" s="7">
        <f>'1 prepared data'!F290</f>
        <v/>
      </c>
      <c r="H297" s="7">
        <f>'1 prepared data'!G290</f>
        <v/>
      </c>
      <c r="I297" s="7">
        <f>'1 prepared data'!H290</f>
        <v/>
      </c>
      <c r="J297" s="7">
        <f>'1 prepared data'!I290</f>
        <v/>
      </c>
      <c r="K297" s="7">
        <f>'1 prepared data'!J290</f>
        <v/>
      </c>
      <c r="L297" s="7">
        <f>'1 prepared data'!K290</f>
        <v/>
      </c>
      <c r="M297" s="7">
        <f>'1 prepared data'!L290</f>
        <v/>
      </c>
      <c r="N297" s="7">
        <f>'1 prepared data'!M290</f>
        <v/>
      </c>
      <c r="O297" s="7">
        <f>'1 prepared data'!N290</f>
        <v/>
      </c>
      <c r="P297" s="7">
        <f>'1 prepared data'!O290</f>
        <v/>
      </c>
      <c r="Q297" s="7">
        <f>'1 prepared data'!P290</f>
        <v/>
      </c>
      <c r="R297" s="7">
        <f>'1 prepared data'!Q290</f>
        <v/>
      </c>
      <c r="S297" s="7">
        <f>'1 prepared data'!R290</f>
        <v/>
      </c>
      <c r="T297" s="7">
        <f>'1 prepared data'!S290</f>
        <v/>
      </c>
      <c r="U297" s="7">
        <f>'1 prepared data'!T290</f>
        <v/>
      </c>
      <c r="V297" s="8">
        <f>$AC$12+D297*$AC$13+E297*$AC$14+F297*$AC$15+G297*$AC$16+H297*$AC$17+I297*$AC$18+J297*$AC$19+K297*$AC$20+L297*$AC$21+M297*$AC$22+N297*$AC$23+O297*$AC$24+P297*$AC$25+Q297*$AC$26+R297*$AC$27+S297*$AC$28+T297*$AC$29+U297*$AC$30</f>
        <v/>
      </c>
      <c r="W297" s="8">
        <f>1/(1+EXP(-V297))</f>
        <v/>
      </c>
      <c r="X297" s="9">
        <f>-IF(C297=1,LN(W297),LN(1-W297))</f>
        <v/>
      </c>
      <c r="Y297" s="10">
        <f>IF(W297&gt;$AC$33,1,0)</f>
        <v/>
      </c>
      <c r="Z297">
        <f>IF(Y297=C297,1,0)</f>
        <v/>
      </c>
    </row>
    <row r="298">
      <c r="A298">
        <f>'1 prepared data'!A291</f>
        <v/>
      </c>
      <c r="B298" s="5">
        <f>'1 prepared data'!U291</f>
        <v/>
      </c>
      <c r="C298">
        <f>'1 prepared data'!B291</f>
        <v/>
      </c>
      <c r="D298" s="7">
        <f>'1 prepared data'!C291</f>
        <v/>
      </c>
      <c r="E298" s="7">
        <f>'1 prepared data'!D291</f>
        <v/>
      </c>
      <c r="F298" s="7">
        <f>'1 prepared data'!E291</f>
        <v/>
      </c>
      <c r="G298" s="7">
        <f>'1 prepared data'!F291</f>
        <v/>
      </c>
      <c r="H298" s="7">
        <f>'1 prepared data'!G291</f>
        <v/>
      </c>
      <c r="I298" s="7">
        <f>'1 prepared data'!H291</f>
        <v/>
      </c>
      <c r="J298" s="7">
        <f>'1 prepared data'!I291</f>
        <v/>
      </c>
      <c r="K298" s="7">
        <f>'1 prepared data'!J291</f>
        <v/>
      </c>
      <c r="L298" s="7">
        <f>'1 prepared data'!K291</f>
        <v/>
      </c>
      <c r="M298" s="7">
        <f>'1 prepared data'!L291</f>
        <v/>
      </c>
      <c r="N298" s="7">
        <f>'1 prepared data'!M291</f>
        <v/>
      </c>
      <c r="O298" s="7">
        <f>'1 prepared data'!N291</f>
        <v/>
      </c>
      <c r="P298" s="7">
        <f>'1 prepared data'!O291</f>
        <v/>
      </c>
      <c r="Q298" s="7">
        <f>'1 prepared data'!P291</f>
        <v/>
      </c>
      <c r="R298" s="7">
        <f>'1 prepared data'!Q291</f>
        <v/>
      </c>
      <c r="S298" s="7">
        <f>'1 prepared data'!R291</f>
        <v/>
      </c>
      <c r="T298" s="7">
        <f>'1 prepared data'!S291</f>
        <v/>
      </c>
      <c r="U298" s="7">
        <f>'1 prepared data'!T291</f>
        <v/>
      </c>
      <c r="V298" s="8">
        <f>$AC$12+D298*$AC$13+E298*$AC$14+F298*$AC$15+G298*$AC$16+H298*$AC$17+I298*$AC$18+J298*$AC$19+K298*$AC$20+L298*$AC$21+M298*$AC$22+N298*$AC$23+O298*$AC$24+P298*$AC$25+Q298*$AC$26+R298*$AC$27+S298*$AC$28+T298*$AC$29+U298*$AC$30</f>
        <v/>
      </c>
      <c r="W298" s="8">
        <f>1/(1+EXP(-V298))</f>
        <v/>
      </c>
      <c r="X298" s="9">
        <f>-IF(C298=1,LN(W298),LN(1-W298))</f>
        <v/>
      </c>
      <c r="Y298" s="10">
        <f>IF(W298&gt;$AC$33,1,0)</f>
        <v/>
      </c>
      <c r="Z298">
        <f>IF(Y298=C298,1,0)</f>
        <v/>
      </c>
    </row>
    <row r="299">
      <c r="A299">
        <f>'1 prepared data'!A292</f>
        <v/>
      </c>
      <c r="B299" s="5">
        <f>'1 prepared data'!U292</f>
        <v/>
      </c>
      <c r="C299">
        <f>'1 prepared data'!B292</f>
        <v/>
      </c>
      <c r="D299" s="7">
        <f>'1 prepared data'!C292</f>
        <v/>
      </c>
      <c r="E299" s="7">
        <f>'1 prepared data'!D292</f>
        <v/>
      </c>
      <c r="F299" s="7">
        <f>'1 prepared data'!E292</f>
        <v/>
      </c>
      <c r="G299" s="7">
        <f>'1 prepared data'!F292</f>
        <v/>
      </c>
      <c r="H299" s="7">
        <f>'1 prepared data'!G292</f>
        <v/>
      </c>
      <c r="I299" s="7">
        <f>'1 prepared data'!H292</f>
        <v/>
      </c>
      <c r="J299" s="7">
        <f>'1 prepared data'!I292</f>
        <v/>
      </c>
      <c r="K299" s="7">
        <f>'1 prepared data'!J292</f>
        <v/>
      </c>
      <c r="L299" s="7">
        <f>'1 prepared data'!K292</f>
        <v/>
      </c>
      <c r="M299" s="7">
        <f>'1 prepared data'!L292</f>
        <v/>
      </c>
      <c r="N299" s="7">
        <f>'1 prepared data'!M292</f>
        <v/>
      </c>
      <c r="O299" s="7">
        <f>'1 prepared data'!N292</f>
        <v/>
      </c>
      <c r="P299" s="7">
        <f>'1 prepared data'!O292</f>
        <v/>
      </c>
      <c r="Q299" s="7">
        <f>'1 prepared data'!P292</f>
        <v/>
      </c>
      <c r="R299" s="7">
        <f>'1 prepared data'!Q292</f>
        <v/>
      </c>
      <c r="S299" s="7">
        <f>'1 prepared data'!R292</f>
        <v/>
      </c>
      <c r="T299" s="7">
        <f>'1 prepared data'!S292</f>
        <v/>
      </c>
      <c r="U299" s="7">
        <f>'1 prepared data'!T292</f>
        <v/>
      </c>
      <c r="V299" s="8">
        <f>$AC$12+D299*$AC$13+E299*$AC$14+F299*$AC$15+G299*$AC$16+H299*$AC$17+I299*$AC$18+J299*$AC$19+K299*$AC$20+L299*$AC$21+M299*$AC$22+N299*$AC$23+O299*$AC$24+P299*$AC$25+Q299*$AC$26+R299*$AC$27+S299*$AC$28+T299*$AC$29+U299*$AC$30</f>
        <v/>
      </c>
      <c r="W299" s="8">
        <f>1/(1+EXP(-V299))</f>
        <v/>
      </c>
      <c r="X299" s="9">
        <f>-IF(C299=1,LN(W299),LN(1-W299))</f>
        <v/>
      </c>
      <c r="Y299" s="10">
        <f>IF(W299&gt;$AC$33,1,0)</f>
        <v/>
      </c>
      <c r="Z299">
        <f>IF(Y299=C299,1,0)</f>
        <v/>
      </c>
    </row>
    <row r="300">
      <c r="A300">
        <f>'1 prepared data'!A293</f>
        <v/>
      </c>
      <c r="B300" s="5">
        <f>'1 prepared data'!U293</f>
        <v/>
      </c>
      <c r="C300">
        <f>'1 prepared data'!B293</f>
        <v/>
      </c>
      <c r="D300" s="7">
        <f>'1 prepared data'!C293</f>
        <v/>
      </c>
      <c r="E300" s="7">
        <f>'1 prepared data'!D293</f>
        <v/>
      </c>
      <c r="F300" s="7">
        <f>'1 prepared data'!E293</f>
        <v/>
      </c>
      <c r="G300" s="7">
        <f>'1 prepared data'!F293</f>
        <v/>
      </c>
      <c r="H300" s="7">
        <f>'1 prepared data'!G293</f>
        <v/>
      </c>
      <c r="I300" s="7">
        <f>'1 prepared data'!H293</f>
        <v/>
      </c>
      <c r="J300" s="7">
        <f>'1 prepared data'!I293</f>
        <v/>
      </c>
      <c r="K300" s="7">
        <f>'1 prepared data'!J293</f>
        <v/>
      </c>
      <c r="L300" s="7">
        <f>'1 prepared data'!K293</f>
        <v/>
      </c>
      <c r="M300" s="7">
        <f>'1 prepared data'!L293</f>
        <v/>
      </c>
      <c r="N300" s="7">
        <f>'1 prepared data'!M293</f>
        <v/>
      </c>
      <c r="O300" s="7">
        <f>'1 prepared data'!N293</f>
        <v/>
      </c>
      <c r="P300" s="7">
        <f>'1 prepared data'!O293</f>
        <v/>
      </c>
      <c r="Q300" s="7">
        <f>'1 prepared data'!P293</f>
        <v/>
      </c>
      <c r="R300" s="7">
        <f>'1 prepared data'!Q293</f>
        <v/>
      </c>
      <c r="S300" s="7">
        <f>'1 prepared data'!R293</f>
        <v/>
      </c>
      <c r="T300" s="7">
        <f>'1 prepared data'!S293</f>
        <v/>
      </c>
      <c r="U300" s="7">
        <f>'1 prepared data'!T293</f>
        <v/>
      </c>
      <c r="V300" s="8">
        <f>$AC$12+D300*$AC$13+E300*$AC$14+F300*$AC$15+G300*$AC$16+H300*$AC$17+I300*$AC$18+J300*$AC$19+K300*$AC$20+L300*$AC$21+M300*$AC$22+N300*$AC$23+O300*$AC$24+P300*$AC$25+Q300*$AC$26+R300*$AC$27+S300*$AC$28+T300*$AC$29+U300*$AC$30</f>
        <v/>
      </c>
      <c r="W300" s="8">
        <f>1/(1+EXP(-V300))</f>
        <v/>
      </c>
      <c r="X300" s="9">
        <f>-IF(C300=1,LN(W300),LN(1-W300))</f>
        <v/>
      </c>
      <c r="Y300" s="10">
        <f>IF(W300&gt;$AC$33,1,0)</f>
        <v/>
      </c>
      <c r="Z300">
        <f>IF(Y300=C300,1,0)</f>
        <v/>
      </c>
    </row>
    <row r="301">
      <c r="A301">
        <f>'1 prepared data'!A294</f>
        <v/>
      </c>
      <c r="B301" s="5">
        <f>'1 prepared data'!U294</f>
        <v/>
      </c>
      <c r="C301">
        <f>'1 prepared data'!B294</f>
        <v/>
      </c>
      <c r="D301" s="7">
        <f>'1 prepared data'!C294</f>
        <v/>
      </c>
      <c r="E301" s="7">
        <f>'1 prepared data'!D294</f>
        <v/>
      </c>
      <c r="F301" s="7">
        <f>'1 prepared data'!E294</f>
        <v/>
      </c>
      <c r="G301" s="7">
        <f>'1 prepared data'!F294</f>
        <v/>
      </c>
      <c r="H301" s="7">
        <f>'1 prepared data'!G294</f>
        <v/>
      </c>
      <c r="I301" s="7">
        <f>'1 prepared data'!H294</f>
        <v/>
      </c>
      <c r="J301" s="7">
        <f>'1 prepared data'!I294</f>
        <v/>
      </c>
      <c r="K301" s="7">
        <f>'1 prepared data'!J294</f>
        <v/>
      </c>
      <c r="L301" s="7">
        <f>'1 prepared data'!K294</f>
        <v/>
      </c>
      <c r="M301" s="7">
        <f>'1 prepared data'!L294</f>
        <v/>
      </c>
      <c r="N301" s="7">
        <f>'1 prepared data'!M294</f>
        <v/>
      </c>
      <c r="O301" s="7">
        <f>'1 prepared data'!N294</f>
        <v/>
      </c>
      <c r="P301" s="7">
        <f>'1 prepared data'!O294</f>
        <v/>
      </c>
      <c r="Q301" s="7">
        <f>'1 prepared data'!P294</f>
        <v/>
      </c>
      <c r="R301" s="7">
        <f>'1 prepared data'!Q294</f>
        <v/>
      </c>
      <c r="S301" s="7">
        <f>'1 prepared data'!R294</f>
        <v/>
      </c>
      <c r="T301" s="7">
        <f>'1 prepared data'!S294</f>
        <v/>
      </c>
      <c r="U301" s="7">
        <f>'1 prepared data'!T294</f>
        <v/>
      </c>
      <c r="V301" s="8">
        <f>$AC$12+D301*$AC$13+E301*$AC$14+F301*$AC$15+G301*$AC$16+H301*$AC$17+I301*$AC$18+J301*$AC$19+K301*$AC$20+L301*$AC$21+M301*$AC$22+N301*$AC$23+O301*$AC$24+P301*$AC$25+Q301*$AC$26+R301*$AC$27+S301*$AC$28+T301*$AC$29+U301*$AC$30</f>
        <v/>
      </c>
      <c r="W301" s="8">
        <f>1/(1+EXP(-V301))</f>
        <v/>
      </c>
      <c r="X301" s="9">
        <f>-IF(C301=1,LN(W301),LN(1-W301))</f>
        <v/>
      </c>
      <c r="Y301" s="10">
        <f>IF(W301&gt;$AC$33,1,0)</f>
        <v/>
      </c>
      <c r="Z301">
        <f>IF(Y301=C301,1,0)</f>
        <v/>
      </c>
    </row>
    <row r="302">
      <c r="A302">
        <f>'1 prepared data'!A295</f>
        <v/>
      </c>
      <c r="B302" s="5">
        <f>'1 prepared data'!U295</f>
        <v/>
      </c>
      <c r="C302">
        <f>'1 prepared data'!B295</f>
        <v/>
      </c>
      <c r="D302" s="7">
        <f>'1 prepared data'!C295</f>
        <v/>
      </c>
      <c r="E302" s="7">
        <f>'1 prepared data'!D295</f>
        <v/>
      </c>
      <c r="F302" s="7">
        <f>'1 prepared data'!E295</f>
        <v/>
      </c>
      <c r="G302" s="7">
        <f>'1 prepared data'!F295</f>
        <v/>
      </c>
      <c r="H302" s="7">
        <f>'1 prepared data'!G295</f>
        <v/>
      </c>
      <c r="I302" s="7">
        <f>'1 prepared data'!H295</f>
        <v/>
      </c>
      <c r="J302" s="7">
        <f>'1 prepared data'!I295</f>
        <v/>
      </c>
      <c r="K302" s="7">
        <f>'1 prepared data'!J295</f>
        <v/>
      </c>
      <c r="L302" s="7">
        <f>'1 prepared data'!K295</f>
        <v/>
      </c>
      <c r="M302" s="7">
        <f>'1 prepared data'!L295</f>
        <v/>
      </c>
      <c r="N302" s="7">
        <f>'1 prepared data'!M295</f>
        <v/>
      </c>
      <c r="O302" s="7">
        <f>'1 prepared data'!N295</f>
        <v/>
      </c>
      <c r="P302" s="7">
        <f>'1 prepared data'!O295</f>
        <v/>
      </c>
      <c r="Q302" s="7">
        <f>'1 prepared data'!P295</f>
        <v/>
      </c>
      <c r="R302" s="7">
        <f>'1 prepared data'!Q295</f>
        <v/>
      </c>
      <c r="S302" s="7">
        <f>'1 prepared data'!R295</f>
        <v/>
      </c>
      <c r="T302" s="7">
        <f>'1 prepared data'!S295</f>
        <v/>
      </c>
      <c r="U302" s="7">
        <f>'1 prepared data'!T295</f>
        <v/>
      </c>
      <c r="V302" s="8">
        <f>$AC$12+D302*$AC$13+E302*$AC$14+F302*$AC$15+G302*$AC$16+H302*$AC$17+I302*$AC$18+J302*$AC$19+K302*$AC$20+L302*$AC$21+M302*$AC$22+N302*$AC$23+O302*$AC$24+P302*$AC$25+Q302*$AC$26+R302*$AC$27+S302*$AC$28+T302*$AC$29+U302*$AC$30</f>
        <v/>
      </c>
      <c r="W302" s="8">
        <f>1/(1+EXP(-V302))</f>
        <v/>
      </c>
      <c r="X302" s="9">
        <f>-IF(C302=1,LN(W302),LN(1-W302))</f>
        <v/>
      </c>
      <c r="Y302" s="10">
        <f>IF(W302&gt;$AC$33,1,0)</f>
        <v/>
      </c>
      <c r="Z302">
        <f>IF(Y302=C302,1,0)</f>
        <v/>
      </c>
    </row>
    <row r="303">
      <c r="A303">
        <f>'1 prepared data'!A296</f>
        <v/>
      </c>
      <c r="B303" s="5">
        <f>'1 prepared data'!U296</f>
        <v/>
      </c>
      <c r="C303">
        <f>'1 prepared data'!B296</f>
        <v/>
      </c>
      <c r="D303" s="7">
        <f>'1 prepared data'!C296</f>
        <v/>
      </c>
      <c r="E303" s="7">
        <f>'1 prepared data'!D296</f>
        <v/>
      </c>
      <c r="F303" s="7">
        <f>'1 prepared data'!E296</f>
        <v/>
      </c>
      <c r="G303" s="7">
        <f>'1 prepared data'!F296</f>
        <v/>
      </c>
      <c r="H303" s="7">
        <f>'1 prepared data'!G296</f>
        <v/>
      </c>
      <c r="I303" s="7">
        <f>'1 prepared data'!H296</f>
        <v/>
      </c>
      <c r="J303" s="7">
        <f>'1 prepared data'!I296</f>
        <v/>
      </c>
      <c r="K303" s="7">
        <f>'1 prepared data'!J296</f>
        <v/>
      </c>
      <c r="L303" s="7">
        <f>'1 prepared data'!K296</f>
        <v/>
      </c>
      <c r="M303" s="7">
        <f>'1 prepared data'!L296</f>
        <v/>
      </c>
      <c r="N303" s="7">
        <f>'1 prepared data'!M296</f>
        <v/>
      </c>
      <c r="O303" s="7">
        <f>'1 prepared data'!N296</f>
        <v/>
      </c>
      <c r="P303" s="7">
        <f>'1 prepared data'!O296</f>
        <v/>
      </c>
      <c r="Q303" s="7">
        <f>'1 prepared data'!P296</f>
        <v/>
      </c>
      <c r="R303" s="7">
        <f>'1 prepared data'!Q296</f>
        <v/>
      </c>
      <c r="S303" s="7">
        <f>'1 prepared data'!R296</f>
        <v/>
      </c>
      <c r="T303" s="7">
        <f>'1 prepared data'!S296</f>
        <v/>
      </c>
      <c r="U303" s="7">
        <f>'1 prepared data'!T296</f>
        <v/>
      </c>
      <c r="V303" s="8">
        <f>$AC$12+D303*$AC$13+E303*$AC$14+F303*$AC$15+G303*$AC$16+H303*$AC$17+I303*$AC$18+J303*$AC$19+K303*$AC$20+L303*$AC$21+M303*$AC$22+N303*$AC$23+O303*$AC$24+P303*$AC$25+Q303*$AC$26+R303*$AC$27+S303*$AC$28+T303*$AC$29+U303*$AC$30</f>
        <v/>
      </c>
      <c r="W303" s="8">
        <f>1/(1+EXP(-V303))</f>
        <v/>
      </c>
      <c r="X303" s="9">
        <f>-IF(C303=1,LN(W303),LN(1-W303))</f>
        <v/>
      </c>
      <c r="Y303" s="10">
        <f>IF(W303&gt;$AC$33,1,0)</f>
        <v/>
      </c>
      <c r="Z303">
        <f>IF(Y303=C303,1,0)</f>
        <v/>
      </c>
    </row>
    <row r="304">
      <c r="A304">
        <f>'1 prepared data'!A297</f>
        <v/>
      </c>
      <c r="B304" s="5">
        <f>'1 prepared data'!U297</f>
        <v/>
      </c>
      <c r="C304">
        <f>'1 prepared data'!B297</f>
        <v/>
      </c>
      <c r="D304" s="7">
        <f>'1 prepared data'!C297</f>
        <v/>
      </c>
      <c r="E304" s="7">
        <f>'1 prepared data'!D297</f>
        <v/>
      </c>
      <c r="F304" s="7">
        <f>'1 prepared data'!E297</f>
        <v/>
      </c>
      <c r="G304" s="7">
        <f>'1 prepared data'!F297</f>
        <v/>
      </c>
      <c r="H304" s="7">
        <f>'1 prepared data'!G297</f>
        <v/>
      </c>
      <c r="I304" s="7">
        <f>'1 prepared data'!H297</f>
        <v/>
      </c>
      <c r="J304" s="7">
        <f>'1 prepared data'!I297</f>
        <v/>
      </c>
      <c r="K304" s="7">
        <f>'1 prepared data'!J297</f>
        <v/>
      </c>
      <c r="L304" s="7">
        <f>'1 prepared data'!K297</f>
        <v/>
      </c>
      <c r="M304" s="7">
        <f>'1 prepared data'!L297</f>
        <v/>
      </c>
      <c r="N304" s="7">
        <f>'1 prepared data'!M297</f>
        <v/>
      </c>
      <c r="O304" s="7">
        <f>'1 prepared data'!N297</f>
        <v/>
      </c>
      <c r="P304" s="7">
        <f>'1 prepared data'!O297</f>
        <v/>
      </c>
      <c r="Q304" s="7">
        <f>'1 prepared data'!P297</f>
        <v/>
      </c>
      <c r="R304" s="7">
        <f>'1 prepared data'!Q297</f>
        <v/>
      </c>
      <c r="S304" s="7">
        <f>'1 prepared data'!R297</f>
        <v/>
      </c>
      <c r="T304" s="7">
        <f>'1 prepared data'!S297</f>
        <v/>
      </c>
      <c r="U304" s="7">
        <f>'1 prepared data'!T297</f>
        <v/>
      </c>
      <c r="V304" s="8">
        <f>$AC$12+D304*$AC$13+E304*$AC$14+F304*$AC$15+G304*$AC$16+H304*$AC$17+I304*$AC$18+J304*$AC$19+K304*$AC$20+L304*$AC$21+M304*$AC$22+N304*$AC$23+O304*$AC$24+P304*$AC$25+Q304*$AC$26+R304*$AC$27+S304*$AC$28+T304*$AC$29+U304*$AC$30</f>
        <v/>
      </c>
      <c r="W304" s="8">
        <f>1/(1+EXP(-V304))</f>
        <v/>
      </c>
      <c r="X304" s="9">
        <f>-IF(C304=1,LN(W304),LN(1-W304))</f>
        <v/>
      </c>
      <c r="Y304" s="10">
        <f>IF(W304&gt;$AC$33,1,0)</f>
        <v/>
      </c>
      <c r="Z304">
        <f>IF(Y304=C304,1,0)</f>
        <v/>
      </c>
    </row>
    <row r="305">
      <c r="A305">
        <f>'1 prepared data'!A298</f>
        <v/>
      </c>
      <c r="B305" s="5">
        <f>'1 prepared data'!U298</f>
        <v/>
      </c>
      <c r="C305">
        <f>'1 prepared data'!B298</f>
        <v/>
      </c>
      <c r="D305" s="7">
        <f>'1 prepared data'!C298</f>
        <v/>
      </c>
      <c r="E305" s="7">
        <f>'1 prepared data'!D298</f>
        <v/>
      </c>
      <c r="F305" s="7">
        <f>'1 prepared data'!E298</f>
        <v/>
      </c>
      <c r="G305" s="7">
        <f>'1 prepared data'!F298</f>
        <v/>
      </c>
      <c r="H305" s="7">
        <f>'1 prepared data'!G298</f>
        <v/>
      </c>
      <c r="I305" s="7">
        <f>'1 prepared data'!H298</f>
        <v/>
      </c>
      <c r="J305" s="7">
        <f>'1 prepared data'!I298</f>
        <v/>
      </c>
      <c r="K305" s="7">
        <f>'1 prepared data'!J298</f>
        <v/>
      </c>
      <c r="L305" s="7">
        <f>'1 prepared data'!K298</f>
        <v/>
      </c>
      <c r="M305" s="7">
        <f>'1 prepared data'!L298</f>
        <v/>
      </c>
      <c r="N305" s="7">
        <f>'1 prepared data'!M298</f>
        <v/>
      </c>
      <c r="O305" s="7">
        <f>'1 prepared data'!N298</f>
        <v/>
      </c>
      <c r="P305" s="7">
        <f>'1 prepared data'!O298</f>
        <v/>
      </c>
      <c r="Q305" s="7">
        <f>'1 prepared data'!P298</f>
        <v/>
      </c>
      <c r="R305" s="7">
        <f>'1 prepared data'!Q298</f>
        <v/>
      </c>
      <c r="S305" s="7">
        <f>'1 prepared data'!R298</f>
        <v/>
      </c>
      <c r="T305" s="7">
        <f>'1 prepared data'!S298</f>
        <v/>
      </c>
      <c r="U305" s="7">
        <f>'1 prepared data'!T298</f>
        <v/>
      </c>
      <c r="V305" s="8">
        <f>$AC$12+D305*$AC$13+E305*$AC$14+F305*$AC$15+G305*$AC$16+H305*$AC$17+I305*$AC$18+J305*$AC$19+K305*$AC$20+L305*$AC$21+M305*$AC$22+N305*$AC$23+O305*$AC$24+P305*$AC$25+Q305*$AC$26+R305*$AC$27+S305*$AC$28+T305*$AC$29+U305*$AC$30</f>
        <v/>
      </c>
      <c r="W305" s="8">
        <f>1/(1+EXP(-V305))</f>
        <v/>
      </c>
      <c r="X305" s="9">
        <f>-IF(C305=1,LN(W305),LN(1-W305))</f>
        <v/>
      </c>
      <c r="Y305" s="10">
        <f>IF(W305&gt;$AC$33,1,0)</f>
        <v/>
      </c>
      <c r="Z305">
        <f>IF(Y305=C305,1,0)</f>
        <v/>
      </c>
    </row>
    <row r="306">
      <c r="A306">
        <f>'1 prepared data'!A299</f>
        <v/>
      </c>
      <c r="B306" s="5">
        <f>'1 prepared data'!U299</f>
        <v/>
      </c>
      <c r="C306">
        <f>'1 prepared data'!B299</f>
        <v/>
      </c>
      <c r="D306" s="7">
        <f>'1 prepared data'!C299</f>
        <v/>
      </c>
      <c r="E306" s="7">
        <f>'1 prepared data'!D299</f>
        <v/>
      </c>
      <c r="F306" s="7">
        <f>'1 prepared data'!E299</f>
        <v/>
      </c>
      <c r="G306" s="7">
        <f>'1 prepared data'!F299</f>
        <v/>
      </c>
      <c r="H306" s="7">
        <f>'1 prepared data'!G299</f>
        <v/>
      </c>
      <c r="I306" s="7">
        <f>'1 prepared data'!H299</f>
        <v/>
      </c>
      <c r="J306" s="7">
        <f>'1 prepared data'!I299</f>
        <v/>
      </c>
      <c r="K306" s="7">
        <f>'1 prepared data'!J299</f>
        <v/>
      </c>
      <c r="L306" s="7">
        <f>'1 prepared data'!K299</f>
        <v/>
      </c>
      <c r="M306" s="7">
        <f>'1 prepared data'!L299</f>
        <v/>
      </c>
      <c r="N306" s="7">
        <f>'1 prepared data'!M299</f>
        <v/>
      </c>
      <c r="O306" s="7">
        <f>'1 prepared data'!N299</f>
        <v/>
      </c>
      <c r="P306" s="7">
        <f>'1 prepared data'!O299</f>
        <v/>
      </c>
      <c r="Q306" s="7">
        <f>'1 prepared data'!P299</f>
        <v/>
      </c>
      <c r="R306" s="7">
        <f>'1 prepared data'!Q299</f>
        <v/>
      </c>
      <c r="S306" s="7">
        <f>'1 prepared data'!R299</f>
        <v/>
      </c>
      <c r="T306" s="7">
        <f>'1 prepared data'!S299</f>
        <v/>
      </c>
      <c r="U306" s="7">
        <f>'1 prepared data'!T299</f>
        <v/>
      </c>
      <c r="V306" s="8">
        <f>$AC$12+D306*$AC$13+E306*$AC$14+F306*$AC$15+G306*$AC$16+H306*$AC$17+I306*$AC$18+J306*$AC$19+K306*$AC$20+L306*$AC$21+M306*$AC$22+N306*$AC$23+O306*$AC$24+P306*$AC$25+Q306*$AC$26+R306*$AC$27+S306*$AC$28+T306*$AC$29+U306*$AC$30</f>
        <v/>
      </c>
      <c r="W306" s="8">
        <f>1/(1+EXP(-V306))</f>
        <v/>
      </c>
      <c r="X306" s="9">
        <f>-IF(C306=1,LN(W306),LN(1-W306))</f>
        <v/>
      </c>
      <c r="Y306" s="10">
        <f>IF(W306&gt;$AC$33,1,0)</f>
        <v/>
      </c>
      <c r="Z306">
        <f>IF(Y306=C306,1,0)</f>
        <v/>
      </c>
    </row>
    <row r="307">
      <c r="A307">
        <f>'1 prepared data'!A300</f>
        <v/>
      </c>
      <c r="B307" s="5">
        <f>'1 prepared data'!U300</f>
        <v/>
      </c>
      <c r="C307">
        <f>'1 prepared data'!B300</f>
        <v/>
      </c>
      <c r="D307" s="7">
        <f>'1 prepared data'!C300</f>
        <v/>
      </c>
      <c r="E307" s="7">
        <f>'1 prepared data'!D300</f>
        <v/>
      </c>
      <c r="F307" s="7">
        <f>'1 prepared data'!E300</f>
        <v/>
      </c>
      <c r="G307" s="7">
        <f>'1 prepared data'!F300</f>
        <v/>
      </c>
      <c r="H307" s="7">
        <f>'1 prepared data'!G300</f>
        <v/>
      </c>
      <c r="I307" s="7">
        <f>'1 prepared data'!H300</f>
        <v/>
      </c>
      <c r="J307" s="7">
        <f>'1 prepared data'!I300</f>
        <v/>
      </c>
      <c r="K307" s="7">
        <f>'1 prepared data'!J300</f>
        <v/>
      </c>
      <c r="L307" s="7">
        <f>'1 prepared data'!K300</f>
        <v/>
      </c>
      <c r="M307" s="7">
        <f>'1 prepared data'!L300</f>
        <v/>
      </c>
      <c r="N307" s="7">
        <f>'1 prepared data'!M300</f>
        <v/>
      </c>
      <c r="O307" s="7">
        <f>'1 prepared data'!N300</f>
        <v/>
      </c>
      <c r="P307" s="7">
        <f>'1 prepared data'!O300</f>
        <v/>
      </c>
      <c r="Q307" s="7">
        <f>'1 prepared data'!P300</f>
        <v/>
      </c>
      <c r="R307" s="7">
        <f>'1 prepared data'!Q300</f>
        <v/>
      </c>
      <c r="S307" s="7">
        <f>'1 prepared data'!R300</f>
        <v/>
      </c>
      <c r="T307" s="7">
        <f>'1 prepared data'!S300</f>
        <v/>
      </c>
      <c r="U307" s="7">
        <f>'1 prepared data'!T300</f>
        <v/>
      </c>
      <c r="V307" s="8">
        <f>$AC$12+D307*$AC$13+E307*$AC$14+F307*$AC$15+G307*$AC$16+H307*$AC$17+I307*$AC$18+J307*$AC$19+K307*$AC$20+L307*$AC$21+M307*$AC$22+N307*$AC$23+O307*$AC$24+P307*$AC$25+Q307*$AC$26+R307*$AC$27+S307*$AC$28+T307*$AC$29+U307*$AC$30</f>
        <v/>
      </c>
      <c r="W307" s="8">
        <f>1/(1+EXP(-V307))</f>
        <v/>
      </c>
      <c r="X307" s="9">
        <f>-IF(C307=1,LN(W307),LN(1-W307))</f>
        <v/>
      </c>
      <c r="Y307" s="10">
        <f>IF(W307&gt;$AC$33,1,0)</f>
        <v/>
      </c>
      <c r="Z307">
        <f>IF(Y307=C307,1,0)</f>
        <v/>
      </c>
    </row>
    <row r="308">
      <c r="A308">
        <f>'1 prepared data'!A301</f>
        <v/>
      </c>
      <c r="B308" s="5">
        <f>'1 prepared data'!U301</f>
        <v/>
      </c>
      <c r="C308">
        <f>'1 prepared data'!B301</f>
        <v/>
      </c>
      <c r="D308" s="7">
        <f>'1 prepared data'!C301</f>
        <v/>
      </c>
      <c r="E308" s="7">
        <f>'1 prepared data'!D301</f>
        <v/>
      </c>
      <c r="F308" s="7">
        <f>'1 prepared data'!E301</f>
        <v/>
      </c>
      <c r="G308" s="7">
        <f>'1 prepared data'!F301</f>
        <v/>
      </c>
      <c r="H308" s="7">
        <f>'1 prepared data'!G301</f>
        <v/>
      </c>
      <c r="I308" s="7">
        <f>'1 prepared data'!H301</f>
        <v/>
      </c>
      <c r="J308" s="7">
        <f>'1 prepared data'!I301</f>
        <v/>
      </c>
      <c r="K308" s="7">
        <f>'1 prepared data'!J301</f>
        <v/>
      </c>
      <c r="L308" s="7">
        <f>'1 prepared data'!K301</f>
        <v/>
      </c>
      <c r="M308" s="7">
        <f>'1 prepared data'!L301</f>
        <v/>
      </c>
      <c r="N308" s="7">
        <f>'1 prepared data'!M301</f>
        <v/>
      </c>
      <c r="O308" s="7">
        <f>'1 prepared data'!N301</f>
        <v/>
      </c>
      <c r="P308" s="7">
        <f>'1 prepared data'!O301</f>
        <v/>
      </c>
      <c r="Q308" s="7">
        <f>'1 prepared data'!P301</f>
        <v/>
      </c>
      <c r="R308" s="7">
        <f>'1 prepared data'!Q301</f>
        <v/>
      </c>
      <c r="S308" s="7">
        <f>'1 prepared data'!R301</f>
        <v/>
      </c>
      <c r="T308" s="7">
        <f>'1 prepared data'!S301</f>
        <v/>
      </c>
      <c r="U308" s="7">
        <f>'1 prepared data'!T301</f>
        <v/>
      </c>
      <c r="V308" s="8">
        <f>$AC$12+D308*$AC$13+E308*$AC$14+F308*$AC$15+G308*$AC$16+H308*$AC$17+I308*$AC$18+J308*$AC$19+K308*$AC$20+L308*$AC$21+M308*$AC$22+N308*$AC$23+O308*$AC$24+P308*$AC$25+Q308*$AC$26+R308*$AC$27+S308*$AC$28+T308*$AC$29+U308*$AC$30</f>
        <v/>
      </c>
      <c r="W308" s="8">
        <f>1/(1+EXP(-V308))</f>
        <v/>
      </c>
      <c r="X308" s="9">
        <f>-IF(C308=1,LN(W308),LN(1-W308))</f>
        <v/>
      </c>
      <c r="Y308" s="10">
        <f>IF(W308&gt;$AC$33,1,0)</f>
        <v/>
      </c>
      <c r="Z308">
        <f>IF(Y308=C308,1,0)</f>
        <v/>
      </c>
    </row>
    <row r="309">
      <c r="A309">
        <f>'1 prepared data'!A302</f>
        <v/>
      </c>
      <c r="B309" s="5">
        <f>'1 prepared data'!U302</f>
        <v/>
      </c>
      <c r="C309">
        <f>'1 prepared data'!B302</f>
        <v/>
      </c>
      <c r="D309" s="7">
        <f>'1 prepared data'!C302</f>
        <v/>
      </c>
      <c r="E309" s="7">
        <f>'1 prepared data'!D302</f>
        <v/>
      </c>
      <c r="F309" s="7">
        <f>'1 prepared data'!E302</f>
        <v/>
      </c>
      <c r="G309" s="7">
        <f>'1 prepared data'!F302</f>
        <v/>
      </c>
      <c r="H309" s="7">
        <f>'1 prepared data'!G302</f>
        <v/>
      </c>
      <c r="I309" s="7">
        <f>'1 prepared data'!H302</f>
        <v/>
      </c>
      <c r="J309" s="7">
        <f>'1 prepared data'!I302</f>
        <v/>
      </c>
      <c r="K309" s="7">
        <f>'1 prepared data'!J302</f>
        <v/>
      </c>
      <c r="L309" s="7">
        <f>'1 prepared data'!K302</f>
        <v/>
      </c>
      <c r="M309" s="7">
        <f>'1 prepared data'!L302</f>
        <v/>
      </c>
      <c r="N309" s="7">
        <f>'1 prepared data'!M302</f>
        <v/>
      </c>
      <c r="O309" s="7">
        <f>'1 prepared data'!N302</f>
        <v/>
      </c>
      <c r="P309" s="7">
        <f>'1 prepared data'!O302</f>
        <v/>
      </c>
      <c r="Q309" s="7">
        <f>'1 prepared data'!P302</f>
        <v/>
      </c>
      <c r="R309" s="7">
        <f>'1 prepared data'!Q302</f>
        <v/>
      </c>
      <c r="S309" s="7">
        <f>'1 prepared data'!R302</f>
        <v/>
      </c>
      <c r="T309" s="7">
        <f>'1 prepared data'!S302</f>
        <v/>
      </c>
      <c r="U309" s="7">
        <f>'1 prepared data'!T302</f>
        <v/>
      </c>
      <c r="V309" s="8">
        <f>$AC$12+D309*$AC$13+E309*$AC$14+F309*$AC$15+G309*$AC$16+H309*$AC$17+I309*$AC$18+J309*$AC$19+K309*$AC$20+L309*$AC$21+M309*$AC$22+N309*$AC$23+O309*$AC$24+P309*$AC$25+Q309*$AC$26+R309*$AC$27+S309*$AC$28+T309*$AC$29+U309*$AC$30</f>
        <v/>
      </c>
      <c r="W309" s="8">
        <f>1/(1+EXP(-V309))</f>
        <v/>
      </c>
      <c r="X309" s="9">
        <f>-IF(C309=1,LN(W309),LN(1-W309))</f>
        <v/>
      </c>
      <c r="Y309" s="10">
        <f>IF(W309&gt;$AC$33,1,0)</f>
        <v/>
      </c>
      <c r="Z309">
        <f>IF(Y309=C309,1,0)</f>
        <v/>
      </c>
    </row>
    <row r="310">
      <c r="A310">
        <f>'1 prepared data'!A303</f>
        <v/>
      </c>
      <c r="B310" s="5">
        <f>'1 prepared data'!U303</f>
        <v/>
      </c>
      <c r="C310">
        <f>'1 prepared data'!B303</f>
        <v/>
      </c>
      <c r="D310" s="7">
        <f>'1 prepared data'!C303</f>
        <v/>
      </c>
      <c r="E310" s="7">
        <f>'1 prepared data'!D303</f>
        <v/>
      </c>
      <c r="F310" s="7">
        <f>'1 prepared data'!E303</f>
        <v/>
      </c>
      <c r="G310" s="7">
        <f>'1 prepared data'!F303</f>
        <v/>
      </c>
      <c r="H310" s="7">
        <f>'1 prepared data'!G303</f>
        <v/>
      </c>
      <c r="I310" s="7">
        <f>'1 prepared data'!H303</f>
        <v/>
      </c>
      <c r="J310" s="7">
        <f>'1 prepared data'!I303</f>
        <v/>
      </c>
      <c r="K310" s="7">
        <f>'1 prepared data'!J303</f>
        <v/>
      </c>
      <c r="L310" s="7">
        <f>'1 prepared data'!K303</f>
        <v/>
      </c>
      <c r="M310" s="7">
        <f>'1 prepared data'!L303</f>
        <v/>
      </c>
      <c r="N310" s="7">
        <f>'1 prepared data'!M303</f>
        <v/>
      </c>
      <c r="O310" s="7">
        <f>'1 prepared data'!N303</f>
        <v/>
      </c>
      <c r="P310" s="7">
        <f>'1 prepared data'!O303</f>
        <v/>
      </c>
      <c r="Q310" s="7">
        <f>'1 prepared data'!P303</f>
        <v/>
      </c>
      <c r="R310" s="7">
        <f>'1 prepared data'!Q303</f>
        <v/>
      </c>
      <c r="S310" s="7">
        <f>'1 prepared data'!R303</f>
        <v/>
      </c>
      <c r="T310" s="7">
        <f>'1 prepared data'!S303</f>
        <v/>
      </c>
      <c r="U310" s="7">
        <f>'1 prepared data'!T303</f>
        <v/>
      </c>
      <c r="V310" s="8">
        <f>$AC$12+D310*$AC$13+E310*$AC$14+F310*$AC$15+G310*$AC$16+H310*$AC$17+I310*$AC$18+J310*$AC$19+K310*$AC$20+L310*$AC$21+M310*$AC$22+N310*$AC$23+O310*$AC$24+P310*$AC$25+Q310*$AC$26+R310*$AC$27+S310*$AC$28+T310*$AC$29+U310*$AC$30</f>
        <v/>
      </c>
      <c r="W310" s="8">
        <f>1/(1+EXP(-V310))</f>
        <v/>
      </c>
      <c r="X310" s="9">
        <f>-IF(C310=1,LN(W310),LN(1-W310))</f>
        <v/>
      </c>
      <c r="Y310" s="10">
        <f>IF(W310&gt;$AC$33,1,0)</f>
        <v/>
      </c>
      <c r="Z310">
        <f>IF(Y310=C310,1,0)</f>
        <v/>
      </c>
    </row>
    <row r="311">
      <c r="A311">
        <f>'1 prepared data'!A304</f>
        <v/>
      </c>
      <c r="B311" s="5">
        <f>'1 prepared data'!U304</f>
        <v/>
      </c>
      <c r="C311">
        <f>'1 prepared data'!B304</f>
        <v/>
      </c>
      <c r="D311" s="7">
        <f>'1 prepared data'!C304</f>
        <v/>
      </c>
      <c r="E311" s="7">
        <f>'1 prepared data'!D304</f>
        <v/>
      </c>
      <c r="F311" s="7">
        <f>'1 prepared data'!E304</f>
        <v/>
      </c>
      <c r="G311" s="7">
        <f>'1 prepared data'!F304</f>
        <v/>
      </c>
      <c r="H311" s="7">
        <f>'1 prepared data'!G304</f>
        <v/>
      </c>
      <c r="I311" s="7">
        <f>'1 prepared data'!H304</f>
        <v/>
      </c>
      <c r="J311" s="7">
        <f>'1 prepared data'!I304</f>
        <v/>
      </c>
      <c r="K311" s="7">
        <f>'1 prepared data'!J304</f>
        <v/>
      </c>
      <c r="L311" s="7">
        <f>'1 prepared data'!K304</f>
        <v/>
      </c>
      <c r="M311" s="7">
        <f>'1 prepared data'!L304</f>
        <v/>
      </c>
      <c r="N311" s="7">
        <f>'1 prepared data'!M304</f>
        <v/>
      </c>
      <c r="O311" s="7">
        <f>'1 prepared data'!N304</f>
        <v/>
      </c>
      <c r="P311" s="7">
        <f>'1 prepared data'!O304</f>
        <v/>
      </c>
      <c r="Q311" s="7">
        <f>'1 prepared data'!P304</f>
        <v/>
      </c>
      <c r="R311" s="7">
        <f>'1 prepared data'!Q304</f>
        <v/>
      </c>
      <c r="S311" s="7">
        <f>'1 prepared data'!R304</f>
        <v/>
      </c>
      <c r="T311" s="7">
        <f>'1 prepared data'!S304</f>
        <v/>
      </c>
      <c r="U311" s="7">
        <f>'1 prepared data'!T304</f>
        <v/>
      </c>
      <c r="V311" s="8">
        <f>$AC$12+D311*$AC$13+E311*$AC$14+F311*$AC$15+G311*$AC$16+H311*$AC$17+I311*$AC$18+J311*$AC$19+K311*$AC$20+L311*$AC$21+M311*$AC$22+N311*$AC$23+O311*$AC$24+P311*$AC$25+Q311*$AC$26+R311*$AC$27+S311*$AC$28+T311*$AC$29+U311*$AC$30</f>
        <v/>
      </c>
      <c r="W311" s="8">
        <f>1/(1+EXP(-V311))</f>
        <v/>
      </c>
      <c r="X311" s="9">
        <f>-IF(C311=1,LN(W311),LN(1-W311))</f>
        <v/>
      </c>
      <c r="Y311" s="10">
        <f>IF(W311&gt;$AC$33,1,0)</f>
        <v/>
      </c>
      <c r="Z311">
        <f>IF(Y311=C311,1,0)</f>
        <v/>
      </c>
    </row>
    <row r="312">
      <c r="A312">
        <f>'1 prepared data'!A305</f>
        <v/>
      </c>
      <c r="B312" s="5">
        <f>'1 prepared data'!U305</f>
        <v/>
      </c>
      <c r="C312">
        <f>'1 prepared data'!B305</f>
        <v/>
      </c>
      <c r="D312" s="7">
        <f>'1 prepared data'!C305</f>
        <v/>
      </c>
      <c r="E312" s="7">
        <f>'1 prepared data'!D305</f>
        <v/>
      </c>
      <c r="F312" s="7">
        <f>'1 prepared data'!E305</f>
        <v/>
      </c>
      <c r="G312" s="7">
        <f>'1 prepared data'!F305</f>
        <v/>
      </c>
      <c r="H312" s="7">
        <f>'1 prepared data'!G305</f>
        <v/>
      </c>
      <c r="I312" s="7">
        <f>'1 prepared data'!H305</f>
        <v/>
      </c>
      <c r="J312" s="7">
        <f>'1 prepared data'!I305</f>
        <v/>
      </c>
      <c r="K312" s="7">
        <f>'1 prepared data'!J305</f>
        <v/>
      </c>
      <c r="L312" s="7">
        <f>'1 prepared data'!K305</f>
        <v/>
      </c>
      <c r="M312" s="7">
        <f>'1 prepared data'!L305</f>
        <v/>
      </c>
      <c r="N312" s="7">
        <f>'1 prepared data'!M305</f>
        <v/>
      </c>
      <c r="O312" s="7">
        <f>'1 prepared data'!N305</f>
        <v/>
      </c>
      <c r="P312" s="7">
        <f>'1 prepared data'!O305</f>
        <v/>
      </c>
      <c r="Q312" s="7">
        <f>'1 prepared data'!P305</f>
        <v/>
      </c>
      <c r="R312" s="7">
        <f>'1 prepared data'!Q305</f>
        <v/>
      </c>
      <c r="S312" s="7">
        <f>'1 prepared data'!R305</f>
        <v/>
      </c>
      <c r="T312" s="7">
        <f>'1 prepared data'!S305</f>
        <v/>
      </c>
      <c r="U312" s="7">
        <f>'1 prepared data'!T305</f>
        <v/>
      </c>
      <c r="V312" s="8">
        <f>$AC$12+D312*$AC$13+E312*$AC$14+F312*$AC$15+G312*$AC$16+H312*$AC$17+I312*$AC$18+J312*$AC$19+K312*$AC$20+L312*$AC$21+M312*$AC$22+N312*$AC$23+O312*$AC$24+P312*$AC$25+Q312*$AC$26+R312*$AC$27+S312*$AC$28+T312*$AC$29+U312*$AC$30</f>
        <v/>
      </c>
      <c r="W312" s="8">
        <f>1/(1+EXP(-V312))</f>
        <v/>
      </c>
      <c r="X312" s="9">
        <f>-IF(C312=1,LN(W312),LN(1-W312))</f>
        <v/>
      </c>
      <c r="Y312" s="10">
        <f>IF(W312&gt;$AC$33,1,0)</f>
        <v/>
      </c>
      <c r="Z312">
        <f>IF(Y312=C312,1,0)</f>
        <v/>
      </c>
    </row>
    <row r="313">
      <c r="A313">
        <f>'1 prepared data'!A306</f>
        <v/>
      </c>
      <c r="B313" s="5">
        <f>'1 prepared data'!U306</f>
        <v/>
      </c>
      <c r="C313">
        <f>'1 prepared data'!B306</f>
        <v/>
      </c>
      <c r="D313" s="7">
        <f>'1 prepared data'!C306</f>
        <v/>
      </c>
      <c r="E313" s="7">
        <f>'1 prepared data'!D306</f>
        <v/>
      </c>
      <c r="F313" s="7">
        <f>'1 prepared data'!E306</f>
        <v/>
      </c>
      <c r="G313" s="7">
        <f>'1 prepared data'!F306</f>
        <v/>
      </c>
      <c r="H313" s="7">
        <f>'1 prepared data'!G306</f>
        <v/>
      </c>
      <c r="I313" s="7">
        <f>'1 prepared data'!H306</f>
        <v/>
      </c>
      <c r="J313" s="7">
        <f>'1 prepared data'!I306</f>
        <v/>
      </c>
      <c r="K313" s="7">
        <f>'1 prepared data'!J306</f>
        <v/>
      </c>
      <c r="L313" s="7">
        <f>'1 prepared data'!K306</f>
        <v/>
      </c>
      <c r="M313" s="7">
        <f>'1 prepared data'!L306</f>
        <v/>
      </c>
      <c r="N313" s="7">
        <f>'1 prepared data'!M306</f>
        <v/>
      </c>
      <c r="O313" s="7">
        <f>'1 prepared data'!N306</f>
        <v/>
      </c>
      <c r="P313" s="7">
        <f>'1 prepared data'!O306</f>
        <v/>
      </c>
      <c r="Q313" s="7">
        <f>'1 prepared data'!P306</f>
        <v/>
      </c>
      <c r="R313" s="7">
        <f>'1 prepared data'!Q306</f>
        <v/>
      </c>
      <c r="S313" s="7">
        <f>'1 prepared data'!R306</f>
        <v/>
      </c>
      <c r="T313" s="7">
        <f>'1 prepared data'!S306</f>
        <v/>
      </c>
      <c r="U313" s="7">
        <f>'1 prepared data'!T306</f>
        <v/>
      </c>
      <c r="V313" s="8">
        <f>$AC$12+D313*$AC$13+E313*$AC$14+F313*$AC$15+G313*$AC$16+H313*$AC$17+I313*$AC$18+J313*$AC$19+K313*$AC$20+L313*$AC$21+M313*$AC$22+N313*$AC$23+O313*$AC$24+P313*$AC$25+Q313*$AC$26+R313*$AC$27+S313*$AC$28+T313*$AC$29+U313*$AC$30</f>
        <v/>
      </c>
      <c r="W313" s="8">
        <f>1/(1+EXP(-V313))</f>
        <v/>
      </c>
      <c r="X313" s="9">
        <f>-IF(C313=1,LN(W313),LN(1-W313))</f>
        <v/>
      </c>
      <c r="Y313" s="10">
        <f>IF(W313&gt;$AC$33,1,0)</f>
        <v/>
      </c>
      <c r="Z313">
        <f>IF(Y313=C313,1,0)</f>
        <v/>
      </c>
    </row>
    <row r="314">
      <c r="A314">
        <f>'1 prepared data'!A307</f>
        <v/>
      </c>
      <c r="B314" s="5">
        <f>'1 prepared data'!U307</f>
        <v/>
      </c>
      <c r="C314">
        <f>'1 prepared data'!B307</f>
        <v/>
      </c>
      <c r="D314" s="7">
        <f>'1 prepared data'!C307</f>
        <v/>
      </c>
      <c r="E314" s="7">
        <f>'1 prepared data'!D307</f>
        <v/>
      </c>
      <c r="F314" s="7">
        <f>'1 prepared data'!E307</f>
        <v/>
      </c>
      <c r="G314" s="7">
        <f>'1 prepared data'!F307</f>
        <v/>
      </c>
      <c r="H314" s="7">
        <f>'1 prepared data'!G307</f>
        <v/>
      </c>
      <c r="I314" s="7">
        <f>'1 prepared data'!H307</f>
        <v/>
      </c>
      <c r="J314" s="7">
        <f>'1 prepared data'!I307</f>
        <v/>
      </c>
      <c r="K314" s="7">
        <f>'1 prepared data'!J307</f>
        <v/>
      </c>
      <c r="L314" s="7">
        <f>'1 prepared data'!K307</f>
        <v/>
      </c>
      <c r="M314" s="7">
        <f>'1 prepared data'!L307</f>
        <v/>
      </c>
      <c r="N314" s="7">
        <f>'1 prepared data'!M307</f>
        <v/>
      </c>
      <c r="O314" s="7">
        <f>'1 prepared data'!N307</f>
        <v/>
      </c>
      <c r="P314" s="7">
        <f>'1 prepared data'!O307</f>
        <v/>
      </c>
      <c r="Q314" s="7">
        <f>'1 prepared data'!P307</f>
        <v/>
      </c>
      <c r="R314" s="7">
        <f>'1 prepared data'!Q307</f>
        <v/>
      </c>
      <c r="S314" s="7">
        <f>'1 prepared data'!R307</f>
        <v/>
      </c>
      <c r="T314" s="7">
        <f>'1 prepared data'!S307</f>
        <v/>
      </c>
      <c r="U314" s="7">
        <f>'1 prepared data'!T307</f>
        <v/>
      </c>
      <c r="V314" s="8">
        <f>$AC$12+D314*$AC$13+E314*$AC$14+F314*$AC$15+G314*$AC$16+H314*$AC$17+I314*$AC$18+J314*$AC$19+K314*$AC$20+L314*$AC$21+M314*$AC$22+N314*$AC$23+O314*$AC$24+P314*$AC$25+Q314*$AC$26+R314*$AC$27+S314*$AC$28+T314*$AC$29+U314*$AC$30</f>
        <v/>
      </c>
      <c r="W314" s="8">
        <f>1/(1+EXP(-V314))</f>
        <v/>
      </c>
      <c r="X314" s="9">
        <f>-IF(C314=1,LN(W314),LN(1-W314))</f>
        <v/>
      </c>
      <c r="Y314" s="10">
        <f>IF(W314&gt;$AC$33,1,0)</f>
        <v/>
      </c>
      <c r="Z314">
        <f>IF(Y314=C314,1,0)</f>
        <v/>
      </c>
    </row>
    <row r="315">
      <c r="A315">
        <f>'1 prepared data'!A308</f>
        <v/>
      </c>
      <c r="B315" s="5">
        <f>'1 prepared data'!U308</f>
        <v/>
      </c>
      <c r="C315">
        <f>'1 prepared data'!B308</f>
        <v/>
      </c>
      <c r="D315" s="7">
        <f>'1 prepared data'!C308</f>
        <v/>
      </c>
      <c r="E315" s="7">
        <f>'1 prepared data'!D308</f>
        <v/>
      </c>
      <c r="F315" s="7">
        <f>'1 prepared data'!E308</f>
        <v/>
      </c>
      <c r="G315" s="7">
        <f>'1 prepared data'!F308</f>
        <v/>
      </c>
      <c r="H315" s="7">
        <f>'1 prepared data'!G308</f>
        <v/>
      </c>
      <c r="I315" s="7">
        <f>'1 prepared data'!H308</f>
        <v/>
      </c>
      <c r="J315" s="7">
        <f>'1 prepared data'!I308</f>
        <v/>
      </c>
      <c r="K315" s="7">
        <f>'1 prepared data'!J308</f>
        <v/>
      </c>
      <c r="L315" s="7">
        <f>'1 prepared data'!K308</f>
        <v/>
      </c>
      <c r="M315" s="7">
        <f>'1 prepared data'!L308</f>
        <v/>
      </c>
      <c r="N315" s="7">
        <f>'1 prepared data'!M308</f>
        <v/>
      </c>
      <c r="O315" s="7">
        <f>'1 prepared data'!N308</f>
        <v/>
      </c>
      <c r="P315" s="7">
        <f>'1 prepared data'!O308</f>
        <v/>
      </c>
      <c r="Q315" s="7">
        <f>'1 prepared data'!P308</f>
        <v/>
      </c>
      <c r="R315" s="7">
        <f>'1 prepared data'!Q308</f>
        <v/>
      </c>
      <c r="S315" s="7">
        <f>'1 prepared data'!R308</f>
        <v/>
      </c>
      <c r="T315" s="7">
        <f>'1 prepared data'!S308</f>
        <v/>
      </c>
      <c r="U315" s="7">
        <f>'1 prepared data'!T308</f>
        <v/>
      </c>
      <c r="V315" s="8">
        <f>$AC$12+D315*$AC$13+E315*$AC$14+F315*$AC$15+G315*$AC$16+H315*$AC$17+I315*$AC$18+J315*$AC$19+K315*$AC$20+L315*$AC$21+M315*$AC$22+N315*$AC$23+O315*$AC$24+P315*$AC$25+Q315*$AC$26+R315*$AC$27+S315*$AC$28+T315*$AC$29+U315*$AC$30</f>
        <v/>
      </c>
      <c r="W315" s="8">
        <f>1/(1+EXP(-V315))</f>
        <v/>
      </c>
      <c r="X315" s="9">
        <f>-IF(C315=1,LN(W315),LN(1-W315))</f>
        <v/>
      </c>
      <c r="Y315" s="10">
        <f>IF(W315&gt;$AC$33,1,0)</f>
        <v/>
      </c>
      <c r="Z315">
        <f>IF(Y315=C315,1,0)</f>
        <v/>
      </c>
    </row>
    <row r="316">
      <c r="A316">
        <f>'1 prepared data'!A309</f>
        <v/>
      </c>
      <c r="B316" s="5">
        <f>'1 prepared data'!U309</f>
        <v/>
      </c>
      <c r="C316">
        <f>'1 prepared data'!B309</f>
        <v/>
      </c>
      <c r="D316" s="7">
        <f>'1 prepared data'!C309</f>
        <v/>
      </c>
      <c r="E316" s="7">
        <f>'1 prepared data'!D309</f>
        <v/>
      </c>
      <c r="F316" s="7">
        <f>'1 prepared data'!E309</f>
        <v/>
      </c>
      <c r="G316" s="7">
        <f>'1 prepared data'!F309</f>
        <v/>
      </c>
      <c r="H316" s="7">
        <f>'1 prepared data'!G309</f>
        <v/>
      </c>
      <c r="I316" s="7">
        <f>'1 prepared data'!H309</f>
        <v/>
      </c>
      <c r="J316" s="7">
        <f>'1 prepared data'!I309</f>
        <v/>
      </c>
      <c r="K316" s="7">
        <f>'1 prepared data'!J309</f>
        <v/>
      </c>
      <c r="L316" s="7">
        <f>'1 prepared data'!K309</f>
        <v/>
      </c>
      <c r="M316" s="7">
        <f>'1 prepared data'!L309</f>
        <v/>
      </c>
      <c r="N316" s="7">
        <f>'1 prepared data'!M309</f>
        <v/>
      </c>
      <c r="O316" s="7">
        <f>'1 prepared data'!N309</f>
        <v/>
      </c>
      <c r="P316" s="7">
        <f>'1 prepared data'!O309</f>
        <v/>
      </c>
      <c r="Q316" s="7">
        <f>'1 prepared data'!P309</f>
        <v/>
      </c>
      <c r="R316" s="7">
        <f>'1 prepared data'!Q309</f>
        <v/>
      </c>
      <c r="S316" s="7">
        <f>'1 prepared data'!R309</f>
        <v/>
      </c>
      <c r="T316" s="7">
        <f>'1 prepared data'!S309</f>
        <v/>
      </c>
      <c r="U316" s="7">
        <f>'1 prepared data'!T309</f>
        <v/>
      </c>
      <c r="V316" s="8">
        <f>$AC$12+D316*$AC$13+E316*$AC$14+F316*$AC$15+G316*$AC$16+H316*$AC$17+I316*$AC$18+J316*$AC$19+K316*$AC$20+L316*$AC$21+M316*$AC$22+N316*$AC$23+O316*$AC$24+P316*$AC$25+Q316*$AC$26+R316*$AC$27+S316*$AC$28+T316*$AC$29+U316*$AC$30</f>
        <v/>
      </c>
      <c r="W316" s="8">
        <f>1/(1+EXP(-V316))</f>
        <v/>
      </c>
      <c r="X316" s="9">
        <f>-IF(C316=1,LN(W316),LN(1-W316))</f>
        <v/>
      </c>
      <c r="Y316" s="10">
        <f>IF(W316&gt;$AC$33,1,0)</f>
        <v/>
      </c>
      <c r="Z316">
        <f>IF(Y316=C316,1,0)</f>
        <v/>
      </c>
    </row>
    <row r="317">
      <c r="A317">
        <f>'1 prepared data'!A310</f>
        <v/>
      </c>
      <c r="B317" s="5">
        <f>'1 prepared data'!U310</f>
        <v/>
      </c>
      <c r="C317">
        <f>'1 prepared data'!B310</f>
        <v/>
      </c>
      <c r="D317" s="7">
        <f>'1 prepared data'!C310</f>
        <v/>
      </c>
      <c r="E317" s="7">
        <f>'1 prepared data'!D310</f>
        <v/>
      </c>
      <c r="F317" s="7">
        <f>'1 prepared data'!E310</f>
        <v/>
      </c>
      <c r="G317" s="7">
        <f>'1 prepared data'!F310</f>
        <v/>
      </c>
      <c r="H317" s="7">
        <f>'1 prepared data'!G310</f>
        <v/>
      </c>
      <c r="I317" s="7">
        <f>'1 prepared data'!H310</f>
        <v/>
      </c>
      <c r="J317" s="7">
        <f>'1 prepared data'!I310</f>
        <v/>
      </c>
      <c r="K317" s="7">
        <f>'1 prepared data'!J310</f>
        <v/>
      </c>
      <c r="L317" s="7">
        <f>'1 prepared data'!K310</f>
        <v/>
      </c>
      <c r="M317" s="7">
        <f>'1 prepared data'!L310</f>
        <v/>
      </c>
      <c r="N317" s="7">
        <f>'1 prepared data'!M310</f>
        <v/>
      </c>
      <c r="O317" s="7">
        <f>'1 prepared data'!N310</f>
        <v/>
      </c>
      <c r="P317" s="7">
        <f>'1 prepared data'!O310</f>
        <v/>
      </c>
      <c r="Q317" s="7">
        <f>'1 prepared data'!P310</f>
        <v/>
      </c>
      <c r="R317" s="7">
        <f>'1 prepared data'!Q310</f>
        <v/>
      </c>
      <c r="S317" s="7">
        <f>'1 prepared data'!R310</f>
        <v/>
      </c>
      <c r="T317" s="7">
        <f>'1 prepared data'!S310</f>
        <v/>
      </c>
      <c r="U317" s="7">
        <f>'1 prepared data'!T310</f>
        <v/>
      </c>
      <c r="V317" s="8">
        <f>$AC$12+D317*$AC$13+E317*$AC$14+F317*$AC$15+G317*$AC$16+H317*$AC$17+I317*$AC$18+J317*$AC$19+K317*$AC$20+L317*$AC$21+M317*$AC$22+N317*$AC$23+O317*$AC$24+P317*$AC$25+Q317*$AC$26+R317*$AC$27+S317*$AC$28+T317*$AC$29+U317*$AC$30</f>
        <v/>
      </c>
      <c r="W317" s="8">
        <f>1/(1+EXP(-V317))</f>
        <v/>
      </c>
      <c r="X317" s="9">
        <f>-IF(C317=1,LN(W317),LN(1-W317))</f>
        <v/>
      </c>
      <c r="Y317" s="10">
        <f>IF(W317&gt;$AC$33,1,0)</f>
        <v/>
      </c>
      <c r="Z317">
        <f>IF(Y317=C317,1,0)</f>
        <v/>
      </c>
    </row>
    <row r="318">
      <c r="A318">
        <f>'1 prepared data'!A311</f>
        <v/>
      </c>
      <c r="B318" s="5">
        <f>'1 prepared data'!U311</f>
        <v/>
      </c>
      <c r="C318">
        <f>'1 prepared data'!B311</f>
        <v/>
      </c>
      <c r="D318" s="7">
        <f>'1 prepared data'!C311</f>
        <v/>
      </c>
      <c r="E318" s="7">
        <f>'1 prepared data'!D311</f>
        <v/>
      </c>
      <c r="F318" s="7">
        <f>'1 prepared data'!E311</f>
        <v/>
      </c>
      <c r="G318" s="7">
        <f>'1 prepared data'!F311</f>
        <v/>
      </c>
      <c r="H318" s="7">
        <f>'1 prepared data'!G311</f>
        <v/>
      </c>
      <c r="I318" s="7">
        <f>'1 prepared data'!H311</f>
        <v/>
      </c>
      <c r="J318" s="7">
        <f>'1 prepared data'!I311</f>
        <v/>
      </c>
      <c r="K318" s="7">
        <f>'1 prepared data'!J311</f>
        <v/>
      </c>
      <c r="L318" s="7">
        <f>'1 prepared data'!K311</f>
        <v/>
      </c>
      <c r="M318" s="7">
        <f>'1 prepared data'!L311</f>
        <v/>
      </c>
      <c r="N318" s="7">
        <f>'1 prepared data'!M311</f>
        <v/>
      </c>
      <c r="O318" s="7">
        <f>'1 prepared data'!N311</f>
        <v/>
      </c>
      <c r="P318" s="7">
        <f>'1 prepared data'!O311</f>
        <v/>
      </c>
      <c r="Q318" s="7">
        <f>'1 prepared data'!P311</f>
        <v/>
      </c>
      <c r="R318" s="7">
        <f>'1 prepared data'!Q311</f>
        <v/>
      </c>
      <c r="S318" s="7">
        <f>'1 prepared data'!R311</f>
        <v/>
      </c>
      <c r="T318" s="7">
        <f>'1 prepared data'!S311</f>
        <v/>
      </c>
      <c r="U318" s="7">
        <f>'1 prepared data'!T311</f>
        <v/>
      </c>
      <c r="V318" s="8">
        <f>$AC$12+D318*$AC$13+E318*$AC$14+F318*$AC$15+G318*$AC$16+H318*$AC$17+I318*$AC$18+J318*$AC$19+K318*$AC$20+L318*$AC$21+M318*$AC$22+N318*$AC$23+O318*$AC$24+P318*$AC$25+Q318*$AC$26+R318*$AC$27+S318*$AC$28+T318*$AC$29+U318*$AC$30</f>
        <v/>
      </c>
      <c r="W318" s="8">
        <f>1/(1+EXP(-V318))</f>
        <v/>
      </c>
      <c r="X318" s="9">
        <f>-IF(C318=1,LN(W318),LN(1-W318))</f>
        <v/>
      </c>
      <c r="Y318" s="10">
        <f>IF(W318&gt;$AC$33,1,0)</f>
        <v/>
      </c>
      <c r="Z318">
        <f>IF(Y318=C318,1,0)</f>
        <v/>
      </c>
    </row>
    <row r="319">
      <c r="A319">
        <f>'1 prepared data'!A312</f>
        <v/>
      </c>
      <c r="B319" s="5">
        <f>'1 prepared data'!U312</f>
        <v/>
      </c>
      <c r="C319">
        <f>'1 prepared data'!B312</f>
        <v/>
      </c>
      <c r="D319" s="7">
        <f>'1 prepared data'!C312</f>
        <v/>
      </c>
      <c r="E319" s="7">
        <f>'1 prepared data'!D312</f>
        <v/>
      </c>
      <c r="F319" s="7">
        <f>'1 prepared data'!E312</f>
        <v/>
      </c>
      <c r="G319" s="7">
        <f>'1 prepared data'!F312</f>
        <v/>
      </c>
      <c r="H319" s="7">
        <f>'1 prepared data'!G312</f>
        <v/>
      </c>
      <c r="I319" s="7">
        <f>'1 prepared data'!H312</f>
        <v/>
      </c>
      <c r="J319" s="7">
        <f>'1 prepared data'!I312</f>
        <v/>
      </c>
      <c r="K319" s="7">
        <f>'1 prepared data'!J312</f>
        <v/>
      </c>
      <c r="L319" s="7">
        <f>'1 prepared data'!K312</f>
        <v/>
      </c>
      <c r="M319" s="7">
        <f>'1 prepared data'!L312</f>
        <v/>
      </c>
      <c r="N319" s="7">
        <f>'1 prepared data'!M312</f>
        <v/>
      </c>
      <c r="O319" s="7">
        <f>'1 prepared data'!N312</f>
        <v/>
      </c>
      <c r="P319" s="7">
        <f>'1 prepared data'!O312</f>
        <v/>
      </c>
      <c r="Q319" s="7">
        <f>'1 prepared data'!P312</f>
        <v/>
      </c>
      <c r="R319" s="7">
        <f>'1 prepared data'!Q312</f>
        <v/>
      </c>
      <c r="S319" s="7">
        <f>'1 prepared data'!R312</f>
        <v/>
      </c>
      <c r="T319" s="7">
        <f>'1 prepared data'!S312</f>
        <v/>
      </c>
      <c r="U319" s="7">
        <f>'1 prepared data'!T312</f>
        <v/>
      </c>
      <c r="V319" s="8">
        <f>$AC$12+D319*$AC$13+E319*$AC$14+F319*$AC$15+G319*$AC$16+H319*$AC$17+I319*$AC$18+J319*$AC$19+K319*$AC$20+L319*$AC$21+M319*$AC$22+N319*$AC$23+O319*$AC$24+P319*$AC$25+Q319*$AC$26+R319*$AC$27+S319*$AC$28+T319*$AC$29+U319*$AC$30</f>
        <v/>
      </c>
      <c r="W319" s="8">
        <f>1/(1+EXP(-V319))</f>
        <v/>
      </c>
      <c r="X319" s="9">
        <f>-IF(C319=1,LN(W319),LN(1-W319))</f>
        <v/>
      </c>
      <c r="Y319" s="10">
        <f>IF(W319&gt;$AC$33,1,0)</f>
        <v/>
      </c>
      <c r="Z319">
        <f>IF(Y319=C319,1,0)</f>
        <v/>
      </c>
    </row>
    <row r="320">
      <c r="A320">
        <f>'1 prepared data'!A313</f>
        <v/>
      </c>
      <c r="B320" s="5">
        <f>'1 prepared data'!U313</f>
        <v/>
      </c>
      <c r="C320">
        <f>'1 prepared data'!B313</f>
        <v/>
      </c>
      <c r="D320" s="7">
        <f>'1 prepared data'!C313</f>
        <v/>
      </c>
      <c r="E320" s="7">
        <f>'1 prepared data'!D313</f>
        <v/>
      </c>
      <c r="F320" s="7">
        <f>'1 prepared data'!E313</f>
        <v/>
      </c>
      <c r="G320" s="7">
        <f>'1 prepared data'!F313</f>
        <v/>
      </c>
      <c r="H320" s="7">
        <f>'1 prepared data'!G313</f>
        <v/>
      </c>
      <c r="I320" s="7">
        <f>'1 prepared data'!H313</f>
        <v/>
      </c>
      <c r="J320" s="7">
        <f>'1 prepared data'!I313</f>
        <v/>
      </c>
      <c r="K320" s="7">
        <f>'1 prepared data'!J313</f>
        <v/>
      </c>
      <c r="L320" s="7">
        <f>'1 prepared data'!K313</f>
        <v/>
      </c>
      <c r="M320" s="7">
        <f>'1 prepared data'!L313</f>
        <v/>
      </c>
      <c r="N320" s="7">
        <f>'1 prepared data'!M313</f>
        <v/>
      </c>
      <c r="O320" s="7">
        <f>'1 prepared data'!N313</f>
        <v/>
      </c>
      <c r="P320" s="7">
        <f>'1 prepared data'!O313</f>
        <v/>
      </c>
      <c r="Q320" s="7">
        <f>'1 prepared data'!P313</f>
        <v/>
      </c>
      <c r="R320" s="7">
        <f>'1 prepared data'!Q313</f>
        <v/>
      </c>
      <c r="S320" s="7">
        <f>'1 prepared data'!R313</f>
        <v/>
      </c>
      <c r="T320" s="7">
        <f>'1 prepared data'!S313</f>
        <v/>
      </c>
      <c r="U320" s="7">
        <f>'1 prepared data'!T313</f>
        <v/>
      </c>
      <c r="V320" s="8">
        <f>$AC$12+D320*$AC$13+E320*$AC$14+F320*$AC$15+G320*$AC$16+H320*$AC$17+I320*$AC$18+J320*$AC$19+K320*$AC$20+L320*$AC$21+M320*$AC$22+N320*$AC$23+O320*$AC$24+P320*$AC$25+Q320*$AC$26+R320*$AC$27+S320*$AC$28+T320*$AC$29+U320*$AC$30</f>
        <v/>
      </c>
      <c r="W320" s="8">
        <f>1/(1+EXP(-V320))</f>
        <v/>
      </c>
      <c r="X320" s="9">
        <f>-IF(C320=1,LN(W320),LN(1-W320))</f>
        <v/>
      </c>
      <c r="Y320" s="10">
        <f>IF(W320&gt;$AC$33,1,0)</f>
        <v/>
      </c>
      <c r="Z320">
        <f>IF(Y320=C320,1,0)</f>
        <v/>
      </c>
    </row>
    <row r="321">
      <c r="A321">
        <f>'1 prepared data'!A314</f>
        <v/>
      </c>
      <c r="B321" s="5">
        <f>'1 prepared data'!U314</f>
        <v/>
      </c>
      <c r="C321">
        <f>'1 prepared data'!B314</f>
        <v/>
      </c>
      <c r="D321" s="7">
        <f>'1 prepared data'!C314</f>
        <v/>
      </c>
      <c r="E321" s="7">
        <f>'1 prepared data'!D314</f>
        <v/>
      </c>
      <c r="F321" s="7">
        <f>'1 prepared data'!E314</f>
        <v/>
      </c>
      <c r="G321" s="7">
        <f>'1 prepared data'!F314</f>
        <v/>
      </c>
      <c r="H321" s="7">
        <f>'1 prepared data'!G314</f>
        <v/>
      </c>
      <c r="I321" s="7">
        <f>'1 prepared data'!H314</f>
        <v/>
      </c>
      <c r="J321" s="7">
        <f>'1 prepared data'!I314</f>
        <v/>
      </c>
      <c r="K321" s="7">
        <f>'1 prepared data'!J314</f>
        <v/>
      </c>
      <c r="L321" s="7">
        <f>'1 prepared data'!K314</f>
        <v/>
      </c>
      <c r="M321" s="7">
        <f>'1 prepared data'!L314</f>
        <v/>
      </c>
      <c r="N321" s="7">
        <f>'1 prepared data'!M314</f>
        <v/>
      </c>
      <c r="O321" s="7">
        <f>'1 prepared data'!N314</f>
        <v/>
      </c>
      <c r="P321" s="7">
        <f>'1 prepared data'!O314</f>
        <v/>
      </c>
      <c r="Q321" s="7">
        <f>'1 prepared data'!P314</f>
        <v/>
      </c>
      <c r="R321" s="7">
        <f>'1 prepared data'!Q314</f>
        <v/>
      </c>
      <c r="S321" s="7">
        <f>'1 prepared data'!R314</f>
        <v/>
      </c>
      <c r="T321" s="7">
        <f>'1 prepared data'!S314</f>
        <v/>
      </c>
      <c r="U321" s="7">
        <f>'1 prepared data'!T314</f>
        <v/>
      </c>
      <c r="V321" s="8">
        <f>$AC$12+D321*$AC$13+E321*$AC$14+F321*$AC$15+G321*$AC$16+H321*$AC$17+I321*$AC$18+J321*$AC$19+K321*$AC$20+L321*$AC$21+M321*$AC$22+N321*$AC$23+O321*$AC$24+P321*$AC$25+Q321*$AC$26+R321*$AC$27+S321*$AC$28+T321*$AC$29+U321*$AC$30</f>
        <v/>
      </c>
      <c r="W321" s="8">
        <f>1/(1+EXP(-V321))</f>
        <v/>
      </c>
      <c r="X321" s="9">
        <f>-IF(C321=1,LN(W321),LN(1-W321))</f>
        <v/>
      </c>
      <c r="Y321" s="10">
        <f>IF(W321&gt;$AC$33,1,0)</f>
        <v/>
      </c>
      <c r="Z321">
        <f>IF(Y321=C321,1,0)</f>
        <v/>
      </c>
    </row>
    <row r="322">
      <c r="A322">
        <f>'1 prepared data'!A315</f>
        <v/>
      </c>
      <c r="B322" s="5">
        <f>'1 prepared data'!U315</f>
        <v/>
      </c>
      <c r="C322">
        <f>'1 prepared data'!B315</f>
        <v/>
      </c>
      <c r="D322" s="7">
        <f>'1 prepared data'!C315</f>
        <v/>
      </c>
      <c r="E322" s="7">
        <f>'1 prepared data'!D315</f>
        <v/>
      </c>
      <c r="F322" s="7">
        <f>'1 prepared data'!E315</f>
        <v/>
      </c>
      <c r="G322" s="7">
        <f>'1 prepared data'!F315</f>
        <v/>
      </c>
      <c r="H322" s="7">
        <f>'1 prepared data'!G315</f>
        <v/>
      </c>
      <c r="I322" s="7">
        <f>'1 prepared data'!H315</f>
        <v/>
      </c>
      <c r="J322" s="7">
        <f>'1 prepared data'!I315</f>
        <v/>
      </c>
      <c r="K322" s="7">
        <f>'1 prepared data'!J315</f>
        <v/>
      </c>
      <c r="L322" s="7">
        <f>'1 prepared data'!K315</f>
        <v/>
      </c>
      <c r="M322" s="7">
        <f>'1 prepared data'!L315</f>
        <v/>
      </c>
      <c r="N322" s="7">
        <f>'1 prepared data'!M315</f>
        <v/>
      </c>
      <c r="O322" s="7">
        <f>'1 prepared data'!N315</f>
        <v/>
      </c>
      <c r="P322" s="7">
        <f>'1 prepared data'!O315</f>
        <v/>
      </c>
      <c r="Q322" s="7">
        <f>'1 prepared data'!P315</f>
        <v/>
      </c>
      <c r="R322" s="7">
        <f>'1 prepared data'!Q315</f>
        <v/>
      </c>
      <c r="S322" s="7">
        <f>'1 prepared data'!R315</f>
        <v/>
      </c>
      <c r="T322" s="7">
        <f>'1 prepared data'!S315</f>
        <v/>
      </c>
      <c r="U322" s="7">
        <f>'1 prepared data'!T315</f>
        <v/>
      </c>
      <c r="V322" s="8">
        <f>$AC$12+D322*$AC$13+E322*$AC$14+F322*$AC$15+G322*$AC$16+H322*$AC$17+I322*$AC$18+J322*$AC$19+K322*$AC$20+L322*$AC$21+M322*$AC$22+N322*$AC$23+O322*$AC$24+P322*$AC$25+Q322*$AC$26+R322*$AC$27+S322*$AC$28+T322*$AC$29+U322*$AC$30</f>
        <v/>
      </c>
      <c r="W322" s="8">
        <f>1/(1+EXP(-V322))</f>
        <v/>
      </c>
      <c r="X322" s="9">
        <f>-IF(C322=1,LN(W322),LN(1-W322))</f>
        <v/>
      </c>
      <c r="Y322" s="10">
        <f>IF(W322&gt;$AC$33,1,0)</f>
        <v/>
      </c>
      <c r="Z322">
        <f>IF(Y322=C322,1,0)</f>
        <v/>
      </c>
    </row>
    <row r="323">
      <c r="A323">
        <f>'1 prepared data'!A316</f>
        <v/>
      </c>
      <c r="B323" s="5">
        <f>'1 prepared data'!U316</f>
        <v/>
      </c>
      <c r="C323">
        <f>'1 prepared data'!B316</f>
        <v/>
      </c>
      <c r="D323" s="7">
        <f>'1 prepared data'!C316</f>
        <v/>
      </c>
      <c r="E323" s="7">
        <f>'1 prepared data'!D316</f>
        <v/>
      </c>
      <c r="F323" s="7">
        <f>'1 prepared data'!E316</f>
        <v/>
      </c>
      <c r="G323" s="7">
        <f>'1 prepared data'!F316</f>
        <v/>
      </c>
      <c r="H323" s="7">
        <f>'1 prepared data'!G316</f>
        <v/>
      </c>
      <c r="I323" s="7">
        <f>'1 prepared data'!H316</f>
        <v/>
      </c>
      <c r="J323" s="7">
        <f>'1 prepared data'!I316</f>
        <v/>
      </c>
      <c r="K323" s="7">
        <f>'1 prepared data'!J316</f>
        <v/>
      </c>
      <c r="L323" s="7">
        <f>'1 prepared data'!K316</f>
        <v/>
      </c>
      <c r="M323" s="7">
        <f>'1 prepared data'!L316</f>
        <v/>
      </c>
      <c r="N323" s="7">
        <f>'1 prepared data'!M316</f>
        <v/>
      </c>
      <c r="O323" s="7">
        <f>'1 prepared data'!N316</f>
        <v/>
      </c>
      <c r="P323" s="7">
        <f>'1 prepared data'!O316</f>
        <v/>
      </c>
      <c r="Q323" s="7">
        <f>'1 prepared data'!P316</f>
        <v/>
      </c>
      <c r="R323" s="7">
        <f>'1 prepared data'!Q316</f>
        <v/>
      </c>
      <c r="S323" s="7">
        <f>'1 prepared data'!R316</f>
        <v/>
      </c>
      <c r="T323" s="7">
        <f>'1 prepared data'!S316</f>
        <v/>
      </c>
      <c r="U323" s="7">
        <f>'1 prepared data'!T316</f>
        <v/>
      </c>
      <c r="V323" s="8">
        <f>$AC$12+D323*$AC$13+E323*$AC$14+F323*$AC$15+G323*$AC$16+H323*$AC$17+I323*$AC$18+J323*$AC$19+K323*$AC$20+L323*$AC$21+M323*$AC$22+N323*$AC$23+O323*$AC$24+P323*$AC$25+Q323*$AC$26+R323*$AC$27+S323*$AC$28+T323*$AC$29+U323*$AC$30</f>
        <v/>
      </c>
      <c r="W323" s="8">
        <f>1/(1+EXP(-V323))</f>
        <v/>
      </c>
      <c r="X323" s="9">
        <f>-IF(C323=1,LN(W323),LN(1-W323))</f>
        <v/>
      </c>
      <c r="Y323" s="10">
        <f>IF(W323&gt;$AC$33,1,0)</f>
        <v/>
      </c>
      <c r="Z323">
        <f>IF(Y323=C323,1,0)</f>
        <v/>
      </c>
    </row>
    <row r="324">
      <c r="A324">
        <f>'1 prepared data'!A317</f>
        <v/>
      </c>
      <c r="B324" s="5">
        <f>'1 prepared data'!U317</f>
        <v/>
      </c>
      <c r="C324">
        <f>'1 prepared data'!B317</f>
        <v/>
      </c>
      <c r="D324" s="7">
        <f>'1 prepared data'!C317</f>
        <v/>
      </c>
      <c r="E324" s="7">
        <f>'1 prepared data'!D317</f>
        <v/>
      </c>
      <c r="F324" s="7">
        <f>'1 prepared data'!E317</f>
        <v/>
      </c>
      <c r="G324" s="7">
        <f>'1 prepared data'!F317</f>
        <v/>
      </c>
      <c r="H324" s="7">
        <f>'1 prepared data'!G317</f>
        <v/>
      </c>
      <c r="I324" s="7">
        <f>'1 prepared data'!H317</f>
        <v/>
      </c>
      <c r="J324" s="7">
        <f>'1 prepared data'!I317</f>
        <v/>
      </c>
      <c r="K324" s="7">
        <f>'1 prepared data'!J317</f>
        <v/>
      </c>
      <c r="L324" s="7">
        <f>'1 prepared data'!K317</f>
        <v/>
      </c>
      <c r="M324" s="7">
        <f>'1 prepared data'!L317</f>
        <v/>
      </c>
      <c r="N324" s="7">
        <f>'1 prepared data'!M317</f>
        <v/>
      </c>
      <c r="O324" s="7">
        <f>'1 prepared data'!N317</f>
        <v/>
      </c>
      <c r="P324" s="7">
        <f>'1 prepared data'!O317</f>
        <v/>
      </c>
      <c r="Q324" s="7">
        <f>'1 prepared data'!P317</f>
        <v/>
      </c>
      <c r="R324" s="7">
        <f>'1 prepared data'!Q317</f>
        <v/>
      </c>
      <c r="S324" s="7">
        <f>'1 prepared data'!R317</f>
        <v/>
      </c>
      <c r="T324" s="7">
        <f>'1 prepared data'!S317</f>
        <v/>
      </c>
      <c r="U324" s="7">
        <f>'1 prepared data'!T317</f>
        <v/>
      </c>
      <c r="V324" s="8">
        <f>$AC$12+D324*$AC$13+E324*$AC$14+F324*$AC$15+G324*$AC$16+H324*$AC$17+I324*$AC$18+J324*$AC$19+K324*$AC$20+L324*$AC$21+M324*$AC$22+N324*$AC$23+O324*$AC$24+P324*$AC$25+Q324*$AC$26+R324*$AC$27+S324*$AC$28+T324*$AC$29+U324*$AC$30</f>
        <v/>
      </c>
      <c r="W324" s="8">
        <f>1/(1+EXP(-V324))</f>
        <v/>
      </c>
      <c r="X324" s="9">
        <f>-IF(C324=1,LN(W324),LN(1-W324))</f>
        <v/>
      </c>
      <c r="Y324" s="10">
        <f>IF(W324&gt;$AC$33,1,0)</f>
        <v/>
      </c>
      <c r="Z324">
        <f>IF(Y324=C324,1,0)</f>
        <v/>
      </c>
    </row>
    <row r="325">
      <c r="A325">
        <f>'1 prepared data'!A318</f>
        <v/>
      </c>
      <c r="B325" s="5">
        <f>'1 prepared data'!U318</f>
        <v/>
      </c>
      <c r="C325">
        <f>'1 prepared data'!B318</f>
        <v/>
      </c>
      <c r="D325" s="7">
        <f>'1 prepared data'!C318</f>
        <v/>
      </c>
      <c r="E325" s="7">
        <f>'1 prepared data'!D318</f>
        <v/>
      </c>
      <c r="F325" s="7">
        <f>'1 prepared data'!E318</f>
        <v/>
      </c>
      <c r="G325" s="7">
        <f>'1 prepared data'!F318</f>
        <v/>
      </c>
      <c r="H325" s="7">
        <f>'1 prepared data'!G318</f>
        <v/>
      </c>
      <c r="I325" s="7">
        <f>'1 prepared data'!H318</f>
        <v/>
      </c>
      <c r="J325" s="7">
        <f>'1 prepared data'!I318</f>
        <v/>
      </c>
      <c r="K325" s="7">
        <f>'1 prepared data'!J318</f>
        <v/>
      </c>
      <c r="L325" s="7">
        <f>'1 prepared data'!K318</f>
        <v/>
      </c>
      <c r="M325" s="7">
        <f>'1 prepared data'!L318</f>
        <v/>
      </c>
      <c r="N325" s="7">
        <f>'1 prepared data'!M318</f>
        <v/>
      </c>
      <c r="O325" s="7">
        <f>'1 prepared data'!N318</f>
        <v/>
      </c>
      <c r="P325" s="7">
        <f>'1 prepared data'!O318</f>
        <v/>
      </c>
      <c r="Q325" s="7">
        <f>'1 prepared data'!P318</f>
        <v/>
      </c>
      <c r="R325" s="7">
        <f>'1 prepared data'!Q318</f>
        <v/>
      </c>
      <c r="S325" s="7">
        <f>'1 prepared data'!R318</f>
        <v/>
      </c>
      <c r="T325" s="7">
        <f>'1 prepared data'!S318</f>
        <v/>
      </c>
      <c r="U325" s="7">
        <f>'1 prepared data'!T318</f>
        <v/>
      </c>
      <c r="V325" s="8">
        <f>$AC$12+D325*$AC$13+E325*$AC$14+F325*$AC$15+G325*$AC$16+H325*$AC$17+I325*$AC$18+J325*$AC$19+K325*$AC$20+L325*$AC$21+M325*$AC$22+N325*$AC$23+O325*$AC$24+P325*$AC$25+Q325*$AC$26+R325*$AC$27+S325*$AC$28+T325*$AC$29+U325*$AC$30</f>
        <v/>
      </c>
      <c r="W325" s="8">
        <f>1/(1+EXP(-V325))</f>
        <v/>
      </c>
      <c r="X325" s="9">
        <f>-IF(C325=1,LN(W325),LN(1-W325))</f>
        <v/>
      </c>
      <c r="Y325" s="10">
        <f>IF(W325&gt;$AC$33,1,0)</f>
        <v/>
      </c>
      <c r="Z325">
        <f>IF(Y325=C325,1,0)</f>
        <v/>
      </c>
    </row>
    <row r="326">
      <c r="A326">
        <f>'1 prepared data'!A319</f>
        <v/>
      </c>
      <c r="B326" s="5">
        <f>'1 prepared data'!U319</f>
        <v/>
      </c>
      <c r="C326">
        <f>'1 prepared data'!B319</f>
        <v/>
      </c>
      <c r="D326" s="7">
        <f>'1 prepared data'!C319</f>
        <v/>
      </c>
      <c r="E326" s="7">
        <f>'1 prepared data'!D319</f>
        <v/>
      </c>
      <c r="F326" s="7">
        <f>'1 prepared data'!E319</f>
        <v/>
      </c>
      <c r="G326" s="7">
        <f>'1 prepared data'!F319</f>
        <v/>
      </c>
      <c r="H326" s="7">
        <f>'1 prepared data'!G319</f>
        <v/>
      </c>
      <c r="I326" s="7">
        <f>'1 prepared data'!H319</f>
        <v/>
      </c>
      <c r="J326" s="7">
        <f>'1 prepared data'!I319</f>
        <v/>
      </c>
      <c r="K326" s="7">
        <f>'1 prepared data'!J319</f>
        <v/>
      </c>
      <c r="L326" s="7">
        <f>'1 prepared data'!K319</f>
        <v/>
      </c>
      <c r="M326" s="7">
        <f>'1 prepared data'!L319</f>
        <v/>
      </c>
      <c r="N326" s="7">
        <f>'1 prepared data'!M319</f>
        <v/>
      </c>
      <c r="O326" s="7">
        <f>'1 prepared data'!N319</f>
        <v/>
      </c>
      <c r="P326" s="7">
        <f>'1 prepared data'!O319</f>
        <v/>
      </c>
      <c r="Q326" s="7">
        <f>'1 prepared data'!P319</f>
        <v/>
      </c>
      <c r="R326" s="7">
        <f>'1 prepared data'!Q319</f>
        <v/>
      </c>
      <c r="S326" s="7">
        <f>'1 prepared data'!R319</f>
        <v/>
      </c>
      <c r="T326" s="7">
        <f>'1 prepared data'!S319</f>
        <v/>
      </c>
      <c r="U326" s="7">
        <f>'1 prepared data'!T319</f>
        <v/>
      </c>
      <c r="V326" s="8">
        <f>$AC$12+D326*$AC$13+E326*$AC$14+F326*$AC$15+G326*$AC$16+H326*$AC$17+I326*$AC$18+J326*$AC$19+K326*$AC$20+L326*$AC$21+M326*$AC$22+N326*$AC$23+O326*$AC$24+P326*$AC$25+Q326*$AC$26+R326*$AC$27+S326*$AC$28+T326*$AC$29+U326*$AC$30</f>
        <v/>
      </c>
      <c r="W326" s="8">
        <f>1/(1+EXP(-V326))</f>
        <v/>
      </c>
      <c r="X326" s="9">
        <f>-IF(C326=1,LN(W326),LN(1-W326))</f>
        <v/>
      </c>
      <c r="Y326" s="10">
        <f>IF(W326&gt;$AC$33,1,0)</f>
        <v/>
      </c>
      <c r="Z326">
        <f>IF(Y326=C326,1,0)</f>
        <v/>
      </c>
    </row>
    <row r="327">
      <c r="A327">
        <f>'1 prepared data'!A320</f>
        <v/>
      </c>
      <c r="B327" s="5">
        <f>'1 prepared data'!U320</f>
        <v/>
      </c>
      <c r="C327">
        <f>'1 prepared data'!B320</f>
        <v/>
      </c>
      <c r="D327" s="7">
        <f>'1 prepared data'!C320</f>
        <v/>
      </c>
      <c r="E327" s="7">
        <f>'1 prepared data'!D320</f>
        <v/>
      </c>
      <c r="F327" s="7">
        <f>'1 prepared data'!E320</f>
        <v/>
      </c>
      <c r="G327" s="7">
        <f>'1 prepared data'!F320</f>
        <v/>
      </c>
      <c r="H327" s="7">
        <f>'1 prepared data'!G320</f>
        <v/>
      </c>
      <c r="I327" s="7">
        <f>'1 prepared data'!H320</f>
        <v/>
      </c>
      <c r="J327" s="7">
        <f>'1 prepared data'!I320</f>
        <v/>
      </c>
      <c r="K327" s="7">
        <f>'1 prepared data'!J320</f>
        <v/>
      </c>
      <c r="L327" s="7">
        <f>'1 prepared data'!K320</f>
        <v/>
      </c>
      <c r="M327" s="7">
        <f>'1 prepared data'!L320</f>
        <v/>
      </c>
      <c r="N327" s="7">
        <f>'1 prepared data'!M320</f>
        <v/>
      </c>
      <c r="O327" s="7">
        <f>'1 prepared data'!N320</f>
        <v/>
      </c>
      <c r="P327" s="7">
        <f>'1 prepared data'!O320</f>
        <v/>
      </c>
      <c r="Q327" s="7">
        <f>'1 prepared data'!P320</f>
        <v/>
      </c>
      <c r="R327" s="7">
        <f>'1 prepared data'!Q320</f>
        <v/>
      </c>
      <c r="S327" s="7">
        <f>'1 prepared data'!R320</f>
        <v/>
      </c>
      <c r="T327" s="7">
        <f>'1 prepared data'!S320</f>
        <v/>
      </c>
      <c r="U327" s="7">
        <f>'1 prepared data'!T320</f>
        <v/>
      </c>
      <c r="V327" s="8">
        <f>$AC$12+D327*$AC$13+E327*$AC$14+F327*$AC$15+G327*$AC$16+H327*$AC$17+I327*$AC$18+J327*$AC$19+K327*$AC$20+L327*$AC$21+M327*$AC$22+N327*$AC$23+O327*$AC$24+P327*$AC$25+Q327*$AC$26+R327*$AC$27+S327*$AC$28+T327*$AC$29+U327*$AC$30</f>
        <v/>
      </c>
      <c r="W327" s="8">
        <f>1/(1+EXP(-V327))</f>
        <v/>
      </c>
      <c r="X327" s="9">
        <f>-IF(C327=1,LN(W327),LN(1-W327))</f>
        <v/>
      </c>
      <c r="Y327" s="10">
        <f>IF(W327&gt;$AC$33,1,0)</f>
        <v/>
      </c>
      <c r="Z327">
        <f>IF(Y327=C327,1,0)</f>
        <v/>
      </c>
    </row>
    <row r="328">
      <c r="A328">
        <f>'1 prepared data'!A321</f>
        <v/>
      </c>
      <c r="B328" s="5">
        <f>'1 prepared data'!U321</f>
        <v/>
      </c>
      <c r="C328">
        <f>'1 prepared data'!B321</f>
        <v/>
      </c>
      <c r="D328" s="7">
        <f>'1 prepared data'!C321</f>
        <v/>
      </c>
      <c r="E328" s="7">
        <f>'1 prepared data'!D321</f>
        <v/>
      </c>
      <c r="F328" s="7">
        <f>'1 prepared data'!E321</f>
        <v/>
      </c>
      <c r="G328" s="7">
        <f>'1 prepared data'!F321</f>
        <v/>
      </c>
      <c r="H328" s="7">
        <f>'1 prepared data'!G321</f>
        <v/>
      </c>
      <c r="I328" s="7">
        <f>'1 prepared data'!H321</f>
        <v/>
      </c>
      <c r="J328" s="7">
        <f>'1 prepared data'!I321</f>
        <v/>
      </c>
      <c r="K328" s="7">
        <f>'1 prepared data'!J321</f>
        <v/>
      </c>
      <c r="L328" s="7">
        <f>'1 prepared data'!K321</f>
        <v/>
      </c>
      <c r="M328" s="7">
        <f>'1 prepared data'!L321</f>
        <v/>
      </c>
      <c r="N328" s="7">
        <f>'1 prepared data'!M321</f>
        <v/>
      </c>
      <c r="O328" s="7">
        <f>'1 prepared data'!N321</f>
        <v/>
      </c>
      <c r="P328" s="7">
        <f>'1 prepared data'!O321</f>
        <v/>
      </c>
      <c r="Q328" s="7">
        <f>'1 prepared data'!P321</f>
        <v/>
      </c>
      <c r="R328" s="7">
        <f>'1 prepared data'!Q321</f>
        <v/>
      </c>
      <c r="S328" s="7">
        <f>'1 prepared data'!R321</f>
        <v/>
      </c>
      <c r="T328" s="7">
        <f>'1 prepared data'!S321</f>
        <v/>
      </c>
      <c r="U328" s="7">
        <f>'1 prepared data'!T321</f>
        <v/>
      </c>
      <c r="V328" s="8">
        <f>$AC$12+D328*$AC$13+E328*$AC$14+F328*$AC$15+G328*$AC$16+H328*$AC$17+I328*$AC$18+J328*$AC$19+K328*$AC$20+L328*$AC$21+M328*$AC$22+N328*$AC$23+O328*$AC$24+P328*$AC$25+Q328*$AC$26+R328*$AC$27+S328*$AC$28+T328*$AC$29+U328*$AC$30</f>
        <v/>
      </c>
      <c r="W328" s="8">
        <f>1/(1+EXP(-V328))</f>
        <v/>
      </c>
      <c r="X328" s="9">
        <f>-IF(C328=1,LN(W328),LN(1-W328))</f>
        <v/>
      </c>
      <c r="Y328" s="10">
        <f>IF(W328&gt;$AC$33,1,0)</f>
        <v/>
      </c>
      <c r="Z328">
        <f>IF(Y328=C328,1,0)</f>
        <v/>
      </c>
    </row>
    <row r="329">
      <c r="A329">
        <f>'1 prepared data'!A322</f>
        <v/>
      </c>
      <c r="B329" s="5">
        <f>'1 prepared data'!U322</f>
        <v/>
      </c>
      <c r="C329">
        <f>'1 prepared data'!B322</f>
        <v/>
      </c>
      <c r="D329" s="7">
        <f>'1 prepared data'!C322</f>
        <v/>
      </c>
      <c r="E329" s="7">
        <f>'1 prepared data'!D322</f>
        <v/>
      </c>
      <c r="F329" s="7">
        <f>'1 prepared data'!E322</f>
        <v/>
      </c>
      <c r="G329" s="7">
        <f>'1 prepared data'!F322</f>
        <v/>
      </c>
      <c r="H329" s="7">
        <f>'1 prepared data'!G322</f>
        <v/>
      </c>
      <c r="I329" s="7">
        <f>'1 prepared data'!H322</f>
        <v/>
      </c>
      <c r="J329" s="7">
        <f>'1 prepared data'!I322</f>
        <v/>
      </c>
      <c r="K329" s="7">
        <f>'1 prepared data'!J322</f>
        <v/>
      </c>
      <c r="L329" s="7">
        <f>'1 prepared data'!K322</f>
        <v/>
      </c>
      <c r="M329" s="7">
        <f>'1 prepared data'!L322</f>
        <v/>
      </c>
      <c r="N329" s="7">
        <f>'1 prepared data'!M322</f>
        <v/>
      </c>
      <c r="O329" s="7">
        <f>'1 prepared data'!N322</f>
        <v/>
      </c>
      <c r="P329" s="7">
        <f>'1 prepared data'!O322</f>
        <v/>
      </c>
      <c r="Q329" s="7">
        <f>'1 prepared data'!P322</f>
        <v/>
      </c>
      <c r="R329" s="7">
        <f>'1 prepared data'!Q322</f>
        <v/>
      </c>
      <c r="S329" s="7">
        <f>'1 prepared data'!R322</f>
        <v/>
      </c>
      <c r="T329" s="7">
        <f>'1 prepared data'!S322</f>
        <v/>
      </c>
      <c r="U329" s="7">
        <f>'1 prepared data'!T322</f>
        <v/>
      </c>
      <c r="V329" s="8">
        <f>$AC$12+D329*$AC$13+E329*$AC$14+F329*$AC$15+G329*$AC$16+H329*$AC$17+I329*$AC$18+J329*$AC$19+K329*$AC$20+L329*$AC$21+M329*$AC$22+N329*$AC$23+O329*$AC$24+P329*$AC$25+Q329*$AC$26+R329*$AC$27+S329*$AC$28+T329*$AC$29+U329*$AC$30</f>
        <v/>
      </c>
      <c r="W329" s="8">
        <f>1/(1+EXP(-V329))</f>
        <v/>
      </c>
      <c r="X329" s="9">
        <f>-IF(C329=1,LN(W329),LN(1-W329))</f>
        <v/>
      </c>
      <c r="Y329" s="10">
        <f>IF(W329&gt;$AC$33,1,0)</f>
        <v/>
      </c>
      <c r="Z329">
        <f>IF(Y329=C329,1,0)</f>
        <v/>
      </c>
    </row>
    <row r="330">
      <c r="A330">
        <f>'1 prepared data'!A323</f>
        <v/>
      </c>
      <c r="B330" s="5">
        <f>'1 prepared data'!U323</f>
        <v/>
      </c>
      <c r="C330">
        <f>'1 prepared data'!B323</f>
        <v/>
      </c>
      <c r="D330" s="7">
        <f>'1 prepared data'!C323</f>
        <v/>
      </c>
      <c r="E330" s="7">
        <f>'1 prepared data'!D323</f>
        <v/>
      </c>
      <c r="F330" s="7">
        <f>'1 prepared data'!E323</f>
        <v/>
      </c>
      <c r="G330" s="7">
        <f>'1 prepared data'!F323</f>
        <v/>
      </c>
      <c r="H330" s="7">
        <f>'1 prepared data'!G323</f>
        <v/>
      </c>
      <c r="I330" s="7">
        <f>'1 prepared data'!H323</f>
        <v/>
      </c>
      <c r="J330" s="7">
        <f>'1 prepared data'!I323</f>
        <v/>
      </c>
      <c r="K330" s="7">
        <f>'1 prepared data'!J323</f>
        <v/>
      </c>
      <c r="L330" s="7">
        <f>'1 prepared data'!K323</f>
        <v/>
      </c>
      <c r="M330" s="7">
        <f>'1 prepared data'!L323</f>
        <v/>
      </c>
      <c r="N330" s="7">
        <f>'1 prepared data'!M323</f>
        <v/>
      </c>
      <c r="O330" s="7">
        <f>'1 prepared data'!N323</f>
        <v/>
      </c>
      <c r="P330" s="7">
        <f>'1 prepared data'!O323</f>
        <v/>
      </c>
      <c r="Q330" s="7">
        <f>'1 prepared data'!P323</f>
        <v/>
      </c>
      <c r="R330" s="7">
        <f>'1 prepared data'!Q323</f>
        <v/>
      </c>
      <c r="S330" s="7">
        <f>'1 prepared data'!R323</f>
        <v/>
      </c>
      <c r="T330" s="7">
        <f>'1 prepared data'!S323</f>
        <v/>
      </c>
      <c r="U330" s="7">
        <f>'1 prepared data'!T323</f>
        <v/>
      </c>
      <c r="V330" s="8">
        <f>$AC$12+D330*$AC$13+E330*$AC$14+F330*$AC$15+G330*$AC$16+H330*$AC$17+I330*$AC$18+J330*$AC$19+K330*$AC$20+L330*$AC$21+M330*$AC$22+N330*$AC$23+O330*$AC$24+P330*$AC$25+Q330*$AC$26+R330*$AC$27+S330*$AC$28+T330*$AC$29+U330*$AC$30</f>
        <v/>
      </c>
      <c r="W330" s="8">
        <f>1/(1+EXP(-V330))</f>
        <v/>
      </c>
      <c r="X330" s="9">
        <f>-IF(C330=1,LN(W330),LN(1-W330))</f>
        <v/>
      </c>
      <c r="Y330" s="10">
        <f>IF(W330&gt;$AC$33,1,0)</f>
        <v/>
      </c>
      <c r="Z330">
        <f>IF(Y330=C330,1,0)</f>
        <v/>
      </c>
    </row>
    <row r="331">
      <c r="A331">
        <f>'1 prepared data'!A324</f>
        <v/>
      </c>
      <c r="B331" s="5">
        <f>'1 prepared data'!U324</f>
        <v/>
      </c>
      <c r="C331">
        <f>'1 prepared data'!B324</f>
        <v/>
      </c>
      <c r="D331" s="7">
        <f>'1 prepared data'!C324</f>
        <v/>
      </c>
      <c r="E331" s="7">
        <f>'1 prepared data'!D324</f>
        <v/>
      </c>
      <c r="F331" s="7">
        <f>'1 prepared data'!E324</f>
        <v/>
      </c>
      <c r="G331" s="7">
        <f>'1 prepared data'!F324</f>
        <v/>
      </c>
      <c r="H331" s="7">
        <f>'1 prepared data'!G324</f>
        <v/>
      </c>
      <c r="I331" s="7">
        <f>'1 prepared data'!H324</f>
        <v/>
      </c>
      <c r="J331" s="7">
        <f>'1 prepared data'!I324</f>
        <v/>
      </c>
      <c r="K331" s="7">
        <f>'1 prepared data'!J324</f>
        <v/>
      </c>
      <c r="L331" s="7">
        <f>'1 prepared data'!K324</f>
        <v/>
      </c>
      <c r="M331" s="7">
        <f>'1 prepared data'!L324</f>
        <v/>
      </c>
      <c r="N331" s="7">
        <f>'1 prepared data'!M324</f>
        <v/>
      </c>
      <c r="O331" s="7">
        <f>'1 prepared data'!N324</f>
        <v/>
      </c>
      <c r="P331" s="7">
        <f>'1 prepared data'!O324</f>
        <v/>
      </c>
      <c r="Q331" s="7">
        <f>'1 prepared data'!P324</f>
        <v/>
      </c>
      <c r="R331" s="7">
        <f>'1 prepared data'!Q324</f>
        <v/>
      </c>
      <c r="S331" s="7">
        <f>'1 prepared data'!R324</f>
        <v/>
      </c>
      <c r="T331" s="7">
        <f>'1 prepared data'!S324</f>
        <v/>
      </c>
      <c r="U331" s="7">
        <f>'1 prepared data'!T324</f>
        <v/>
      </c>
      <c r="V331" s="8">
        <f>$AC$12+D331*$AC$13+E331*$AC$14+F331*$AC$15+G331*$AC$16+H331*$AC$17+I331*$AC$18+J331*$AC$19+K331*$AC$20+L331*$AC$21+M331*$AC$22+N331*$AC$23+O331*$AC$24+P331*$AC$25+Q331*$AC$26+R331*$AC$27+S331*$AC$28+T331*$AC$29+U331*$AC$30</f>
        <v/>
      </c>
      <c r="W331" s="8">
        <f>1/(1+EXP(-V331))</f>
        <v/>
      </c>
      <c r="X331" s="9">
        <f>-IF(C331=1,LN(W331),LN(1-W331))</f>
        <v/>
      </c>
      <c r="Y331" s="10">
        <f>IF(W331&gt;$AC$33,1,0)</f>
        <v/>
      </c>
      <c r="Z331">
        <f>IF(Y331=C331,1,0)</f>
        <v/>
      </c>
    </row>
    <row r="332">
      <c r="A332">
        <f>'1 prepared data'!A325</f>
        <v/>
      </c>
      <c r="B332" s="5">
        <f>'1 prepared data'!U325</f>
        <v/>
      </c>
      <c r="C332">
        <f>'1 prepared data'!B325</f>
        <v/>
      </c>
      <c r="D332" s="7">
        <f>'1 prepared data'!C325</f>
        <v/>
      </c>
      <c r="E332" s="7">
        <f>'1 prepared data'!D325</f>
        <v/>
      </c>
      <c r="F332" s="7">
        <f>'1 prepared data'!E325</f>
        <v/>
      </c>
      <c r="G332" s="7">
        <f>'1 prepared data'!F325</f>
        <v/>
      </c>
      <c r="H332" s="7">
        <f>'1 prepared data'!G325</f>
        <v/>
      </c>
      <c r="I332" s="7">
        <f>'1 prepared data'!H325</f>
        <v/>
      </c>
      <c r="J332" s="7">
        <f>'1 prepared data'!I325</f>
        <v/>
      </c>
      <c r="K332" s="7">
        <f>'1 prepared data'!J325</f>
        <v/>
      </c>
      <c r="L332" s="7">
        <f>'1 prepared data'!K325</f>
        <v/>
      </c>
      <c r="M332" s="7">
        <f>'1 prepared data'!L325</f>
        <v/>
      </c>
      <c r="N332" s="7">
        <f>'1 prepared data'!M325</f>
        <v/>
      </c>
      <c r="O332" s="7">
        <f>'1 prepared data'!N325</f>
        <v/>
      </c>
      <c r="P332" s="7">
        <f>'1 prepared data'!O325</f>
        <v/>
      </c>
      <c r="Q332" s="7">
        <f>'1 prepared data'!P325</f>
        <v/>
      </c>
      <c r="R332" s="7">
        <f>'1 prepared data'!Q325</f>
        <v/>
      </c>
      <c r="S332" s="7">
        <f>'1 prepared data'!R325</f>
        <v/>
      </c>
      <c r="T332" s="7">
        <f>'1 prepared data'!S325</f>
        <v/>
      </c>
      <c r="U332" s="7">
        <f>'1 prepared data'!T325</f>
        <v/>
      </c>
      <c r="V332" s="8">
        <f>$AC$12+D332*$AC$13+E332*$AC$14+F332*$AC$15+G332*$AC$16+H332*$AC$17+I332*$AC$18+J332*$AC$19+K332*$AC$20+L332*$AC$21+M332*$AC$22+N332*$AC$23+O332*$AC$24+P332*$AC$25+Q332*$AC$26+R332*$AC$27+S332*$AC$28+T332*$AC$29+U332*$AC$30</f>
        <v/>
      </c>
      <c r="W332" s="8">
        <f>1/(1+EXP(-V332))</f>
        <v/>
      </c>
      <c r="X332" s="9">
        <f>-IF(C332=1,LN(W332),LN(1-W332))</f>
        <v/>
      </c>
      <c r="Y332" s="10">
        <f>IF(W332&gt;$AC$33,1,0)</f>
        <v/>
      </c>
      <c r="Z332">
        <f>IF(Y332=C332,1,0)</f>
        <v/>
      </c>
    </row>
    <row r="333">
      <c r="A333">
        <f>'1 prepared data'!A326</f>
        <v/>
      </c>
      <c r="B333" s="5">
        <f>'1 prepared data'!U326</f>
        <v/>
      </c>
      <c r="C333">
        <f>'1 prepared data'!B326</f>
        <v/>
      </c>
      <c r="D333" s="7">
        <f>'1 prepared data'!C326</f>
        <v/>
      </c>
      <c r="E333" s="7">
        <f>'1 prepared data'!D326</f>
        <v/>
      </c>
      <c r="F333" s="7">
        <f>'1 prepared data'!E326</f>
        <v/>
      </c>
      <c r="G333" s="7">
        <f>'1 prepared data'!F326</f>
        <v/>
      </c>
      <c r="H333" s="7">
        <f>'1 prepared data'!G326</f>
        <v/>
      </c>
      <c r="I333" s="7">
        <f>'1 prepared data'!H326</f>
        <v/>
      </c>
      <c r="J333" s="7">
        <f>'1 prepared data'!I326</f>
        <v/>
      </c>
      <c r="K333" s="7">
        <f>'1 prepared data'!J326</f>
        <v/>
      </c>
      <c r="L333" s="7">
        <f>'1 prepared data'!K326</f>
        <v/>
      </c>
      <c r="M333" s="7">
        <f>'1 prepared data'!L326</f>
        <v/>
      </c>
      <c r="N333" s="7">
        <f>'1 prepared data'!M326</f>
        <v/>
      </c>
      <c r="O333" s="7">
        <f>'1 prepared data'!N326</f>
        <v/>
      </c>
      <c r="P333" s="7">
        <f>'1 prepared data'!O326</f>
        <v/>
      </c>
      <c r="Q333" s="7">
        <f>'1 prepared data'!P326</f>
        <v/>
      </c>
      <c r="R333" s="7">
        <f>'1 prepared data'!Q326</f>
        <v/>
      </c>
      <c r="S333" s="7">
        <f>'1 prepared data'!R326</f>
        <v/>
      </c>
      <c r="T333" s="7">
        <f>'1 prepared data'!S326</f>
        <v/>
      </c>
      <c r="U333" s="7">
        <f>'1 prepared data'!T326</f>
        <v/>
      </c>
      <c r="V333" s="8">
        <f>$AC$12+D333*$AC$13+E333*$AC$14+F333*$AC$15+G333*$AC$16+H333*$AC$17+I333*$AC$18+J333*$AC$19+K333*$AC$20+L333*$AC$21+M333*$AC$22+N333*$AC$23+O333*$AC$24+P333*$AC$25+Q333*$AC$26+R333*$AC$27+S333*$AC$28+T333*$AC$29+U333*$AC$30</f>
        <v/>
      </c>
      <c r="W333" s="8">
        <f>1/(1+EXP(-V333))</f>
        <v/>
      </c>
      <c r="X333" s="9">
        <f>-IF(C333=1,LN(W333),LN(1-W333))</f>
        <v/>
      </c>
      <c r="Y333" s="10">
        <f>IF(W333&gt;$AC$33,1,0)</f>
        <v/>
      </c>
      <c r="Z333">
        <f>IF(Y333=C333,1,0)</f>
        <v/>
      </c>
    </row>
    <row r="334">
      <c r="A334">
        <f>'1 prepared data'!A327</f>
        <v/>
      </c>
      <c r="B334" s="5">
        <f>'1 prepared data'!U327</f>
        <v/>
      </c>
      <c r="C334">
        <f>'1 prepared data'!B327</f>
        <v/>
      </c>
      <c r="D334" s="7">
        <f>'1 prepared data'!C327</f>
        <v/>
      </c>
      <c r="E334" s="7">
        <f>'1 prepared data'!D327</f>
        <v/>
      </c>
      <c r="F334" s="7">
        <f>'1 prepared data'!E327</f>
        <v/>
      </c>
      <c r="G334" s="7">
        <f>'1 prepared data'!F327</f>
        <v/>
      </c>
      <c r="H334" s="7">
        <f>'1 prepared data'!G327</f>
        <v/>
      </c>
      <c r="I334" s="7">
        <f>'1 prepared data'!H327</f>
        <v/>
      </c>
      <c r="J334" s="7">
        <f>'1 prepared data'!I327</f>
        <v/>
      </c>
      <c r="K334" s="7">
        <f>'1 prepared data'!J327</f>
        <v/>
      </c>
      <c r="L334" s="7">
        <f>'1 prepared data'!K327</f>
        <v/>
      </c>
      <c r="M334" s="7">
        <f>'1 prepared data'!L327</f>
        <v/>
      </c>
      <c r="N334" s="7">
        <f>'1 prepared data'!M327</f>
        <v/>
      </c>
      <c r="O334" s="7">
        <f>'1 prepared data'!N327</f>
        <v/>
      </c>
      <c r="P334" s="7">
        <f>'1 prepared data'!O327</f>
        <v/>
      </c>
      <c r="Q334" s="7">
        <f>'1 prepared data'!P327</f>
        <v/>
      </c>
      <c r="R334" s="7">
        <f>'1 prepared data'!Q327</f>
        <v/>
      </c>
      <c r="S334" s="7">
        <f>'1 prepared data'!R327</f>
        <v/>
      </c>
      <c r="T334" s="7">
        <f>'1 prepared data'!S327</f>
        <v/>
      </c>
      <c r="U334" s="7">
        <f>'1 prepared data'!T327</f>
        <v/>
      </c>
      <c r="V334" s="8">
        <f>$AC$12+D334*$AC$13+E334*$AC$14+F334*$AC$15+G334*$AC$16+H334*$AC$17+I334*$AC$18+J334*$AC$19+K334*$AC$20+L334*$AC$21+M334*$AC$22+N334*$AC$23+O334*$AC$24+P334*$AC$25+Q334*$AC$26+R334*$AC$27+S334*$AC$28+T334*$AC$29+U334*$AC$30</f>
        <v/>
      </c>
      <c r="W334" s="8">
        <f>1/(1+EXP(-V334))</f>
        <v/>
      </c>
      <c r="X334" s="9">
        <f>-IF(C334=1,LN(W334),LN(1-W334))</f>
        <v/>
      </c>
      <c r="Y334" s="10">
        <f>IF(W334&gt;$AC$33,1,0)</f>
        <v/>
      </c>
      <c r="Z334">
        <f>IF(Y334=C334,1,0)</f>
        <v/>
      </c>
    </row>
    <row r="335">
      <c r="A335">
        <f>'1 prepared data'!A328</f>
        <v/>
      </c>
      <c r="B335" s="5">
        <f>'1 prepared data'!U328</f>
        <v/>
      </c>
      <c r="C335">
        <f>'1 prepared data'!B328</f>
        <v/>
      </c>
      <c r="D335" s="7">
        <f>'1 prepared data'!C328</f>
        <v/>
      </c>
      <c r="E335" s="7">
        <f>'1 prepared data'!D328</f>
        <v/>
      </c>
      <c r="F335" s="7">
        <f>'1 prepared data'!E328</f>
        <v/>
      </c>
      <c r="G335" s="7">
        <f>'1 prepared data'!F328</f>
        <v/>
      </c>
      <c r="H335" s="7">
        <f>'1 prepared data'!G328</f>
        <v/>
      </c>
      <c r="I335" s="7">
        <f>'1 prepared data'!H328</f>
        <v/>
      </c>
      <c r="J335" s="7">
        <f>'1 prepared data'!I328</f>
        <v/>
      </c>
      <c r="K335" s="7">
        <f>'1 prepared data'!J328</f>
        <v/>
      </c>
      <c r="L335" s="7">
        <f>'1 prepared data'!K328</f>
        <v/>
      </c>
      <c r="M335" s="7">
        <f>'1 prepared data'!L328</f>
        <v/>
      </c>
      <c r="N335" s="7">
        <f>'1 prepared data'!M328</f>
        <v/>
      </c>
      <c r="O335" s="7">
        <f>'1 prepared data'!N328</f>
        <v/>
      </c>
      <c r="P335" s="7">
        <f>'1 prepared data'!O328</f>
        <v/>
      </c>
      <c r="Q335" s="7">
        <f>'1 prepared data'!P328</f>
        <v/>
      </c>
      <c r="R335" s="7">
        <f>'1 prepared data'!Q328</f>
        <v/>
      </c>
      <c r="S335" s="7">
        <f>'1 prepared data'!R328</f>
        <v/>
      </c>
      <c r="T335" s="7">
        <f>'1 prepared data'!S328</f>
        <v/>
      </c>
      <c r="U335" s="7">
        <f>'1 prepared data'!T328</f>
        <v/>
      </c>
      <c r="V335" s="8">
        <f>$AC$12+D335*$AC$13+E335*$AC$14+F335*$AC$15+G335*$AC$16+H335*$AC$17+I335*$AC$18+J335*$AC$19+K335*$AC$20+L335*$AC$21+M335*$AC$22+N335*$AC$23+O335*$AC$24+P335*$AC$25+Q335*$AC$26+R335*$AC$27+S335*$AC$28+T335*$AC$29+U335*$AC$30</f>
        <v/>
      </c>
      <c r="W335" s="8">
        <f>1/(1+EXP(-V335))</f>
        <v/>
      </c>
      <c r="X335" s="9">
        <f>-IF(C335=1,LN(W335),LN(1-W335))</f>
        <v/>
      </c>
      <c r="Y335" s="10">
        <f>IF(W335&gt;$AC$33,1,0)</f>
        <v/>
      </c>
      <c r="Z335">
        <f>IF(Y335=C335,1,0)</f>
        <v/>
      </c>
    </row>
    <row r="336">
      <c r="A336">
        <f>'1 prepared data'!A329</f>
        <v/>
      </c>
      <c r="B336" s="5">
        <f>'1 prepared data'!U329</f>
        <v/>
      </c>
      <c r="C336">
        <f>'1 prepared data'!B329</f>
        <v/>
      </c>
      <c r="D336" s="7">
        <f>'1 prepared data'!C329</f>
        <v/>
      </c>
      <c r="E336" s="7">
        <f>'1 prepared data'!D329</f>
        <v/>
      </c>
      <c r="F336" s="7">
        <f>'1 prepared data'!E329</f>
        <v/>
      </c>
      <c r="G336" s="7">
        <f>'1 prepared data'!F329</f>
        <v/>
      </c>
      <c r="H336" s="7">
        <f>'1 prepared data'!G329</f>
        <v/>
      </c>
      <c r="I336" s="7">
        <f>'1 prepared data'!H329</f>
        <v/>
      </c>
      <c r="J336" s="7">
        <f>'1 prepared data'!I329</f>
        <v/>
      </c>
      <c r="K336" s="7">
        <f>'1 prepared data'!J329</f>
        <v/>
      </c>
      <c r="L336" s="7">
        <f>'1 prepared data'!K329</f>
        <v/>
      </c>
      <c r="M336" s="7">
        <f>'1 prepared data'!L329</f>
        <v/>
      </c>
      <c r="N336" s="7">
        <f>'1 prepared data'!M329</f>
        <v/>
      </c>
      <c r="O336" s="7">
        <f>'1 prepared data'!N329</f>
        <v/>
      </c>
      <c r="P336" s="7">
        <f>'1 prepared data'!O329</f>
        <v/>
      </c>
      <c r="Q336" s="7">
        <f>'1 prepared data'!P329</f>
        <v/>
      </c>
      <c r="R336" s="7">
        <f>'1 prepared data'!Q329</f>
        <v/>
      </c>
      <c r="S336" s="7">
        <f>'1 prepared data'!R329</f>
        <v/>
      </c>
      <c r="T336" s="7">
        <f>'1 prepared data'!S329</f>
        <v/>
      </c>
      <c r="U336" s="7">
        <f>'1 prepared data'!T329</f>
        <v/>
      </c>
      <c r="V336" s="8">
        <f>$AC$12+D336*$AC$13+E336*$AC$14+F336*$AC$15+G336*$AC$16+H336*$AC$17+I336*$AC$18+J336*$AC$19+K336*$AC$20+L336*$AC$21+M336*$AC$22+N336*$AC$23+O336*$AC$24+P336*$AC$25+Q336*$AC$26+R336*$AC$27+S336*$AC$28+T336*$AC$29+U336*$AC$30</f>
        <v/>
      </c>
      <c r="W336" s="8">
        <f>1/(1+EXP(-V336))</f>
        <v/>
      </c>
      <c r="X336" s="9">
        <f>-IF(C336=1,LN(W336),LN(1-W336))</f>
        <v/>
      </c>
      <c r="Y336" s="10">
        <f>IF(W336&gt;$AC$33,1,0)</f>
        <v/>
      </c>
      <c r="Z336">
        <f>IF(Y336=C336,1,0)</f>
        <v/>
      </c>
    </row>
    <row r="337">
      <c r="A337">
        <f>'1 prepared data'!A330</f>
        <v/>
      </c>
      <c r="B337" s="5">
        <f>'1 prepared data'!U330</f>
        <v/>
      </c>
      <c r="C337">
        <f>'1 prepared data'!B330</f>
        <v/>
      </c>
      <c r="D337" s="7">
        <f>'1 prepared data'!C330</f>
        <v/>
      </c>
      <c r="E337" s="7">
        <f>'1 prepared data'!D330</f>
        <v/>
      </c>
      <c r="F337" s="7">
        <f>'1 prepared data'!E330</f>
        <v/>
      </c>
      <c r="G337" s="7">
        <f>'1 prepared data'!F330</f>
        <v/>
      </c>
      <c r="H337" s="7">
        <f>'1 prepared data'!G330</f>
        <v/>
      </c>
      <c r="I337" s="7">
        <f>'1 prepared data'!H330</f>
        <v/>
      </c>
      <c r="J337" s="7">
        <f>'1 prepared data'!I330</f>
        <v/>
      </c>
      <c r="K337" s="7">
        <f>'1 prepared data'!J330</f>
        <v/>
      </c>
      <c r="L337" s="7">
        <f>'1 prepared data'!K330</f>
        <v/>
      </c>
      <c r="M337" s="7">
        <f>'1 prepared data'!L330</f>
        <v/>
      </c>
      <c r="N337" s="7">
        <f>'1 prepared data'!M330</f>
        <v/>
      </c>
      <c r="O337" s="7">
        <f>'1 prepared data'!N330</f>
        <v/>
      </c>
      <c r="P337" s="7">
        <f>'1 prepared data'!O330</f>
        <v/>
      </c>
      <c r="Q337" s="7">
        <f>'1 prepared data'!P330</f>
        <v/>
      </c>
      <c r="R337" s="7">
        <f>'1 prepared data'!Q330</f>
        <v/>
      </c>
      <c r="S337" s="7">
        <f>'1 prepared data'!R330</f>
        <v/>
      </c>
      <c r="T337" s="7">
        <f>'1 prepared data'!S330</f>
        <v/>
      </c>
      <c r="U337" s="7">
        <f>'1 prepared data'!T330</f>
        <v/>
      </c>
      <c r="V337" s="8">
        <f>$AC$12+D337*$AC$13+E337*$AC$14+F337*$AC$15+G337*$AC$16+H337*$AC$17+I337*$AC$18+J337*$AC$19+K337*$AC$20+L337*$AC$21+M337*$AC$22+N337*$AC$23+O337*$AC$24+P337*$AC$25+Q337*$AC$26+R337*$AC$27+S337*$AC$28+T337*$AC$29+U337*$AC$30</f>
        <v/>
      </c>
      <c r="W337" s="8">
        <f>1/(1+EXP(-V337))</f>
        <v/>
      </c>
      <c r="X337" s="9">
        <f>-IF(C337=1,LN(W337),LN(1-W337))</f>
        <v/>
      </c>
      <c r="Y337" s="10">
        <f>IF(W337&gt;$AC$33,1,0)</f>
        <v/>
      </c>
      <c r="Z337">
        <f>IF(Y337=C337,1,0)</f>
        <v/>
      </c>
    </row>
    <row r="338">
      <c r="A338">
        <f>'1 prepared data'!A331</f>
        <v/>
      </c>
      <c r="B338" s="5">
        <f>'1 prepared data'!U331</f>
        <v/>
      </c>
      <c r="C338">
        <f>'1 prepared data'!B331</f>
        <v/>
      </c>
      <c r="D338" s="7">
        <f>'1 prepared data'!C331</f>
        <v/>
      </c>
      <c r="E338" s="7">
        <f>'1 prepared data'!D331</f>
        <v/>
      </c>
      <c r="F338" s="7">
        <f>'1 prepared data'!E331</f>
        <v/>
      </c>
      <c r="G338" s="7">
        <f>'1 prepared data'!F331</f>
        <v/>
      </c>
      <c r="H338" s="7">
        <f>'1 prepared data'!G331</f>
        <v/>
      </c>
      <c r="I338" s="7">
        <f>'1 prepared data'!H331</f>
        <v/>
      </c>
      <c r="J338" s="7">
        <f>'1 prepared data'!I331</f>
        <v/>
      </c>
      <c r="K338" s="7">
        <f>'1 prepared data'!J331</f>
        <v/>
      </c>
      <c r="L338" s="7">
        <f>'1 prepared data'!K331</f>
        <v/>
      </c>
      <c r="M338" s="7">
        <f>'1 prepared data'!L331</f>
        <v/>
      </c>
      <c r="N338" s="7">
        <f>'1 prepared data'!M331</f>
        <v/>
      </c>
      <c r="O338" s="7">
        <f>'1 prepared data'!N331</f>
        <v/>
      </c>
      <c r="P338" s="7">
        <f>'1 prepared data'!O331</f>
        <v/>
      </c>
      <c r="Q338" s="7">
        <f>'1 prepared data'!P331</f>
        <v/>
      </c>
      <c r="R338" s="7">
        <f>'1 prepared data'!Q331</f>
        <v/>
      </c>
      <c r="S338" s="7">
        <f>'1 prepared data'!R331</f>
        <v/>
      </c>
      <c r="T338" s="7">
        <f>'1 prepared data'!S331</f>
        <v/>
      </c>
      <c r="U338" s="7">
        <f>'1 prepared data'!T331</f>
        <v/>
      </c>
      <c r="V338" s="8">
        <f>$AC$12+D338*$AC$13+E338*$AC$14+F338*$AC$15+G338*$AC$16+H338*$AC$17+I338*$AC$18+J338*$AC$19+K338*$AC$20+L338*$AC$21+M338*$AC$22+N338*$AC$23+O338*$AC$24+P338*$AC$25+Q338*$AC$26+R338*$AC$27+S338*$AC$28+T338*$AC$29+U338*$AC$30</f>
        <v/>
      </c>
      <c r="W338" s="8">
        <f>1/(1+EXP(-V338))</f>
        <v/>
      </c>
      <c r="X338" s="9">
        <f>-IF(C338=1,LN(W338),LN(1-W338))</f>
        <v/>
      </c>
      <c r="Y338" s="10">
        <f>IF(W338&gt;$AC$33,1,0)</f>
        <v/>
      </c>
      <c r="Z338">
        <f>IF(Y338=C338,1,0)</f>
        <v/>
      </c>
    </row>
    <row r="339">
      <c r="A339">
        <f>'1 prepared data'!A332</f>
        <v/>
      </c>
      <c r="B339" s="5">
        <f>'1 prepared data'!U332</f>
        <v/>
      </c>
      <c r="C339">
        <f>'1 prepared data'!B332</f>
        <v/>
      </c>
      <c r="D339" s="7">
        <f>'1 prepared data'!C332</f>
        <v/>
      </c>
      <c r="E339" s="7">
        <f>'1 prepared data'!D332</f>
        <v/>
      </c>
      <c r="F339" s="7">
        <f>'1 prepared data'!E332</f>
        <v/>
      </c>
      <c r="G339" s="7">
        <f>'1 prepared data'!F332</f>
        <v/>
      </c>
      <c r="H339" s="7">
        <f>'1 prepared data'!G332</f>
        <v/>
      </c>
      <c r="I339" s="7">
        <f>'1 prepared data'!H332</f>
        <v/>
      </c>
      <c r="J339" s="7">
        <f>'1 prepared data'!I332</f>
        <v/>
      </c>
      <c r="K339" s="7">
        <f>'1 prepared data'!J332</f>
        <v/>
      </c>
      <c r="L339" s="7">
        <f>'1 prepared data'!K332</f>
        <v/>
      </c>
      <c r="M339" s="7">
        <f>'1 prepared data'!L332</f>
        <v/>
      </c>
      <c r="N339" s="7">
        <f>'1 prepared data'!M332</f>
        <v/>
      </c>
      <c r="O339" s="7">
        <f>'1 prepared data'!N332</f>
        <v/>
      </c>
      <c r="P339" s="7">
        <f>'1 prepared data'!O332</f>
        <v/>
      </c>
      <c r="Q339" s="7">
        <f>'1 prepared data'!P332</f>
        <v/>
      </c>
      <c r="R339" s="7">
        <f>'1 prepared data'!Q332</f>
        <v/>
      </c>
      <c r="S339" s="7">
        <f>'1 prepared data'!R332</f>
        <v/>
      </c>
      <c r="T339" s="7">
        <f>'1 prepared data'!S332</f>
        <v/>
      </c>
      <c r="U339" s="7">
        <f>'1 prepared data'!T332</f>
        <v/>
      </c>
      <c r="V339" s="8">
        <f>$AC$12+D339*$AC$13+E339*$AC$14+F339*$AC$15+G339*$AC$16+H339*$AC$17+I339*$AC$18+J339*$AC$19+K339*$AC$20+L339*$AC$21+M339*$AC$22+N339*$AC$23+O339*$AC$24+P339*$AC$25+Q339*$AC$26+R339*$AC$27+S339*$AC$28+T339*$AC$29+U339*$AC$30</f>
        <v/>
      </c>
      <c r="W339" s="8">
        <f>1/(1+EXP(-V339))</f>
        <v/>
      </c>
      <c r="X339" s="9">
        <f>-IF(C339=1,LN(W339),LN(1-W339))</f>
        <v/>
      </c>
      <c r="Y339" s="10">
        <f>IF(W339&gt;$AC$33,1,0)</f>
        <v/>
      </c>
      <c r="Z339">
        <f>IF(Y339=C339,1,0)</f>
        <v/>
      </c>
    </row>
    <row r="340">
      <c r="A340">
        <f>'1 prepared data'!A333</f>
        <v/>
      </c>
      <c r="B340" s="5">
        <f>'1 prepared data'!U333</f>
        <v/>
      </c>
      <c r="C340">
        <f>'1 prepared data'!B333</f>
        <v/>
      </c>
      <c r="D340" s="7">
        <f>'1 prepared data'!C333</f>
        <v/>
      </c>
      <c r="E340" s="7">
        <f>'1 prepared data'!D333</f>
        <v/>
      </c>
      <c r="F340" s="7">
        <f>'1 prepared data'!E333</f>
        <v/>
      </c>
      <c r="G340" s="7">
        <f>'1 prepared data'!F333</f>
        <v/>
      </c>
      <c r="H340" s="7">
        <f>'1 prepared data'!G333</f>
        <v/>
      </c>
      <c r="I340" s="7">
        <f>'1 prepared data'!H333</f>
        <v/>
      </c>
      <c r="J340" s="7">
        <f>'1 prepared data'!I333</f>
        <v/>
      </c>
      <c r="K340" s="7">
        <f>'1 prepared data'!J333</f>
        <v/>
      </c>
      <c r="L340" s="7">
        <f>'1 prepared data'!K333</f>
        <v/>
      </c>
      <c r="M340" s="7">
        <f>'1 prepared data'!L333</f>
        <v/>
      </c>
      <c r="N340" s="7">
        <f>'1 prepared data'!M333</f>
        <v/>
      </c>
      <c r="O340" s="7">
        <f>'1 prepared data'!N333</f>
        <v/>
      </c>
      <c r="P340" s="7">
        <f>'1 prepared data'!O333</f>
        <v/>
      </c>
      <c r="Q340" s="7">
        <f>'1 prepared data'!P333</f>
        <v/>
      </c>
      <c r="R340" s="7">
        <f>'1 prepared data'!Q333</f>
        <v/>
      </c>
      <c r="S340" s="7">
        <f>'1 prepared data'!R333</f>
        <v/>
      </c>
      <c r="T340" s="7">
        <f>'1 prepared data'!S333</f>
        <v/>
      </c>
      <c r="U340" s="7">
        <f>'1 prepared data'!T333</f>
        <v/>
      </c>
      <c r="V340" s="8">
        <f>$AC$12+D340*$AC$13+E340*$AC$14+F340*$AC$15+G340*$AC$16+H340*$AC$17+I340*$AC$18+J340*$AC$19+K340*$AC$20+L340*$AC$21+M340*$AC$22+N340*$AC$23+O340*$AC$24+P340*$AC$25+Q340*$AC$26+R340*$AC$27+S340*$AC$28+T340*$AC$29+U340*$AC$30</f>
        <v/>
      </c>
      <c r="W340" s="8">
        <f>1/(1+EXP(-V340))</f>
        <v/>
      </c>
      <c r="X340" s="9">
        <f>-IF(C340=1,LN(W340),LN(1-W340))</f>
        <v/>
      </c>
      <c r="Y340" s="10">
        <f>IF(W340&gt;$AC$33,1,0)</f>
        <v/>
      </c>
      <c r="Z340">
        <f>IF(Y340=C340,1,0)</f>
        <v/>
      </c>
    </row>
    <row r="341">
      <c r="A341">
        <f>'1 prepared data'!A334</f>
        <v/>
      </c>
      <c r="B341" s="5">
        <f>'1 prepared data'!U334</f>
        <v/>
      </c>
      <c r="C341">
        <f>'1 prepared data'!B334</f>
        <v/>
      </c>
      <c r="D341" s="7">
        <f>'1 prepared data'!C334</f>
        <v/>
      </c>
      <c r="E341" s="7">
        <f>'1 prepared data'!D334</f>
        <v/>
      </c>
      <c r="F341" s="7">
        <f>'1 prepared data'!E334</f>
        <v/>
      </c>
      <c r="G341" s="7">
        <f>'1 prepared data'!F334</f>
        <v/>
      </c>
      <c r="H341" s="7">
        <f>'1 prepared data'!G334</f>
        <v/>
      </c>
      <c r="I341" s="7">
        <f>'1 prepared data'!H334</f>
        <v/>
      </c>
      <c r="J341" s="7">
        <f>'1 prepared data'!I334</f>
        <v/>
      </c>
      <c r="K341" s="7">
        <f>'1 prepared data'!J334</f>
        <v/>
      </c>
      <c r="L341" s="7">
        <f>'1 prepared data'!K334</f>
        <v/>
      </c>
      <c r="M341" s="7">
        <f>'1 prepared data'!L334</f>
        <v/>
      </c>
      <c r="N341" s="7">
        <f>'1 prepared data'!M334</f>
        <v/>
      </c>
      <c r="O341" s="7">
        <f>'1 prepared data'!N334</f>
        <v/>
      </c>
      <c r="P341" s="7">
        <f>'1 prepared data'!O334</f>
        <v/>
      </c>
      <c r="Q341" s="7">
        <f>'1 prepared data'!P334</f>
        <v/>
      </c>
      <c r="R341" s="7">
        <f>'1 prepared data'!Q334</f>
        <v/>
      </c>
      <c r="S341" s="7">
        <f>'1 prepared data'!R334</f>
        <v/>
      </c>
      <c r="T341" s="7">
        <f>'1 prepared data'!S334</f>
        <v/>
      </c>
      <c r="U341" s="7">
        <f>'1 prepared data'!T334</f>
        <v/>
      </c>
      <c r="V341" s="8">
        <f>$AC$12+D341*$AC$13+E341*$AC$14+F341*$AC$15+G341*$AC$16+H341*$AC$17+I341*$AC$18+J341*$AC$19+K341*$AC$20+L341*$AC$21+M341*$AC$22+N341*$AC$23+O341*$AC$24+P341*$AC$25+Q341*$AC$26+R341*$AC$27+S341*$AC$28+T341*$AC$29+U341*$AC$30</f>
        <v/>
      </c>
      <c r="W341" s="8">
        <f>1/(1+EXP(-V341))</f>
        <v/>
      </c>
      <c r="X341" s="9">
        <f>-IF(C341=1,LN(W341),LN(1-W341))</f>
        <v/>
      </c>
      <c r="Y341" s="10">
        <f>IF(W341&gt;$AC$33,1,0)</f>
        <v/>
      </c>
      <c r="Z341">
        <f>IF(Y341=C341,1,0)</f>
        <v/>
      </c>
    </row>
    <row r="342">
      <c r="A342">
        <f>'1 prepared data'!A335</f>
        <v/>
      </c>
      <c r="B342" s="5">
        <f>'1 prepared data'!U335</f>
        <v/>
      </c>
      <c r="C342">
        <f>'1 prepared data'!B335</f>
        <v/>
      </c>
      <c r="D342" s="7">
        <f>'1 prepared data'!C335</f>
        <v/>
      </c>
      <c r="E342" s="7">
        <f>'1 prepared data'!D335</f>
        <v/>
      </c>
      <c r="F342" s="7">
        <f>'1 prepared data'!E335</f>
        <v/>
      </c>
      <c r="G342" s="7">
        <f>'1 prepared data'!F335</f>
        <v/>
      </c>
      <c r="H342" s="7">
        <f>'1 prepared data'!G335</f>
        <v/>
      </c>
      <c r="I342" s="7">
        <f>'1 prepared data'!H335</f>
        <v/>
      </c>
      <c r="J342" s="7">
        <f>'1 prepared data'!I335</f>
        <v/>
      </c>
      <c r="K342" s="7">
        <f>'1 prepared data'!J335</f>
        <v/>
      </c>
      <c r="L342" s="7">
        <f>'1 prepared data'!K335</f>
        <v/>
      </c>
      <c r="M342" s="7">
        <f>'1 prepared data'!L335</f>
        <v/>
      </c>
      <c r="N342" s="7">
        <f>'1 prepared data'!M335</f>
        <v/>
      </c>
      <c r="O342" s="7">
        <f>'1 prepared data'!N335</f>
        <v/>
      </c>
      <c r="P342" s="7">
        <f>'1 prepared data'!O335</f>
        <v/>
      </c>
      <c r="Q342" s="7">
        <f>'1 prepared data'!P335</f>
        <v/>
      </c>
      <c r="R342" s="7">
        <f>'1 prepared data'!Q335</f>
        <v/>
      </c>
      <c r="S342" s="7">
        <f>'1 prepared data'!R335</f>
        <v/>
      </c>
      <c r="T342" s="7">
        <f>'1 prepared data'!S335</f>
        <v/>
      </c>
      <c r="U342" s="7">
        <f>'1 prepared data'!T335</f>
        <v/>
      </c>
      <c r="V342" s="8">
        <f>$AC$12+D342*$AC$13+E342*$AC$14+F342*$AC$15+G342*$AC$16+H342*$AC$17+I342*$AC$18+J342*$AC$19+K342*$AC$20+L342*$AC$21+M342*$AC$22+N342*$AC$23+O342*$AC$24+P342*$AC$25+Q342*$AC$26+R342*$AC$27+S342*$AC$28+T342*$AC$29+U342*$AC$30</f>
        <v/>
      </c>
      <c r="W342" s="8">
        <f>1/(1+EXP(-V342))</f>
        <v/>
      </c>
      <c r="X342" s="9">
        <f>-IF(C342=1,LN(W342),LN(1-W342))</f>
        <v/>
      </c>
      <c r="Y342" s="10">
        <f>IF(W342&gt;$AC$33,1,0)</f>
        <v/>
      </c>
      <c r="Z342">
        <f>IF(Y342=C342,1,0)</f>
        <v/>
      </c>
    </row>
    <row r="343">
      <c r="A343">
        <f>'1 prepared data'!A336</f>
        <v/>
      </c>
      <c r="B343" s="5">
        <f>'1 prepared data'!U336</f>
        <v/>
      </c>
      <c r="C343">
        <f>'1 prepared data'!B336</f>
        <v/>
      </c>
      <c r="D343" s="7">
        <f>'1 prepared data'!C336</f>
        <v/>
      </c>
      <c r="E343" s="7">
        <f>'1 prepared data'!D336</f>
        <v/>
      </c>
      <c r="F343" s="7">
        <f>'1 prepared data'!E336</f>
        <v/>
      </c>
      <c r="G343" s="7">
        <f>'1 prepared data'!F336</f>
        <v/>
      </c>
      <c r="H343" s="7">
        <f>'1 prepared data'!G336</f>
        <v/>
      </c>
      <c r="I343" s="7">
        <f>'1 prepared data'!H336</f>
        <v/>
      </c>
      <c r="J343" s="7">
        <f>'1 prepared data'!I336</f>
        <v/>
      </c>
      <c r="K343" s="7">
        <f>'1 prepared data'!J336</f>
        <v/>
      </c>
      <c r="L343" s="7">
        <f>'1 prepared data'!K336</f>
        <v/>
      </c>
      <c r="M343" s="7">
        <f>'1 prepared data'!L336</f>
        <v/>
      </c>
      <c r="N343" s="7">
        <f>'1 prepared data'!M336</f>
        <v/>
      </c>
      <c r="O343" s="7">
        <f>'1 prepared data'!N336</f>
        <v/>
      </c>
      <c r="P343" s="7">
        <f>'1 prepared data'!O336</f>
        <v/>
      </c>
      <c r="Q343" s="7">
        <f>'1 prepared data'!P336</f>
        <v/>
      </c>
      <c r="R343" s="7">
        <f>'1 prepared data'!Q336</f>
        <v/>
      </c>
      <c r="S343" s="7">
        <f>'1 prepared data'!R336</f>
        <v/>
      </c>
      <c r="T343" s="7">
        <f>'1 prepared data'!S336</f>
        <v/>
      </c>
      <c r="U343" s="7">
        <f>'1 prepared data'!T336</f>
        <v/>
      </c>
      <c r="V343" s="8">
        <f>$AC$12+D343*$AC$13+E343*$AC$14+F343*$AC$15+G343*$AC$16+H343*$AC$17+I343*$AC$18+J343*$AC$19+K343*$AC$20+L343*$AC$21+M343*$AC$22+N343*$AC$23+O343*$AC$24+P343*$AC$25+Q343*$AC$26+R343*$AC$27+S343*$AC$28+T343*$AC$29+U343*$AC$30</f>
        <v/>
      </c>
      <c r="W343" s="8">
        <f>1/(1+EXP(-V343))</f>
        <v/>
      </c>
      <c r="X343" s="9">
        <f>-IF(C343=1,LN(W343),LN(1-W343))</f>
        <v/>
      </c>
      <c r="Y343" s="10">
        <f>IF(W343&gt;$AC$33,1,0)</f>
        <v/>
      </c>
      <c r="Z343">
        <f>IF(Y343=C343,1,0)</f>
        <v/>
      </c>
    </row>
    <row r="344">
      <c r="A344">
        <f>'1 prepared data'!A337</f>
        <v/>
      </c>
      <c r="B344" s="5">
        <f>'1 prepared data'!U337</f>
        <v/>
      </c>
      <c r="C344">
        <f>'1 prepared data'!B337</f>
        <v/>
      </c>
      <c r="D344" s="7">
        <f>'1 prepared data'!C337</f>
        <v/>
      </c>
      <c r="E344" s="7">
        <f>'1 prepared data'!D337</f>
        <v/>
      </c>
      <c r="F344" s="7">
        <f>'1 prepared data'!E337</f>
        <v/>
      </c>
      <c r="G344" s="7">
        <f>'1 prepared data'!F337</f>
        <v/>
      </c>
      <c r="H344" s="7">
        <f>'1 prepared data'!G337</f>
        <v/>
      </c>
      <c r="I344" s="7">
        <f>'1 prepared data'!H337</f>
        <v/>
      </c>
      <c r="J344" s="7">
        <f>'1 prepared data'!I337</f>
        <v/>
      </c>
      <c r="K344" s="7">
        <f>'1 prepared data'!J337</f>
        <v/>
      </c>
      <c r="L344" s="7">
        <f>'1 prepared data'!K337</f>
        <v/>
      </c>
      <c r="M344" s="7">
        <f>'1 prepared data'!L337</f>
        <v/>
      </c>
      <c r="N344" s="7">
        <f>'1 prepared data'!M337</f>
        <v/>
      </c>
      <c r="O344" s="7">
        <f>'1 prepared data'!N337</f>
        <v/>
      </c>
      <c r="P344" s="7">
        <f>'1 prepared data'!O337</f>
        <v/>
      </c>
      <c r="Q344" s="7">
        <f>'1 prepared data'!P337</f>
        <v/>
      </c>
      <c r="R344" s="7">
        <f>'1 prepared data'!Q337</f>
        <v/>
      </c>
      <c r="S344" s="7">
        <f>'1 prepared data'!R337</f>
        <v/>
      </c>
      <c r="T344" s="7">
        <f>'1 prepared data'!S337</f>
        <v/>
      </c>
      <c r="U344" s="7">
        <f>'1 prepared data'!T337</f>
        <v/>
      </c>
      <c r="V344" s="8">
        <f>$AC$12+D344*$AC$13+E344*$AC$14+F344*$AC$15+G344*$AC$16+H344*$AC$17+I344*$AC$18+J344*$AC$19+K344*$AC$20+L344*$AC$21+M344*$AC$22+N344*$AC$23+O344*$AC$24+P344*$AC$25+Q344*$AC$26+R344*$AC$27+S344*$AC$28+T344*$AC$29+U344*$AC$30</f>
        <v/>
      </c>
      <c r="W344" s="8">
        <f>1/(1+EXP(-V344))</f>
        <v/>
      </c>
      <c r="X344" s="9">
        <f>-IF(C344=1,LN(W344),LN(1-W344))</f>
        <v/>
      </c>
      <c r="Y344" s="10">
        <f>IF(W344&gt;$AC$33,1,0)</f>
        <v/>
      </c>
      <c r="Z344">
        <f>IF(Y344=C344,1,0)</f>
        <v/>
      </c>
    </row>
    <row r="345">
      <c r="A345">
        <f>'1 prepared data'!A338</f>
        <v/>
      </c>
      <c r="B345" s="5">
        <f>'1 prepared data'!U338</f>
        <v/>
      </c>
      <c r="C345">
        <f>'1 prepared data'!B338</f>
        <v/>
      </c>
      <c r="D345" s="7">
        <f>'1 prepared data'!C338</f>
        <v/>
      </c>
      <c r="E345" s="7">
        <f>'1 prepared data'!D338</f>
        <v/>
      </c>
      <c r="F345" s="7">
        <f>'1 prepared data'!E338</f>
        <v/>
      </c>
      <c r="G345" s="7">
        <f>'1 prepared data'!F338</f>
        <v/>
      </c>
      <c r="H345" s="7">
        <f>'1 prepared data'!G338</f>
        <v/>
      </c>
      <c r="I345" s="7">
        <f>'1 prepared data'!H338</f>
        <v/>
      </c>
      <c r="J345" s="7">
        <f>'1 prepared data'!I338</f>
        <v/>
      </c>
      <c r="K345" s="7">
        <f>'1 prepared data'!J338</f>
        <v/>
      </c>
      <c r="L345" s="7">
        <f>'1 prepared data'!K338</f>
        <v/>
      </c>
      <c r="M345" s="7">
        <f>'1 prepared data'!L338</f>
        <v/>
      </c>
      <c r="N345" s="7">
        <f>'1 prepared data'!M338</f>
        <v/>
      </c>
      <c r="O345" s="7">
        <f>'1 prepared data'!N338</f>
        <v/>
      </c>
      <c r="P345" s="7">
        <f>'1 prepared data'!O338</f>
        <v/>
      </c>
      <c r="Q345" s="7">
        <f>'1 prepared data'!P338</f>
        <v/>
      </c>
      <c r="R345" s="7">
        <f>'1 prepared data'!Q338</f>
        <v/>
      </c>
      <c r="S345" s="7">
        <f>'1 prepared data'!R338</f>
        <v/>
      </c>
      <c r="T345" s="7">
        <f>'1 prepared data'!S338</f>
        <v/>
      </c>
      <c r="U345" s="7">
        <f>'1 prepared data'!T338</f>
        <v/>
      </c>
      <c r="V345" s="8">
        <f>$AC$12+D345*$AC$13+E345*$AC$14+F345*$AC$15+G345*$AC$16+H345*$AC$17+I345*$AC$18+J345*$AC$19+K345*$AC$20+L345*$AC$21+M345*$AC$22+N345*$AC$23+O345*$AC$24+P345*$AC$25+Q345*$AC$26+R345*$AC$27+S345*$AC$28+T345*$AC$29+U345*$AC$30</f>
        <v/>
      </c>
      <c r="W345" s="8">
        <f>1/(1+EXP(-V345))</f>
        <v/>
      </c>
      <c r="X345" s="9">
        <f>-IF(C345=1,LN(W345),LN(1-W345))</f>
        <v/>
      </c>
      <c r="Y345" s="10">
        <f>IF(W345&gt;$AC$33,1,0)</f>
        <v/>
      </c>
      <c r="Z345">
        <f>IF(Y345=C345,1,0)</f>
        <v/>
      </c>
    </row>
    <row r="346">
      <c r="A346">
        <f>'1 prepared data'!A339</f>
        <v/>
      </c>
      <c r="B346" s="5">
        <f>'1 prepared data'!U339</f>
        <v/>
      </c>
      <c r="C346">
        <f>'1 prepared data'!B339</f>
        <v/>
      </c>
      <c r="D346" s="7">
        <f>'1 prepared data'!C339</f>
        <v/>
      </c>
      <c r="E346" s="7">
        <f>'1 prepared data'!D339</f>
        <v/>
      </c>
      <c r="F346" s="7">
        <f>'1 prepared data'!E339</f>
        <v/>
      </c>
      <c r="G346" s="7">
        <f>'1 prepared data'!F339</f>
        <v/>
      </c>
      <c r="H346" s="7">
        <f>'1 prepared data'!G339</f>
        <v/>
      </c>
      <c r="I346" s="7">
        <f>'1 prepared data'!H339</f>
        <v/>
      </c>
      <c r="J346" s="7">
        <f>'1 prepared data'!I339</f>
        <v/>
      </c>
      <c r="K346" s="7">
        <f>'1 prepared data'!J339</f>
        <v/>
      </c>
      <c r="L346" s="7">
        <f>'1 prepared data'!K339</f>
        <v/>
      </c>
      <c r="M346" s="7">
        <f>'1 prepared data'!L339</f>
        <v/>
      </c>
      <c r="N346" s="7">
        <f>'1 prepared data'!M339</f>
        <v/>
      </c>
      <c r="O346" s="7">
        <f>'1 prepared data'!N339</f>
        <v/>
      </c>
      <c r="P346" s="7">
        <f>'1 prepared data'!O339</f>
        <v/>
      </c>
      <c r="Q346" s="7">
        <f>'1 prepared data'!P339</f>
        <v/>
      </c>
      <c r="R346" s="7">
        <f>'1 prepared data'!Q339</f>
        <v/>
      </c>
      <c r="S346" s="7">
        <f>'1 prepared data'!R339</f>
        <v/>
      </c>
      <c r="T346" s="7">
        <f>'1 prepared data'!S339</f>
        <v/>
      </c>
      <c r="U346" s="7">
        <f>'1 prepared data'!T339</f>
        <v/>
      </c>
      <c r="V346" s="8">
        <f>$AC$12+D346*$AC$13+E346*$AC$14+F346*$AC$15+G346*$AC$16+H346*$AC$17+I346*$AC$18+J346*$AC$19+K346*$AC$20+L346*$AC$21+M346*$AC$22+N346*$AC$23+O346*$AC$24+P346*$AC$25+Q346*$AC$26+R346*$AC$27+S346*$AC$28+T346*$AC$29+U346*$AC$30</f>
        <v/>
      </c>
      <c r="W346" s="8">
        <f>1/(1+EXP(-V346))</f>
        <v/>
      </c>
      <c r="X346" s="9">
        <f>-IF(C346=1,LN(W346),LN(1-W346))</f>
        <v/>
      </c>
      <c r="Y346" s="10">
        <f>IF(W346&gt;$AC$33,1,0)</f>
        <v/>
      </c>
      <c r="Z346">
        <f>IF(Y346=C346,1,0)</f>
        <v/>
      </c>
    </row>
    <row r="347">
      <c r="A347">
        <f>'1 prepared data'!A340</f>
        <v/>
      </c>
      <c r="B347" s="5">
        <f>'1 prepared data'!U340</f>
        <v/>
      </c>
      <c r="C347">
        <f>'1 prepared data'!B340</f>
        <v/>
      </c>
      <c r="D347" s="7">
        <f>'1 prepared data'!C340</f>
        <v/>
      </c>
      <c r="E347" s="7">
        <f>'1 prepared data'!D340</f>
        <v/>
      </c>
      <c r="F347" s="7">
        <f>'1 prepared data'!E340</f>
        <v/>
      </c>
      <c r="G347" s="7">
        <f>'1 prepared data'!F340</f>
        <v/>
      </c>
      <c r="H347" s="7">
        <f>'1 prepared data'!G340</f>
        <v/>
      </c>
      <c r="I347" s="7">
        <f>'1 prepared data'!H340</f>
        <v/>
      </c>
      <c r="J347" s="7">
        <f>'1 prepared data'!I340</f>
        <v/>
      </c>
      <c r="K347" s="7">
        <f>'1 prepared data'!J340</f>
        <v/>
      </c>
      <c r="L347" s="7">
        <f>'1 prepared data'!K340</f>
        <v/>
      </c>
      <c r="M347" s="7">
        <f>'1 prepared data'!L340</f>
        <v/>
      </c>
      <c r="N347" s="7">
        <f>'1 prepared data'!M340</f>
        <v/>
      </c>
      <c r="O347" s="7">
        <f>'1 prepared data'!N340</f>
        <v/>
      </c>
      <c r="P347" s="7">
        <f>'1 prepared data'!O340</f>
        <v/>
      </c>
      <c r="Q347" s="7">
        <f>'1 prepared data'!P340</f>
        <v/>
      </c>
      <c r="R347" s="7">
        <f>'1 prepared data'!Q340</f>
        <v/>
      </c>
      <c r="S347" s="7">
        <f>'1 prepared data'!R340</f>
        <v/>
      </c>
      <c r="T347" s="7">
        <f>'1 prepared data'!S340</f>
        <v/>
      </c>
      <c r="U347" s="7">
        <f>'1 prepared data'!T340</f>
        <v/>
      </c>
      <c r="V347" s="8">
        <f>$AC$12+D347*$AC$13+E347*$AC$14+F347*$AC$15+G347*$AC$16+H347*$AC$17+I347*$AC$18+J347*$AC$19+K347*$AC$20+L347*$AC$21+M347*$AC$22+N347*$AC$23+O347*$AC$24+P347*$AC$25+Q347*$AC$26+R347*$AC$27+S347*$AC$28+T347*$AC$29+U347*$AC$30</f>
        <v/>
      </c>
      <c r="W347" s="8">
        <f>1/(1+EXP(-V347))</f>
        <v/>
      </c>
      <c r="X347" s="9">
        <f>-IF(C347=1,LN(W347),LN(1-W347))</f>
        <v/>
      </c>
      <c r="Y347" s="10">
        <f>IF(W347&gt;$AC$33,1,0)</f>
        <v/>
      </c>
      <c r="Z347">
        <f>IF(Y347=C347,1,0)</f>
        <v/>
      </c>
    </row>
    <row r="348">
      <c r="A348">
        <f>'1 prepared data'!A341</f>
        <v/>
      </c>
      <c r="B348" s="5">
        <f>'1 prepared data'!U341</f>
        <v/>
      </c>
      <c r="C348">
        <f>'1 prepared data'!B341</f>
        <v/>
      </c>
      <c r="D348" s="7">
        <f>'1 prepared data'!C341</f>
        <v/>
      </c>
      <c r="E348" s="7">
        <f>'1 prepared data'!D341</f>
        <v/>
      </c>
      <c r="F348" s="7">
        <f>'1 prepared data'!E341</f>
        <v/>
      </c>
      <c r="G348" s="7">
        <f>'1 prepared data'!F341</f>
        <v/>
      </c>
      <c r="H348" s="7">
        <f>'1 prepared data'!G341</f>
        <v/>
      </c>
      <c r="I348" s="7">
        <f>'1 prepared data'!H341</f>
        <v/>
      </c>
      <c r="J348" s="7">
        <f>'1 prepared data'!I341</f>
        <v/>
      </c>
      <c r="K348" s="7">
        <f>'1 prepared data'!J341</f>
        <v/>
      </c>
      <c r="L348" s="7">
        <f>'1 prepared data'!K341</f>
        <v/>
      </c>
      <c r="M348" s="7">
        <f>'1 prepared data'!L341</f>
        <v/>
      </c>
      <c r="N348" s="7">
        <f>'1 prepared data'!M341</f>
        <v/>
      </c>
      <c r="O348" s="7">
        <f>'1 prepared data'!N341</f>
        <v/>
      </c>
      <c r="P348" s="7">
        <f>'1 prepared data'!O341</f>
        <v/>
      </c>
      <c r="Q348" s="7">
        <f>'1 prepared data'!P341</f>
        <v/>
      </c>
      <c r="R348" s="7">
        <f>'1 prepared data'!Q341</f>
        <v/>
      </c>
      <c r="S348" s="7">
        <f>'1 prepared data'!R341</f>
        <v/>
      </c>
      <c r="T348" s="7">
        <f>'1 prepared data'!S341</f>
        <v/>
      </c>
      <c r="U348" s="7">
        <f>'1 prepared data'!T341</f>
        <v/>
      </c>
      <c r="V348" s="8">
        <f>$AC$12+D348*$AC$13+E348*$AC$14+F348*$AC$15+G348*$AC$16+H348*$AC$17+I348*$AC$18+J348*$AC$19+K348*$AC$20+L348*$AC$21+M348*$AC$22+N348*$AC$23+O348*$AC$24+P348*$AC$25+Q348*$AC$26+R348*$AC$27+S348*$AC$28+T348*$AC$29+U348*$AC$30</f>
        <v/>
      </c>
      <c r="W348" s="8">
        <f>1/(1+EXP(-V348))</f>
        <v/>
      </c>
      <c r="X348" s="9">
        <f>-IF(C348=1,LN(W348),LN(1-W348))</f>
        <v/>
      </c>
      <c r="Y348" s="10">
        <f>IF(W348&gt;$AC$33,1,0)</f>
        <v/>
      </c>
      <c r="Z348">
        <f>IF(Y348=C348,1,0)</f>
        <v/>
      </c>
    </row>
    <row r="349">
      <c r="A349">
        <f>'1 prepared data'!A342</f>
        <v/>
      </c>
      <c r="B349" s="5">
        <f>'1 prepared data'!U342</f>
        <v/>
      </c>
      <c r="C349">
        <f>'1 prepared data'!B342</f>
        <v/>
      </c>
      <c r="D349" s="7">
        <f>'1 prepared data'!C342</f>
        <v/>
      </c>
      <c r="E349" s="7">
        <f>'1 prepared data'!D342</f>
        <v/>
      </c>
      <c r="F349" s="7">
        <f>'1 prepared data'!E342</f>
        <v/>
      </c>
      <c r="G349" s="7">
        <f>'1 prepared data'!F342</f>
        <v/>
      </c>
      <c r="H349" s="7">
        <f>'1 prepared data'!G342</f>
        <v/>
      </c>
      <c r="I349" s="7">
        <f>'1 prepared data'!H342</f>
        <v/>
      </c>
      <c r="J349" s="7">
        <f>'1 prepared data'!I342</f>
        <v/>
      </c>
      <c r="K349" s="7">
        <f>'1 prepared data'!J342</f>
        <v/>
      </c>
      <c r="L349" s="7">
        <f>'1 prepared data'!K342</f>
        <v/>
      </c>
      <c r="M349" s="7">
        <f>'1 prepared data'!L342</f>
        <v/>
      </c>
      <c r="N349" s="7">
        <f>'1 prepared data'!M342</f>
        <v/>
      </c>
      <c r="O349" s="7">
        <f>'1 prepared data'!N342</f>
        <v/>
      </c>
      <c r="P349" s="7">
        <f>'1 prepared data'!O342</f>
        <v/>
      </c>
      <c r="Q349" s="7">
        <f>'1 prepared data'!P342</f>
        <v/>
      </c>
      <c r="R349" s="7">
        <f>'1 prepared data'!Q342</f>
        <v/>
      </c>
      <c r="S349" s="7">
        <f>'1 prepared data'!R342</f>
        <v/>
      </c>
      <c r="T349" s="7">
        <f>'1 prepared data'!S342</f>
        <v/>
      </c>
      <c r="U349" s="7">
        <f>'1 prepared data'!T342</f>
        <v/>
      </c>
      <c r="V349" s="8">
        <f>$AC$12+D349*$AC$13+E349*$AC$14+F349*$AC$15+G349*$AC$16+H349*$AC$17+I349*$AC$18+J349*$AC$19+K349*$AC$20+L349*$AC$21+M349*$AC$22+N349*$AC$23+O349*$AC$24+P349*$AC$25+Q349*$AC$26+R349*$AC$27+S349*$AC$28+T349*$AC$29+U349*$AC$30</f>
        <v/>
      </c>
      <c r="W349" s="8">
        <f>1/(1+EXP(-V349))</f>
        <v/>
      </c>
      <c r="X349" s="9">
        <f>-IF(C349=1,LN(W349),LN(1-W349))</f>
        <v/>
      </c>
      <c r="Y349" s="10">
        <f>IF(W349&gt;$AC$33,1,0)</f>
        <v/>
      </c>
      <c r="Z349">
        <f>IF(Y349=C349,1,0)</f>
        <v/>
      </c>
    </row>
    <row r="350">
      <c r="A350">
        <f>'1 prepared data'!A343</f>
        <v/>
      </c>
      <c r="B350" s="5">
        <f>'1 prepared data'!U343</f>
        <v/>
      </c>
      <c r="C350">
        <f>'1 prepared data'!B343</f>
        <v/>
      </c>
      <c r="D350" s="7">
        <f>'1 prepared data'!C343</f>
        <v/>
      </c>
      <c r="E350" s="7">
        <f>'1 prepared data'!D343</f>
        <v/>
      </c>
      <c r="F350" s="7">
        <f>'1 prepared data'!E343</f>
        <v/>
      </c>
      <c r="G350" s="7">
        <f>'1 prepared data'!F343</f>
        <v/>
      </c>
      <c r="H350" s="7">
        <f>'1 prepared data'!G343</f>
        <v/>
      </c>
      <c r="I350" s="7">
        <f>'1 prepared data'!H343</f>
        <v/>
      </c>
      <c r="J350" s="7">
        <f>'1 prepared data'!I343</f>
        <v/>
      </c>
      <c r="K350" s="7">
        <f>'1 prepared data'!J343</f>
        <v/>
      </c>
      <c r="L350" s="7">
        <f>'1 prepared data'!K343</f>
        <v/>
      </c>
      <c r="M350" s="7">
        <f>'1 prepared data'!L343</f>
        <v/>
      </c>
      <c r="N350" s="7">
        <f>'1 prepared data'!M343</f>
        <v/>
      </c>
      <c r="O350" s="7">
        <f>'1 prepared data'!N343</f>
        <v/>
      </c>
      <c r="P350" s="7">
        <f>'1 prepared data'!O343</f>
        <v/>
      </c>
      <c r="Q350" s="7">
        <f>'1 prepared data'!P343</f>
        <v/>
      </c>
      <c r="R350" s="7">
        <f>'1 prepared data'!Q343</f>
        <v/>
      </c>
      <c r="S350" s="7">
        <f>'1 prepared data'!R343</f>
        <v/>
      </c>
      <c r="T350" s="7">
        <f>'1 prepared data'!S343</f>
        <v/>
      </c>
      <c r="U350" s="7">
        <f>'1 prepared data'!T343</f>
        <v/>
      </c>
      <c r="V350" s="8">
        <f>$AC$12+D350*$AC$13+E350*$AC$14+F350*$AC$15+G350*$AC$16+H350*$AC$17+I350*$AC$18+J350*$AC$19+K350*$AC$20+L350*$AC$21+M350*$AC$22+N350*$AC$23+O350*$AC$24+P350*$AC$25+Q350*$AC$26+R350*$AC$27+S350*$AC$28+T350*$AC$29+U350*$AC$30</f>
        <v/>
      </c>
      <c r="W350" s="8">
        <f>1/(1+EXP(-V350))</f>
        <v/>
      </c>
      <c r="X350" s="9">
        <f>-IF(C350=1,LN(W350),LN(1-W350))</f>
        <v/>
      </c>
      <c r="Y350" s="10">
        <f>IF(W350&gt;$AC$33,1,0)</f>
        <v/>
      </c>
      <c r="Z350">
        <f>IF(Y350=C350,1,0)</f>
        <v/>
      </c>
    </row>
    <row r="351">
      <c r="A351">
        <f>'1 prepared data'!A344</f>
        <v/>
      </c>
      <c r="B351" s="5">
        <f>'1 prepared data'!U344</f>
        <v/>
      </c>
      <c r="C351">
        <f>'1 prepared data'!B344</f>
        <v/>
      </c>
      <c r="D351" s="7">
        <f>'1 prepared data'!C344</f>
        <v/>
      </c>
      <c r="E351" s="7">
        <f>'1 prepared data'!D344</f>
        <v/>
      </c>
      <c r="F351" s="7">
        <f>'1 prepared data'!E344</f>
        <v/>
      </c>
      <c r="G351" s="7">
        <f>'1 prepared data'!F344</f>
        <v/>
      </c>
      <c r="H351" s="7">
        <f>'1 prepared data'!G344</f>
        <v/>
      </c>
      <c r="I351" s="7">
        <f>'1 prepared data'!H344</f>
        <v/>
      </c>
      <c r="J351" s="7">
        <f>'1 prepared data'!I344</f>
        <v/>
      </c>
      <c r="K351" s="7">
        <f>'1 prepared data'!J344</f>
        <v/>
      </c>
      <c r="L351" s="7">
        <f>'1 prepared data'!K344</f>
        <v/>
      </c>
      <c r="M351" s="7">
        <f>'1 prepared data'!L344</f>
        <v/>
      </c>
      <c r="N351" s="7">
        <f>'1 prepared data'!M344</f>
        <v/>
      </c>
      <c r="O351" s="7">
        <f>'1 prepared data'!N344</f>
        <v/>
      </c>
      <c r="P351" s="7">
        <f>'1 prepared data'!O344</f>
        <v/>
      </c>
      <c r="Q351" s="7">
        <f>'1 prepared data'!P344</f>
        <v/>
      </c>
      <c r="R351" s="7">
        <f>'1 prepared data'!Q344</f>
        <v/>
      </c>
      <c r="S351" s="7">
        <f>'1 prepared data'!R344</f>
        <v/>
      </c>
      <c r="T351" s="7">
        <f>'1 prepared data'!S344</f>
        <v/>
      </c>
      <c r="U351" s="7">
        <f>'1 prepared data'!T344</f>
        <v/>
      </c>
      <c r="V351" s="8">
        <f>$AC$12+D351*$AC$13+E351*$AC$14+F351*$AC$15+G351*$AC$16+H351*$AC$17+I351*$AC$18+J351*$AC$19+K351*$AC$20+L351*$AC$21+M351*$AC$22+N351*$AC$23+O351*$AC$24+P351*$AC$25+Q351*$AC$26+R351*$AC$27+S351*$AC$28+T351*$AC$29+U351*$AC$30</f>
        <v/>
      </c>
      <c r="W351" s="8">
        <f>1/(1+EXP(-V351))</f>
        <v/>
      </c>
      <c r="X351" s="9">
        <f>-IF(C351=1,LN(W351),LN(1-W351))</f>
        <v/>
      </c>
      <c r="Y351" s="10">
        <f>IF(W351&gt;$AC$33,1,0)</f>
        <v/>
      </c>
      <c r="Z351">
        <f>IF(Y351=C351,1,0)</f>
        <v/>
      </c>
    </row>
    <row r="352">
      <c r="A352">
        <f>'1 prepared data'!A345</f>
        <v/>
      </c>
      <c r="B352" s="5">
        <f>'1 prepared data'!U345</f>
        <v/>
      </c>
      <c r="C352">
        <f>'1 prepared data'!B345</f>
        <v/>
      </c>
      <c r="D352" s="7">
        <f>'1 prepared data'!C345</f>
        <v/>
      </c>
      <c r="E352" s="7">
        <f>'1 prepared data'!D345</f>
        <v/>
      </c>
      <c r="F352" s="7">
        <f>'1 prepared data'!E345</f>
        <v/>
      </c>
      <c r="G352" s="7">
        <f>'1 prepared data'!F345</f>
        <v/>
      </c>
      <c r="H352" s="7">
        <f>'1 prepared data'!G345</f>
        <v/>
      </c>
      <c r="I352" s="7">
        <f>'1 prepared data'!H345</f>
        <v/>
      </c>
      <c r="J352" s="7">
        <f>'1 prepared data'!I345</f>
        <v/>
      </c>
      <c r="K352" s="7">
        <f>'1 prepared data'!J345</f>
        <v/>
      </c>
      <c r="L352" s="7">
        <f>'1 prepared data'!K345</f>
        <v/>
      </c>
      <c r="M352" s="7">
        <f>'1 prepared data'!L345</f>
        <v/>
      </c>
      <c r="N352" s="7">
        <f>'1 prepared data'!M345</f>
        <v/>
      </c>
      <c r="O352" s="7">
        <f>'1 prepared data'!N345</f>
        <v/>
      </c>
      <c r="P352" s="7">
        <f>'1 prepared data'!O345</f>
        <v/>
      </c>
      <c r="Q352" s="7">
        <f>'1 prepared data'!P345</f>
        <v/>
      </c>
      <c r="R352" s="7">
        <f>'1 prepared data'!Q345</f>
        <v/>
      </c>
      <c r="S352" s="7">
        <f>'1 prepared data'!R345</f>
        <v/>
      </c>
      <c r="T352" s="7">
        <f>'1 prepared data'!S345</f>
        <v/>
      </c>
      <c r="U352" s="7">
        <f>'1 prepared data'!T345</f>
        <v/>
      </c>
      <c r="V352" s="8">
        <f>$AC$12+D352*$AC$13+E352*$AC$14+F352*$AC$15+G352*$AC$16+H352*$AC$17+I352*$AC$18+J352*$AC$19+K352*$AC$20+L352*$AC$21+M352*$AC$22+N352*$AC$23+O352*$AC$24+P352*$AC$25+Q352*$AC$26+R352*$AC$27+S352*$AC$28+T352*$AC$29+U352*$AC$30</f>
        <v/>
      </c>
      <c r="W352" s="8">
        <f>1/(1+EXP(-V352))</f>
        <v/>
      </c>
      <c r="X352" s="9">
        <f>-IF(C352=1,LN(W352),LN(1-W352))</f>
        <v/>
      </c>
      <c r="Y352" s="10">
        <f>IF(W352&gt;$AC$33,1,0)</f>
        <v/>
      </c>
      <c r="Z352">
        <f>IF(Y352=C352,1,0)</f>
        <v/>
      </c>
    </row>
    <row r="353">
      <c r="A353">
        <f>'1 prepared data'!A346</f>
        <v/>
      </c>
      <c r="B353" s="5">
        <f>'1 prepared data'!U346</f>
        <v/>
      </c>
      <c r="C353">
        <f>'1 prepared data'!B346</f>
        <v/>
      </c>
      <c r="D353" s="7">
        <f>'1 prepared data'!C346</f>
        <v/>
      </c>
      <c r="E353" s="7">
        <f>'1 prepared data'!D346</f>
        <v/>
      </c>
      <c r="F353" s="7">
        <f>'1 prepared data'!E346</f>
        <v/>
      </c>
      <c r="G353" s="7">
        <f>'1 prepared data'!F346</f>
        <v/>
      </c>
      <c r="H353" s="7">
        <f>'1 prepared data'!G346</f>
        <v/>
      </c>
      <c r="I353" s="7">
        <f>'1 prepared data'!H346</f>
        <v/>
      </c>
      <c r="J353" s="7">
        <f>'1 prepared data'!I346</f>
        <v/>
      </c>
      <c r="K353" s="7">
        <f>'1 prepared data'!J346</f>
        <v/>
      </c>
      <c r="L353" s="7">
        <f>'1 prepared data'!K346</f>
        <v/>
      </c>
      <c r="M353" s="7">
        <f>'1 prepared data'!L346</f>
        <v/>
      </c>
      <c r="N353" s="7">
        <f>'1 prepared data'!M346</f>
        <v/>
      </c>
      <c r="O353" s="7">
        <f>'1 prepared data'!N346</f>
        <v/>
      </c>
      <c r="P353" s="7">
        <f>'1 prepared data'!O346</f>
        <v/>
      </c>
      <c r="Q353" s="7">
        <f>'1 prepared data'!P346</f>
        <v/>
      </c>
      <c r="R353" s="7">
        <f>'1 prepared data'!Q346</f>
        <v/>
      </c>
      <c r="S353" s="7">
        <f>'1 prepared data'!R346</f>
        <v/>
      </c>
      <c r="T353" s="7">
        <f>'1 prepared data'!S346</f>
        <v/>
      </c>
      <c r="U353" s="7">
        <f>'1 prepared data'!T346</f>
        <v/>
      </c>
      <c r="V353" s="8">
        <f>$AC$12+D353*$AC$13+E353*$AC$14+F353*$AC$15+G353*$AC$16+H353*$AC$17+I353*$AC$18+J353*$AC$19+K353*$AC$20+L353*$AC$21+M353*$AC$22+N353*$AC$23+O353*$AC$24+P353*$AC$25+Q353*$AC$26+R353*$AC$27+S353*$AC$28+T353*$AC$29+U353*$AC$30</f>
        <v/>
      </c>
      <c r="W353" s="8">
        <f>1/(1+EXP(-V353))</f>
        <v/>
      </c>
      <c r="X353" s="9">
        <f>-IF(C353=1,LN(W353),LN(1-W353))</f>
        <v/>
      </c>
      <c r="Y353" s="10">
        <f>IF(W353&gt;$AC$33,1,0)</f>
        <v/>
      </c>
      <c r="Z353">
        <f>IF(Y353=C353,1,0)</f>
        <v/>
      </c>
    </row>
    <row r="354">
      <c r="A354">
        <f>'1 prepared data'!A347</f>
        <v/>
      </c>
      <c r="B354" s="5">
        <f>'1 prepared data'!U347</f>
        <v/>
      </c>
      <c r="C354">
        <f>'1 prepared data'!B347</f>
        <v/>
      </c>
      <c r="D354" s="7">
        <f>'1 prepared data'!C347</f>
        <v/>
      </c>
      <c r="E354" s="7">
        <f>'1 prepared data'!D347</f>
        <v/>
      </c>
      <c r="F354" s="7">
        <f>'1 prepared data'!E347</f>
        <v/>
      </c>
      <c r="G354" s="7">
        <f>'1 prepared data'!F347</f>
        <v/>
      </c>
      <c r="H354" s="7">
        <f>'1 prepared data'!G347</f>
        <v/>
      </c>
      <c r="I354" s="7">
        <f>'1 prepared data'!H347</f>
        <v/>
      </c>
      <c r="J354" s="7">
        <f>'1 prepared data'!I347</f>
        <v/>
      </c>
      <c r="K354" s="7">
        <f>'1 prepared data'!J347</f>
        <v/>
      </c>
      <c r="L354" s="7">
        <f>'1 prepared data'!K347</f>
        <v/>
      </c>
      <c r="M354" s="7">
        <f>'1 prepared data'!L347</f>
        <v/>
      </c>
      <c r="N354" s="7">
        <f>'1 prepared data'!M347</f>
        <v/>
      </c>
      <c r="O354" s="7">
        <f>'1 prepared data'!N347</f>
        <v/>
      </c>
      <c r="P354" s="7">
        <f>'1 prepared data'!O347</f>
        <v/>
      </c>
      <c r="Q354" s="7">
        <f>'1 prepared data'!P347</f>
        <v/>
      </c>
      <c r="R354" s="7">
        <f>'1 prepared data'!Q347</f>
        <v/>
      </c>
      <c r="S354" s="7">
        <f>'1 prepared data'!R347</f>
        <v/>
      </c>
      <c r="T354" s="7">
        <f>'1 prepared data'!S347</f>
        <v/>
      </c>
      <c r="U354" s="7">
        <f>'1 prepared data'!T347</f>
        <v/>
      </c>
      <c r="V354" s="8">
        <f>$AC$12+D354*$AC$13+E354*$AC$14+F354*$AC$15+G354*$AC$16+H354*$AC$17+I354*$AC$18+J354*$AC$19+K354*$AC$20+L354*$AC$21+M354*$AC$22+N354*$AC$23+O354*$AC$24+P354*$AC$25+Q354*$AC$26+R354*$AC$27+S354*$AC$28+T354*$AC$29+U354*$AC$30</f>
        <v/>
      </c>
      <c r="W354" s="8">
        <f>1/(1+EXP(-V354))</f>
        <v/>
      </c>
      <c r="X354" s="9">
        <f>-IF(C354=1,LN(W354),LN(1-W354))</f>
        <v/>
      </c>
      <c r="Y354" s="10">
        <f>IF(W354&gt;$AC$33,1,0)</f>
        <v/>
      </c>
      <c r="Z354">
        <f>IF(Y354=C354,1,0)</f>
        <v/>
      </c>
    </row>
    <row r="355">
      <c r="A355">
        <f>'1 prepared data'!A348</f>
        <v/>
      </c>
      <c r="B355" s="5">
        <f>'1 prepared data'!U348</f>
        <v/>
      </c>
      <c r="C355">
        <f>'1 prepared data'!B348</f>
        <v/>
      </c>
      <c r="D355" s="7">
        <f>'1 prepared data'!C348</f>
        <v/>
      </c>
      <c r="E355" s="7">
        <f>'1 prepared data'!D348</f>
        <v/>
      </c>
      <c r="F355" s="7">
        <f>'1 prepared data'!E348</f>
        <v/>
      </c>
      <c r="G355" s="7">
        <f>'1 prepared data'!F348</f>
        <v/>
      </c>
      <c r="H355" s="7">
        <f>'1 prepared data'!G348</f>
        <v/>
      </c>
      <c r="I355" s="7">
        <f>'1 prepared data'!H348</f>
        <v/>
      </c>
      <c r="J355" s="7">
        <f>'1 prepared data'!I348</f>
        <v/>
      </c>
      <c r="K355" s="7">
        <f>'1 prepared data'!J348</f>
        <v/>
      </c>
      <c r="L355" s="7">
        <f>'1 prepared data'!K348</f>
        <v/>
      </c>
      <c r="M355" s="7">
        <f>'1 prepared data'!L348</f>
        <v/>
      </c>
      <c r="N355" s="7">
        <f>'1 prepared data'!M348</f>
        <v/>
      </c>
      <c r="O355" s="7">
        <f>'1 prepared data'!N348</f>
        <v/>
      </c>
      <c r="P355" s="7">
        <f>'1 prepared data'!O348</f>
        <v/>
      </c>
      <c r="Q355" s="7">
        <f>'1 prepared data'!P348</f>
        <v/>
      </c>
      <c r="R355" s="7">
        <f>'1 prepared data'!Q348</f>
        <v/>
      </c>
      <c r="S355" s="7">
        <f>'1 prepared data'!R348</f>
        <v/>
      </c>
      <c r="T355" s="7">
        <f>'1 prepared data'!S348</f>
        <v/>
      </c>
      <c r="U355" s="7">
        <f>'1 prepared data'!T348</f>
        <v/>
      </c>
      <c r="V355" s="8">
        <f>$AC$12+D355*$AC$13+E355*$AC$14+F355*$AC$15+G355*$AC$16+H355*$AC$17+I355*$AC$18+J355*$AC$19+K355*$AC$20+L355*$AC$21+M355*$AC$22+N355*$AC$23+O355*$AC$24+P355*$AC$25+Q355*$AC$26+R355*$AC$27+S355*$AC$28+T355*$AC$29+U355*$AC$30</f>
        <v/>
      </c>
      <c r="W355" s="8">
        <f>1/(1+EXP(-V355))</f>
        <v/>
      </c>
      <c r="X355" s="9">
        <f>-IF(C355=1,LN(W355),LN(1-W355))</f>
        <v/>
      </c>
      <c r="Y355" s="10">
        <f>IF(W355&gt;$AC$33,1,0)</f>
        <v/>
      </c>
      <c r="Z355">
        <f>IF(Y355=C355,1,0)</f>
        <v/>
      </c>
    </row>
    <row r="356">
      <c r="A356">
        <f>'1 prepared data'!A349</f>
        <v/>
      </c>
      <c r="B356" s="5">
        <f>'1 prepared data'!U349</f>
        <v/>
      </c>
      <c r="C356">
        <f>'1 prepared data'!B349</f>
        <v/>
      </c>
      <c r="D356" s="7">
        <f>'1 prepared data'!C349</f>
        <v/>
      </c>
      <c r="E356" s="7">
        <f>'1 prepared data'!D349</f>
        <v/>
      </c>
      <c r="F356" s="7">
        <f>'1 prepared data'!E349</f>
        <v/>
      </c>
      <c r="G356" s="7">
        <f>'1 prepared data'!F349</f>
        <v/>
      </c>
      <c r="H356" s="7">
        <f>'1 prepared data'!G349</f>
        <v/>
      </c>
      <c r="I356" s="7">
        <f>'1 prepared data'!H349</f>
        <v/>
      </c>
      <c r="J356" s="7">
        <f>'1 prepared data'!I349</f>
        <v/>
      </c>
      <c r="K356" s="7">
        <f>'1 prepared data'!J349</f>
        <v/>
      </c>
      <c r="L356" s="7">
        <f>'1 prepared data'!K349</f>
        <v/>
      </c>
      <c r="M356" s="7">
        <f>'1 prepared data'!L349</f>
        <v/>
      </c>
      <c r="N356" s="7">
        <f>'1 prepared data'!M349</f>
        <v/>
      </c>
      <c r="O356" s="7">
        <f>'1 prepared data'!N349</f>
        <v/>
      </c>
      <c r="P356" s="7">
        <f>'1 prepared data'!O349</f>
        <v/>
      </c>
      <c r="Q356" s="7">
        <f>'1 prepared data'!P349</f>
        <v/>
      </c>
      <c r="R356" s="7">
        <f>'1 prepared data'!Q349</f>
        <v/>
      </c>
      <c r="S356" s="7">
        <f>'1 prepared data'!R349</f>
        <v/>
      </c>
      <c r="T356" s="7">
        <f>'1 prepared data'!S349</f>
        <v/>
      </c>
      <c r="U356" s="7">
        <f>'1 prepared data'!T349</f>
        <v/>
      </c>
      <c r="V356" s="8">
        <f>$AC$12+D356*$AC$13+E356*$AC$14+F356*$AC$15+G356*$AC$16+H356*$AC$17+I356*$AC$18+J356*$AC$19+K356*$AC$20+L356*$AC$21+M356*$AC$22+N356*$AC$23+O356*$AC$24+P356*$AC$25+Q356*$AC$26+R356*$AC$27+S356*$AC$28+T356*$AC$29+U356*$AC$30</f>
        <v/>
      </c>
      <c r="W356" s="8">
        <f>1/(1+EXP(-V356))</f>
        <v/>
      </c>
      <c r="X356" s="9">
        <f>-IF(C356=1,LN(W356),LN(1-W356))</f>
        <v/>
      </c>
      <c r="Y356" s="10">
        <f>IF(W356&gt;$AC$33,1,0)</f>
        <v/>
      </c>
      <c r="Z356">
        <f>IF(Y356=C356,1,0)</f>
        <v/>
      </c>
    </row>
    <row r="357">
      <c r="A357">
        <f>'1 prepared data'!A350</f>
        <v/>
      </c>
      <c r="B357" s="5">
        <f>'1 prepared data'!U350</f>
        <v/>
      </c>
      <c r="C357">
        <f>'1 prepared data'!B350</f>
        <v/>
      </c>
      <c r="D357" s="7">
        <f>'1 prepared data'!C350</f>
        <v/>
      </c>
      <c r="E357" s="7">
        <f>'1 prepared data'!D350</f>
        <v/>
      </c>
      <c r="F357" s="7">
        <f>'1 prepared data'!E350</f>
        <v/>
      </c>
      <c r="G357" s="7">
        <f>'1 prepared data'!F350</f>
        <v/>
      </c>
      <c r="H357" s="7">
        <f>'1 prepared data'!G350</f>
        <v/>
      </c>
      <c r="I357" s="7">
        <f>'1 prepared data'!H350</f>
        <v/>
      </c>
      <c r="J357" s="7">
        <f>'1 prepared data'!I350</f>
        <v/>
      </c>
      <c r="K357" s="7">
        <f>'1 prepared data'!J350</f>
        <v/>
      </c>
      <c r="L357" s="7">
        <f>'1 prepared data'!K350</f>
        <v/>
      </c>
      <c r="M357" s="7">
        <f>'1 prepared data'!L350</f>
        <v/>
      </c>
      <c r="N357" s="7">
        <f>'1 prepared data'!M350</f>
        <v/>
      </c>
      <c r="O357" s="7">
        <f>'1 prepared data'!N350</f>
        <v/>
      </c>
      <c r="P357" s="7">
        <f>'1 prepared data'!O350</f>
        <v/>
      </c>
      <c r="Q357" s="7">
        <f>'1 prepared data'!P350</f>
        <v/>
      </c>
      <c r="R357" s="7">
        <f>'1 prepared data'!Q350</f>
        <v/>
      </c>
      <c r="S357" s="7">
        <f>'1 prepared data'!R350</f>
        <v/>
      </c>
      <c r="T357" s="7">
        <f>'1 prepared data'!S350</f>
        <v/>
      </c>
      <c r="U357" s="7">
        <f>'1 prepared data'!T350</f>
        <v/>
      </c>
      <c r="V357" s="8">
        <f>$AC$12+D357*$AC$13+E357*$AC$14+F357*$AC$15+G357*$AC$16+H357*$AC$17+I357*$AC$18+J357*$AC$19+K357*$AC$20+L357*$AC$21+M357*$AC$22+N357*$AC$23+O357*$AC$24+P357*$AC$25+Q357*$AC$26+R357*$AC$27+S357*$AC$28+T357*$AC$29+U357*$AC$30</f>
        <v/>
      </c>
      <c r="W357" s="8">
        <f>1/(1+EXP(-V357))</f>
        <v/>
      </c>
      <c r="X357" s="9">
        <f>-IF(C357=1,LN(W357),LN(1-W357))</f>
        <v/>
      </c>
      <c r="Y357" s="10">
        <f>IF(W357&gt;$AC$33,1,0)</f>
        <v/>
      </c>
      <c r="Z357">
        <f>IF(Y357=C357,1,0)</f>
        <v/>
      </c>
    </row>
    <row r="358">
      <c r="A358">
        <f>'1 prepared data'!A351</f>
        <v/>
      </c>
      <c r="B358" s="5">
        <f>'1 prepared data'!U351</f>
        <v/>
      </c>
      <c r="C358">
        <f>'1 prepared data'!B351</f>
        <v/>
      </c>
      <c r="D358" s="7">
        <f>'1 prepared data'!C351</f>
        <v/>
      </c>
      <c r="E358" s="7">
        <f>'1 prepared data'!D351</f>
        <v/>
      </c>
      <c r="F358" s="7">
        <f>'1 prepared data'!E351</f>
        <v/>
      </c>
      <c r="G358" s="7">
        <f>'1 prepared data'!F351</f>
        <v/>
      </c>
      <c r="H358" s="7">
        <f>'1 prepared data'!G351</f>
        <v/>
      </c>
      <c r="I358" s="7">
        <f>'1 prepared data'!H351</f>
        <v/>
      </c>
      <c r="J358" s="7">
        <f>'1 prepared data'!I351</f>
        <v/>
      </c>
      <c r="K358" s="7">
        <f>'1 prepared data'!J351</f>
        <v/>
      </c>
      <c r="L358" s="7">
        <f>'1 prepared data'!K351</f>
        <v/>
      </c>
      <c r="M358" s="7">
        <f>'1 prepared data'!L351</f>
        <v/>
      </c>
      <c r="N358" s="7">
        <f>'1 prepared data'!M351</f>
        <v/>
      </c>
      <c r="O358" s="7">
        <f>'1 prepared data'!N351</f>
        <v/>
      </c>
      <c r="P358" s="7">
        <f>'1 prepared data'!O351</f>
        <v/>
      </c>
      <c r="Q358" s="7">
        <f>'1 prepared data'!P351</f>
        <v/>
      </c>
      <c r="R358" s="7">
        <f>'1 prepared data'!Q351</f>
        <v/>
      </c>
      <c r="S358" s="7">
        <f>'1 prepared data'!R351</f>
        <v/>
      </c>
      <c r="T358" s="7">
        <f>'1 prepared data'!S351</f>
        <v/>
      </c>
      <c r="U358" s="7">
        <f>'1 prepared data'!T351</f>
        <v/>
      </c>
      <c r="V358" s="8">
        <f>$AC$12+D358*$AC$13+E358*$AC$14+F358*$AC$15+G358*$AC$16+H358*$AC$17+I358*$AC$18+J358*$AC$19+K358*$AC$20+L358*$AC$21+M358*$AC$22+N358*$AC$23+O358*$AC$24+P358*$AC$25+Q358*$AC$26+R358*$AC$27+S358*$AC$28+T358*$AC$29+U358*$AC$30</f>
        <v/>
      </c>
      <c r="W358" s="8">
        <f>1/(1+EXP(-V358))</f>
        <v/>
      </c>
      <c r="X358" s="9">
        <f>-IF(C358=1,LN(W358),LN(1-W358))</f>
        <v/>
      </c>
      <c r="Y358" s="10">
        <f>IF(W358&gt;$AC$33,1,0)</f>
        <v/>
      </c>
      <c r="Z358">
        <f>IF(Y358=C358,1,0)</f>
        <v/>
      </c>
    </row>
    <row r="359">
      <c r="A359">
        <f>'1 prepared data'!A352</f>
        <v/>
      </c>
      <c r="B359" s="5">
        <f>'1 prepared data'!U352</f>
        <v/>
      </c>
      <c r="C359">
        <f>'1 prepared data'!B352</f>
        <v/>
      </c>
      <c r="D359" s="7">
        <f>'1 prepared data'!C352</f>
        <v/>
      </c>
      <c r="E359" s="7">
        <f>'1 prepared data'!D352</f>
        <v/>
      </c>
      <c r="F359" s="7">
        <f>'1 prepared data'!E352</f>
        <v/>
      </c>
      <c r="G359" s="7">
        <f>'1 prepared data'!F352</f>
        <v/>
      </c>
      <c r="H359" s="7">
        <f>'1 prepared data'!G352</f>
        <v/>
      </c>
      <c r="I359" s="7">
        <f>'1 prepared data'!H352</f>
        <v/>
      </c>
      <c r="J359" s="7">
        <f>'1 prepared data'!I352</f>
        <v/>
      </c>
      <c r="K359" s="7">
        <f>'1 prepared data'!J352</f>
        <v/>
      </c>
      <c r="L359" s="7">
        <f>'1 prepared data'!K352</f>
        <v/>
      </c>
      <c r="M359" s="7">
        <f>'1 prepared data'!L352</f>
        <v/>
      </c>
      <c r="N359" s="7">
        <f>'1 prepared data'!M352</f>
        <v/>
      </c>
      <c r="O359" s="7">
        <f>'1 prepared data'!N352</f>
        <v/>
      </c>
      <c r="P359" s="7">
        <f>'1 prepared data'!O352</f>
        <v/>
      </c>
      <c r="Q359" s="7">
        <f>'1 prepared data'!P352</f>
        <v/>
      </c>
      <c r="R359" s="7">
        <f>'1 prepared data'!Q352</f>
        <v/>
      </c>
      <c r="S359" s="7">
        <f>'1 prepared data'!R352</f>
        <v/>
      </c>
      <c r="T359" s="7">
        <f>'1 prepared data'!S352</f>
        <v/>
      </c>
      <c r="U359" s="7">
        <f>'1 prepared data'!T352</f>
        <v/>
      </c>
      <c r="V359" s="8">
        <f>$AC$12+D359*$AC$13+E359*$AC$14+F359*$AC$15+G359*$AC$16+H359*$AC$17+I359*$AC$18+J359*$AC$19+K359*$AC$20+L359*$AC$21+M359*$AC$22+N359*$AC$23+O359*$AC$24+P359*$AC$25+Q359*$AC$26+R359*$AC$27+S359*$AC$28+T359*$AC$29+U359*$AC$30</f>
        <v/>
      </c>
      <c r="W359" s="8">
        <f>1/(1+EXP(-V359))</f>
        <v/>
      </c>
      <c r="X359" s="9">
        <f>-IF(C359=1,LN(W359),LN(1-W359))</f>
        <v/>
      </c>
      <c r="Y359" s="10">
        <f>IF(W359&gt;$AC$33,1,0)</f>
        <v/>
      </c>
      <c r="Z359">
        <f>IF(Y359=C359,1,0)</f>
        <v/>
      </c>
    </row>
    <row r="360">
      <c r="A360">
        <f>'1 prepared data'!A353</f>
        <v/>
      </c>
      <c r="B360" s="5">
        <f>'1 prepared data'!U353</f>
        <v/>
      </c>
      <c r="C360">
        <f>'1 prepared data'!B353</f>
        <v/>
      </c>
      <c r="D360" s="7">
        <f>'1 prepared data'!C353</f>
        <v/>
      </c>
      <c r="E360" s="7">
        <f>'1 prepared data'!D353</f>
        <v/>
      </c>
      <c r="F360" s="7">
        <f>'1 prepared data'!E353</f>
        <v/>
      </c>
      <c r="G360" s="7">
        <f>'1 prepared data'!F353</f>
        <v/>
      </c>
      <c r="H360" s="7">
        <f>'1 prepared data'!G353</f>
        <v/>
      </c>
      <c r="I360" s="7">
        <f>'1 prepared data'!H353</f>
        <v/>
      </c>
      <c r="J360" s="7">
        <f>'1 prepared data'!I353</f>
        <v/>
      </c>
      <c r="K360" s="7">
        <f>'1 prepared data'!J353</f>
        <v/>
      </c>
      <c r="L360" s="7">
        <f>'1 prepared data'!K353</f>
        <v/>
      </c>
      <c r="M360" s="7">
        <f>'1 prepared data'!L353</f>
        <v/>
      </c>
      <c r="N360" s="7">
        <f>'1 prepared data'!M353</f>
        <v/>
      </c>
      <c r="O360" s="7">
        <f>'1 prepared data'!N353</f>
        <v/>
      </c>
      <c r="P360" s="7">
        <f>'1 prepared data'!O353</f>
        <v/>
      </c>
      <c r="Q360" s="7">
        <f>'1 prepared data'!P353</f>
        <v/>
      </c>
      <c r="R360" s="7">
        <f>'1 prepared data'!Q353</f>
        <v/>
      </c>
      <c r="S360" s="7">
        <f>'1 prepared data'!R353</f>
        <v/>
      </c>
      <c r="T360" s="7">
        <f>'1 prepared data'!S353</f>
        <v/>
      </c>
      <c r="U360" s="7">
        <f>'1 prepared data'!T353</f>
        <v/>
      </c>
      <c r="V360" s="8">
        <f>$AC$12+D360*$AC$13+E360*$AC$14+F360*$AC$15+G360*$AC$16+H360*$AC$17+I360*$AC$18+J360*$AC$19+K360*$AC$20+L360*$AC$21+M360*$AC$22+N360*$AC$23+O360*$AC$24+P360*$AC$25+Q360*$AC$26+R360*$AC$27+S360*$AC$28+T360*$AC$29+U360*$AC$30</f>
        <v/>
      </c>
      <c r="W360" s="8">
        <f>1/(1+EXP(-V360))</f>
        <v/>
      </c>
      <c r="X360" s="9">
        <f>-IF(C360=1,LN(W360),LN(1-W360))</f>
        <v/>
      </c>
      <c r="Y360" s="10">
        <f>IF(W360&gt;$AC$33,1,0)</f>
        <v/>
      </c>
      <c r="Z360">
        <f>IF(Y360=C360,1,0)</f>
        <v/>
      </c>
    </row>
    <row r="361">
      <c r="A361">
        <f>'1 prepared data'!A354</f>
        <v/>
      </c>
      <c r="B361" s="5">
        <f>'1 prepared data'!U354</f>
        <v/>
      </c>
      <c r="C361">
        <f>'1 prepared data'!B354</f>
        <v/>
      </c>
      <c r="D361" s="7">
        <f>'1 prepared data'!C354</f>
        <v/>
      </c>
      <c r="E361" s="7">
        <f>'1 prepared data'!D354</f>
        <v/>
      </c>
      <c r="F361" s="7">
        <f>'1 prepared data'!E354</f>
        <v/>
      </c>
      <c r="G361" s="7">
        <f>'1 prepared data'!F354</f>
        <v/>
      </c>
      <c r="H361" s="7">
        <f>'1 prepared data'!G354</f>
        <v/>
      </c>
      <c r="I361" s="7">
        <f>'1 prepared data'!H354</f>
        <v/>
      </c>
      <c r="J361" s="7">
        <f>'1 prepared data'!I354</f>
        <v/>
      </c>
      <c r="K361" s="7">
        <f>'1 prepared data'!J354</f>
        <v/>
      </c>
      <c r="L361" s="7">
        <f>'1 prepared data'!K354</f>
        <v/>
      </c>
      <c r="M361" s="7">
        <f>'1 prepared data'!L354</f>
        <v/>
      </c>
      <c r="N361" s="7">
        <f>'1 prepared data'!M354</f>
        <v/>
      </c>
      <c r="O361" s="7">
        <f>'1 prepared data'!N354</f>
        <v/>
      </c>
      <c r="P361" s="7">
        <f>'1 prepared data'!O354</f>
        <v/>
      </c>
      <c r="Q361" s="7">
        <f>'1 prepared data'!P354</f>
        <v/>
      </c>
      <c r="R361" s="7">
        <f>'1 prepared data'!Q354</f>
        <v/>
      </c>
      <c r="S361" s="7">
        <f>'1 prepared data'!R354</f>
        <v/>
      </c>
      <c r="T361" s="7">
        <f>'1 prepared data'!S354</f>
        <v/>
      </c>
      <c r="U361" s="7">
        <f>'1 prepared data'!T354</f>
        <v/>
      </c>
      <c r="V361" s="8">
        <f>$AC$12+D361*$AC$13+E361*$AC$14+F361*$AC$15+G361*$AC$16+H361*$AC$17+I361*$AC$18+J361*$AC$19+K361*$AC$20+L361*$AC$21+M361*$AC$22+N361*$AC$23+O361*$AC$24+P361*$AC$25+Q361*$AC$26+R361*$AC$27+S361*$AC$28+T361*$AC$29+U361*$AC$30</f>
        <v/>
      </c>
      <c r="W361" s="8">
        <f>1/(1+EXP(-V361))</f>
        <v/>
      </c>
      <c r="X361" s="9">
        <f>-IF(C361=1,LN(W361),LN(1-W361))</f>
        <v/>
      </c>
      <c r="Y361" s="10">
        <f>IF(W361&gt;$AC$33,1,0)</f>
        <v/>
      </c>
      <c r="Z361">
        <f>IF(Y361=C361,1,0)</f>
        <v/>
      </c>
    </row>
    <row r="362">
      <c r="A362">
        <f>'1 prepared data'!A355</f>
        <v/>
      </c>
      <c r="B362" s="5">
        <f>'1 prepared data'!U355</f>
        <v/>
      </c>
      <c r="C362">
        <f>'1 prepared data'!B355</f>
        <v/>
      </c>
      <c r="D362" s="7">
        <f>'1 prepared data'!C355</f>
        <v/>
      </c>
      <c r="E362" s="7">
        <f>'1 prepared data'!D355</f>
        <v/>
      </c>
      <c r="F362" s="7">
        <f>'1 prepared data'!E355</f>
        <v/>
      </c>
      <c r="G362" s="7">
        <f>'1 prepared data'!F355</f>
        <v/>
      </c>
      <c r="H362" s="7">
        <f>'1 prepared data'!G355</f>
        <v/>
      </c>
      <c r="I362" s="7">
        <f>'1 prepared data'!H355</f>
        <v/>
      </c>
      <c r="J362" s="7">
        <f>'1 prepared data'!I355</f>
        <v/>
      </c>
      <c r="K362" s="7">
        <f>'1 prepared data'!J355</f>
        <v/>
      </c>
      <c r="L362" s="7">
        <f>'1 prepared data'!K355</f>
        <v/>
      </c>
      <c r="M362" s="7">
        <f>'1 prepared data'!L355</f>
        <v/>
      </c>
      <c r="N362" s="7">
        <f>'1 prepared data'!M355</f>
        <v/>
      </c>
      <c r="O362" s="7">
        <f>'1 prepared data'!N355</f>
        <v/>
      </c>
      <c r="P362" s="7">
        <f>'1 prepared data'!O355</f>
        <v/>
      </c>
      <c r="Q362" s="7">
        <f>'1 prepared data'!P355</f>
        <v/>
      </c>
      <c r="R362" s="7">
        <f>'1 prepared data'!Q355</f>
        <v/>
      </c>
      <c r="S362" s="7">
        <f>'1 prepared data'!R355</f>
        <v/>
      </c>
      <c r="T362" s="7">
        <f>'1 prepared data'!S355</f>
        <v/>
      </c>
      <c r="U362" s="7">
        <f>'1 prepared data'!T355</f>
        <v/>
      </c>
      <c r="V362" s="8">
        <f>$AC$12+D362*$AC$13+E362*$AC$14+F362*$AC$15+G362*$AC$16+H362*$AC$17+I362*$AC$18+J362*$AC$19+K362*$AC$20+L362*$AC$21+M362*$AC$22+N362*$AC$23+O362*$AC$24+P362*$AC$25+Q362*$AC$26+R362*$AC$27+S362*$AC$28+T362*$AC$29+U362*$AC$30</f>
        <v/>
      </c>
      <c r="W362" s="8">
        <f>1/(1+EXP(-V362))</f>
        <v/>
      </c>
      <c r="X362" s="9">
        <f>-IF(C362=1,LN(W362),LN(1-W362))</f>
        <v/>
      </c>
      <c r="Y362" s="10">
        <f>IF(W362&gt;$AC$33,1,0)</f>
        <v/>
      </c>
      <c r="Z362">
        <f>IF(Y362=C362,1,0)</f>
        <v/>
      </c>
    </row>
    <row r="363">
      <c r="A363">
        <f>'1 prepared data'!A356</f>
        <v/>
      </c>
      <c r="B363" s="5">
        <f>'1 prepared data'!U356</f>
        <v/>
      </c>
      <c r="C363">
        <f>'1 prepared data'!B356</f>
        <v/>
      </c>
      <c r="D363" s="7">
        <f>'1 prepared data'!C356</f>
        <v/>
      </c>
      <c r="E363" s="7">
        <f>'1 prepared data'!D356</f>
        <v/>
      </c>
      <c r="F363" s="7">
        <f>'1 prepared data'!E356</f>
        <v/>
      </c>
      <c r="G363" s="7">
        <f>'1 prepared data'!F356</f>
        <v/>
      </c>
      <c r="H363" s="7">
        <f>'1 prepared data'!G356</f>
        <v/>
      </c>
      <c r="I363" s="7">
        <f>'1 prepared data'!H356</f>
        <v/>
      </c>
      <c r="J363" s="7">
        <f>'1 prepared data'!I356</f>
        <v/>
      </c>
      <c r="K363" s="7">
        <f>'1 prepared data'!J356</f>
        <v/>
      </c>
      <c r="L363" s="7">
        <f>'1 prepared data'!K356</f>
        <v/>
      </c>
      <c r="M363" s="7">
        <f>'1 prepared data'!L356</f>
        <v/>
      </c>
      <c r="N363" s="7">
        <f>'1 prepared data'!M356</f>
        <v/>
      </c>
      <c r="O363" s="7">
        <f>'1 prepared data'!N356</f>
        <v/>
      </c>
      <c r="P363" s="7">
        <f>'1 prepared data'!O356</f>
        <v/>
      </c>
      <c r="Q363" s="7">
        <f>'1 prepared data'!P356</f>
        <v/>
      </c>
      <c r="R363" s="7">
        <f>'1 prepared data'!Q356</f>
        <v/>
      </c>
      <c r="S363" s="7">
        <f>'1 prepared data'!R356</f>
        <v/>
      </c>
      <c r="T363" s="7">
        <f>'1 prepared data'!S356</f>
        <v/>
      </c>
      <c r="U363" s="7">
        <f>'1 prepared data'!T356</f>
        <v/>
      </c>
      <c r="V363" s="8">
        <f>$AC$12+D363*$AC$13+E363*$AC$14+F363*$AC$15+G363*$AC$16+H363*$AC$17+I363*$AC$18+J363*$AC$19+K363*$AC$20+L363*$AC$21+M363*$AC$22+N363*$AC$23+O363*$AC$24+P363*$AC$25+Q363*$AC$26+R363*$AC$27+S363*$AC$28+T363*$AC$29+U363*$AC$30</f>
        <v/>
      </c>
      <c r="W363" s="8">
        <f>1/(1+EXP(-V363))</f>
        <v/>
      </c>
      <c r="X363" s="9">
        <f>-IF(C363=1,LN(W363),LN(1-W363))</f>
        <v/>
      </c>
      <c r="Y363" s="10">
        <f>IF(W363&gt;$AC$33,1,0)</f>
        <v/>
      </c>
      <c r="Z363">
        <f>IF(Y363=C363,1,0)</f>
        <v/>
      </c>
    </row>
    <row r="364">
      <c r="A364">
        <f>'1 prepared data'!A357</f>
        <v/>
      </c>
      <c r="B364" s="5">
        <f>'1 prepared data'!U357</f>
        <v/>
      </c>
      <c r="C364">
        <f>'1 prepared data'!B357</f>
        <v/>
      </c>
      <c r="D364" s="7">
        <f>'1 prepared data'!C357</f>
        <v/>
      </c>
      <c r="E364" s="7">
        <f>'1 prepared data'!D357</f>
        <v/>
      </c>
      <c r="F364" s="7">
        <f>'1 prepared data'!E357</f>
        <v/>
      </c>
      <c r="G364" s="7">
        <f>'1 prepared data'!F357</f>
        <v/>
      </c>
      <c r="H364" s="7">
        <f>'1 prepared data'!G357</f>
        <v/>
      </c>
      <c r="I364" s="7">
        <f>'1 prepared data'!H357</f>
        <v/>
      </c>
      <c r="J364" s="7">
        <f>'1 prepared data'!I357</f>
        <v/>
      </c>
      <c r="K364" s="7">
        <f>'1 prepared data'!J357</f>
        <v/>
      </c>
      <c r="L364" s="7">
        <f>'1 prepared data'!K357</f>
        <v/>
      </c>
      <c r="M364" s="7">
        <f>'1 prepared data'!L357</f>
        <v/>
      </c>
      <c r="N364" s="7">
        <f>'1 prepared data'!M357</f>
        <v/>
      </c>
      <c r="O364" s="7">
        <f>'1 prepared data'!N357</f>
        <v/>
      </c>
      <c r="P364" s="7">
        <f>'1 prepared data'!O357</f>
        <v/>
      </c>
      <c r="Q364" s="7">
        <f>'1 prepared data'!P357</f>
        <v/>
      </c>
      <c r="R364" s="7">
        <f>'1 prepared data'!Q357</f>
        <v/>
      </c>
      <c r="S364" s="7">
        <f>'1 prepared data'!R357</f>
        <v/>
      </c>
      <c r="T364" s="7">
        <f>'1 prepared data'!S357</f>
        <v/>
      </c>
      <c r="U364" s="7">
        <f>'1 prepared data'!T357</f>
        <v/>
      </c>
      <c r="V364" s="8">
        <f>$AC$12+D364*$AC$13+E364*$AC$14+F364*$AC$15+G364*$AC$16+H364*$AC$17+I364*$AC$18+J364*$AC$19+K364*$AC$20+L364*$AC$21+M364*$AC$22+N364*$AC$23+O364*$AC$24+P364*$AC$25+Q364*$AC$26+R364*$AC$27+S364*$AC$28+T364*$AC$29+U364*$AC$30</f>
        <v/>
      </c>
      <c r="W364" s="8">
        <f>1/(1+EXP(-V364))</f>
        <v/>
      </c>
      <c r="X364" s="9">
        <f>-IF(C364=1,LN(W364),LN(1-W364))</f>
        <v/>
      </c>
      <c r="Y364" s="10">
        <f>IF(W364&gt;$AC$33,1,0)</f>
        <v/>
      </c>
      <c r="Z364">
        <f>IF(Y364=C364,1,0)</f>
        <v/>
      </c>
    </row>
    <row r="365">
      <c r="A365">
        <f>'1 prepared data'!A358</f>
        <v/>
      </c>
      <c r="B365" s="5">
        <f>'1 prepared data'!U358</f>
        <v/>
      </c>
      <c r="C365">
        <f>'1 prepared data'!B358</f>
        <v/>
      </c>
      <c r="D365" s="7">
        <f>'1 prepared data'!C358</f>
        <v/>
      </c>
      <c r="E365" s="7">
        <f>'1 prepared data'!D358</f>
        <v/>
      </c>
      <c r="F365" s="7">
        <f>'1 prepared data'!E358</f>
        <v/>
      </c>
      <c r="G365" s="7">
        <f>'1 prepared data'!F358</f>
        <v/>
      </c>
      <c r="H365" s="7">
        <f>'1 prepared data'!G358</f>
        <v/>
      </c>
      <c r="I365" s="7">
        <f>'1 prepared data'!H358</f>
        <v/>
      </c>
      <c r="J365" s="7">
        <f>'1 prepared data'!I358</f>
        <v/>
      </c>
      <c r="K365" s="7">
        <f>'1 prepared data'!J358</f>
        <v/>
      </c>
      <c r="L365" s="7">
        <f>'1 prepared data'!K358</f>
        <v/>
      </c>
      <c r="M365" s="7">
        <f>'1 prepared data'!L358</f>
        <v/>
      </c>
      <c r="N365" s="7">
        <f>'1 prepared data'!M358</f>
        <v/>
      </c>
      <c r="O365" s="7">
        <f>'1 prepared data'!N358</f>
        <v/>
      </c>
      <c r="P365" s="7">
        <f>'1 prepared data'!O358</f>
        <v/>
      </c>
      <c r="Q365" s="7">
        <f>'1 prepared data'!P358</f>
        <v/>
      </c>
      <c r="R365" s="7">
        <f>'1 prepared data'!Q358</f>
        <v/>
      </c>
      <c r="S365" s="7">
        <f>'1 prepared data'!R358</f>
        <v/>
      </c>
      <c r="T365" s="7">
        <f>'1 prepared data'!S358</f>
        <v/>
      </c>
      <c r="U365" s="7">
        <f>'1 prepared data'!T358</f>
        <v/>
      </c>
      <c r="V365" s="8">
        <f>$AC$12+D365*$AC$13+E365*$AC$14+F365*$AC$15+G365*$AC$16+H365*$AC$17+I365*$AC$18+J365*$AC$19+K365*$AC$20+L365*$AC$21+M365*$AC$22+N365*$AC$23+O365*$AC$24+P365*$AC$25+Q365*$AC$26+R365*$AC$27+S365*$AC$28+T365*$AC$29+U365*$AC$30</f>
        <v/>
      </c>
      <c r="W365" s="8">
        <f>1/(1+EXP(-V365))</f>
        <v/>
      </c>
      <c r="X365" s="9">
        <f>-IF(C365=1,LN(W365),LN(1-W365))</f>
        <v/>
      </c>
      <c r="Y365" s="10">
        <f>IF(W365&gt;$AC$33,1,0)</f>
        <v/>
      </c>
      <c r="Z365">
        <f>IF(Y365=C365,1,0)</f>
        <v/>
      </c>
    </row>
    <row r="366">
      <c r="A366">
        <f>'1 prepared data'!A359</f>
        <v/>
      </c>
      <c r="B366" s="5">
        <f>'1 prepared data'!U359</f>
        <v/>
      </c>
      <c r="C366">
        <f>'1 prepared data'!B359</f>
        <v/>
      </c>
      <c r="D366" s="7">
        <f>'1 prepared data'!C359</f>
        <v/>
      </c>
      <c r="E366" s="7">
        <f>'1 prepared data'!D359</f>
        <v/>
      </c>
      <c r="F366" s="7">
        <f>'1 prepared data'!E359</f>
        <v/>
      </c>
      <c r="G366" s="7">
        <f>'1 prepared data'!F359</f>
        <v/>
      </c>
      <c r="H366" s="7">
        <f>'1 prepared data'!G359</f>
        <v/>
      </c>
      <c r="I366" s="7">
        <f>'1 prepared data'!H359</f>
        <v/>
      </c>
      <c r="J366" s="7">
        <f>'1 prepared data'!I359</f>
        <v/>
      </c>
      <c r="K366" s="7">
        <f>'1 prepared data'!J359</f>
        <v/>
      </c>
      <c r="L366" s="7">
        <f>'1 prepared data'!K359</f>
        <v/>
      </c>
      <c r="M366" s="7">
        <f>'1 prepared data'!L359</f>
        <v/>
      </c>
      <c r="N366" s="7">
        <f>'1 prepared data'!M359</f>
        <v/>
      </c>
      <c r="O366" s="7">
        <f>'1 prepared data'!N359</f>
        <v/>
      </c>
      <c r="P366" s="7">
        <f>'1 prepared data'!O359</f>
        <v/>
      </c>
      <c r="Q366" s="7">
        <f>'1 prepared data'!P359</f>
        <v/>
      </c>
      <c r="R366" s="7">
        <f>'1 prepared data'!Q359</f>
        <v/>
      </c>
      <c r="S366" s="7">
        <f>'1 prepared data'!R359</f>
        <v/>
      </c>
      <c r="T366" s="7">
        <f>'1 prepared data'!S359</f>
        <v/>
      </c>
      <c r="U366" s="7">
        <f>'1 prepared data'!T359</f>
        <v/>
      </c>
      <c r="V366" s="8">
        <f>$AC$12+D366*$AC$13+E366*$AC$14+F366*$AC$15+G366*$AC$16+H366*$AC$17+I366*$AC$18+J366*$AC$19+K366*$AC$20+L366*$AC$21+M366*$AC$22+N366*$AC$23+O366*$AC$24+P366*$AC$25+Q366*$AC$26+R366*$AC$27+S366*$AC$28+T366*$AC$29+U366*$AC$30</f>
        <v/>
      </c>
      <c r="W366" s="8">
        <f>1/(1+EXP(-V366))</f>
        <v/>
      </c>
      <c r="X366" s="9">
        <f>-IF(C366=1,LN(W366),LN(1-W366))</f>
        <v/>
      </c>
      <c r="Y366" s="10">
        <f>IF(W366&gt;$AC$33,1,0)</f>
        <v/>
      </c>
      <c r="Z366">
        <f>IF(Y366=C366,1,0)</f>
        <v/>
      </c>
    </row>
    <row r="367">
      <c r="A367">
        <f>'1 prepared data'!A360</f>
        <v/>
      </c>
      <c r="B367" s="5">
        <f>'1 prepared data'!U360</f>
        <v/>
      </c>
      <c r="C367">
        <f>'1 prepared data'!B360</f>
        <v/>
      </c>
      <c r="D367" s="7">
        <f>'1 prepared data'!C360</f>
        <v/>
      </c>
      <c r="E367" s="7">
        <f>'1 prepared data'!D360</f>
        <v/>
      </c>
      <c r="F367" s="7">
        <f>'1 prepared data'!E360</f>
        <v/>
      </c>
      <c r="G367" s="7">
        <f>'1 prepared data'!F360</f>
        <v/>
      </c>
      <c r="H367" s="7">
        <f>'1 prepared data'!G360</f>
        <v/>
      </c>
      <c r="I367" s="7">
        <f>'1 prepared data'!H360</f>
        <v/>
      </c>
      <c r="J367" s="7">
        <f>'1 prepared data'!I360</f>
        <v/>
      </c>
      <c r="K367" s="7">
        <f>'1 prepared data'!J360</f>
        <v/>
      </c>
      <c r="L367" s="7">
        <f>'1 prepared data'!K360</f>
        <v/>
      </c>
      <c r="M367" s="7">
        <f>'1 prepared data'!L360</f>
        <v/>
      </c>
      <c r="N367" s="7">
        <f>'1 prepared data'!M360</f>
        <v/>
      </c>
      <c r="O367" s="7">
        <f>'1 prepared data'!N360</f>
        <v/>
      </c>
      <c r="P367" s="7">
        <f>'1 prepared data'!O360</f>
        <v/>
      </c>
      <c r="Q367" s="7">
        <f>'1 prepared data'!P360</f>
        <v/>
      </c>
      <c r="R367" s="7">
        <f>'1 prepared data'!Q360</f>
        <v/>
      </c>
      <c r="S367" s="7">
        <f>'1 prepared data'!R360</f>
        <v/>
      </c>
      <c r="T367" s="7">
        <f>'1 prepared data'!S360</f>
        <v/>
      </c>
      <c r="U367" s="7">
        <f>'1 prepared data'!T360</f>
        <v/>
      </c>
      <c r="V367" s="8">
        <f>$AC$12+D367*$AC$13+E367*$AC$14+F367*$AC$15+G367*$AC$16+H367*$AC$17+I367*$AC$18+J367*$AC$19+K367*$AC$20+L367*$AC$21+M367*$AC$22+N367*$AC$23+O367*$AC$24+P367*$AC$25+Q367*$AC$26+R367*$AC$27+S367*$AC$28+T367*$AC$29+U367*$AC$30</f>
        <v/>
      </c>
      <c r="W367" s="8">
        <f>1/(1+EXP(-V367))</f>
        <v/>
      </c>
      <c r="X367" s="9">
        <f>-IF(C367=1,LN(W367),LN(1-W367))</f>
        <v/>
      </c>
      <c r="Y367" s="10">
        <f>IF(W367&gt;$AC$33,1,0)</f>
        <v/>
      </c>
      <c r="Z367">
        <f>IF(Y367=C367,1,0)</f>
        <v/>
      </c>
    </row>
    <row r="368">
      <c r="A368">
        <f>'1 prepared data'!A361</f>
        <v/>
      </c>
      <c r="B368" s="5">
        <f>'1 prepared data'!U361</f>
        <v/>
      </c>
      <c r="C368">
        <f>'1 prepared data'!B361</f>
        <v/>
      </c>
      <c r="D368" s="7">
        <f>'1 prepared data'!C361</f>
        <v/>
      </c>
      <c r="E368" s="7">
        <f>'1 prepared data'!D361</f>
        <v/>
      </c>
      <c r="F368" s="7">
        <f>'1 prepared data'!E361</f>
        <v/>
      </c>
      <c r="G368" s="7">
        <f>'1 prepared data'!F361</f>
        <v/>
      </c>
      <c r="H368" s="7">
        <f>'1 prepared data'!G361</f>
        <v/>
      </c>
      <c r="I368" s="7">
        <f>'1 prepared data'!H361</f>
        <v/>
      </c>
      <c r="J368" s="7">
        <f>'1 prepared data'!I361</f>
        <v/>
      </c>
      <c r="K368" s="7">
        <f>'1 prepared data'!J361</f>
        <v/>
      </c>
      <c r="L368" s="7">
        <f>'1 prepared data'!K361</f>
        <v/>
      </c>
      <c r="M368" s="7">
        <f>'1 prepared data'!L361</f>
        <v/>
      </c>
      <c r="N368" s="7">
        <f>'1 prepared data'!M361</f>
        <v/>
      </c>
      <c r="O368" s="7">
        <f>'1 prepared data'!N361</f>
        <v/>
      </c>
      <c r="P368" s="7">
        <f>'1 prepared data'!O361</f>
        <v/>
      </c>
      <c r="Q368" s="7">
        <f>'1 prepared data'!P361</f>
        <v/>
      </c>
      <c r="R368" s="7">
        <f>'1 prepared data'!Q361</f>
        <v/>
      </c>
      <c r="S368" s="7">
        <f>'1 prepared data'!R361</f>
        <v/>
      </c>
      <c r="T368" s="7">
        <f>'1 prepared data'!S361</f>
        <v/>
      </c>
      <c r="U368" s="7">
        <f>'1 prepared data'!T361</f>
        <v/>
      </c>
      <c r="V368" s="8">
        <f>$AC$12+D368*$AC$13+E368*$AC$14+F368*$AC$15+G368*$AC$16+H368*$AC$17+I368*$AC$18+J368*$AC$19+K368*$AC$20+L368*$AC$21+M368*$AC$22+N368*$AC$23+O368*$AC$24+P368*$AC$25+Q368*$AC$26+R368*$AC$27+S368*$AC$28+T368*$AC$29+U368*$AC$30</f>
        <v/>
      </c>
      <c r="W368" s="8">
        <f>1/(1+EXP(-V368))</f>
        <v/>
      </c>
      <c r="X368" s="9">
        <f>-IF(C368=1,LN(W368),LN(1-W368))</f>
        <v/>
      </c>
      <c r="Y368" s="10">
        <f>IF(W368&gt;$AC$33,1,0)</f>
        <v/>
      </c>
      <c r="Z368">
        <f>IF(Y368=C368,1,0)</f>
        <v/>
      </c>
    </row>
    <row r="369">
      <c r="A369">
        <f>'1 prepared data'!A362</f>
        <v/>
      </c>
      <c r="B369" s="5">
        <f>'1 prepared data'!U362</f>
        <v/>
      </c>
      <c r="C369">
        <f>'1 prepared data'!B362</f>
        <v/>
      </c>
      <c r="D369" s="7">
        <f>'1 prepared data'!C362</f>
        <v/>
      </c>
      <c r="E369" s="7">
        <f>'1 prepared data'!D362</f>
        <v/>
      </c>
      <c r="F369" s="7">
        <f>'1 prepared data'!E362</f>
        <v/>
      </c>
      <c r="G369" s="7">
        <f>'1 prepared data'!F362</f>
        <v/>
      </c>
      <c r="H369" s="7">
        <f>'1 prepared data'!G362</f>
        <v/>
      </c>
      <c r="I369" s="7">
        <f>'1 prepared data'!H362</f>
        <v/>
      </c>
      <c r="J369" s="7">
        <f>'1 prepared data'!I362</f>
        <v/>
      </c>
      <c r="K369" s="7">
        <f>'1 prepared data'!J362</f>
        <v/>
      </c>
      <c r="L369" s="7">
        <f>'1 prepared data'!K362</f>
        <v/>
      </c>
      <c r="M369" s="7">
        <f>'1 prepared data'!L362</f>
        <v/>
      </c>
      <c r="N369" s="7">
        <f>'1 prepared data'!M362</f>
        <v/>
      </c>
      <c r="O369" s="7">
        <f>'1 prepared data'!N362</f>
        <v/>
      </c>
      <c r="P369" s="7">
        <f>'1 prepared data'!O362</f>
        <v/>
      </c>
      <c r="Q369" s="7">
        <f>'1 prepared data'!P362</f>
        <v/>
      </c>
      <c r="R369" s="7">
        <f>'1 prepared data'!Q362</f>
        <v/>
      </c>
      <c r="S369" s="7">
        <f>'1 prepared data'!R362</f>
        <v/>
      </c>
      <c r="T369" s="7">
        <f>'1 prepared data'!S362</f>
        <v/>
      </c>
      <c r="U369" s="7">
        <f>'1 prepared data'!T362</f>
        <v/>
      </c>
      <c r="V369" s="8">
        <f>$AC$12+D369*$AC$13+E369*$AC$14+F369*$AC$15+G369*$AC$16+H369*$AC$17+I369*$AC$18+J369*$AC$19+K369*$AC$20+L369*$AC$21+M369*$AC$22+N369*$AC$23+O369*$AC$24+P369*$AC$25+Q369*$AC$26+R369*$AC$27+S369*$AC$28+T369*$AC$29+U369*$AC$30</f>
        <v/>
      </c>
      <c r="W369" s="8">
        <f>1/(1+EXP(-V369))</f>
        <v/>
      </c>
      <c r="X369" s="9">
        <f>-IF(C369=1,LN(W369),LN(1-W369))</f>
        <v/>
      </c>
      <c r="Y369" s="10">
        <f>IF(W369&gt;$AC$33,1,0)</f>
        <v/>
      </c>
      <c r="Z369">
        <f>IF(Y369=C369,1,0)</f>
        <v/>
      </c>
    </row>
    <row r="370">
      <c r="A370">
        <f>'1 prepared data'!A363</f>
        <v/>
      </c>
      <c r="B370" s="5">
        <f>'1 prepared data'!U363</f>
        <v/>
      </c>
      <c r="C370">
        <f>'1 prepared data'!B363</f>
        <v/>
      </c>
      <c r="D370" s="7">
        <f>'1 prepared data'!C363</f>
        <v/>
      </c>
      <c r="E370" s="7">
        <f>'1 prepared data'!D363</f>
        <v/>
      </c>
      <c r="F370" s="7">
        <f>'1 prepared data'!E363</f>
        <v/>
      </c>
      <c r="G370" s="7">
        <f>'1 prepared data'!F363</f>
        <v/>
      </c>
      <c r="H370" s="7">
        <f>'1 prepared data'!G363</f>
        <v/>
      </c>
      <c r="I370" s="7">
        <f>'1 prepared data'!H363</f>
        <v/>
      </c>
      <c r="J370" s="7">
        <f>'1 prepared data'!I363</f>
        <v/>
      </c>
      <c r="K370" s="7">
        <f>'1 prepared data'!J363</f>
        <v/>
      </c>
      <c r="L370" s="7">
        <f>'1 prepared data'!K363</f>
        <v/>
      </c>
      <c r="M370" s="7">
        <f>'1 prepared data'!L363</f>
        <v/>
      </c>
      <c r="N370" s="7">
        <f>'1 prepared data'!M363</f>
        <v/>
      </c>
      <c r="O370" s="7">
        <f>'1 prepared data'!N363</f>
        <v/>
      </c>
      <c r="P370" s="7">
        <f>'1 prepared data'!O363</f>
        <v/>
      </c>
      <c r="Q370" s="7">
        <f>'1 prepared data'!P363</f>
        <v/>
      </c>
      <c r="R370" s="7">
        <f>'1 prepared data'!Q363</f>
        <v/>
      </c>
      <c r="S370" s="7">
        <f>'1 prepared data'!R363</f>
        <v/>
      </c>
      <c r="T370" s="7">
        <f>'1 prepared data'!S363</f>
        <v/>
      </c>
      <c r="U370" s="7">
        <f>'1 prepared data'!T363</f>
        <v/>
      </c>
      <c r="V370" s="8">
        <f>$AC$12+D370*$AC$13+E370*$AC$14+F370*$AC$15+G370*$AC$16+H370*$AC$17+I370*$AC$18+J370*$AC$19+K370*$AC$20+L370*$AC$21+M370*$AC$22+N370*$AC$23+O370*$AC$24+P370*$AC$25+Q370*$AC$26+R370*$AC$27+S370*$AC$28+T370*$AC$29+U370*$AC$30</f>
        <v/>
      </c>
      <c r="W370" s="8">
        <f>1/(1+EXP(-V370))</f>
        <v/>
      </c>
      <c r="X370" s="9">
        <f>-IF(C370=1,LN(W370),LN(1-W370))</f>
        <v/>
      </c>
      <c r="Y370" s="10">
        <f>IF(W370&gt;$AC$33,1,0)</f>
        <v/>
      </c>
      <c r="Z370">
        <f>IF(Y370=C370,1,0)</f>
        <v/>
      </c>
    </row>
    <row r="371">
      <c r="A371">
        <f>'1 prepared data'!A364</f>
        <v/>
      </c>
      <c r="B371" s="5">
        <f>'1 prepared data'!U364</f>
        <v/>
      </c>
      <c r="C371">
        <f>'1 prepared data'!B364</f>
        <v/>
      </c>
      <c r="D371" s="7">
        <f>'1 prepared data'!C364</f>
        <v/>
      </c>
      <c r="E371" s="7">
        <f>'1 prepared data'!D364</f>
        <v/>
      </c>
      <c r="F371" s="7">
        <f>'1 prepared data'!E364</f>
        <v/>
      </c>
      <c r="G371" s="7">
        <f>'1 prepared data'!F364</f>
        <v/>
      </c>
      <c r="H371" s="7">
        <f>'1 prepared data'!G364</f>
        <v/>
      </c>
      <c r="I371" s="7">
        <f>'1 prepared data'!H364</f>
        <v/>
      </c>
      <c r="J371" s="7">
        <f>'1 prepared data'!I364</f>
        <v/>
      </c>
      <c r="K371" s="7">
        <f>'1 prepared data'!J364</f>
        <v/>
      </c>
      <c r="L371" s="7">
        <f>'1 prepared data'!K364</f>
        <v/>
      </c>
      <c r="M371" s="7">
        <f>'1 prepared data'!L364</f>
        <v/>
      </c>
      <c r="N371" s="7">
        <f>'1 prepared data'!M364</f>
        <v/>
      </c>
      <c r="O371" s="7">
        <f>'1 prepared data'!N364</f>
        <v/>
      </c>
      <c r="P371" s="7">
        <f>'1 prepared data'!O364</f>
        <v/>
      </c>
      <c r="Q371" s="7">
        <f>'1 prepared data'!P364</f>
        <v/>
      </c>
      <c r="R371" s="7">
        <f>'1 prepared data'!Q364</f>
        <v/>
      </c>
      <c r="S371" s="7">
        <f>'1 prepared data'!R364</f>
        <v/>
      </c>
      <c r="T371" s="7">
        <f>'1 prepared data'!S364</f>
        <v/>
      </c>
      <c r="U371" s="7">
        <f>'1 prepared data'!T364</f>
        <v/>
      </c>
      <c r="V371" s="8">
        <f>$AC$12+D371*$AC$13+E371*$AC$14+F371*$AC$15+G371*$AC$16+H371*$AC$17+I371*$AC$18+J371*$AC$19+K371*$AC$20+L371*$AC$21+M371*$AC$22+N371*$AC$23+O371*$AC$24+P371*$AC$25+Q371*$AC$26+R371*$AC$27+S371*$AC$28+T371*$AC$29+U371*$AC$30</f>
        <v/>
      </c>
      <c r="W371" s="8">
        <f>1/(1+EXP(-V371))</f>
        <v/>
      </c>
      <c r="X371" s="9">
        <f>-IF(C371=1,LN(W371),LN(1-W371))</f>
        <v/>
      </c>
      <c r="Y371" s="10">
        <f>IF(W371&gt;$AC$33,1,0)</f>
        <v/>
      </c>
      <c r="Z371">
        <f>IF(Y371=C371,1,0)</f>
        <v/>
      </c>
    </row>
    <row r="372">
      <c r="A372">
        <f>'1 prepared data'!A365</f>
        <v/>
      </c>
      <c r="B372" s="5">
        <f>'1 prepared data'!U365</f>
        <v/>
      </c>
      <c r="C372">
        <f>'1 prepared data'!B365</f>
        <v/>
      </c>
      <c r="D372" s="7">
        <f>'1 prepared data'!C365</f>
        <v/>
      </c>
      <c r="E372" s="7">
        <f>'1 prepared data'!D365</f>
        <v/>
      </c>
      <c r="F372" s="7">
        <f>'1 prepared data'!E365</f>
        <v/>
      </c>
      <c r="G372" s="7">
        <f>'1 prepared data'!F365</f>
        <v/>
      </c>
      <c r="H372" s="7">
        <f>'1 prepared data'!G365</f>
        <v/>
      </c>
      <c r="I372" s="7">
        <f>'1 prepared data'!H365</f>
        <v/>
      </c>
      <c r="J372" s="7">
        <f>'1 prepared data'!I365</f>
        <v/>
      </c>
      <c r="K372" s="7">
        <f>'1 prepared data'!J365</f>
        <v/>
      </c>
      <c r="L372" s="7">
        <f>'1 prepared data'!K365</f>
        <v/>
      </c>
      <c r="M372" s="7">
        <f>'1 prepared data'!L365</f>
        <v/>
      </c>
      <c r="N372" s="7">
        <f>'1 prepared data'!M365</f>
        <v/>
      </c>
      <c r="O372" s="7">
        <f>'1 prepared data'!N365</f>
        <v/>
      </c>
      <c r="P372" s="7">
        <f>'1 prepared data'!O365</f>
        <v/>
      </c>
      <c r="Q372" s="7">
        <f>'1 prepared data'!P365</f>
        <v/>
      </c>
      <c r="R372" s="7">
        <f>'1 prepared data'!Q365</f>
        <v/>
      </c>
      <c r="S372" s="7">
        <f>'1 prepared data'!R365</f>
        <v/>
      </c>
      <c r="T372" s="7">
        <f>'1 prepared data'!S365</f>
        <v/>
      </c>
      <c r="U372" s="7">
        <f>'1 prepared data'!T365</f>
        <v/>
      </c>
      <c r="V372" s="8">
        <f>$AC$12+D372*$AC$13+E372*$AC$14+F372*$AC$15+G372*$AC$16+H372*$AC$17+I372*$AC$18+J372*$AC$19+K372*$AC$20+L372*$AC$21+M372*$AC$22+N372*$AC$23+O372*$AC$24+P372*$AC$25+Q372*$AC$26+R372*$AC$27+S372*$AC$28+T372*$AC$29+U372*$AC$30</f>
        <v/>
      </c>
      <c r="W372" s="8">
        <f>1/(1+EXP(-V372))</f>
        <v/>
      </c>
      <c r="X372" s="9">
        <f>-IF(C372=1,LN(W372),LN(1-W372))</f>
        <v/>
      </c>
      <c r="Y372" s="10">
        <f>IF(W372&gt;$AC$33,1,0)</f>
        <v/>
      </c>
      <c r="Z372">
        <f>IF(Y372=C372,1,0)</f>
        <v/>
      </c>
    </row>
    <row r="373">
      <c r="A373">
        <f>'1 prepared data'!A366</f>
        <v/>
      </c>
      <c r="B373" s="5">
        <f>'1 prepared data'!U366</f>
        <v/>
      </c>
      <c r="C373">
        <f>'1 prepared data'!B366</f>
        <v/>
      </c>
      <c r="D373" s="7">
        <f>'1 prepared data'!C366</f>
        <v/>
      </c>
      <c r="E373" s="7">
        <f>'1 prepared data'!D366</f>
        <v/>
      </c>
      <c r="F373" s="7">
        <f>'1 prepared data'!E366</f>
        <v/>
      </c>
      <c r="G373" s="7">
        <f>'1 prepared data'!F366</f>
        <v/>
      </c>
      <c r="H373" s="7">
        <f>'1 prepared data'!G366</f>
        <v/>
      </c>
      <c r="I373" s="7">
        <f>'1 prepared data'!H366</f>
        <v/>
      </c>
      <c r="J373" s="7">
        <f>'1 prepared data'!I366</f>
        <v/>
      </c>
      <c r="K373" s="7">
        <f>'1 prepared data'!J366</f>
        <v/>
      </c>
      <c r="L373" s="7">
        <f>'1 prepared data'!K366</f>
        <v/>
      </c>
      <c r="M373" s="7">
        <f>'1 prepared data'!L366</f>
        <v/>
      </c>
      <c r="N373" s="7">
        <f>'1 prepared data'!M366</f>
        <v/>
      </c>
      <c r="O373" s="7">
        <f>'1 prepared data'!N366</f>
        <v/>
      </c>
      <c r="P373" s="7">
        <f>'1 prepared data'!O366</f>
        <v/>
      </c>
      <c r="Q373" s="7">
        <f>'1 prepared data'!P366</f>
        <v/>
      </c>
      <c r="R373" s="7">
        <f>'1 prepared data'!Q366</f>
        <v/>
      </c>
      <c r="S373" s="7">
        <f>'1 prepared data'!R366</f>
        <v/>
      </c>
      <c r="T373" s="7">
        <f>'1 prepared data'!S366</f>
        <v/>
      </c>
      <c r="U373" s="7">
        <f>'1 prepared data'!T366</f>
        <v/>
      </c>
      <c r="V373" s="8">
        <f>$AC$12+D373*$AC$13+E373*$AC$14+F373*$AC$15+G373*$AC$16+H373*$AC$17+I373*$AC$18+J373*$AC$19+K373*$AC$20+L373*$AC$21+M373*$AC$22+N373*$AC$23+O373*$AC$24+P373*$AC$25+Q373*$AC$26+R373*$AC$27+S373*$AC$28+T373*$AC$29+U373*$AC$30</f>
        <v/>
      </c>
      <c r="W373" s="8">
        <f>1/(1+EXP(-V373))</f>
        <v/>
      </c>
      <c r="X373" s="9">
        <f>-IF(C373=1,LN(W373),LN(1-W373))</f>
        <v/>
      </c>
      <c r="Y373" s="10">
        <f>IF(W373&gt;$AC$33,1,0)</f>
        <v/>
      </c>
      <c r="Z373">
        <f>IF(Y373=C373,1,0)</f>
        <v/>
      </c>
    </row>
    <row r="374">
      <c r="A374">
        <f>'1 prepared data'!A367</f>
        <v/>
      </c>
      <c r="B374" s="5">
        <f>'1 prepared data'!U367</f>
        <v/>
      </c>
      <c r="C374">
        <f>'1 prepared data'!B367</f>
        <v/>
      </c>
      <c r="D374" s="7">
        <f>'1 prepared data'!C367</f>
        <v/>
      </c>
      <c r="E374" s="7">
        <f>'1 prepared data'!D367</f>
        <v/>
      </c>
      <c r="F374" s="7">
        <f>'1 prepared data'!E367</f>
        <v/>
      </c>
      <c r="G374" s="7">
        <f>'1 prepared data'!F367</f>
        <v/>
      </c>
      <c r="H374" s="7">
        <f>'1 prepared data'!G367</f>
        <v/>
      </c>
      <c r="I374" s="7">
        <f>'1 prepared data'!H367</f>
        <v/>
      </c>
      <c r="J374" s="7">
        <f>'1 prepared data'!I367</f>
        <v/>
      </c>
      <c r="K374" s="7">
        <f>'1 prepared data'!J367</f>
        <v/>
      </c>
      <c r="L374" s="7">
        <f>'1 prepared data'!K367</f>
        <v/>
      </c>
      <c r="M374" s="7">
        <f>'1 prepared data'!L367</f>
        <v/>
      </c>
      <c r="N374" s="7">
        <f>'1 prepared data'!M367</f>
        <v/>
      </c>
      <c r="O374" s="7">
        <f>'1 prepared data'!N367</f>
        <v/>
      </c>
      <c r="P374" s="7">
        <f>'1 prepared data'!O367</f>
        <v/>
      </c>
      <c r="Q374" s="7">
        <f>'1 prepared data'!P367</f>
        <v/>
      </c>
      <c r="R374" s="7">
        <f>'1 prepared data'!Q367</f>
        <v/>
      </c>
      <c r="S374" s="7">
        <f>'1 prepared data'!R367</f>
        <v/>
      </c>
      <c r="T374" s="7">
        <f>'1 prepared data'!S367</f>
        <v/>
      </c>
      <c r="U374" s="7">
        <f>'1 prepared data'!T367</f>
        <v/>
      </c>
      <c r="V374" s="8">
        <f>$AC$12+D374*$AC$13+E374*$AC$14+F374*$AC$15+G374*$AC$16+H374*$AC$17+I374*$AC$18+J374*$AC$19+K374*$AC$20+L374*$AC$21+M374*$AC$22+N374*$AC$23+O374*$AC$24+P374*$AC$25+Q374*$AC$26+R374*$AC$27+S374*$AC$28+T374*$AC$29+U374*$AC$30</f>
        <v/>
      </c>
      <c r="W374" s="8">
        <f>1/(1+EXP(-V374))</f>
        <v/>
      </c>
      <c r="X374" s="9">
        <f>-IF(C374=1,LN(W374),LN(1-W374))</f>
        <v/>
      </c>
      <c r="Y374" s="10">
        <f>IF(W374&gt;$AC$33,1,0)</f>
        <v/>
      </c>
      <c r="Z374">
        <f>IF(Y374=C374,1,0)</f>
        <v/>
      </c>
    </row>
    <row r="375">
      <c r="A375">
        <f>'1 prepared data'!A368</f>
        <v/>
      </c>
      <c r="B375" s="5">
        <f>'1 prepared data'!U368</f>
        <v/>
      </c>
      <c r="C375">
        <f>'1 prepared data'!B368</f>
        <v/>
      </c>
      <c r="D375" s="7">
        <f>'1 prepared data'!C368</f>
        <v/>
      </c>
      <c r="E375" s="7">
        <f>'1 prepared data'!D368</f>
        <v/>
      </c>
      <c r="F375" s="7">
        <f>'1 prepared data'!E368</f>
        <v/>
      </c>
      <c r="G375" s="7">
        <f>'1 prepared data'!F368</f>
        <v/>
      </c>
      <c r="H375" s="7">
        <f>'1 prepared data'!G368</f>
        <v/>
      </c>
      <c r="I375" s="7">
        <f>'1 prepared data'!H368</f>
        <v/>
      </c>
      <c r="J375" s="7">
        <f>'1 prepared data'!I368</f>
        <v/>
      </c>
      <c r="K375" s="7">
        <f>'1 prepared data'!J368</f>
        <v/>
      </c>
      <c r="L375" s="7">
        <f>'1 prepared data'!K368</f>
        <v/>
      </c>
      <c r="M375" s="7">
        <f>'1 prepared data'!L368</f>
        <v/>
      </c>
      <c r="N375" s="7">
        <f>'1 prepared data'!M368</f>
        <v/>
      </c>
      <c r="O375" s="7">
        <f>'1 prepared data'!N368</f>
        <v/>
      </c>
      <c r="P375" s="7">
        <f>'1 prepared data'!O368</f>
        <v/>
      </c>
      <c r="Q375" s="7">
        <f>'1 prepared data'!P368</f>
        <v/>
      </c>
      <c r="R375" s="7">
        <f>'1 prepared data'!Q368</f>
        <v/>
      </c>
      <c r="S375" s="7">
        <f>'1 prepared data'!R368</f>
        <v/>
      </c>
      <c r="T375" s="7">
        <f>'1 prepared data'!S368</f>
        <v/>
      </c>
      <c r="U375" s="7">
        <f>'1 prepared data'!T368</f>
        <v/>
      </c>
      <c r="V375" s="8">
        <f>$AC$12+D375*$AC$13+E375*$AC$14+F375*$AC$15+G375*$AC$16+H375*$AC$17+I375*$AC$18+J375*$AC$19+K375*$AC$20+L375*$AC$21+M375*$AC$22+N375*$AC$23+O375*$AC$24+P375*$AC$25+Q375*$AC$26+R375*$AC$27+S375*$AC$28+T375*$AC$29+U375*$AC$30</f>
        <v/>
      </c>
      <c r="W375" s="8">
        <f>1/(1+EXP(-V375))</f>
        <v/>
      </c>
      <c r="X375" s="9">
        <f>-IF(C375=1,LN(W375),LN(1-W375))</f>
        <v/>
      </c>
      <c r="Y375" s="10">
        <f>IF(W375&gt;$AC$33,1,0)</f>
        <v/>
      </c>
      <c r="Z375">
        <f>IF(Y375=C375,1,0)</f>
        <v/>
      </c>
    </row>
    <row r="376">
      <c r="A376">
        <f>'1 prepared data'!A369</f>
        <v/>
      </c>
      <c r="B376" s="5">
        <f>'1 prepared data'!U369</f>
        <v/>
      </c>
      <c r="C376">
        <f>'1 prepared data'!B369</f>
        <v/>
      </c>
      <c r="D376" s="7">
        <f>'1 prepared data'!C369</f>
        <v/>
      </c>
      <c r="E376" s="7">
        <f>'1 prepared data'!D369</f>
        <v/>
      </c>
      <c r="F376" s="7">
        <f>'1 prepared data'!E369</f>
        <v/>
      </c>
      <c r="G376" s="7">
        <f>'1 prepared data'!F369</f>
        <v/>
      </c>
      <c r="H376" s="7">
        <f>'1 prepared data'!G369</f>
        <v/>
      </c>
      <c r="I376" s="7">
        <f>'1 prepared data'!H369</f>
        <v/>
      </c>
      <c r="J376" s="7">
        <f>'1 prepared data'!I369</f>
        <v/>
      </c>
      <c r="K376" s="7">
        <f>'1 prepared data'!J369</f>
        <v/>
      </c>
      <c r="L376" s="7">
        <f>'1 prepared data'!K369</f>
        <v/>
      </c>
      <c r="M376" s="7">
        <f>'1 prepared data'!L369</f>
        <v/>
      </c>
      <c r="N376" s="7">
        <f>'1 prepared data'!M369</f>
        <v/>
      </c>
      <c r="O376" s="7">
        <f>'1 prepared data'!N369</f>
        <v/>
      </c>
      <c r="P376" s="7">
        <f>'1 prepared data'!O369</f>
        <v/>
      </c>
      <c r="Q376" s="7">
        <f>'1 prepared data'!P369</f>
        <v/>
      </c>
      <c r="R376" s="7">
        <f>'1 prepared data'!Q369</f>
        <v/>
      </c>
      <c r="S376" s="7">
        <f>'1 prepared data'!R369</f>
        <v/>
      </c>
      <c r="T376" s="7">
        <f>'1 prepared data'!S369</f>
        <v/>
      </c>
      <c r="U376" s="7">
        <f>'1 prepared data'!T369</f>
        <v/>
      </c>
      <c r="V376" s="8">
        <f>$AC$12+D376*$AC$13+E376*$AC$14+F376*$AC$15+G376*$AC$16+H376*$AC$17+I376*$AC$18+J376*$AC$19+K376*$AC$20+L376*$AC$21+M376*$AC$22+N376*$AC$23+O376*$AC$24+P376*$AC$25+Q376*$AC$26+R376*$AC$27+S376*$AC$28+T376*$AC$29+U376*$AC$30</f>
        <v/>
      </c>
      <c r="W376" s="8">
        <f>1/(1+EXP(-V376))</f>
        <v/>
      </c>
      <c r="X376" s="9">
        <f>-IF(C376=1,LN(W376),LN(1-W376))</f>
        <v/>
      </c>
      <c r="Y376" s="10">
        <f>IF(W376&gt;$AC$33,1,0)</f>
        <v/>
      </c>
      <c r="Z376">
        <f>IF(Y376=C376,1,0)</f>
        <v/>
      </c>
    </row>
    <row r="377">
      <c r="A377">
        <f>'1 prepared data'!A370</f>
        <v/>
      </c>
      <c r="B377" s="5">
        <f>'1 prepared data'!U370</f>
        <v/>
      </c>
      <c r="C377">
        <f>'1 prepared data'!B370</f>
        <v/>
      </c>
      <c r="D377" s="7">
        <f>'1 prepared data'!C370</f>
        <v/>
      </c>
      <c r="E377" s="7">
        <f>'1 prepared data'!D370</f>
        <v/>
      </c>
      <c r="F377" s="7">
        <f>'1 prepared data'!E370</f>
        <v/>
      </c>
      <c r="G377" s="7">
        <f>'1 prepared data'!F370</f>
        <v/>
      </c>
      <c r="H377" s="7">
        <f>'1 prepared data'!G370</f>
        <v/>
      </c>
      <c r="I377" s="7">
        <f>'1 prepared data'!H370</f>
        <v/>
      </c>
      <c r="J377" s="7">
        <f>'1 prepared data'!I370</f>
        <v/>
      </c>
      <c r="K377" s="7">
        <f>'1 prepared data'!J370</f>
        <v/>
      </c>
      <c r="L377" s="7">
        <f>'1 prepared data'!K370</f>
        <v/>
      </c>
      <c r="M377" s="7">
        <f>'1 prepared data'!L370</f>
        <v/>
      </c>
      <c r="N377" s="7">
        <f>'1 prepared data'!M370</f>
        <v/>
      </c>
      <c r="O377" s="7">
        <f>'1 prepared data'!N370</f>
        <v/>
      </c>
      <c r="P377" s="7">
        <f>'1 prepared data'!O370</f>
        <v/>
      </c>
      <c r="Q377" s="7">
        <f>'1 prepared data'!P370</f>
        <v/>
      </c>
      <c r="R377" s="7">
        <f>'1 prepared data'!Q370</f>
        <v/>
      </c>
      <c r="S377" s="7">
        <f>'1 prepared data'!R370</f>
        <v/>
      </c>
      <c r="T377" s="7">
        <f>'1 prepared data'!S370</f>
        <v/>
      </c>
      <c r="U377" s="7">
        <f>'1 prepared data'!T370</f>
        <v/>
      </c>
      <c r="V377" s="8">
        <f>$AC$12+D377*$AC$13+E377*$AC$14+F377*$AC$15+G377*$AC$16+H377*$AC$17+I377*$AC$18+J377*$AC$19+K377*$AC$20+L377*$AC$21+M377*$AC$22+N377*$AC$23+O377*$AC$24+P377*$AC$25+Q377*$AC$26+R377*$AC$27+S377*$AC$28+T377*$AC$29+U377*$AC$30</f>
        <v/>
      </c>
      <c r="W377" s="8">
        <f>1/(1+EXP(-V377))</f>
        <v/>
      </c>
      <c r="X377" s="9">
        <f>-IF(C377=1,LN(W377),LN(1-W377))</f>
        <v/>
      </c>
      <c r="Y377" s="10">
        <f>IF(W377&gt;$AC$33,1,0)</f>
        <v/>
      </c>
      <c r="Z377">
        <f>IF(Y377=C377,1,0)</f>
        <v/>
      </c>
    </row>
    <row r="378">
      <c r="A378">
        <f>'1 prepared data'!A371</f>
        <v/>
      </c>
      <c r="B378" s="5">
        <f>'1 prepared data'!U371</f>
        <v/>
      </c>
      <c r="C378">
        <f>'1 prepared data'!B371</f>
        <v/>
      </c>
      <c r="D378" s="7">
        <f>'1 prepared data'!C371</f>
        <v/>
      </c>
      <c r="E378" s="7">
        <f>'1 prepared data'!D371</f>
        <v/>
      </c>
      <c r="F378" s="7">
        <f>'1 prepared data'!E371</f>
        <v/>
      </c>
      <c r="G378" s="7">
        <f>'1 prepared data'!F371</f>
        <v/>
      </c>
      <c r="H378" s="7">
        <f>'1 prepared data'!G371</f>
        <v/>
      </c>
      <c r="I378" s="7">
        <f>'1 prepared data'!H371</f>
        <v/>
      </c>
      <c r="J378" s="7">
        <f>'1 prepared data'!I371</f>
        <v/>
      </c>
      <c r="K378" s="7">
        <f>'1 prepared data'!J371</f>
        <v/>
      </c>
      <c r="L378" s="7">
        <f>'1 prepared data'!K371</f>
        <v/>
      </c>
      <c r="M378" s="7">
        <f>'1 prepared data'!L371</f>
        <v/>
      </c>
      <c r="N378" s="7">
        <f>'1 prepared data'!M371</f>
        <v/>
      </c>
      <c r="O378" s="7">
        <f>'1 prepared data'!N371</f>
        <v/>
      </c>
      <c r="P378" s="7">
        <f>'1 prepared data'!O371</f>
        <v/>
      </c>
      <c r="Q378" s="7">
        <f>'1 prepared data'!P371</f>
        <v/>
      </c>
      <c r="R378" s="7">
        <f>'1 prepared data'!Q371</f>
        <v/>
      </c>
      <c r="S378" s="7">
        <f>'1 prepared data'!R371</f>
        <v/>
      </c>
      <c r="T378" s="7">
        <f>'1 prepared data'!S371</f>
        <v/>
      </c>
      <c r="U378" s="7">
        <f>'1 prepared data'!T371</f>
        <v/>
      </c>
      <c r="V378" s="8">
        <f>$AC$12+D378*$AC$13+E378*$AC$14+F378*$AC$15+G378*$AC$16+H378*$AC$17+I378*$AC$18+J378*$AC$19+K378*$AC$20+L378*$AC$21+M378*$AC$22+N378*$AC$23+O378*$AC$24+P378*$AC$25+Q378*$AC$26+R378*$AC$27+S378*$AC$28+T378*$AC$29+U378*$AC$30</f>
        <v/>
      </c>
      <c r="W378" s="8">
        <f>1/(1+EXP(-V378))</f>
        <v/>
      </c>
      <c r="X378" s="9">
        <f>-IF(C378=1,LN(W378),LN(1-W378))</f>
        <v/>
      </c>
      <c r="Y378" s="10">
        <f>IF(W378&gt;$AC$33,1,0)</f>
        <v/>
      </c>
      <c r="Z378">
        <f>IF(Y378=C378,1,0)</f>
        <v/>
      </c>
    </row>
    <row r="379">
      <c r="A379">
        <f>'1 prepared data'!A372</f>
        <v/>
      </c>
      <c r="B379" s="5">
        <f>'1 prepared data'!U372</f>
        <v/>
      </c>
      <c r="C379">
        <f>'1 prepared data'!B372</f>
        <v/>
      </c>
      <c r="D379" s="7">
        <f>'1 prepared data'!C372</f>
        <v/>
      </c>
      <c r="E379" s="7">
        <f>'1 prepared data'!D372</f>
        <v/>
      </c>
      <c r="F379" s="7">
        <f>'1 prepared data'!E372</f>
        <v/>
      </c>
      <c r="G379" s="7">
        <f>'1 prepared data'!F372</f>
        <v/>
      </c>
      <c r="H379" s="7">
        <f>'1 prepared data'!G372</f>
        <v/>
      </c>
      <c r="I379" s="7">
        <f>'1 prepared data'!H372</f>
        <v/>
      </c>
      <c r="J379" s="7">
        <f>'1 prepared data'!I372</f>
        <v/>
      </c>
      <c r="K379" s="7">
        <f>'1 prepared data'!J372</f>
        <v/>
      </c>
      <c r="L379" s="7">
        <f>'1 prepared data'!K372</f>
        <v/>
      </c>
      <c r="M379" s="7">
        <f>'1 prepared data'!L372</f>
        <v/>
      </c>
      <c r="N379" s="7">
        <f>'1 prepared data'!M372</f>
        <v/>
      </c>
      <c r="O379" s="7">
        <f>'1 prepared data'!N372</f>
        <v/>
      </c>
      <c r="P379" s="7">
        <f>'1 prepared data'!O372</f>
        <v/>
      </c>
      <c r="Q379" s="7">
        <f>'1 prepared data'!P372</f>
        <v/>
      </c>
      <c r="R379" s="7">
        <f>'1 prepared data'!Q372</f>
        <v/>
      </c>
      <c r="S379" s="7">
        <f>'1 prepared data'!R372</f>
        <v/>
      </c>
      <c r="T379" s="7">
        <f>'1 prepared data'!S372</f>
        <v/>
      </c>
      <c r="U379" s="7">
        <f>'1 prepared data'!T372</f>
        <v/>
      </c>
      <c r="V379" s="8">
        <f>$AC$12+D379*$AC$13+E379*$AC$14+F379*$AC$15+G379*$AC$16+H379*$AC$17+I379*$AC$18+J379*$AC$19+K379*$AC$20+L379*$AC$21+M379*$AC$22+N379*$AC$23+O379*$AC$24+P379*$AC$25+Q379*$AC$26+R379*$AC$27+S379*$AC$28+T379*$AC$29+U379*$AC$30</f>
        <v/>
      </c>
      <c r="W379" s="8">
        <f>1/(1+EXP(-V379))</f>
        <v/>
      </c>
      <c r="X379" s="9">
        <f>-IF(C379=1,LN(W379),LN(1-W379))</f>
        <v/>
      </c>
      <c r="Y379" s="10">
        <f>IF(W379&gt;$AC$33,1,0)</f>
        <v/>
      </c>
      <c r="Z379">
        <f>IF(Y379=C379,1,0)</f>
        <v/>
      </c>
    </row>
    <row r="380">
      <c r="A380">
        <f>'1 prepared data'!A373</f>
        <v/>
      </c>
      <c r="B380" s="5">
        <f>'1 prepared data'!U373</f>
        <v/>
      </c>
      <c r="C380">
        <f>'1 prepared data'!B373</f>
        <v/>
      </c>
      <c r="D380" s="7">
        <f>'1 prepared data'!C373</f>
        <v/>
      </c>
      <c r="E380" s="7">
        <f>'1 prepared data'!D373</f>
        <v/>
      </c>
      <c r="F380" s="7">
        <f>'1 prepared data'!E373</f>
        <v/>
      </c>
      <c r="G380" s="7">
        <f>'1 prepared data'!F373</f>
        <v/>
      </c>
      <c r="H380" s="7">
        <f>'1 prepared data'!G373</f>
        <v/>
      </c>
      <c r="I380" s="7">
        <f>'1 prepared data'!H373</f>
        <v/>
      </c>
      <c r="J380" s="7">
        <f>'1 prepared data'!I373</f>
        <v/>
      </c>
      <c r="K380" s="7">
        <f>'1 prepared data'!J373</f>
        <v/>
      </c>
      <c r="L380" s="7">
        <f>'1 prepared data'!K373</f>
        <v/>
      </c>
      <c r="M380" s="7">
        <f>'1 prepared data'!L373</f>
        <v/>
      </c>
      <c r="N380" s="7">
        <f>'1 prepared data'!M373</f>
        <v/>
      </c>
      <c r="O380" s="7">
        <f>'1 prepared data'!N373</f>
        <v/>
      </c>
      <c r="P380" s="7">
        <f>'1 prepared data'!O373</f>
        <v/>
      </c>
      <c r="Q380" s="7">
        <f>'1 prepared data'!P373</f>
        <v/>
      </c>
      <c r="R380" s="7">
        <f>'1 prepared data'!Q373</f>
        <v/>
      </c>
      <c r="S380" s="7">
        <f>'1 prepared data'!R373</f>
        <v/>
      </c>
      <c r="T380" s="7">
        <f>'1 prepared data'!S373</f>
        <v/>
      </c>
      <c r="U380" s="7">
        <f>'1 prepared data'!T373</f>
        <v/>
      </c>
      <c r="V380" s="8">
        <f>$AC$12+D380*$AC$13+E380*$AC$14+F380*$AC$15+G380*$AC$16+H380*$AC$17+I380*$AC$18+J380*$AC$19+K380*$AC$20+L380*$AC$21+M380*$AC$22+N380*$AC$23+O380*$AC$24+P380*$AC$25+Q380*$AC$26+R380*$AC$27+S380*$AC$28+T380*$AC$29+U380*$AC$30</f>
        <v/>
      </c>
      <c r="W380" s="8">
        <f>1/(1+EXP(-V380))</f>
        <v/>
      </c>
      <c r="X380" s="9">
        <f>-IF(C380=1,LN(W380),LN(1-W380))</f>
        <v/>
      </c>
      <c r="Y380" s="10">
        <f>IF(W380&gt;$AC$33,1,0)</f>
        <v/>
      </c>
      <c r="Z380">
        <f>IF(Y380=C380,1,0)</f>
        <v/>
      </c>
    </row>
    <row r="381">
      <c r="A381">
        <f>'1 prepared data'!A374</f>
        <v/>
      </c>
      <c r="B381" s="5">
        <f>'1 prepared data'!U374</f>
        <v/>
      </c>
      <c r="C381">
        <f>'1 prepared data'!B374</f>
        <v/>
      </c>
      <c r="D381" s="7">
        <f>'1 prepared data'!C374</f>
        <v/>
      </c>
      <c r="E381" s="7">
        <f>'1 prepared data'!D374</f>
        <v/>
      </c>
      <c r="F381" s="7">
        <f>'1 prepared data'!E374</f>
        <v/>
      </c>
      <c r="G381" s="7">
        <f>'1 prepared data'!F374</f>
        <v/>
      </c>
      <c r="H381" s="7">
        <f>'1 prepared data'!G374</f>
        <v/>
      </c>
      <c r="I381" s="7">
        <f>'1 prepared data'!H374</f>
        <v/>
      </c>
      <c r="J381" s="7">
        <f>'1 prepared data'!I374</f>
        <v/>
      </c>
      <c r="K381" s="7">
        <f>'1 prepared data'!J374</f>
        <v/>
      </c>
      <c r="L381" s="7">
        <f>'1 prepared data'!K374</f>
        <v/>
      </c>
      <c r="M381" s="7">
        <f>'1 prepared data'!L374</f>
        <v/>
      </c>
      <c r="N381" s="7">
        <f>'1 prepared data'!M374</f>
        <v/>
      </c>
      <c r="O381" s="7">
        <f>'1 prepared data'!N374</f>
        <v/>
      </c>
      <c r="P381" s="7">
        <f>'1 prepared data'!O374</f>
        <v/>
      </c>
      <c r="Q381" s="7">
        <f>'1 prepared data'!P374</f>
        <v/>
      </c>
      <c r="R381" s="7">
        <f>'1 prepared data'!Q374</f>
        <v/>
      </c>
      <c r="S381" s="7">
        <f>'1 prepared data'!R374</f>
        <v/>
      </c>
      <c r="T381" s="7">
        <f>'1 prepared data'!S374</f>
        <v/>
      </c>
      <c r="U381" s="7">
        <f>'1 prepared data'!T374</f>
        <v/>
      </c>
      <c r="V381" s="8">
        <f>$AC$12+D381*$AC$13+E381*$AC$14+F381*$AC$15+G381*$AC$16+H381*$AC$17+I381*$AC$18+J381*$AC$19+K381*$AC$20+L381*$AC$21+M381*$AC$22+N381*$AC$23+O381*$AC$24+P381*$AC$25+Q381*$AC$26+R381*$AC$27+S381*$AC$28+T381*$AC$29+U381*$AC$30</f>
        <v/>
      </c>
      <c r="W381" s="8">
        <f>1/(1+EXP(-V381))</f>
        <v/>
      </c>
      <c r="X381" s="9">
        <f>-IF(C381=1,LN(W381),LN(1-W381))</f>
        <v/>
      </c>
      <c r="Y381" s="10">
        <f>IF(W381&gt;$AC$33,1,0)</f>
        <v/>
      </c>
      <c r="Z381">
        <f>IF(Y381=C381,1,0)</f>
        <v/>
      </c>
    </row>
    <row r="382">
      <c r="A382">
        <f>'1 prepared data'!A375</f>
        <v/>
      </c>
      <c r="B382" s="5">
        <f>'1 prepared data'!U375</f>
        <v/>
      </c>
      <c r="C382">
        <f>'1 prepared data'!B375</f>
        <v/>
      </c>
      <c r="D382" s="7">
        <f>'1 prepared data'!C375</f>
        <v/>
      </c>
      <c r="E382" s="7">
        <f>'1 prepared data'!D375</f>
        <v/>
      </c>
      <c r="F382" s="7">
        <f>'1 prepared data'!E375</f>
        <v/>
      </c>
      <c r="G382" s="7">
        <f>'1 prepared data'!F375</f>
        <v/>
      </c>
      <c r="H382" s="7">
        <f>'1 prepared data'!G375</f>
        <v/>
      </c>
      <c r="I382" s="7">
        <f>'1 prepared data'!H375</f>
        <v/>
      </c>
      <c r="J382" s="7">
        <f>'1 prepared data'!I375</f>
        <v/>
      </c>
      <c r="K382" s="7">
        <f>'1 prepared data'!J375</f>
        <v/>
      </c>
      <c r="L382" s="7">
        <f>'1 prepared data'!K375</f>
        <v/>
      </c>
      <c r="M382" s="7">
        <f>'1 prepared data'!L375</f>
        <v/>
      </c>
      <c r="N382" s="7">
        <f>'1 prepared data'!M375</f>
        <v/>
      </c>
      <c r="O382" s="7">
        <f>'1 prepared data'!N375</f>
        <v/>
      </c>
      <c r="P382" s="7">
        <f>'1 prepared data'!O375</f>
        <v/>
      </c>
      <c r="Q382" s="7">
        <f>'1 prepared data'!P375</f>
        <v/>
      </c>
      <c r="R382" s="7">
        <f>'1 prepared data'!Q375</f>
        <v/>
      </c>
      <c r="S382" s="7">
        <f>'1 prepared data'!R375</f>
        <v/>
      </c>
      <c r="T382" s="7">
        <f>'1 prepared data'!S375</f>
        <v/>
      </c>
      <c r="U382" s="7">
        <f>'1 prepared data'!T375</f>
        <v/>
      </c>
      <c r="V382" s="8">
        <f>$AC$12+D382*$AC$13+E382*$AC$14+F382*$AC$15+G382*$AC$16+H382*$AC$17+I382*$AC$18+J382*$AC$19+K382*$AC$20+L382*$AC$21+M382*$AC$22+N382*$AC$23+O382*$AC$24+P382*$AC$25+Q382*$AC$26+R382*$AC$27+S382*$AC$28+T382*$AC$29+U382*$AC$30</f>
        <v/>
      </c>
      <c r="W382" s="8">
        <f>1/(1+EXP(-V382))</f>
        <v/>
      </c>
      <c r="X382" s="9">
        <f>-IF(C382=1,LN(W382),LN(1-W382))</f>
        <v/>
      </c>
      <c r="Y382" s="10">
        <f>IF(W382&gt;$AC$33,1,0)</f>
        <v/>
      </c>
      <c r="Z382">
        <f>IF(Y382=C382,1,0)</f>
        <v/>
      </c>
    </row>
    <row r="383">
      <c r="A383">
        <f>'1 prepared data'!A376</f>
        <v/>
      </c>
      <c r="B383" s="5">
        <f>'1 prepared data'!U376</f>
        <v/>
      </c>
      <c r="C383">
        <f>'1 prepared data'!B376</f>
        <v/>
      </c>
      <c r="D383" s="7">
        <f>'1 prepared data'!C376</f>
        <v/>
      </c>
      <c r="E383" s="7">
        <f>'1 prepared data'!D376</f>
        <v/>
      </c>
      <c r="F383" s="7">
        <f>'1 prepared data'!E376</f>
        <v/>
      </c>
      <c r="G383" s="7">
        <f>'1 prepared data'!F376</f>
        <v/>
      </c>
      <c r="H383" s="7">
        <f>'1 prepared data'!G376</f>
        <v/>
      </c>
      <c r="I383" s="7">
        <f>'1 prepared data'!H376</f>
        <v/>
      </c>
      <c r="J383" s="7">
        <f>'1 prepared data'!I376</f>
        <v/>
      </c>
      <c r="K383" s="7">
        <f>'1 prepared data'!J376</f>
        <v/>
      </c>
      <c r="L383" s="7">
        <f>'1 prepared data'!K376</f>
        <v/>
      </c>
      <c r="M383" s="7">
        <f>'1 prepared data'!L376</f>
        <v/>
      </c>
      <c r="N383" s="7">
        <f>'1 prepared data'!M376</f>
        <v/>
      </c>
      <c r="O383" s="7">
        <f>'1 prepared data'!N376</f>
        <v/>
      </c>
      <c r="P383" s="7">
        <f>'1 prepared data'!O376</f>
        <v/>
      </c>
      <c r="Q383" s="7">
        <f>'1 prepared data'!P376</f>
        <v/>
      </c>
      <c r="R383" s="7">
        <f>'1 prepared data'!Q376</f>
        <v/>
      </c>
      <c r="S383" s="7">
        <f>'1 prepared data'!R376</f>
        <v/>
      </c>
      <c r="T383" s="7">
        <f>'1 prepared data'!S376</f>
        <v/>
      </c>
      <c r="U383" s="7">
        <f>'1 prepared data'!T376</f>
        <v/>
      </c>
      <c r="V383" s="8">
        <f>$AC$12+D383*$AC$13+E383*$AC$14+F383*$AC$15+G383*$AC$16+H383*$AC$17+I383*$AC$18+J383*$AC$19+K383*$AC$20+L383*$AC$21+M383*$AC$22+N383*$AC$23+O383*$AC$24+P383*$AC$25+Q383*$AC$26+R383*$AC$27+S383*$AC$28+T383*$AC$29+U383*$AC$30</f>
        <v/>
      </c>
      <c r="W383" s="8">
        <f>1/(1+EXP(-V383))</f>
        <v/>
      </c>
      <c r="X383" s="9">
        <f>-IF(C383=1,LN(W383),LN(1-W383))</f>
        <v/>
      </c>
      <c r="Y383" s="10">
        <f>IF(W383&gt;$AC$33,1,0)</f>
        <v/>
      </c>
      <c r="Z383">
        <f>IF(Y383=C383,1,0)</f>
        <v/>
      </c>
    </row>
    <row r="384">
      <c r="A384">
        <f>'1 prepared data'!A377</f>
        <v/>
      </c>
      <c r="B384" s="5">
        <f>'1 prepared data'!U377</f>
        <v/>
      </c>
      <c r="C384">
        <f>'1 prepared data'!B377</f>
        <v/>
      </c>
      <c r="D384" s="7">
        <f>'1 prepared data'!C377</f>
        <v/>
      </c>
      <c r="E384" s="7">
        <f>'1 prepared data'!D377</f>
        <v/>
      </c>
      <c r="F384" s="7">
        <f>'1 prepared data'!E377</f>
        <v/>
      </c>
      <c r="G384" s="7">
        <f>'1 prepared data'!F377</f>
        <v/>
      </c>
      <c r="H384" s="7">
        <f>'1 prepared data'!G377</f>
        <v/>
      </c>
      <c r="I384" s="7">
        <f>'1 prepared data'!H377</f>
        <v/>
      </c>
      <c r="J384" s="7">
        <f>'1 prepared data'!I377</f>
        <v/>
      </c>
      <c r="K384" s="7">
        <f>'1 prepared data'!J377</f>
        <v/>
      </c>
      <c r="L384" s="7">
        <f>'1 prepared data'!K377</f>
        <v/>
      </c>
      <c r="M384" s="7">
        <f>'1 prepared data'!L377</f>
        <v/>
      </c>
      <c r="N384" s="7">
        <f>'1 prepared data'!M377</f>
        <v/>
      </c>
      <c r="O384" s="7">
        <f>'1 prepared data'!N377</f>
        <v/>
      </c>
      <c r="P384" s="7">
        <f>'1 prepared data'!O377</f>
        <v/>
      </c>
      <c r="Q384" s="7">
        <f>'1 prepared data'!P377</f>
        <v/>
      </c>
      <c r="R384" s="7">
        <f>'1 prepared data'!Q377</f>
        <v/>
      </c>
      <c r="S384" s="7">
        <f>'1 prepared data'!R377</f>
        <v/>
      </c>
      <c r="T384" s="7">
        <f>'1 prepared data'!S377</f>
        <v/>
      </c>
      <c r="U384" s="7">
        <f>'1 prepared data'!T377</f>
        <v/>
      </c>
      <c r="V384" s="8">
        <f>$AC$12+D384*$AC$13+E384*$AC$14+F384*$AC$15+G384*$AC$16+H384*$AC$17+I384*$AC$18+J384*$AC$19+K384*$AC$20+L384*$AC$21+M384*$AC$22+N384*$AC$23+O384*$AC$24+P384*$AC$25+Q384*$AC$26+R384*$AC$27+S384*$AC$28+T384*$AC$29+U384*$AC$30</f>
        <v/>
      </c>
      <c r="W384" s="8">
        <f>1/(1+EXP(-V384))</f>
        <v/>
      </c>
      <c r="X384" s="9">
        <f>-IF(C384=1,LN(W384),LN(1-W384))</f>
        <v/>
      </c>
      <c r="Y384" s="10">
        <f>IF(W384&gt;$AC$33,1,0)</f>
        <v/>
      </c>
      <c r="Z384">
        <f>IF(Y384=C384,1,0)</f>
        <v/>
      </c>
    </row>
    <row r="385">
      <c r="A385">
        <f>'1 prepared data'!A378</f>
        <v/>
      </c>
      <c r="B385" s="5">
        <f>'1 prepared data'!U378</f>
        <v/>
      </c>
      <c r="C385">
        <f>'1 prepared data'!B378</f>
        <v/>
      </c>
      <c r="D385" s="7">
        <f>'1 prepared data'!C378</f>
        <v/>
      </c>
      <c r="E385" s="7">
        <f>'1 prepared data'!D378</f>
        <v/>
      </c>
      <c r="F385" s="7">
        <f>'1 prepared data'!E378</f>
        <v/>
      </c>
      <c r="G385" s="7">
        <f>'1 prepared data'!F378</f>
        <v/>
      </c>
      <c r="H385" s="7">
        <f>'1 prepared data'!G378</f>
        <v/>
      </c>
      <c r="I385" s="7">
        <f>'1 prepared data'!H378</f>
        <v/>
      </c>
      <c r="J385" s="7">
        <f>'1 prepared data'!I378</f>
        <v/>
      </c>
      <c r="K385" s="7">
        <f>'1 prepared data'!J378</f>
        <v/>
      </c>
      <c r="L385" s="7">
        <f>'1 prepared data'!K378</f>
        <v/>
      </c>
      <c r="M385" s="7">
        <f>'1 prepared data'!L378</f>
        <v/>
      </c>
      <c r="N385" s="7">
        <f>'1 prepared data'!M378</f>
        <v/>
      </c>
      <c r="O385" s="7">
        <f>'1 prepared data'!N378</f>
        <v/>
      </c>
      <c r="P385" s="7">
        <f>'1 prepared data'!O378</f>
        <v/>
      </c>
      <c r="Q385" s="7">
        <f>'1 prepared data'!P378</f>
        <v/>
      </c>
      <c r="R385" s="7">
        <f>'1 prepared data'!Q378</f>
        <v/>
      </c>
      <c r="S385" s="7">
        <f>'1 prepared data'!R378</f>
        <v/>
      </c>
      <c r="T385" s="7">
        <f>'1 prepared data'!S378</f>
        <v/>
      </c>
      <c r="U385" s="7">
        <f>'1 prepared data'!T378</f>
        <v/>
      </c>
      <c r="V385" s="8">
        <f>$AC$12+D385*$AC$13+E385*$AC$14+F385*$AC$15+G385*$AC$16+H385*$AC$17+I385*$AC$18+J385*$AC$19+K385*$AC$20+L385*$AC$21+M385*$AC$22+N385*$AC$23+O385*$AC$24+P385*$AC$25+Q385*$AC$26+R385*$AC$27+S385*$AC$28+T385*$AC$29+U385*$AC$30</f>
        <v/>
      </c>
      <c r="W385" s="8">
        <f>1/(1+EXP(-V385))</f>
        <v/>
      </c>
      <c r="X385" s="9">
        <f>-IF(C385=1,LN(W385),LN(1-W385))</f>
        <v/>
      </c>
      <c r="Y385" s="10">
        <f>IF(W385&gt;$AC$33,1,0)</f>
        <v/>
      </c>
      <c r="Z385">
        <f>IF(Y385=C385,1,0)</f>
        <v/>
      </c>
    </row>
    <row r="386">
      <c r="A386">
        <f>'1 prepared data'!A379</f>
        <v/>
      </c>
      <c r="B386" s="5">
        <f>'1 prepared data'!U379</f>
        <v/>
      </c>
      <c r="C386">
        <f>'1 prepared data'!B379</f>
        <v/>
      </c>
      <c r="D386" s="7">
        <f>'1 prepared data'!C379</f>
        <v/>
      </c>
      <c r="E386" s="7">
        <f>'1 prepared data'!D379</f>
        <v/>
      </c>
      <c r="F386" s="7">
        <f>'1 prepared data'!E379</f>
        <v/>
      </c>
      <c r="G386" s="7">
        <f>'1 prepared data'!F379</f>
        <v/>
      </c>
      <c r="H386" s="7">
        <f>'1 prepared data'!G379</f>
        <v/>
      </c>
      <c r="I386" s="7">
        <f>'1 prepared data'!H379</f>
        <v/>
      </c>
      <c r="J386" s="7">
        <f>'1 prepared data'!I379</f>
        <v/>
      </c>
      <c r="K386" s="7">
        <f>'1 prepared data'!J379</f>
        <v/>
      </c>
      <c r="L386" s="7">
        <f>'1 prepared data'!K379</f>
        <v/>
      </c>
      <c r="M386" s="7">
        <f>'1 prepared data'!L379</f>
        <v/>
      </c>
      <c r="N386" s="7">
        <f>'1 prepared data'!M379</f>
        <v/>
      </c>
      <c r="O386" s="7">
        <f>'1 prepared data'!N379</f>
        <v/>
      </c>
      <c r="P386" s="7">
        <f>'1 prepared data'!O379</f>
        <v/>
      </c>
      <c r="Q386" s="7">
        <f>'1 prepared data'!P379</f>
        <v/>
      </c>
      <c r="R386" s="7">
        <f>'1 prepared data'!Q379</f>
        <v/>
      </c>
      <c r="S386" s="7">
        <f>'1 prepared data'!R379</f>
        <v/>
      </c>
      <c r="T386" s="7">
        <f>'1 prepared data'!S379</f>
        <v/>
      </c>
      <c r="U386" s="7">
        <f>'1 prepared data'!T379</f>
        <v/>
      </c>
      <c r="V386" s="8">
        <f>$AC$12+D386*$AC$13+E386*$AC$14+F386*$AC$15+G386*$AC$16+H386*$AC$17+I386*$AC$18+J386*$AC$19+K386*$AC$20+L386*$AC$21+M386*$AC$22+N386*$AC$23+O386*$AC$24+P386*$AC$25+Q386*$AC$26+R386*$AC$27+S386*$AC$28+T386*$AC$29+U386*$AC$30</f>
        <v/>
      </c>
      <c r="W386" s="8">
        <f>1/(1+EXP(-V386))</f>
        <v/>
      </c>
      <c r="X386" s="9">
        <f>-IF(C386=1,LN(W386),LN(1-W386))</f>
        <v/>
      </c>
      <c r="Y386" s="10">
        <f>IF(W386&gt;$AC$33,1,0)</f>
        <v/>
      </c>
      <c r="Z386">
        <f>IF(Y386=C386,1,0)</f>
        <v/>
      </c>
    </row>
    <row r="387">
      <c r="A387">
        <f>'1 prepared data'!A380</f>
        <v/>
      </c>
      <c r="B387" s="5">
        <f>'1 prepared data'!U380</f>
        <v/>
      </c>
      <c r="C387">
        <f>'1 prepared data'!B380</f>
        <v/>
      </c>
      <c r="D387" s="7">
        <f>'1 prepared data'!C380</f>
        <v/>
      </c>
      <c r="E387" s="7">
        <f>'1 prepared data'!D380</f>
        <v/>
      </c>
      <c r="F387" s="7">
        <f>'1 prepared data'!E380</f>
        <v/>
      </c>
      <c r="G387" s="7">
        <f>'1 prepared data'!F380</f>
        <v/>
      </c>
      <c r="H387" s="7">
        <f>'1 prepared data'!G380</f>
        <v/>
      </c>
      <c r="I387" s="7">
        <f>'1 prepared data'!H380</f>
        <v/>
      </c>
      <c r="J387" s="7">
        <f>'1 prepared data'!I380</f>
        <v/>
      </c>
      <c r="K387" s="7">
        <f>'1 prepared data'!J380</f>
        <v/>
      </c>
      <c r="L387" s="7">
        <f>'1 prepared data'!K380</f>
        <v/>
      </c>
      <c r="M387" s="7">
        <f>'1 prepared data'!L380</f>
        <v/>
      </c>
      <c r="N387" s="7">
        <f>'1 prepared data'!M380</f>
        <v/>
      </c>
      <c r="O387" s="7">
        <f>'1 prepared data'!N380</f>
        <v/>
      </c>
      <c r="P387" s="7">
        <f>'1 prepared data'!O380</f>
        <v/>
      </c>
      <c r="Q387" s="7">
        <f>'1 prepared data'!P380</f>
        <v/>
      </c>
      <c r="R387" s="7">
        <f>'1 prepared data'!Q380</f>
        <v/>
      </c>
      <c r="S387" s="7">
        <f>'1 prepared data'!R380</f>
        <v/>
      </c>
      <c r="T387" s="7">
        <f>'1 prepared data'!S380</f>
        <v/>
      </c>
      <c r="U387" s="7">
        <f>'1 prepared data'!T380</f>
        <v/>
      </c>
      <c r="V387" s="8">
        <f>$AC$12+D387*$AC$13+E387*$AC$14+F387*$AC$15+G387*$AC$16+H387*$AC$17+I387*$AC$18+J387*$AC$19+K387*$AC$20+L387*$AC$21+M387*$AC$22+N387*$AC$23+O387*$AC$24+P387*$AC$25+Q387*$AC$26+R387*$AC$27+S387*$AC$28+T387*$AC$29+U387*$AC$30</f>
        <v/>
      </c>
      <c r="W387" s="8">
        <f>1/(1+EXP(-V387))</f>
        <v/>
      </c>
      <c r="X387" s="9">
        <f>-IF(C387=1,LN(W387),LN(1-W387))</f>
        <v/>
      </c>
      <c r="Y387" s="10">
        <f>IF(W387&gt;$AC$33,1,0)</f>
        <v/>
      </c>
      <c r="Z387">
        <f>IF(Y387=C387,1,0)</f>
        <v/>
      </c>
    </row>
    <row r="388">
      <c r="A388">
        <f>'1 prepared data'!A381</f>
        <v/>
      </c>
      <c r="B388" s="5">
        <f>'1 prepared data'!U381</f>
        <v/>
      </c>
      <c r="C388">
        <f>'1 prepared data'!B381</f>
        <v/>
      </c>
      <c r="D388" s="7">
        <f>'1 prepared data'!C381</f>
        <v/>
      </c>
      <c r="E388" s="7">
        <f>'1 prepared data'!D381</f>
        <v/>
      </c>
      <c r="F388" s="7">
        <f>'1 prepared data'!E381</f>
        <v/>
      </c>
      <c r="G388" s="7">
        <f>'1 prepared data'!F381</f>
        <v/>
      </c>
      <c r="H388" s="7">
        <f>'1 prepared data'!G381</f>
        <v/>
      </c>
      <c r="I388" s="7">
        <f>'1 prepared data'!H381</f>
        <v/>
      </c>
      <c r="J388" s="7">
        <f>'1 prepared data'!I381</f>
        <v/>
      </c>
      <c r="K388" s="7">
        <f>'1 prepared data'!J381</f>
        <v/>
      </c>
      <c r="L388" s="7">
        <f>'1 prepared data'!K381</f>
        <v/>
      </c>
      <c r="M388" s="7">
        <f>'1 prepared data'!L381</f>
        <v/>
      </c>
      <c r="N388" s="7">
        <f>'1 prepared data'!M381</f>
        <v/>
      </c>
      <c r="O388" s="7">
        <f>'1 prepared data'!N381</f>
        <v/>
      </c>
      <c r="P388" s="7">
        <f>'1 prepared data'!O381</f>
        <v/>
      </c>
      <c r="Q388" s="7">
        <f>'1 prepared data'!P381</f>
        <v/>
      </c>
      <c r="R388" s="7">
        <f>'1 prepared data'!Q381</f>
        <v/>
      </c>
      <c r="S388" s="7">
        <f>'1 prepared data'!R381</f>
        <v/>
      </c>
      <c r="T388" s="7">
        <f>'1 prepared data'!S381</f>
        <v/>
      </c>
      <c r="U388" s="7">
        <f>'1 prepared data'!T381</f>
        <v/>
      </c>
      <c r="V388" s="8">
        <f>$AC$12+D388*$AC$13+E388*$AC$14+F388*$AC$15+G388*$AC$16+H388*$AC$17+I388*$AC$18+J388*$AC$19+K388*$AC$20+L388*$AC$21+M388*$AC$22+N388*$AC$23+O388*$AC$24+P388*$AC$25+Q388*$AC$26+R388*$AC$27+S388*$AC$28+T388*$AC$29+U388*$AC$30</f>
        <v/>
      </c>
      <c r="W388" s="8">
        <f>1/(1+EXP(-V388))</f>
        <v/>
      </c>
      <c r="X388" s="9">
        <f>-IF(C388=1,LN(W388),LN(1-W388))</f>
        <v/>
      </c>
      <c r="Y388" s="10">
        <f>IF(W388&gt;$AC$33,1,0)</f>
        <v/>
      </c>
      <c r="Z388">
        <f>IF(Y388=C388,1,0)</f>
        <v/>
      </c>
    </row>
    <row r="389">
      <c r="A389">
        <f>'1 prepared data'!A382</f>
        <v/>
      </c>
      <c r="B389" s="5">
        <f>'1 prepared data'!U382</f>
        <v/>
      </c>
      <c r="C389">
        <f>'1 prepared data'!B382</f>
        <v/>
      </c>
      <c r="D389" s="7">
        <f>'1 prepared data'!C382</f>
        <v/>
      </c>
      <c r="E389" s="7">
        <f>'1 prepared data'!D382</f>
        <v/>
      </c>
      <c r="F389" s="7">
        <f>'1 prepared data'!E382</f>
        <v/>
      </c>
      <c r="G389" s="7">
        <f>'1 prepared data'!F382</f>
        <v/>
      </c>
      <c r="H389" s="7">
        <f>'1 prepared data'!G382</f>
        <v/>
      </c>
      <c r="I389" s="7">
        <f>'1 prepared data'!H382</f>
        <v/>
      </c>
      <c r="J389" s="7">
        <f>'1 prepared data'!I382</f>
        <v/>
      </c>
      <c r="K389" s="7">
        <f>'1 prepared data'!J382</f>
        <v/>
      </c>
      <c r="L389" s="7">
        <f>'1 prepared data'!K382</f>
        <v/>
      </c>
      <c r="M389" s="7">
        <f>'1 prepared data'!L382</f>
        <v/>
      </c>
      <c r="N389" s="7">
        <f>'1 prepared data'!M382</f>
        <v/>
      </c>
      <c r="O389" s="7">
        <f>'1 prepared data'!N382</f>
        <v/>
      </c>
      <c r="P389" s="7">
        <f>'1 prepared data'!O382</f>
        <v/>
      </c>
      <c r="Q389" s="7">
        <f>'1 prepared data'!P382</f>
        <v/>
      </c>
      <c r="R389" s="7">
        <f>'1 prepared data'!Q382</f>
        <v/>
      </c>
      <c r="S389" s="7">
        <f>'1 prepared data'!R382</f>
        <v/>
      </c>
      <c r="T389" s="7">
        <f>'1 prepared data'!S382</f>
        <v/>
      </c>
      <c r="U389" s="7">
        <f>'1 prepared data'!T382</f>
        <v/>
      </c>
      <c r="V389" s="8">
        <f>$AC$12+D389*$AC$13+E389*$AC$14+F389*$AC$15+G389*$AC$16+H389*$AC$17+I389*$AC$18+J389*$AC$19+K389*$AC$20+L389*$AC$21+M389*$AC$22+N389*$AC$23+O389*$AC$24+P389*$AC$25+Q389*$AC$26+R389*$AC$27+S389*$AC$28+T389*$AC$29+U389*$AC$30</f>
        <v/>
      </c>
      <c r="W389" s="8">
        <f>1/(1+EXP(-V389))</f>
        <v/>
      </c>
      <c r="X389" s="9">
        <f>-IF(C389=1,LN(W389),LN(1-W389))</f>
        <v/>
      </c>
      <c r="Y389" s="10">
        <f>IF(W389&gt;$AC$33,1,0)</f>
        <v/>
      </c>
      <c r="Z389">
        <f>IF(Y389=C389,1,0)</f>
        <v/>
      </c>
    </row>
    <row r="390">
      <c r="A390">
        <f>'1 prepared data'!A383</f>
        <v/>
      </c>
      <c r="B390" s="5">
        <f>'1 prepared data'!U383</f>
        <v/>
      </c>
      <c r="C390">
        <f>'1 prepared data'!B383</f>
        <v/>
      </c>
      <c r="D390" s="7">
        <f>'1 prepared data'!C383</f>
        <v/>
      </c>
      <c r="E390" s="7">
        <f>'1 prepared data'!D383</f>
        <v/>
      </c>
      <c r="F390" s="7">
        <f>'1 prepared data'!E383</f>
        <v/>
      </c>
      <c r="G390" s="7">
        <f>'1 prepared data'!F383</f>
        <v/>
      </c>
      <c r="H390" s="7">
        <f>'1 prepared data'!G383</f>
        <v/>
      </c>
      <c r="I390" s="7">
        <f>'1 prepared data'!H383</f>
        <v/>
      </c>
      <c r="J390" s="7">
        <f>'1 prepared data'!I383</f>
        <v/>
      </c>
      <c r="K390" s="7">
        <f>'1 prepared data'!J383</f>
        <v/>
      </c>
      <c r="L390" s="7">
        <f>'1 prepared data'!K383</f>
        <v/>
      </c>
      <c r="M390" s="7">
        <f>'1 prepared data'!L383</f>
        <v/>
      </c>
      <c r="N390" s="7">
        <f>'1 prepared data'!M383</f>
        <v/>
      </c>
      <c r="O390" s="7">
        <f>'1 prepared data'!N383</f>
        <v/>
      </c>
      <c r="P390" s="7">
        <f>'1 prepared data'!O383</f>
        <v/>
      </c>
      <c r="Q390" s="7">
        <f>'1 prepared data'!P383</f>
        <v/>
      </c>
      <c r="R390" s="7">
        <f>'1 prepared data'!Q383</f>
        <v/>
      </c>
      <c r="S390" s="7">
        <f>'1 prepared data'!R383</f>
        <v/>
      </c>
      <c r="T390" s="7">
        <f>'1 prepared data'!S383</f>
        <v/>
      </c>
      <c r="U390" s="7">
        <f>'1 prepared data'!T383</f>
        <v/>
      </c>
      <c r="V390" s="8">
        <f>$AC$12+D390*$AC$13+E390*$AC$14+F390*$AC$15+G390*$AC$16+H390*$AC$17+I390*$AC$18+J390*$AC$19+K390*$AC$20+L390*$AC$21+M390*$AC$22+N390*$AC$23+O390*$AC$24+P390*$AC$25+Q390*$AC$26+R390*$AC$27+S390*$AC$28+T390*$AC$29+U390*$AC$30</f>
        <v/>
      </c>
      <c r="W390" s="8">
        <f>1/(1+EXP(-V390))</f>
        <v/>
      </c>
      <c r="X390" s="9">
        <f>-IF(C390=1,LN(W390),LN(1-W390))</f>
        <v/>
      </c>
      <c r="Y390" s="10">
        <f>IF(W390&gt;$AC$33,1,0)</f>
        <v/>
      </c>
      <c r="Z390">
        <f>IF(Y390=C390,1,0)</f>
        <v/>
      </c>
    </row>
    <row r="391">
      <c r="A391">
        <f>'1 prepared data'!A384</f>
        <v/>
      </c>
      <c r="B391" s="5">
        <f>'1 prepared data'!U384</f>
        <v/>
      </c>
      <c r="C391">
        <f>'1 prepared data'!B384</f>
        <v/>
      </c>
      <c r="D391" s="7">
        <f>'1 prepared data'!C384</f>
        <v/>
      </c>
      <c r="E391" s="7">
        <f>'1 prepared data'!D384</f>
        <v/>
      </c>
      <c r="F391" s="7">
        <f>'1 prepared data'!E384</f>
        <v/>
      </c>
      <c r="G391" s="7">
        <f>'1 prepared data'!F384</f>
        <v/>
      </c>
      <c r="H391" s="7">
        <f>'1 prepared data'!G384</f>
        <v/>
      </c>
      <c r="I391" s="7">
        <f>'1 prepared data'!H384</f>
        <v/>
      </c>
      <c r="J391" s="7">
        <f>'1 prepared data'!I384</f>
        <v/>
      </c>
      <c r="K391" s="7">
        <f>'1 prepared data'!J384</f>
        <v/>
      </c>
      <c r="L391" s="7">
        <f>'1 prepared data'!K384</f>
        <v/>
      </c>
      <c r="M391" s="7">
        <f>'1 prepared data'!L384</f>
        <v/>
      </c>
      <c r="N391" s="7">
        <f>'1 prepared data'!M384</f>
        <v/>
      </c>
      <c r="O391" s="7">
        <f>'1 prepared data'!N384</f>
        <v/>
      </c>
      <c r="P391" s="7">
        <f>'1 prepared data'!O384</f>
        <v/>
      </c>
      <c r="Q391" s="7">
        <f>'1 prepared data'!P384</f>
        <v/>
      </c>
      <c r="R391" s="7">
        <f>'1 prepared data'!Q384</f>
        <v/>
      </c>
      <c r="S391" s="7">
        <f>'1 prepared data'!R384</f>
        <v/>
      </c>
      <c r="T391" s="7">
        <f>'1 prepared data'!S384</f>
        <v/>
      </c>
      <c r="U391" s="7">
        <f>'1 prepared data'!T384</f>
        <v/>
      </c>
      <c r="V391" s="8">
        <f>$AC$12+D391*$AC$13+E391*$AC$14+F391*$AC$15+G391*$AC$16+H391*$AC$17+I391*$AC$18+J391*$AC$19+K391*$AC$20+L391*$AC$21+M391*$AC$22+N391*$AC$23+O391*$AC$24+P391*$AC$25+Q391*$AC$26+R391*$AC$27+S391*$AC$28+T391*$AC$29+U391*$AC$30</f>
        <v/>
      </c>
      <c r="W391" s="8">
        <f>1/(1+EXP(-V391))</f>
        <v/>
      </c>
      <c r="X391" s="9">
        <f>-IF(C391=1,LN(W391),LN(1-W391))</f>
        <v/>
      </c>
      <c r="Y391" s="10">
        <f>IF(W391&gt;$AC$33,1,0)</f>
        <v/>
      </c>
      <c r="Z391">
        <f>IF(Y391=C391,1,0)</f>
        <v/>
      </c>
    </row>
    <row r="392">
      <c r="A392">
        <f>'1 prepared data'!A385</f>
        <v/>
      </c>
      <c r="B392" s="5">
        <f>'1 prepared data'!U385</f>
        <v/>
      </c>
      <c r="C392">
        <f>'1 prepared data'!B385</f>
        <v/>
      </c>
      <c r="D392" s="7">
        <f>'1 prepared data'!C385</f>
        <v/>
      </c>
      <c r="E392" s="7">
        <f>'1 prepared data'!D385</f>
        <v/>
      </c>
      <c r="F392" s="7">
        <f>'1 prepared data'!E385</f>
        <v/>
      </c>
      <c r="G392" s="7">
        <f>'1 prepared data'!F385</f>
        <v/>
      </c>
      <c r="H392" s="7">
        <f>'1 prepared data'!G385</f>
        <v/>
      </c>
      <c r="I392" s="7">
        <f>'1 prepared data'!H385</f>
        <v/>
      </c>
      <c r="J392" s="7">
        <f>'1 prepared data'!I385</f>
        <v/>
      </c>
      <c r="K392" s="7">
        <f>'1 prepared data'!J385</f>
        <v/>
      </c>
      <c r="L392" s="7">
        <f>'1 prepared data'!K385</f>
        <v/>
      </c>
      <c r="M392" s="7">
        <f>'1 prepared data'!L385</f>
        <v/>
      </c>
      <c r="N392" s="7">
        <f>'1 prepared data'!M385</f>
        <v/>
      </c>
      <c r="O392" s="7">
        <f>'1 prepared data'!N385</f>
        <v/>
      </c>
      <c r="P392" s="7">
        <f>'1 prepared data'!O385</f>
        <v/>
      </c>
      <c r="Q392" s="7">
        <f>'1 prepared data'!P385</f>
        <v/>
      </c>
      <c r="R392" s="7">
        <f>'1 prepared data'!Q385</f>
        <v/>
      </c>
      <c r="S392" s="7">
        <f>'1 prepared data'!R385</f>
        <v/>
      </c>
      <c r="T392" s="7">
        <f>'1 prepared data'!S385</f>
        <v/>
      </c>
      <c r="U392" s="7">
        <f>'1 prepared data'!T385</f>
        <v/>
      </c>
      <c r="V392" s="8">
        <f>$AC$12+D392*$AC$13+E392*$AC$14+F392*$AC$15+G392*$AC$16+H392*$AC$17+I392*$AC$18+J392*$AC$19+K392*$AC$20+L392*$AC$21+M392*$AC$22+N392*$AC$23+O392*$AC$24+P392*$AC$25+Q392*$AC$26+R392*$AC$27+S392*$AC$28+T392*$AC$29+U392*$AC$30</f>
        <v/>
      </c>
      <c r="W392" s="8">
        <f>1/(1+EXP(-V392))</f>
        <v/>
      </c>
      <c r="X392" s="9">
        <f>-IF(C392=1,LN(W392),LN(1-W392))</f>
        <v/>
      </c>
      <c r="Y392" s="10">
        <f>IF(W392&gt;$AC$33,1,0)</f>
        <v/>
      </c>
      <c r="Z392">
        <f>IF(Y392=C392,1,0)</f>
        <v/>
      </c>
    </row>
    <row r="393">
      <c r="A393">
        <f>'1 prepared data'!A386</f>
        <v/>
      </c>
      <c r="B393" s="5">
        <f>'1 prepared data'!U386</f>
        <v/>
      </c>
      <c r="C393">
        <f>'1 prepared data'!B386</f>
        <v/>
      </c>
      <c r="D393" s="7">
        <f>'1 prepared data'!C386</f>
        <v/>
      </c>
      <c r="E393" s="7">
        <f>'1 prepared data'!D386</f>
        <v/>
      </c>
      <c r="F393" s="7">
        <f>'1 prepared data'!E386</f>
        <v/>
      </c>
      <c r="G393" s="7">
        <f>'1 prepared data'!F386</f>
        <v/>
      </c>
      <c r="H393" s="7">
        <f>'1 prepared data'!G386</f>
        <v/>
      </c>
      <c r="I393" s="7">
        <f>'1 prepared data'!H386</f>
        <v/>
      </c>
      <c r="J393" s="7">
        <f>'1 prepared data'!I386</f>
        <v/>
      </c>
      <c r="K393" s="7">
        <f>'1 prepared data'!J386</f>
        <v/>
      </c>
      <c r="L393" s="7">
        <f>'1 prepared data'!K386</f>
        <v/>
      </c>
      <c r="M393" s="7">
        <f>'1 prepared data'!L386</f>
        <v/>
      </c>
      <c r="N393" s="7">
        <f>'1 prepared data'!M386</f>
        <v/>
      </c>
      <c r="O393" s="7">
        <f>'1 prepared data'!N386</f>
        <v/>
      </c>
      <c r="P393" s="7">
        <f>'1 prepared data'!O386</f>
        <v/>
      </c>
      <c r="Q393" s="7">
        <f>'1 prepared data'!P386</f>
        <v/>
      </c>
      <c r="R393" s="7">
        <f>'1 prepared data'!Q386</f>
        <v/>
      </c>
      <c r="S393" s="7">
        <f>'1 prepared data'!R386</f>
        <v/>
      </c>
      <c r="T393" s="7">
        <f>'1 prepared data'!S386</f>
        <v/>
      </c>
      <c r="U393" s="7">
        <f>'1 prepared data'!T386</f>
        <v/>
      </c>
      <c r="V393" s="8">
        <f>$AC$12+D393*$AC$13+E393*$AC$14+F393*$AC$15+G393*$AC$16+H393*$AC$17+I393*$AC$18+J393*$AC$19+K393*$AC$20+L393*$AC$21+M393*$AC$22+N393*$AC$23+O393*$AC$24+P393*$AC$25+Q393*$AC$26+R393*$AC$27+S393*$AC$28+T393*$AC$29+U393*$AC$30</f>
        <v/>
      </c>
      <c r="W393" s="8">
        <f>1/(1+EXP(-V393))</f>
        <v/>
      </c>
      <c r="X393" s="9">
        <f>-IF(C393=1,LN(W393),LN(1-W393))</f>
        <v/>
      </c>
      <c r="Y393" s="10">
        <f>IF(W393&gt;$AC$33,1,0)</f>
        <v/>
      </c>
      <c r="Z393">
        <f>IF(Y393=C393,1,0)</f>
        <v/>
      </c>
    </row>
    <row r="394">
      <c r="A394">
        <f>'1 prepared data'!A387</f>
        <v/>
      </c>
      <c r="B394" s="5">
        <f>'1 prepared data'!U387</f>
        <v/>
      </c>
      <c r="C394">
        <f>'1 prepared data'!B387</f>
        <v/>
      </c>
      <c r="D394" s="7">
        <f>'1 prepared data'!C387</f>
        <v/>
      </c>
      <c r="E394" s="7">
        <f>'1 prepared data'!D387</f>
        <v/>
      </c>
      <c r="F394" s="7">
        <f>'1 prepared data'!E387</f>
        <v/>
      </c>
      <c r="G394" s="7">
        <f>'1 prepared data'!F387</f>
        <v/>
      </c>
      <c r="H394" s="7">
        <f>'1 prepared data'!G387</f>
        <v/>
      </c>
      <c r="I394" s="7">
        <f>'1 prepared data'!H387</f>
        <v/>
      </c>
      <c r="J394" s="7">
        <f>'1 prepared data'!I387</f>
        <v/>
      </c>
      <c r="K394" s="7">
        <f>'1 prepared data'!J387</f>
        <v/>
      </c>
      <c r="L394" s="7">
        <f>'1 prepared data'!K387</f>
        <v/>
      </c>
      <c r="M394" s="7">
        <f>'1 prepared data'!L387</f>
        <v/>
      </c>
      <c r="N394" s="7">
        <f>'1 prepared data'!M387</f>
        <v/>
      </c>
      <c r="O394" s="7">
        <f>'1 prepared data'!N387</f>
        <v/>
      </c>
      <c r="P394" s="7">
        <f>'1 prepared data'!O387</f>
        <v/>
      </c>
      <c r="Q394" s="7">
        <f>'1 prepared data'!P387</f>
        <v/>
      </c>
      <c r="R394" s="7">
        <f>'1 prepared data'!Q387</f>
        <v/>
      </c>
      <c r="S394" s="7">
        <f>'1 prepared data'!R387</f>
        <v/>
      </c>
      <c r="T394" s="7">
        <f>'1 prepared data'!S387</f>
        <v/>
      </c>
      <c r="U394" s="7">
        <f>'1 prepared data'!T387</f>
        <v/>
      </c>
      <c r="V394" s="8">
        <f>$AC$12+D394*$AC$13+E394*$AC$14+F394*$AC$15+G394*$AC$16+H394*$AC$17+I394*$AC$18+J394*$AC$19+K394*$AC$20+L394*$AC$21+M394*$AC$22+N394*$AC$23+O394*$AC$24+P394*$AC$25+Q394*$AC$26+R394*$AC$27+S394*$AC$28+T394*$AC$29+U394*$AC$30</f>
        <v/>
      </c>
      <c r="W394" s="8">
        <f>1/(1+EXP(-V394))</f>
        <v/>
      </c>
      <c r="X394" s="9">
        <f>-IF(C394=1,LN(W394),LN(1-W394))</f>
        <v/>
      </c>
      <c r="Y394" s="10">
        <f>IF(W394&gt;$AC$33,1,0)</f>
        <v/>
      </c>
      <c r="Z394">
        <f>IF(Y394=C394,1,0)</f>
        <v/>
      </c>
    </row>
    <row r="395">
      <c r="A395">
        <f>'1 prepared data'!A388</f>
        <v/>
      </c>
      <c r="B395" s="5">
        <f>'1 prepared data'!U388</f>
        <v/>
      </c>
      <c r="C395">
        <f>'1 prepared data'!B388</f>
        <v/>
      </c>
      <c r="D395" s="7">
        <f>'1 prepared data'!C388</f>
        <v/>
      </c>
      <c r="E395" s="7">
        <f>'1 prepared data'!D388</f>
        <v/>
      </c>
      <c r="F395" s="7">
        <f>'1 prepared data'!E388</f>
        <v/>
      </c>
      <c r="G395" s="7">
        <f>'1 prepared data'!F388</f>
        <v/>
      </c>
      <c r="H395" s="7">
        <f>'1 prepared data'!G388</f>
        <v/>
      </c>
      <c r="I395" s="7">
        <f>'1 prepared data'!H388</f>
        <v/>
      </c>
      <c r="J395" s="7">
        <f>'1 prepared data'!I388</f>
        <v/>
      </c>
      <c r="K395" s="7">
        <f>'1 prepared data'!J388</f>
        <v/>
      </c>
      <c r="L395" s="7">
        <f>'1 prepared data'!K388</f>
        <v/>
      </c>
      <c r="M395" s="7">
        <f>'1 prepared data'!L388</f>
        <v/>
      </c>
      <c r="N395" s="7">
        <f>'1 prepared data'!M388</f>
        <v/>
      </c>
      <c r="O395" s="7">
        <f>'1 prepared data'!N388</f>
        <v/>
      </c>
      <c r="P395" s="7">
        <f>'1 prepared data'!O388</f>
        <v/>
      </c>
      <c r="Q395" s="7">
        <f>'1 prepared data'!P388</f>
        <v/>
      </c>
      <c r="R395" s="7">
        <f>'1 prepared data'!Q388</f>
        <v/>
      </c>
      <c r="S395" s="7">
        <f>'1 prepared data'!R388</f>
        <v/>
      </c>
      <c r="T395" s="7">
        <f>'1 prepared data'!S388</f>
        <v/>
      </c>
      <c r="U395" s="7">
        <f>'1 prepared data'!T388</f>
        <v/>
      </c>
      <c r="V395" s="8">
        <f>$AC$12+D395*$AC$13+E395*$AC$14+F395*$AC$15+G395*$AC$16+H395*$AC$17+I395*$AC$18+J395*$AC$19+K395*$AC$20+L395*$AC$21+M395*$AC$22+N395*$AC$23+O395*$AC$24+P395*$AC$25+Q395*$AC$26+R395*$AC$27+S395*$AC$28+T395*$AC$29+U395*$AC$30</f>
        <v/>
      </c>
      <c r="W395" s="8">
        <f>1/(1+EXP(-V395))</f>
        <v/>
      </c>
      <c r="X395" s="9">
        <f>-IF(C395=1,LN(W395),LN(1-W395))</f>
        <v/>
      </c>
      <c r="Y395" s="10">
        <f>IF(W395&gt;$AC$33,1,0)</f>
        <v/>
      </c>
      <c r="Z395">
        <f>IF(Y395=C395,1,0)</f>
        <v/>
      </c>
    </row>
    <row r="396">
      <c r="A396">
        <f>'1 prepared data'!A389</f>
        <v/>
      </c>
      <c r="B396" s="5">
        <f>'1 prepared data'!U389</f>
        <v/>
      </c>
      <c r="C396">
        <f>'1 prepared data'!B389</f>
        <v/>
      </c>
      <c r="D396" s="7">
        <f>'1 prepared data'!C389</f>
        <v/>
      </c>
      <c r="E396" s="7">
        <f>'1 prepared data'!D389</f>
        <v/>
      </c>
      <c r="F396" s="7">
        <f>'1 prepared data'!E389</f>
        <v/>
      </c>
      <c r="G396" s="7">
        <f>'1 prepared data'!F389</f>
        <v/>
      </c>
      <c r="H396" s="7">
        <f>'1 prepared data'!G389</f>
        <v/>
      </c>
      <c r="I396" s="7">
        <f>'1 prepared data'!H389</f>
        <v/>
      </c>
      <c r="J396" s="7">
        <f>'1 prepared data'!I389</f>
        <v/>
      </c>
      <c r="K396" s="7">
        <f>'1 prepared data'!J389</f>
        <v/>
      </c>
      <c r="L396" s="7">
        <f>'1 prepared data'!K389</f>
        <v/>
      </c>
      <c r="M396" s="7">
        <f>'1 prepared data'!L389</f>
        <v/>
      </c>
      <c r="N396" s="7">
        <f>'1 prepared data'!M389</f>
        <v/>
      </c>
      <c r="O396" s="7">
        <f>'1 prepared data'!N389</f>
        <v/>
      </c>
      <c r="P396" s="7">
        <f>'1 prepared data'!O389</f>
        <v/>
      </c>
      <c r="Q396" s="7">
        <f>'1 prepared data'!P389</f>
        <v/>
      </c>
      <c r="R396" s="7">
        <f>'1 prepared data'!Q389</f>
        <v/>
      </c>
      <c r="S396" s="7">
        <f>'1 prepared data'!R389</f>
        <v/>
      </c>
      <c r="T396" s="7">
        <f>'1 prepared data'!S389</f>
        <v/>
      </c>
      <c r="U396" s="7">
        <f>'1 prepared data'!T389</f>
        <v/>
      </c>
      <c r="V396" s="8">
        <f>$AC$12+D396*$AC$13+E396*$AC$14+F396*$AC$15+G396*$AC$16+H396*$AC$17+I396*$AC$18+J396*$AC$19+K396*$AC$20+L396*$AC$21+M396*$AC$22+N396*$AC$23+O396*$AC$24+P396*$AC$25+Q396*$AC$26+R396*$AC$27+S396*$AC$28+T396*$AC$29+U396*$AC$30</f>
        <v/>
      </c>
      <c r="W396" s="8">
        <f>1/(1+EXP(-V396))</f>
        <v/>
      </c>
      <c r="X396" s="9">
        <f>-IF(C396=1,LN(W396),LN(1-W396))</f>
        <v/>
      </c>
      <c r="Y396" s="10">
        <f>IF(W396&gt;$AC$33,1,0)</f>
        <v/>
      </c>
      <c r="Z396">
        <f>IF(Y396=C396,1,0)</f>
        <v/>
      </c>
    </row>
    <row r="397">
      <c r="A397">
        <f>'1 prepared data'!A390</f>
        <v/>
      </c>
      <c r="B397" s="5">
        <f>'1 prepared data'!U390</f>
        <v/>
      </c>
      <c r="C397">
        <f>'1 prepared data'!B390</f>
        <v/>
      </c>
      <c r="D397" s="7">
        <f>'1 prepared data'!C390</f>
        <v/>
      </c>
      <c r="E397" s="7">
        <f>'1 prepared data'!D390</f>
        <v/>
      </c>
      <c r="F397" s="7">
        <f>'1 prepared data'!E390</f>
        <v/>
      </c>
      <c r="G397" s="7">
        <f>'1 prepared data'!F390</f>
        <v/>
      </c>
      <c r="H397" s="7">
        <f>'1 prepared data'!G390</f>
        <v/>
      </c>
      <c r="I397" s="7">
        <f>'1 prepared data'!H390</f>
        <v/>
      </c>
      <c r="J397" s="7">
        <f>'1 prepared data'!I390</f>
        <v/>
      </c>
      <c r="K397" s="7">
        <f>'1 prepared data'!J390</f>
        <v/>
      </c>
      <c r="L397" s="7">
        <f>'1 prepared data'!K390</f>
        <v/>
      </c>
      <c r="M397" s="7">
        <f>'1 prepared data'!L390</f>
        <v/>
      </c>
      <c r="N397" s="7">
        <f>'1 prepared data'!M390</f>
        <v/>
      </c>
      <c r="O397" s="7">
        <f>'1 prepared data'!N390</f>
        <v/>
      </c>
      <c r="P397" s="7">
        <f>'1 prepared data'!O390</f>
        <v/>
      </c>
      <c r="Q397" s="7">
        <f>'1 prepared data'!P390</f>
        <v/>
      </c>
      <c r="R397" s="7">
        <f>'1 prepared data'!Q390</f>
        <v/>
      </c>
      <c r="S397" s="7">
        <f>'1 prepared data'!R390</f>
        <v/>
      </c>
      <c r="T397" s="7">
        <f>'1 prepared data'!S390</f>
        <v/>
      </c>
      <c r="U397" s="7">
        <f>'1 prepared data'!T390</f>
        <v/>
      </c>
      <c r="V397" s="8">
        <f>$AC$12+D397*$AC$13+E397*$AC$14+F397*$AC$15+G397*$AC$16+H397*$AC$17+I397*$AC$18+J397*$AC$19+K397*$AC$20+L397*$AC$21+M397*$AC$22+N397*$AC$23+O397*$AC$24+P397*$AC$25+Q397*$AC$26+R397*$AC$27+S397*$AC$28+T397*$AC$29+U397*$AC$30</f>
        <v/>
      </c>
      <c r="W397" s="8">
        <f>1/(1+EXP(-V397))</f>
        <v/>
      </c>
      <c r="X397" s="9">
        <f>-IF(C397=1,LN(W397),LN(1-W397))</f>
        <v/>
      </c>
      <c r="Y397" s="10">
        <f>IF(W397&gt;$AC$33,1,0)</f>
        <v/>
      </c>
      <c r="Z397">
        <f>IF(Y397=C397,1,0)</f>
        <v/>
      </c>
    </row>
    <row r="398">
      <c r="A398">
        <f>'1 prepared data'!A391</f>
        <v/>
      </c>
      <c r="B398" s="5">
        <f>'1 prepared data'!U391</f>
        <v/>
      </c>
      <c r="C398">
        <f>'1 prepared data'!B391</f>
        <v/>
      </c>
      <c r="D398" s="7">
        <f>'1 prepared data'!C391</f>
        <v/>
      </c>
      <c r="E398" s="7">
        <f>'1 prepared data'!D391</f>
        <v/>
      </c>
      <c r="F398" s="7">
        <f>'1 prepared data'!E391</f>
        <v/>
      </c>
      <c r="G398" s="7">
        <f>'1 prepared data'!F391</f>
        <v/>
      </c>
      <c r="H398" s="7">
        <f>'1 prepared data'!G391</f>
        <v/>
      </c>
      <c r="I398" s="7">
        <f>'1 prepared data'!H391</f>
        <v/>
      </c>
      <c r="J398" s="7">
        <f>'1 prepared data'!I391</f>
        <v/>
      </c>
      <c r="K398" s="7">
        <f>'1 prepared data'!J391</f>
        <v/>
      </c>
      <c r="L398" s="7">
        <f>'1 prepared data'!K391</f>
        <v/>
      </c>
      <c r="M398" s="7">
        <f>'1 prepared data'!L391</f>
        <v/>
      </c>
      <c r="N398" s="7">
        <f>'1 prepared data'!M391</f>
        <v/>
      </c>
      <c r="O398" s="7">
        <f>'1 prepared data'!N391</f>
        <v/>
      </c>
      <c r="P398" s="7">
        <f>'1 prepared data'!O391</f>
        <v/>
      </c>
      <c r="Q398" s="7">
        <f>'1 prepared data'!P391</f>
        <v/>
      </c>
      <c r="R398" s="7">
        <f>'1 prepared data'!Q391</f>
        <v/>
      </c>
      <c r="S398" s="7">
        <f>'1 prepared data'!R391</f>
        <v/>
      </c>
      <c r="T398" s="7">
        <f>'1 prepared data'!S391</f>
        <v/>
      </c>
      <c r="U398" s="7">
        <f>'1 prepared data'!T391</f>
        <v/>
      </c>
      <c r="V398" s="8">
        <f>$AC$12+D398*$AC$13+E398*$AC$14+F398*$AC$15+G398*$AC$16+H398*$AC$17+I398*$AC$18+J398*$AC$19+K398*$AC$20+L398*$AC$21+M398*$AC$22+N398*$AC$23+O398*$AC$24+P398*$AC$25+Q398*$AC$26+R398*$AC$27+S398*$AC$28+T398*$AC$29+U398*$AC$30</f>
        <v/>
      </c>
      <c r="W398" s="8">
        <f>1/(1+EXP(-V398))</f>
        <v/>
      </c>
      <c r="X398" s="9">
        <f>-IF(C398=1,LN(W398),LN(1-W398))</f>
        <v/>
      </c>
      <c r="Y398" s="10">
        <f>IF(W398&gt;$AC$33,1,0)</f>
        <v/>
      </c>
      <c r="Z398">
        <f>IF(Y398=C398,1,0)</f>
        <v/>
      </c>
    </row>
    <row r="399">
      <c r="A399">
        <f>'1 prepared data'!A392</f>
        <v/>
      </c>
      <c r="B399" s="5">
        <f>'1 prepared data'!U392</f>
        <v/>
      </c>
      <c r="C399">
        <f>'1 prepared data'!B392</f>
        <v/>
      </c>
      <c r="D399" s="7">
        <f>'1 prepared data'!C392</f>
        <v/>
      </c>
      <c r="E399" s="7">
        <f>'1 prepared data'!D392</f>
        <v/>
      </c>
      <c r="F399" s="7">
        <f>'1 prepared data'!E392</f>
        <v/>
      </c>
      <c r="G399" s="7">
        <f>'1 prepared data'!F392</f>
        <v/>
      </c>
      <c r="H399" s="7">
        <f>'1 prepared data'!G392</f>
        <v/>
      </c>
      <c r="I399" s="7">
        <f>'1 prepared data'!H392</f>
        <v/>
      </c>
      <c r="J399" s="7">
        <f>'1 prepared data'!I392</f>
        <v/>
      </c>
      <c r="K399" s="7">
        <f>'1 prepared data'!J392</f>
        <v/>
      </c>
      <c r="L399" s="7">
        <f>'1 prepared data'!K392</f>
        <v/>
      </c>
      <c r="M399" s="7">
        <f>'1 prepared data'!L392</f>
        <v/>
      </c>
      <c r="N399" s="7">
        <f>'1 prepared data'!M392</f>
        <v/>
      </c>
      <c r="O399" s="7">
        <f>'1 prepared data'!N392</f>
        <v/>
      </c>
      <c r="P399" s="7">
        <f>'1 prepared data'!O392</f>
        <v/>
      </c>
      <c r="Q399" s="7">
        <f>'1 prepared data'!P392</f>
        <v/>
      </c>
      <c r="R399" s="7">
        <f>'1 prepared data'!Q392</f>
        <v/>
      </c>
      <c r="S399" s="7">
        <f>'1 prepared data'!R392</f>
        <v/>
      </c>
      <c r="T399" s="7">
        <f>'1 prepared data'!S392</f>
        <v/>
      </c>
      <c r="U399" s="7">
        <f>'1 prepared data'!T392</f>
        <v/>
      </c>
      <c r="V399" s="8">
        <f>$AC$12+D399*$AC$13+E399*$AC$14+F399*$AC$15+G399*$AC$16+H399*$AC$17+I399*$AC$18+J399*$AC$19+K399*$AC$20+L399*$AC$21+M399*$AC$22+N399*$AC$23+O399*$AC$24+P399*$AC$25+Q399*$AC$26+R399*$AC$27+S399*$AC$28+T399*$AC$29+U399*$AC$30</f>
        <v/>
      </c>
      <c r="W399" s="8">
        <f>1/(1+EXP(-V399))</f>
        <v/>
      </c>
      <c r="X399" s="9">
        <f>-IF(C399=1,LN(W399),LN(1-W399))</f>
        <v/>
      </c>
      <c r="Y399" s="10">
        <f>IF(W399&gt;$AC$33,1,0)</f>
        <v/>
      </c>
      <c r="Z399">
        <f>IF(Y399=C399,1,0)</f>
        <v/>
      </c>
    </row>
    <row r="400">
      <c r="A400">
        <f>'1 prepared data'!A393</f>
        <v/>
      </c>
      <c r="B400" s="5">
        <f>'1 prepared data'!U393</f>
        <v/>
      </c>
      <c r="C400">
        <f>'1 prepared data'!B393</f>
        <v/>
      </c>
      <c r="D400" s="7">
        <f>'1 prepared data'!C393</f>
        <v/>
      </c>
      <c r="E400" s="7">
        <f>'1 prepared data'!D393</f>
        <v/>
      </c>
      <c r="F400" s="7">
        <f>'1 prepared data'!E393</f>
        <v/>
      </c>
      <c r="G400" s="7">
        <f>'1 prepared data'!F393</f>
        <v/>
      </c>
      <c r="H400" s="7">
        <f>'1 prepared data'!G393</f>
        <v/>
      </c>
      <c r="I400" s="7">
        <f>'1 prepared data'!H393</f>
        <v/>
      </c>
      <c r="J400" s="7">
        <f>'1 prepared data'!I393</f>
        <v/>
      </c>
      <c r="K400" s="7">
        <f>'1 prepared data'!J393</f>
        <v/>
      </c>
      <c r="L400" s="7">
        <f>'1 prepared data'!K393</f>
        <v/>
      </c>
      <c r="M400" s="7">
        <f>'1 prepared data'!L393</f>
        <v/>
      </c>
      <c r="N400" s="7">
        <f>'1 prepared data'!M393</f>
        <v/>
      </c>
      <c r="O400" s="7">
        <f>'1 prepared data'!N393</f>
        <v/>
      </c>
      <c r="P400" s="7">
        <f>'1 prepared data'!O393</f>
        <v/>
      </c>
      <c r="Q400" s="7">
        <f>'1 prepared data'!P393</f>
        <v/>
      </c>
      <c r="R400" s="7">
        <f>'1 prepared data'!Q393</f>
        <v/>
      </c>
      <c r="S400" s="7">
        <f>'1 prepared data'!R393</f>
        <v/>
      </c>
      <c r="T400" s="7">
        <f>'1 prepared data'!S393</f>
        <v/>
      </c>
      <c r="U400" s="7">
        <f>'1 prepared data'!T393</f>
        <v/>
      </c>
      <c r="V400" s="8">
        <f>$AC$12+D400*$AC$13+E400*$AC$14+F400*$AC$15+G400*$AC$16+H400*$AC$17+I400*$AC$18+J400*$AC$19+K400*$AC$20+L400*$AC$21+M400*$AC$22+N400*$AC$23+O400*$AC$24+P400*$AC$25+Q400*$AC$26+R400*$AC$27+S400*$AC$28+T400*$AC$29+U400*$AC$30</f>
        <v/>
      </c>
      <c r="W400" s="8">
        <f>1/(1+EXP(-V400))</f>
        <v/>
      </c>
      <c r="X400" s="9">
        <f>-IF(C400=1,LN(W400),LN(1-W400))</f>
        <v/>
      </c>
      <c r="Y400" s="10">
        <f>IF(W400&gt;$AC$33,1,0)</f>
        <v/>
      </c>
      <c r="Z400">
        <f>IF(Y400=C400,1,0)</f>
        <v/>
      </c>
    </row>
    <row r="401">
      <c r="A401">
        <f>'1 prepared data'!A394</f>
        <v/>
      </c>
      <c r="B401" s="5">
        <f>'1 prepared data'!U394</f>
        <v/>
      </c>
      <c r="C401">
        <f>'1 prepared data'!B394</f>
        <v/>
      </c>
      <c r="D401" s="7">
        <f>'1 prepared data'!C394</f>
        <v/>
      </c>
      <c r="E401" s="7">
        <f>'1 prepared data'!D394</f>
        <v/>
      </c>
      <c r="F401" s="7">
        <f>'1 prepared data'!E394</f>
        <v/>
      </c>
      <c r="G401" s="7">
        <f>'1 prepared data'!F394</f>
        <v/>
      </c>
      <c r="H401" s="7">
        <f>'1 prepared data'!G394</f>
        <v/>
      </c>
      <c r="I401" s="7">
        <f>'1 prepared data'!H394</f>
        <v/>
      </c>
      <c r="J401" s="7">
        <f>'1 prepared data'!I394</f>
        <v/>
      </c>
      <c r="K401" s="7">
        <f>'1 prepared data'!J394</f>
        <v/>
      </c>
      <c r="L401" s="7">
        <f>'1 prepared data'!K394</f>
        <v/>
      </c>
      <c r="M401" s="7">
        <f>'1 prepared data'!L394</f>
        <v/>
      </c>
      <c r="N401" s="7">
        <f>'1 prepared data'!M394</f>
        <v/>
      </c>
      <c r="O401" s="7">
        <f>'1 prepared data'!N394</f>
        <v/>
      </c>
      <c r="P401" s="7">
        <f>'1 prepared data'!O394</f>
        <v/>
      </c>
      <c r="Q401" s="7">
        <f>'1 prepared data'!P394</f>
        <v/>
      </c>
      <c r="R401" s="7">
        <f>'1 prepared data'!Q394</f>
        <v/>
      </c>
      <c r="S401" s="7">
        <f>'1 prepared data'!R394</f>
        <v/>
      </c>
      <c r="T401" s="7">
        <f>'1 prepared data'!S394</f>
        <v/>
      </c>
      <c r="U401" s="7">
        <f>'1 prepared data'!T394</f>
        <v/>
      </c>
      <c r="V401" s="8">
        <f>$AC$12+D401*$AC$13+E401*$AC$14+F401*$AC$15+G401*$AC$16+H401*$AC$17+I401*$AC$18+J401*$AC$19+K401*$AC$20+L401*$AC$21+M401*$AC$22+N401*$AC$23+O401*$AC$24+P401*$AC$25+Q401*$AC$26+R401*$AC$27+S401*$AC$28+T401*$AC$29+U401*$AC$30</f>
        <v/>
      </c>
      <c r="W401" s="8">
        <f>1/(1+EXP(-V401))</f>
        <v/>
      </c>
      <c r="X401" s="9">
        <f>-IF(C401=1,LN(W401),LN(1-W401))</f>
        <v/>
      </c>
      <c r="Y401" s="10">
        <f>IF(W401&gt;$AC$33,1,0)</f>
        <v/>
      </c>
      <c r="Z401">
        <f>IF(Y401=C401,1,0)</f>
        <v/>
      </c>
    </row>
    <row r="402">
      <c r="A402">
        <f>'1 prepared data'!A395</f>
        <v/>
      </c>
      <c r="B402" s="5">
        <f>'1 prepared data'!U395</f>
        <v/>
      </c>
      <c r="C402">
        <f>'1 prepared data'!B395</f>
        <v/>
      </c>
      <c r="D402" s="7">
        <f>'1 prepared data'!C395</f>
        <v/>
      </c>
      <c r="E402" s="7">
        <f>'1 prepared data'!D395</f>
        <v/>
      </c>
      <c r="F402" s="7">
        <f>'1 prepared data'!E395</f>
        <v/>
      </c>
      <c r="G402" s="7">
        <f>'1 prepared data'!F395</f>
        <v/>
      </c>
      <c r="H402" s="7">
        <f>'1 prepared data'!G395</f>
        <v/>
      </c>
      <c r="I402" s="7">
        <f>'1 prepared data'!H395</f>
        <v/>
      </c>
      <c r="J402" s="7">
        <f>'1 prepared data'!I395</f>
        <v/>
      </c>
      <c r="K402" s="7">
        <f>'1 prepared data'!J395</f>
        <v/>
      </c>
      <c r="L402" s="7">
        <f>'1 prepared data'!K395</f>
        <v/>
      </c>
      <c r="M402" s="7">
        <f>'1 prepared data'!L395</f>
        <v/>
      </c>
      <c r="N402" s="7">
        <f>'1 prepared data'!M395</f>
        <v/>
      </c>
      <c r="O402" s="7">
        <f>'1 prepared data'!N395</f>
        <v/>
      </c>
      <c r="P402" s="7">
        <f>'1 prepared data'!O395</f>
        <v/>
      </c>
      <c r="Q402" s="7">
        <f>'1 prepared data'!P395</f>
        <v/>
      </c>
      <c r="R402" s="7">
        <f>'1 prepared data'!Q395</f>
        <v/>
      </c>
      <c r="S402" s="7">
        <f>'1 prepared data'!R395</f>
        <v/>
      </c>
      <c r="T402" s="7">
        <f>'1 prepared data'!S395</f>
        <v/>
      </c>
      <c r="U402" s="7">
        <f>'1 prepared data'!T395</f>
        <v/>
      </c>
      <c r="V402" s="8">
        <f>$AC$12+D402*$AC$13+E402*$AC$14+F402*$AC$15+G402*$AC$16+H402*$AC$17+I402*$AC$18+J402*$AC$19+K402*$AC$20+L402*$AC$21+M402*$AC$22+N402*$AC$23+O402*$AC$24+P402*$AC$25+Q402*$AC$26+R402*$AC$27+S402*$AC$28+T402*$AC$29+U402*$AC$30</f>
        <v/>
      </c>
      <c r="W402" s="8">
        <f>1/(1+EXP(-V402))</f>
        <v/>
      </c>
      <c r="X402" s="9">
        <f>-IF(C402=1,LN(W402),LN(1-W402))</f>
        <v/>
      </c>
      <c r="Y402" s="10">
        <f>IF(W402&gt;$AC$33,1,0)</f>
        <v/>
      </c>
      <c r="Z402">
        <f>IF(Y402=C402,1,0)</f>
        <v/>
      </c>
    </row>
    <row r="403">
      <c r="A403">
        <f>'1 prepared data'!A396</f>
        <v/>
      </c>
      <c r="B403" s="5">
        <f>'1 prepared data'!U396</f>
        <v/>
      </c>
      <c r="C403">
        <f>'1 prepared data'!B396</f>
        <v/>
      </c>
      <c r="D403" s="7">
        <f>'1 prepared data'!C396</f>
        <v/>
      </c>
      <c r="E403" s="7">
        <f>'1 prepared data'!D396</f>
        <v/>
      </c>
      <c r="F403" s="7">
        <f>'1 prepared data'!E396</f>
        <v/>
      </c>
      <c r="G403" s="7">
        <f>'1 prepared data'!F396</f>
        <v/>
      </c>
      <c r="H403" s="7">
        <f>'1 prepared data'!G396</f>
        <v/>
      </c>
      <c r="I403" s="7">
        <f>'1 prepared data'!H396</f>
        <v/>
      </c>
      <c r="J403" s="7">
        <f>'1 prepared data'!I396</f>
        <v/>
      </c>
      <c r="K403" s="7">
        <f>'1 prepared data'!J396</f>
        <v/>
      </c>
      <c r="L403" s="7">
        <f>'1 prepared data'!K396</f>
        <v/>
      </c>
      <c r="M403" s="7">
        <f>'1 prepared data'!L396</f>
        <v/>
      </c>
      <c r="N403" s="7">
        <f>'1 prepared data'!M396</f>
        <v/>
      </c>
      <c r="O403" s="7">
        <f>'1 prepared data'!N396</f>
        <v/>
      </c>
      <c r="P403" s="7">
        <f>'1 prepared data'!O396</f>
        <v/>
      </c>
      <c r="Q403" s="7">
        <f>'1 prepared data'!P396</f>
        <v/>
      </c>
      <c r="R403" s="7">
        <f>'1 prepared data'!Q396</f>
        <v/>
      </c>
      <c r="S403" s="7">
        <f>'1 prepared data'!R396</f>
        <v/>
      </c>
      <c r="T403" s="7">
        <f>'1 prepared data'!S396</f>
        <v/>
      </c>
      <c r="U403" s="7">
        <f>'1 prepared data'!T396</f>
        <v/>
      </c>
      <c r="V403" s="8">
        <f>$AC$12+D403*$AC$13+E403*$AC$14+F403*$AC$15+G403*$AC$16+H403*$AC$17+I403*$AC$18+J403*$AC$19+K403*$AC$20+L403*$AC$21+M403*$AC$22+N403*$AC$23+O403*$AC$24+P403*$AC$25+Q403*$AC$26+R403*$AC$27+S403*$AC$28+T403*$AC$29+U403*$AC$30</f>
        <v/>
      </c>
      <c r="W403" s="8">
        <f>1/(1+EXP(-V403))</f>
        <v/>
      </c>
      <c r="X403" s="9">
        <f>-IF(C403=1,LN(W403),LN(1-W403))</f>
        <v/>
      </c>
      <c r="Y403" s="10">
        <f>IF(W403&gt;$AC$33,1,0)</f>
        <v/>
      </c>
      <c r="Z403">
        <f>IF(Y403=C403,1,0)</f>
        <v/>
      </c>
    </row>
    <row r="404">
      <c r="A404">
        <f>'1 prepared data'!A397</f>
        <v/>
      </c>
      <c r="B404" s="5">
        <f>'1 prepared data'!U397</f>
        <v/>
      </c>
      <c r="C404">
        <f>'1 prepared data'!B397</f>
        <v/>
      </c>
      <c r="D404" s="7">
        <f>'1 prepared data'!C397</f>
        <v/>
      </c>
      <c r="E404" s="7">
        <f>'1 prepared data'!D397</f>
        <v/>
      </c>
      <c r="F404" s="7">
        <f>'1 prepared data'!E397</f>
        <v/>
      </c>
      <c r="G404" s="7">
        <f>'1 prepared data'!F397</f>
        <v/>
      </c>
      <c r="H404" s="7">
        <f>'1 prepared data'!G397</f>
        <v/>
      </c>
      <c r="I404" s="7">
        <f>'1 prepared data'!H397</f>
        <v/>
      </c>
      <c r="J404" s="7">
        <f>'1 prepared data'!I397</f>
        <v/>
      </c>
      <c r="K404" s="7">
        <f>'1 prepared data'!J397</f>
        <v/>
      </c>
      <c r="L404" s="7">
        <f>'1 prepared data'!K397</f>
        <v/>
      </c>
      <c r="M404" s="7">
        <f>'1 prepared data'!L397</f>
        <v/>
      </c>
      <c r="N404" s="7">
        <f>'1 prepared data'!M397</f>
        <v/>
      </c>
      <c r="O404" s="7">
        <f>'1 prepared data'!N397</f>
        <v/>
      </c>
      <c r="P404" s="7">
        <f>'1 prepared data'!O397</f>
        <v/>
      </c>
      <c r="Q404" s="7">
        <f>'1 prepared data'!P397</f>
        <v/>
      </c>
      <c r="R404" s="7">
        <f>'1 prepared data'!Q397</f>
        <v/>
      </c>
      <c r="S404" s="7">
        <f>'1 prepared data'!R397</f>
        <v/>
      </c>
      <c r="T404" s="7">
        <f>'1 prepared data'!S397</f>
        <v/>
      </c>
      <c r="U404" s="7">
        <f>'1 prepared data'!T397</f>
        <v/>
      </c>
      <c r="V404" s="8">
        <f>$AC$12+D404*$AC$13+E404*$AC$14+F404*$AC$15+G404*$AC$16+H404*$AC$17+I404*$AC$18+J404*$AC$19+K404*$AC$20+L404*$AC$21+M404*$AC$22+N404*$AC$23+O404*$AC$24+P404*$AC$25+Q404*$AC$26+R404*$AC$27+S404*$AC$28+T404*$AC$29+U404*$AC$30</f>
        <v/>
      </c>
      <c r="W404" s="8">
        <f>1/(1+EXP(-V404))</f>
        <v/>
      </c>
      <c r="X404" s="9">
        <f>-IF(C404=1,LN(W404),LN(1-W404))</f>
        <v/>
      </c>
      <c r="Y404" s="10">
        <f>IF(W404&gt;$AC$33,1,0)</f>
        <v/>
      </c>
      <c r="Z404">
        <f>IF(Y404=C404,1,0)</f>
        <v/>
      </c>
    </row>
    <row r="405">
      <c r="A405">
        <f>'1 prepared data'!A398</f>
        <v/>
      </c>
      <c r="B405" s="5">
        <f>'1 prepared data'!U398</f>
        <v/>
      </c>
      <c r="C405">
        <f>'1 prepared data'!B398</f>
        <v/>
      </c>
      <c r="D405" s="7">
        <f>'1 prepared data'!C398</f>
        <v/>
      </c>
      <c r="E405" s="7">
        <f>'1 prepared data'!D398</f>
        <v/>
      </c>
      <c r="F405" s="7">
        <f>'1 prepared data'!E398</f>
        <v/>
      </c>
      <c r="G405" s="7">
        <f>'1 prepared data'!F398</f>
        <v/>
      </c>
      <c r="H405" s="7">
        <f>'1 prepared data'!G398</f>
        <v/>
      </c>
      <c r="I405" s="7">
        <f>'1 prepared data'!H398</f>
        <v/>
      </c>
      <c r="J405" s="7">
        <f>'1 prepared data'!I398</f>
        <v/>
      </c>
      <c r="K405" s="7">
        <f>'1 prepared data'!J398</f>
        <v/>
      </c>
      <c r="L405" s="7">
        <f>'1 prepared data'!K398</f>
        <v/>
      </c>
      <c r="M405" s="7">
        <f>'1 prepared data'!L398</f>
        <v/>
      </c>
      <c r="N405" s="7">
        <f>'1 prepared data'!M398</f>
        <v/>
      </c>
      <c r="O405" s="7">
        <f>'1 prepared data'!N398</f>
        <v/>
      </c>
      <c r="P405" s="7">
        <f>'1 prepared data'!O398</f>
        <v/>
      </c>
      <c r="Q405" s="7">
        <f>'1 prepared data'!P398</f>
        <v/>
      </c>
      <c r="R405" s="7">
        <f>'1 prepared data'!Q398</f>
        <v/>
      </c>
      <c r="S405" s="7">
        <f>'1 prepared data'!R398</f>
        <v/>
      </c>
      <c r="T405" s="7">
        <f>'1 prepared data'!S398</f>
        <v/>
      </c>
      <c r="U405" s="7">
        <f>'1 prepared data'!T398</f>
        <v/>
      </c>
      <c r="V405" s="8">
        <f>$AC$12+D405*$AC$13+E405*$AC$14+F405*$AC$15+G405*$AC$16+H405*$AC$17+I405*$AC$18+J405*$AC$19+K405*$AC$20+L405*$AC$21+M405*$AC$22+N405*$AC$23+O405*$AC$24+P405*$AC$25+Q405*$AC$26+R405*$AC$27+S405*$AC$28+T405*$AC$29+U405*$AC$30</f>
        <v/>
      </c>
      <c r="W405" s="8">
        <f>1/(1+EXP(-V405))</f>
        <v/>
      </c>
      <c r="X405" s="9">
        <f>-IF(C405=1,LN(W405),LN(1-W405))</f>
        <v/>
      </c>
      <c r="Y405" s="10">
        <f>IF(W405&gt;$AC$33,1,0)</f>
        <v/>
      </c>
      <c r="Z405">
        <f>IF(Y405=C405,1,0)</f>
        <v/>
      </c>
    </row>
    <row r="406">
      <c r="A406">
        <f>'1 prepared data'!A399</f>
        <v/>
      </c>
      <c r="B406" s="5">
        <f>'1 prepared data'!U399</f>
        <v/>
      </c>
      <c r="C406">
        <f>'1 prepared data'!B399</f>
        <v/>
      </c>
      <c r="D406" s="7">
        <f>'1 prepared data'!C399</f>
        <v/>
      </c>
      <c r="E406" s="7">
        <f>'1 prepared data'!D399</f>
        <v/>
      </c>
      <c r="F406" s="7">
        <f>'1 prepared data'!E399</f>
        <v/>
      </c>
      <c r="G406" s="7">
        <f>'1 prepared data'!F399</f>
        <v/>
      </c>
      <c r="H406" s="7">
        <f>'1 prepared data'!G399</f>
        <v/>
      </c>
      <c r="I406" s="7">
        <f>'1 prepared data'!H399</f>
        <v/>
      </c>
      <c r="J406" s="7">
        <f>'1 prepared data'!I399</f>
        <v/>
      </c>
      <c r="K406" s="7">
        <f>'1 prepared data'!J399</f>
        <v/>
      </c>
      <c r="L406" s="7">
        <f>'1 prepared data'!K399</f>
        <v/>
      </c>
      <c r="M406" s="7">
        <f>'1 prepared data'!L399</f>
        <v/>
      </c>
      <c r="N406" s="7">
        <f>'1 prepared data'!M399</f>
        <v/>
      </c>
      <c r="O406" s="7">
        <f>'1 prepared data'!N399</f>
        <v/>
      </c>
      <c r="P406" s="7">
        <f>'1 prepared data'!O399</f>
        <v/>
      </c>
      <c r="Q406" s="7">
        <f>'1 prepared data'!P399</f>
        <v/>
      </c>
      <c r="R406" s="7">
        <f>'1 prepared data'!Q399</f>
        <v/>
      </c>
      <c r="S406" s="7">
        <f>'1 prepared data'!R399</f>
        <v/>
      </c>
      <c r="T406" s="7">
        <f>'1 prepared data'!S399</f>
        <v/>
      </c>
      <c r="U406" s="7">
        <f>'1 prepared data'!T399</f>
        <v/>
      </c>
      <c r="V406" s="8">
        <f>$AC$12+D406*$AC$13+E406*$AC$14+F406*$AC$15+G406*$AC$16+H406*$AC$17+I406*$AC$18+J406*$AC$19+K406*$AC$20+L406*$AC$21+M406*$AC$22+N406*$AC$23+O406*$AC$24+P406*$AC$25+Q406*$AC$26+R406*$AC$27+S406*$AC$28+T406*$AC$29+U406*$AC$30</f>
        <v/>
      </c>
      <c r="W406" s="8">
        <f>1/(1+EXP(-V406))</f>
        <v/>
      </c>
      <c r="X406" s="9">
        <f>-IF(C406=1,LN(W406),LN(1-W406))</f>
        <v/>
      </c>
      <c r="Y406" s="10">
        <f>IF(W406&gt;$AC$33,1,0)</f>
        <v/>
      </c>
      <c r="Z406">
        <f>IF(Y406=C406,1,0)</f>
        <v/>
      </c>
    </row>
    <row r="407">
      <c r="A407">
        <f>'1 prepared data'!A400</f>
        <v/>
      </c>
      <c r="B407" s="5">
        <f>'1 prepared data'!U400</f>
        <v/>
      </c>
      <c r="C407">
        <f>'1 prepared data'!B400</f>
        <v/>
      </c>
      <c r="D407" s="7">
        <f>'1 prepared data'!C400</f>
        <v/>
      </c>
      <c r="E407" s="7">
        <f>'1 prepared data'!D400</f>
        <v/>
      </c>
      <c r="F407" s="7">
        <f>'1 prepared data'!E400</f>
        <v/>
      </c>
      <c r="G407" s="7">
        <f>'1 prepared data'!F400</f>
        <v/>
      </c>
      <c r="H407" s="7">
        <f>'1 prepared data'!G400</f>
        <v/>
      </c>
      <c r="I407" s="7">
        <f>'1 prepared data'!H400</f>
        <v/>
      </c>
      <c r="J407" s="7">
        <f>'1 prepared data'!I400</f>
        <v/>
      </c>
      <c r="K407" s="7">
        <f>'1 prepared data'!J400</f>
        <v/>
      </c>
      <c r="L407" s="7">
        <f>'1 prepared data'!K400</f>
        <v/>
      </c>
      <c r="M407" s="7">
        <f>'1 prepared data'!L400</f>
        <v/>
      </c>
      <c r="N407" s="7">
        <f>'1 prepared data'!M400</f>
        <v/>
      </c>
      <c r="O407" s="7">
        <f>'1 prepared data'!N400</f>
        <v/>
      </c>
      <c r="P407" s="7">
        <f>'1 prepared data'!O400</f>
        <v/>
      </c>
      <c r="Q407" s="7">
        <f>'1 prepared data'!P400</f>
        <v/>
      </c>
      <c r="R407" s="7">
        <f>'1 prepared data'!Q400</f>
        <v/>
      </c>
      <c r="S407" s="7">
        <f>'1 prepared data'!R400</f>
        <v/>
      </c>
      <c r="T407" s="7">
        <f>'1 prepared data'!S400</f>
        <v/>
      </c>
      <c r="U407" s="7">
        <f>'1 prepared data'!T400</f>
        <v/>
      </c>
      <c r="V407" s="8">
        <f>$AC$12+D407*$AC$13+E407*$AC$14+F407*$AC$15+G407*$AC$16+H407*$AC$17+I407*$AC$18+J407*$AC$19+K407*$AC$20+L407*$AC$21+M407*$AC$22+N407*$AC$23+O407*$AC$24+P407*$AC$25+Q407*$AC$26+R407*$AC$27+S407*$AC$28+T407*$AC$29+U407*$AC$30</f>
        <v/>
      </c>
      <c r="W407" s="8">
        <f>1/(1+EXP(-V407))</f>
        <v/>
      </c>
      <c r="X407" s="9">
        <f>-IF(C407=1,LN(W407),LN(1-W407))</f>
        <v/>
      </c>
      <c r="Y407" s="10">
        <f>IF(W407&gt;$AC$33,1,0)</f>
        <v/>
      </c>
      <c r="Z407">
        <f>IF(Y407=C407,1,0)</f>
        <v/>
      </c>
    </row>
    <row r="408">
      <c r="A408">
        <f>'1 prepared data'!A401</f>
        <v/>
      </c>
      <c r="B408" s="5">
        <f>'1 prepared data'!U401</f>
        <v/>
      </c>
      <c r="C408">
        <f>'1 prepared data'!B401</f>
        <v/>
      </c>
      <c r="D408" s="7">
        <f>'1 prepared data'!C401</f>
        <v/>
      </c>
      <c r="E408" s="7">
        <f>'1 prepared data'!D401</f>
        <v/>
      </c>
      <c r="F408" s="7">
        <f>'1 prepared data'!E401</f>
        <v/>
      </c>
      <c r="G408" s="7">
        <f>'1 prepared data'!F401</f>
        <v/>
      </c>
      <c r="H408" s="7">
        <f>'1 prepared data'!G401</f>
        <v/>
      </c>
      <c r="I408" s="7">
        <f>'1 prepared data'!H401</f>
        <v/>
      </c>
      <c r="J408" s="7">
        <f>'1 prepared data'!I401</f>
        <v/>
      </c>
      <c r="K408" s="7">
        <f>'1 prepared data'!J401</f>
        <v/>
      </c>
      <c r="L408" s="7">
        <f>'1 prepared data'!K401</f>
        <v/>
      </c>
      <c r="M408" s="7">
        <f>'1 prepared data'!L401</f>
        <v/>
      </c>
      <c r="N408" s="7">
        <f>'1 prepared data'!M401</f>
        <v/>
      </c>
      <c r="O408" s="7">
        <f>'1 prepared data'!N401</f>
        <v/>
      </c>
      <c r="P408" s="7">
        <f>'1 prepared data'!O401</f>
        <v/>
      </c>
      <c r="Q408" s="7">
        <f>'1 prepared data'!P401</f>
        <v/>
      </c>
      <c r="R408" s="7">
        <f>'1 prepared data'!Q401</f>
        <v/>
      </c>
      <c r="S408" s="7">
        <f>'1 prepared data'!R401</f>
        <v/>
      </c>
      <c r="T408" s="7">
        <f>'1 prepared data'!S401</f>
        <v/>
      </c>
      <c r="U408" s="7">
        <f>'1 prepared data'!T401</f>
        <v/>
      </c>
      <c r="V408" s="8">
        <f>$AC$12+D408*$AC$13+E408*$AC$14+F408*$AC$15+G408*$AC$16+H408*$AC$17+I408*$AC$18+J408*$AC$19+K408*$AC$20+L408*$AC$21+M408*$AC$22+N408*$AC$23+O408*$AC$24+P408*$AC$25+Q408*$AC$26+R408*$AC$27+S408*$AC$28+T408*$AC$29+U408*$AC$30</f>
        <v/>
      </c>
      <c r="W408" s="8">
        <f>1/(1+EXP(-V408))</f>
        <v/>
      </c>
      <c r="X408" s="9">
        <f>-IF(C408=1,LN(W408),LN(1-W408))</f>
        <v/>
      </c>
      <c r="Y408" s="10">
        <f>IF(W408&gt;$AC$33,1,0)</f>
        <v/>
      </c>
      <c r="Z408">
        <f>IF(Y408=C408,1,0)</f>
        <v/>
      </c>
    </row>
    <row r="409">
      <c r="A409">
        <f>'1 prepared data'!A402</f>
        <v/>
      </c>
      <c r="B409" s="5">
        <f>'1 prepared data'!U402</f>
        <v/>
      </c>
      <c r="C409">
        <f>'1 prepared data'!B402</f>
        <v/>
      </c>
      <c r="D409" s="7">
        <f>'1 prepared data'!C402</f>
        <v/>
      </c>
      <c r="E409" s="7">
        <f>'1 prepared data'!D402</f>
        <v/>
      </c>
      <c r="F409" s="7">
        <f>'1 prepared data'!E402</f>
        <v/>
      </c>
      <c r="G409" s="7">
        <f>'1 prepared data'!F402</f>
        <v/>
      </c>
      <c r="H409" s="7">
        <f>'1 prepared data'!G402</f>
        <v/>
      </c>
      <c r="I409" s="7">
        <f>'1 prepared data'!H402</f>
        <v/>
      </c>
      <c r="J409" s="7">
        <f>'1 prepared data'!I402</f>
        <v/>
      </c>
      <c r="K409" s="7">
        <f>'1 prepared data'!J402</f>
        <v/>
      </c>
      <c r="L409" s="7">
        <f>'1 prepared data'!K402</f>
        <v/>
      </c>
      <c r="M409" s="7">
        <f>'1 prepared data'!L402</f>
        <v/>
      </c>
      <c r="N409" s="7">
        <f>'1 prepared data'!M402</f>
        <v/>
      </c>
      <c r="O409" s="7">
        <f>'1 prepared data'!N402</f>
        <v/>
      </c>
      <c r="P409" s="7">
        <f>'1 prepared data'!O402</f>
        <v/>
      </c>
      <c r="Q409" s="7">
        <f>'1 prepared data'!P402</f>
        <v/>
      </c>
      <c r="R409" s="7">
        <f>'1 prepared data'!Q402</f>
        <v/>
      </c>
      <c r="S409" s="7">
        <f>'1 prepared data'!R402</f>
        <v/>
      </c>
      <c r="T409" s="7">
        <f>'1 prepared data'!S402</f>
        <v/>
      </c>
      <c r="U409" s="7">
        <f>'1 prepared data'!T402</f>
        <v/>
      </c>
      <c r="V409" s="8">
        <f>$AC$12+D409*$AC$13+E409*$AC$14+F409*$AC$15+G409*$AC$16+H409*$AC$17+I409*$AC$18+J409*$AC$19+K409*$AC$20+L409*$AC$21+M409*$AC$22+N409*$AC$23+O409*$AC$24+P409*$AC$25+Q409*$AC$26+R409*$AC$27+S409*$AC$28+T409*$AC$29+U409*$AC$30</f>
        <v/>
      </c>
      <c r="W409" s="8">
        <f>1/(1+EXP(-V409))</f>
        <v/>
      </c>
      <c r="X409" s="9">
        <f>-IF(C409=1,LN(W409),LN(1-W409))</f>
        <v/>
      </c>
      <c r="Y409" s="10">
        <f>IF(W409&gt;$AC$33,1,0)</f>
        <v/>
      </c>
      <c r="Z409">
        <f>IF(Y409=C409,1,0)</f>
        <v/>
      </c>
    </row>
    <row r="410">
      <c r="A410">
        <f>'1 prepared data'!A403</f>
        <v/>
      </c>
      <c r="B410" s="5">
        <f>'1 prepared data'!U403</f>
        <v/>
      </c>
      <c r="C410">
        <f>'1 prepared data'!B403</f>
        <v/>
      </c>
      <c r="D410" s="7">
        <f>'1 prepared data'!C403</f>
        <v/>
      </c>
      <c r="E410" s="7">
        <f>'1 prepared data'!D403</f>
        <v/>
      </c>
      <c r="F410" s="7">
        <f>'1 prepared data'!E403</f>
        <v/>
      </c>
      <c r="G410" s="7">
        <f>'1 prepared data'!F403</f>
        <v/>
      </c>
      <c r="H410" s="7">
        <f>'1 prepared data'!G403</f>
        <v/>
      </c>
      <c r="I410" s="7">
        <f>'1 prepared data'!H403</f>
        <v/>
      </c>
      <c r="J410" s="7">
        <f>'1 prepared data'!I403</f>
        <v/>
      </c>
      <c r="K410" s="7">
        <f>'1 prepared data'!J403</f>
        <v/>
      </c>
      <c r="L410" s="7">
        <f>'1 prepared data'!K403</f>
        <v/>
      </c>
      <c r="M410" s="7">
        <f>'1 prepared data'!L403</f>
        <v/>
      </c>
      <c r="N410" s="7">
        <f>'1 prepared data'!M403</f>
        <v/>
      </c>
      <c r="O410" s="7">
        <f>'1 prepared data'!N403</f>
        <v/>
      </c>
      <c r="P410" s="7">
        <f>'1 prepared data'!O403</f>
        <v/>
      </c>
      <c r="Q410" s="7">
        <f>'1 prepared data'!P403</f>
        <v/>
      </c>
      <c r="R410" s="7">
        <f>'1 prepared data'!Q403</f>
        <v/>
      </c>
      <c r="S410" s="7">
        <f>'1 prepared data'!R403</f>
        <v/>
      </c>
      <c r="T410" s="7">
        <f>'1 prepared data'!S403</f>
        <v/>
      </c>
      <c r="U410" s="7">
        <f>'1 prepared data'!T403</f>
        <v/>
      </c>
      <c r="V410" s="8">
        <f>$AC$12+D410*$AC$13+E410*$AC$14+F410*$AC$15+G410*$AC$16+H410*$AC$17+I410*$AC$18+J410*$AC$19+K410*$AC$20+L410*$AC$21+M410*$AC$22+N410*$AC$23+O410*$AC$24+P410*$AC$25+Q410*$AC$26+R410*$AC$27+S410*$AC$28+T410*$AC$29+U410*$AC$30</f>
        <v/>
      </c>
      <c r="W410" s="8">
        <f>1/(1+EXP(-V410))</f>
        <v/>
      </c>
      <c r="X410" s="9">
        <f>-IF(C410=1,LN(W410),LN(1-W410))</f>
        <v/>
      </c>
      <c r="Y410" s="10">
        <f>IF(W410&gt;$AC$33,1,0)</f>
        <v/>
      </c>
      <c r="Z410">
        <f>IF(Y410=C410,1,0)</f>
        <v/>
      </c>
    </row>
    <row r="411">
      <c r="A411">
        <f>'1 prepared data'!A404</f>
        <v/>
      </c>
      <c r="B411" s="5">
        <f>'1 prepared data'!U404</f>
        <v/>
      </c>
      <c r="C411">
        <f>'1 prepared data'!B404</f>
        <v/>
      </c>
      <c r="D411" s="7">
        <f>'1 prepared data'!C404</f>
        <v/>
      </c>
      <c r="E411" s="7">
        <f>'1 prepared data'!D404</f>
        <v/>
      </c>
      <c r="F411" s="7">
        <f>'1 prepared data'!E404</f>
        <v/>
      </c>
      <c r="G411" s="7">
        <f>'1 prepared data'!F404</f>
        <v/>
      </c>
      <c r="H411" s="7">
        <f>'1 prepared data'!G404</f>
        <v/>
      </c>
      <c r="I411" s="7">
        <f>'1 prepared data'!H404</f>
        <v/>
      </c>
      <c r="J411" s="7">
        <f>'1 prepared data'!I404</f>
        <v/>
      </c>
      <c r="K411" s="7">
        <f>'1 prepared data'!J404</f>
        <v/>
      </c>
      <c r="L411" s="7">
        <f>'1 prepared data'!K404</f>
        <v/>
      </c>
      <c r="M411" s="7">
        <f>'1 prepared data'!L404</f>
        <v/>
      </c>
      <c r="N411" s="7">
        <f>'1 prepared data'!M404</f>
        <v/>
      </c>
      <c r="O411" s="7">
        <f>'1 prepared data'!N404</f>
        <v/>
      </c>
      <c r="P411" s="7">
        <f>'1 prepared data'!O404</f>
        <v/>
      </c>
      <c r="Q411" s="7">
        <f>'1 prepared data'!P404</f>
        <v/>
      </c>
      <c r="R411" s="7">
        <f>'1 prepared data'!Q404</f>
        <v/>
      </c>
      <c r="S411" s="7">
        <f>'1 prepared data'!R404</f>
        <v/>
      </c>
      <c r="T411" s="7">
        <f>'1 prepared data'!S404</f>
        <v/>
      </c>
      <c r="U411" s="7">
        <f>'1 prepared data'!T404</f>
        <v/>
      </c>
      <c r="V411" s="8">
        <f>$AC$12+D411*$AC$13+E411*$AC$14+F411*$AC$15+G411*$AC$16+H411*$AC$17+I411*$AC$18+J411*$AC$19+K411*$AC$20+L411*$AC$21+M411*$AC$22+N411*$AC$23+O411*$AC$24+P411*$AC$25+Q411*$AC$26+R411*$AC$27+S411*$AC$28+T411*$AC$29+U411*$AC$30</f>
        <v/>
      </c>
      <c r="W411" s="8">
        <f>1/(1+EXP(-V411))</f>
        <v/>
      </c>
      <c r="X411" s="9">
        <f>-IF(C411=1,LN(W411),LN(1-W411))</f>
        <v/>
      </c>
      <c r="Y411" s="10">
        <f>IF(W411&gt;$AC$33,1,0)</f>
        <v/>
      </c>
      <c r="Z411">
        <f>IF(Y411=C411,1,0)</f>
        <v/>
      </c>
    </row>
    <row r="412">
      <c r="A412">
        <f>'1 prepared data'!A405</f>
        <v/>
      </c>
      <c r="B412" s="5">
        <f>'1 prepared data'!U405</f>
        <v/>
      </c>
      <c r="C412">
        <f>'1 prepared data'!B405</f>
        <v/>
      </c>
      <c r="D412" s="7">
        <f>'1 prepared data'!C405</f>
        <v/>
      </c>
      <c r="E412" s="7">
        <f>'1 prepared data'!D405</f>
        <v/>
      </c>
      <c r="F412" s="7">
        <f>'1 prepared data'!E405</f>
        <v/>
      </c>
      <c r="G412" s="7">
        <f>'1 prepared data'!F405</f>
        <v/>
      </c>
      <c r="H412" s="7">
        <f>'1 prepared data'!G405</f>
        <v/>
      </c>
      <c r="I412" s="7">
        <f>'1 prepared data'!H405</f>
        <v/>
      </c>
      <c r="J412" s="7">
        <f>'1 prepared data'!I405</f>
        <v/>
      </c>
      <c r="K412" s="7">
        <f>'1 prepared data'!J405</f>
        <v/>
      </c>
      <c r="L412" s="7">
        <f>'1 prepared data'!K405</f>
        <v/>
      </c>
      <c r="M412" s="7">
        <f>'1 prepared data'!L405</f>
        <v/>
      </c>
      <c r="N412" s="7">
        <f>'1 prepared data'!M405</f>
        <v/>
      </c>
      <c r="O412" s="7">
        <f>'1 prepared data'!N405</f>
        <v/>
      </c>
      <c r="P412" s="7">
        <f>'1 prepared data'!O405</f>
        <v/>
      </c>
      <c r="Q412" s="7">
        <f>'1 prepared data'!P405</f>
        <v/>
      </c>
      <c r="R412" s="7">
        <f>'1 prepared data'!Q405</f>
        <v/>
      </c>
      <c r="S412" s="7">
        <f>'1 prepared data'!R405</f>
        <v/>
      </c>
      <c r="T412" s="7">
        <f>'1 prepared data'!S405</f>
        <v/>
      </c>
      <c r="U412" s="7">
        <f>'1 prepared data'!T405</f>
        <v/>
      </c>
      <c r="V412" s="8">
        <f>$AC$12+D412*$AC$13+E412*$AC$14+F412*$AC$15+G412*$AC$16+H412*$AC$17+I412*$AC$18+J412*$AC$19+K412*$AC$20+L412*$AC$21+M412*$AC$22+N412*$AC$23+O412*$AC$24+P412*$AC$25+Q412*$AC$26+R412*$AC$27+S412*$AC$28+T412*$AC$29+U412*$AC$30</f>
        <v/>
      </c>
      <c r="W412" s="8">
        <f>1/(1+EXP(-V412))</f>
        <v/>
      </c>
      <c r="X412" s="9">
        <f>-IF(C412=1,LN(W412),LN(1-W412))</f>
        <v/>
      </c>
      <c r="Y412" s="10">
        <f>IF(W412&gt;$AC$33,1,0)</f>
        <v/>
      </c>
      <c r="Z412">
        <f>IF(Y412=C412,1,0)</f>
        <v/>
      </c>
    </row>
    <row r="413">
      <c r="A413">
        <f>'1 prepared data'!A406</f>
        <v/>
      </c>
      <c r="B413" s="5">
        <f>'1 prepared data'!U406</f>
        <v/>
      </c>
      <c r="C413">
        <f>'1 prepared data'!B406</f>
        <v/>
      </c>
      <c r="D413" s="7">
        <f>'1 prepared data'!C406</f>
        <v/>
      </c>
      <c r="E413" s="7">
        <f>'1 prepared data'!D406</f>
        <v/>
      </c>
      <c r="F413" s="7">
        <f>'1 prepared data'!E406</f>
        <v/>
      </c>
      <c r="G413" s="7">
        <f>'1 prepared data'!F406</f>
        <v/>
      </c>
      <c r="H413" s="7">
        <f>'1 prepared data'!G406</f>
        <v/>
      </c>
      <c r="I413" s="7">
        <f>'1 prepared data'!H406</f>
        <v/>
      </c>
      <c r="J413" s="7">
        <f>'1 prepared data'!I406</f>
        <v/>
      </c>
      <c r="K413" s="7">
        <f>'1 prepared data'!J406</f>
        <v/>
      </c>
      <c r="L413" s="7">
        <f>'1 prepared data'!K406</f>
        <v/>
      </c>
      <c r="M413" s="7">
        <f>'1 prepared data'!L406</f>
        <v/>
      </c>
      <c r="N413" s="7">
        <f>'1 prepared data'!M406</f>
        <v/>
      </c>
      <c r="O413" s="7">
        <f>'1 prepared data'!N406</f>
        <v/>
      </c>
      <c r="P413" s="7">
        <f>'1 prepared data'!O406</f>
        <v/>
      </c>
      <c r="Q413" s="7">
        <f>'1 prepared data'!P406</f>
        <v/>
      </c>
      <c r="R413" s="7">
        <f>'1 prepared data'!Q406</f>
        <v/>
      </c>
      <c r="S413" s="7">
        <f>'1 prepared data'!R406</f>
        <v/>
      </c>
      <c r="T413" s="7">
        <f>'1 prepared data'!S406</f>
        <v/>
      </c>
      <c r="U413" s="7">
        <f>'1 prepared data'!T406</f>
        <v/>
      </c>
      <c r="V413" s="8">
        <f>$AC$12+D413*$AC$13+E413*$AC$14+F413*$AC$15+G413*$AC$16+H413*$AC$17+I413*$AC$18+J413*$AC$19+K413*$AC$20+L413*$AC$21+M413*$AC$22+N413*$AC$23+O413*$AC$24+P413*$AC$25+Q413*$AC$26+R413*$AC$27+S413*$AC$28+T413*$AC$29+U413*$AC$30</f>
        <v/>
      </c>
      <c r="W413" s="8">
        <f>1/(1+EXP(-V413))</f>
        <v/>
      </c>
      <c r="X413" s="9">
        <f>-IF(C413=1,LN(W413),LN(1-W413))</f>
        <v/>
      </c>
      <c r="Y413" s="10">
        <f>IF(W413&gt;$AC$33,1,0)</f>
        <v/>
      </c>
      <c r="Z413">
        <f>IF(Y413=C413,1,0)</f>
        <v/>
      </c>
    </row>
    <row r="414">
      <c r="A414">
        <f>'1 prepared data'!A407</f>
        <v/>
      </c>
      <c r="B414" s="5">
        <f>'1 prepared data'!U407</f>
        <v/>
      </c>
      <c r="C414">
        <f>'1 prepared data'!B407</f>
        <v/>
      </c>
      <c r="D414" s="7">
        <f>'1 prepared data'!C407</f>
        <v/>
      </c>
      <c r="E414" s="7">
        <f>'1 prepared data'!D407</f>
        <v/>
      </c>
      <c r="F414" s="7">
        <f>'1 prepared data'!E407</f>
        <v/>
      </c>
      <c r="G414" s="7">
        <f>'1 prepared data'!F407</f>
        <v/>
      </c>
      <c r="H414" s="7">
        <f>'1 prepared data'!G407</f>
        <v/>
      </c>
      <c r="I414" s="7">
        <f>'1 prepared data'!H407</f>
        <v/>
      </c>
      <c r="J414" s="7">
        <f>'1 prepared data'!I407</f>
        <v/>
      </c>
      <c r="K414" s="7">
        <f>'1 prepared data'!J407</f>
        <v/>
      </c>
      <c r="L414" s="7">
        <f>'1 prepared data'!K407</f>
        <v/>
      </c>
      <c r="M414" s="7">
        <f>'1 prepared data'!L407</f>
        <v/>
      </c>
      <c r="N414" s="7">
        <f>'1 prepared data'!M407</f>
        <v/>
      </c>
      <c r="O414" s="7">
        <f>'1 prepared data'!N407</f>
        <v/>
      </c>
      <c r="P414" s="7">
        <f>'1 prepared data'!O407</f>
        <v/>
      </c>
      <c r="Q414" s="7">
        <f>'1 prepared data'!P407</f>
        <v/>
      </c>
      <c r="R414" s="7">
        <f>'1 prepared data'!Q407</f>
        <v/>
      </c>
      <c r="S414" s="7">
        <f>'1 prepared data'!R407</f>
        <v/>
      </c>
      <c r="T414" s="7">
        <f>'1 prepared data'!S407</f>
        <v/>
      </c>
      <c r="U414" s="7">
        <f>'1 prepared data'!T407</f>
        <v/>
      </c>
      <c r="V414" s="8">
        <f>$AC$12+D414*$AC$13+E414*$AC$14+F414*$AC$15+G414*$AC$16+H414*$AC$17+I414*$AC$18+J414*$AC$19+K414*$AC$20+L414*$AC$21+M414*$AC$22+N414*$AC$23+O414*$AC$24+P414*$AC$25+Q414*$AC$26+R414*$AC$27+S414*$AC$28+T414*$AC$29+U414*$AC$30</f>
        <v/>
      </c>
      <c r="W414" s="8">
        <f>1/(1+EXP(-V414))</f>
        <v/>
      </c>
      <c r="X414" s="9">
        <f>-IF(C414=1,LN(W414),LN(1-W414))</f>
        <v/>
      </c>
      <c r="Y414" s="10">
        <f>IF(W414&gt;$AC$33,1,0)</f>
        <v/>
      </c>
      <c r="Z414">
        <f>IF(Y414=C414,1,0)</f>
        <v/>
      </c>
    </row>
    <row r="415">
      <c r="A415">
        <f>'1 prepared data'!A408</f>
        <v/>
      </c>
      <c r="B415" s="5">
        <f>'1 prepared data'!U408</f>
        <v/>
      </c>
      <c r="C415">
        <f>'1 prepared data'!B408</f>
        <v/>
      </c>
      <c r="D415" s="7">
        <f>'1 prepared data'!C408</f>
        <v/>
      </c>
      <c r="E415" s="7">
        <f>'1 prepared data'!D408</f>
        <v/>
      </c>
      <c r="F415" s="7">
        <f>'1 prepared data'!E408</f>
        <v/>
      </c>
      <c r="G415" s="7">
        <f>'1 prepared data'!F408</f>
        <v/>
      </c>
      <c r="H415" s="7">
        <f>'1 prepared data'!G408</f>
        <v/>
      </c>
      <c r="I415" s="7">
        <f>'1 prepared data'!H408</f>
        <v/>
      </c>
      <c r="J415" s="7">
        <f>'1 prepared data'!I408</f>
        <v/>
      </c>
      <c r="K415" s="7">
        <f>'1 prepared data'!J408</f>
        <v/>
      </c>
      <c r="L415" s="7">
        <f>'1 prepared data'!K408</f>
        <v/>
      </c>
      <c r="M415" s="7">
        <f>'1 prepared data'!L408</f>
        <v/>
      </c>
      <c r="N415" s="7">
        <f>'1 prepared data'!M408</f>
        <v/>
      </c>
      <c r="O415" s="7">
        <f>'1 prepared data'!N408</f>
        <v/>
      </c>
      <c r="P415" s="7">
        <f>'1 prepared data'!O408</f>
        <v/>
      </c>
      <c r="Q415" s="7">
        <f>'1 prepared data'!P408</f>
        <v/>
      </c>
      <c r="R415" s="7">
        <f>'1 prepared data'!Q408</f>
        <v/>
      </c>
      <c r="S415" s="7">
        <f>'1 prepared data'!R408</f>
        <v/>
      </c>
      <c r="T415" s="7">
        <f>'1 prepared data'!S408</f>
        <v/>
      </c>
      <c r="U415" s="7">
        <f>'1 prepared data'!T408</f>
        <v/>
      </c>
      <c r="V415" s="8">
        <f>$AC$12+D415*$AC$13+E415*$AC$14+F415*$AC$15+G415*$AC$16+H415*$AC$17+I415*$AC$18+J415*$AC$19+K415*$AC$20+L415*$AC$21+M415*$AC$22+N415*$AC$23+O415*$AC$24+P415*$AC$25+Q415*$AC$26+R415*$AC$27+S415*$AC$28+T415*$AC$29+U415*$AC$30</f>
        <v/>
      </c>
      <c r="W415" s="8">
        <f>1/(1+EXP(-V415))</f>
        <v/>
      </c>
      <c r="X415" s="9">
        <f>-IF(C415=1,LN(W415),LN(1-W415))</f>
        <v/>
      </c>
      <c r="Y415" s="10">
        <f>IF(W415&gt;$AC$33,1,0)</f>
        <v/>
      </c>
      <c r="Z415">
        <f>IF(Y415=C415,1,0)</f>
        <v/>
      </c>
    </row>
    <row r="416">
      <c r="A416">
        <f>'1 prepared data'!A409</f>
        <v/>
      </c>
      <c r="B416" s="5">
        <f>'1 prepared data'!U409</f>
        <v/>
      </c>
      <c r="C416">
        <f>'1 prepared data'!B409</f>
        <v/>
      </c>
      <c r="D416" s="7">
        <f>'1 prepared data'!C409</f>
        <v/>
      </c>
      <c r="E416" s="7">
        <f>'1 prepared data'!D409</f>
        <v/>
      </c>
      <c r="F416" s="7">
        <f>'1 prepared data'!E409</f>
        <v/>
      </c>
      <c r="G416" s="7">
        <f>'1 prepared data'!F409</f>
        <v/>
      </c>
      <c r="H416" s="7">
        <f>'1 prepared data'!G409</f>
        <v/>
      </c>
      <c r="I416" s="7">
        <f>'1 prepared data'!H409</f>
        <v/>
      </c>
      <c r="J416" s="7">
        <f>'1 prepared data'!I409</f>
        <v/>
      </c>
      <c r="K416" s="7">
        <f>'1 prepared data'!J409</f>
        <v/>
      </c>
      <c r="L416" s="7">
        <f>'1 prepared data'!K409</f>
        <v/>
      </c>
      <c r="M416" s="7">
        <f>'1 prepared data'!L409</f>
        <v/>
      </c>
      <c r="N416" s="7">
        <f>'1 prepared data'!M409</f>
        <v/>
      </c>
      <c r="O416" s="7">
        <f>'1 prepared data'!N409</f>
        <v/>
      </c>
      <c r="P416" s="7">
        <f>'1 prepared data'!O409</f>
        <v/>
      </c>
      <c r="Q416" s="7">
        <f>'1 prepared data'!P409</f>
        <v/>
      </c>
      <c r="R416" s="7">
        <f>'1 prepared data'!Q409</f>
        <v/>
      </c>
      <c r="S416" s="7">
        <f>'1 prepared data'!R409</f>
        <v/>
      </c>
      <c r="T416" s="7">
        <f>'1 prepared data'!S409</f>
        <v/>
      </c>
      <c r="U416" s="7">
        <f>'1 prepared data'!T409</f>
        <v/>
      </c>
      <c r="V416" s="8">
        <f>$AC$12+D416*$AC$13+E416*$AC$14+F416*$AC$15+G416*$AC$16+H416*$AC$17+I416*$AC$18+J416*$AC$19+K416*$AC$20+L416*$AC$21+M416*$AC$22+N416*$AC$23+O416*$AC$24+P416*$AC$25+Q416*$AC$26+R416*$AC$27+S416*$AC$28+T416*$AC$29+U416*$AC$30</f>
        <v/>
      </c>
      <c r="W416" s="8">
        <f>1/(1+EXP(-V416))</f>
        <v/>
      </c>
      <c r="X416" s="9">
        <f>-IF(C416=1,LN(W416),LN(1-W416))</f>
        <v/>
      </c>
      <c r="Y416" s="10">
        <f>IF(W416&gt;$AC$33,1,0)</f>
        <v/>
      </c>
      <c r="Z416">
        <f>IF(Y416=C416,1,0)</f>
        <v/>
      </c>
    </row>
    <row r="417">
      <c r="A417">
        <f>'1 prepared data'!A410</f>
        <v/>
      </c>
      <c r="B417" s="5">
        <f>'1 prepared data'!U410</f>
        <v/>
      </c>
      <c r="C417">
        <f>'1 prepared data'!B410</f>
        <v/>
      </c>
      <c r="D417" s="7">
        <f>'1 prepared data'!C410</f>
        <v/>
      </c>
      <c r="E417" s="7">
        <f>'1 prepared data'!D410</f>
        <v/>
      </c>
      <c r="F417" s="7">
        <f>'1 prepared data'!E410</f>
        <v/>
      </c>
      <c r="G417" s="7">
        <f>'1 prepared data'!F410</f>
        <v/>
      </c>
      <c r="H417" s="7">
        <f>'1 prepared data'!G410</f>
        <v/>
      </c>
      <c r="I417" s="7">
        <f>'1 prepared data'!H410</f>
        <v/>
      </c>
      <c r="J417" s="7">
        <f>'1 prepared data'!I410</f>
        <v/>
      </c>
      <c r="K417" s="7">
        <f>'1 prepared data'!J410</f>
        <v/>
      </c>
      <c r="L417" s="7">
        <f>'1 prepared data'!K410</f>
        <v/>
      </c>
      <c r="M417" s="7">
        <f>'1 prepared data'!L410</f>
        <v/>
      </c>
      <c r="N417" s="7">
        <f>'1 prepared data'!M410</f>
        <v/>
      </c>
      <c r="O417" s="7">
        <f>'1 prepared data'!N410</f>
        <v/>
      </c>
      <c r="P417" s="7">
        <f>'1 prepared data'!O410</f>
        <v/>
      </c>
      <c r="Q417" s="7">
        <f>'1 prepared data'!P410</f>
        <v/>
      </c>
      <c r="R417" s="7">
        <f>'1 prepared data'!Q410</f>
        <v/>
      </c>
      <c r="S417" s="7">
        <f>'1 prepared data'!R410</f>
        <v/>
      </c>
      <c r="T417" s="7">
        <f>'1 prepared data'!S410</f>
        <v/>
      </c>
      <c r="U417" s="7">
        <f>'1 prepared data'!T410</f>
        <v/>
      </c>
      <c r="V417" s="8">
        <f>$AC$12+D417*$AC$13+E417*$AC$14+F417*$AC$15+G417*$AC$16+H417*$AC$17+I417*$AC$18+J417*$AC$19+K417*$AC$20+L417*$AC$21+M417*$AC$22+N417*$AC$23+O417*$AC$24+P417*$AC$25+Q417*$AC$26+R417*$AC$27+S417*$AC$28+T417*$AC$29+U417*$AC$30</f>
        <v/>
      </c>
      <c r="W417" s="8">
        <f>1/(1+EXP(-V417))</f>
        <v/>
      </c>
      <c r="X417" s="9">
        <f>-IF(C417=1,LN(W417),LN(1-W417))</f>
        <v/>
      </c>
      <c r="Y417" s="10">
        <f>IF(W417&gt;$AC$33,1,0)</f>
        <v/>
      </c>
      <c r="Z417">
        <f>IF(Y417=C417,1,0)</f>
        <v/>
      </c>
    </row>
    <row r="418">
      <c r="A418">
        <f>'1 prepared data'!A411</f>
        <v/>
      </c>
      <c r="B418" s="5">
        <f>'1 prepared data'!U411</f>
        <v/>
      </c>
      <c r="C418">
        <f>'1 prepared data'!B411</f>
        <v/>
      </c>
      <c r="D418" s="7">
        <f>'1 prepared data'!C411</f>
        <v/>
      </c>
      <c r="E418" s="7">
        <f>'1 prepared data'!D411</f>
        <v/>
      </c>
      <c r="F418" s="7">
        <f>'1 prepared data'!E411</f>
        <v/>
      </c>
      <c r="G418" s="7">
        <f>'1 prepared data'!F411</f>
        <v/>
      </c>
      <c r="H418" s="7">
        <f>'1 prepared data'!G411</f>
        <v/>
      </c>
      <c r="I418" s="7">
        <f>'1 prepared data'!H411</f>
        <v/>
      </c>
      <c r="J418" s="7">
        <f>'1 prepared data'!I411</f>
        <v/>
      </c>
      <c r="K418" s="7">
        <f>'1 prepared data'!J411</f>
        <v/>
      </c>
      <c r="L418" s="7">
        <f>'1 prepared data'!K411</f>
        <v/>
      </c>
      <c r="M418" s="7">
        <f>'1 prepared data'!L411</f>
        <v/>
      </c>
      <c r="N418" s="7">
        <f>'1 prepared data'!M411</f>
        <v/>
      </c>
      <c r="O418" s="7">
        <f>'1 prepared data'!N411</f>
        <v/>
      </c>
      <c r="P418" s="7">
        <f>'1 prepared data'!O411</f>
        <v/>
      </c>
      <c r="Q418" s="7">
        <f>'1 prepared data'!P411</f>
        <v/>
      </c>
      <c r="R418" s="7">
        <f>'1 prepared data'!Q411</f>
        <v/>
      </c>
      <c r="S418" s="7">
        <f>'1 prepared data'!R411</f>
        <v/>
      </c>
      <c r="T418" s="7">
        <f>'1 prepared data'!S411</f>
        <v/>
      </c>
      <c r="U418" s="7">
        <f>'1 prepared data'!T411</f>
        <v/>
      </c>
      <c r="V418" s="8">
        <f>$AC$12+D418*$AC$13+E418*$AC$14+F418*$AC$15+G418*$AC$16+H418*$AC$17+I418*$AC$18+J418*$AC$19+K418*$AC$20+L418*$AC$21+M418*$AC$22+N418*$AC$23+O418*$AC$24+P418*$AC$25+Q418*$AC$26+R418*$AC$27+S418*$AC$28+T418*$AC$29+U418*$AC$30</f>
        <v/>
      </c>
      <c r="W418" s="8">
        <f>1/(1+EXP(-V418))</f>
        <v/>
      </c>
      <c r="X418" s="9">
        <f>-IF(C418=1,LN(W418),LN(1-W418))</f>
        <v/>
      </c>
      <c r="Y418" s="10">
        <f>IF(W418&gt;$AC$33,1,0)</f>
        <v/>
      </c>
      <c r="Z418">
        <f>IF(Y418=C418,1,0)</f>
        <v/>
      </c>
    </row>
    <row r="419">
      <c r="A419">
        <f>'1 prepared data'!A412</f>
        <v/>
      </c>
      <c r="B419" s="5">
        <f>'1 prepared data'!U412</f>
        <v/>
      </c>
      <c r="C419">
        <f>'1 prepared data'!B412</f>
        <v/>
      </c>
      <c r="D419" s="7">
        <f>'1 prepared data'!C412</f>
        <v/>
      </c>
      <c r="E419" s="7">
        <f>'1 prepared data'!D412</f>
        <v/>
      </c>
      <c r="F419" s="7">
        <f>'1 prepared data'!E412</f>
        <v/>
      </c>
      <c r="G419" s="7">
        <f>'1 prepared data'!F412</f>
        <v/>
      </c>
      <c r="H419" s="7">
        <f>'1 prepared data'!G412</f>
        <v/>
      </c>
      <c r="I419" s="7">
        <f>'1 prepared data'!H412</f>
        <v/>
      </c>
      <c r="J419" s="7">
        <f>'1 prepared data'!I412</f>
        <v/>
      </c>
      <c r="K419" s="7">
        <f>'1 prepared data'!J412</f>
        <v/>
      </c>
      <c r="L419" s="7">
        <f>'1 prepared data'!K412</f>
        <v/>
      </c>
      <c r="M419" s="7">
        <f>'1 prepared data'!L412</f>
        <v/>
      </c>
      <c r="N419" s="7">
        <f>'1 prepared data'!M412</f>
        <v/>
      </c>
      <c r="O419" s="7">
        <f>'1 prepared data'!N412</f>
        <v/>
      </c>
      <c r="P419" s="7">
        <f>'1 prepared data'!O412</f>
        <v/>
      </c>
      <c r="Q419" s="7">
        <f>'1 prepared data'!P412</f>
        <v/>
      </c>
      <c r="R419" s="7">
        <f>'1 prepared data'!Q412</f>
        <v/>
      </c>
      <c r="S419" s="7">
        <f>'1 prepared data'!R412</f>
        <v/>
      </c>
      <c r="T419" s="7">
        <f>'1 prepared data'!S412</f>
        <v/>
      </c>
      <c r="U419" s="7">
        <f>'1 prepared data'!T412</f>
        <v/>
      </c>
      <c r="V419" s="8">
        <f>$AC$12+D419*$AC$13+E419*$AC$14+F419*$AC$15+G419*$AC$16+H419*$AC$17+I419*$AC$18+J419*$AC$19+K419*$AC$20+L419*$AC$21+M419*$AC$22+N419*$AC$23+O419*$AC$24+P419*$AC$25+Q419*$AC$26+R419*$AC$27+S419*$AC$28+T419*$AC$29+U419*$AC$30</f>
        <v/>
      </c>
      <c r="W419" s="8">
        <f>1/(1+EXP(-V419))</f>
        <v/>
      </c>
      <c r="X419" s="9">
        <f>-IF(C419=1,LN(W419),LN(1-W419))</f>
        <v/>
      </c>
      <c r="Y419" s="10">
        <f>IF(W419&gt;$AC$33,1,0)</f>
        <v/>
      </c>
      <c r="Z419">
        <f>IF(Y419=C419,1,0)</f>
        <v/>
      </c>
    </row>
    <row r="420">
      <c r="A420">
        <f>'1 prepared data'!A413</f>
        <v/>
      </c>
      <c r="B420" s="5">
        <f>'1 prepared data'!U413</f>
        <v/>
      </c>
      <c r="C420">
        <f>'1 prepared data'!B413</f>
        <v/>
      </c>
      <c r="D420" s="7">
        <f>'1 prepared data'!C413</f>
        <v/>
      </c>
      <c r="E420" s="7">
        <f>'1 prepared data'!D413</f>
        <v/>
      </c>
      <c r="F420" s="7">
        <f>'1 prepared data'!E413</f>
        <v/>
      </c>
      <c r="G420" s="7">
        <f>'1 prepared data'!F413</f>
        <v/>
      </c>
      <c r="H420" s="7">
        <f>'1 prepared data'!G413</f>
        <v/>
      </c>
      <c r="I420" s="7">
        <f>'1 prepared data'!H413</f>
        <v/>
      </c>
      <c r="J420" s="7">
        <f>'1 prepared data'!I413</f>
        <v/>
      </c>
      <c r="K420" s="7">
        <f>'1 prepared data'!J413</f>
        <v/>
      </c>
      <c r="L420" s="7">
        <f>'1 prepared data'!K413</f>
        <v/>
      </c>
      <c r="M420" s="7">
        <f>'1 prepared data'!L413</f>
        <v/>
      </c>
      <c r="N420" s="7">
        <f>'1 prepared data'!M413</f>
        <v/>
      </c>
      <c r="O420" s="7">
        <f>'1 prepared data'!N413</f>
        <v/>
      </c>
      <c r="P420" s="7">
        <f>'1 prepared data'!O413</f>
        <v/>
      </c>
      <c r="Q420" s="7">
        <f>'1 prepared data'!P413</f>
        <v/>
      </c>
      <c r="R420" s="7">
        <f>'1 prepared data'!Q413</f>
        <v/>
      </c>
      <c r="S420" s="7">
        <f>'1 prepared data'!R413</f>
        <v/>
      </c>
      <c r="T420" s="7">
        <f>'1 prepared data'!S413</f>
        <v/>
      </c>
      <c r="U420" s="7">
        <f>'1 prepared data'!T413</f>
        <v/>
      </c>
      <c r="V420" s="8">
        <f>$AC$12+D420*$AC$13+E420*$AC$14+F420*$AC$15+G420*$AC$16+H420*$AC$17+I420*$AC$18+J420*$AC$19+K420*$AC$20+L420*$AC$21+M420*$AC$22+N420*$AC$23+O420*$AC$24+P420*$AC$25+Q420*$AC$26+R420*$AC$27+S420*$AC$28+T420*$AC$29+U420*$AC$30</f>
        <v/>
      </c>
      <c r="W420" s="8">
        <f>1/(1+EXP(-V420))</f>
        <v/>
      </c>
      <c r="X420" s="9">
        <f>-IF(C420=1,LN(W420),LN(1-W420))</f>
        <v/>
      </c>
      <c r="Y420" s="10">
        <f>IF(W420&gt;$AC$33,1,0)</f>
        <v/>
      </c>
      <c r="Z420">
        <f>IF(Y420=C420,1,0)</f>
        <v/>
      </c>
    </row>
    <row r="421">
      <c r="A421">
        <f>'1 prepared data'!A414</f>
        <v/>
      </c>
      <c r="B421" s="5">
        <f>'1 prepared data'!U414</f>
        <v/>
      </c>
      <c r="C421">
        <f>'1 prepared data'!B414</f>
        <v/>
      </c>
      <c r="D421" s="7">
        <f>'1 prepared data'!C414</f>
        <v/>
      </c>
      <c r="E421" s="7">
        <f>'1 prepared data'!D414</f>
        <v/>
      </c>
      <c r="F421" s="7">
        <f>'1 prepared data'!E414</f>
        <v/>
      </c>
      <c r="G421" s="7">
        <f>'1 prepared data'!F414</f>
        <v/>
      </c>
      <c r="H421" s="7">
        <f>'1 prepared data'!G414</f>
        <v/>
      </c>
      <c r="I421" s="7">
        <f>'1 prepared data'!H414</f>
        <v/>
      </c>
      <c r="J421" s="7">
        <f>'1 prepared data'!I414</f>
        <v/>
      </c>
      <c r="K421" s="7">
        <f>'1 prepared data'!J414</f>
        <v/>
      </c>
      <c r="L421" s="7">
        <f>'1 prepared data'!K414</f>
        <v/>
      </c>
      <c r="M421" s="7">
        <f>'1 prepared data'!L414</f>
        <v/>
      </c>
      <c r="N421" s="7">
        <f>'1 prepared data'!M414</f>
        <v/>
      </c>
      <c r="O421" s="7">
        <f>'1 prepared data'!N414</f>
        <v/>
      </c>
      <c r="P421" s="7">
        <f>'1 prepared data'!O414</f>
        <v/>
      </c>
      <c r="Q421" s="7">
        <f>'1 prepared data'!P414</f>
        <v/>
      </c>
      <c r="R421" s="7">
        <f>'1 prepared data'!Q414</f>
        <v/>
      </c>
      <c r="S421" s="7">
        <f>'1 prepared data'!R414</f>
        <v/>
      </c>
      <c r="T421" s="7">
        <f>'1 prepared data'!S414</f>
        <v/>
      </c>
      <c r="U421" s="7">
        <f>'1 prepared data'!T414</f>
        <v/>
      </c>
      <c r="V421" s="8">
        <f>$AC$12+D421*$AC$13+E421*$AC$14+F421*$AC$15+G421*$AC$16+H421*$AC$17+I421*$AC$18+J421*$AC$19+K421*$AC$20+L421*$AC$21+M421*$AC$22+N421*$AC$23+O421*$AC$24+P421*$AC$25+Q421*$AC$26+R421*$AC$27+S421*$AC$28+T421*$AC$29+U421*$AC$30</f>
        <v/>
      </c>
      <c r="W421" s="8">
        <f>1/(1+EXP(-V421))</f>
        <v/>
      </c>
      <c r="X421" s="9">
        <f>-IF(C421=1,LN(W421),LN(1-W421))</f>
        <v/>
      </c>
      <c r="Y421" s="10">
        <f>IF(W421&gt;$AC$33,1,0)</f>
        <v/>
      </c>
      <c r="Z421">
        <f>IF(Y421=C421,1,0)</f>
        <v/>
      </c>
    </row>
    <row r="422">
      <c r="A422">
        <f>'1 prepared data'!A415</f>
        <v/>
      </c>
      <c r="B422" s="5">
        <f>'1 prepared data'!U415</f>
        <v/>
      </c>
      <c r="C422">
        <f>'1 prepared data'!B415</f>
        <v/>
      </c>
      <c r="D422" s="7">
        <f>'1 prepared data'!C415</f>
        <v/>
      </c>
      <c r="E422" s="7">
        <f>'1 prepared data'!D415</f>
        <v/>
      </c>
      <c r="F422" s="7">
        <f>'1 prepared data'!E415</f>
        <v/>
      </c>
      <c r="G422" s="7">
        <f>'1 prepared data'!F415</f>
        <v/>
      </c>
      <c r="H422" s="7">
        <f>'1 prepared data'!G415</f>
        <v/>
      </c>
      <c r="I422" s="7">
        <f>'1 prepared data'!H415</f>
        <v/>
      </c>
      <c r="J422" s="7">
        <f>'1 prepared data'!I415</f>
        <v/>
      </c>
      <c r="K422" s="7">
        <f>'1 prepared data'!J415</f>
        <v/>
      </c>
      <c r="L422" s="7">
        <f>'1 prepared data'!K415</f>
        <v/>
      </c>
      <c r="M422" s="7">
        <f>'1 prepared data'!L415</f>
        <v/>
      </c>
      <c r="N422" s="7">
        <f>'1 prepared data'!M415</f>
        <v/>
      </c>
      <c r="O422" s="7">
        <f>'1 prepared data'!N415</f>
        <v/>
      </c>
      <c r="P422" s="7">
        <f>'1 prepared data'!O415</f>
        <v/>
      </c>
      <c r="Q422" s="7">
        <f>'1 prepared data'!P415</f>
        <v/>
      </c>
      <c r="R422" s="7">
        <f>'1 prepared data'!Q415</f>
        <v/>
      </c>
      <c r="S422" s="7">
        <f>'1 prepared data'!R415</f>
        <v/>
      </c>
      <c r="T422" s="7">
        <f>'1 prepared data'!S415</f>
        <v/>
      </c>
      <c r="U422" s="7">
        <f>'1 prepared data'!T415</f>
        <v/>
      </c>
      <c r="V422" s="8">
        <f>$AC$12+D422*$AC$13+E422*$AC$14+F422*$AC$15+G422*$AC$16+H422*$AC$17+I422*$AC$18+J422*$AC$19+K422*$AC$20+L422*$AC$21+M422*$AC$22+N422*$AC$23+O422*$AC$24+P422*$AC$25+Q422*$AC$26+R422*$AC$27+S422*$AC$28+T422*$AC$29+U422*$AC$30</f>
        <v/>
      </c>
      <c r="W422" s="8">
        <f>1/(1+EXP(-V422))</f>
        <v/>
      </c>
      <c r="X422" s="9">
        <f>-IF(C422=1,LN(W422),LN(1-W422))</f>
        <v/>
      </c>
      <c r="Y422" s="10">
        <f>IF(W422&gt;$AC$33,1,0)</f>
        <v/>
      </c>
      <c r="Z422">
        <f>IF(Y422=C422,1,0)</f>
        <v/>
      </c>
    </row>
    <row r="423">
      <c r="A423">
        <f>'1 prepared data'!A416</f>
        <v/>
      </c>
      <c r="B423" s="5">
        <f>'1 prepared data'!U416</f>
        <v/>
      </c>
      <c r="C423">
        <f>'1 prepared data'!B416</f>
        <v/>
      </c>
      <c r="D423" s="7">
        <f>'1 prepared data'!C416</f>
        <v/>
      </c>
      <c r="E423" s="7">
        <f>'1 prepared data'!D416</f>
        <v/>
      </c>
      <c r="F423" s="7">
        <f>'1 prepared data'!E416</f>
        <v/>
      </c>
      <c r="G423" s="7">
        <f>'1 prepared data'!F416</f>
        <v/>
      </c>
      <c r="H423" s="7">
        <f>'1 prepared data'!G416</f>
        <v/>
      </c>
      <c r="I423" s="7">
        <f>'1 prepared data'!H416</f>
        <v/>
      </c>
      <c r="J423" s="7">
        <f>'1 prepared data'!I416</f>
        <v/>
      </c>
      <c r="K423" s="7">
        <f>'1 prepared data'!J416</f>
        <v/>
      </c>
      <c r="L423" s="7">
        <f>'1 prepared data'!K416</f>
        <v/>
      </c>
      <c r="M423" s="7">
        <f>'1 prepared data'!L416</f>
        <v/>
      </c>
      <c r="N423" s="7">
        <f>'1 prepared data'!M416</f>
        <v/>
      </c>
      <c r="O423" s="7">
        <f>'1 prepared data'!N416</f>
        <v/>
      </c>
      <c r="P423" s="7">
        <f>'1 prepared data'!O416</f>
        <v/>
      </c>
      <c r="Q423" s="7">
        <f>'1 prepared data'!P416</f>
        <v/>
      </c>
      <c r="R423" s="7">
        <f>'1 prepared data'!Q416</f>
        <v/>
      </c>
      <c r="S423" s="7">
        <f>'1 prepared data'!R416</f>
        <v/>
      </c>
      <c r="T423" s="7">
        <f>'1 prepared data'!S416</f>
        <v/>
      </c>
      <c r="U423" s="7">
        <f>'1 prepared data'!T416</f>
        <v/>
      </c>
      <c r="V423" s="8">
        <f>$AC$12+D423*$AC$13+E423*$AC$14+F423*$AC$15+G423*$AC$16+H423*$AC$17+I423*$AC$18+J423*$AC$19+K423*$AC$20+L423*$AC$21+M423*$AC$22+N423*$AC$23+O423*$AC$24+P423*$AC$25+Q423*$AC$26+R423*$AC$27+S423*$AC$28+T423*$AC$29+U423*$AC$30</f>
        <v/>
      </c>
      <c r="W423" s="8">
        <f>1/(1+EXP(-V423))</f>
        <v/>
      </c>
      <c r="X423" s="9">
        <f>-IF(C423=1,LN(W423),LN(1-W423))</f>
        <v/>
      </c>
      <c r="Y423" s="10">
        <f>IF(W423&gt;$AC$33,1,0)</f>
        <v/>
      </c>
      <c r="Z423">
        <f>IF(Y423=C423,1,0)</f>
        <v/>
      </c>
    </row>
    <row r="424">
      <c r="A424">
        <f>'1 prepared data'!A417</f>
        <v/>
      </c>
      <c r="B424" s="5">
        <f>'1 prepared data'!U417</f>
        <v/>
      </c>
      <c r="C424">
        <f>'1 prepared data'!B417</f>
        <v/>
      </c>
      <c r="D424" s="7">
        <f>'1 prepared data'!C417</f>
        <v/>
      </c>
      <c r="E424" s="7">
        <f>'1 prepared data'!D417</f>
        <v/>
      </c>
      <c r="F424" s="7">
        <f>'1 prepared data'!E417</f>
        <v/>
      </c>
      <c r="G424" s="7">
        <f>'1 prepared data'!F417</f>
        <v/>
      </c>
      <c r="H424" s="7">
        <f>'1 prepared data'!G417</f>
        <v/>
      </c>
      <c r="I424" s="7">
        <f>'1 prepared data'!H417</f>
        <v/>
      </c>
      <c r="J424" s="7">
        <f>'1 prepared data'!I417</f>
        <v/>
      </c>
      <c r="K424" s="7">
        <f>'1 prepared data'!J417</f>
        <v/>
      </c>
      <c r="L424" s="7">
        <f>'1 prepared data'!K417</f>
        <v/>
      </c>
      <c r="M424" s="7">
        <f>'1 prepared data'!L417</f>
        <v/>
      </c>
      <c r="N424" s="7">
        <f>'1 prepared data'!M417</f>
        <v/>
      </c>
      <c r="O424" s="7">
        <f>'1 prepared data'!N417</f>
        <v/>
      </c>
      <c r="P424" s="7">
        <f>'1 prepared data'!O417</f>
        <v/>
      </c>
      <c r="Q424" s="7">
        <f>'1 prepared data'!P417</f>
        <v/>
      </c>
      <c r="R424" s="7">
        <f>'1 prepared data'!Q417</f>
        <v/>
      </c>
      <c r="S424" s="7">
        <f>'1 prepared data'!R417</f>
        <v/>
      </c>
      <c r="T424" s="7">
        <f>'1 prepared data'!S417</f>
        <v/>
      </c>
      <c r="U424" s="7">
        <f>'1 prepared data'!T417</f>
        <v/>
      </c>
      <c r="V424" s="8">
        <f>$AC$12+D424*$AC$13+E424*$AC$14+F424*$AC$15+G424*$AC$16+H424*$AC$17+I424*$AC$18+J424*$AC$19+K424*$AC$20+L424*$AC$21+M424*$AC$22+N424*$AC$23+O424*$AC$24+P424*$AC$25+Q424*$AC$26+R424*$AC$27+S424*$AC$28+T424*$AC$29+U424*$AC$30</f>
        <v/>
      </c>
      <c r="W424" s="8">
        <f>1/(1+EXP(-V424))</f>
        <v/>
      </c>
      <c r="X424" s="9">
        <f>-IF(C424=1,LN(W424),LN(1-W424))</f>
        <v/>
      </c>
      <c r="Y424" s="10">
        <f>IF(W424&gt;$AC$33,1,0)</f>
        <v/>
      </c>
      <c r="Z424">
        <f>IF(Y424=C424,1,0)</f>
        <v/>
      </c>
    </row>
    <row r="425">
      <c r="A425">
        <f>'1 prepared data'!A418</f>
        <v/>
      </c>
      <c r="B425" s="5">
        <f>'1 prepared data'!U418</f>
        <v/>
      </c>
      <c r="C425">
        <f>'1 prepared data'!B418</f>
        <v/>
      </c>
      <c r="D425" s="7">
        <f>'1 prepared data'!C418</f>
        <v/>
      </c>
      <c r="E425" s="7">
        <f>'1 prepared data'!D418</f>
        <v/>
      </c>
      <c r="F425" s="7">
        <f>'1 prepared data'!E418</f>
        <v/>
      </c>
      <c r="G425" s="7">
        <f>'1 prepared data'!F418</f>
        <v/>
      </c>
      <c r="H425" s="7">
        <f>'1 prepared data'!G418</f>
        <v/>
      </c>
      <c r="I425" s="7">
        <f>'1 prepared data'!H418</f>
        <v/>
      </c>
      <c r="J425" s="7">
        <f>'1 prepared data'!I418</f>
        <v/>
      </c>
      <c r="K425" s="7">
        <f>'1 prepared data'!J418</f>
        <v/>
      </c>
      <c r="L425" s="7">
        <f>'1 prepared data'!K418</f>
        <v/>
      </c>
      <c r="M425" s="7">
        <f>'1 prepared data'!L418</f>
        <v/>
      </c>
      <c r="N425" s="7">
        <f>'1 prepared data'!M418</f>
        <v/>
      </c>
      <c r="O425" s="7">
        <f>'1 prepared data'!N418</f>
        <v/>
      </c>
      <c r="P425" s="7">
        <f>'1 prepared data'!O418</f>
        <v/>
      </c>
      <c r="Q425" s="7">
        <f>'1 prepared data'!P418</f>
        <v/>
      </c>
      <c r="R425" s="7">
        <f>'1 prepared data'!Q418</f>
        <v/>
      </c>
      <c r="S425" s="7">
        <f>'1 prepared data'!R418</f>
        <v/>
      </c>
      <c r="T425" s="7">
        <f>'1 prepared data'!S418</f>
        <v/>
      </c>
      <c r="U425" s="7">
        <f>'1 prepared data'!T418</f>
        <v/>
      </c>
      <c r="V425" s="8">
        <f>$AC$12+D425*$AC$13+E425*$AC$14+F425*$AC$15+G425*$AC$16+H425*$AC$17+I425*$AC$18+J425*$AC$19+K425*$AC$20+L425*$AC$21+M425*$AC$22+N425*$AC$23+O425*$AC$24+P425*$AC$25+Q425*$AC$26+R425*$AC$27+S425*$AC$28+T425*$AC$29+U425*$AC$30</f>
        <v/>
      </c>
      <c r="W425" s="8">
        <f>1/(1+EXP(-V425))</f>
        <v/>
      </c>
      <c r="X425" s="9">
        <f>-IF(C425=1,LN(W425),LN(1-W425))</f>
        <v/>
      </c>
      <c r="Y425" s="10">
        <f>IF(W425&gt;$AC$33,1,0)</f>
        <v/>
      </c>
      <c r="Z425">
        <f>IF(Y425=C425,1,0)</f>
        <v/>
      </c>
    </row>
    <row r="426">
      <c r="A426">
        <f>'1 prepared data'!A419</f>
        <v/>
      </c>
      <c r="B426" s="5">
        <f>'1 prepared data'!U419</f>
        <v/>
      </c>
      <c r="C426">
        <f>'1 prepared data'!B419</f>
        <v/>
      </c>
      <c r="D426" s="7">
        <f>'1 prepared data'!C419</f>
        <v/>
      </c>
      <c r="E426" s="7">
        <f>'1 prepared data'!D419</f>
        <v/>
      </c>
      <c r="F426" s="7">
        <f>'1 prepared data'!E419</f>
        <v/>
      </c>
      <c r="G426" s="7">
        <f>'1 prepared data'!F419</f>
        <v/>
      </c>
      <c r="H426" s="7">
        <f>'1 prepared data'!G419</f>
        <v/>
      </c>
      <c r="I426" s="7">
        <f>'1 prepared data'!H419</f>
        <v/>
      </c>
      <c r="J426" s="7">
        <f>'1 prepared data'!I419</f>
        <v/>
      </c>
      <c r="K426" s="7">
        <f>'1 prepared data'!J419</f>
        <v/>
      </c>
      <c r="L426" s="7">
        <f>'1 prepared data'!K419</f>
        <v/>
      </c>
      <c r="M426" s="7">
        <f>'1 prepared data'!L419</f>
        <v/>
      </c>
      <c r="N426" s="7">
        <f>'1 prepared data'!M419</f>
        <v/>
      </c>
      <c r="O426" s="7">
        <f>'1 prepared data'!N419</f>
        <v/>
      </c>
      <c r="P426" s="7">
        <f>'1 prepared data'!O419</f>
        <v/>
      </c>
      <c r="Q426" s="7">
        <f>'1 prepared data'!P419</f>
        <v/>
      </c>
      <c r="R426" s="7">
        <f>'1 prepared data'!Q419</f>
        <v/>
      </c>
      <c r="S426" s="7">
        <f>'1 prepared data'!R419</f>
        <v/>
      </c>
      <c r="T426" s="7">
        <f>'1 prepared data'!S419</f>
        <v/>
      </c>
      <c r="U426" s="7">
        <f>'1 prepared data'!T419</f>
        <v/>
      </c>
      <c r="V426" s="8">
        <f>$AC$12+D426*$AC$13+E426*$AC$14+F426*$AC$15+G426*$AC$16+H426*$AC$17+I426*$AC$18+J426*$AC$19+K426*$AC$20+L426*$AC$21+M426*$AC$22+N426*$AC$23+O426*$AC$24+P426*$AC$25+Q426*$AC$26+R426*$AC$27+S426*$AC$28+T426*$AC$29+U426*$AC$30</f>
        <v/>
      </c>
      <c r="W426" s="8">
        <f>1/(1+EXP(-V426))</f>
        <v/>
      </c>
      <c r="X426" s="9">
        <f>-IF(C426=1,LN(W426),LN(1-W426))</f>
        <v/>
      </c>
      <c r="Y426" s="10">
        <f>IF(W426&gt;$AC$33,1,0)</f>
        <v/>
      </c>
      <c r="Z426">
        <f>IF(Y426=C426,1,0)</f>
        <v/>
      </c>
    </row>
    <row r="427">
      <c r="A427">
        <f>'1 prepared data'!A420</f>
        <v/>
      </c>
      <c r="B427" s="5">
        <f>'1 prepared data'!U420</f>
        <v/>
      </c>
      <c r="C427">
        <f>'1 prepared data'!B420</f>
        <v/>
      </c>
      <c r="D427" s="7">
        <f>'1 prepared data'!C420</f>
        <v/>
      </c>
      <c r="E427" s="7">
        <f>'1 prepared data'!D420</f>
        <v/>
      </c>
      <c r="F427" s="7">
        <f>'1 prepared data'!E420</f>
        <v/>
      </c>
      <c r="G427" s="7">
        <f>'1 prepared data'!F420</f>
        <v/>
      </c>
      <c r="H427" s="7">
        <f>'1 prepared data'!G420</f>
        <v/>
      </c>
      <c r="I427" s="7">
        <f>'1 prepared data'!H420</f>
        <v/>
      </c>
      <c r="J427" s="7">
        <f>'1 prepared data'!I420</f>
        <v/>
      </c>
      <c r="K427" s="7">
        <f>'1 prepared data'!J420</f>
        <v/>
      </c>
      <c r="L427" s="7">
        <f>'1 prepared data'!K420</f>
        <v/>
      </c>
      <c r="M427" s="7">
        <f>'1 prepared data'!L420</f>
        <v/>
      </c>
      <c r="N427" s="7">
        <f>'1 prepared data'!M420</f>
        <v/>
      </c>
      <c r="O427" s="7">
        <f>'1 prepared data'!N420</f>
        <v/>
      </c>
      <c r="P427" s="7">
        <f>'1 prepared data'!O420</f>
        <v/>
      </c>
      <c r="Q427" s="7">
        <f>'1 prepared data'!P420</f>
        <v/>
      </c>
      <c r="R427" s="7">
        <f>'1 prepared data'!Q420</f>
        <v/>
      </c>
      <c r="S427" s="7">
        <f>'1 prepared data'!R420</f>
        <v/>
      </c>
      <c r="T427" s="7">
        <f>'1 prepared data'!S420</f>
        <v/>
      </c>
      <c r="U427" s="7">
        <f>'1 prepared data'!T420</f>
        <v/>
      </c>
      <c r="V427" s="8">
        <f>$AC$12+D427*$AC$13+E427*$AC$14+F427*$AC$15+G427*$AC$16+H427*$AC$17+I427*$AC$18+J427*$AC$19+K427*$AC$20+L427*$AC$21+M427*$AC$22+N427*$AC$23+O427*$AC$24+P427*$AC$25+Q427*$AC$26+R427*$AC$27+S427*$AC$28+T427*$AC$29+U427*$AC$30</f>
        <v/>
      </c>
      <c r="W427" s="8">
        <f>1/(1+EXP(-V427))</f>
        <v/>
      </c>
      <c r="X427" s="9">
        <f>-IF(C427=1,LN(W427),LN(1-W427))</f>
        <v/>
      </c>
      <c r="Y427" s="10">
        <f>IF(W427&gt;$AC$33,1,0)</f>
        <v/>
      </c>
      <c r="Z427">
        <f>IF(Y427=C427,1,0)</f>
        <v/>
      </c>
    </row>
    <row r="428">
      <c r="A428">
        <f>'1 prepared data'!A421</f>
        <v/>
      </c>
      <c r="B428" s="5">
        <f>'1 prepared data'!U421</f>
        <v/>
      </c>
      <c r="C428">
        <f>'1 prepared data'!B421</f>
        <v/>
      </c>
      <c r="D428" s="7">
        <f>'1 prepared data'!C421</f>
        <v/>
      </c>
      <c r="E428" s="7">
        <f>'1 prepared data'!D421</f>
        <v/>
      </c>
      <c r="F428" s="7">
        <f>'1 prepared data'!E421</f>
        <v/>
      </c>
      <c r="G428" s="7">
        <f>'1 prepared data'!F421</f>
        <v/>
      </c>
      <c r="H428" s="7">
        <f>'1 prepared data'!G421</f>
        <v/>
      </c>
      <c r="I428" s="7">
        <f>'1 prepared data'!H421</f>
        <v/>
      </c>
      <c r="J428" s="7">
        <f>'1 prepared data'!I421</f>
        <v/>
      </c>
      <c r="K428" s="7">
        <f>'1 prepared data'!J421</f>
        <v/>
      </c>
      <c r="L428" s="7">
        <f>'1 prepared data'!K421</f>
        <v/>
      </c>
      <c r="M428" s="7">
        <f>'1 prepared data'!L421</f>
        <v/>
      </c>
      <c r="N428" s="7">
        <f>'1 prepared data'!M421</f>
        <v/>
      </c>
      <c r="O428" s="7">
        <f>'1 prepared data'!N421</f>
        <v/>
      </c>
      <c r="P428" s="7">
        <f>'1 prepared data'!O421</f>
        <v/>
      </c>
      <c r="Q428" s="7">
        <f>'1 prepared data'!P421</f>
        <v/>
      </c>
      <c r="R428" s="7">
        <f>'1 prepared data'!Q421</f>
        <v/>
      </c>
      <c r="S428" s="7">
        <f>'1 prepared data'!R421</f>
        <v/>
      </c>
      <c r="T428" s="7">
        <f>'1 prepared data'!S421</f>
        <v/>
      </c>
      <c r="U428" s="7">
        <f>'1 prepared data'!T421</f>
        <v/>
      </c>
      <c r="V428" s="8">
        <f>$AC$12+D428*$AC$13+E428*$AC$14+F428*$AC$15+G428*$AC$16+H428*$AC$17+I428*$AC$18+J428*$AC$19+K428*$AC$20+L428*$AC$21+M428*$AC$22+N428*$AC$23+O428*$AC$24+P428*$AC$25+Q428*$AC$26+R428*$AC$27+S428*$AC$28+T428*$AC$29+U428*$AC$30</f>
        <v/>
      </c>
      <c r="W428" s="8">
        <f>1/(1+EXP(-V428))</f>
        <v/>
      </c>
      <c r="X428" s="9">
        <f>-IF(C428=1,LN(W428),LN(1-W428))</f>
        <v/>
      </c>
      <c r="Y428" s="10">
        <f>IF(W428&gt;$AC$33,1,0)</f>
        <v/>
      </c>
      <c r="Z428">
        <f>IF(Y428=C428,1,0)</f>
        <v/>
      </c>
    </row>
    <row r="429">
      <c r="A429">
        <f>'1 prepared data'!A422</f>
        <v/>
      </c>
      <c r="B429" s="5">
        <f>'1 prepared data'!U422</f>
        <v/>
      </c>
      <c r="C429">
        <f>'1 prepared data'!B422</f>
        <v/>
      </c>
      <c r="D429" s="7">
        <f>'1 prepared data'!C422</f>
        <v/>
      </c>
      <c r="E429" s="7">
        <f>'1 prepared data'!D422</f>
        <v/>
      </c>
      <c r="F429" s="7">
        <f>'1 prepared data'!E422</f>
        <v/>
      </c>
      <c r="G429" s="7">
        <f>'1 prepared data'!F422</f>
        <v/>
      </c>
      <c r="H429" s="7">
        <f>'1 prepared data'!G422</f>
        <v/>
      </c>
      <c r="I429" s="7">
        <f>'1 prepared data'!H422</f>
        <v/>
      </c>
      <c r="J429" s="7">
        <f>'1 prepared data'!I422</f>
        <v/>
      </c>
      <c r="K429" s="7">
        <f>'1 prepared data'!J422</f>
        <v/>
      </c>
      <c r="L429" s="7">
        <f>'1 prepared data'!K422</f>
        <v/>
      </c>
      <c r="M429" s="7">
        <f>'1 prepared data'!L422</f>
        <v/>
      </c>
      <c r="N429" s="7">
        <f>'1 prepared data'!M422</f>
        <v/>
      </c>
      <c r="O429" s="7">
        <f>'1 prepared data'!N422</f>
        <v/>
      </c>
      <c r="P429" s="7">
        <f>'1 prepared data'!O422</f>
        <v/>
      </c>
      <c r="Q429" s="7">
        <f>'1 prepared data'!P422</f>
        <v/>
      </c>
      <c r="R429" s="7">
        <f>'1 prepared data'!Q422</f>
        <v/>
      </c>
      <c r="S429" s="7">
        <f>'1 prepared data'!R422</f>
        <v/>
      </c>
      <c r="T429" s="7">
        <f>'1 prepared data'!S422</f>
        <v/>
      </c>
      <c r="U429" s="7">
        <f>'1 prepared data'!T422</f>
        <v/>
      </c>
      <c r="V429" s="8">
        <f>$AC$12+D429*$AC$13+E429*$AC$14+F429*$AC$15+G429*$AC$16+H429*$AC$17+I429*$AC$18+J429*$AC$19+K429*$AC$20+L429*$AC$21+M429*$AC$22+N429*$AC$23+O429*$AC$24+P429*$AC$25+Q429*$AC$26+R429*$AC$27+S429*$AC$28+T429*$AC$29+U429*$AC$30</f>
        <v/>
      </c>
      <c r="W429" s="8">
        <f>1/(1+EXP(-V429))</f>
        <v/>
      </c>
      <c r="X429" s="9">
        <f>-IF(C429=1,LN(W429),LN(1-W429))</f>
        <v/>
      </c>
      <c r="Y429" s="10">
        <f>IF(W429&gt;$AC$33,1,0)</f>
        <v/>
      </c>
      <c r="Z429">
        <f>IF(Y429=C429,1,0)</f>
        <v/>
      </c>
    </row>
    <row r="430">
      <c r="A430">
        <f>'1 prepared data'!A423</f>
        <v/>
      </c>
      <c r="B430" s="5">
        <f>'1 prepared data'!U423</f>
        <v/>
      </c>
      <c r="C430">
        <f>'1 prepared data'!B423</f>
        <v/>
      </c>
      <c r="D430" s="7">
        <f>'1 prepared data'!C423</f>
        <v/>
      </c>
      <c r="E430" s="7">
        <f>'1 prepared data'!D423</f>
        <v/>
      </c>
      <c r="F430" s="7">
        <f>'1 prepared data'!E423</f>
        <v/>
      </c>
      <c r="G430" s="7">
        <f>'1 prepared data'!F423</f>
        <v/>
      </c>
      <c r="H430" s="7">
        <f>'1 prepared data'!G423</f>
        <v/>
      </c>
      <c r="I430" s="7">
        <f>'1 prepared data'!H423</f>
        <v/>
      </c>
      <c r="J430" s="7">
        <f>'1 prepared data'!I423</f>
        <v/>
      </c>
      <c r="K430" s="7">
        <f>'1 prepared data'!J423</f>
        <v/>
      </c>
      <c r="L430" s="7">
        <f>'1 prepared data'!K423</f>
        <v/>
      </c>
      <c r="M430" s="7">
        <f>'1 prepared data'!L423</f>
        <v/>
      </c>
      <c r="N430" s="7">
        <f>'1 prepared data'!M423</f>
        <v/>
      </c>
      <c r="O430" s="7">
        <f>'1 prepared data'!N423</f>
        <v/>
      </c>
      <c r="P430" s="7">
        <f>'1 prepared data'!O423</f>
        <v/>
      </c>
      <c r="Q430" s="7">
        <f>'1 prepared data'!P423</f>
        <v/>
      </c>
      <c r="R430" s="7">
        <f>'1 prepared data'!Q423</f>
        <v/>
      </c>
      <c r="S430" s="7">
        <f>'1 prepared data'!R423</f>
        <v/>
      </c>
      <c r="T430" s="7">
        <f>'1 prepared data'!S423</f>
        <v/>
      </c>
      <c r="U430" s="7">
        <f>'1 prepared data'!T423</f>
        <v/>
      </c>
      <c r="V430" s="8">
        <f>$AC$12+D430*$AC$13+E430*$AC$14+F430*$AC$15+G430*$AC$16+H430*$AC$17+I430*$AC$18+J430*$AC$19+K430*$AC$20+L430*$AC$21+M430*$AC$22+N430*$AC$23+O430*$AC$24+P430*$AC$25+Q430*$AC$26+R430*$AC$27+S430*$AC$28+T430*$AC$29+U430*$AC$30</f>
        <v/>
      </c>
      <c r="W430" s="8">
        <f>1/(1+EXP(-V430))</f>
        <v/>
      </c>
      <c r="X430" s="9">
        <f>-IF(C430=1,LN(W430),LN(1-W430))</f>
        <v/>
      </c>
      <c r="Y430" s="10">
        <f>IF(W430&gt;$AC$33,1,0)</f>
        <v/>
      </c>
      <c r="Z430">
        <f>IF(Y430=C430,1,0)</f>
        <v/>
      </c>
    </row>
    <row r="431">
      <c r="A431">
        <f>'1 prepared data'!A424</f>
        <v/>
      </c>
      <c r="B431" s="5">
        <f>'1 prepared data'!U424</f>
        <v/>
      </c>
      <c r="C431">
        <f>'1 prepared data'!B424</f>
        <v/>
      </c>
      <c r="D431" s="7">
        <f>'1 prepared data'!C424</f>
        <v/>
      </c>
      <c r="E431" s="7">
        <f>'1 prepared data'!D424</f>
        <v/>
      </c>
      <c r="F431" s="7">
        <f>'1 prepared data'!E424</f>
        <v/>
      </c>
      <c r="G431" s="7">
        <f>'1 prepared data'!F424</f>
        <v/>
      </c>
      <c r="H431" s="7">
        <f>'1 prepared data'!G424</f>
        <v/>
      </c>
      <c r="I431" s="7">
        <f>'1 prepared data'!H424</f>
        <v/>
      </c>
      <c r="J431" s="7">
        <f>'1 prepared data'!I424</f>
        <v/>
      </c>
      <c r="K431" s="7">
        <f>'1 prepared data'!J424</f>
        <v/>
      </c>
      <c r="L431" s="7">
        <f>'1 prepared data'!K424</f>
        <v/>
      </c>
      <c r="M431" s="7">
        <f>'1 prepared data'!L424</f>
        <v/>
      </c>
      <c r="N431" s="7">
        <f>'1 prepared data'!M424</f>
        <v/>
      </c>
      <c r="O431" s="7">
        <f>'1 prepared data'!N424</f>
        <v/>
      </c>
      <c r="P431" s="7">
        <f>'1 prepared data'!O424</f>
        <v/>
      </c>
      <c r="Q431" s="7">
        <f>'1 prepared data'!P424</f>
        <v/>
      </c>
      <c r="R431" s="7">
        <f>'1 prepared data'!Q424</f>
        <v/>
      </c>
      <c r="S431" s="7">
        <f>'1 prepared data'!R424</f>
        <v/>
      </c>
      <c r="T431" s="7">
        <f>'1 prepared data'!S424</f>
        <v/>
      </c>
      <c r="U431" s="7">
        <f>'1 prepared data'!T424</f>
        <v/>
      </c>
      <c r="V431" s="8">
        <f>$AC$12+D431*$AC$13+E431*$AC$14+F431*$AC$15+G431*$AC$16+H431*$AC$17+I431*$AC$18+J431*$AC$19+K431*$AC$20+L431*$AC$21+M431*$AC$22+N431*$AC$23+O431*$AC$24+P431*$AC$25+Q431*$AC$26+R431*$AC$27+S431*$AC$28+T431*$AC$29+U431*$AC$30</f>
        <v/>
      </c>
      <c r="W431" s="8">
        <f>1/(1+EXP(-V431))</f>
        <v/>
      </c>
      <c r="X431" s="9">
        <f>-IF(C431=1,LN(W431),LN(1-W431))</f>
        <v/>
      </c>
      <c r="Y431" s="10">
        <f>IF(W431&gt;$AC$33,1,0)</f>
        <v/>
      </c>
      <c r="Z431">
        <f>IF(Y431=C431,1,0)</f>
        <v/>
      </c>
    </row>
    <row r="432">
      <c r="A432">
        <f>'1 prepared data'!A425</f>
        <v/>
      </c>
      <c r="B432" s="5">
        <f>'1 prepared data'!U425</f>
        <v/>
      </c>
      <c r="C432">
        <f>'1 prepared data'!B425</f>
        <v/>
      </c>
      <c r="D432" s="7">
        <f>'1 prepared data'!C425</f>
        <v/>
      </c>
      <c r="E432" s="7">
        <f>'1 prepared data'!D425</f>
        <v/>
      </c>
      <c r="F432" s="7">
        <f>'1 prepared data'!E425</f>
        <v/>
      </c>
      <c r="G432" s="7">
        <f>'1 prepared data'!F425</f>
        <v/>
      </c>
      <c r="H432" s="7">
        <f>'1 prepared data'!G425</f>
        <v/>
      </c>
      <c r="I432" s="7">
        <f>'1 prepared data'!H425</f>
        <v/>
      </c>
      <c r="J432" s="7">
        <f>'1 prepared data'!I425</f>
        <v/>
      </c>
      <c r="K432" s="7">
        <f>'1 prepared data'!J425</f>
        <v/>
      </c>
      <c r="L432" s="7">
        <f>'1 prepared data'!K425</f>
        <v/>
      </c>
      <c r="M432" s="7">
        <f>'1 prepared data'!L425</f>
        <v/>
      </c>
      <c r="N432" s="7">
        <f>'1 prepared data'!M425</f>
        <v/>
      </c>
      <c r="O432" s="7">
        <f>'1 prepared data'!N425</f>
        <v/>
      </c>
      <c r="P432" s="7">
        <f>'1 prepared data'!O425</f>
        <v/>
      </c>
      <c r="Q432" s="7">
        <f>'1 prepared data'!P425</f>
        <v/>
      </c>
      <c r="R432" s="7">
        <f>'1 prepared data'!Q425</f>
        <v/>
      </c>
      <c r="S432" s="7">
        <f>'1 prepared data'!R425</f>
        <v/>
      </c>
      <c r="T432" s="7">
        <f>'1 prepared data'!S425</f>
        <v/>
      </c>
      <c r="U432" s="7">
        <f>'1 prepared data'!T425</f>
        <v/>
      </c>
      <c r="V432" s="8">
        <f>$AC$12+D432*$AC$13+E432*$AC$14+F432*$AC$15+G432*$AC$16+H432*$AC$17+I432*$AC$18+J432*$AC$19+K432*$AC$20+L432*$AC$21+M432*$AC$22+N432*$AC$23+O432*$AC$24+P432*$AC$25+Q432*$AC$26+R432*$AC$27+S432*$AC$28+T432*$AC$29+U432*$AC$30</f>
        <v/>
      </c>
      <c r="W432" s="8">
        <f>1/(1+EXP(-V432))</f>
        <v/>
      </c>
      <c r="X432" s="9">
        <f>-IF(C432=1,LN(W432),LN(1-W432))</f>
        <v/>
      </c>
      <c r="Y432" s="10">
        <f>IF(W432&gt;$AC$33,1,0)</f>
        <v/>
      </c>
      <c r="Z432">
        <f>IF(Y432=C432,1,0)</f>
        <v/>
      </c>
    </row>
    <row r="433">
      <c r="A433">
        <f>'1 prepared data'!A426</f>
        <v/>
      </c>
      <c r="B433" s="5">
        <f>'1 prepared data'!U426</f>
        <v/>
      </c>
      <c r="C433">
        <f>'1 prepared data'!B426</f>
        <v/>
      </c>
      <c r="D433" s="7">
        <f>'1 prepared data'!C426</f>
        <v/>
      </c>
      <c r="E433" s="7">
        <f>'1 prepared data'!D426</f>
        <v/>
      </c>
      <c r="F433" s="7">
        <f>'1 prepared data'!E426</f>
        <v/>
      </c>
      <c r="G433" s="7">
        <f>'1 prepared data'!F426</f>
        <v/>
      </c>
      <c r="H433" s="7">
        <f>'1 prepared data'!G426</f>
        <v/>
      </c>
      <c r="I433" s="7">
        <f>'1 prepared data'!H426</f>
        <v/>
      </c>
      <c r="J433" s="7">
        <f>'1 prepared data'!I426</f>
        <v/>
      </c>
      <c r="K433" s="7">
        <f>'1 prepared data'!J426</f>
        <v/>
      </c>
      <c r="L433" s="7">
        <f>'1 prepared data'!K426</f>
        <v/>
      </c>
      <c r="M433" s="7">
        <f>'1 prepared data'!L426</f>
        <v/>
      </c>
      <c r="N433" s="7">
        <f>'1 prepared data'!M426</f>
        <v/>
      </c>
      <c r="O433" s="7">
        <f>'1 prepared data'!N426</f>
        <v/>
      </c>
      <c r="P433" s="7">
        <f>'1 prepared data'!O426</f>
        <v/>
      </c>
      <c r="Q433" s="7">
        <f>'1 prepared data'!P426</f>
        <v/>
      </c>
      <c r="R433" s="7">
        <f>'1 prepared data'!Q426</f>
        <v/>
      </c>
      <c r="S433" s="7">
        <f>'1 prepared data'!R426</f>
        <v/>
      </c>
      <c r="T433" s="7">
        <f>'1 prepared data'!S426</f>
        <v/>
      </c>
      <c r="U433" s="7">
        <f>'1 prepared data'!T426</f>
        <v/>
      </c>
      <c r="V433" s="8">
        <f>$AC$12+D433*$AC$13+E433*$AC$14+F433*$AC$15+G433*$AC$16+H433*$AC$17+I433*$AC$18+J433*$AC$19+K433*$AC$20+L433*$AC$21+M433*$AC$22+N433*$AC$23+O433*$AC$24+P433*$AC$25+Q433*$AC$26+R433*$AC$27+S433*$AC$28+T433*$AC$29+U433*$AC$30</f>
        <v/>
      </c>
      <c r="W433" s="8">
        <f>1/(1+EXP(-V433))</f>
        <v/>
      </c>
      <c r="X433" s="9">
        <f>-IF(C433=1,LN(W433),LN(1-W433))</f>
        <v/>
      </c>
      <c r="Y433" s="10">
        <f>IF(W433&gt;$AC$33,1,0)</f>
        <v/>
      </c>
      <c r="Z433">
        <f>IF(Y433=C433,1,0)</f>
        <v/>
      </c>
    </row>
    <row r="434">
      <c r="A434">
        <f>'1 prepared data'!A427</f>
        <v/>
      </c>
      <c r="B434" s="5">
        <f>'1 prepared data'!U427</f>
        <v/>
      </c>
      <c r="C434">
        <f>'1 prepared data'!B427</f>
        <v/>
      </c>
      <c r="D434" s="7">
        <f>'1 prepared data'!C427</f>
        <v/>
      </c>
      <c r="E434" s="7">
        <f>'1 prepared data'!D427</f>
        <v/>
      </c>
      <c r="F434" s="7">
        <f>'1 prepared data'!E427</f>
        <v/>
      </c>
      <c r="G434" s="7">
        <f>'1 prepared data'!F427</f>
        <v/>
      </c>
      <c r="H434" s="7">
        <f>'1 prepared data'!G427</f>
        <v/>
      </c>
      <c r="I434" s="7">
        <f>'1 prepared data'!H427</f>
        <v/>
      </c>
      <c r="J434" s="7">
        <f>'1 prepared data'!I427</f>
        <v/>
      </c>
      <c r="K434" s="7">
        <f>'1 prepared data'!J427</f>
        <v/>
      </c>
      <c r="L434" s="7">
        <f>'1 prepared data'!K427</f>
        <v/>
      </c>
      <c r="M434" s="7">
        <f>'1 prepared data'!L427</f>
        <v/>
      </c>
      <c r="N434" s="7">
        <f>'1 prepared data'!M427</f>
        <v/>
      </c>
      <c r="O434" s="7">
        <f>'1 prepared data'!N427</f>
        <v/>
      </c>
      <c r="P434" s="7">
        <f>'1 prepared data'!O427</f>
        <v/>
      </c>
      <c r="Q434" s="7">
        <f>'1 prepared data'!P427</f>
        <v/>
      </c>
      <c r="R434" s="7">
        <f>'1 prepared data'!Q427</f>
        <v/>
      </c>
      <c r="S434" s="7">
        <f>'1 prepared data'!R427</f>
        <v/>
      </c>
      <c r="T434" s="7">
        <f>'1 prepared data'!S427</f>
        <v/>
      </c>
      <c r="U434" s="7">
        <f>'1 prepared data'!T427</f>
        <v/>
      </c>
      <c r="V434" s="8">
        <f>$AC$12+D434*$AC$13+E434*$AC$14+F434*$AC$15+G434*$AC$16+H434*$AC$17+I434*$AC$18+J434*$AC$19+K434*$AC$20+L434*$AC$21+M434*$AC$22+N434*$AC$23+O434*$AC$24+P434*$AC$25+Q434*$AC$26+R434*$AC$27+S434*$AC$28+T434*$AC$29+U434*$AC$30</f>
        <v/>
      </c>
      <c r="W434" s="8">
        <f>1/(1+EXP(-V434))</f>
        <v/>
      </c>
      <c r="X434" s="9">
        <f>-IF(C434=1,LN(W434),LN(1-W434))</f>
        <v/>
      </c>
      <c r="Y434" s="10">
        <f>IF(W434&gt;$AC$33,1,0)</f>
        <v/>
      </c>
      <c r="Z434">
        <f>IF(Y434=C434,1,0)</f>
        <v/>
      </c>
    </row>
    <row r="435">
      <c r="A435">
        <f>'1 prepared data'!A428</f>
        <v/>
      </c>
      <c r="B435" s="5">
        <f>'1 prepared data'!U428</f>
        <v/>
      </c>
      <c r="C435">
        <f>'1 prepared data'!B428</f>
        <v/>
      </c>
      <c r="D435" s="7">
        <f>'1 prepared data'!C428</f>
        <v/>
      </c>
      <c r="E435" s="7">
        <f>'1 prepared data'!D428</f>
        <v/>
      </c>
      <c r="F435" s="7">
        <f>'1 prepared data'!E428</f>
        <v/>
      </c>
      <c r="G435" s="7">
        <f>'1 prepared data'!F428</f>
        <v/>
      </c>
      <c r="H435" s="7">
        <f>'1 prepared data'!G428</f>
        <v/>
      </c>
      <c r="I435" s="7">
        <f>'1 prepared data'!H428</f>
        <v/>
      </c>
      <c r="J435" s="7">
        <f>'1 prepared data'!I428</f>
        <v/>
      </c>
      <c r="K435" s="7">
        <f>'1 prepared data'!J428</f>
        <v/>
      </c>
      <c r="L435" s="7">
        <f>'1 prepared data'!K428</f>
        <v/>
      </c>
      <c r="M435" s="7">
        <f>'1 prepared data'!L428</f>
        <v/>
      </c>
      <c r="N435" s="7">
        <f>'1 prepared data'!M428</f>
        <v/>
      </c>
      <c r="O435" s="7">
        <f>'1 prepared data'!N428</f>
        <v/>
      </c>
      <c r="P435" s="7">
        <f>'1 prepared data'!O428</f>
        <v/>
      </c>
      <c r="Q435" s="7">
        <f>'1 prepared data'!P428</f>
        <v/>
      </c>
      <c r="R435" s="7">
        <f>'1 prepared data'!Q428</f>
        <v/>
      </c>
      <c r="S435" s="7">
        <f>'1 prepared data'!R428</f>
        <v/>
      </c>
      <c r="T435" s="7">
        <f>'1 prepared data'!S428</f>
        <v/>
      </c>
      <c r="U435" s="7">
        <f>'1 prepared data'!T428</f>
        <v/>
      </c>
      <c r="V435" s="8">
        <f>$AC$12+D435*$AC$13+E435*$AC$14+F435*$AC$15+G435*$AC$16+H435*$AC$17+I435*$AC$18+J435*$AC$19+K435*$AC$20+L435*$AC$21+M435*$AC$22+N435*$AC$23+O435*$AC$24+P435*$AC$25+Q435*$AC$26+R435*$AC$27+S435*$AC$28+T435*$AC$29+U435*$AC$30</f>
        <v/>
      </c>
      <c r="W435" s="8">
        <f>1/(1+EXP(-V435))</f>
        <v/>
      </c>
      <c r="X435" s="9">
        <f>-IF(C435=1,LN(W435),LN(1-W435))</f>
        <v/>
      </c>
      <c r="Y435" s="10">
        <f>IF(W435&gt;$AC$33,1,0)</f>
        <v/>
      </c>
      <c r="Z435">
        <f>IF(Y435=C435,1,0)</f>
        <v/>
      </c>
    </row>
    <row r="436">
      <c r="A436">
        <f>'1 prepared data'!A429</f>
        <v/>
      </c>
      <c r="B436" s="5">
        <f>'1 prepared data'!U429</f>
        <v/>
      </c>
      <c r="C436">
        <f>'1 prepared data'!B429</f>
        <v/>
      </c>
      <c r="D436" s="7">
        <f>'1 prepared data'!C429</f>
        <v/>
      </c>
      <c r="E436" s="7">
        <f>'1 prepared data'!D429</f>
        <v/>
      </c>
      <c r="F436" s="7">
        <f>'1 prepared data'!E429</f>
        <v/>
      </c>
      <c r="G436" s="7">
        <f>'1 prepared data'!F429</f>
        <v/>
      </c>
      <c r="H436" s="7">
        <f>'1 prepared data'!G429</f>
        <v/>
      </c>
      <c r="I436" s="7">
        <f>'1 prepared data'!H429</f>
        <v/>
      </c>
      <c r="J436" s="7">
        <f>'1 prepared data'!I429</f>
        <v/>
      </c>
      <c r="K436" s="7">
        <f>'1 prepared data'!J429</f>
        <v/>
      </c>
      <c r="L436" s="7">
        <f>'1 prepared data'!K429</f>
        <v/>
      </c>
      <c r="M436" s="7">
        <f>'1 prepared data'!L429</f>
        <v/>
      </c>
      <c r="N436" s="7">
        <f>'1 prepared data'!M429</f>
        <v/>
      </c>
      <c r="O436" s="7">
        <f>'1 prepared data'!N429</f>
        <v/>
      </c>
      <c r="P436" s="7">
        <f>'1 prepared data'!O429</f>
        <v/>
      </c>
      <c r="Q436" s="7">
        <f>'1 prepared data'!P429</f>
        <v/>
      </c>
      <c r="R436" s="7">
        <f>'1 prepared data'!Q429</f>
        <v/>
      </c>
      <c r="S436" s="7">
        <f>'1 prepared data'!R429</f>
        <v/>
      </c>
      <c r="T436" s="7">
        <f>'1 prepared data'!S429</f>
        <v/>
      </c>
      <c r="U436" s="7">
        <f>'1 prepared data'!T429</f>
        <v/>
      </c>
      <c r="V436" s="8">
        <f>$AC$12+D436*$AC$13+E436*$AC$14+F436*$AC$15+G436*$AC$16+H436*$AC$17+I436*$AC$18+J436*$AC$19+K436*$AC$20+L436*$AC$21+M436*$AC$22+N436*$AC$23+O436*$AC$24+P436*$AC$25+Q436*$AC$26+R436*$AC$27+S436*$AC$28+T436*$AC$29+U436*$AC$30</f>
        <v/>
      </c>
      <c r="W436" s="8">
        <f>1/(1+EXP(-V436))</f>
        <v/>
      </c>
      <c r="X436" s="9">
        <f>-IF(C436=1,LN(W436),LN(1-W436))</f>
        <v/>
      </c>
      <c r="Y436" s="10">
        <f>IF(W436&gt;$AC$33,1,0)</f>
        <v/>
      </c>
      <c r="Z436">
        <f>IF(Y436=C436,1,0)</f>
        <v/>
      </c>
    </row>
    <row r="437">
      <c r="A437">
        <f>'1 prepared data'!A430</f>
        <v/>
      </c>
      <c r="B437" s="5">
        <f>'1 prepared data'!U430</f>
        <v/>
      </c>
      <c r="C437">
        <f>'1 prepared data'!B430</f>
        <v/>
      </c>
      <c r="D437" s="7">
        <f>'1 prepared data'!C430</f>
        <v/>
      </c>
      <c r="E437" s="7">
        <f>'1 prepared data'!D430</f>
        <v/>
      </c>
      <c r="F437" s="7">
        <f>'1 prepared data'!E430</f>
        <v/>
      </c>
      <c r="G437" s="7">
        <f>'1 prepared data'!F430</f>
        <v/>
      </c>
      <c r="H437" s="7">
        <f>'1 prepared data'!G430</f>
        <v/>
      </c>
      <c r="I437" s="7">
        <f>'1 prepared data'!H430</f>
        <v/>
      </c>
      <c r="J437" s="7">
        <f>'1 prepared data'!I430</f>
        <v/>
      </c>
      <c r="K437" s="7">
        <f>'1 prepared data'!J430</f>
        <v/>
      </c>
      <c r="L437" s="7">
        <f>'1 prepared data'!K430</f>
        <v/>
      </c>
      <c r="M437" s="7">
        <f>'1 prepared data'!L430</f>
        <v/>
      </c>
      <c r="N437" s="7">
        <f>'1 prepared data'!M430</f>
        <v/>
      </c>
      <c r="O437" s="7">
        <f>'1 prepared data'!N430</f>
        <v/>
      </c>
      <c r="P437" s="7">
        <f>'1 prepared data'!O430</f>
        <v/>
      </c>
      <c r="Q437" s="7">
        <f>'1 prepared data'!P430</f>
        <v/>
      </c>
      <c r="R437" s="7">
        <f>'1 prepared data'!Q430</f>
        <v/>
      </c>
      <c r="S437" s="7">
        <f>'1 prepared data'!R430</f>
        <v/>
      </c>
      <c r="T437" s="7">
        <f>'1 prepared data'!S430</f>
        <v/>
      </c>
      <c r="U437" s="7">
        <f>'1 prepared data'!T430</f>
        <v/>
      </c>
      <c r="V437" s="8">
        <f>$AC$12+D437*$AC$13+E437*$AC$14+F437*$AC$15+G437*$AC$16+H437*$AC$17+I437*$AC$18+J437*$AC$19+K437*$AC$20+L437*$AC$21+M437*$AC$22+N437*$AC$23+O437*$AC$24+P437*$AC$25+Q437*$AC$26+R437*$AC$27+S437*$AC$28+T437*$AC$29+U437*$AC$30</f>
        <v/>
      </c>
      <c r="W437" s="8">
        <f>1/(1+EXP(-V437))</f>
        <v/>
      </c>
      <c r="X437" s="9">
        <f>-IF(C437=1,LN(W437),LN(1-W437))</f>
        <v/>
      </c>
      <c r="Y437" s="10">
        <f>IF(W437&gt;$AC$33,1,0)</f>
        <v/>
      </c>
      <c r="Z437">
        <f>IF(Y437=C437,1,0)</f>
        <v/>
      </c>
    </row>
    <row r="438">
      <c r="A438">
        <f>'1 prepared data'!A431</f>
        <v/>
      </c>
      <c r="B438" s="5">
        <f>'1 prepared data'!U431</f>
        <v/>
      </c>
      <c r="C438">
        <f>'1 prepared data'!B431</f>
        <v/>
      </c>
      <c r="D438" s="7">
        <f>'1 prepared data'!C431</f>
        <v/>
      </c>
      <c r="E438" s="7">
        <f>'1 prepared data'!D431</f>
        <v/>
      </c>
      <c r="F438" s="7">
        <f>'1 prepared data'!E431</f>
        <v/>
      </c>
      <c r="G438" s="7">
        <f>'1 prepared data'!F431</f>
        <v/>
      </c>
      <c r="H438" s="7">
        <f>'1 prepared data'!G431</f>
        <v/>
      </c>
      <c r="I438" s="7">
        <f>'1 prepared data'!H431</f>
        <v/>
      </c>
      <c r="J438" s="7">
        <f>'1 prepared data'!I431</f>
        <v/>
      </c>
      <c r="K438" s="7">
        <f>'1 prepared data'!J431</f>
        <v/>
      </c>
      <c r="L438" s="7">
        <f>'1 prepared data'!K431</f>
        <v/>
      </c>
      <c r="M438" s="7">
        <f>'1 prepared data'!L431</f>
        <v/>
      </c>
      <c r="N438" s="7">
        <f>'1 prepared data'!M431</f>
        <v/>
      </c>
      <c r="O438" s="7">
        <f>'1 prepared data'!N431</f>
        <v/>
      </c>
      <c r="P438" s="7">
        <f>'1 prepared data'!O431</f>
        <v/>
      </c>
      <c r="Q438" s="7">
        <f>'1 prepared data'!P431</f>
        <v/>
      </c>
      <c r="R438" s="7">
        <f>'1 prepared data'!Q431</f>
        <v/>
      </c>
      <c r="S438" s="7">
        <f>'1 prepared data'!R431</f>
        <v/>
      </c>
      <c r="T438" s="7">
        <f>'1 prepared data'!S431</f>
        <v/>
      </c>
      <c r="U438" s="7">
        <f>'1 prepared data'!T431</f>
        <v/>
      </c>
      <c r="V438" s="8">
        <f>$AC$12+D438*$AC$13+E438*$AC$14+F438*$AC$15+G438*$AC$16+H438*$AC$17+I438*$AC$18+J438*$AC$19+K438*$AC$20+L438*$AC$21+M438*$AC$22+N438*$AC$23+O438*$AC$24+P438*$AC$25+Q438*$AC$26+R438*$AC$27+S438*$AC$28+T438*$AC$29+U438*$AC$30</f>
        <v/>
      </c>
      <c r="W438" s="8">
        <f>1/(1+EXP(-V438))</f>
        <v/>
      </c>
      <c r="X438" s="9">
        <f>-IF(C438=1,LN(W438),LN(1-W438))</f>
        <v/>
      </c>
      <c r="Y438" s="10">
        <f>IF(W438&gt;$AC$33,1,0)</f>
        <v/>
      </c>
      <c r="Z438">
        <f>IF(Y438=C438,1,0)</f>
        <v/>
      </c>
    </row>
    <row r="439">
      <c r="A439">
        <f>'1 prepared data'!A432</f>
        <v/>
      </c>
      <c r="B439" s="5">
        <f>'1 prepared data'!U432</f>
        <v/>
      </c>
      <c r="C439">
        <f>'1 prepared data'!B432</f>
        <v/>
      </c>
      <c r="D439" s="7">
        <f>'1 prepared data'!C432</f>
        <v/>
      </c>
      <c r="E439" s="7">
        <f>'1 prepared data'!D432</f>
        <v/>
      </c>
      <c r="F439" s="7">
        <f>'1 prepared data'!E432</f>
        <v/>
      </c>
      <c r="G439" s="7">
        <f>'1 prepared data'!F432</f>
        <v/>
      </c>
      <c r="H439" s="7">
        <f>'1 prepared data'!G432</f>
        <v/>
      </c>
      <c r="I439" s="7">
        <f>'1 prepared data'!H432</f>
        <v/>
      </c>
      <c r="J439" s="7">
        <f>'1 prepared data'!I432</f>
        <v/>
      </c>
      <c r="K439" s="7">
        <f>'1 prepared data'!J432</f>
        <v/>
      </c>
      <c r="L439" s="7">
        <f>'1 prepared data'!K432</f>
        <v/>
      </c>
      <c r="M439" s="7">
        <f>'1 prepared data'!L432</f>
        <v/>
      </c>
      <c r="N439" s="7">
        <f>'1 prepared data'!M432</f>
        <v/>
      </c>
      <c r="O439" s="7">
        <f>'1 prepared data'!N432</f>
        <v/>
      </c>
      <c r="P439" s="7">
        <f>'1 prepared data'!O432</f>
        <v/>
      </c>
      <c r="Q439" s="7">
        <f>'1 prepared data'!P432</f>
        <v/>
      </c>
      <c r="R439" s="7">
        <f>'1 prepared data'!Q432</f>
        <v/>
      </c>
      <c r="S439" s="7">
        <f>'1 prepared data'!R432</f>
        <v/>
      </c>
      <c r="T439" s="7">
        <f>'1 prepared data'!S432</f>
        <v/>
      </c>
      <c r="U439" s="7">
        <f>'1 prepared data'!T432</f>
        <v/>
      </c>
      <c r="V439" s="8">
        <f>$AC$12+D439*$AC$13+E439*$AC$14+F439*$AC$15+G439*$AC$16+H439*$AC$17+I439*$AC$18+J439*$AC$19+K439*$AC$20+L439*$AC$21+M439*$AC$22+N439*$AC$23+O439*$AC$24+P439*$AC$25+Q439*$AC$26+R439*$AC$27+S439*$AC$28+T439*$AC$29+U439*$AC$30</f>
        <v/>
      </c>
      <c r="W439" s="8">
        <f>1/(1+EXP(-V439))</f>
        <v/>
      </c>
      <c r="X439" s="9">
        <f>-IF(C439=1,LN(W439),LN(1-W439))</f>
        <v/>
      </c>
      <c r="Y439" s="10">
        <f>IF(W439&gt;$AC$33,1,0)</f>
        <v/>
      </c>
      <c r="Z439">
        <f>IF(Y439=C439,1,0)</f>
        <v/>
      </c>
    </row>
    <row r="440">
      <c r="A440">
        <f>'1 prepared data'!A433</f>
        <v/>
      </c>
      <c r="B440" s="5">
        <f>'1 prepared data'!U433</f>
        <v/>
      </c>
      <c r="C440">
        <f>'1 prepared data'!B433</f>
        <v/>
      </c>
      <c r="D440" s="7">
        <f>'1 prepared data'!C433</f>
        <v/>
      </c>
      <c r="E440" s="7">
        <f>'1 prepared data'!D433</f>
        <v/>
      </c>
      <c r="F440" s="7">
        <f>'1 prepared data'!E433</f>
        <v/>
      </c>
      <c r="G440" s="7">
        <f>'1 prepared data'!F433</f>
        <v/>
      </c>
      <c r="H440" s="7">
        <f>'1 prepared data'!G433</f>
        <v/>
      </c>
      <c r="I440" s="7">
        <f>'1 prepared data'!H433</f>
        <v/>
      </c>
      <c r="J440" s="7">
        <f>'1 prepared data'!I433</f>
        <v/>
      </c>
      <c r="K440" s="7">
        <f>'1 prepared data'!J433</f>
        <v/>
      </c>
      <c r="L440" s="7">
        <f>'1 prepared data'!K433</f>
        <v/>
      </c>
      <c r="M440" s="7">
        <f>'1 prepared data'!L433</f>
        <v/>
      </c>
      <c r="N440" s="7">
        <f>'1 prepared data'!M433</f>
        <v/>
      </c>
      <c r="O440" s="7">
        <f>'1 prepared data'!N433</f>
        <v/>
      </c>
      <c r="P440" s="7">
        <f>'1 prepared data'!O433</f>
        <v/>
      </c>
      <c r="Q440" s="7">
        <f>'1 prepared data'!P433</f>
        <v/>
      </c>
      <c r="R440" s="7">
        <f>'1 prepared data'!Q433</f>
        <v/>
      </c>
      <c r="S440" s="7">
        <f>'1 prepared data'!R433</f>
        <v/>
      </c>
      <c r="T440" s="7">
        <f>'1 prepared data'!S433</f>
        <v/>
      </c>
      <c r="U440" s="7">
        <f>'1 prepared data'!T433</f>
        <v/>
      </c>
      <c r="V440" s="8">
        <f>$AC$12+D440*$AC$13+E440*$AC$14+F440*$AC$15+G440*$AC$16+H440*$AC$17+I440*$AC$18+J440*$AC$19+K440*$AC$20+L440*$AC$21+M440*$AC$22+N440*$AC$23+O440*$AC$24+P440*$AC$25+Q440*$AC$26+R440*$AC$27+S440*$AC$28+T440*$AC$29+U440*$AC$30</f>
        <v/>
      </c>
      <c r="W440" s="8">
        <f>1/(1+EXP(-V440))</f>
        <v/>
      </c>
      <c r="X440" s="9">
        <f>-IF(C440=1,LN(W440),LN(1-W440))</f>
        <v/>
      </c>
      <c r="Y440" s="10">
        <f>IF(W440&gt;$AC$33,1,0)</f>
        <v/>
      </c>
      <c r="Z440">
        <f>IF(Y440=C440,1,0)</f>
        <v/>
      </c>
    </row>
    <row r="441">
      <c r="A441">
        <f>'1 prepared data'!A434</f>
        <v/>
      </c>
      <c r="B441" s="5">
        <f>'1 prepared data'!U434</f>
        <v/>
      </c>
      <c r="C441">
        <f>'1 prepared data'!B434</f>
        <v/>
      </c>
      <c r="D441" s="7">
        <f>'1 prepared data'!C434</f>
        <v/>
      </c>
      <c r="E441" s="7">
        <f>'1 prepared data'!D434</f>
        <v/>
      </c>
      <c r="F441" s="7">
        <f>'1 prepared data'!E434</f>
        <v/>
      </c>
      <c r="G441" s="7">
        <f>'1 prepared data'!F434</f>
        <v/>
      </c>
      <c r="H441" s="7">
        <f>'1 prepared data'!G434</f>
        <v/>
      </c>
      <c r="I441" s="7">
        <f>'1 prepared data'!H434</f>
        <v/>
      </c>
      <c r="J441" s="7">
        <f>'1 prepared data'!I434</f>
        <v/>
      </c>
      <c r="K441" s="7">
        <f>'1 prepared data'!J434</f>
        <v/>
      </c>
      <c r="L441" s="7">
        <f>'1 prepared data'!K434</f>
        <v/>
      </c>
      <c r="M441" s="7">
        <f>'1 prepared data'!L434</f>
        <v/>
      </c>
      <c r="N441" s="7">
        <f>'1 prepared data'!M434</f>
        <v/>
      </c>
      <c r="O441" s="7">
        <f>'1 prepared data'!N434</f>
        <v/>
      </c>
      <c r="P441" s="7">
        <f>'1 prepared data'!O434</f>
        <v/>
      </c>
      <c r="Q441" s="7">
        <f>'1 prepared data'!P434</f>
        <v/>
      </c>
      <c r="R441" s="7">
        <f>'1 prepared data'!Q434</f>
        <v/>
      </c>
      <c r="S441" s="7">
        <f>'1 prepared data'!R434</f>
        <v/>
      </c>
      <c r="T441" s="7">
        <f>'1 prepared data'!S434</f>
        <v/>
      </c>
      <c r="U441" s="7">
        <f>'1 prepared data'!T434</f>
        <v/>
      </c>
      <c r="V441" s="8">
        <f>$AC$12+D441*$AC$13+E441*$AC$14+F441*$AC$15+G441*$AC$16+H441*$AC$17+I441*$AC$18+J441*$AC$19+K441*$AC$20+L441*$AC$21+M441*$AC$22+N441*$AC$23+O441*$AC$24+P441*$AC$25+Q441*$AC$26+R441*$AC$27+S441*$AC$28+T441*$AC$29+U441*$AC$30</f>
        <v/>
      </c>
      <c r="W441" s="8">
        <f>1/(1+EXP(-V441))</f>
        <v/>
      </c>
      <c r="X441" s="9">
        <f>-IF(C441=1,LN(W441),LN(1-W441))</f>
        <v/>
      </c>
      <c r="Y441" s="10">
        <f>IF(W441&gt;$AC$33,1,0)</f>
        <v/>
      </c>
      <c r="Z441">
        <f>IF(Y441=C441,1,0)</f>
        <v/>
      </c>
    </row>
    <row r="442">
      <c r="A442">
        <f>'1 prepared data'!A435</f>
        <v/>
      </c>
      <c r="B442" s="5">
        <f>'1 prepared data'!U435</f>
        <v/>
      </c>
      <c r="C442">
        <f>'1 prepared data'!B435</f>
        <v/>
      </c>
      <c r="D442" s="7">
        <f>'1 prepared data'!C435</f>
        <v/>
      </c>
      <c r="E442" s="7">
        <f>'1 prepared data'!D435</f>
        <v/>
      </c>
      <c r="F442" s="7">
        <f>'1 prepared data'!E435</f>
        <v/>
      </c>
      <c r="G442" s="7">
        <f>'1 prepared data'!F435</f>
        <v/>
      </c>
      <c r="H442" s="7">
        <f>'1 prepared data'!G435</f>
        <v/>
      </c>
      <c r="I442" s="7">
        <f>'1 prepared data'!H435</f>
        <v/>
      </c>
      <c r="J442" s="7">
        <f>'1 prepared data'!I435</f>
        <v/>
      </c>
      <c r="K442" s="7">
        <f>'1 prepared data'!J435</f>
        <v/>
      </c>
      <c r="L442" s="7">
        <f>'1 prepared data'!K435</f>
        <v/>
      </c>
      <c r="M442" s="7">
        <f>'1 prepared data'!L435</f>
        <v/>
      </c>
      <c r="N442" s="7">
        <f>'1 prepared data'!M435</f>
        <v/>
      </c>
      <c r="O442" s="7">
        <f>'1 prepared data'!N435</f>
        <v/>
      </c>
      <c r="P442" s="7">
        <f>'1 prepared data'!O435</f>
        <v/>
      </c>
      <c r="Q442" s="7">
        <f>'1 prepared data'!P435</f>
        <v/>
      </c>
      <c r="R442" s="7">
        <f>'1 prepared data'!Q435</f>
        <v/>
      </c>
      <c r="S442" s="7">
        <f>'1 prepared data'!R435</f>
        <v/>
      </c>
      <c r="T442" s="7">
        <f>'1 prepared data'!S435</f>
        <v/>
      </c>
      <c r="U442" s="7">
        <f>'1 prepared data'!T435</f>
        <v/>
      </c>
      <c r="V442" s="8">
        <f>$AC$12+D442*$AC$13+E442*$AC$14+F442*$AC$15+G442*$AC$16+H442*$AC$17+I442*$AC$18+J442*$AC$19+K442*$AC$20+L442*$AC$21+M442*$AC$22+N442*$AC$23+O442*$AC$24+P442*$AC$25+Q442*$AC$26+R442*$AC$27+S442*$AC$28+T442*$AC$29+U442*$AC$30</f>
        <v/>
      </c>
      <c r="W442" s="8">
        <f>1/(1+EXP(-V442))</f>
        <v/>
      </c>
      <c r="X442" s="9">
        <f>-IF(C442=1,LN(W442),LN(1-W442))</f>
        <v/>
      </c>
      <c r="Y442" s="10">
        <f>IF(W442&gt;$AC$33,1,0)</f>
        <v/>
      </c>
      <c r="Z442">
        <f>IF(Y442=C442,1,0)</f>
        <v/>
      </c>
    </row>
    <row r="443">
      <c r="A443">
        <f>'1 prepared data'!A436</f>
        <v/>
      </c>
      <c r="B443" s="5">
        <f>'1 prepared data'!U436</f>
        <v/>
      </c>
      <c r="C443">
        <f>'1 prepared data'!B436</f>
        <v/>
      </c>
      <c r="D443" s="7">
        <f>'1 prepared data'!C436</f>
        <v/>
      </c>
      <c r="E443" s="7">
        <f>'1 prepared data'!D436</f>
        <v/>
      </c>
      <c r="F443" s="7">
        <f>'1 prepared data'!E436</f>
        <v/>
      </c>
      <c r="G443" s="7">
        <f>'1 prepared data'!F436</f>
        <v/>
      </c>
      <c r="H443" s="7">
        <f>'1 prepared data'!G436</f>
        <v/>
      </c>
      <c r="I443" s="7">
        <f>'1 prepared data'!H436</f>
        <v/>
      </c>
      <c r="J443" s="7">
        <f>'1 prepared data'!I436</f>
        <v/>
      </c>
      <c r="K443" s="7">
        <f>'1 prepared data'!J436</f>
        <v/>
      </c>
      <c r="L443" s="7">
        <f>'1 prepared data'!K436</f>
        <v/>
      </c>
      <c r="M443" s="7">
        <f>'1 prepared data'!L436</f>
        <v/>
      </c>
      <c r="N443" s="7">
        <f>'1 prepared data'!M436</f>
        <v/>
      </c>
      <c r="O443" s="7">
        <f>'1 prepared data'!N436</f>
        <v/>
      </c>
      <c r="P443" s="7">
        <f>'1 prepared data'!O436</f>
        <v/>
      </c>
      <c r="Q443" s="7">
        <f>'1 prepared data'!P436</f>
        <v/>
      </c>
      <c r="R443" s="7">
        <f>'1 prepared data'!Q436</f>
        <v/>
      </c>
      <c r="S443" s="7">
        <f>'1 prepared data'!R436</f>
        <v/>
      </c>
      <c r="T443" s="7">
        <f>'1 prepared data'!S436</f>
        <v/>
      </c>
      <c r="U443" s="7">
        <f>'1 prepared data'!T436</f>
        <v/>
      </c>
      <c r="V443" s="8">
        <f>$AC$12+D443*$AC$13+E443*$AC$14+F443*$AC$15+G443*$AC$16+H443*$AC$17+I443*$AC$18+J443*$AC$19+K443*$AC$20+L443*$AC$21+M443*$AC$22+N443*$AC$23+O443*$AC$24+P443*$AC$25+Q443*$AC$26+R443*$AC$27+S443*$AC$28+T443*$AC$29+U443*$AC$30</f>
        <v/>
      </c>
      <c r="W443" s="8">
        <f>1/(1+EXP(-V443))</f>
        <v/>
      </c>
      <c r="X443" s="9">
        <f>-IF(C443=1,LN(W443),LN(1-W443))</f>
        <v/>
      </c>
      <c r="Y443" s="10">
        <f>IF(W443&gt;$AC$33,1,0)</f>
        <v/>
      </c>
      <c r="Z443">
        <f>IF(Y443=C443,1,0)</f>
        <v/>
      </c>
    </row>
    <row r="444">
      <c r="A444">
        <f>'1 prepared data'!A437</f>
        <v/>
      </c>
      <c r="B444" s="5">
        <f>'1 prepared data'!U437</f>
        <v/>
      </c>
      <c r="C444">
        <f>'1 prepared data'!B437</f>
        <v/>
      </c>
      <c r="D444" s="7">
        <f>'1 prepared data'!C437</f>
        <v/>
      </c>
      <c r="E444" s="7">
        <f>'1 prepared data'!D437</f>
        <v/>
      </c>
      <c r="F444" s="7">
        <f>'1 prepared data'!E437</f>
        <v/>
      </c>
      <c r="G444" s="7">
        <f>'1 prepared data'!F437</f>
        <v/>
      </c>
      <c r="H444" s="7">
        <f>'1 prepared data'!G437</f>
        <v/>
      </c>
      <c r="I444" s="7">
        <f>'1 prepared data'!H437</f>
        <v/>
      </c>
      <c r="J444" s="7">
        <f>'1 prepared data'!I437</f>
        <v/>
      </c>
      <c r="K444" s="7">
        <f>'1 prepared data'!J437</f>
        <v/>
      </c>
      <c r="L444" s="7">
        <f>'1 prepared data'!K437</f>
        <v/>
      </c>
      <c r="M444" s="7">
        <f>'1 prepared data'!L437</f>
        <v/>
      </c>
      <c r="N444" s="7">
        <f>'1 prepared data'!M437</f>
        <v/>
      </c>
      <c r="O444" s="7">
        <f>'1 prepared data'!N437</f>
        <v/>
      </c>
      <c r="P444" s="7">
        <f>'1 prepared data'!O437</f>
        <v/>
      </c>
      <c r="Q444" s="7">
        <f>'1 prepared data'!P437</f>
        <v/>
      </c>
      <c r="R444" s="7">
        <f>'1 prepared data'!Q437</f>
        <v/>
      </c>
      <c r="S444" s="7">
        <f>'1 prepared data'!R437</f>
        <v/>
      </c>
      <c r="T444" s="7">
        <f>'1 prepared data'!S437</f>
        <v/>
      </c>
      <c r="U444" s="7">
        <f>'1 prepared data'!T437</f>
        <v/>
      </c>
      <c r="V444" s="8">
        <f>$AC$12+D444*$AC$13+E444*$AC$14+F444*$AC$15+G444*$AC$16+H444*$AC$17+I444*$AC$18+J444*$AC$19+K444*$AC$20+L444*$AC$21+M444*$AC$22+N444*$AC$23+O444*$AC$24+P444*$AC$25+Q444*$AC$26+R444*$AC$27+S444*$AC$28+T444*$AC$29+U444*$AC$30</f>
        <v/>
      </c>
      <c r="W444" s="8">
        <f>1/(1+EXP(-V444))</f>
        <v/>
      </c>
      <c r="X444" s="9">
        <f>-IF(C444=1,LN(W444),LN(1-W444))</f>
        <v/>
      </c>
      <c r="Y444" s="10">
        <f>IF(W444&gt;$AC$33,1,0)</f>
        <v/>
      </c>
      <c r="Z444">
        <f>IF(Y444=C444,1,0)</f>
        <v/>
      </c>
    </row>
    <row r="445">
      <c r="A445">
        <f>'1 prepared data'!A438</f>
        <v/>
      </c>
      <c r="B445" s="5">
        <f>'1 prepared data'!U438</f>
        <v/>
      </c>
      <c r="C445">
        <f>'1 prepared data'!B438</f>
        <v/>
      </c>
      <c r="D445" s="7">
        <f>'1 prepared data'!C438</f>
        <v/>
      </c>
      <c r="E445" s="7">
        <f>'1 prepared data'!D438</f>
        <v/>
      </c>
      <c r="F445" s="7">
        <f>'1 prepared data'!E438</f>
        <v/>
      </c>
      <c r="G445" s="7">
        <f>'1 prepared data'!F438</f>
        <v/>
      </c>
      <c r="H445" s="7">
        <f>'1 prepared data'!G438</f>
        <v/>
      </c>
      <c r="I445" s="7">
        <f>'1 prepared data'!H438</f>
        <v/>
      </c>
      <c r="J445" s="7">
        <f>'1 prepared data'!I438</f>
        <v/>
      </c>
      <c r="K445" s="7">
        <f>'1 prepared data'!J438</f>
        <v/>
      </c>
      <c r="L445" s="7">
        <f>'1 prepared data'!K438</f>
        <v/>
      </c>
      <c r="M445" s="7">
        <f>'1 prepared data'!L438</f>
        <v/>
      </c>
      <c r="N445" s="7">
        <f>'1 prepared data'!M438</f>
        <v/>
      </c>
      <c r="O445" s="7">
        <f>'1 prepared data'!N438</f>
        <v/>
      </c>
      <c r="P445" s="7">
        <f>'1 prepared data'!O438</f>
        <v/>
      </c>
      <c r="Q445" s="7">
        <f>'1 prepared data'!P438</f>
        <v/>
      </c>
      <c r="R445" s="7">
        <f>'1 prepared data'!Q438</f>
        <v/>
      </c>
      <c r="S445" s="7">
        <f>'1 prepared data'!R438</f>
        <v/>
      </c>
      <c r="T445" s="7">
        <f>'1 prepared data'!S438</f>
        <v/>
      </c>
      <c r="U445" s="7">
        <f>'1 prepared data'!T438</f>
        <v/>
      </c>
      <c r="V445" s="8">
        <f>$AC$12+D445*$AC$13+E445*$AC$14+F445*$AC$15+G445*$AC$16+H445*$AC$17+I445*$AC$18+J445*$AC$19+K445*$AC$20+L445*$AC$21+M445*$AC$22+N445*$AC$23+O445*$AC$24+P445*$AC$25+Q445*$AC$26+R445*$AC$27+S445*$AC$28+T445*$AC$29+U445*$AC$30</f>
        <v/>
      </c>
      <c r="W445" s="8">
        <f>1/(1+EXP(-V445))</f>
        <v/>
      </c>
      <c r="X445" s="9">
        <f>-IF(C445=1,LN(W445),LN(1-W445))</f>
        <v/>
      </c>
      <c r="Y445" s="10">
        <f>IF(W445&gt;$AC$33,1,0)</f>
        <v/>
      </c>
      <c r="Z445">
        <f>IF(Y445=C445,1,0)</f>
        <v/>
      </c>
    </row>
    <row r="446">
      <c r="A446">
        <f>'1 prepared data'!A439</f>
        <v/>
      </c>
      <c r="B446" s="5">
        <f>'1 prepared data'!U439</f>
        <v/>
      </c>
      <c r="C446">
        <f>'1 prepared data'!B439</f>
        <v/>
      </c>
      <c r="D446" s="7">
        <f>'1 prepared data'!C439</f>
        <v/>
      </c>
      <c r="E446" s="7">
        <f>'1 prepared data'!D439</f>
        <v/>
      </c>
      <c r="F446" s="7">
        <f>'1 prepared data'!E439</f>
        <v/>
      </c>
      <c r="G446" s="7">
        <f>'1 prepared data'!F439</f>
        <v/>
      </c>
      <c r="H446" s="7">
        <f>'1 prepared data'!G439</f>
        <v/>
      </c>
      <c r="I446" s="7">
        <f>'1 prepared data'!H439</f>
        <v/>
      </c>
      <c r="J446" s="7">
        <f>'1 prepared data'!I439</f>
        <v/>
      </c>
      <c r="K446" s="7">
        <f>'1 prepared data'!J439</f>
        <v/>
      </c>
      <c r="L446" s="7">
        <f>'1 prepared data'!K439</f>
        <v/>
      </c>
      <c r="M446" s="7">
        <f>'1 prepared data'!L439</f>
        <v/>
      </c>
      <c r="N446" s="7">
        <f>'1 prepared data'!M439</f>
        <v/>
      </c>
      <c r="O446" s="7">
        <f>'1 prepared data'!N439</f>
        <v/>
      </c>
      <c r="P446" s="7">
        <f>'1 prepared data'!O439</f>
        <v/>
      </c>
      <c r="Q446" s="7">
        <f>'1 prepared data'!P439</f>
        <v/>
      </c>
      <c r="R446" s="7">
        <f>'1 prepared data'!Q439</f>
        <v/>
      </c>
      <c r="S446" s="7">
        <f>'1 prepared data'!R439</f>
        <v/>
      </c>
      <c r="T446" s="7">
        <f>'1 prepared data'!S439</f>
        <v/>
      </c>
      <c r="U446" s="7">
        <f>'1 prepared data'!T439</f>
        <v/>
      </c>
      <c r="V446" s="8">
        <f>$AC$12+D446*$AC$13+E446*$AC$14+F446*$AC$15+G446*$AC$16+H446*$AC$17+I446*$AC$18+J446*$AC$19+K446*$AC$20+L446*$AC$21+M446*$AC$22+N446*$AC$23+O446*$AC$24+P446*$AC$25+Q446*$AC$26+R446*$AC$27+S446*$AC$28+T446*$AC$29+U446*$AC$30</f>
        <v/>
      </c>
      <c r="W446" s="8">
        <f>1/(1+EXP(-V446))</f>
        <v/>
      </c>
      <c r="X446" s="9">
        <f>-IF(C446=1,LN(W446),LN(1-W446))</f>
        <v/>
      </c>
      <c r="Y446" s="10">
        <f>IF(W446&gt;$AC$33,1,0)</f>
        <v/>
      </c>
      <c r="Z446">
        <f>IF(Y446=C446,1,0)</f>
        <v/>
      </c>
    </row>
    <row r="447">
      <c r="A447">
        <f>'1 prepared data'!A440</f>
        <v/>
      </c>
      <c r="B447" s="5">
        <f>'1 prepared data'!U440</f>
        <v/>
      </c>
      <c r="C447">
        <f>'1 prepared data'!B440</f>
        <v/>
      </c>
      <c r="D447" s="7">
        <f>'1 prepared data'!C440</f>
        <v/>
      </c>
      <c r="E447" s="7">
        <f>'1 prepared data'!D440</f>
        <v/>
      </c>
      <c r="F447" s="7">
        <f>'1 prepared data'!E440</f>
        <v/>
      </c>
      <c r="G447" s="7">
        <f>'1 prepared data'!F440</f>
        <v/>
      </c>
      <c r="H447" s="7">
        <f>'1 prepared data'!G440</f>
        <v/>
      </c>
      <c r="I447" s="7">
        <f>'1 prepared data'!H440</f>
        <v/>
      </c>
      <c r="J447" s="7">
        <f>'1 prepared data'!I440</f>
        <v/>
      </c>
      <c r="K447" s="7">
        <f>'1 prepared data'!J440</f>
        <v/>
      </c>
      <c r="L447" s="7">
        <f>'1 prepared data'!K440</f>
        <v/>
      </c>
      <c r="M447" s="7">
        <f>'1 prepared data'!L440</f>
        <v/>
      </c>
      <c r="N447" s="7">
        <f>'1 prepared data'!M440</f>
        <v/>
      </c>
      <c r="O447" s="7">
        <f>'1 prepared data'!N440</f>
        <v/>
      </c>
      <c r="P447" s="7">
        <f>'1 prepared data'!O440</f>
        <v/>
      </c>
      <c r="Q447" s="7">
        <f>'1 prepared data'!P440</f>
        <v/>
      </c>
      <c r="R447" s="7">
        <f>'1 prepared data'!Q440</f>
        <v/>
      </c>
      <c r="S447" s="7">
        <f>'1 prepared data'!R440</f>
        <v/>
      </c>
      <c r="T447" s="7">
        <f>'1 prepared data'!S440</f>
        <v/>
      </c>
      <c r="U447" s="7">
        <f>'1 prepared data'!T440</f>
        <v/>
      </c>
      <c r="V447" s="8">
        <f>$AC$12+D447*$AC$13+E447*$AC$14+F447*$AC$15+G447*$AC$16+H447*$AC$17+I447*$AC$18+J447*$AC$19+K447*$AC$20+L447*$AC$21+M447*$AC$22+N447*$AC$23+O447*$AC$24+P447*$AC$25+Q447*$AC$26+R447*$AC$27+S447*$AC$28+T447*$AC$29+U447*$AC$30</f>
        <v/>
      </c>
      <c r="W447" s="8">
        <f>1/(1+EXP(-V447))</f>
        <v/>
      </c>
      <c r="X447" s="9">
        <f>-IF(C447=1,LN(W447),LN(1-W447))</f>
        <v/>
      </c>
      <c r="Y447" s="10">
        <f>IF(W447&gt;$AC$33,1,0)</f>
        <v/>
      </c>
      <c r="Z447">
        <f>IF(Y447=C447,1,0)</f>
        <v/>
      </c>
    </row>
    <row r="448">
      <c r="A448">
        <f>'1 prepared data'!A441</f>
        <v/>
      </c>
      <c r="B448" s="5">
        <f>'1 prepared data'!U441</f>
        <v/>
      </c>
      <c r="C448">
        <f>'1 prepared data'!B441</f>
        <v/>
      </c>
      <c r="D448" s="7">
        <f>'1 prepared data'!C441</f>
        <v/>
      </c>
      <c r="E448" s="7">
        <f>'1 prepared data'!D441</f>
        <v/>
      </c>
      <c r="F448" s="7">
        <f>'1 prepared data'!E441</f>
        <v/>
      </c>
      <c r="G448" s="7">
        <f>'1 prepared data'!F441</f>
        <v/>
      </c>
      <c r="H448" s="7">
        <f>'1 prepared data'!G441</f>
        <v/>
      </c>
      <c r="I448" s="7">
        <f>'1 prepared data'!H441</f>
        <v/>
      </c>
      <c r="J448" s="7">
        <f>'1 prepared data'!I441</f>
        <v/>
      </c>
      <c r="K448" s="7">
        <f>'1 prepared data'!J441</f>
        <v/>
      </c>
      <c r="L448" s="7">
        <f>'1 prepared data'!K441</f>
        <v/>
      </c>
      <c r="M448" s="7">
        <f>'1 prepared data'!L441</f>
        <v/>
      </c>
      <c r="N448" s="7">
        <f>'1 prepared data'!M441</f>
        <v/>
      </c>
      <c r="O448" s="7">
        <f>'1 prepared data'!N441</f>
        <v/>
      </c>
      <c r="P448" s="7">
        <f>'1 prepared data'!O441</f>
        <v/>
      </c>
      <c r="Q448" s="7">
        <f>'1 prepared data'!P441</f>
        <v/>
      </c>
      <c r="R448" s="7">
        <f>'1 prepared data'!Q441</f>
        <v/>
      </c>
      <c r="S448" s="7">
        <f>'1 prepared data'!R441</f>
        <v/>
      </c>
      <c r="T448" s="7">
        <f>'1 prepared data'!S441</f>
        <v/>
      </c>
      <c r="U448" s="7">
        <f>'1 prepared data'!T441</f>
        <v/>
      </c>
      <c r="V448" s="8">
        <f>$AC$12+D448*$AC$13+E448*$AC$14+F448*$AC$15+G448*$AC$16+H448*$AC$17+I448*$AC$18+J448*$AC$19+K448*$AC$20+L448*$AC$21+M448*$AC$22+N448*$AC$23+O448*$AC$24+P448*$AC$25+Q448*$AC$26+R448*$AC$27+S448*$AC$28+T448*$AC$29+U448*$AC$30</f>
        <v/>
      </c>
      <c r="W448" s="8">
        <f>1/(1+EXP(-V448))</f>
        <v/>
      </c>
      <c r="X448" s="9">
        <f>-IF(C448=1,LN(W448),LN(1-W448))</f>
        <v/>
      </c>
      <c r="Y448" s="10">
        <f>IF(W448&gt;$AC$33,1,0)</f>
        <v/>
      </c>
      <c r="Z448">
        <f>IF(Y448=C448,1,0)</f>
        <v/>
      </c>
    </row>
    <row r="449">
      <c r="A449">
        <f>'1 prepared data'!A442</f>
        <v/>
      </c>
      <c r="B449" s="5">
        <f>'1 prepared data'!U442</f>
        <v/>
      </c>
      <c r="C449">
        <f>'1 prepared data'!B442</f>
        <v/>
      </c>
      <c r="D449" s="7">
        <f>'1 prepared data'!C442</f>
        <v/>
      </c>
      <c r="E449" s="7">
        <f>'1 prepared data'!D442</f>
        <v/>
      </c>
      <c r="F449" s="7">
        <f>'1 prepared data'!E442</f>
        <v/>
      </c>
      <c r="G449" s="7">
        <f>'1 prepared data'!F442</f>
        <v/>
      </c>
      <c r="H449" s="7">
        <f>'1 prepared data'!G442</f>
        <v/>
      </c>
      <c r="I449" s="7">
        <f>'1 prepared data'!H442</f>
        <v/>
      </c>
      <c r="J449" s="7">
        <f>'1 prepared data'!I442</f>
        <v/>
      </c>
      <c r="K449" s="7">
        <f>'1 prepared data'!J442</f>
        <v/>
      </c>
      <c r="L449" s="7">
        <f>'1 prepared data'!K442</f>
        <v/>
      </c>
      <c r="M449" s="7">
        <f>'1 prepared data'!L442</f>
        <v/>
      </c>
      <c r="N449" s="7">
        <f>'1 prepared data'!M442</f>
        <v/>
      </c>
      <c r="O449" s="7">
        <f>'1 prepared data'!N442</f>
        <v/>
      </c>
      <c r="P449" s="7">
        <f>'1 prepared data'!O442</f>
        <v/>
      </c>
      <c r="Q449" s="7">
        <f>'1 prepared data'!P442</f>
        <v/>
      </c>
      <c r="R449" s="7">
        <f>'1 prepared data'!Q442</f>
        <v/>
      </c>
      <c r="S449" s="7">
        <f>'1 prepared data'!R442</f>
        <v/>
      </c>
      <c r="T449" s="7">
        <f>'1 prepared data'!S442</f>
        <v/>
      </c>
      <c r="U449" s="7">
        <f>'1 prepared data'!T442</f>
        <v/>
      </c>
      <c r="V449" s="8">
        <f>$AC$12+D449*$AC$13+E449*$AC$14+F449*$AC$15+G449*$AC$16+H449*$AC$17+I449*$AC$18+J449*$AC$19+K449*$AC$20+L449*$AC$21+M449*$AC$22+N449*$AC$23+O449*$AC$24+P449*$AC$25+Q449*$AC$26+R449*$AC$27+S449*$AC$28+T449*$AC$29+U449*$AC$30</f>
        <v/>
      </c>
      <c r="W449" s="8">
        <f>1/(1+EXP(-V449))</f>
        <v/>
      </c>
      <c r="X449" s="9">
        <f>-IF(C449=1,LN(W449),LN(1-W449))</f>
        <v/>
      </c>
      <c r="Y449" s="10">
        <f>IF(W449&gt;$AC$33,1,0)</f>
        <v/>
      </c>
      <c r="Z449">
        <f>IF(Y449=C449,1,0)</f>
        <v/>
      </c>
    </row>
    <row r="450">
      <c r="A450">
        <f>'1 prepared data'!A443</f>
        <v/>
      </c>
      <c r="B450" s="5">
        <f>'1 prepared data'!U443</f>
        <v/>
      </c>
      <c r="C450">
        <f>'1 prepared data'!B443</f>
        <v/>
      </c>
      <c r="D450" s="7">
        <f>'1 prepared data'!C443</f>
        <v/>
      </c>
      <c r="E450" s="7">
        <f>'1 prepared data'!D443</f>
        <v/>
      </c>
      <c r="F450" s="7">
        <f>'1 prepared data'!E443</f>
        <v/>
      </c>
      <c r="G450" s="7">
        <f>'1 prepared data'!F443</f>
        <v/>
      </c>
      <c r="H450" s="7">
        <f>'1 prepared data'!G443</f>
        <v/>
      </c>
      <c r="I450" s="7">
        <f>'1 prepared data'!H443</f>
        <v/>
      </c>
      <c r="J450" s="7">
        <f>'1 prepared data'!I443</f>
        <v/>
      </c>
      <c r="K450" s="7">
        <f>'1 prepared data'!J443</f>
        <v/>
      </c>
      <c r="L450" s="7">
        <f>'1 prepared data'!K443</f>
        <v/>
      </c>
      <c r="M450" s="7">
        <f>'1 prepared data'!L443</f>
        <v/>
      </c>
      <c r="N450" s="7">
        <f>'1 prepared data'!M443</f>
        <v/>
      </c>
      <c r="O450" s="7">
        <f>'1 prepared data'!N443</f>
        <v/>
      </c>
      <c r="P450" s="7">
        <f>'1 prepared data'!O443</f>
        <v/>
      </c>
      <c r="Q450" s="7">
        <f>'1 prepared data'!P443</f>
        <v/>
      </c>
      <c r="R450" s="7">
        <f>'1 prepared data'!Q443</f>
        <v/>
      </c>
      <c r="S450" s="7">
        <f>'1 prepared data'!R443</f>
        <v/>
      </c>
      <c r="T450" s="7">
        <f>'1 prepared data'!S443</f>
        <v/>
      </c>
      <c r="U450" s="7">
        <f>'1 prepared data'!T443</f>
        <v/>
      </c>
      <c r="V450" s="8">
        <f>$AC$12+D450*$AC$13+E450*$AC$14+F450*$AC$15+G450*$AC$16+H450*$AC$17+I450*$AC$18+J450*$AC$19+K450*$AC$20+L450*$AC$21+M450*$AC$22+N450*$AC$23+O450*$AC$24+P450*$AC$25+Q450*$AC$26+R450*$AC$27+S450*$AC$28+T450*$AC$29+U450*$AC$30</f>
        <v/>
      </c>
      <c r="W450" s="8">
        <f>1/(1+EXP(-V450))</f>
        <v/>
      </c>
      <c r="X450" s="9">
        <f>-IF(C450=1,LN(W450),LN(1-W450))</f>
        <v/>
      </c>
      <c r="Y450" s="10">
        <f>IF(W450&gt;$AC$33,1,0)</f>
        <v/>
      </c>
      <c r="Z450">
        <f>IF(Y450=C450,1,0)</f>
        <v/>
      </c>
    </row>
    <row r="451">
      <c r="A451">
        <f>'1 prepared data'!A444</f>
        <v/>
      </c>
      <c r="B451" s="5">
        <f>'1 prepared data'!U444</f>
        <v/>
      </c>
      <c r="C451">
        <f>'1 prepared data'!B444</f>
        <v/>
      </c>
      <c r="D451" s="7">
        <f>'1 prepared data'!C444</f>
        <v/>
      </c>
      <c r="E451" s="7">
        <f>'1 prepared data'!D444</f>
        <v/>
      </c>
      <c r="F451" s="7">
        <f>'1 prepared data'!E444</f>
        <v/>
      </c>
      <c r="G451" s="7">
        <f>'1 prepared data'!F444</f>
        <v/>
      </c>
      <c r="H451" s="7">
        <f>'1 prepared data'!G444</f>
        <v/>
      </c>
      <c r="I451" s="7">
        <f>'1 prepared data'!H444</f>
        <v/>
      </c>
      <c r="J451" s="7">
        <f>'1 prepared data'!I444</f>
        <v/>
      </c>
      <c r="K451" s="7">
        <f>'1 prepared data'!J444</f>
        <v/>
      </c>
      <c r="L451" s="7">
        <f>'1 prepared data'!K444</f>
        <v/>
      </c>
      <c r="M451" s="7">
        <f>'1 prepared data'!L444</f>
        <v/>
      </c>
      <c r="N451" s="7">
        <f>'1 prepared data'!M444</f>
        <v/>
      </c>
      <c r="O451" s="7">
        <f>'1 prepared data'!N444</f>
        <v/>
      </c>
      <c r="P451" s="7">
        <f>'1 prepared data'!O444</f>
        <v/>
      </c>
      <c r="Q451" s="7">
        <f>'1 prepared data'!P444</f>
        <v/>
      </c>
      <c r="R451" s="7">
        <f>'1 prepared data'!Q444</f>
        <v/>
      </c>
      <c r="S451" s="7">
        <f>'1 prepared data'!R444</f>
        <v/>
      </c>
      <c r="T451" s="7">
        <f>'1 prepared data'!S444</f>
        <v/>
      </c>
      <c r="U451" s="7">
        <f>'1 prepared data'!T444</f>
        <v/>
      </c>
      <c r="V451" s="8">
        <f>$AC$12+D451*$AC$13+E451*$AC$14+F451*$AC$15+G451*$AC$16+H451*$AC$17+I451*$AC$18+J451*$AC$19+K451*$AC$20+L451*$AC$21+M451*$AC$22+N451*$AC$23+O451*$AC$24+P451*$AC$25+Q451*$AC$26+R451*$AC$27+S451*$AC$28+T451*$AC$29+U451*$AC$30</f>
        <v/>
      </c>
      <c r="W451" s="8">
        <f>1/(1+EXP(-V451))</f>
        <v/>
      </c>
      <c r="X451" s="9">
        <f>-IF(C451=1,LN(W451),LN(1-W451))</f>
        <v/>
      </c>
      <c r="Y451" s="10">
        <f>IF(W451&gt;$AC$33,1,0)</f>
        <v/>
      </c>
      <c r="Z451">
        <f>IF(Y451=C451,1,0)</f>
        <v/>
      </c>
    </row>
    <row r="452">
      <c r="A452">
        <f>'1 prepared data'!A445</f>
        <v/>
      </c>
      <c r="B452" s="5">
        <f>'1 prepared data'!U445</f>
        <v/>
      </c>
      <c r="C452">
        <f>'1 prepared data'!B445</f>
        <v/>
      </c>
      <c r="D452" s="7">
        <f>'1 prepared data'!C445</f>
        <v/>
      </c>
      <c r="E452" s="7">
        <f>'1 prepared data'!D445</f>
        <v/>
      </c>
      <c r="F452" s="7">
        <f>'1 prepared data'!E445</f>
        <v/>
      </c>
      <c r="G452" s="7">
        <f>'1 prepared data'!F445</f>
        <v/>
      </c>
      <c r="H452" s="7">
        <f>'1 prepared data'!G445</f>
        <v/>
      </c>
      <c r="I452" s="7">
        <f>'1 prepared data'!H445</f>
        <v/>
      </c>
      <c r="J452" s="7">
        <f>'1 prepared data'!I445</f>
        <v/>
      </c>
      <c r="K452" s="7">
        <f>'1 prepared data'!J445</f>
        <v/>
      </c>
      <c r="L452" s="7">
        <f>'1 prepared data'!K445</f>
        <v/>
      </c>
      <c r="M452" s="7">
        <f>'1 prepared data'!L445</f>
        <v/>
      </c>
      <c r="N452" s="7">
        <f>'1 prepared data'!M445</f>
        <v/>
      </c>
      <c r="O452" s="7">
        <f>'1 prepared data'!N445</f>
        <v/>
      </c>
      <c r="P452" s="7">
        <f>'1 prepared data'!O445</f>
        <v/>
      </c>
      <c r="Q452" s="7">
        <f>'1 prepared data'!P445</f>
        <v/>
      </c>
      <c r="R452" s="7">
        <f>'1 prepared data'!Q445</f>
        <v/>
      </c>
      <c r="S452" s="7">
        <f>'1 prepared data'!R445</f>
        <v/>
      </c>
      <c r="T452" s="7">
        <f>'1 prepared data'!S445</f>
        <v/>
      </c>
      <c r="U452" s="7">
        <f>'1 prepared data'!T445</f>
        <v/>
      </c>
      <c r="V452" s="8">
        <f>$AC$12+D452*$AC$13+E452*$AC$14+F452*$AC$15+G452*$AC$16+H452*$AC$17+I452*$AC$18+J452*$AC$19+K452*$AC$20+L452*$AC$21+M452*$AC$22+N452*$AC$23+O452*$AC$24+P452*$AC$25+Q452*$AC$26+R452*$AC$27+S452*$AC$28+T452*$AC$29+U452*$AC$30</f>
        <v/>
      </c>
      <c r="W452" s="8">
        <f>1/(1+EXP(-V452))</f>
        <v/>
      </c>
      <c r="X452" s="9">
        <f>-IF(C452=1,LN(W452),LN(1-W452))</f>
        <v/>
      </c>
      <c r="Y452" s="10">
        <f>IF(W452&gt;$AC$33,1,0)</f>
        <v/>
      </c>
      <c r="Z452">
        <f>IF(Y452=C452,1,0)</f>
        <v/>
      </c>
    </row>
    <row r="453">
      <c r="A453">
        <f>'1 prepared data'!A446</f>
        <v/>
      </c>
      <c r="B453" s="5">
        <f>'1 prepared data'!U446</f>
        <v/>
      </c>
      <c r="C453">
        <f>'1 prepared data'!B446</f>
        <v/>
      </c>
      <c r="D453" s="7">
        <f>'1 prepared data'!C446</f>
        <v/>
      </c>
      <c r="E453" s="7">
        <f>'1 prepared data'!D446</f>
        <v/>
      </c>
      <c r="F453" s="7">
        <f>'1 prepared data'!E446</f>
        <v/>
      </c>
      <c r="G453" s="7">
        <f>'1 prepared data'!F446</f>
        <v/>
      </c>
      <c r="H453" s="7">
        <f>'1 prepared data'!G446</f>
        <v/>
      </c>
      <c r="I453" s="7">
        <f>'1 prepared data'!H446</f>
        <v/>
      </c>
      <c r="J453" s="7">
        <f>'1 prepared data'!I446</f>
        <v/>
      </c>
      <c r="K453" s="7">
        <f>'1 prepared data'!J446</f>
        <v/>
      </c>
      <c r="L453" s="7">
        <f>'1 prepared data'!K446</f>
        <v/>
      </c>
      <c r="M453" s="7">
        <f>'1 prepared data'!L446</f>
        <v/>
      </c>
      <c r="N453" s="7">
        <f>'1 prepared data'!M446</f>
        <v/>
      </c>
      <c r="O453" s="7">
        <f>'1 prepared data'!N446</f>
        <v/>
      </c>
      <c r="P453" s="7">
        <f>'1 prepared data'!O446</f>
        <v/>
      </c>
      <c r="Q453" s="7">
        <f>'1 prepared data'!P446</f>
        <v/>
      </c>
      <c r="R453" s="7">
        <f>'1 prepared data'!Q446</f>
        <v/>
      </c>
      <c r="S453" s="7">
        <f>'1 prepared data'!R446</f>
        <v/>
      </c>
      <c r="T453" s="7">
        <f>'1 prepared data'!S446</f>
        <v/>
      </c>
      <c r="U453" s="7">
        <f>'1 prepared data'!T446</f>
        <v/>
      </c>
      <c r="V453" s="8">
        <f>$AC$12+D453*$AC$13+E453*$AC$14+F453*$AC$15+G453*$AC$16+H453*$AC$17+I453*$AC$18+J453*$AC$19+K453*$AC$20+L453*$AC$21+M453*$AC$22+N453*$AC$23+O453*$AC$24+P453*$AC$25+Q453*$AC$26+R453*$AC$27+S453*$AC$28+T453*$AC$29+U453*$AC$30</f>
        <v/>
      </c>
      <c r="W453" s="8">
        <f>1/(1+EXP(-V453))</f>
        <v/>
      </c>
      <c r="X453" s="9">
        <f>-IF(C453=1,LN(W453),LN(1-W453))</f>
        <v/>
      </c>
      <c r="Y453" s="10">
        <f>IF(W453&gt;$AC$33,1,0)</f>
        <v/>
      </c>
      <c r="Z453">
        <f>IF(Y453=C453,1,0)</f>
        <v/>
      </c>
    </row>
    <row r="454">
      <c r="A454">
        <f>'1 prepared data'!A447</f>
        <v/>
      </c>
      <c r="B454" s="5">
        <f>'1 prepared data'!U447</f>
        <v/>
      </c>
      <c r="C454">
        <f>'1 prepared data'!B447</f>
        <v/>
      </c>
      <c r="D454" s="7">
        <f>'1 prepared data'!C447</f>
        <v/>
      </c>
      <c r="E454" s="7">
        <f>'1 prepared data'!D447</f>
        <v/>
      </c>
      <c r="F454" s="7">
        <f>'1 prepared data'!E447</f>
        <v/>
      </c>
      <c r="G454" s="7">
        <f>'1 prepared data'!F447</f>
        <v/>
      </c>
      <c r="H454" s="7">
        <f>'1 prepared data'!G447</f>
        <v/>
      </c>
      <c r="I454" s="7">
        <f>'1 prepared data'!H447</f>
        <v/>
      </c>
      <c r="J454" s="7">
        <f>'1 prepared data'!I447</f>
        <v/>
      </c>
      <c r="K454" s="7">
        <f>'1 prepared data'!J447</f>
        <v/>
      </c>
      <c r="L454" s="7">
        <f>'1 prepared data'!K447</f>
        <v/>
      </c>
      <c r="M454" s="7">
        <f>'1 prepared data'!L447</f>
        <v/>
      </c>
      <c r="N454" s="7">
        <f>'1 prepared data'!M447</f>
        <v/>
      </c>
      <c r="O454" s="7">
        <f>'1 prepared data'!N447</f>
        <v/>
      </c>
      <c r="P454" s="7">
        <f>'1 prepared data'!O447</f>
        <v/>
      </c>
      <c r="Q454" s="7">
        <f>'1 prepared data'!P447</f>
        <v/>
      </c>
      <c r="R454" s="7">
        <f>'1 prepared data'!Q447</f>
        <v/>
      </c>
      <c r="S454" s="7">
        <f>'1 prepared data'!R447</f>
        <v/>
      </c>
      <c r="T454" s="7">
        <f>'1 prepared data'!S447</f>
        <v/>
      </c>
      <c r="U454" s="7">
        <f>'1 prepared data'!T447</f>
        <v/>
      </c>
      <c r="V454" s="8">
        <f>$AC$12+D454*$AC$13+E454*$AC$14+F454*$AC$15+G454*$AC$16+H454*$AC$17+I454*$AC$18+J454*$AC$19+K454*$AC$20+L454*$AC$21+M454*$AC$22+N454*$AC$23+O454*$AC$24+P454*$AC$25+Q454*$AC$26+R454*$AC$27+S454*$AC$28+T454*$AC$29+U454*$AC$30</f>
        <v/>
      </c>
      <c r="W454" s="8">
        <f>1/(1+EXP(-V454))</f>
        <v/>
      </c>
      <c r="X454" s="9">
        <f>-IF(C454=1,LN(W454),LN(1-W454))</f>
        <v/>
      </c>
      <c r="Y454" s="10">
        <f>IF(W454&gt;$AC$33,1,0)</f>
        <v/>
      </c>
      <c r="Z454">
        <f>IF(Y454=C454,1,0)</f>
        <v/>
      </c>
    </row>
    <row r="455">
      <c r="A455">
        <f>'1 prepared data'!A448</f>
        <v/>
      </c>
      <c r="B455" s="5">
        <f>'1 prepared data'!U448</f>
        <v/>
      </c>
      <c r="C455">
        <f>'1 prepared data'!B448</f>
        <v/>
      </c>
      <c r="D455" s="7">
        <f>'1 prepared data'!C448</f>
        <v/>
      </c>
      <c r="E455" s="7">
        <f>'1 prepared data'!D448</f>
        <v/>
      </c>
      <c r="F455" s="7">
        <f>'1 prepared data'!E448</f>
        <v/>
      </c>
      <c r="G455" s="7">
        <f>'1 prepared data'!F448</f>
        <v/>
      </c>
      <c r="H455" s="7">
        <f>'1 prepared data'!G448</f>
        <v/>
      </c>
      <c r="I455" s="7">
        <f>'1 prepared data'!H448</f>
        <v/>
      </c>
      <c r="J455" s="7">
        <f>'1 prepared data'!I448</f>
        <v/>
      </c>
      <c r="K455" s="7">
        <f>'1 prepared data'!J448</f>
        <v/>
      </c>
      <c r="L455" s="7">
        <f>'1 prepared data'!K448</f>
        <v/>
      </c>
      <c r="M455" s="7">
        <f>'1 prepared data'!L448</f>
        <v/>
      </c>
      <c r="N455" s="7">
        <f>'1 prepared data'!M448</f>
        <v/>
      </c>
      <c r="O455" s="7">
        <f>'1 prepared data'!N448</f>
        <v/>
      </c>
      <c r="P455" s="7">
        <f>'1 prepared data'!O448</f>
        <v/>
      </c>
      <c r="Q455" s="7">
        <f>'1 prepared data'!P448</f>
        <v/>
      </c>
      <c r="R455" s="7">
        <f>'1 prepared data'!Q448</f>
        <v/>
      </c>
      <c r="S455" s="7">
        <f>'1 prepared data'!R448</f>
        <v/>
      </c>
      <c r="T455" s="7">
        <f>'1 prepared data'!S448</f>
        <v/>
      </c>
      <c r="U455" s="7">
        <f>'1 prepared data'!T448</f>
        <v/>
      </c>
      <c r="V455" s="8">
        <f>$AC$12+D455*$AC$13+E455*$AC$14+F455*$AC$15+G455*$AC$16+H455*$AC$17+I455*$AC$18+J455*$AC$19+K455*$AC$20+L455*$AC$21+M455*$AC$22+N455*$AC$23+O455*$AC$24+P455*$AC$25+Q455*$AC$26+R455*$AC$27+S455*$AC$28+T455*$AC$29+U455*$AC$30</f>
        <v/>
      </c>
      <c r="W455" s="8">
        <f>1/(1+EXP(-V455))</f>
        <v/>
      </c>
      <c r="X455" s="9">
        <f>-IF(C455=1,LN(W455),LN(1-W455))</f>
        <v/>
      </c>
      <c r="Y455" s="10">
        <f>IF(W455&gt;$AC$33,1,0)</f>
        <v/>
      </c>
      <c r="Z455">
        <f>IF(Y455=C455,1,0)</f>
        <v/>
      </c>
    </row>
    <row r="456">
      <c r="A456">
        <f>'1 prepared data'!A449</f>
        <v/>
      </c>
      <c r="B456" s="5">
        <f>'1 prepared data'!U449</f>
        <v/>
      </c>
      <c r="C456">
        <f>'1 prepared data'!B449</f>
        <v/>
      </c>
      <c r="D456" s="7">
        <f>'1 prepared data'!C449</f>
        <v/>
      </c>
      <c r="E456" s="7">
        <f>'1 prepared data'!D449</f>
        <v/>
      </c>
      <c r="F456" s="7">
        <f>'1 prepared data'!E449</f>
        <v/>
      </c>
      <c r="G456" s="7">
        <f>'1 prepared data'!F449</f>
        <v/>
      </c>
      <c r="H456" s="7">
        <f>'1 prepared data'!G449</f>
        <v/>
      </c>
      <c r="I456" s="7">
        <f>'1 prepared data'!H449</f>
        <v/>
      </c>
      <c r="J456" s="7">
        <f>'1 prepared data'!I449</f>
        <v/>
      </c>
      <c r="K456" s="7">
        <f>'1 prepared data'!J449</f>
        <v/>
      </c>
      <c r="L456" s="7">
        <f>'1 prepared data'!K449</f>
        <v/>
      </c>
      <c r="M456" s="7">
        <f>'1 prepared data'!L449</f>
        <v/>
      </c>
      <c r="N456" s="7">
        <f>'1 prepared data'!M449</f>
        <v/>
      </c>
      <c r="O456" s="7">
        <f>'1 prepared data'!N449</f>
        <v/>
      </c>
      <c r="P456" s="7">
        <f>'1 prepared data'!O449</f>
        <v/>
      </c>
      <c r="Q456" s="7">
        <f>'1 prepared data'!P449</f>
        <v/>
      </c>
      <c r="R456" s="7">
        <f>'1 prepared data'!Q449</f>
        <v/>
      </c>
      <c r="S456" s="7">
        <f>'1 prepared data'!R449</f>
        <v/>
      </c>
      <c r="T456" s="7">
        <f>'1 prepared data'!S449</f>
        <v/>
      </c>
      <c r="U456" s="7">
        <f>'1 prepared data'!T449</f>
        <v/>
      </c>
      <c r="V456" s="8">
        <f>$AC$12+D456*$AC$13+E456*$AC$14+F456*$AC$15+G456*$AC$16+H456*$AC$17+I456*$AC$18+J456*$AC$19+K456*$AC$20+L456*$AC$21+M456*$AC$22+N456*$AC$23+O456*$AC$24+P456*$AC$25+Q456*$AC$26+R456*$AC$27+S456*$AC$28+T456*$AC$29+U456*$AC$30</f>
        <v/>
      </c>
      <c r="W456" s="8">
        <f>1/(1+EXP(-V456))</f>
        <v/>
      </c>
      <c r="X456" s="9">
        <f>-IF(C456=1,LN(W456),LN(1-W456))</f>
        <v/>
      </c>
      <c r="Y456" s="10">
        <f>IF(W456&gt;$AC$33,1,0)</f>
        <v/>
      </c>
      <c r="Z456">
        <f>IF(Y456=C456,1,0)</f>
        <v/>
      </c>
    </row>
    <row r="457">
      <c r="A457">
        <f>'1 prepared data'!A450</f>
        <v/>
      </c>
      <c r="B457" s="5">
        <f>'1 prepared data'!U450</f>
        <v/>
      </c>
      <c r="C457">
        <f>'1 prepared data'!B450</f>
        <v/>
      </c>
      <c r="D457" s="7">
        <f>'1 prepared data'!C450</f>
        <v/>
      </c>
      <c r="E457" s="7">
        <f>'1 prepared data'!D450</f>
        <v/>
      </c>
      <c r="F457" s="7">
        <f>'1 prepared data'!E450</f>
        <v/>
      </c>
      <c r="G457" s="7">
        <f>'1 prepared data'!F450</f>
        <v/>
      </c>
      <c r="H457" s="7">
        <f>'1 prepared data'!G450</f>
        <v/>
      </c>
      <c r="I457" s="7">
        <f>'1 prepared data'!H450</f>
        <v/>
      </c>
      <c r="J457" s="7">
        <f>'1 prepared data'!I450</f>
        <v/>
      </c>
      <c r="K457" s="7">
        <f>'1 prepared data'!J450</f>
        <v/>
      </c>
      <c r="L457" s="7">
        <f>'1 prepared data'!K450</f>
        <v/>
      </c>
      <c r="M457" s="7">
        <f>'1 prepared data'!L450</f>
        <v/>
      </c>
      <c r="N457" s="7">
        <f>'1 prepared data'!M450</f>
        <v/>
      </c>
      <c r="O457" s="7">
        <f>'1 prepared data'!N450</f>
        <v/>
      </c>
      <c r="P457" s="7">
        <f>'1 prepared data'!O450</f>
        <v/>
      </c>
      <c r="Q457" s="7">
        <f>'1 prepared data'!P450</f>
        <v/>
      </c>
      <c r="R457" s="7">
        <f>'1 prepared data'!Q450</f>
        <v/>
      </c>
      <c r="S457" s="7">
        <f>'1 prepared data'!R450</f>
        <v/>
      </c>
      <c r="T457" s="7">
        <f>'1 prepared data'!S450</f>
        <v/>
      </c>
      <c r="U457" s="7">
        <f>'1 prepared data'!T450</f>
        <v/>
      </c>
      <c r="V457" s="8">
        <f>$AC$12+D457*$AC$13+E457*$AC$14+F457*$AC$15+G457*$AC$16+H457*$AC$17+I457*$AC$18+J457*$AC$19+K457*$AC$20+L457*$AC$21+M457*$AC$22+N457*$AC$23+O457*$AC$24+P457*$AC$25+Q457*$AC$26+R457*$AC$27+S457*$AC$28+T457*$AC$29+U457*$AC$30</f>
        <v/>
      </c>
      <c r="W457" s="8">
        <f>1/(1+EXP(-V457))</f>
        <v/>
      </c>
      <c r="X457" s="9">
        <f>-IF(C457=1,LN(W457),LN(1-W457))</f>
        <v/>
      </c>
      <c r="Y457" s="10">
        <f>IF(W457&gt;$AC$33,1,0)</f>
        <v/>
      </c>
      <c r="Z457">
        <f>IF(Y457=C457,1,0)</f>
        <v/>
      </c>
    </row>
    <row r="458">
      <c r="A458">
        <f>'1 prepared data'!A451</f>
        <v/>
      </c>
      <c r="B458" s="5">
        <f>'1 prepared data'!U451</f>
        <v/>
      </c>
      <c r="C458">
        <f>'1 prepared data'!B451</f>
        <v/>
      </c>
      <c r="D458" s="7">
        <f>'1 prepared data'!C451</f>
        <v/>
      </c>
      <c r="E458" s="7">
        <f>'1 prepared data'!D451</f>
        <v/>
      </c>
      <c r="F458" s="7">
        <f>'1 prepared data'!E451</f>
        <v/>
      </c>
      <c r="G458" s="7">
        <f>'1 prepared data'!F451</f>
        <v/>
      </c>
      <c r="H458" s="7">
        <f>'1 prepared data'!G451</f>
        <v/>
      </c>
      <c r="I458" s="7">
        <f>'1 prepared data'!H451</f>
        <v/>
      </c>
      <c r="J458" s="7">
        <f>'1 prepared data'!I451</f>
        <v/>
      </c>
      <c r="K458" s="7">
        <f>'1 prepared data'!J451</f>
        <v/>
      </c>
      <c r="L458" s="7">
        <f>'1 prepared data'!K451</f>
        <v/>
      </c>
      <c r="M458" s="7">
        <f>'1 prepared data'!L451</f>
        <v/>
      </c>
      <c r="N458" s="7">
        <f>'1 prepared data'!M451</f>
        <v/>
      </c>
      <c r="O458" s="7">
        <f>'1 prepared data'!N451</f>
        <v/>
      </c>
      <c r="P458" s="7">
        <f>'1 prepared data'!O451</f>
        <v/>
      </c>
      <c r="Q458" s="7">
        <f>'1 prepared data'!P451</f>
        <v/>
      </c>
      <c r="R458" s="7">
        <f>'1 prepared data'!Q451</f>
        <v/>
      </c>
      <c r="S458" s="7">
        <f>'1 prepared data'!R451</f>
        <v/>
      </c>
      <c r="T458" s="7">
        <f>'1 prepared data'!S451</f>
        <v/>
      </c>
      <c r="U458" s="7">
        <f>'1 prepared data'!T451</f>
        <v/>
      </c>
      <c r="V458" s="8">
        <f>$AC$12+D458*$AC$13+E458*$AC$14+F458*$AC$15+G458*$AC$16+H458*$AC$17+I458*$AC$18+J458*$AC$19+K458*$AC$20+L458*$AC$21+M458*$AC$22+N458*$AC$23+O458*$AC$24+P458*$AC$25+Q458*$AC$26+R458*$AC$27+S458*$AC$28+T458*$AC$29+U458*$AC$30</f>
        <v/>
      </c>
      <c r="W458" s="8">
        <f>1/(1+EXP(-V458))</f>
        <v/>
      </c>
      <c r="X458" s="9">
        <f>-IF(C458=1,LN(W458),LN(1-W458))</f>
        <v/>
      </c>
      <c r="Y458" s="10">
        <f>IF(W458&gt;$AC$33,1,0)</f>
        <v/>
      </c>
      <c r="Z458">
        <f>IF(Y458=C458,1,0)</f>
        <v/>
      </c>
    </row>
    <row r="459">
      <c r="A459">
        <f>'1 prepared data'!A452</f>
        <v/>
      </c>
      <c r="B459" s="5">
        <f>'1 prepared data'!U452</f>
        <v/>
      </c>
      <c r="C459">
        <f>'1 prepared data'!B452</f>
        <v/>
      </c>
      <c r="D459" s="7">
        <f>'1 prepared data'!C452</f>
        <v/>
      </c>
      <c r="E459" s="7">
        <f>'1 prepared data'!D452</f>
        <v/>
      </c>
      <c r="F459" s="7">
        <f>'1 prepared data'!E452</f>
        <v/>
      </c>
      <c r="G459" s="7">
        <f>'1 prepared data'!F452</f>
        <v/>
      </c>
      <c r="H459" s="7">
        <f>'1 prepared data'!G452</f>
        <v/>
      </c>
      <c r="I459" s="7">
        <f>'1 prepared data'!H452</f>
        <v/>
      </c>
      <c r="J459" s="7">
        <f>'1 prepared data'!I452</f>
        <v/>
      </c>
      <c r="K459" s="7">
        <f>'1 prepared data'!J452</f>
        <v/>
      </c>
      <c r="L459" s="7">
        <f>'1 prepared data'!K452</f>
        <v/>
      </c>
      <c r="M459" s="7">
        <f>'1 prepared data'!L452</f>
        <v/>
      </c>
      <c r="N459" s="7">
        <f>'1 prepared data'!M452</f>
        <v/>
      </c>
      <c r="O459" s="7">
        <f>'1 prepared data'!N452</f>
        <v/>
      </c>
      <c r="P459" s="7">
        <f>'1 prepared data'!O452</f>
        <v/>
      </c>
      <c r="Q459" s="7">
        <f>'1 prepared data'!P452</f>
        <v/>
      </c>
      <c r="R459" s="7">
        <f>'1 prepared data'!Q452</f>
        <v/>
      </c>
      <c r="S459" s="7">
        <f>'1 prepared data'!R452</f>
        <v/>
      </c>
      <c r="T459" s="7">
        <f>'1 prepared data'!S452</f>
        <v/>
      </c>
      <c r="U459" s="7">
        <f>'1 prepared data'!T452</f>
        <v/>
      </c>
      <c r="V459" s="8">
        <f>$AC$12+D459*$AC$13+E459*$AC$14+F459*$AC$15+G459*$AC$16+H459*$AC$17+I459*$AC$18+J459*$AC$19+K459*$AC$20+L459*$AC$21+M459*$AC$22+N459*$AC$23+O459*$AC$24+P459*$AC$25+Q459*$AC$26+R459*$AC$27+S459*$AC$28+T459*$AC$29+U459*$AC$30</f>
        <v/>
      </c>
      <c r="W459" s="8">
        <f>1/(1+EXP(-V459))</f>
        <v/>
      </c>
      <c r="X459" s="9">
        <f>-IF(C459=1,LN(W459),LN(1-W459))</f>
        <v/>
      </c>
      <c r="Y459" s="10">
        <f>IF(W459&gt;$AC$33,1,0)</f>
        <v/>
      </c>
      <c r="Z459">
        <f>IF(Y459=C459,1,0)</f>
        <v/>
      </c>
    </row>
    <row r="460">
      <c r="A460">
        <f>'1 prepared data'!A453</f>
        <v/>
      </c>
      <c r="B460" s="5">
        <f>'1 prepared data'!U453</f>
        <v/>
      </c>
      <c r="C460">
        <f>'1 prepared data'!B453</f>
        <v/>
      </c>
      <c r="D460" s="7">
        <f>'1 prepared data'!C453</f>
        <v/>
      </c>
      <c r="E460" s="7">
        <f>'1 prepared data'!D453</f>
        <v/>
      </c>
      <c r="F460" s="7">
        <f>'1 prepared data'!E453</f>
        <v/>
      </c>
      <c r="G460" s="7">
        <f>'1 prepared data'!F453</f>
        <v/>
      </c>
      <c r="H460" s="7">
        <f>'1 prepared data'!G453</f>
        <v/>
      </c>
      <c r="I460" s="7">
        <f>'1 prepared data'!H453</f>
        <v/>
      </c>
      <c r="J460" s="7">
        <f>'1 prepared data'!I453</f>
        <v/>
      </c>
      <c r="K460" s="7">
        <f>'1 prepared data'!J453</f>
        <v/>
      </c>
      <c r="L460" s="7">
        <f>'1 prepared data'!K453</f>
        <v/>
      </c>
      <c r="M460" s="7">
        <f>'1 prepared data'!L453</f>
        <v/>
      </c>
      <c r="N460" s="7">
        <f>'1 prepared data'!M453</f>
        <v/>
      </c>
      <c r="O460" s="7">
        <f>'1 prepared data'!N453</f>
        <v/>
      </c>
      <c r="P460" s="7">
        <f>'1 prepared data'!O453</f>
        <v/>
      </c>
      <c r="Q460" s="7">
        <f>'1 prepared data'!P453</f>
        <v/>
      </c>
      <c r="R460" s="7">
        <f>'1 prepared data'!Q453</f>
        <v/>
      </c>
      <c r="S460" s="7">
        <f>'1 prepared data'!R453</f>
        <v/>
      </c>
      <c r="T460" s="7">
        <f>'1 prepared data'!S453</f>
        <v/>
      </c>
      <c r="U460" s="7">
        <f>'1 prepared data'!T453</f>
        <v/>
      </c>
      <c r="V460" s="8">
        <f>$AC$12+D460*$AC$13+E460*$AC$14+F460*$AC$15+G460*$AC$16+H460*$AC$17+I460*$AC$18+J460*$AC$19+K460*$AC$20+L460*$AC$21+M460*$AC$22+N460*$AC$23+O460*$AC$24+P460*$AC$25+Q460*$AC$26+R460*$AC$27+S460*$AC$28+T460*$AC$29+U460*$AC$30</f>
        <v/>
      </c>
      <c r="W460" s="8">
        <f>1/(1+EXP(-V460))</f>
        <v/>
      </c>
      <c r="X460" s="9">
        <f>-IF(C460=1,LN(W460),LN(1-W460))</f>
        <v/>
      </c>
      <c r="Y460" s="10">
        <f>IF(W460&gt;$AC$33,1,0)</f>
        <v/>
      </c>
      <c r="Z460">
        <f>IF(Y460=C460,1,0)</f>
        <v/>
      </c>
    </row>
    <row r="461">
      <c r="A461">
        <f>'1 prepared data'!A454</f>
        <v/>
      </c>
      <c r="B461" s="5">
        <f>'1 prepared data'!U454</f>
        <v/>
      </c>
      <c r="C461">
        <f>'1 prepared data'!B454</f>
        <v/>
      </c>
      <c r="D461" s="7">
        <f>'1 prepared data'!C454</f>
        <v/>
      </c>
      <c r="E461" s="7">
        <f>'1 prepared data'!D454</f>
        <v/>
      </c>
      <c r="F461" s="7">
        <f>'1 prepared data'!E454</f>
        <v/>
      </c>
      <c r="G461" s="7">
        <f>'1 prepared data'!F454</f>
        <v/>
      </c>
      <c r="H461" s="7">
        <f>'1 prepared data'!G454</f>
        <v/>
      </c>
      <c r="I461" s="7">
        <f>'1 prepared data'!H454</f>
        <v/>
      </c>
      <c r="J461" s="7">
        <f>'1 prepared data'!I454</f>
        <v/>
      </c>
      <c r="K461" s="7">
        <f>'1 prepared data'!J454</f>
        <v/>
      </c>
      <c r="L461" s="7">
        <f>'1 prepared data'!K454</f>
        <v/>
      </c>
      <c r="M461" s="7">
        <f>'1 prepared data'!L454</f>
        <v/>
      </c>
      <c r="N461" s="7">
        <f>'1 prepared data'!M454</f>
        <v/>
      </c>
      <c r="O461" s="7">
        <f>'1 prepared data'!N454</f>
        <v/>
      </c>
      <c r="P461" s="7">
        <f>'1 prepared data'!O454</f>
        <v/>
      </c>
      <c r="Q461" s="7">
        <f>'1 prepared data'!P454</f>
        <v/>
      </c>
      <c r="R461" s="7">
        <f>'1 prepared data'!Q454</f>
        <v/>
      </c>
      <c r="S461" s="7">
        <f>'1 prepared data'!R454</f>
        <v/>
      </c>
      <c r="T461" s="7">
        <f>'1 prepared data'!S454</f>
        <v/>
      </c>
      <c r="U461" s="7">
        <f>'1 prepared data'!T454</f>
        <v/>
      </c>
      <c r="V461" s="8">
        <f>$AC$12+D461*$AC$13+E461*$AC$14+F461*$AC$15+G461*$AC$16+H461*$AC$17+I461*$AC$18+J461*$AC$19+K461*$AC$20+L461*$AC$21+M461*$AC$22+N461*$AC$23+O461*$AC$24+P461*$AC$25+Q461*$AC$26+R461*$AC$27+S461*$AC$28+T461*$AC$29+U461*$AC$30</f>
        <v/>
      </c>
      <c r="W461" s="8">
        <f>1/(1+EXP(-V461))</f>
        <v/>
      </c>
      <c r="X461" s="9">
        <f>-IF(C461=1,LN(W461),LN(1-W461))</f>
        <v/>
      </c>
      <c r="Y461" s="10">
        <f>IF(W461&gt;$AC$33,1,0)</f>
        <v/>
      </c>
      <c r="Z461">
        <f>IF(Y461=C461,1,0)</f>
        <v/>
      </c>
    </row>
    <row r="462">
      <c r="A462">
        <f>'1 prepared data'!A455</f>
        <v/>
      </c>
      <c r="B462" s="5">
        <f>'1 prepared data'!U455</f>
        <v/>
      </c>
      <c r="C462">
        <f>'1 prepared data'!B455</f>
        <v/>
      </c>
      <c r="D462" s="7">
        <f>'1 prepared data'!C455</f>
        <v/>
      </c>
      <c r="E462" s="7">
        <f>'1 prepared data'!D455</f>
        <v/>
      </c>
      <c r="F462" s="7">
        <f>'1 prepared data'!E455</f>
        <v/>
      </c>
      <c r="G462" s="7">
        <f>'1 prepared data'!F455</f>
        <v/>
      </c>
      <c r="H462" s="7">
        <f>'1 prepared data'!G455</f>
        <v/>
      </c>
      <c r="I462" s="7">
        <f>'1 prepared data'!H455</f>
        <v/>
      </c>
      <c r="J462" s="7">
        <f>'1 prepared data'!I455</f>
        <v/>
      </c>
      <c r="K462" s="7">
        <f>'1 prepared data'!J455</f>
        <v/>
      </c>
      <c r="L462" s="7">
        <f>'1 prepared data'!K455</f>
        <v/>
      </c>
      <c r="M462" s="7">
        <f>'1 prepared data'!L455</f>
        <v/>
      </c>
      <c r="N462" s="7">
        <f>'1 prepared data'!M455</f>
        <v/>
      </c>
      <c r="O462" s="7">
        <f>'1 prepared data'!N455</f>
        <v/>
      </c>
      <c r="P462" s="7">
        <f>'1 prepared data'!O455</f>
        <v/>
      </c>
      <c r="Q462" s="7">
        <f>'1 prepared data'!P455</f>
        <v/>
      </c>
      <c r="R462" s="7">
        <f>'1 prepared data'!Q455</f>
        <v/>
      </c>
      <c r="S462" s="7">
        <f>'1 prepared data'!R455</f>
        <v/>
      </c>
      <c r="T462" s="7">
        <f>'1 prepared data'!S455</f>
        <v/>
      </c>
      <c r="U462" s="7">
        <f>'1 prepared data'!T455</f>
        <v/>
      </c>
      <c r="V462" s="8">
        <f>$AC$12+D462*$AC$13+E462*$AC$14+F462*$AC$15+G462*$AC$16+H462*$AC$17+I462*$AC$18+J462*$AC$19+K462*$AC$20+L462*$AC$21+M462*$AC$22+N462*$AC$23+O462*$AC$24+P462*$AC$25+Q462*$AC$26+R462*$AC$27+S462*$AC$28+T462*$AC$29+U462*$AC$30</f>
        <v/>
      </c>
      <c r="W462" s="8">
        <f>1/(1+EXP(-V462))</f>
        <v/>
      </c>
      <c r="X462" s="9">
        <f>-IF(C462=1,LN(W462),LN(1-W462))</f>
        <v/>
      </c>
      <c r="Y462" s="10">
        <f>IF(W462&gt;$AC$33,1,0)</f>
        <v/>
      </c>
      <c r="Z462">
        <f>IF(Y462=C462,1,0)</f>
        <v/>
      </c>
    </row>
    <row r="463">
      <c r="A463">
        <f>'1 prepared data'!A456</f>
        <v/>
      </c>
      <c r="B463" s="5">
        <f>'1 prepared data'!U456</f>
        <v/>
      </c>
      <c r="C463">
        <f>'1 prepared data'!B456</f>
        <v/>
      </c>
      <c r="D463" s="7">
        <f>'1 prepared data'!C456</f>
        <v/>
      </c>
      <c r="E463" s="7">
        <f>'1 prepared data'!D456</f>
        <v/>
      </c>
      <c r="F463" s="7">
        <f>'1 prepared data'!E456</f>
        <v/>
      </c>
      <c r="G463" s="7">
        <f>'1 prepared data'!F456</f>
        <v/>
      </c>
      <c r="H463" s="7">
        <f>'1 prepared data'!G456</f>
        <v/>
      </c>
      <c r="I463" s="7">
        <f>'1 prepared data'!H456</f>
        <v/>
      </c>
      <c r="J463" s="7">
        <f>'1 prepared data'!I456</f>
        <v/>
      </c>
      <c r="K463" s="7">
        <f>'1 prepared data'!J456</f>
        <v/>
      </c>
      <c r="L463" s="7">
        <f>'1 prepared data'!K456</f>
        <v/>
      </c>
      <c r="M463" s="7">
        <f>'1 prepared data'!L456</f>
        <v/>
      </c>
      <c r="N463" s="7">
        <f>'1 prepared data'!M456</f>
        <v/>
      </c>
      <c r="O463" s="7">
        <f>'1 prepared data'!N456</f>
        <v/>
      </c>
      <c r="P463" s="7">
        <f>'1 prepared data'!O456</f>
        <v/>
      </c>
      <c r="Q463" s="7">
        <f>'1 prepared data'!P456</f>
        <v/>
      </c>
      <c r="R463" s="7">
        <f>'1 prepared data'!Q456</f>
        <v/>
      </c>
      <c r="S463" s="7">
        <f>'1 prepared data'!R456</f>
        <v/>
      </c>
      <c r="T463" s="7">
        <f>'1 prepared data'!S456</f>
        <v/>
      </c>
      <c r="U463" s="7">
        <f>'1 prepared data'!T456</f>
        <v/>
      </c>
      <c r="V463" s="8">
        <f>$AC$12+D463*$AC$13+E463*$AC$14+F463*$AC$15+G463*$AC$16+H463*$AC$17+I463*$AC$18+J463*$AC$19+K463*$AC$20+L463*$AC$21+M463*$AC$22+N463*$AC$23+O463*$AC$24+P463*$AC$25+Q463*$AC$26+R463*$AC$27+S463*$AC$28+T463*$AC$29+U463*$AC$30</f>
        <v/>
      </c>
      <c r="W463" s="8">
        <f>1/(1+EXP(-V463))</f>
        <v/>
      </c>
      <c r="X463" s="9">
        <f>-IF(C463=1,LN(W463),LN(1-W463))</f>
        <v/>
      </c>
      <c r="Y463" s="10">
        <f>IF(W463&gt;$AC$33,1,0)</f>
        <v/>
      </c>
      <c r="Z463">
        <f>IF(Y463=C463,1,0)</f>
        <v/>
      </c>
    </row>
    <row r="464">
      <c r="A464">
        <f>'1 prepared data'!A457</f>
        <v/>
      </c>
      <c r="B464" s="5">
        <f>'1 prepared data'!U457</f>
        <v/>
      </c>
      <c r="C464">
        <f>'1 prepared data'!B457</f>
        <v/>
      </c>
      <c r="D464" s="7">
        <f>'1 prepared data'!C457</f>
        <v/>
      </c>
      <c r="E464" s="7">
        <f>'1 prepared data'!D457</f>
        <v/>
      </c>
      <c r="F464" s="7">
        <f>'1 prepared data'!E457</f>
        <v/>
      </c>
      <c r="G464" s="7">
        <f>'1 prepared data'!F457</f>
        <v/>
      </c>
      <c r="H464" s="7">
        <f>'1 prepared data'!G457</f>
        <v/>
      </c>
      <c r="I464" s="7">
        <f>'1 prepared data'!H457</f>
        <v/>
      </c>
      <c r="J464" s="7">
        <f>'1 prepared data'!I457</f>
        <v/>
      </c>
      <c r="K464" s="7">
        <f>'1 prepared data'!J457</f>
        <v/>
      </c>
      <c r="L464" s="7">
        <f>'1 prepared data'!K457</f>
        <v/>
      </c>
      <c r="M464" s="7">
        <f>'1 prepared data'!L457</f>
        <v/>
      </c>
      <c r="N464" s="7">
        <f>'1 prepared data'!M457</f>
        <v/>
      </c>
      <c r="O464" s="7">
        <f>'1 prepared data'!N457</f>
        <v/>
      </c>
      <c r="P464" s="7">
        <f>'1 prepared data'!O457</f>
        <v/>
      </c>
      <c r="Q464" s="7">
        <f>'1 prepared data'!P457</f>
        <v/>
      </c>
      <c r="R464" s="7">
        <f>'1 prepared data'!Q457</f>
        <v/>
      </c>
      <c r="S464" s="7">
        <f>'1 prepared data'!R457</f>
        <v/>
      </c>
      <c r="T464" s="7">
        <f>'1 prepared data'!S457</f>
        <v/>
      </c>
      <c r="U464" s="7">
        <f>'1 prepared data'!T457</f>
        <v/>
      </c>
      <c r="V464" s="8">
        <f>$AC$12+D464*$AC$13+E464*$AC$14+F464*$AC$15+G464*$AC$16+H464*$AC$17+I464*$AC$18+J464*$AC$19+K464*$AC$20+L464*$AC$21+M464*$AC$22+N464*$AC$23+O464*$AC$24+P464*$AC$25+Q464*$AC$26+R464*$AC$27+S464*$AC$28+T464*$AC$29+U464*$AC$30</f>
        <v/>
      </c>
      <c r="W464" s="8">
        <f>1/(1+EXP(-V464))</f>
        <v/>
      </c>
      <c r="X464" s="9">
        <f>-IF(C464=1,LN(W464),LN(1-W464))</f>
        <v/>
      </c>
      <c r="Y464" s="10">
        <f>IF(W464&gt;$AC$33,1,0)</f>
        <v/>
      </c>
      <c r="Z464">
        <f>IF(Y464=C464,1,0)</f>
        <v/>
      </c>
    </row>
    <row r="465">
      <c r="A465">
        <f>'1 prepared data'!A458</f>
        <v/>
      </c>
      <c r="B465" s="5">
        <f>'1 prepared data'!U458</f>
        <v/>
      </c>
      <c r="C465">
        <f>'1 prepared data'!B458</f>
        <v/>
      </c>
      <c r="D465" s="7">
        <f>'1 prepared data'!C458</f>
        <v/>
      </c>
      <c r="E465" s="7">
        <f>'1 prepared data'!D458</f>
        <v/>
      </c>
      <c r="F465" s="7">
        <f>'1 prepared data'!E458</f>
        <v/>
      </c>
      <c r="G465" s="7">
        <f>'1 prepared data'!F458</f>
        <v/>
      </c>
      <c r="H465" s="7">
        <f>'1 prepared data'!G458</f>
        <v/>
      </c>
      <c r="I465" s="7">
        <f>'1 prepared data'!H458</f>
        <v/>
      </c>
      <c r="J465" s="7">
        <f>'1 prepared data'!I458</f>
        <v/>
      </c>
      <c r="K465" s="7">
        <f>'1 prepared data'!J458</f>
        <v/>
      </c>
      <c r="L465" s="7">
        <f>'1 prepared data'!K458</f>
        <v/>
      </c>
      <c r="M465" s="7">
        <f>'1 prepared data'!L458</f>
        <v/>
      </c>
      <c r="N465" s="7">
        <f>'1 prepared data'!M458</f>
        <v/>
      </c>
      <c r="O465" s="7">
        <f>'1 prepared data'!N458</f>
        <v/>
      </c>
      <c r="P465" s="7">
        <f>'1 prepared data'!O458</f>
        <v/>
      </c>
      <c r="Q465" s="7">
        <f>'1 prepared data'!P458</f>
        <v/>
      </c>
      <c r="R465" s="7">
        <f>'1 prepared data'!Q458</f>
        <v/>
      </c>
      <c r="S465" s="7">
        <f>'1 prepared data'!R458</f>
        <v/>
      </c>
      <c r="T465" s="7">
        <f>'1 prepared data'!S458</f>
        <v/>
      </c>
      <c r="U465" s="7">
        <f>'1 prepared data'!T458</f>
        <v/>
      </c>
      <c r="V465" s="8">
        <f>$AC$12+D465*$AC$13+E465*$AC$14+F465*$AC$15+G465*$AC$16+H465*$AC$17+I465*$AC$18+J465*$AC$19+K465*$AC$20+L465*$AC$21+M465*$AC$22+N465*$AC$23+O465*$AC$24+P465*$AC$25+Q465*$AC$26+R465*$AC$27+S465*$AC$28+T465*$AC$29+U465*$AC$30</f>
        <v/>
      </c>
      <c r="W465" s="8">
        <f>1/(1+EXP(-V465))</f>
        <v/>
      </c>
      <c r="X465" s="9">
        <f>-IF(C465=1,LN(W465),LN(1-W465))</f>
        <v/>
      </c>
      <c r="Y465" s="10">
        <f>IF(W465&gt;$AC$33,1,0)</f>
        <v/>
      </c>
      <c r="Z465">
        <f>IF(Y465=C465,1,0)</f>
        <v/>
      </c>
    </row>
    <row r="466">
      <c r="A466">
        <f>'1 prepared data'!A459</f>
        <v/>
      </c>
      <c r="B466" s="5">
        <f>'1 prepared data'!U459</f>
        <v/>
      </c>
      <c r="C466">
        <f>'1 prepared data'!B459</f>
        <v/>
      </c>
      <c r="D466" s="7">
        <f>'1 prepared data'!C459</f>
        <v/>
      </c>
      <c r="E466" s="7">
        <f>'1 prepared data'!D459</f>
        <v/>
      </c>
      <c r="F466" s="7">
        <f>'1 prepared data'!E459</f>
        <v/>
      </c>
      <c r="G466" s="7">
        <f>'1 prepared data'!F459</f>
        <v/>
      </c>
      <c r="H466" s="7">
        <f>'1 prepared data'!G459</f>
        <v/>
      </c>
      <c r="I466" s="7">
        <f>'1 prepared data'!H459</f>
        <v/>
      </c>
      <c r="J466" s="7">
        <f>'1 prepared data'!I459</f>
        <v/>
      </c>
      <c r="K466" s="7">
        <f>'1 prepared data'!J459</f>
        <v/>
      </c>
      <c r="L466" s="7">
        <f>'1 prepared data'!K459</f>
        <v/>
      </c>
      <c r="M466" s="7">
        <f>'1 prepared data'!L459</f>
        <v/>
      </c>
      <c r="N466" s="7">
        <f>'1 prepared data'!M459</f>
        <v/>
      </c>
      <c r="O466" s="7">
        <f>'1 prepared data'!N459</f>
        <v/>
      </c>
      <c r="P466" s="7">
        <f>'1 prepared data'!O459</f>
        <v/>
      </c>
      <c r="Q466" s="7">
        <f>'1 prepared data'!P459</f>
        <v/>
      </c>
      <c r="R466" s="7">
        <f>'1 prepared data'!Q459</f>
        <v/>
      </c>
      <c r="S466" s="7">
        <f>'1 prepared data'!R459</f>
        <v/>
      </c>
      <c r="T466" s="7">
        <f>'1 prepared data'!S459</f>
        <v/>
      </c>
      <c r="U466" s="7">
        <f>'1 prepared data'!T459</f>
        <v/>
      </c>
      <c r="V466" s="8">
        <f>$AC$12+D466*$AC$13+E466*$AC$14+F466*$AC$15+G466*$AC$16+H466*$AC$17+I466*$AC$18+J466*$AC$19+K466*$AC$20+L466*$AC$21+M466*$AC$22+N466*$AC$23+O466*$AC$24+P466*$AC$25+Q466*$AC$26+R466*$AC$27+S466*$AC$28+T466*$AC$29+U466*$AC$30</f>
        <v/>
      </c>
      <c r="W466" s="8">
        <f>1/(1+EXP(-V466))</f>
        <v/>
      </c>
      <c r="X466" s="9">
        <f>-IF(C466=1,LN(W466),LN(1-W466))</f>
        <v/>
      </c>
      <c r="Y466" s="10">
        <f>IF(W466&gt;$AC$33,1,0)</f>
        <v/>
      </c>
      <c r="Z466">
        <f>IF(Y466=C466,1,0)</f>
        <v/>
      </c>
    </row>
    <row r="467">
      <c r="A467">
        <f>'1 prepared data'!A460</f>
        <v/>
      </c>
      <c r="B467" s="5">
        <f>'1 prepared data'!U460</f>
        <v/>
      </c>
      <c r="C467">
        <f>'1 prepared data'!B460</f>
        <v/>
      </c>
      <c r="D467" s="7">
        <f>'1 prepared data'!C460</f>
        <v/>
      </c>
      <c r="E467" s="7">
        <f>'1 prepared data'!D460</f>
        <v/>
      </c>
      <c r="F467" s="7">
        <f>'1 prepared data'!E460</f>
        <v/>
      </c>
      <c r="G467" s="7">
        <f>'1 prepared data'!F460</f>
        <v/>
      </c>
      <c r="H467" s="7">
        <f>'1 prepared data'!G460</f>
        <v/>
      </c>
      <c r="I467" s="7">
        <f>'1 prepared data'!H460</f>
        <v/>
      </c>
      <c r="J467" s="7">
        <f>'1 prepared data'!I460</f>
        <v/>
      </c>
      <c r="K467" s="7">
        <f>'1 prepared data'!J460</f>
        <v/>
      </c>
      <c r="L467" s="7">
        <f>'1 prepared data'!K460</f>
        <v/>
      </c>
      <c r="M467" s="7">
        <f>'1 prepared data'!L460</f>
        <v/>
      </c>
      <c r="N467" s="7">
        <f>'1 prepared data'!M460</f>
        <v/>
      </c>
      <c r="O467" s="7">
        <f>'1 prepared data'!N460</f>
        <v/>
      </c>
      <c r="P467" s="7">
        <f>'1 prepared data'!O460</f>
        <v/>
      </c>
      <c r="Q467" s="7">
        <f>'1 prepared data'!P460</f>
        <v/>
      </c>
      <c r="R467" s="7">
        <f>'1 prepared data'!Q460</f>
        <v/>
      </c>
      <c r="S467" s="7">
        <f>'1 prepared data'!R460</f>
        <v/>
      </c>
      <c r="T467" s="7">
        <f>'1 prepared data'!S460</f>
        <v/>
      </c>
      <c r="U467" s="7">
        <f>'1 prepared data'!T460</f>
        <v/>
      </c>
      <c r="V467" s="8">
        <f>$AC$12+D467*$AC$13+E467*$AC$14+F467*$AC$15+G467*$AC$16+H467*$AC$17+I467*$AC$18+J467*$AC$19+K467*$AC$20+L467*$AC$21+M467*$AC$22+N467*$AC$23+O467*$AC$24+P467*$AC$25+Q467*$AC$26+R467*$AC$27+S467*$AC$28+T467*$AC$29+U467*$AC$30</f>
        <v/>
      </c>
      <c r="W467" s="8">
        <f>1/(1+EXP(-V467))</f>
        <v/>
      </c>
      <c r="X467" s="9">
        <f>-IF(C467=1,LN(W467),LN(1-W467))</f>
        <v/>
      </c>
      <c r="Y467" s="10">
        <f>IF(W467&gt;$AC$33,1,0)</f>
        <v/>
      </c>
      <c r="Z467">
        <f>IF(Y467=C467,1,0)</f>
        <v/>
      </c>
    </row>
    <row r="468">
      <c r="A468">
        <f>'1 prepared data'!A461</f>
        <v/>
      </c>
      <c r="B468" s="5">
        <f>'1 prepared data'!U461</f>
        <v/>
      </c>
      <c r="C468">
        <f>'1 prepared data'!B461</f>
        <v/>
      </c>
      <c r="D468" s="7">
        <f>'1 prepared data'!C461</f>
        <v/>
      </c>
      <c r="E468" s="7">
        <f>'1 prepared data'!D461</f>
        <v/>
      </c>
      <c r="F468" s="7">
        <f>'1 prepared data'!E461</f>
        <v/>
      </c>
      <c r="G468" s="7">
        <f>'1 prepared data'!F461</f>
        <v/>
      </c>
      <c r="H468" s="7">
        <f>'1 prepared data'!G461</f>
        <v/>
      </c>
      <c r="I468" s="7">
        <f>'1 prepared data'!H461</f>
        <v/>
      </c>
      <c r="J468" s="7">
        <f>'1 prepared data'!I461</f>
        <v/>
      </c>
      <c r="K468" s="7">
        <f>'1 prepared data'!J461</f>
        <v/>
      </c>
      <c r="L468" s="7">
        <f>'1 prepared data'!K461</f>
        <v/>
      </c>
      <c r="M468" s="7">
        <f>'1 prepared data'!L461</f>
        <v/>
      </c>
      <c r="N468" s="7">
        <f>'1 prepared data'!M461</f>
        <v/>
      </c>
      <c r="O468" s="7">
        <f>'1 prepared data'!N461</f>
        <v/>
      </c>
      <c r="P468" s="7">
        <f>'1 prepared data'!O461</f>
        <v/>
      </c>
      <c r="Q468" s="7">
        <f>'1 prepared data'!P461</f>
        <v/>
      </c>
      <c r="R468" s="7">
        <f>'1 prepared data'!Q461</f>
        <v/>
      </c>
      <c r="S468" s="7">
        <f>'1 prepared data'!R461</f>
        <v/>
      </c>
      <c r="T468" s="7">
        <f>'1 prepared data'!S461</f>
        <v/>
      </c>
      <c r="U468" s="7">
        <f>'1 prepared data'!T461</f>
        <v/>
      </c>
      <c r="V468" s="8">
        <f>$AC$12+D468*$AC$13+E468*$AC$14+F468*$AC$15+G468*$AC$16+H468*$AC$17+I468*$AC$18+J468*$AC$19+K468*$AC$20+L468*$AC$21+M468*$AC$22+N468*$AC$23+O468*$AC$24+P468*$AC$25+Q468*$AC$26+R468*$AC$27+S468*$AC$28+T468*$AC$29+U468*$AC$30</f>
        <v/>
      </c>
      <c r="W468" s="8">
        <f>1/(1+EXP(-V468))</f>
        <v/>
      </c>
      <c r="X468" s="9">
        <f>-IF(C468=1,LN(W468),LN(1-W468))</f>
        <v/>
      </c>
      <c r="Y468" s="10">
        <f>IF(W468&gt;$AC$33,1,0)</f>
        <v/>
      </c>
      <c r="Z468">
        <f>IF(Y468=C468,1,0)</f>
        <v/>
      </c>
    </row>
    <row r="469">
      <c r="A469">
        <f>'1 prepared data'!A462</f>
        <v/>
      </c>
      <c r="B469" s="5">
        <f>'1 prepared data'!U462</f>
        <v/>
      </c>
      <c r="C469">
        <f>'1 prepared data'!B462</f>
        <v/>
      </c>
      <c r="D469" s="7">
        <f>'1 prepared data'!C462</f>
        <v/>
      </c>
      <c r="E469" s="7">
        <f>'1 prepared data'!D462</f>
        <v/>
      </c>
      <c r="F469" s="7">
        <f>'1 prepared data'!E462</f>
        <v/>
      </c>
      <c r="G469" s="7">
        <f>'1 prepared data'!F462</f>
        <v/>
      </c>
      <c r="H469" s="7">
        <f>'1 prepared data'!G462</f>
        <v/>
      </c>
      <c r="I469" s="7">
        <f>'1 prepared data'!H462</f>
        <v/>
      </c>
      <c r="J469" s="7">
        <f>'1 prepared data'!I462</f>
        <v/>
      </c>
      <c r="K469" s="7">
        <f>'1 prepared data'!J462</f>
        <v/>
      </c>
      <c r="L469" s="7">
        <f>'1 prepared data'!K462</f>
        <v/>
      </c>
      <c r="M469" s="7">
        <f>'1 prepared data'!L462</f>
        <v/>
      </c>
      <c r="N469" s="7">
        <f>'1 prepared data'!M462</f>
        <v/>
      </c>
      <c r="O469" s="7">
        <f>'1 prepared data'!N462</f>
        <v/>
      </c>
      <c r="P469" s="7">
        <f>'1 prepared data'!O462</f>
        <v/>
      </c>
      <c r="Q469" s="7">
        <f>'1 prepared data'!P462</f>
        <v/>
      </c>
      <c r="R469" s="7">
        <f>'1 prepared data'!Q462</f>
        <v/>
      </c>
      <c r="S469" s="7">
        <f>'1 prepared data'!R462</f>
        <v/>
      </c>
      <c r="T469" s="7">
        <f>'1 prepared data'!S462</f>
        <v/>
      </c>
      <c r="U469" s="7">
        <f>'1 prepared data'!T462</f>
        <v/>
      </c>
      <c r="V469" s="8">
        <f>$AC$12+D469*$AC$13+E469*$AC$14+F469*$AC$15+G469*$AC$16+H469*$AC$17+I469*$AC$18+J469*$AC$19+K469*$AC$20+L469*$AC$21+M469*$AC$22+N469*$AC$23+O469*$AC$24+P469*$AC$25+Q469*$AC$26+R469*$AC$27+S469*$AC$28+T469*$AC$29+U469*$AC$30</f>
        <v/>
      </c>
      <c r="W469" s="8">
        <f>1/(1+EXP(-V469))</f>
        <v/>
      </c>
      <c r="X469" s="9">
        <f>-IF(C469=1,LN(W469),LN(1-W469))</f>
        <v/>
      </c>
      <c r="Y469" s="10">
        <f>IF(W469&gt;$AC$33,1,0)</f>
        <v/>
      </c>
      <c r="Z469">
        <f>IF(Y469=C469,1,0)</f>
        <v/>
      </c>
    </row>
    <row r="470">
      <c r="A470">
        <f>'1 prepared data'!A463</f>
        <v/>
      </c>
      <c r="B470" s="5">
        <f>'1 prepared data'!U463</f>
        <v/>
      </c>
      <c r="C470">
        <f>'1 prepared data'!B463</f>
        <v/>
      </c>
      <c r="D470" s="7">
        <f>'1 prepared data'!C463</f>
        <v/>
      </c>
      <c r="E470" s="7">
        <f>'1 prepared data'!D463</f>
        <v/>
      </c>
      <c r="F470" s="7">
        <f>'1 prepared data'!E463</f>
        <v/>
      </c>
      <c r="G470" s="7">
        <f>'1 prepared data'!F463</f>
        <v/>
      </c>
      <c r="H470" s="7">
        <f>'1 prepared data'!G463</f>
        <v/>
      </c>
      <c r="I470" s="7">
        <f>'1 prepared data'!H463</f>
        <v/>
      </c>
      <c r="J470" s="7">
        <f>'1 prepared data'!I463</f>
        <v/>
      </c>
      <c r="K470" s="7">
        <f>'1 prepared data'!J463</f>
        <v/>
      </c>
      <c r="L470" s="7">
        <f>'1 prepared data'!K463</f>
        <v/>
      </c>
      <c r="M470" s="7">
        <f>'1 prepared data'!L463</f>
        <v/>
      </c>
      <c r="N470" s="7">
        <f>'1 prepared data'!M463</f>
        <v/>
      </c>
      <c r="O470" s="7">
        <f>'1 prepared data'!N463</f>
        <v/>
      </c>
      <c r="P470" s="7">
        <f>'1 prepared data'!O463</f>
        <v/>
      </c>
      <c r="Q470" s="7">
        <f>'1 prepared data'!P463</f>
        <v/>
      </c>
      <c r="R470" s="7">
        <f>'1 prepared data'!Q463</f>
        <v/>
      </c>
      <c r="S470" s="7">
        <f>'1 prepared data'!R463</f>
        <v/>
      </c>
      <c r="T470" s="7">
        <f>'1 prepared data'!S463</f>
        <v/>
      </c>
      <c r="U470" s="7">
        <f>'1 prepared data'!T463</f>
        <v/>
      </c>
      <c r="V470" s="8">
        <f>$AC$12+D470*$AC$13+E470*$AC$14+F470*$AC$15+G470*$AC$16+H470*$AC$17+I470*$AC$18+J470*$AC$19+K470*$AC$20+L470*$AC$21+M470*$AC$22+N470*$AC$23+O470*$AC$24+P470*$AC$25+Q470*$AC$26+R470*$AC$27+S470*$AC$28+T470*$AC$29+U470*$AC$30</f>
        <v/>
      </c>
      <c r="W470" s="8">
        <f>1/(1+EXP(-V470))</f>
        <v/>
      </c>
      <c r="X470" s="9">
        <f>-IF(C470=1,LN(W470),LN(1-W470))</f>
        <v/>
      </c>
      <c r="Y470" s="10">
        <f>IF(W470&gt;$AC$33,1,0)</f>
        <v/>
      </c>
      <c r="Z470">
        <f>IF(Y470=C470,1,0)</f>
        <v/>
      </c>
    </row>
    <row r="471">
      <c r="A471">
        <f>'1 prepared data'!A464</f>
        <v/>
      </c>
      <c r="B471" s="5">
        <f>'1 prepared data'!U464</f>
        <v/>
      </c>
      <c r="C471">
        <f>'1 prepared data'!B464</f>
        <v/>
      </c>
      <c r="D471" s="7">
        <f>'1 prepared data'!C464</f>
        <v/>
      </c>
      <c r="E471" s="7">
        <f>'1 prepared data'!D464</f>
        <v/>
      </c>
      <c r="F471" s="7">
        <f>'1 prepared data'!E464</f>
        <v/>
      </c>
      <c r="G471" s="7">
        <f>'1 prepared data'!F464</f>
        <v/>
      </c>
      <c r="H471" s="7">
        <f>'1 prepared data'!G464</f>
        <v/>
      </c>
      <c r="I471" s="7">
        <f>'1 prepared data'!H464</f>
        <v/>
      </c>
      <c r="J471" s="7">
        <f>'1 prepared data'!I464</f>
        <v/>
      </c>
      <c r="K471" s="7">
        <f>'1 prepared data'!J464</f>
        <v/>
      </c>
      <c r="L471" s="7">
        <f>'1 prepared data'!K464</f>
        <v/>
      </c>
      <c r="M471" s="7">
        <f>'1 prepared data'!L464</f>
        <v/>
      </c>
      <c r="N471" s="7">
        <f>'1 prepared data'!M464</f>
        <v/>
      </c>
      <c r="O471" s="7">
        <f>'1 prepared data'!N464</f>
        <v/>
      </c>
      <c r="P471" s="7">
        <f>'1 prepared data'!O464</f>
        <v/>
      </c>
      <c r="Q471" s="7">
        <f>'1 prepared data'!P464</f>
        <v/>
      </c>
      <c r="R471" s="7">
        <f>'1 prepared data'!Q464</f>
        <v/>
      </c>
      <c r="S471" s="7">
        <f>'1 prepared data'!R464</f>
        <v/>
      </c>
      <c r="T471" s="7">
        <f>'1 prepared data'!S464</f>
        <v/>
      </c>
      <c r="U471" s="7">
        <f>'1 prepared data'!T464</f>
        <v/>
      </c>
      <c r="V471" s="8">
        <f>$AC$12+D471*$AC$13+E471*$AC$14+F471*$AC$15+G471*$AC$16+H471*$AC$17+I471*$AC$18+J471*$AC$19+K471*$AC$20+L471*$AC$21+M471*$AC$22+N471*$AC$23+O471*$AC$24+P471*$AC$25+Q471*$AC$26+R471*$AC$27+S471*$AC$28+T471*$AC$29+U471*$AC$30</f>
        <v/>
      </c>
      <c r="W471" s="8">
        <f>1/(1+EXP(-V471))</f>
        <v/>
      </c>
      <c r="X471" s="9">
        <f>-IF(C471=1,LN(W471),LN(1-W471))</f>
        <v/>
      </c>
      <c r="Y471" s="10">
        <f>IF(W471&gt;$AC$33,1,0)</f>
        <v/>
      </c>
      <c r="Z471">
        <f>IF(Y471=C471,1,0)</f>
        <v/>
      </c>
    </row>
    <row r="472">
      <c r="A472">
        <f>'1 prepared data'!A465</f>
        <v/>
      </c>
      <c r="B472" s="5">
        <f>'1 prepared data'!U465</f>
        <v/>
      </c>
      <c r="C472">
        <f>'1 prepared data'!B465</f>
        <v/>
      </c>
      <c r="D472" s="7">
        <f>'1 prepared data'!C465</f>
        <v/>
      </c>
      <c r="E472" s="7">
        <f>'1 prepared data'!D465</f>
        <v/>
      </c>
      <c r="F472" s="7">
        <f>'1 prepared data'!E465</f>
        <v/>
      </c>
      <c r="G472" s="7">
        <f>'1 prepared data'!F465</f>
        <v/>
      </c>
      <c r="H472" s="7">
        <f>'1 prepared data'!G465</f>
        <v/>
      </c>
      <c r="I472" s="7">
        <f>'1 prepared data'!H465</f>
        <v/>
      </c>
      <c r="J472" s="7">
        <f>'1 prepared data'!I465</f>
        <v/>
      </c>
      <c r="K472" s="7">
        <f>'1 prepared data'!J465</f>
        <v/>
      </c>
      <c r="L472" s="7">
        <f>'1 prepared data'!K465</f>
        <v/>
      </c>
      <c r="M472" s="7">
        <f>'1 prepared data'!L465</f>
        <v/>
      </c>
      <c r="N472" s="7">
        <f>'1 prepared data'!M465</f>
        <v/>
      </c>
      <c r="O472" s="7">
        <f>'1 prepared data'!N465</f>
        <v/>
      </c>
      <c r="P472" s="7">
        <f>'1 prepared data'!O465</f>
        <v/>
      </c>
      <c r="Q472" s="7">
        <f>'1 prepared data'!P465</f>
        <v/>
      </c>
      <c r="R472" s="7">
        <f>'1 prepared data'!Q465</f>
        <v/>
      </c>
      <c r="S472" s="7">
        <f>'1 prepared data'!R465</f>
        <v/>
      </c>
      <c r="T472" s="7">
        <f>'1 prepared data'!S465</f>
        <v/>
      </c>
      <c r="U472" s="7">
        <f>'1 prepared data'!T465</f>
        <v/>
      </c>
      <c r="V472" s="8">
        <f>$AC$12+D472*$AC$13+E472*$AC$14+F472*$AC$15+G472*$AC$16+H472*$AC$17+I472*$AC$18+J472*$AC$19+K472*$AC$20+L472*$AC$21+M472*$AC$22+N472*$AC$23+O472*$AC$24+P472*$AC$25+Q472*$AC$26+R472*$AC$27+S472*$AC$28+T472*$AC$29+U472*$AC$30</f>
        <v/>
      </c>
      <c r="W472" s="8">
        <f>1/(1+EXP(-V472))</f>
        <v/>
      </c>
      <c r="X472" s="9">
        <f>-IF(C472=1,LN(W472),LN(1-W472))</f>
        <v/>
      </c>
      <c r="Y472" s="10">
        <f>IF(W472&gt;$AC$33,1,0)</f>
        <v/>
      </c>
      <c r="Z472">
        <f>IF(Y472=C472,1,0)</f>
        <v/>
      </c>
    </row>
    <row r="473">
      <c r="A473">
        <f>'1 prepared data'!A466</f>
        <v/>
      </c>
      <c r="B473" s="5">
        <f>'1 prepared data'!U466</f>
        <v/>
      </c>
      <c r="C473">
        <f>'1 prepared data'!B466</f>
        <v/>
      </c>
      <c r="D473" s="7">
        <f>'1 prepared data'!C466</f>
        <v/>
      </c>
      <c r="E473" s="7">
        <f>'1 prepared data'!D466</f>
        <v/>
      </c>
      <c r="F473" s="7">
        <f>'1 prepared data'!E466</f>
        <v/>
      </c>
      <c r="G473" s="7">
        <f>'1 prepared data'!F466</f>
        <v/>
      </c>
      <c r="H473" s="7">
        <f>'1 prepared data'!G466</f>
        <v/>
      </c>
      <c r="I473" s="7">
        <f>'1 prepared data'!H466</f>
        <v/>
      </c>
      <c r="J473" s="7">
        <f>'1 prepared data'!I466</f>
        <v/>
      </c>
      <c r="K473" s="7">
        <f>'1 prepared data'!J466</f>
        <v/>
      </c>
      <c r="L473" s="7">
        <f>'1 prepared data'!K466</f>
        <v/>
      </c>
      <c r="M473" s="7">
        <f>'1 prepared data'!L466</f>
        <v/>
      </c>
      <c r="N473" s="7">
        <f>'1 prepared data'!M466</f>
        <v/>
      </c>
      <c r="O473" s="7">
        <f>'1 prepared data'!N466</f>
        <v/>
      </c>
      <c r="P473" s="7">
        <f>'1 prepared data'!O466</f>
        <v/>
      </c>
      <c r="Q473" s="7">
        <f>'1 prepared data'!P466</f>
        <v/>
      </c>
      <c r="R473" s="7">
        <f>'1 prepared data'!Q466</f>
        <v/>
      </c>
      <c r="S473" s="7">
        <f>'1 prepared data'!R466</f>
        <v/>
      </c>
      <c r="T473" s="7">
        <f>'1 prepared data'!S466</f>
        <v/>
      </c>
      <c r="U473" s="7">
        <f>'1 prepared data'!T466</f>
        <v/>
      </c>
      <c r="V473" s="8">
        <f>$AC$12+D473*$AC$13+E473*$AC$14+F473*$AC$15+G473*$AC$16+H473*$AC$17+I473*$AC$18+J473*$AC$19+K473*$AC$20+L473*$AC$21+M473*$AC$22+N473*$AC$23+O473*$AC$24+P473*$AC$25+Q473*$AC$26+R473*$AC$27+S473*$AC$28+T473*$AC$29+U473*$AC$30</f>
        <v/>
      </c>
      <c r="W473" s="8">
        <f>1/(1+EXP(-V473))</f>
        <v/>
      </c>
      <c r="X473" s="9">
        <f>-IF(C473=1,LN(W473),LN(1-W473))</f>
        <v/>
      </c>
      <c r="Y473" s="10">
        <f>IF(W473&gt;$AC$33,1,0)</f>
        <v/>
      </c>
      <c r="Z473">
        <f>IF(Y473=C473,1,0)</f>
        <v/>
      </c>
    </row>
    <row r="474">
      <c r="A474">
        <f>'1 prepared data'!A467</f>
        <v/>
      </c>
      <c r="B474" s="5">
        <f>'1 prepared data'!U467</f>
        <v/>
      </c>
      <c r="C474">
        <f>'1 prepared data'!B467</f>
        <v/>
      </c>
      <c r="D474" s="7">
        <f>'1 prepared data'!C467</f>
        <v/>
      </c>
      <c r="E474" s="7">
        <f>'1 prepared data'!D467</f>
        <v/>
      </c>
      <c r="F474" s="7">
        <f>'1 prepared data'!E467</f>
        <v/>
      </c>
      <c r="G474" s="7">
        <f>'1 prepared data'!F467</f>
        <v/>
      </c>
      <c r="H474" s="7">
        <f>'1 prepared data'!G467</f>
        <v/>
      </c>
      <c r="I474" s="7">
        <f>'1 prepared data'!H467</f>
        <v/>
      </c>
      <c r="J474" s="7">
        <f>'1 prepared data'!I467</f>
        <v/>
      </c>
      <c r="K474" s="7">
        <f>'1 prepared data'!J467</f>
        <v/>
      </c>
      <c r="L474" s="7">
        <f>'1 prepared data'!K467</f>
        <v/>
      </c>
      <c r="M474" s="7">
        <f>'1 prepared data'!L467</f>
        <v/>
      </c>
      <c r="N474" s="7">
        <f>'1 prepared data'!M467</f>
        <v/>
      </c>
      <c r="O474" s="7">
        <f>'1 prepared data'!N467</f>
        <v/>
      </c>
      <c r="P474" s="7">
        <f>'1 prepared data'!O467</f>
        <v/>
      </c>
      <c r="Q474" s="7">
        <f>'1 prepared data'!P467</f>
        <v/>
      </c>
      <c r="R474" s="7">
        <f>'1 prepared data'!Q467</f>
        <v/>
      </c>
      <c r="S474" s="7">
        <f>'1 prepared data'!R467</f>
        <v/>
      </c>
      <c r="T474" s="7">
        <f>'1 prepared data'!S467</f>
        <v/>
      </c>
      <c r="U474" s="7">
        <f>'1 prepared data'!T467</f>
        <v/>
      </c>
      <c r="V474" s="8">
        <f>$AC$12+D474*$AC$13+E474*$AC$14+F474*$AC$15+G474*$AC$16+H474*$AC$17+I474*$AC$18+J474*$AC$19+K474*$AC$20+L474*$AC$21+M474*$AC$22+N474*$AC$23+O474*$AC$24+P474*$AC$25+Q474*$AC$26+R474*$AC$27+S474*$AC$28+T474*$AC$29+U474*$AC$30</f>
        <v/>
      </c>
      <c r="W474" s="8">
        <f>1/(1+EXP(-V474))</f>
        <v/>
      </c>
      <c r="X474" s="9">
        <f>-IF(C474=1,LN(W474),LN(1-W474))</f>
        <v/>
      </c>
      <c r="Y474" s="10">
        <f>IF(W474&gt;$AC$33,1,0)</f>
        <v/>
      </c>
      <c r="Z474">
        <f>IF(Y474=C474,1,0)</f>
        <v/>
      </c>
    </row>
    <row r="475">
      <c r="A475">
        <f>'1 prepared data'!A468</f>
        <v/>
      </c>
      <c r="B475" s="5">
        <f>'1 prepared data'!U468</f>
        <v/>
      </c>
      <c r="C475">
        <f>'1 prepared data'!B468</f>
        <v/>
      </c>
      <c r="D475" s="7">
        <f>'1 prepared data'!C468</f>
        <v/>
      </c>
      <c r="E475" s="7">
        <f>'1 prepared data'!D468</f>
        <v/>
      </c>
      <c r="F475" s="7">
        <f>'1 prepared data'!E468</f>
        <v/>
      </c>
      <c r="G475" s="7">
        <f>'1 prepared data'!F468</f>
        <v/>
      </c>
      <c r="H475" s="7">
        <f>'1 prepared data'!G468</f>
        <v/>
      </c>
      <c r="I475" s="7">
        <f>'1 prepared data'!H468</f>
        <v/>
      </c>
      <c r="J475" s="7">
        <f>'1 prepared data'!I468</f>
        <v/>
      </c>
      <c r="K475" s="7">
        <f>'1 prepared data'!J468</f>
        <v/>
      </c>
      <c r="L475" s="7">
        <f>'1 prepared data'!K468</f>
        <v/>
      </c>
      <c r="M475" s="7">
        <f>'1 prepared data'!L468</f>
        <v/>
      </c>
      <c r="N475" s="7">
        <f>'1 prepared data'!M468</f>
        <v/>
      </c>
      <c r="O475" s="7">
        <f>'1 prepared data'!N468</f>
        <v/>
      </c>
      <c r="P475" s="7">
        <f>'1 prepared data'!O468</f>
        <v/>
      </c>
      <c r="Q475" s="7">
        <f>'1 prepared data'!P468</f>
        <v/>
      </c>
      <c r="R475" s="7">
        <f>'1 prepared data'!Q468</f>
        <v/>
      </c>
      <c r="S475" s="7">
        <f>'1 prepared data'!R468</f>
        <v/>
      </c>
      <c r="T475" s="7">
        <f>'1 prepared data'!S468</f>
        <v/>
      </c>
      <c r="U475" s="7">
        <f>'1 prepared data'!T468</f>
        <v/>
      </c>
      <c r="V475" s="8">
        <f>$AC$12+D475*$AC$13+E475*$AC$14+F475*$AC$15+G475*$AC$16+H475*$AC$17+I475*$AC$18+J475*$AC$19+K475*$AC$20+L475*$AC$21+M475*$AC$22+N475*$AC$23+O475*$AC$24+P475*$AC$25+Q475*$AC$26+R475*$AC$27+S475*$AC$28+T475*$AC$29+U475*$AC$30</f>
        <v/>
      </c>
      <c r="W475" s="8">
        <f>1/(1+EXP(-V475))</f>
        <v/>
      </c>
      <c r="X475" s="9">
        <f>-IF(C475=1,LN(W475),LN(1-W475))</f>
        <v/>
      </c>
      <c r="Y475" s="10">
        <f>IF(W475&gt;$AC$33,1,0)</f>
        <v/>
      </c>
      <c r="Z475">
        <f>IF(Y475=C475,1,0)</f>
        <v/>
      </c>
    </row>
    <row r="476">
      <c r="A476">
        <f>'1 prepared data'!A469</f>
        <v/>
      </c>
      <c r="B476" s="5">
        <f>'1 prepared data'!U469</f>
        <v/>
      </c>
      <c r="C476">
        <f>'1 prepared data'!B469</f>
        <v/>
      </c>
      <c r="D476" s="7">
        <f>'1 prepared data'!C469</f>
        <v/>
      </c>
      <c r="E476" s="7">
        <f>'1 prepared data'!D469</f>
        <v/>
      </c>
      <c r="F476" s="7">
        <f>'1 prepared data'!E469</f>
        <v/>
      </c>
      <c r="G476" s="7">
        <f>'1 prepared data'!F469</f>
        <v/>
      </c>
      <c r="H476" s="7">
        <f>'1 prepared data'!G469</f>
        <v/>
      </c>
      <c r="I476" s="7">
        <f>'1 prepared data'!H469</f>
        <v/>
      </c>
      <c r="J476" s="7">
        <f>'1 prepared data'!I469</f>
        <v/>
      </c>
      <c r="K476" s="7">
        <f>'1 prepared data'!J469</f>
        <v/>
      </c>
      <c r="L476" s="7">
        <f>'1 prepared data'!K469</f>
        <v/>
      </c>
      <c r="M476" s="7">
        <f>'1 prepared data'!L469</f>
        <v/>
      </c>
      <c r="N476" s="7">
        <f>'1 prepared data'!M469</f>
        <v/>
      </c>
      <c r="O476" s="7">
        <f>'1 prepared data'!N469</f>
        <v/>
      </c>
      <c r="P476" s="7">
        <f>'1 prepared data'!O469</f>
        <v/>
      </c>
      <c r="Q476" s="7">
        <f>'1 prepared data'!P469</f>
        <v/>
      </c>
      <c r="R476" s="7">
        <f>'1 prepared data'!Q469</f>
        <v/>
      </c>
      <c r="S476" s="7">
        <f>'1 prepared data'!R469</f>
        <v/>
      </c>
      <c r="T476" s="7">
        <f>'1 prepared data'!S469</f>
        <v/>
      </c>
      <c r="U476" s="7">
        <f>'1 prepared data'!T469</f>
        <v/>
      </c>
      <c r="V476" s="8">
        <f>$AC$12+D476*$AC$13+E476*$AC$14+F476*$AC$15+G476*$AC$16+H476*$AC$17+I476*$AC$18+J476*$AC$19+K476*$AC$20+L476*$AC$21+M476*$AC$22+N476*$AC$23+O476*$AC$24+P476*$AC$25+Q476*$AC$26+R476*$AC$27+S476*$AC$28+T476*$AC$29+U476*$AC$30</f>
        <v/>
      </c>
      <c r="W476" s="8">
        <f>1/(1+EXP(-V476))</f>
        <v/>
      </c>
      <c r="X476" s="9">
        <f>-IF(C476=1,LN(W476),LN(1-W476))</f>
        <v/>
      </c>
      <c r="Y476" s="10">
        <f>IF(W476&gt;$AC$33,1,0)</f>
        <v/>
      </c>
      <c r="Z476">
        <f>IF(Y476=C476,1,0)</f>
        <v/>
      </c>
    </row>
    <row r="477">
      <c r="A477">
        <f>'1 prepared data'!A470</f>
        <v/>
      </c>
      <c r="B477" s="5">
        <f>'1 prepared data'!U470</f>
        <v/>
      </c>
      <c r="C477">
        <f>'1 prepared data'!B470</f>
        <v/>
      </c>
      <c r="D477" s="7">
        <f>'1 prepared data'!C470</f>
        <v/>
      </c>
      <c r="E477" s="7">
        <f>'1 prepared data'!D470</f>
        <v/>
      </c>
      <c r="F477" s="7">
        <f>'1 prepared data'!E470</f>
        <v/>
      </c>
      <c r="G477" s="7">
        <f>'1 prepared data'!F470</f>
        <v/>
      </c>
      <c r="H477" s="7">
        <f>'1 prepared data'!G470</f>
        <v/>
      </c>
      <c r="I477" s="7">
        <f>'1 prepared data'!H470</f>
        <v/>
      </c>
      <c r="J477" s="7">
        <f>'1 prepared data'!I470</f>
        <v/>
      </c>
      <c r="K477" s="7">
        <f>'1 prepared data'!J470</f>
        <v/>
      </c>
      <c r="L477" s="7">
        <f>'1 prepared data'!K470</f>
        <v/>
      </c>
      <c r="M477" s="7">
        <f>'1 prepared data'!L470</f>
        <v/>
      </c>
      <c r="N477" s="7">
        <f>'1 prepared data'!M470</f>
        <v/>
      </c>
      <c r="O477" s="7">
        <f>'1 prepared data'!N470</f>
        <v/>
      </c>
      <c r="P477" s="7">
        <f>'1 prepared data'!O470</f>
        <v/>
      </c>
      <c r="Q477" s="7">
        <f>'1 prepared data'!P470</f>
        <v/>
      </c>
      <c r="R477" s="7">
        <f>'1 prepared data'!Q470</f>
        <v/>
      </c>
      <c r="S477" s="7">
        <f>'1 prepared data'!R470</f>
        <v/>
      </c>
      <c r="T477" s="7">
        <f>'1 prepared data'!S470</f>
        <v/>
      </c>
      <c r="U477" s="7">
        <f>'1 prepared data'!T470</f>
        <v/>
      </c>
      <c r="V477" s="8">
        <f>$AC$12+D477*$AC$13+E477*$AC$14+F477*$AC$15+G477*$AC$16+H477*$AC$17+I477*$AC$18+J477*$AC$19+K477*$AC$20+L477*$AC$21+M477*$AC$22+N477*$AC$23+O477*$AC$24+P477*$AC$25+Q477*$AC$26+R477*$AC$27+S477*$AC$28+T477*$AC$29+U477*$AC$30</f>
        <v/>
      </c>
      <c r="W477" s="8">
        <f>1/(1+EXP(-V477))</f>
        <v/>
      </c>
      <c r="X477" s="9">
        <f>-IF(C477=1,LN(W477),LN(1-W477))</f>
        <v/>
      </c>
      <c r="Y477" s="10">
        <f>IF(W477&gt;$AC$33,1,0)</f>
        <v/>
      </c>
      <c r="Z477">
        <f>IF(Y477=C477,1,0)</f>
        <v/>
      </c>
    </row>
    <row r="478">
      <c r="A478">
        <f>'1 prepared data'!A471</f>
        <v/>
      </c>
      <c r="B478" s="5">
        <f>'1 prepared data'!U471</f>
        <v/>
      </c>
      <c r="C478">
        <f>'1 prepared data'!B471</f>
        <v/>
      </c>
      <c r="D478" s="7">
        <f>'1 prepared data'!C471</f>
        <v/>
      </c>
      <c r="E478" s="7">
        <f>'1 prepared data'!D471</f>
        <v/>
      </c>
      <c r="F478" s="7">
        <f>'1 prepared data'!E471</f>
        <v/>
      </c>
      <c r="G478" s="7">
        <f>'1 prepared data'!F471</f>
        <v/>
      </c>
      <c r="H478" s="7">
        <f>'1 prepared data'!G471</f>
        <v/>
      </c>
      <c r="I478" s="7">
        <f>'1 prepared data'!H471</f>
        <v/>
      </c>
      <c r="J478" s="7">
        <f>'1 prepared data'!I471</f>
        <v/>
      </c>
      <c r="K478" s="7">
        <f>'1 prepared data'!J471</f>
        <v/>
      </c>
      <c r="L478" s="7">
        <f>'1 prepared data'!K471</f>
        <v/>
      </c>
      <c r="M478" s="7">
        <f>'1 prepared data'!L471</f>
        <v/>
      </c>
      <c r="N478" s="7">
        <f>'1 prepared data'!M471</f>
        <v/>
      </c>
      <c r="O478" s="7">
        <f>'1 prepared data'!N471</f>
        <v/>
      </c>
      <c r="P478" s="7">
        <f>'1 prepared data'!O471</f>
        <v/>
      </c>
      <c r="Q478" s="7">
        <f>'1 prepared data'!P471</f>
        <v/>
      </c>
      <c r="R478" s="7">
        <f>'1 prepared data'!Q471</f>
        <v/>
      </c>
      <c r="S478" s="7">
        <f>'1 prepared data'!R471</f>
        <v/>
      </c>
      <c r="T478" s="7">
        <f>'1 prepared data'!S471</f>
        <v/>
      </c>
      <c r="U478" s="7">
        <f>'1 prepared data'!T471</f>
        <v/>
      </c>
      <c r="V478" s="8">
        <f>$AC$12+D478*$AC$13+E478*$AC$14+F478*$AC$15+G478*$AC$16+H478*$AC$17+I478*$AC$18+J478*$AC$19+K478*$AC$20+L478*$AC$21+M478*$AC$22+N478*$AC$23+O478*$AC$24+P478*$AC$25+Q478*$AC$26+R478*$AC$27+S478*$AC$28+T478*$AC$29+U478*$AC$30</f>
        <v/>
      </c>
      <c r="W478" s="8">
        <f>1/(1+EXP(-V478))</f>
        <v/>
      </c>
      <c r="X478" s="9">
        <f>-IF(C478=1,LN(W478),LN(1-W478))</f>
        <v/>
      </c>
      <c r="Y478" s="10">
        <f>IF(W478&gt;$AC$33,1,0)</f>
        <v/>
      </c>
      <c r="Z478">
        <f>IF(Y478=C478,1,0)</f>
        <v/>
      </c>
    </row>
    <row r="479">
      <c r="A479">
        <f>'1 prepared data'!A472</f>
        <v/>
      </c>
      <c r="B479" s="5">
        <f>'1 prepared data'!U472</f>
        <v/>
      </c>
      <c r="C479">
        <f>'1 prepared data'!B472</f>
        <v/>
      </c>
      <c r="D479" s="7">
        <f>'1 prepared data'!C472</f>
        <v/>
      </c>
      <c r="E479" s="7">
        <f>'1 prepared data'!D472</f>
        <v/>
      </c>
      <c r="F479" s="7">
        <f>'1 prepared data'!E472</f>
        <v/>
      </c>
      <c r="G479" s="7">
        <f>'1 prepared data'!F472</f>
        <v/>
      </c>
      <c r="H479" s="7">
        <f>'1 prepared data'!G472</f>
        <v/>
      </c>
      <c r="I479" s="7">
        <f>'1 prepared data'!H472</f>
        <v/>
      </c>
      <c r="J479" s="7">
        <f>'1 prepared data'!I472</f>
        <v/>
      </c>
      <c r="K479" s="7">
        <f>'1 prepared data'!J472</f>
        <v/>
      </c>
      <c r="L479" s="7">
        <f>'1 prepared data'!K472</f>
        <v/>
      </c>
      <c r="M479" s="7">
        <f>'1 prepared data'!L472</f>
        <v/>
      </c>
      <c r="N479" s="7">
        <f>'1 prepared data'!M472</f>
        <v/>
      </c>
      <c r="O479" s="7">
        <f>'1 prepared data'!N472</f>
        <v/>
      </c>
      <c r="P479" s="7">
        <f>'1 prepared data'!O472</f>
        <v/>
      </c>
      <c r="Q479" s="7">
        <f>'1 prepared data'!P472</f>
        <v/>
      </c>
      <c r="R479" s="7">
        <f>'1 prepared data'!Q472</f>
        <v/>
      </c>
      <c r="S479" s="7">
        <f>'1 prepared data'!R472</f>
        <v/>
      </c>
      <c r="T479" s="7">
        <f>'1 prepared data'!S472</f>
        <v/>
      </c>
      <c r="U479" s="7">
        <f>'1 prepared data'!T472</f>
        <v/>
      </c>
      <c r="V479" s="8">
        <f>$AC$12+D479*$AC$13+E479*$AC$14+F479*$AC$15+G479*$AC$16+H479*$AC$17+I479*$AC$18+J479*$AC$19+K479*$AC$20+L479*$AC$21+M479*$AC$22+N479*$AC$23+O479*$AC$24+P479*$AC$25+Q479*$AC$26+R479*$AC$27+S479*$AC$28+T479*$AC$29+U479*$AC$30</f>
        <v/>
      </c>
      <c r="W479" s="8">
        <f>1/(1+EXP(-V479))</f>
        <v/>
      </c>
      <c r="X479" s="9">
        <f>-IF(C479=1,LN(W479),LN(1-W479))</f>
        <v/>
      </c>
      <c r="Y479" s="10">
        <f>IF(W479&gt;$AC$33,1,0)</f>
        <v/>
      </c>
      <c r="Z479">
        <f>IF(Y479=C479,1,0)</f>
        <v/>
      </c>
    </row>
    <row r="480">
      <c r="A480">
        <f>'1 prepared data'!A473</f>
        <v/>
      </c>
      <c r="B480" s="5">
        <f>'1 prepared data'!U473</f>
        <v/>
      </c>
      <c r="C480">
        <f>'1 prepared data'!B473</f>
        <v/>
      </c>
      <c r="D480" s="7">
        <f>'1 prepared data'!C473</f>
        <v/>
      </c>
      <c r="E480" s="7">
        <f>'1 prepared data'!D473</f>
        <v/>
      </c>
      <c r="F480" s="7">
        <f>'1 prepared data'!E473</f>
        <v/>
      </c>
      <c r="G480" s="7">
        <f>'1 prepared data'!F473</f>
        <v/>
      </c>
      <c r="H480" s="7">
        <f>'1 prepared data'!G473</f>
        <v/>
      </c>
      <c r="I480" s="7">
        <f>'1 prepared data'!H473</f>
        <v/>
      </c>
      <c r="J480" s="7">
        <f>'1 prepared data'!I473</f>
        <v/>
      </c>
      <c r="K480" s="7">
        <f>'1 prepared data'!J473</f>
        <v/>
      </c>
      <c r="L480" s="7">
        <f>'1 prepared data'!K473</f>
        <v/>
      </c>
      <c r="M480" s="7">
        <f>'1 prepared data'!L473</f>
        <v/>
      </c>
      <c r="N480" s="7">
        <f>'1 prepared data'!M473</f>
        <v/>
      </c>
      <c r="O480" s="7">
        <f>'1 prepared data'!N473</f>
        <v/>
      </c>
      <c r="P480" s="7">
        <f>'1 prepared data'!O473</f>
        <v/>
      </c>
      <c r="Q480" s="7">
        <f>'1 prepared data'!P473</f>
        <v/>
      </c>
      <c r="R480" s="7">
        <f>'1 prepared data'!Q473</f>
        <v/>
      </c>
      <c r="S480" s="7">
        <f>'1 prepared data'!R473</f>
        <v/>
      </c>
      <c r="T480" s="7">
        <f>'1 prepared data'!S473</f>
        <v/>
      </c>
      <c r="U480" s="7">
        <f>'1 prepared data'!T473</f>
        <v/>
      </c>
      <c r="V480" s="8">
        <f>$AC$12+D480*$AC$13+E480*$AC$14+F480*$AC$15+G480*$AC$16+H480*$AC$17+I480*$AC$18+J480*$AC$19+K480*$AC$20+L480*$AC$21+M480*$AC$22+N480*$AC$23+O480*$AC$24+P480*$AC$25+Q480*$AC$26+R480*$AC$27+S480*$AC$28+T480*$AC$29+U480*$AC$30</f>
        <v/>
      </c>
      <c r="W480" s="8">
        <f>1/(1+EXP(-V480))</f>
        <v/>
      </c>
      <c r="X480" s="9">
        <f>-IF(C480=1,LN(W480),LN(1-W480))</f>
        <v/>
      </c>
      <c r="Y480" s="10">
        <f>IF(W480&gt;$AC$33,1,0)</f>
        <v/>
      </c>
      <c r="Z480">
        <f>IF(Y480=C480,1,0)</f>
        <v/>
      </c>
    </row>
    <row r="481">
      <c r="A481">
        <f>'1 prepared data'!A474</f>
        <v/>
      </c>
      <c r="B481" s="5">
        <f>'1 prepared data'!U474</f>
        <v/>
      </c>
      <c r="C481">
        <f>'1 prepared data'!B474</f>
        <v/>
      </c>
      <c r="D481" s="7">
        <f>'1 prepared data'!C474</f>
        <v/>
      </c>
      <c r="E481" s="7">
        <f>'1 prepared data'!D474</f>
        <v/>
      </c>
      <c r="F481" s="7">
        <f>'1 prepared data'!E474</f>
        <v/>
      </c>
      <c r="G481" s="7">
        <f>'1 prepared data'!F474</f>
        <v/>
      </c>
      <c r="H481" s="7">
        <f>'1 prepared data'!G474</f>
        <v/>
      </c>
      <c r="I481" s="7">
        <f>'1 prepared data'!H474</f>
        <v/>
      </c>
      <c r="J481" s="7">
        <f>'1 prepared data'!I474</f>
        <v/>
      </c>
      <c r="K481" s="7">
        <f>'1 prepared data'!J474</f>
        <v/>
      </c>
      <c r="L481" s="7">
        <f>'1 prepared data'!K474</f>
        <v/>
      </c>
      <c r="M481" s="7">
        <f>'1 prepared data'!L474</f>
        <v/>
      </c>
      <c r="N481" s="7">
        <f>'1 prepared data'!M474</f>
        <v/>
      </c>
      <c r="O481" s="7">
        <f>'1 prepared data'!N474</f>
        <v/>
      </c>
      <c r="P481" s="7">
        <f>'1 prepared data'!O474</f>
        <v/>
      </c>
      <c r="Q481" s="7">
        <f>'1 prepared data'!P474</f>
        <v/>
      </c>
      <c r="R481" s="7">
        <f>'1 prepared data'!Q474</f>
        <v/>
      </c>
      <c r="S481" s="7">
        <f>'1 prepared data'!R474</f>
        <v/>
      </c>
      <c r="T481" s="7">
        <f>'1 prepared data'!S474</f>
        <v/>
      </c>
      <c r="U481" s="7">
        <f>'1 prepared data'!T474</f>
        <v/>
      </c>
      <c r="V481" s="8">
        <f>$AC$12+D481*$AC$13+E481*$AC$14+F481*$AC$15+G481*$AC$16+H481*$AC$17+I481*$AC$18+J481*$AC$19+K481*$AC$20+L481*$AC$21+M481*$AC$22+N481*$AC$23+O481*$AC$24+P481*$AC$25+Q481*$AC$26+R481*$AC$27+S481*$AC$28+T481*$AC$29+U481*$AC$30</f>
        <v/>
      </c>
      <c r="W481" s="8">
        <f>1/(1+EXP(-V481))</f>
        <v/>
      </c>
      <c r="X481" s="9">
        <f>-IF(C481=1,LN(W481),LN(1-W481))</f>
        <v/>
      </c>
      <c r="Y481" s="10">
        <f>IF(W481&gt;$AC$33,1,0)</f>
        <v/>
      </c>
      <c r="Z481">
        <f>IF(Y481=C481,1,0)</f>
        <v/>
      </c>
    </row>
    <row r="482">
      <c r="A482">
        <f>'1 prepared data'!A475</f>
        <v/>
      </c>
      <c r="B482" s="5">
        <f>'1 prepared data'!U475</f>
        <v/>
      </c>
      <c r="C482">
        <f>'1 prepared data'!B475</f>
        <v/>
      </c>
      <c r="D482" s="7">
        <f>'1 prepared data'!C475</f>
        <v/>
      </c>
      <c r="E482" s="7">
        <f>'1 prepared data'!D475</f>
        <v/>
      </c>
      <c r="F482" s="7">
        <f>'1 prepared data'!E475</f>
        <v/>
      </c>
      <c r="G482" s="7">
        <f>'1 prepared data'!F475</f>
        <v/>
      </c>
      <c r="H482" s="7">
        <f>'1 prepared data'!G475</f>
        <v/>
      </c>
      <c r="I482" s="7">
        <f>'1 prepared data'!H475</f>
        <v/>
      </c>
      <c r="J482" s="7">
        <f>'1 prepared data'!I475</f>
        <v/>
      </c>
      <c r="K482" s="7">
        <f>'1 prepared data'!J475</f>
        <v/>
      </c>
      <c r="L482" s="7">
        <f>'1 prepared data'!K475</f>
        <v/>
      </c>
      <c r="M482" s="7">
        <f>'1 prepared data'!L475</f>
        <v/>
      </c>
      <c r="N482" s="7">
        <f>'1 prepared data'!M475</f>
        <v/>
      </c>
      <c r="O482" s="7">
        <f>'1 prepared data'!N475</f>
        <v/>
      </c>
      <c r="P482" s="7">
        <f>'1 prepared data'!O475</f>
        <v/>
      </c>
      <c r="Q482" s="7">
        <f>'1 prepared data'!P475</f>
        <v/>
      </c>
      <c r="R482" s="7">
        <f>'1 prepared data'!Q475</f>
        <v/>
      </c>
      <c r="S482" s="7">
        <f>'1 prepared data'!R475</f>
        <v/>
      </c>
      <c r="T482" s="7">
        <f>'1 prepared data'!S475</f>
        <v/>
      </c>
      <c r="U482" s="7">
        <f>'1 prepared data'!T475</f>
        <v/>
      </c>
      <c r="V482" s="8">
        <f>$AC$12+D482*$AC$13+E482*$AC$14+F482*$AC$15+G482*$AC$16+H482*$AC$17+I482*$AC$18+J482*$AC$19+K482*$AC$20+L482*$AC$21+M482*$AC$22+N482*$AC$23+O482*$AC$24+P482*$AC$25+Q482*$AC$26+R482*$AC$27+S482*$AC$28+T482*$AC$29+U482*$AC$30</f>
        <v/>
      </c>
      <c r="W482" s="8">
        <f>1/(1+EXP(-V482))</f>
        <v/>
      </c>
      <c r="X482" s="9">
        <f>-IF(C482=1,LN(W482),LN(1-W482))</f>
        <v/>
      </c>
      <c r="Y482" s="10">
        <f>IF(W482&gt;$AC$33,1,0)</f>
        <v/>
      </c>
      <c r="Z482">
        <f>IF(Y482=C482,1,0)</f>
        <v/>
      </c>
    </row>
    <row r="483">
      <c r="A483">
        <f>'1 prepared data'!A476</f>
        <v/>
      </c>
      <c r="B483" s="5">
        <f>'1 prepared data'!U476</f>
        <v/>
      </c>
      <c r="C483">
        <f>'1 prepared data'!B476</f>
        <v/>
      </c>
      <c r="D483" s="7">
        <f>'1 prepared data'!C476</f>
        <v/>
      </c>
      <c r="E483" s="7">
        <f>'1 prepared data'!D476</f>
        <v/>
      </c>
      <c r="F483" s="7">
        <f>'1 prepared data'!E476</f>
        <v/>
      </c>
      <c r="G483" s="7">
        <f>'1 prepared data'!F476</f>
        <v/>
      </c>
      <c r="H483" s="7">
        <f>'1 prepared data'!G476</f>
        <v/>
      </c>
      <c r="I483" s="7">
        <f>'1 prepared data'!H476</f>
        <v/>
      </c>
      <c r="J483" s="7">
        <f>'1 prepared data'!I476</f>
        <v/>
      </c>
      <c r="K483" s="7">
        <f>'1 prepared data'!J476</f>
        <v/>
      </c>
      <c r="L483" s="7">
        <f>'1 prepared data'!K476</f>
        <v/>
      </c>
      <c r="M483" s="7">
        <f>'1 prepared data'!L476</f>
        <v/>
      </c>
      <c r="N483" s="7">
        <f>'1 prepared data'!M476</f>
        <v/>
      </c>
      <c r="O483" s="7">
        <f>'1 prepared data'!N476</f>
        <v/>
      </c>
      <c r="P483" s="7">
        <f>'1 prepared data'!O476</f>
        <v/>
      </c>
      <c r="Q483" s="7">
        <f>'1 prepared data'!P476</f>
        <v/>
      </c>
      <c r="R483" s="7">
        <f>'1 prepared data'!Q476</f>
        <v/>
      </c>
      <c r="S483" s="7">
        <f>'1 prepared data'!R476</f>
        <v/>
      </c>
      <c r="T483" s="7">
        <f>'1 prepared data'!S476</f>
        <v/>
      </c>
      <c r="U483" s="7">
        <f>'1 prepared data'!T476</f>
        <v/>
      </c>
      <c r="V483" s="8">
        <f>$AC$12+D483*$AC$13+E483*$AC$14+F483*$AC$15+G483*$AC$16+H483*$AC$17+I483*$AC$18+J483*$AC$19+K483*$AC$20+L483*$AC$21+M483*$AC$22+N483*$AC$23+O483*$AC$24+P483*$AC$25+Q483*$AC$26+R483*$AC$27+S483*$AC$28+T483*$AC$29+U483*$AC$30</f>
        <v/>
      </c>
      <c r="W483" s="8">
        <f>1/(1+EXP(-V483))</f>
        <v/>
      </c>
      <c r="X483" s="9">
        <f>-IF(C483=1,LN(W483),LN(1-W483))</f>
        <v/>
      </c>
      <c r="Y483" s="10">
        <f>IF(W483&gt;$AC$33,1,0)</f>
        <v/>
      </c>
      <c r="Z483">
        <f>IF(Y483=C483,1,0)</f>
        <v/>
      </c>
    </row>
    <row r="484">
      <c r="A484">
        <f>'1 prepared data'!A477</f>
        <v/>
      </c>
      <c r="B484" s="5">
        <f>'1 prepared data'!U477</f>
        <v/>
      </c>
      <c r="C484">
        <f>'1 prepared data'!B477</f>
        <v/>
      </c>
      <c r="D484" s="7">
        <f>'1 prepared data'!C477</f>
        <v/>
      </c>
      <c r="E484" s="7">
        <f>'1 prepared data'!D477</f>
        <v/>
      </c>
      <c r="F484" s="7">
        <f>'1 prepared data'!E477</f>
        <v/>
      </c>
      <c r="G484" s="7">
        <f>'1 prepared data'!F477</f>
        <v/>
      </c>
      <c r="H484" s="7">
        <f>'1 prepared data'!G477</f>
        <v/>
      </c>
      <c r="I484" s="7">
        <f>'1 prepared data'!H477</f>
        <v/>
      </c>
      <c r="J484" s="7">
        <f>'1 prepared data'!I477</f>
        <v/>
      </c>
      <c r="K484" s="7">
        <f>'1 prepared data'!J477</f>
        <v/>
      </c>
      <c r="L484" s="7">
        <f>'1 prepared data'!K477</f>
        <v/>
      </c>
      <c r="M484" s="7">
        <f>'1 prepared data'!L477</f>
        <v/>
      </c>
      <c r="N484" s="7">
        <f>'1 prepared data'!M477</f>
        <v/>
      </c>
      <c r="O484" s="7">
        <f>'1 prepared data'!N477</f>
        <v/>
      </c>
      <c r="P484" s="7">
        <f>'1 prepared data'!O477</f>
        <v/>
      </c>
      <c r="Q484" s="7">
        <f>'1 prepared data'!P477</f>
        <v/>
      </c>
      <c r="R484" s="7">
        <f>'1 prepared data'!Q477</f>
        <v/>
      </c>
      <c r="S484" s="7">
        <f>'1 prepared data'!R477</f>
        <v/>
      </c>
      <c r="T484" s="7">
        <f>'1 prepared data'!S477</f>
        <v/>
      </c>
      <c r="U484" s="7">
        <f>'1 prepared data'!T477</f>
        <v/>
      </c>
      <c r="V484" s="8">
        <f>$AC$12+D484*$AC$13+E484*$AC$14+F484*$AC$15+G484*$AC$16+H484*$AC$17+I484*$AC$18+J484*$AC$19+K484*$AC$20+L484*$AC$21+M484*$AC$22+N484*$AC$23+O484*$AC$24+P484*$AC$25+Q484*$AC$26+R484*$AC$27+S484*$AC$28+T484*$AC$29+U484*$AC$30</f>
        <v/>
      </c>
      <c r="W484" s="8">
        <f>1/(1+EXP(-V484))</f>
        <v/>
      </c>
      <c r="X484" s="9">
        <f>-IF(C484=1,LN(W484),LN(1-W484))</f>
        <v/>
      </c>
      <c r="Y484" s="10">
        <f>IF(W484&gt;$AC$33,1,0)</f>
        <v/>
      </c>
      <c r="Z484">
        <f>IF(Y484=C484,1,0)</f>
        <v/>
      </c>
    </row>
    <row r="485">
      <c r="A485">
        <f>'1 prepared data'!A478</f>
        <v/>
      </c>
      <c r="B485" s="5">
        <f>'1 prepared data'!U478</f>
        <v/>
      </c>
      <c r="C485">
        <f>'1 prepared data'!B478</f>
        <v/>
      </c>
      <c r="D485" s="7">
        <f>'1 prepared data'!C478</f>
        <v/>
      </c>
      <c r="E485" s="7">
        <f>'1 prepared data'!D478</f>
        <v/>
      </c>
      <c r="F485" s="7">
        <f>'1 prepared data'!E478</f>
        <v/>
      </c>
      <c r="G485" s="7">
        <f>'1 prepared data'!F478</f>
        <v/>
      </c>
      <c r="H485" s="7">
        <f>'1 prepared data'!G478</f>
        <v/>
      </c>
      <c r="I485" s="7">
        <f>'1 prepared data'!H478</f>
        <v/>
      </c>
      <c r="J485" s="7">
        <f>'1 prepared data'!I478</f>
        <v/>
      </c>
      <c r="K485" s="7">
        <f>'1 prepared data'!J478</f>
        <v/>
      </c>
      <c r="L485" s="7">
        <f>'1 prepared data'!K478</f>
        <v/>
      </c>
      <c r="M485" s="7">
        <f>'1 prepared data'!L478</f>
        <v/>
      </c>
      <c r="N485" s="7">
        <f>'1 prepared data'!M478</f>
        <v/>
      </c>
      <c r="O485" s="7">
        <f>'1 prepared data'!N478</f>
        <v/>
      </c>
      <c r="P485" s="7">
        <f>'1 prepared data'!O478</f>
        <v/>
      </c>
      <c r="Q485" s="7">
        <f>'1 prepared data'!P478</f>
        <v/>
      </c>
      <c r="R485" s="7">
        <f>'1 prepared data'!Q478</f>
        <v/>
      </c>
      <c r="S485" s="7">
        <f>'1 prepared data'!R478</f>
        <v/>
      </c>
      <c r="T485" s="7">
        <f>'1 prepared data'!S478</f>
        <v/>
      </c>
      <c r="U485" s="7">
        <f>'1 prepared data'!T478</f>
        <v/>
      </c>
      <c r="V485" s="8">
        <f>$AC$12+D485*$AC$13+E485*$AC$14+F485*$AC$15+G485*$AC$16+H485*$AC$17+I485*$AC$18+J485*$AC$19+K485*$AC$20+L485*$AC$21+M485*$AC$22+N485*$AC$23+O485*$AC$24+P485*$AC$25+Q485*$AC$26+R485*$AC$27+S485*$AC$28+T485*$AC$29+U485*$AC$30</f>
        <v/>
      </c>
      <c r="W485" s="8">
        <f>1/(1+EXP(-V485))</f>
        <v/>
      </c>
      <c r="X485" s="9">
        <f>-IF(C485=1,LN(W485),LN(1-W485))</f>
        <v/>
      </c>
      <c r="Y485" s="10">
        <f>IF(W485&gt;$AC$33,1,0)</f>
        <v/>
      </c>
      <c r="Z485">
        <f>IF(Y485=C485,1,0)</f>
        <v/>
      </c>
    </row>
    <row r="486">
      <c r="A486">
        <f>'1 prepared data'!A479</f>
        <v/>
      </c>
      <c r="B486" s="5">
        <f>'1 prepared data'!U479</f>
        <v/>
      </c>
      <c r="C486">
        <f>'1 prepared data'!B479</f>
        <v/>
      </c>
      <c r="D486" s="7">
        <f>'1 prepared data'!C479</f>
        <v/>
      </c>
      <c r="E486" s="7">
        <f>'1 prepared data'!D479</f>
        <v/>
      </c>
      <c r="F486" s="7">
        <f>'1 prepared data'!E479</f>
        <v/>
      </c>
      <c r="G486" s="7">
        <f>'1 prepared data'!F479</f>
        <v/>
      </c>
      <c r="H486" s="7">
        <f>'1 prepared data'!G479</f>
        <v/>
      </c>
      <c r="I486" s="7">
        <f>'1 prepared data'!H479</f>
        <v/>
      </c>
      <c r="J486" s="7">
        <f>'1 prepared data'!I479</f>
        <v/>
      </c>
      <c r="K486" s="7">
        <f>'1 prepared data'!J479</f>
        <v/>
      </c>
      <c r="L486" s="7">
        <f>'1 prepared data'!K479</f>
        <v/>
      </c>
      <c r="M486" s="7">
        <f>'1 prepared data'!L479</f>
        <v/>
      </c>
      <c r="N486" s="7">
        <f>'1 prepared data'!M479</f>
        <v/>
      </c>
      <c r="O486" s="7">
        <f>'1 prepared data'!N479</f>
        <v/>
      </c>
      <c r="P486" s="7">
        <f>'1 prepared data'!O479</f>
        <v/>
      </c>
      <c r="Q486" s="7">
        <f>'1 prepared data'!P479</f>
        <v/>
      </c>
      <c r="R486" s="7">
        <f>'1 prepared data'!Q479</f>
        <v/>
      </c>
      <c r="S486" s="7">
        <f>'1 prepared data'!R479</f>
        <v/>
      </c>
      <c r="T486" s="7">
        <f>'1 prepared data'!S479</f>
        <v/>
      </c>
      <c r="U486" s="7">
        <f>'1 prepared data'!T479</f>
        <v/>
      </c>
      <c r="V486" s="8">
        <f>$AC$12+D486*$AC$13+E486*$AC$14+F486*$AC$15+G486*$AC$16+H486*$AC$17+I486*$AC$18+J486*$AC$19+K486*$AC$20+L486*$AC$21+M486*$AC$22+N486*$AC$23+O486*$AC$24+P486*$AC$25+Q486*$AC$26+R486*$AC$27+S486*$AC$28+T486*$AC$29+U486*$AC$30</f>
        <v/>
      </c>
      <c r="W486" s="8">
        <f>1/(1+EXP(-V486))</f>
        <v/>
      </c>
      <c r="X486" s="9">
        <f>-IF(C486=1,LN(W486),LN(1-W486))</f>
        <v/>
      </c>
      <c r="Y486" s="10">
        <f>IF(W486&gt;$AC$33,1,0)</f>
        <v/>
      </c>
      <c r="Z486">
        <f>IF(Y486=C486,1,0)</f>
        <v/>
      </c>
    </row>
    <row r="487">
      <c r="A487">
        <f>'1 prepared data'!A480</f>
        <v/>
      </c>
      <c r="B487" s="5">
        <f>'1 prepared data'!U480</f>
        <v/>
      </c>
      <c r="C487">
        <f>'1 prepared data'!B480</f>
        <v/>
      </c>
      <c r="D487" s="7">
        <f>'1 prepared data'!C480</f>
        <v/>
      </c>
      <c r="E487" s="7">
        <f>'1 prepared data'!D480</f>
        <v/>
      </c>
      <c r="F487" s="7">
        <f>'1 prepared data'!E480</f>
        <v/>
      </c>
      <c r="G487" s="7">
        <f>'1 prepared data'!F480</f>
        <v/>
      </c>
      <c r="H487" s="7">
        <f>'1 prepared data'!G480</f>
        <v/>
      </c>
      <c r="I487" s="7">
        <f>'1 prepared data'!H480</f>
        <v/>
      </c>
      <c r="J487" s="7">
        <f>'1 prepared data'!I480</f>
        <v/>
      </c>
      <c r="K487" s="7">
        <f>'1 prepared data'!J480</f>
        <v/>
      </c>
      <c r="L487" s="7">
        <f>'1 prepared data'!K480</f>
        <v/>
      </c>
      <c r="M487" s="7">
        <f>'1 prepared data'!L480</f>
        <v/>
      </c>
      <c r="N487" s="7">
        <f>'1 prepared data'!M480</f>
        <v/>
      </c>
      <c r="O487" s="7">
        <f>'1 prepared data'!N480</f>
        <v/>
      </c>
      <c r="P487" s="7">
        <f>'1 prepared data'!O480</f>
        <v/>
      </c>
      <c r="Q487" s="7">
        <f>'1 prepared data'!P480</f>
        <v/>
      </c>
      <c r="R487" s="7">
        <f>'1 prepared data'!Q480</f>
        <v/>
      </c>
      <c r="S487" s="7">
        <f>'1 prepared data'!R480</f>
        <v/>
      </c>
      <c r="T487" s="7">
        <f>'1 prepared data'!S480</f>
        <v/>
      </c>
      <c r="U487" s="7">
        <f>'1 prepared data'!T480</f>
        <v/>
      </c>
      <c r="V487" s="8">
        <f>$AC$12+D487*$AC$13+E487*$AC$14+F487*$AC$15+G487*$AC$16+H487*$AC$17+I487*$AC$18+J487*$AC$19+K487*$AC$20+L487*$AC$21+M487*$AC$22+N487*$AC$23+O487*$AC$24+P487*$AC$25+Q487*$AC$26+R487*$AC$27+S487*$AC$28+T487*$AC$29+U487*$AC$30</f>
        <v/>
      </c>
      <c r="W487" s="8">
        <f>1/(1+EXP(-V487))</f>
        <v/>
      </c>
      <c r="X487" s="9">
        <f>-IF(C487=1,LN(W487),LN(1-W487))</f>
        <v/>
      </c>
      <c r="Y487" s="10">
        <f>IF(W487&gt;$AC$33,1,0)</f>
        <v/>
      </c>
      <c r="Z487">
        <f>IF(Y487=C487,1,0)</f>
        <v/>
      </c>
    </row>
    <row r="488">
      <c r="A488">
        <f>'1 prepared data'!A481</f>
        <v/>
      </c>
      <c r="B488" s="5">
        <f>'1 prepared data'!U481</f>
        <v/>
      </c>
      <c r="C488">
        <f>'1 prepared data'!B481</f>
        <v/>
      </c>
      <c r="D488" s="7">
        <f>'1 prepared data'!C481</f>
        <v/>
      </c>
      <c r="E488" s="7">
        <f>'1 prepared data'!D481</f>
        <v/>
      </c>
      <c r="F488" s="7">
        <f>'1 prepared data'!E481</f>
        <v/>
      </c>
      <c r="G488" s="7">
        <f>'1 prepared data'!F481</f>
        <v/>
      </c>
      <c r="H488" s="7">
        <f>'1 prepared data'!G481</f>
        <v/>
      </c>
      <c r="I488" s="7">
        <f>'1 prepared data'!H481</f>
        <v/>
      </c>
      <c r="J488" s="7">
        <f>'1 prepared data'!I481</f>
        <v/>
      </c>
      <c r="K488" s="7">
        <f>'1 prepared data'!J481</f>
        <v/>
      </c>
      <c r="L488" s="7">
        <f>'1 prepared data'!K481</f>
        <v/>
      </c>
      <c r="M488" s="7">
        <f>'1 prepared data'!L481</f>
        <v/>
      </c>
      <c r="N488" s="7">
        <f>'1 prepared data'!M481</f>
        <v/>
      </c>
      <c r="O488" s="7">
        <f>'1 prepared data'!N481</f>
        <v/>
      </c>
      <c r="P488" s="7">
        <f>'1 prepared data'!O481</f>
        <v/>
      </c>
      <c r="Q488" s="7">
        <f>'1 prepared data'!P481</f>
        <v/>
      </c>
      <c r="R488" s="7">
        <f>'1 prepared data'!Q481</f>
        <v/>
      </c>
      <c r="S488" s="7">
        <f>'1 prepared data'!R481</f>
        <v/>
      </c>
      <c r="T488" s="7">
        <f>'1 prepared data'!S481</f>
        <v/>
      </c>
      <c r="U488" s="7">
        <f>'1 prepared data'!T481</f>
        <v/>
      </c>
      <c r="V488" s="8">
        <f>$AC$12+D488*$AC$13+E488*$AC$14+F488*$AC$15+G488*$AC$16+H488*$AC$17+I488*$AC$18+J488*$AC$19+K488*$AC$20+L488*$AC$21+M488*$AC$22+N488*$AC$23+O488*$AC$24+P488*$AC$25+Q488*$AC$26+R488*$AC$27+S488*$AC$28+T488*$AC$29+U488*$AC$30</f>
        <v/>
      </c>
      <c r="W488" s="8">
        <f>1/(1+EXP(-V488))</f>
        <v/>
      </c>
      <c r="X488" s="9">
        <f>-IF(C488=1,LN(W488),LN(1-W488))</f>
        <v/>
      </c>
      <c r="Y488" s="10">
        <f>IF(W488&gt;$AC$33,1,0)</f>
        <v/>
      </c>
      <c r="Z488">
        <f>IF(Y488=C488,1,0)</f>
        <v/>
      </c>
    </row>
    <row r="489">
      <c r="A489">
        <f>'1 prepared data'!A482</f>
        <v/>
      </c>
      <c r="B489" s="5">
        <f>'1 prepared data'!U482</f>
        <v/>
      </c>
      <c r="C489">
        <f>'1 prepared data'!B482</f>
        <v/>
      </c>
      <c r="D489" s="7">
        <f>'1 prepared data'!C482</f>
        <v/>
      </c>
      <c r="E489" s="7">
        <f>'1 prepared data'!D482</f>
        <v/>
      </c>
      <c r="F489" s="7">
        <f>'1 prepared data'!E482</f>
        <v/>
      </c>
      <c r="G489" s="7">
        <f>'1 prepared data'!F482</f>
        <v/>
      </c>
      <c r="H489" s="7">
        <f>'1 prepared data'!G482</f>
        <v/>
      </c>
      <c r="I489" s="7">
        <f>'1 prepared data'!H482</f>
        <v/>
      </c>
      <c r="J489" s="7">
        <f>'1 prepared data'!I482</f>
        <v/>
      </c>
      <c r="K489" s="7">
        <f>'1 prepared data'!J482</f>
        <v/>
      </c>
      <c r="L489" s="7">
        <f>'1 prepared data'!K482</f>
        <v/>
      </c>
      <c r="M489" s="7">
        <f>'1 prepared data'!L482</f>
        <v/>
      </c>
      <c r="N489" s="7">
        <f>'1 prepared data'!M482</f>
        <v/>
      </c>
      <c r="O489" s="7">
        <f>'1 prepared data'!N482</f>
        <v/>
      </c>
      <c r="P489" s="7">
        <f>'1 prepared data'!O482</f>
        <v/>
      </c>
      <c r="Q489" s="7">
        <f>'1 prepared data'!P482</f>
        <v/>
      </c>
      <c r="R489" s="7">
        <f>'1 prepared data'!Q482</f>
        <v/>
      </c>
      <c r="S489" s="7">
        <f>'1 prepared data'!R482</f>
        <v/>
      </c>
      <c r="T489" s="7">
        <f>'1 prepared data'!S482</f>
        <v/>
      </c>
      <c r="U489" s="7">
        <f>'1 prepared data'!T482</f>
        <v/>
      </c>
      <c r="V489" s="8">
        <f>$AC$12+D489*$AC$13+E489*$AC$14+F489*$AC$15+G489*$AC$16+H489*$AC$17+I489*$AC$18+J489*$AC$19+K489*$AC$20+L489*$AC$21+M489*$AC$22+N489*$AC$23+O489*$AC$24+P489*$AC$25+Q489*$AC$26+R489*$AC$27+S489*$AC$28+T489*$AC$29+U489*$AC$30</f>
        <v/>
      </c>
      <c r="W489" s="8">
        <f>1/(1+EXP(-V489))</f>
        <v/>
      </c>
      <c r="X489" s="9">
        <f>-IF(C489=1,LN(W489),LN(1-W489))</f>
        <v/>
      </c>
      <c r="Y489" s="10">
        <f>IF(W489&gt;$AC$33,1,0)</f>
        <v/>
      </c>
      <c r="Z489">
        <f>IF(Y489=C489,1,0)</f>
        <v/>
      </c>
    </row>
    <row r="490">
      <c r="A490">
        <f>'1 prepared data'!A483</f>
        <v/>
      </c>
      <c r="B490" s="5">
        <f>'1 prepared data'!U483</f>
        <v/>
      </c>
      <c r="C490">
        <f>'1 prepared data'!B483</f>
        <v/>
      </c>
      <c r="D490" s="7">
        <f>'1 prepared data'!C483</f>
        <v/>
      </c>
      <c r="E490" s="7">
        <f>'1 prepared data'!D483</f>
        <v/>
      </c>
      <c r="F490" s="7">
        <f>'1 prepared data'!E483</f>
        <v/>
      </c>
      <c r="G490" s="7">
        <f>'1 prepared data'!F483</f>
        <v/>
      </c>
      <c r="H490" s="7">
        <f>'1 prepared data'!G483</f>
        <v/>
      </c>
      <c r="I490" s="7">
        <f>'1 prepared data'!H483</f>
        <v/>
      </c>
      <c r="J490" s="7">
        <f>'1 prepared data'!I483</f>
        <v/>
      </c>
      <c r="K490" s="7">
        <f>'1 prepared data'!J483</f>
        <v/>
      </c>
      <c r="L490" s="7">
        <f>'1 prepared data'!K483</f>
        <v/>
      </c>
      <c r="M490" s="7">
        <f>'1 prepared data'!L483</f>
        <v/>
      </c>
      <c r="N490" s="7">
        <f>'1 prepared data'!M483</f>
        <v/>
      </c>
      <c r="O490" s="7">
        <f>'1 prepared data'!N483</f>
        <v/>
      </c>
      <c r="P490" s="7">
        <f>'1 prepared data'!O483</f>
        <v/>
      </c>
      <c r="Q490" s="7">
        <f>'1 prepared data'!P483</f>
        <v/>
      </c>
      <c r="R490" s="7">
        <f>'1 prepared data'!Q483</f>
        <v/>
      </c>
      <c r="S490" s="7">
        <f>'1 prepared data'!R483</f>
        <v/>
      </c>
      <c r="T490" s="7">
        <f>'1 prepared data'!S483</f>
        <v/>
      </c>
      <c r="U490" s="7">
        <f>'1 prepared data'!T483</f>
        <v/>
      </c>
      <c r="V490" s="8">
        <f>$AC$12+D490*$AC$13+E490*$AC$14+F490*$AC$15+G490*$AC$16+H490*$AC$17+I490*$AC$18+J490*$AC$19+K490*$AC$20+L490*$AC$21+M490*$AC$22+N490*$AC$23+O490*$AC$24+P490*$AC$25+Q490*$AC$26+R490*$AC$27+S490*$AC$28+T490*$AC$29+U490*$AC$30</f>
        <v/>
      </c>
      <c r="W490" s="8">
        <f>1/(1+EXP(-V490))</f>
        <v/>
      </c>
      <c r="X490" s="9">
        <f>-IF(C490=1,LN(W490),LN(1-W490))</f>
        <v/>
      </c>
      <c r="Y490" s="10">
        <f>IF(W490&gt;$AC$33,1,0)</f>
        <v/>
      </c>
      <c r="Z490">
        <f>IF(Y490=C490,1,0)</f>
        <v/>
      </c>
    </row>
    <row r="491">
      <c r="A491">
        <f>'1 prepared data'!A484</f>
        <v/>
      </c>
      <c r="B491" s="5">
        <f>'1 prepared data'!U484</f>
        <v/>
      </c>
      <c r="C491">
        <f>'1 prepared data'!B484</f>
        <v/>
      </c>
      <c r="D491" s="7">
        <f>'1 prepared data'!C484</f>
        <v/>
      </c>
      <c r="E491" s="7">
        <f>'1 prepared data'!D484</f>
        <v/>
      </c>
      <c r="F491" s="7">
        <f>'1 prepared data'!E484</f>
        <v/>
      </c>
      <c r="G491" s="7">
        <f>'1 prepared data'!F484</f>
        <v/>
      </c>
      <c r="H491" s="7">
        <f>'1 prepared data'!G484</f>
        <v/>
      </c>
      <c r="I491" s="7">
        <f>'1 prepared data'!H484</f>
        <v/>
      </c>
      <c r="J491" s="7">
        <f>'1 prepared data'!I484</f>
        <v/>
      </c>
      <c r="K491" s="7">
        <f>'1 prepared data'!J484</f>
        <v/>
      </c>
      <c r="L491" s="7">
        <f>'1 prepared data'!K484</f>
        <v/>
      </c>
      <c r="M491" s="7">
        <f>'1 prepared data'!L484</f>
        <v/>
      </c>
      <c r="N491" s="7">
        <f>'1 prepared data'!M484</f>
        <v/>
      </c>
      <c r="O491" s="7">
        <f>'1 prepared data'!N484</f>
        <v/>
      </c>
      <c r="P491" s="7">
        <f>'1 prepared data'!O484</f>
        <v/>
      </c>
      <c r="Q491" s="7">
        <f>'1 prepared data'!P484</f>
        <v/>
      </c>
      <c r="R491" s="7">
        <f>'1 prepared data'!Q484</f>
        <v/>
      </c>
      <c r="S491" s="7">
        <f>'1 prepared data'!R484</f>
        <v/>
      </c>
      <c r="T491" s="7">
        <f>'1 prepared data'!S484</f>
        <v/>
      </c>
      <c r="U491" s="7">
        <f>'1 prepared data'!T484</f>
        <v/>
      </c>
      <c r="V491" s="8">
        <f>$AC$12+D491*$AC$13+E491*$AC$14+F491*$AC$15+G491*$AC$16+H491*$AC$17+I491*$AC$18+J491*$AC$19+K491*$AC$20+L491*$AC$21+M491*$AC$22+N491*$AC$23+O491*$AC$24+P491*$AC$25+Q491*$AC$26+R491*$AC$27+S491*$AC$28+T491*$AC$29+U491*$AC$30</f>
        <v/>
      </c>
      <c r="W491" s="8">
        <f>1/(1+EXP(-V491))</f>
        <v/>
      </c>
      <c r="X491" s="9">
        <f>-IF(C491=1,LN(W491),LN(1-W491))</f>
        <v/>
      </c>
      <c r="Y491" s="10">
        <f>IF(W491&gt;$AC$33,1,0)</f>
        <v/>
      </c>
      <c r="Z491">
        <f>IF(Y491=C491,1,0)</f>
        <v/>
      </c>
    </row>
    <row r="492">
      <c r="A492">
        <f>'1 prepared data'!A485</f>
        <v/>
      </c>
      <c r="B492" s="5">
        <f>'1 prepared data'!U485</f>
        <v/>
      </c>
      <c r="C492">
        <f>'1 prepared data'!B485</f>
        <v/>
      </c>
      <c r="D492" s="7">
        <f>'1 prepared data'!C485</f>
        <v/>
      </c>
      <c r="E492" s="7">
        <f>'1 prepared data'!D485</f>
        <v/>
      </c>
      <c r="F492" s="7">
        <f>'1 prepared data'!E485</f>
        <v/>
      </c>
      <c r="G492" s="7">
        <f>'1 prepared data'!F485</f>
        <v/>
      </c>
      <c r="H492" s="7">
        <f>'1 prepared data'!G485</f>
        <v/>
      </c>
      <c r="I492" s="7">
        <f>'1 prepared data'!H485</f>
        <v/>
      </c>
      <c r="J492" s="7">
        <f>'1 prepared data'!I485</f>
        <v/>
      </c>
      <c r="K492" s="7">
        <f>'1 prepared data'!J485</f>
        <v/>
      </c>
      <c r="L492" s="7">
        <f>'1 prepared data'!K485</f>
        <v/>
      </c>
      <c r="M492" s="7">
        <f>'1 prepared data'!L485</f>
        <v/>
      </c>
      <c r="N492" s="7">
        <f>'1 prepared data'!M485</f>
        <v/>
      </c>
      <c r="O492" s="7">
        <f>'1 prepared data'!N485</f>
        <v/>
      </c>
      <c r="P492" s="7">
        <f>'1 prepared data'!O485</f>
        <v/>
      </c>
      <c r="Q492" s="7">
        <f>'1 prepared data'!P485</f>
        <v/>
      </c>
      <c r="R492" s="7">
        <f>'1 prepared data'!Q485</f>
        <v/>
      </c>
      <c r="S492" s="7">
        <f>'1 prepared data'!R485</f>
        <v/>
      </c>
      <c r="T492" s="7">
        <f>'1 prepared data'!S485</f>
        <v/>
      </c>
      <c r="U492" s="7">
        <f>'1 prepared data'!T485</f>
        <v/>
      </c>
      <c r="V492" s="8">
        <f>$AC$12+D492*$AC$13+E492*$AC$14+F492*$AC$15+G492*$AC$16+H492*$AC$17+I492*$AC$18+J492*$AC$19+K492*$AC$20+L492*$AC$21+M492*$AC$22+N492*$AC$23+O492*$AC$24+P492*$AC$25+Q492*$AC$26+R492*$AC$27+S492*$AC$28+T492*$AC$29+U492*$AC$30</f>
        <v/>
      </c>
      <c r="W492" s="8">
        <f>1/(1+EXP(-V492))</f>
        <v/>
      </c>
      <c r="X492" s="9">
        <f>-IF(C492=1,LN(W492),LN(1-W492))</f>
        <v/>
      </c>
      <c r="Y492" s="10">
        <f>IF(W492&gt;$AC$33,1,0)</f>
        <v/>
      </c>
      <c r="Z492">
        <f>IF(Y492=C492,1,0)</f>
        <v/>
      </c>
    </row>
    <row r="493">
      <c r="A493">
        <f>'1 prepared data'!A486</f>
        <v/>
      </c>
      <c r="B493" s="5">
        <f>'1 prepared data'!U486</f>
        <v/>
      </c>
      <c r="C493">
        <f>'1 prepared data'!B486</f>
        <v/>
      </c>
      <c r="D493" s="7">
        <f>'1 prepared data'!C486</f>
        <v/>
      </c>
      <c r="E493" s="7">
        <f>'1 prepared data'!D486</f>
        <v/>
      </c>
      <c r="F493" s="7">
        <f>'1 prepared data'!E486</f>
        <v/>
      </c>
      <c r="G493" s="7">
        <f>'1 prepared data'!F486</f>
        <v/>
      </c>
      <c r="H493" s="7">
        <f>'1 prepared data'!G486</f>
        <v/>
      </c>
      <c r="I493" s="7">
        <f>'1 prepared data'!H486</f>
        <v/>
      </c>
      <c r="J493" s="7">
        <f>'1 prepared data'!I486</f>
        <v/>
      </c>
      <c r="K493" s="7">
        <f>'1 prepared data'!J486</f>
        <v/>
      </c>
      <c r="L493" s="7">
        <f>'1 prepared data'!K486</f>
        <v/>
      </c>
      <c r="M493" s="7">
        <f>'1 prepared data'!L486</f>
        <v/>
      </c>
      <c r="N493" s="7">
        <f>'1 prepared data'!M486</f>
        <v/>
      </c>
      <c r="O493" s="7">
        <f>'1 prepared data'!N486</f>
        <v/>
      </c>
      <c r="P493" s="7">
        <f>'1 prepared data'!O486</f>
        <v/>
      </c>
      <c r="Q493" s="7">
        <f>'1 prepared data'!P486</f>
        <v/>
      </c>
      <c r="R493" s="7">
        <f>'1 prepared data'!Q486</f>
        <v/>
      </c>
      <c r="S493" s="7">
        <f>'1 prepared data'!R486</f>
        <v/>
      </c>
      <c r="T493" s="7">
        <f>'1 prepared data'!S486</f>
        <v/>
      </c>
      <c r="U493" s="7">
        <f>'1 prepared data'!T486</f>
        <v/>
      </c>
      <c r="V493" s="8">
        <f>$AC$12+D493*$AC$13+E493*$AC$14+F493*$AC$15+G493*$AC$16+H493*$AC$17+I493*$AC$18+J493*$AC$19+K493*$AC$20+L493*$AC$21+M493*$AC$22+N493*$AC$23+O493*$AC$24+P493*$AC$25+Q493*$AC$26+R493*$AC$27+S493*$AC$28+T493*$AC$29+U493*$AC$30</f>
        <v/>
      </c>
      <c r="W493" s="8">
        <f>1/(1+EXP(-V493))</f>
        <v/>
      </c>
      <c r="X493" s="9">
        <f>-IF(C493=1,LN(W493),LN(1-W493))</f>
        <v/>
      </c>
      <c r="Y493" s="10">
        <f>IF(W493&gt;$AC$33,1,0)</f>
        <v/>
      </c>
      <c r="Z493">
        <f>IF(Y493=C493,1,0)</f>
        <v/>
      </c>
    </row>
    <row r="494">
      <c r="A494">
        <f>'1 prepared data'!A487</f>
        <v/>
      </c>
      <c r="B494" s="5">
        <f>'1 prepared data'!U487</f>
        <v/>
      </c>
      <c r="C494">
        <f>'1 prepared data'!B487</f>
        <v/>
      </c>
      <c r="D494" s="7">
        <f>'1 prepared data'!C487</f>
        <v/>
      </c>
      <c r="E494" s="7">
        <f>'1 prepared data'!D487</f>
        <v/>
      </c>
      <c r="F494" s="7">
        <f>'1 prepared data'!E487</f>
        <v/>
      </c>
      <c r="G494" s="7">
        <f>'1 prepared data'!F487</f>
        <v/>
      </c>
      <c r="H494" s="7">
        <f>'1 prepared data'!G487</f>
        <v/>
      </c>
      <c r="I494" s="7">
        <f>'1 prepared data'!H487</f>
        <v/>
      </c>
      <c r="J494" s="7">
        <f>'1 prepared data'!I487</f>
        <v/>
      </c>
      <c r="K494" s="7">
        <f>'1 prepared data'!J487</f>
        <v/>
      </c>
      <c r="L494" s="7">
        <f>'1 prepared data'!K487</f>
        <v/>
      </c>
      <c r="M494" s="7">
        <f>'1 prepared data'!L487</f>
        <v/>
      </c>
      <c r="N494" s="7">
        <f>'1 prepared data'!M487</f>
        <v/>
      </c>
      <c r="O494" s="7">
        <f>'1 prepared data'!N487</f>
        <v/>
      </c>
      <c r="P494" s="7">
        <f>'1 prepared data'!O487</f>
        <v/>
      </c>
      <c r="Q494" s="7">
        <f>'1 prepared data'!P487</f>
        <v/>
      </c>
      <c r="R494" s="7">
        <f>'1 prepared data'!Q487</f>
        <v/>
      </c>
      <c r="S494" s="7">
        <f>'1 prepared data'!R487</f>
        <v/>
      </c>
      <c r="T494" s="7">
        <f>'1 prepared data'!S487</f>
        <v/>
      </c>
      <c r="U494" s="7">
        <f>'1 prepared data'!T487</f>
        <v/>
      </c>
      <c r="V494" s="8">
        <f>$AC$12+D494*$AC$13+E494*$AC$14+F494*$AC$15+G494*$AC$16+H494*$AC$17+I494*$AC$18+J494*$AC$19+K494*$AC$20+L494*$AC$21+M494*$AC$22+N494*$AC$23+O494*$AC$24+P494*$AC$25+Q494*$AC$26+R494*$AC$27+S494*$AC$28+T494*$AC$29+U494*$AC$30</f>
        <v/>
      </c>
      <c r="W494" s="8">
        <f>1/(1+EXP(-V494))</f>
        <v/>
      </c>
      <c r="X494" s="9">
        <f>-IF(C494=1,LN(W494),LN(1-W494))</f>
        <v/>
      </c>
      <c r="Y494" s="10">
        <f>IF(W494&gt;$AC$33,1,0)</f>
        <v/>
      </c>
      <c r="Z494">
        <f>IF(Y494=C494,1,0)</f>
        <v/>
      </c>
    </row>
    <row r="495">
      <c r="A495">
        <f>'1 prepared data'!A488</f>
        <v/>
      </c>
      <c r="B495" s="5">
        <f>'1 prepared data'!U488</f>
        <v/>
      </c>
      <c r="C495">
        <f>'1 prepared data'!B488</f>
        <v/>
      </c>
      <c r="D495" s="7">
        <f>'1 prepared data'!C488</f>
        <v/>
      </c>
      <c r="E495" s="7">
        <f>'1 prepared data'!D488</f>
        <v/>
      </c>
      <c r="F495" s="7">
        <f>'1 prepared data'!E488</f>
        <v/>
      </c>
      <c r="G495" s="7">
        <f>'1 prepared data'!F488</f>
        <v/>
      </c>
      <c r="H495" s="7">
        <f>'1 prepared data'!G488</f>
        <v/>
      </c>
      <c r="I495" s="7">
        <f>'1 prepared data'!H488</f>
        <v/>
      </c>
      <c r="J495" s="7">
        <f>'1 prepared data'!I488</f>
        <v/>
      </c>
      <c r="K495" s="7">
        <f>'1 prepared data'!J488</f>
        <v/>
      </c>
      <c r="L495" s="7">
        <f>'1 prepared data'!K488</f>
        <v/>
      </c>
      <c r="M495" s="7">
        <f>'1 prepared data'!L488</f>
        <v/>
      </c>
      <c r="N495" s="7">
        <f>'1 prepared data'!M488</f>
        <v/>
      </c>
      <c r="O495" s="7">
        <f>'1 prepared data'!N488</f>
        <v/>
      </c>
      <c r="P495" s="7">
        <f>'1 prepared data'!O488</f>
        <v/>
      </c>
      <c r="Q495" s="7">
        <f>'1 prepared data'!P488</f>
        <v/>
      </c>
      <c r="R495" s="7">
        <f>'1 prepared data'!Q488</f>
        <v/>
      </c>
      <c r="S495" s="7">
        <f>'1 prepared data'!R488</f>
        <v/>
      </c>
      <c r="T495" s="7">
        <f>'1 prepared data'!S488</f>
        <v/>
      </c>
      <c r="U495" s="7">
        <f>'1 prepared data'!T488</f>
        <v/>
      </c>
      <c r="V495" s="8">
        <f>$AC$12+D495*$AC$13+E495*$AC$14+F495*$AC$15+G495*$AC$16+H495*$AC$17+I495*$AC$18+J495*$AC$19+K495*$AC$20+L495*$AC$21+M495*$AC$22+N495*$AC$23+O495*$AC$24+P495*$AC$25+Q495*$AC$26+R495*$AC$27+S495*$AC$28+T495*$AC$29+U495*$AC$30</f>
        <v/>
      </c>
      <c r="W495" s="8">
        <f>1/(1+EXP(-V495))</f>
        <v/>
      </c>
      <c r="X495" s="9">
        <f>-IF(C495=1,LN(W495),LN(1-W495))</f>
        <v/>
      </c>
      <c r="Y495" s="10">
        <f>IF(W495&gt;$AC$33,1,0)</f>
        <v/>
      </c>
      <c r="Z495">
        <f>IF(Y495=C495,1,0)</f>
        <v/>
      </c>
    </row>
    <row r="496">
      <c r="A496">
        <f>'1 prepared data'!A489</f>
        <v/>
      </c>
      <c r="B496" s="5">
        <f>'1 prepared data'!U489</f>
        <v/>
      </c>
      <c r="C496">
        <f>'1 prepared data'!B489</f>
        <v/>
      </c>
      <c r="D496" s="7">
        <f>'1 prepared data'!C489</f>
        <v/>
      </c>
      <c r="E496" s="7">
        <f>'1 prepared data'!D489</f>
        <v/>
      </c>
      <c r="F496" s="7">
        <f>'1 prepared data'!E489</f>
        <v/>
      </c>
      <c r="G496" s="7">
        <f>'1 prepared data'!F489</f>
        <v/>
      </c>
      <c r="H496" s="7">
        <f>'1 prepared data'!G489</f>
        <v/>
      </c>
      <c r="I496" s="7">
        <f>'1 prepared data'!H489</f>
        <v/>
      </c>
      <c r="J496" s="7">
        <f>'1 prepared data'!I489</f>
        <v/>
      </c>
      <c r="K496" s="7">
        <f>'1 prepared data'!J489</f>
        <v/>
      </c>
      <c r="L496" s="7">
        <f>'1 prepared data'!K489</f>
        <v/>
      </c>
      <c r="M496" s="7">
        <f>'1 prepared data'!L489</f>
        <v/>
      </c>
      <c r="N496" s="7">
        <f>'1 prepared data'!M489</f>
        <v/>
      </c>
      <c r="O496" s="7">
        <f>'1 prepared data'!N489</f>
        <v/>
      </c>
      <c r="P496" s="7">
        <f>'1 prepared data'!O489</f>
        <v/>
      </c>
      <c r="Q496" s="7">
        <f>'1 prepared data'!P489</f>
        <v/>
      </c>
      <c r="R496" s="7">
        <f>'1 prepared data'!Q489</f>
        <v/>
      </c>
      <c r="S496" s="7">
        <f>'1 prepared data'!R489</f>
        <v/>
      </c>
      <c r="T496" s="7">
        <f>'1 prepared data'!S489</f>
        <v/>
      </c>
      <c r="U496" s="7">
        <f>'1 prepared data'!T489</f>
        <v/>
      </c>
      <c r="V496" s="8">
        <f>$AC$12+D496*$AC$13+E496*$AC$14+F496*$AC$15+G496*$AC$16+H496*$AC$17+I496*$AC$18+J496*$AC$19+K496*$AC$20+L496*$AC$21+M496*$AC$22+N496*$AC$23+O496*$AC$24+P496*$AC$25+Q496*$AC$26+R496*$AC$27+S496*$AC$28+T496*$AC$29+U496*$AC$30</f>
        <v/>
      </c>
      <c r="W496" s="8">
        <f>1/(1+EXP(-V496))</f>
        <v/>
      </c>
      <c r="X496" s="9">
        <f>-IF(C496=1,LN(W496),LN(1-W496))</f>
        <v/>
      </c>
      <c r="Y496" s="10">
        <f>IF(W496&gt;$AC$33,1,0)</f>
        <v/>
      </c>
      <c r="Z496">
        <f>IF(Y496=C496,1,0)</f>
        <v/>
      </c>
    </row>
    <row r="497">
      <c r="A497">
        <f>'1 prepared data'!A490</f>
        <v/>
      </c>
      <c r="B497" s="5">
        <f>'1 prepared data'!U490</f>
        <v/>
      </c>
      <c r="C497">
        <f>'1 prepared data'!B490</f>
        <v/>
      </c>
      <c r="D497" s="7">
        <f>'1 prepared data'!C490</f>
        <v/>
      </c>
      <c r="E497" s="7">
        <f>'1 prepared data'!D490</f>
        <v/>
      </c>
      <c r="F497" s="7">
        <f>'1 prepared data'!E490</f>
        <v/>
      </c>
      <c r="G497" s="7">
        <f>'1 prepared data'!F490</f>
        <v/>
      </c>
      <c r="H497" s="7">
        <f>'1 prepared data'!G490</f>
        <v/>
      </c>
      <c r="I497" s="7">
        <f>'1 prepared data'!H490</f>
        <v/>
      </c>
      <c r="J497" s="7">
        <f>'1 prepared data'!I490</f>
        <v/>
      </c>
      <c r="K497" s="7">
        <f>'1 prepared data'!J490</f>
        <v/>
      </c>
      <c r="L497" s="7">
        <f>'1 prepared data'!K490</f>
        <v/>
      </c>
      <c r="M497" s="7">
        <f>'1 prepared data'!L490</f>
        <v/>
      </c>
      <c r="N497" s="7">
        <f>'1 prepared data'!M490</f>
        <v/>
      </c>
      <c r="O497" s="7">
        <f>'1 prepared data'!N490</f>
        <v/>
      </c>
      <c r="P497" s="7">
        <f>'1 prepared data'!O490</f>
        <v/>
      </c>
      <c r="Q497" s="7">
        <f>'1 prepared data'!P490</f>
        <v/>
      </c>
      <c r="R497" s="7">
        <f>'1 prepared data'!Q490</f>
        <v/>
      </c>
      <c r="S497" s="7">
        <f>'1 prepared data'!R490</f>
        <v/>
      </c>
      <c r="T497" s="7">
        <f>'1 prepared data'!S490</f>
        <v/>
      </c>
      <c r="U497" s="7">
        <f>'1 prepared data'!T490</f>
        <v/>
      </c>
      <c r="V497" s="8">
        <f>$AC$12+D497*$AC$13+E497*$AC$14+F497*$AC$15+G497*$AC$16+H497*$AC$17+I497*$AC$18+J497*$AC$19+K497*$AC$20+L497*$AC$21+M497*$AC$22+N497*$AC$23+O497*$AC$24+P497*$AC$25+Q497*$AC$26+R497*$AC$27+S497*$AC$28+T497*$AC$29+U497*$AC$30</f>
        <v/>
      </c>
      <c r="W497" s="8">
        <f>1/(1+EXP(-V497))</f>
        <v/>
      </c>
      <c r="X497" s="9">
        <f>-IF(C497=1,LN(W497),LN(1-W497))</f>
        <v/>
      </c>
      <c r="Y497" s="10">
        <f>IF(W497&gt;$AC$33,1,0)</f>
        <v/>
      </c>
      <c r="Z497">
        <f>IF(Y497=C497,1,0)</f>
        <v/>
      </c>
    </row>
    <row r="498">
      <c r="A498">
        <f>'1 prepared data'!A491</f>
        <v/>
      </c>
      <c r="B498" s="5">
        <f>'1 prepared data'!U491</f>
        <v/>
      </c>
      <c r="C498">
        <f>'1 prepared data'!B491</f>
        <v/>
      </c>
      <c r="D498" s="7">
        <f>'1 prepared data'!C491</f>
        <v/>
      </c>
      <c r="E498" s="7">
        <f>'1 prepared data'!D491</f>
        <v/>
      </c>
      <c r="F498" s="7">
        <f>'1 prepared data'!E491</f>
        <v/>
      </c>
      <c r="G498" s="7">
        <f>'1 prepared data'!F491</f>
        <v/>
      </c>
      <c r="H498" s="7">
        <f>'1 prepared data'!G491</f>
        <v/>
      </c>
      <c r="I498" s="7">
        <f>'1 prepared data'!H491</f>
        <v/>
      </c>
      <c r="J498" s="7">
        <f>'1 prepared data'!I491</f>
        <v/>
      </c>
      <c r="K498" s="7">
        <f>'1 prepared data'!J491</f>
        <v/>
      </c>
      <c r="L498" s="7">
        <f>'1 prepared data'!K491</f>
        <v/>
      </c>
      <c r="M498" s="7">
        <f>'1 prepared data'!L491</f>
        <v/>
      </c>
      <c r="N498" s="7">
        <f>'1 prepared data'!M491</f>
        <v/>
      </c>
      <c r="O498" s="7">
        <f>'1 prepared data'!N491</f>
        <v/>
      </c>
      <c r="P498" s="7">
        <f>'1 prepared data'!O491</f>
        <v/>
      </c>
      <c r="Q498" s="7">
        <f>'1 prepared data'!P491</f>
        <v/>
      </c>
      <c r="R498" s="7">
        <f>'1 prepared data'!Q491</f>
        <v/>
      </c>
      <c r="S498" s="7">
        <f>'1 prepared data'!R491</f>
        <v/>
      </c>
      <c r="T498" s="7">
        <f>'1 prepared data'!S491</f>
        <v/>
      </c>
      <c r="U498" s="7">
        <f>'1 prepared data'!T491</f>
        <v/>
      </c>
      <c r="V498" s="8">
        <f>$AC$12+D498*$AC$13+E498*$AC$14+F498*$AC$15+G498*$AC$16+H498*$AC$17+I498*$AC$18+J498*$AC$19+K498*$AC$20+L498*$AC$21+M498*$AC$22+N498*$AC$23+O498*$AC$24+P498*$AC$25+Q498*$AC$26+R498*$AC$27+S498*$AC$28+T498*$AC$29+U498*$AC$30</f>
        <v/>
      </c>
      <c r="W498" s="8">
        <f>1/(1+EXP(-V498))</f>
        <v/>
      </c>
      <c r="X498" s="9">
        <f>-IF(C498=1,LN(W498),LN(1-W498))</f>
        <v/>
      </c>
      <c r="Y498" s="10">
        <f>IF(W498&gt;$AC$33,1,0)</f>
        <v/>
      </c>
      <c r="Z498">
        <f>IF(Y498=C498,1,0)</f>
        <v/>
      </c>
    </row>
    <row r="499">
      <c r="A499">
        <f>'1 prepared data'!A492</f>
        <v/>
      </c>
      <c r="B499" s="5">
        <f>'1 prepared data'!U492</f>
        <v/>
      </c>
      <c r="C499">
        <f>'1 prepared data'!B492</f>
        <v/>
      </c>
      <c r="D499" s="7">
        <f>'1 prepared data'!C492</f>
        <v/>
      </c>
      <c r="E499" s="7">
        <f>'1 prepared data'!D492</f>
        <v/>
      </c>
      <c r="F499" s="7">
        <f>'1 prepared data'!E492</f>
        <v/>
      </c>
      <c r="G499" s="7">
        <f>'1 prepared data'!F492</f>
        <v/>
      </c>
      <c r="H499" s="7">
        <f>'1 prepared data'!G492</f>
        <v/>
      </c>
      <c r="I499" s="7">
        <f>'1 prepared data'!H492</f>
        <v/>
      </c>
      <c r="J499" s="7">
        <f>'1 prepared data'!I492</f>
        <v/>
      </c>
      <c r="K499" s="7">
        <f>'1 prepared data'!J492</f>
        <v/>
      </c>
      <c r="L499" s="7">
        <f>'1 prepared data'!K492</f>
        <v/>
      </c>
      <c r="M499" s="7">
        <f>'1 prepared data'!L492</f>
        <v/>
      </c>
      <c r="N499" s="7">
        <f>'1 prepared data'!M492</f>
        <v/>
      </c>
      <c r="O499" s="7">
        <f>'1 prepared data'!N492</f>
        <v/>
      </c>
      <c r="P499" s="7">
        <f>'1 prepared data'!O492</f>
        <v/>
      </c>
      <c r="Q499" s="7">
        <f>'1 prepared data'!P492</f>
        <v/>
      </c>
      <c r="R499" s="7">
        <f>'1 prepared data'!Q492</f>
        <v/>
      </c>
      <c r="S499" s="7">
        <f>'1 prepared data'!R492</f>
        <v/>
      </c>
      <c r="T499" s="7">
        <f>'1 prepared data'!S492</f>
        <v/>
      </c>
      <c r="U499" s="7">
        <f>'1 prepared data'!T492</f>
        <v/>
      </c>
      <c r="V499" s="8">
        <f>$AC$12+D499*$AC$13+E499*$AC$14+F499*$AC$15+G499*$AC$16+H499*$AC$17+I499*$AC$18+J499*$AC$19+K499*$AC$20+L499*$AC$21+M499*$AC$22+N499*$AC$23+O499*$AC$24+P499*$AC$25+Q499*$AC$26+R499*$AC$27+S499*$AC$28+T499*$AC$29+U499*$AC$30</f>
        <v/>
      </c>
      <c r="W499" s="8">
        <f>1/(1+EXP(-V499))</f>
        <v/>
      </c>
      <c r="X499" s="9">
        <f>-IF(C499=1,LN(W499),LN(1-W499))</f>
        <v/>
      </c>
      <c r="Y499" s="10">
        <f>IF(W499&gt;$AC$33,1,0)</f>
        <v/>
      </c>
      <c r="Z499">
        <f>IF(Y499=C499,1,0)</f>
        <v/>
      </c>
    </row>
    <row r="500">
      <c r="A500">
        <f>'1 prepared data'!A493</f>
        <v/>
      </c>
      <c r="B500" s="5">
        <f>'1 prepared data'!U493</f>
        <v/>
      </c>
      <c r="C500">
        <f>'1 prepared data'!B493</f>
        <v/>
      </c>
      <c r="D500" s="7">
        <f>'1 prepared data'!C493</f>
        <v/>
      </c>
      <c r="E500" s="7">
        <f>'1 prepared data'!D493</f>
        <v/>
      </c>
      <c r="F500" s="7">
        <f>'1 prepared data'!E493</f>
        <v/>
      </c>
      <c r="G500" s="7">
        <f>'1 prepared data'!F493</f>
        <v/>
      </c>
      <c r="H500" s="7">
        <f>'1 prepared data'!G493</f>
        <v/>
      </c>
      <c r="I500" s="7">
        <f>'1 prepared data'!H493</f>
        <v/>
      </c>
      <c r="J500" s="7">
        <f>'1 prepared data'!I493</f>
        <v/>
      </c>
      <c r="K500" s="7">
        <f>'1 prepared data'!J493</f>
        <v/>
      </c>
      <c r="L500" s="7">
        <f>'1 prepared data'!K493</f>
        <v/>
      </c>
      <c r="M500" s="7">
        <f>'1 prepared data'!L493</f>
        <v/>
      </c>
      <c r="N500" s="7">
        <f>'1 prepared data'!M493</f>
        <v/>
      </c>
      <c r="O500" s="7">
        <f>'1 prepared data'!N493</f>
        <v/>
      </c>
      <c r="P500" s="7">
        <f>'1 prepared data'!O493</f>
        <v/>
      </c>
      <c r="Q500" s="7">
        <f>'1 prepared data'!P493</f>
        <v/>
      </c>
      <c r="R500" s="7">
        <f>'1 prepared data'!Q493</f>
        <v/>
      </c>
      <c r="S500" s="7">
        <f>'1 prepared data'!R493</f>
        <v/>
      </c>
      <c r="T500" s="7">
        <f>'1 prepared data'!S493</f>
        <v/>
      </c>
      <c r="U500" s="7">
        <f>'1 prepared data'!T493</f>
        <v/>
      </c>
      <c r="V500" s="8">
        <f>$AC$12+D500*$AC$13+E500*$AC$14+F500*$AC$15+G500*$AC$16+H500*$AC$17+I500*$AC$18+J500*$AC$19+K500*$AC$20+L500*$AC$21+M500*$AC$22+N500*$AC$23+O500*$AC$24+P500*$AC$25+Q500*$AC$26+R500*$AC$27+S500*$AC$28+T500*$AC$29+U500*$AC$30</f>
        <v/>
      </c>
      <c r="W500" s="8">
        <f>1/(1+EXP(-V500))</f>
        <v/>
      </c>
      <c r="X500" s="9">
        <f>-IF(C500=1,LN(W500),LN(1-W500))</f>
        <v/>
      </c>
      <c r="Y500" s="10">
        <f>IF(W500&gt;$AC$33,1,0)</f>
        <v/>
      </c>
      <c r="Z500">
        <f>IF(Y500=C500,1,0)</f>
        <v/>
      </c>
    </row>
    <row r="501">
      <c r="A501">
        <f>'1 prepared data'!A494</f>
        <v/>
      </c>
      <c r="B501" s="5">
        <f>'1 prepared data'!U494</f>
        <v/>
      </c>
      <c r="C501">
        <f>'1 prepared data'!B494</f>
        <v/>
      </c>
      <c r="D501" s="7">
        <f>'1 prepared data'!C494</f>
        <v/>
      </c>
      <c r="E501" s="7">
        <f>'1 prepared data'!D494</f>
        <v/>
      </c>
      <c r="F501" s="7">
        <f>'1 prepared data'!E494</f>
        <v/>
      </c>
      <c r="G501" s="7">
        <f>'1 prepared data'!F494</f>
        <v/>
      </c>
      <c r="H501" s="7">
        <f>'1 prepared data'!G494</f>
        <v/>
      </c>
      <c r="I501" s="7">
        <f>'1 prepared data'!H494</f>
        <v/>
      </c>
      <c r="J501" s="7">
        <f>'1 prepared data'!I494</f>
        <v/>
      </c>
      <c r="K501" s="7">
        <f>'1 prepared data'!J494</f>
        <v/>
      </c>
      <c r="L501" s="7">
        <f>'1 prepared data'!K494</f>
        <v/>
      </c>
      <c r="M501" s="7">
        <f>'1 prepared data'!L494</f>
        <v/>
      </c>
      <c r="N501" s="7">
        <f>'1 prepared data'!M494</f>
        <v/>
      </c>
      <c r="O501" s="7">
        <f>'1 prepared data'!N494</f>
        <v/>
      </c>
      <c r="P501" s="7">
        <f>'1 prepared data'!O494</f>
        <v/>
      </c>
      <c r="Q501" s="7">
        <f>'1 prepared data'!P494</f>
        <v/>
      </c>
      <c r="R501" s="7">
        <f>'1 prepared data'!Q494</f>
        <v/>
      </c>
      <c r="S501" s="7">
        <f>'1 prepared data'!R494</f>
        <v/>
      </c>
      <c r="T501" s="7">
        <f>'1 prepared data'!S494</f>
        <v/>
      </c>
      <c r="U501" s="7">
        <f>'1 prepared data'!T494</f>
        <v/>
      </c>
      <c r="V501" s="8">
        <f>$AC$12+D501*$AC$13+E501*$AC$14+F501*$AC$15+G501*$AC$16+H501*$AC$17+I501*$AC$18+J501*$AC$19+K501*$AC$20+L501*$AC$21+M501*$AC$22+N501*$AC$23+O501*$AC$24+P501*$AC$25+Q501*$AC$26+R501*$AC$27+S501*$AC$28+T501*$AC$29+U501*$AC$30</f>
        <v/>
      </c>
      <c r="W501" s="8">
        <f>1/(1+EXP(-V501))</f>
        <v/>
      </c>
      <c r="X501" s="9">
        <f>-IF(C501=1,LN(W501),LN(1-W501))</f>
        <v/>
      </c>
      <c r="Y501" s="10">
        <f>IF(W501&gt;$AC$33,1,0)</f>
        <v/>
      </c>
      <c r="Z501">
        <f>IF(Y501=C501,1,0)</f>
        <v/>
      </c>
    </row>
    <row r="502">
      <c r="A502">
        <f>'1 prepared data'!A495</f>
        <v/>
      </c>
      <c r="B502" s="5">
        <f>'1 prepared data'!U495</f>
        <v/>
      </c>
      <c r="C502">
        <f>'1 prepared data'!B495</f>
        <v/>
      </c>
      <c r="D502" s="7">
        <f>'1 prepared data'!C495</f>
        <v/>
      </c>
      <c r="E502" s="7">
        <f>'1 prepared data'!D495</f>
        <v/>
      </c>
      <c r="F502" s="7">
        <f>'1 prepared data'!E495</f>
        <v/>
      </c>
      <c r="G502" s="7">
        <f>'1 prepared data'!F495</f>
        <v/>
      </c>
      <c r="H502" s="7">
        <f>'1 prepared data'!G495</f>
        <v/>
      </c>
      <c r="I502" s="7">
        <f>'1 prepared data'!H495</f>
        <v/>
      </c>
      <c r="J502" s="7">
        <f>'1 prepared data'!I495</f>
        <v/>
      </c>
      <c r="K502" s="7">
        <f>'1 prepared data'!J495</f>
        <v/>
      </c>
      <c r="L502" s="7">
        <f>'1 prepared data'!K495</f>
        <v/>
      </c>
      <c r="M502" s="7">
        <f>'1 prepared data'!L495</f>
        <v/>
      </c>
      <c r="N502" s="7">
        <f>'1 prepared data'!M495</f>
        <v/>
      </c>
      <c r="O502" s="7">
        <f>'1 prepared data'!N495</f>
        <v/>
      </c>
      <c r="P502" s="7">
        <f>'1 prepared data'!O495</f>
        <v/>
      </c>
      <c r="Q502" s="7">
        <f>'1 prepared data'!P495</f>
        <v/>
      </c>
      <c r="R502" s="7">
        <f>'1 prepared data'!Q495</f>
        <v/>
      </c>
      <c r="S502" s="7">
        <f>'1 prepared data'!R495</f>
        <v/>
      </c>
      <c r="T502" s="7">
        <f>'1 prepared data'!S495</f>
        <v/>
      </c>
      <c r="U502" s="7">
        <f>'1 prepared data'!T495</f>
        <v/>
      </c>
      <c r="V502" s="8">
        <f>$AC$12+D502*$AC$13+E502*$AC$14+F502*$AC$15+G502*$AC$16+H502*$AC$17+I502*$AC$18+J502*$AC$19+K502*$AC$20+L502*$AC$21+M502*$AC$22+N502*$AC$23+O502*$AC$24+P502*$AC$25+Q502*$AC$26+R502*$AC$27+S502*$AC$28+T502*$AC$29+U502*$AC$30</f>
        <v/>
      </c>
      <c r="W502" s="8">
        <f>1/(1+EXP(-V502))</f>
        <v/>
      </c>
      <c r="X502" s="9">
        <f>-IF(C502=1,LN(W502),LN(1-W502))</f>
        <v/>
      </c>
      <c r="Y502" s="10">
        <f>IF(W502&gt;$AC$33,1,0)</f>
        <v/>
      </c>
      <c r="Z502">
        <f>IF(Y502=C502,1,0)</f>
        <v/>
      </c>
    </row>
    <row r="503">
      <c r="A503">
        <f>'1 prepared data'!A496</f>
        <v/>
      </c>
      <c r="B503" s="5">
        <f>'1 prepared data'!U496</f>
        <v/>
      </c>
      <c r="C503">
        <f>'1 prepared data'!B496</f>
        <v/>
      </c>
      <c r="D503" s="7">
        <f>'1 prepared data'!C496</f>
        <v/>
      </c>
      <c r="E503" s="7">
        <f>'1 prepared data'!D496</f>
        <v/>
      </c>
      <c r="F503" s="7">
        <f>'1 prepared data'!E496</f>
        <v/>
      </c>
      <c r="G503" s="7">
        <f>'1 prepared data'!F496</f>
        <v/>
      </c>
      <c r="H503" s="7">
        <f>'1 prepared data'!G496</f>
        <v/>
      </c>
      <c r="I503" s="7">
        <f>'1 prepared data'!H496</f>
        <v/>
      </c>
      <c r="J503" s="7">
        <f>'1 prepared data'!I496</f>
        <v/>
      </c>
      <c r="K503" s="7">
        <f>'1 prepared data'!J496</f>
        <v/>
      </c>
      <c r="L503" s="7">
        <f>'1 prepared data'!K496</f>
        <v/>
      </c>
      <c r="M503" s="7">
        <f>'1 prepared data'!L496</f>
        <v/>
      </c>
      <c r="N503" s="7">
        <f>'1 prepared data'!M496</f>
        <v/>
      </c>
      <c r="O503" s="7">
        <f>'1 prepared data'!N496</f>
        <v/>
      </c>
      <c r="P503" s="7">
        <f>'1 prepared data'!O496</f>
        <v/>
      </c>
      <c r="Q503" s="7">
        <f>'1 prepared data'!P496</f>
        <v/>
      </c>
      <c r="R503" s="7">
        <f>'1 prepared data'!Q496</f>
        <v/>
      </c>
      <c r="S503" s="7">
        <f>'1 prepared data'!R496</f>
        <v/>
      </c>
      <c r="T503" s="7">
        <f>'1 prepared data'!S496</f>
        <v/>
      </c>
      <c r="U503" s="7">
        <f>'1 prepared data'!T496</f>
        <v/>
      </c>
      <c r="V503" s="8">
        <f>$AC$12+D503*$AC$13+E503*$AC$14+F503*$AC$15+G503*$AC$16+H503*$AC$17+I503*$AC$18+J503*$AC$19+K503*$AC$20+L503*$AC$21+M503*$AC$22+N503*$AC$23+O503*$AC$24+P503*$AC$25+Q503*$AC$26+R503*$AC$27+S503*$AC$28+T503*$AC$29+U503*$AC$30</f>
        <v/>
      </c>
      <c r="W503" s="8">
        <f>1/(1+EXP(-V503))</f>
        <v/>
      </c>
      <c r="X503" s="9">
        <f>-IF(C503=1,LN(W503),LN(1-W503))</f>
        <v/>
      </c>
      <c r="Y503" s="10">
        <f>IF(W503&gt;$AC$33,1,0)</f>
        <v/>
      </c>
      <c r="Z503">
        <f>IF(Y503=C503,1,0)</f>
        <v/>
      </c>
    </row>
    <row r="504">
      <c r="A504">
        <f>'1 prepared data'!A497</f>
        <v/>
      </c>
      <c r="B504" s="5">
        <f>'1 prepared data'!U497</f>
        <v/>
      </c>
      <c r="C504">
        <f>'1 prepared data'!B497</f>
        <v/>
      </c>
      <c r="D504" s="7">
        <f>'1 prepared data'!C497</f>
        <v/>
      </c>
      <c r="E504" s="7">
        <f>'1 prepared data'!D497</f>
        <v/>
      </c>
      <c r="F504" s="7">
        <f>'1 prepared data'!E497</f>
        <v/>
      </c>
      <c r="G504" s="7">
        <f>'1 prepared data'!F497</f>
        <v/>
      </c>
      <c r="H504" s="7">
        <f>'1 prepared data'!G497</f>
        <v/>
      </c>
      <c r="I504" s="7">
        <f>'1 prepared data'!H497</f>
        <v/>
      </c>
      <c r="J504" s="7">
        <f>'1 prepared data'!I497</f>
        <v/>
      </c>
      <c r="K504" s="7">
        <f>'1 prepared data'!J497</f>
        <v/>
      </c>
      <c r="L504" s="7">
        <f>'1 prepared data'!K497</f>
        <v/>
      </c>
      <c r="M504" s="7">
        <f>'1 prepared data'!L497</f>
        <v/>
      </c>
      <c r="N504" s="7">
        <f>'1 prepared data'!M497</f>
        <v/>
      </c>
      <c r="O504" s="7">
        <f>'1 prepared data'!N497</f>
        <v/>
      </c>
      <c r="P504" s="7">
        <f>'1 prepared data'!O497</f>
        <v/>
      </c>
      <c r="Q504" s="7">
        <f>'1 prepared data'!P497</f>
        <v/>
      </c>
      <c r="R504" s="7">
        <f>'1 prepared data'!Q497</f>
        <v/>
      </c>
      <c r="S504" s="7">
        <f>'1 prepared data'!R497</f>
        <v/>
      </c>
      <c r="T504" s="7">
        <f>'1 prepared data'!S497</f>
        <v/>
      </c>
      <c r="U504" s="7">
        <f>'1 prepared data'!T497</f>
        <v/>
      </c>
      <c r="V504" s="8">
        <f>$AC$12+D504*$AC$13+E504*$AC$14+F504*$AC$15+G504*$AC$16+H504*$AC$17+I504*$AC$18+J504*$AC$19+K504*$AC$20+L504*$AC$21+M504*$AC$22+N504*$AC$23+O504*$AC$24+P504*$AC$25+Q504*$AC$26+R504*$AC$27+S504*$AC$28+T504*$AC$29+U504*$AC$30</f>
        <v/>
      </c>
      <c r="W504" s="8">
        <f>1/(1+EXP(-V504))</f>
        <v/>
      </c>
      <c r="X504" s="9">
        <f>-IF(C504=1,LN(W504),LN(1-W504))</f>
        <v/>
      </c>
      <c r="Y504" s="10">
        <f>IF(W504&gt;$AC$33,1,0)</f>
        <v/>
      </c>
      <c r="Z504">
        <f>IF(Y504=C504,1,0)</f>
        <v/>
      </c>
    </row>
    <row r="505">
      <c r="A505">
        <f>'1 prepared data'!A498</f>
        <v/>
      </c>
      <c r="B505" s="5">
        <f>'1 prepared data'!U498</f>
        <v/>
      </c>
      <c r="C505">
        <f>'1 prepared data'!B498</f>
        <v/>
      </c>
      <c r="D505" s="7">
        <f>'1 prepared data'!C498</f>
        <v/>
      </c>
      <c r="E505" s="7">
        <f>'1 prepared data'!D498</f>
        <v/>
      </c>
      <c r="F505" s="7">
        <f>'1 prepared data'!E498</f>
        <v/>
      </c>
      <c r="G505" s="7">
        <f>'1 prepared data'!F498</f>
        <v/>
      </c>
      <c r="H505" s="7">
        <f>'1 prepared data'!G498</f>
        <v/>
      </c>
      <c r="I505" s="7">
        <f>'1 prepared data'!H498</f>
        <v/>
      </c>
      <c r="J505" s="7">
        <f>'1 prepared data'!I498</f>
        <v/>
      </c>
      <c r="K505" s="7">
        <f>'1 prepared data'!J498</f>
        <v/>
      </c>
      <c r="L505" s="7">
        <f>'1 prepared data'!K498</f>
        <v/>
      </c>
      <c r="M505" s="7">
        <f>'1 prepared data'!L498</f>
        <v/>
      </c>
      <c r="N505" s="7">
        <f>'1 prepared data'!M498</f>
        <v/>
      </c>
      <c r="O505" s="7">
        <f>'1 prepared data'!N498</f>
        <v/>
      </c>
      <c r="P505" s="7">
        <f>'1 prepared data'!O498</f>
        <v/>
      </c>
      <c r="Q505" s="7">
        <f>'1 prepared data'!P498</f>
        <v/>
      </c>
      <c r="R505" s="7">
        <f>'1 prepared data'!Q498</f>
        <v/>
      </c>
      <c r="S505" s="7">
        <f>'1 prepared data'!R498</f>
        <v/>
      </c>
      <c r="T505" s="7">
        <f>'1 prepared data'!S498</f>
        <v/>
      </c>
      <c r="U505" s="7">
        <f>'1 prepared data'!T498</f>
        <v/>
      </c>
      <c r="V505" s="8">
        <f>$AC$12+D505*$AC$13+E505*$AC$14+F505*$AC$15+G505*$AC$16+H505*$AC$17+I505*$AC$18+J505*$AC$19+K505*$AC$20+L505*$AC$21+M505*$AC$22+N505*$AC$23+O505*$AC$24+P505*$AC$25+Q505*$AC$26+R505*$AC$27+S505*$AC$28+T505*$AC$29+U505*$AC$30</f>
        <v/>
      </c>
      <c r="W505" s="8">
        <f>1/(1+EXP(-V505))</f>
        <v/>
      </c>
      <c r="X505" s="9">
        <f>-IF(C505=1,LN(W505),LN(1-W505))</f>
        <v/>
      </c>
      <c r="Y505" s="10">
        <f>IF(W505&gt;$AC$33,1,0)</f>
        <v/>
      </c>
      <c r="Z505">
        <f>IF(Y505=C505,1,0)</f>
        <v/>
      </c>
    </row>
    <row r="506">
      <c r="A506">
        <f>'1 prepared data'!A499</f>
        <v/>
      </c>
      <c r="B506" s="5">
        <f>'1 prepared data'!U499</f>
        <v/>
      </c>
      <c r="C506">
        <f>'1 prepared data'!B499</f>
        <v/>
      </c>
      <c r="D506" s="7">
        <f>'1 prepared data'!C499</f>
        <v/>
      </c>
      <c r="E506" s="7">
        <f>'1 prepared data'!D499</f>
        <v/>
      </c>
      <c r="F506" s="7">
        <f>'1 prepared data'!E499</f>
        <v/>
      </c>
      <c r="G506" s="7">
        <f>'1 prepared data'!F499</f>
        <v/>
      </c>
      <c r="H506" s="7">
        <f>'1 prepared data'!G499</f>
        <v/>
      </c>
      <c r="I506" s="7">
        <f>'1 prepared data'!H499</f>
        <v/>
      </c>
      <c r="J506" s="7">
        <f>'1 prepared data'!I499</f>
        <v/>
      </c>
      <c r="K506" s="7">
        <f>'1 prepared data'!J499</f>
        <v/>
      </c>
      <c r="L506" s="7">
        <f>'1 prepared data'!K499</f>
        <v/>
      </c>
      <c r="M506" s="7">
        <f>'1 prepared data'!L499</f>
        <v/>
      </c>
      <c r="N506" s="7">
        <f>'1 prepared data'!M499</f>
        <v/>
      </c>
      <c r="O506" s="7">
        <f>'1 prepared data'!N499</f>
        <v/>
      </c>
      <c r="P506" s="7">
        <f>'1 prepared data'!O499</f>
        <v/>
      </c>
      <c r="Q506" s="7">
        <f>'1 prepared data'!P499</f>
        <v/>
      </c>
      <c r="R506" s="7">
        <f>'1 prepared data'!Q499</f>
        <v/>
      </c>
      <c r="S506" s="7">
        <f>'1 prepared data'!R499</f>
        <v/>
      </c>
      <c r="T506" s="7">
        <f>'1 prepared data'!S499</f>
        <v/>
      </c>
      <c r="U506" s="7">
        <f>'1 prepared data'!T499</f>
        <v/>
      </c>
      <c r="V506" s="8">
        <f>$AC$12+D506*$AC$13+E506*$AC$14+F506*$AC$15+G506*$AC$16+H506*$AC$17+I506*$AC$18+J506*$AC$19+K506*$AC$20+L506*$AC$21+M506*$AC$22+N506*$AC$23+O506*$AC$24+P506*$AC$25+Q506*$AC$26+R506*$AC$27+S506*$AC$28+T506*$AC$29+U506*$AC$30</f>
        <v/>
      </c>
      <c r="W506" s="8">
        <f>1/(1+EXP(-V506))</f>
        <v/>
      </c>
      <c r="X506" s="9">
        <f>-IF(C506=1,LN(W506),LN(1-W506))</f>
        <v/>
      </c>
      <c r="Y506" s="10">
        <f>IF(W506&gt;$AC$33,1,0)</f>
        <v/>
      </c>
      <c r="Z506">
        <f>IF(Y506=C506,1,0)</f>
        <v/>
      </c>
    </row>
    <row r="507">
      <c r="A507">
        <f>'1 prepared data'!A500</f>
        <v/>
      </c>
      <c r="B507" s="5">
        <f>'1 prepared data'!U500</f>
        <v/>
      </c>
      <c r="C507">
        <f>'1 prepared data'!B500</f>
        <v/>
      </c>
      <c r="D507" s="7">
        <f>'1 prepared data'!C500</f>
        <v/>
      </c>
      <c r="E507" s="7">
        <f>'1 prepared data'!D500</f>
        <v/>
      </c>
      <c r="F507" s="7">
        <f>'1 prepared data'!E500</f>
        <v/>
      </c>
      <c r="G507" s="7">
        <f>'1 prepared data'!F500</f>
        <v/>
      </c>
      <c r="H507" s="7">
        <f>'1 prepared data'!G500</f>
        <v/>
      </c>
      <c r="I507" s="7">
        <f>'1 prepared data'!H500</f>
        <v/>
      </c>
      <c r="J507" s="7">
        <f>'1 prepared data'!I500</f>
        <v/>
      </c>
      <c r="K507" s="7">
        <f>'1 prepared data'!J500</f>
        <v/>
      </c>
      <c r="L507" s="7">
        <f>'1 prepared data'!K500</f>
        <v/>
      </c>
      <c r="M507" s="7">
        <f>'1 prepared data'!L500</f>
        <v/>
      </c>
      <c r="N507" s="7">
        <f>'1 prepared data'!M500</f>
        <v/>
      </c>
      <c r="O507" s="7">
        <f>'1 prepared data'!N500</f>
        <v/>
      </c>
      <c r="P507" s="7">
        <f>'1 prepared data'!O500</f>
        <v/>
      </c>
      <c r="Q507" s="7">
        <f>'1 prepared data'!P500</f>
        <v/>
      </c>
      <c r="R507" s="7">
        <f>'1 prepared data'!Q500</f>
        <v/>
      </c>
      <c r="S507" s="7">
        <f>'1 prepared data'!R500</f>
        <v/>
      </c>
      <c r="T507" s="7">
        <f>'1 prepared data'!S500</f>
        <v/>
      </c>
      <c r="U507" s="7">
        <f>'1 prepared data'!T500</f>
        <v/>
      </c>
      <c r="V507" s="8">
        <f>$AC$12+D507*$AC$13+E507*$AC$14+F507*$AC$15+G507*$AC$16+H507*$AC$17+I507*$AC$18+J507*$AC$19+K507*$AC$20+L507*$AC$21+M507*$AC$22+N507*$AC$23+O507*$AC$24+P507*$AC$25+Q507*$AC$26+R507*$AC$27+S507*$AC$28+T507*$AC$29+U507*$AC$30</f>
        <v/>
      </c>
      <c r="W507" s="8">
        <f>1/(1+EXP(-V507))</f>
        <v/>
      </c>
      <c r="X507" s="9">
        <f>-IF(C507=1,LN(W507),LN(1-W507))</f>
        <v/>
      </c>
      <c r="Y507" s="10">
        <f>IF(W507&gt;$AC$33,1,0)</f>
        <v/>
      </c>
      <c r="Z507">
        <f>IF(Y507=C507,1,0)</f>
        <v/>
      </c>
    </row>
    <row r="508">
      <c r="A508">
        <f>'1 prepared data'!A501</f>
        <v/>
      </c>
      <c r="B508" s="5">
        <f>'1 prepared data'!U501</f>
        <v/>
      </c>
      <c r="C508">
        <f>'1 prepared data'!B501</f>
        <v/>
      </c>
      <c r="D508" s="7">
        <f>'1 prepared data'!C501</f>
        <v/>
      </c>
      <c r="E508" s="7">
        <f>'1 prepared data'!D501</f>
        <v/>
      </c>
      <c r="F508" s="7">
        <f>'1 prepared data'!E501</f>
        <v/>
      </c>
      <c r="G508" s="7">
        <f>'1 prepared data'!F501</f>
        <v/>
      </c>
      <c r="H508" s="7">
        <f>'1 prepared data'!G501</f>
        <v/>
      </c>
      <c r="I508" s="7">
        <f>'1 prepared data'!H501</f>
        <v/>
      </c>
      <c r="J508" s="7">
        <f>'1 prepared data'!I501</f>
        <v/>
      </c>
      <c r="K508" s="7">
        <f>'1 prepared data'!J501</f>
        <v/>
      </c>
      <c r="L508" s="7">
        <f>'1 prepared data'!K501</f>
        <v/>
      </c>
      <c r="M508" s="7">
        <f>'1 prepared data'!L501</f>
        <v/>
      </c>
      <c r="N508" s="7">
        <f>'1 prepared data'!M501</f>
        <v/>
      </c>
      <c r="O508" s="7">
        <f>'1 prepared data'!N501</f>
        <v/>
      </c>
      <c r="P508" s="7">
        <f>'1 prepared data'!O501</f>
        <v/>
      </c>
      <c r="Q508" s="7">
        <f>'1 prepared data'!P501</f>
        <v/>
      </c>
      <c r="R508" s="7">
        <f>'1 prepared data'!Q501</f>
        <v/>
      </c>
      <c r="S508" s="7">
        <f>'1 prepared data'!R501</f>
        <v/>
      </c>
      <c r="T508" s="7">
        <f>'1 prepared data'!S501</f>
        <v/>
      </c>
      <c r="U508" s="7">
        <f>'1 prepared data'!T501</f>
        <v/>
      </c>
      <c r="V508" s="8">
        <f>$AC$12+D508*$AC$13+E508*$AC$14+F508*$AC$15+G508*$AC$16+H508*$AC$17+I508*$AC$18+J508*$AC$19+K508*$AC$20+L508*$AC$21+M508*$AC$22+N508*$AC$23+O508*$AC$24+P508*$AC$25+Q508*$AC$26+R508*$AC$27+S508*$AC$28+T508*$AC$29+U508*$AC$30</f>
        <v/>
      </c>
      <c r="W508" s="8">
        <f>1/(1+EXP(-V508))</f>
        <v/>
      </c>
      <c r="X508" s="9">
        <f>-IF(C508=1,LN(W508),LN(1-W508))</f>
        <v/>
      </c>
      <c r="Y508" s="10">
        <f>IF(W508&gt;$AC$33,1,0)</f>
        <v/>
      </c>
      <c r="Z508">
        <f>IF(Y508=C508,1,0)</f>
        <v/>
      </c>
    </row>
    <row r="509">
      <c r="A509">
        <f>'1 prepared data'!A502</f>
        <v/>
      </c>
      <c r="B509" s="5">
        <f>'1 prepared data'!U502</f>
        <v/>
      </c>
      <c r="C509">
        <f>'1 prepared data'!B502</f>
        <v/>
      </c>
      <c r="D509" s="7">
        <f>'1 prepared data'!C502</f>
        <v/>
      </c>
      <c r="E509" s="7">
        <f>'1 prepared data'!D502</f>
        <v/>
      </c>
      <c r="F509" s="7">
        <f>'1 prepared data'!E502</f>
        <v/>
      </c>
      <c r="G509" s="7">
        <f>'1 prepared data'!F502</f>
        <v/>
      </c>
      <c r="H509" s="7">
        <f>'1 prepared data'!G502</f>
        <v/>
      </c>
      <c r="I509" s="7">
        <f>'1 prepared data'!H502</f>
        <v/>
      </c>
      <c r="J509" s="7">
        <f>'1 prepared data'!I502</f>
        <v/>
      </c>
      <c r="K509" s="7">
        <f>'1 prepared data'!J502</f>
        <v/>
      </c>
      <c r="L509" s="7">
        <f>'1 prepared data'!K502</f>
        <v/>
      </c>
      <c r="M509" s="7">
        <f>'1 prepared data'!L502</f>
        <v/>
      </c>
      <c r="N509" s="7">
        <f>'1 prepared data'!M502</f>
        <v/>
      </c>
      <c r="O509" s="7">
        <f>'1 prepared data'!N502</f>
        <v/>
      </c>
      <c r="P509" s="7">
        <f>'1 prepared data'!O502</f>
        <v/>
      </c>
      <c r="Q509" s="7">
        <f>'1 prepared data'!P502</f>
        <v/>
      </c>
      <c r="R509" s="7">
        <f>'1 prepared data'!Q502</f>
        <v/>
      </c>
      <c r="S509" s="7">
        <f>'1 prepared data'!R502</f>
        <v/>
      </c>
      <c r="T509" s="7">
        <f>'1 prepared data'!S502</f>
        <v/>
      </c>
      <c r="U509" s="7">
        <f>'1 prepared data'!T502</f>
        <v/>
      </c>
      <c r="V509" s="8">
        <f>$AC$12+D509*$AC$13+E509*$AC$14+F509*$AC$15+G509*$AC$16+H509*$AC$17+I509*$AC$18+J509*$AC$19+K509*$AC$20+L509*$AC$21+M509*$AC$22+N509*$AC$23+O509*$AC$24+P509*$AC$25+Q509*$AC$26+R509*$AC$27+S509*$AC$28+T509*$AC$29+U509*$AC$30</f>
        <v/>
      </c>
      <c r="W509" s="8">
        <f>1/(1+EXP(-V509))</f>
        <v/>
      </c>
      <c r="X509" s="9">
        <f>-IF(C509=1,LN(W509),LN(1-W509))</f>
        <v/>
      </c>
      <c r="Y509" s="10">
        <f>IF(W509&gt;$AC$33,1,0)</f>
        <v/>
      </c>
      <c r="Z509">
        <f>IF(Y509=C509,1,0)</f>
        <v/>
      </c>
    </row>
    <row r="510">
      <c r="A510">
        <f>'1 prepared data'!A503</f>
        <v/>
      </c>
      <c r="B510" s="5">
        <f>'1 prepared data'!U503</f>
        <v/>
      </c>
      <c r="C510">
        <f>'1 prepared data'!B503</f>
        <v/>
      </c>
      <c r="D510" s="7">
        <f>'1 prepared data'!C503</f>
        <v/>
      </c>
      <c r="E510" s="7">
        <f>'1 prepared data'!D503</f>
        <v/>
      </c>
      <c r="F510" s="7">
        <f>'1 prepared data'!E503</f>
        <v/>
      </c>
      <c r="G510" s="7">
        <f>'1 prepared data'!F503</f>
        <v/>
      </c>
      <c r="H510" s="7">
        <f>'1 prepared data'!G503</f>
        <v/>
      </c>
      <c r="I510" s="7">
        <f>'1 prepared data'!H503</f>
        <v/>
      </c>
      <c r="J510" s="7">
        <f>'1 prepared data'!I503</f>
        <v/>
      </c>
      <c r="K510" s="7">
        <f>'1 prepared data'!J503</f>
        <v/>
      </c>
      <c r="L510" s="7">
        <f>'1 prepared data'!K503</f>
        <v/>
      </c>
      <c r="M510" s="7">
        <f>'1 prepared data'!L503</f>
        <v/>
      </c>
      <c r="N510" s="7">
        <f>'1 prepared data'!M503</f>
        <v/>
      </c>
      <c r="O510" s="7">
        <f>'1 prepared data'!N503</f>
        <v/>
      </c>
      <c r="P510" s="7">
        <f>'1 prepared data'!O503</f>
        <v/>
      </c>
      <c r="Q510" s="7">
        <f>'1 prepared data'!P503</f>
        <v/>
      </c>
      <c r="R510" s="7">
        <f>'1 prepared data'!Q503</f>
        <v/>
      </c>
      <c r="S510" s="7">
        <f>'1 prepared data'!R503</f>
        <v/>
      </c>
      <c r="T510" s="7">
        <f>'1 prepared data'!S503</f>
        <v/>
      </c>
      <c r="U510" s="7">
        <f>'1 prepared data'!T503</f>
        <v/>
      </c>
      <c r="V510" s="8">
        <f>$AC$12+D510*$AC$13+E510*$AC$14+F510*$AC$15+G510*$AC$16+H510*$AC$17+I510*$AC$18+J510*$AC$19+K510*$AC$20+L510*$AC$21+M510*$AC$22+N510*$AC$23+O510*$AC$24+P510*$AC$25+Q510*$AC$26+R510*$AC$27+S510*$AC$28+T510*$AC$29+U510*$AC$30</f>
        <v/>
      </c>
      <c r="W510" s="8">
        <f>1/(1+EXP(-V510))</f>
        <v/>
      </c>
      <c r="X510" s="9">
        <f>-IF(C510=1,LN(W510),LN(1-W510))</f>
        <v/>
      </c>
      <c r="Y510" s="10">
        <f>IF(W510&gt;$AC$33,1,0)</f>
        <v/>
      </c>
      <c r="Z510">
        <f>IF(Y510=C510,1,0)</f>
        <v/>
      </c>
    </row>
    <row r="511">
      <c r="A511">
        <f>'1 prepared data'!A504</f>
        <v/>
      </c>
      <c r="B511" s="5">
        <f>'1 prepared data'!U504</f>
        <v/>
      </c>
      <c r="C511">
        <f>'1 prepared data'!B504</f>
        <v/>
      </c>
      <c r="D511" s="7">
        <f>'1 prepared data'!C504</f>
        <v/>
      </c>
      <c r="E511" s="7">
        <f>'1 prepared data'!D504</f>
        <v/>
      </c>
      <c r="F511" s="7">
        <f>'1 prepared data'!E504</f>
        <v/>
      </c>
      <c r="G511" s="7">
        <f>'1 prepared data'!F504</f>
        <v/>
      </c>
      <c r="H511" s="7">
        <f>'1 prepared data'!G504</f>
        <v/>
      </c>
      <c r="I511" s="7">
        <f>'1 prepared data'!H504</f>
        <v/>
      </c>
      <c r="J511" s="7">
        <f>'1 prepared data'!I504</f>
        <v/>
      </c>
      <c r="K511" s="7">
        <f>'1 prepared data'!J504</f>
        <v/>
      </c>
      <c r="L511" s="7">
        <f>'1 prepared data'!K504</f>
        <v/>
      </c>
      <c r="M511" s="7">
        <f>'1 prepared data'!L504</f>
        <v/>
      </c>
      <c r="N511" s="7">
        <f>'1 prepared data'!M504</f>
        <v/>
      </c>
      <c r="O511" s="7">
        <f>'1 prepared data'!N504</f>
        <v/>
      </c>
      <c r="P511" s="7">
        <f>'1 prepared data'!O504</f>
        <v/>
      </c>
      <c r="Q511" s="7">
        <f>'1 prepared data'!P504</f>
        <v/>
      </c>
      <c r="R511" s="7">
        <f>'1 prepared data'!Q504</f>
        <v/>
      </c>
      <c r="S511" s="7">
        <f>'1 prepared data'!R504</f>
        <v/>
      </c>
      <c r="T511" s="7">
        <f>'1 prepared data'!S504</f>
        <v/>
      </c>
      <c r="U511" s="7">
        <f>'1 prepared data'!T504</f>
        <v/>
      </c>
      <c r="V511" s="8">
        <f>$AC$12+D511*$AC$13+E511*$AC$14+F511*$AC$15+G511*$AC$16+H511*$AC$17+I511*$AC$18+J511*$AC$19+K511*$AC$20+L511*$AC$21+M511*$AC$22+N511*$AC$23+O511*$AC$24+P511*$AC$25+Q511*$AC$26+R511*$AC$27+S511*$AC$28+T511*$AC$29+U511*$AC$30</f>
        <v/>
      </c>
      <c r="W511" s="8">
        <f>1/(1+EXP(-V511))</f>
        <v/>
      </c>
      <c r="X511" s="9">
        <f>-IF(C511=1,LN(W511),LN(1-W511))</f>
        <v/>
      </c>
      <c r="Y511" s="10">
        <f>IF(W511&gt;$AC$33,1,0)</f>
        <v/>
      </c>
      <c r="Z511">
        <f>IF(Y511=C511,1,0)</f>
        <v/>
      </c>
    </row>
    <row r="512">
      <c r="A512">
        <f>'1 prepared data'!A505</f>
        <v/>
      </c>
      <c r="B512" s="5">
        <f>'1 prepared data'!U505</f>
        <v/>
      </c>
      <c r="C512">
        <f>'1 prepared data'!B505</f>
        <v/>
      </c>
      <c r="D512" s="7">
        <f>'1 prepared data'!C505</f>
        <v/>
      </c>
      <c r="E512" s="7">
        <f>'1 prepared data'!D505</f>
        <v/>
      </c>
      <c r="F512" s="7">
        <f>'1 prepared data'!E505</f>
        <v/>
      </c>
      <c r="G512" s="7">
        <f>'1 prepared data'!F505</f>
        <v/>
      </c>
      <c r="H512" s="7">
        <f>'1 prepared data'!G505</f>
        <v/>
      </c>
      <c r="I512" s="7">
        <f>'1 prepared data'!H505</f>
        <v/>
      </c>
      <c r="J512" s="7">
        <f>'1 prepared data'!I505</f>
        <v/>
      </c>
      <c r="K512" s="7">
        <f>'1 prepared data'!J505</f>
        <v/>
      </c>
      <c r="L512" s="7">
        <f>'1 prepared data'!K505</f>
        <v/>
      </c>
      <c r="M512" s="7">
        <f>'1 prepared data'!L505</f>
        <v/>
      </c>
      <c r="N512" s="7">
        <f>'1 prepared data'!M505</f>
        <v/>
      </c>
      <c r="O512" s="7">
        <f>'1 prepared data'!N505</f>
        <v/>
      </c>
      <c r="P512" s="7">
        <f>'1 prepared data'!O505</f>
        <v/>
      </c>
      <c r="Q512" s="7">
        <f>'1 prepared data'!P505</f>
        <v/>
      </c>
      <c r="R512" s="7">
        <f>'1 prepared data'!Q505</f>
        <v/>
      </c>
      <c r="S512" s="7">
        <f>'1 prepared data'!R505</f>
        <v/>
      </c>
      <c r="T512" s="7">
        <f>'1 prepared data'!S505</f>
        <v/>
      </c>
      <c r="U512" s="7">
        <f>'1 prepared data'!T505</f>
        <v/>
      </c>
      <c r="V512" s="8">
        <f>$AC$12+D512*$AC$13+E512*$AC$14+F512*$AC$15+G512*$AC$16+H512*$AC$17+I512*$AC$18+J512*$AC$19+K512*$AC$20+L512*$AC$21+M512*$AC$22+N512*$AC$23+O512*$AC$24+P512*$AC$25+Q512*$AC$26+R512*$AC$27+S512*$AC$28+T512*$AC$29+U512*$AC$30</f>
        <v/>
      </c>
      <c r="W512" s="8">
        <f>1/(1+EXP(-V512))</f>
        <v/>
      </c>
      <c r="X512" s="9">
        <f>-IF(C512=1,LN(W512),LN(1-W512))</f>
        <v/>
      </c>
      <c r="Y512" s="10">
        <f>IF(W512&gt;$AC$33,1,0)</f>
        <v/>
      </c>
      <c r="Z512">
        <f>IF(Y512=C512,1,0)</f>
        <v/>
      </c>
    </row>
    <row r="513">
      <c r="A513">
        <f>'1 prepared data'!A506</f>
        <v/>
      </c>
      <c r="B513" s="5">
        <f>'1 prepared data'!U506</f>
        <v/>
      </c>
      <c r="C513">
        <f>'1 prepared data'!B506</f>
        <v/>
      </c>
      <c r="D513" s="7">
        <f>'1 prepared data'!C506</f>
        <v/>
      </c>
      <c r="E513" s="7">
        <f>'1 prepared data'!D506</f>
        <v/>
      </c>
      <c r="F513" s="7">
        <f>'1 prepared data'!E506</f>
        <v/>
      </c>
      <c r="G513" s="7">
        <f>'1 prepared data'!F506</f>
        <v/>
      </c>
      <c r="H513" s="7">
        <f>'1 prepared data'!G506</f>
        <v/>
      </c>
      <c r="I513" s="7">
        <f>'1 prepared data'!H506</f>
        <v/>
      </c>
      <c r="J513" s="7">
        <f>'1 prepared data'!I506</f>
        <v/>
      </c>
      <c r="K513" s="7">
        <f>'1 prepared data'!J506</f>
        <v/>
      </c>
      <c r="L513" s="7">
        <f>'1 prepared data'!K506</f>
        <v/>
      </c>
      <c r="M513" s="7">
        <f>'1 prepared data'!L506</f>
        <v/>
      </c>
      <c r="N513" s="7">
        <f>'1 prepared data'!M506</f>
        <v/>
      </c>
      <c r="O513" s="7">
        <f>'1 prepared data'!N506</f>
        <v/>
      </c>
      <c r="P513" s="7">
        <f>'1 prepared data'!O506</f>
        <v/>
      </c>
      <c r="Q513" s="7">
        <f>'1 prepared data'!P506</f>
        <v/>
      </c>
      <c r="R513" s="7">
        <f>'1 prepared data'!Q506</f>
        <v/>
      </c>
      <c r="S513" s="7">
        <f>'1 prepared data'!R506</f>
        <v/>
      </c>
      <c r="T513" s="7">
        <f>'1 prepared data'!S506</f>
        <v/>
      </c>
      <c r="U513" s="7">
        <f>'1 prepared data'!T506</f>
        <v/>
      </c>
      <c r="V513" s="8">
        <f>$AC$12+D513*$AC$13+E513*$AC$14+F513*$AC$15+G513*$AC$16+H513*$AC$17+I513*$AC$18+J513*$AC$19+K513*$AC$20+L513*$AC$21+M513*$AC$22+N513*$AC$23+O513*$AC$24+P513*$AC$25+Q513*$AC$26+R513*$AC$27+S513*$AC$28+T513*$AC$29+U513*$AC$30</f>
        <v/>
      </c>
      <c r="W513" s="8">
        <f>1/(1+EXP(-V513))</f>
        <v/>
      </c>
      <c r="X513" s="9">
        <f>-IF(C513=1,LN(W513),LN(1-W513))</f>
        <v/>
      </c>
      <c r="Y513" s="10">
        <f>IF(W513&gt;$AC$33,1,0)</f>
        <v/>
      </c>
      <c r="Z513">
        <f>IF(Y513=C513,1,0)</f>
        <v/>
      </c>
    </row>
    <row r="514">
      <c r="A514">
        <f>'1 prepared data'!A507</f>
        <v/>
      </c>
      <c r="B514" s="5">
        <f>'1 prepared data'!U507</f>
        <v/>
      </c>
      <c r="C514">
        <f>'1 prepared data'!B507</f>
        <v/>
      </c>
      <c r="D514" s="7">
        <f>'1 prepared data'!C507</f>
        <v/>
      </c>
      <c r="E514" s="7">
        <f>'1 prepared data'!D507</f>
        <v/>
      </c>
      <c r="F514" s="7">
        <f>'1 prepared data'!E507</f>
        <v/>
      </c>
      <c r="G514" s="7">
        <f>'1 prepared data'!F507</f>
        <v/>
      </c>
      <c r="H514" s="7">
        <f>'1 prepared data'!G507</f>
        <v/>
      </c>
      <c r="I514" s="7">
        <f>'1 prepared data'!H507</f>
        <v/>
      </c>
      <c r="J514" s="7">
        <f>'1 prepared data'!I507</f>
        <v/>
      </c>
      <c r="K514" s="7">
        <f>'1 prepared data'!J507</f>
        <v/>
      </c>
      <c r="L514" s="7">
        <f>'1 prepared data'!K507</f>
        <v/>
      </c>
      <c r="M514" s="7">
        <f>'1 prepared data'!L507</f>
        <v/>
      </c>
      <c r="N514" s="7">
        <f>'1 prepared data'!M507</f>
        <v/>
      </c>
      <c r="O514" s="7">
        <f>'1 prepared data'!N507</f>
        <v/>
      </c>
      <c r="P514" s="7">
        <f>'1 prepared data'!O507</f>
        <v/>
      </c>
      <c r="Q514" s="7">
        <f>'1 prepared data'!P507</f>
        <v/>
      </c>
      <c r="R514" s="7">
        <f>'1 prepared data'!Q507</f>
        <v/>
      </c>
      <c r="S514" s="7">
        <f>'1 prepared data'!R507</f>
        <v/>
      </c>
      <c r="T514" s="7">
        <f>'1 prepared data'!S507</f>
        <v/>
      </c>
      <c r="U514" s="7">
        <f>'1 prepared data'!T507</f>
        <v/>
      </c>
      <c r="V514" s="8">
        <f>$AC$12+D514*$AC$13+E514*$AC$14+F514*$AC$15+G514*$AC$16+H514*$AC$17+I514*$AC$18+J514*$AC$19+K514*$AC$20+L514*$AC$21+M514*$AC$22+N514*$AC$23+O514*$AC$24+P514*$AC$25+Q514*$AC$26+R514*$AC$27+S514*$AC$28+T514*$AC$29+U514*$AC$30</f>
        <v/>
      </c>
      <c r="W514" s="8">
        <f>1/(1+EXP(-V514))</f>
        <v/>
      </c>
      <c r="X514" s="9">
        <f>-IF(C514=1,LN(W514),LN(1-W514))</f>
        <v/>
      </c>
      <c r="Y514" s="10">
        <f>IF(W514&gt;$AC$33,1,0)</f>
        <v/>
      </c>
      <c r="Z514">
        <f>IF(Y514=C514,1,0)</f>
        <v/>
      </c>
    </row>
    <row r="515">
      <c r="A515">
        <f>'1 prepared data'!A508</f>
        <v/>
      </c>
      <c r="B515" s="5">
        <f>'1 prepared data'!U508</f>
        <v/>
      </c>
      <c r="C515">
        <f>'1 prepared data'!B508</f>
        <v/>
      </c>
      <c r="D515" s="7">
        <f>'1 prepared data'!C508</f>
        <v/>
      </c>
      <c r="E515" s="7">
        <f>'1 prepared data'!D508</f>
        <v/>
      </c>
      <c r="F515" s="7">
        <f>'1 prepared data'!E508</f>
        <v/>
      </c>
      <c r="G515" s="7">
        <f>'1 prepared data'!F508</f>
        <v/>
      </c>
      <c r="H515" s="7">
        <f>'1 prepared data'!G508</f>
        <v/>
      </c>
      <c r="I515" s="7">
        <f>'1 prepared data'!H508</f>
        <v/>
      </c>
      <c r="J515" s="7">
        <f>'1 prepared data'!I508</f>
        <v/>
      </c>
      <c r="K515" s="7">
        <f>'1 prepared data'!J508</f>
        <v/>
      </c>
      <c r="L515" s="7">
        <f>'1 prepared data'!K508</f>
        <v/>
      </c>
      <c r="M515" s="7">
        <f>'1 prepared data'!L508</f>
        <v/>
      </c>
      <c r="N515" s="7">
        <f>'1 prepared data'!M508</f>
        <v/>
      </c>
      <c r="O515" s="7">
        <f>'1 prepared data'!N508</f>
        <v/>
      </c>
      <c r="P515" s="7">
        <f>'1 prepared data'!O508</f>
        <v/>
      </c>
      <c r="Q515" s="7">
        <f>'1 prepared data'!P508</f>
        <v/>
      </c>
      <c r="R515" s="7">
        <f>'1 prepared data'!Q508</f>
        <v/>
      </c>
      <c r="S515" s="7">
        <f>'1 prepared data'!R508</f>
        <v/>
      </c>
      <c r="T515" s="7">
        <f>'1 prepared data'!S508</f>
        <v/>
      </c>
      <c r="U515" s="7">
        <f>'1 prepared data'!T508</f>
        <v/>
      </c>
      <c r="V515" s="8">
        <f>$AC$12+D515*$AC$13+E515*$AC$14+F515*$AC$15+G515*$AC$16+H515*$AC$17+I515*$AC$18+J515*$AC$19+K515*$AC$20+L515*$AC$21+M515*$AC$22+N515*$AC$23+O515*$AC$24+P515*$AC$25+Q515*$AC$26+R515*$AC$27+S515*$AC$28+T515*$AC$29+U515*$AC$30</f>
        <v/>
      </c>
      <c r="W515" s="8">
        <f>1/(1+EXP(-V515))</f>
        <v/>
      </c>
      <c r="X515" s="9">
        <f>-IF(C515=1,LN(W515),LN(1-W515))</f>
        <v/>
      </c>
      <c r="Y515" s="10">
        <f>IF(W515&gt;$AC$33,1,0)</f>
        <v/>
      </c>
      <c r="Z515">
        <f>IF(Y515=C515,1,0)</f>
        <v/>
      </c>
    </row>
    <row r="516">
      <c r="A516">
        <f>'1 prepared data'!A509</f>
        <v/>
      </c>
      <c r="B516" s="5">
        <f>'1 prepared data'!U509</f>
        <v/>
      </c>
      <c r="C516">
        <f>'1 prepared data'!B509</f>
        <v/>
      </c>
      <c r="D516" s="7">
        <f>'1 prepared data'!C509</f>
        <v/>
      </c>
      <c r="E516" s="7">
        <f>'1 prepared data'!D509</f>
        <v/>
      </c>
      <c r="F516" s="7">
        <f>'1 prepared data'!E509</f>
        <v/>
      </c>
      <c r="G516" s="7">
        <f>'1 prepared data'!F509</f>
        <v/>
      </c>
      <c r="H516" s="7">
        <f>'1 prepared data'!G509</f>
        <v/>
      </c>
      <c r="I516" s="7">
        <f>'1 prepared data'!H509</f>
        <v/>
      </c>
      <c r="J516" s="7">
        <f>'1 prepared data'!I509</f>
        <v/>
      </c>
      <c r="K516" s="7">
        <f>'1 prepared data'!J509</f>
        <v/>
      </c>
      <c r="L516" s="7">
        <f>'1 prepared data'!K509</f>
        <v/>
      </c>
      <c r="M516" s="7">
        <f>'1 prepared data'!L509</f>
        <v/>
      </c>
      <c r="N516" s="7">
        <f>'1 prepared data'!M509</f>
        <v/>
      </c>
      <c r="O516" s="7">
        <f>'1 prepared data'!N509</f>
        <v/>
      </c>
      <c r="P516" s="7">
        <f>'1 prepared data'!O509</f>
        <v/>
      </c>
      <c r="Q516" s="7">
        <f>'1 prepared data'!P509</f>
        <v/>
      </c>
      <c r="R516" s="7">
        <f>'1 prepared data'!Q509</f>
        <v/>
      </c>
      <c r="S516" s="7">
        <f>'1 prepared data'!R509</f>
        <v/>
      </c>
      <c r="T516" s="7">
        <f>'1 prepared data'!S509</f>
        <v/>
      </c>
      <c r="U516" s="7">
        <f>'1 prepared data'!T509</f>
        <v/>
      </c>
      <c r="V516" s="8">
        <f>$AC$12+D516*$AC$13+E516*$AC$14+F516*$AC$15+G516*$AC$16+H516*$AC$17+I516*$AC$18+J516*$AC$19+K516*$AC$20+L516*$AC$21+M516*$AC$22+N516*$AC$23+O516*$AC$24+P516*$AC$25+Q516*$AC$26+R516*$AC$27+S516*$AC$28+T516*$AC$29+U516*$AC$30</f>
        <v/>
      </c>
      <c r="W516" s="8">
        <f>1/(1+EXP(-V516))</f>
        <v/>
      </c>
      <c r="X516" s="9">
        <f>-IF(C516=1,LN(W516),LN(1-W516))</f>
        <v/>
      </c>
      <c r="Y516" s="10">
        <f>IF(W516&gt;$AC$33,1,0)</f>
        <v/>
      </c>
      <c r="Z516">
        <f>IF(Y516=C516,1,0)</f>
        <v/>
      </c>
    </row>
    <row r="517">
      <c r="A517">
        <f>'1 prepared data'!A510</f>
        <v/>
      </c>
      <c r="B517" s="5">
        <f>'1 prepared data'!U510</f>
        <v/>
      </c>
      <c r="C517">
        <f>'1 prepared data'!B510</f>
        <v/>
      </c>
      <c r="D517" s="7">
        <f>'1 prepared data'!C510</f>
        <v/>
      </c>
      <c r="E517" s="7">
        <f>'1 prepared data'!D510</f>
        <v/>
      </c>
      <c r="F517" s="7">
        <f>'1 prepared data'!E510</f>
        <v/>
      </c>
      <c r="G517" s="7">
        <f>'1 prepared data'!F510</f>
        <v/>
      </c>
      <c r="H517" s="7">
        <f>'1 prepared data'!G510</f>
        <v/>
      </c>
      <c r="I517" s="7">
        <f>'1 prepared data'!H510</f>
        <v/>
      </c>
      <c r="J517" s="7">
        <f>'1 prepared data'!I510</f>
        <v/>
      </c>
      <c r="K517" s="7">
        <f>'1 prepared data'!J510</f>
        <v/>
      </c>
      <c r="L517" s="7">
        <f>'1 prepared data'!K510</f>
        <v/>
      </c>
      <c r="M517" s="7">
        <f>'1 prepared data'!L510</f>
        <v/>
      </c>
      <c r="N517" s="7">
        <f>'1 prepared data'!M510</f>
        <v/>
      </c>
      <c r="O517" s="7">
        <f>'1 prepared data'!N510</f>
        <v/>
      </c>
      <c r="P517" s="7">
        <f>'1 prepared data'!O510</f>
        <v/>
      </c>
      <c r="Q517" s="7">
        <f>'1 prepared data'!P510</f>
        <v/>
      </c>
      <c r="R517" s="7">
        <f>'1 prepared data'!Q510</f>
        <v/>
      </c>
      <c r="S517" s="7">
        <f>'1 prepared data'!R510</f>
        <v/>
      </c>
      <c r="T517" s="7">
        <f>'1 prepared data'!S510</f>
        <v/>
      </c>
      <c r="U517" s="7">
        <f>'1 prepared data'!T510</f>
        <v/>
      </c>
      <c r="V517" s="8">
        <f>$AC$12+D517*$AC$13+E517*$AC$14+F517*$AC$15+G517*$AC$16+H517*$AC$17+I517*$AC$18+J517*$AC$19+K517*$AC$20+L517*$AC$21+M517*$AC$22+N517*$AC$23+O517*$AC$24+P517*$AC$25+Q517*$AC$26+R517*$AC$27+S517*$AC$28+T517*$AC$29+U517*$AC$30</f>
        <v/>
      </c>
      <c r="W517" s="8">
        <f>1/(1+EXP(-V517))</f>
        <v/>
      </c>
      <c r="X517" s="9">
        <f>-IF(C517=1,LN(W517),LN(1-W517))</f>
        <v/>
      </c>
      <c r="Y517" s="10">
        <f>IF(W517&gt;$AC$33,1,0)</f>
        <v/>
      </c>
      <c r="Z517">
        <f>IF(Y517=C517,1,0)</f>
        <v/>
      </c>
    </row>
    <row r="518">
      <c r="A518">
        <f>'1 prepared data'!A511</f>
        <v/>
      </c>
      <c r="B518" s="5">
        <f>'1 prepared data'!U511</f>
        <v/>
      </c>
      <c r="C518">
        <f>'1 prepared data'!B511</f>
        <v/>
      </c>
      <c r="D518" s="7">
        <f>'1 prepared data'!C511</f>
        <v/>
      </c>
      <c r="E518" s="7">
        <f>'1 prepared data'!D511</f>
        <v/>
      </c>
      <c r="F518" s="7">
        <f>'1 prepared data'!E511</f>
        <v/>
      </c>
      <c r="G518" s="7">
        <f>'1 prepared data'!F511</f>
        <v/>
      </c>
      <c r="H518" s="7">
        <f>'1 prepared data'!G511</f>
        <v/>
      </c>
      <c r="I518" s="7">
        <f>'1 prepared data'!H511</f>
        <v/>
      </c>
      <c r="J518" s="7">
        <f>'1 prepared data'!I511</f>
        <v/>
      </c>
      <c r="K518" s="7">
        <f>'1 prepared data'!J511</f>
        <v/>
      </c>
      <c r="L518" s="7">
        <f>'1 prepared data'!K511</f>
        <v/>
      </c>
      <c r="M518" s="7">
        <f>'1 prepared data'!L511</f>
        <v/>
      </c>
      <c r="N518" s="7">
        <f>'1 prepared data'!M511</f>
        <v/>
      </c>
      <c r="O518" s="7">
        <f>'1 prepared data'!N511</f>
        <v/>
      </c>
      <c r="P518" s="7">
        <f>'1 prepared data'!O511</f>
        <v/>
      </c>
      <c r="Q518" s="7">
        <f>'1 prepared data'!P511</f>
        <v/>
      </c>
      <c r="R518" s="7">
        <f>'1 prepared data'!Q511</f>
        <v/>
      </c>
      <c r="S518" s="7">
        <f>'1 prepared data'!R511</f>
        <v/>
      </c>
      <c r="T518" s="7">
        <f>'1 prepared data'!S511</f>
        <v/>
      </c>
      <c r="U518" s="7">
        <f>'1 prepared data'!T511</f>
        <v/>
      </c>
      <c r="V518" s="8">
        <f>$AC$12+D518*$AC$13+E518*$AC$14+F518*$AC$15+G518*$AC$16+H518*$AC$17+I518*$AC$18+J518*$AC$19+K518*$AC$20+L518*$AC$21+M518*$AC$22+N518*$AC$23+O518*$AC$24+P518*$AC$25+Q518*$AC$26+R518*$AC$27+S518*$AC$28+T518*$AC$29+U518*$AC$30</f>
        <v/>
      </c>
      <c r="W518" s="8">
        <f>1/(1+EXP(-V518))</f>
        <v/>
      </c>
      <c r="X518" s="9">
        <f>-IF(C518=1,LN(W518),LN(1-W518))</f>
        <v/>
      </c>
      <c r="Y518" s="10">
        <f>IF(W518&gt;$AC$33,1,0)</f>
        <v/>
      </c>
      <c r="Z518">
        <f>IF(Y518=C518,1,0)</f>
        <v/>
      </c>
    </row>
    <row r="519">
      <c r="A519">
        <f>'1 prepared data'!A512</f>
        <v/>
      </c>
      <c r="B519" s="5">
        <f>'1 prepared data'!U512</f>
        <v/>
      </c>
      <c r="C519">
        <f>'1 prepared data'!B512</f>
        <v/>
      </c>
      <c r="D519" s="7">
        <f>'1 prepared data'!C512</f>
        <v/>
      </c>
      <c r="E519" s="7">
        <f>'1 prepared data'!D512</f>
        <v/>
      </c>
      <c r="F519" s="7">
        <f>'1 prepared data'!E512</f>
        <v/>
      </c>
      <c r="G519" s="7">
        <f>'1 prepared data'!F512</f>
        <v/>
      </c>
      <c r="H519" s="7">
        <f>'1 prepared data'!G512</f>
        <v/>
      </c>
      <c r="I519" s="7">
        <f>'1 prepared data'!H512</f>
        <v/>
      </c>
      <c r="J519" s="7">
        <f>'1 prepared data'!I512</f>
        <v/>
      </c>
      <c r="K519" s="7">
        <f>'1 prepared data'!J512</f>
        <v/>
      </c>
      <c r="L519" s="7">
        <f>'1 prepared data'!K512</f>
        <v/>
      </c>
      <c r="M519" s="7">
        <f>'1 prepared data'!L512</f>
        <v/>
      </c>
      <c r="N519" s="7">
        <f>'1 prepared data'!M512</f>
        <v/>
      </c>
      <c r="O519" s="7">
        <f>'1 prepared data'!N512</f>
        <v/>
      </c>
      <c r="P519" s="7">
        <f>'1 prepared data'!O512</f>
        <v/>
      </c>
      <c r="Q519" s="7">
        <f>'1 prepared data'!P512</f>
        <v/>
      </c>
      <c r="R519" s="7">
        <f>'1 prepared data'!Q512</f>
        <v/>
      </c>
      <c r="S519" s="7">
        <f>'1 prepared data'!R512</f>
        <v/>
      </c>
      <c r="T519" s="7">
        <f>'1 prepared data'!S512</f>
        <v/>
      </c>
      <c r="U519" s="7">
        <f>'1 prepared data'!T512</f>
        <v/>
      </c>
      <c r="V519" s="8">
        <f>$AC$12+D519*$AC$13+E519*$AC$14+F519*$AC$15+G519*$AC$16+H519*$AC$17+I519*$AC$18+J519*$AC$19+K519*$AC$20+L519*$AC$21+M519*$AC$22+N519*$AC$23+O519*$AC$24+P519*$AC$25+Q519*$AC$26+R519*$AC$27+S519*$AC$28+T519*$AC$29+U519*$AC$30</f>
        <v/>
      </c>
      <c r="W519" s="8">
        <f>1/(1+EXP(-V519))</f>
        <v/>
      </c>
      <c r="X519" s="9">
        <f>-IF(C519=1,LN(W519),LN(1-W519))</f>
        <v/>
      </c>
      <c r="Y519" s="10">
        <f>IF(W519&gt;$AC$33,1,0)</f>
        <v/>
      </c>
      <c r="Z519">
        <f>IF(Y519=C519,1,0)</f>
        <v/>
      </c>
    </row>
    <row r="520">
      <c r="A520">
        <f>'1 prepared data'!A513</f>
        <v/>
      </c>
      <c r="B520" s="5">
        <f>'1 prepared data'!U513</f>
        <v/>
      </c>
      <c r="C520">
        <f>'1 prepared data'!B513</f>
        <v/>
      </c>
      <c r="D520" s="7">
        <f>'1 prepared data'!C513</f>
        <v/>
      </c>
      <c r="E520" s="7">
        <f>'1 prepared data'!D513</f>
        <v/>
      </c>
      <c r="F520" s="7">
        <f>'1 prepared data'!E513</f>
        <v/>
      </c>
      <c r="G520" s="7">
        <f>'1 prepared data'!F513</f>
        <v/>
      </c>
      <c r="H520" s="7">
        <f>'1 prepared data'!G513</f>
        <v/>
      </c>
      <c r="I520" s="7">
        <f>'1 prepared data'!H513</f>
        <v/>
      </c>
      <c r="J520" s="7">
        <f>'1 prepared data'!I513</f>
        <v/>
      </c>
      <c r="K520" s="7">
        <f>'1 prepared data'!J513</f>
        <v/>
      </c>
      <c r="L520" s="7">
        <f>'1 prepared data'!K513</f>
        <v/>
      </c>
      <c r="M520" s="7">
        <f>'1 prepared data'!L513</f>
        <v/>
      </c>
      <c r="N520" s="7">
        <f>'1 prepared data'!M513</f>
        <v/>
      </c>
      <c r="O520" s="7">
        <f>'1 prepared data'!N513</f>
        <v/>
      </c>
      <c r="P520" s="7">
        <f>'1 prepared data'!O513</f>
        <v/>
      </c>
      <c r="Q520" s="7">
        <f>'1 prepared data'!P513</f>
        <v/>
      </c>
      <c r="R520" s="7">
        <f>'1 prepared data'!Q513</f>
        <v/>
      </c>
      <c r="S520" s="7">
        <f>'1 prepared data'!R513</f>
        <v/>
      </c>
      <c r="T520" s="7">
        <f>'1 prepared data'!S513</f>
        <v/>
      </c>
      <c r="U520" s="7">
        <f>'1 prepared data'!T513</f>
        <v/>
      </c>
      <c r="V520" s="8">
        <f>$AC$12+D520*$AC$13+E520*$AC$14+F520*$AC$15+G520*$AC$16+H520*$AC$17+I520*$AC$18+J520*$AC$19+K520*$AC$20+L520*$AC$21+M520*$AC$22+N520*$AC$23+O520*$AC$24+P520*$AC$25+Q520*$AC$26+R520*$AC$27+S520*$AC$28+T520*$AC$29+U520*$AC$30</f>
        <v/>
      </c>
      <c r="W520" s="8">
        <f>1/(1+EXP(-V520))</f>
        <v/>
      </c>
      <c r="X520" s="9">
        <f>-IF(C520=1,LN(W520),LN(1-W520))</f>
        <v/>
      </c>
      <c r="Y520" s="10">
        <f>IF(W520&gt;$AC$33,1,0)</f>
        <v/>
      </c>
      <c r="Z520">
        <f>IF(Y520=C520,1,0)</f>
        <v/>
      </c>
    </row>
    <row r="521">
      <c r="A521">
        <f>'1 prepared data'!A514</f>
        <v/>
      </c>
      <c r="B521" s="5">
        <f>'1 prepared data'!U514</f>
        <v/>
      </c>
      <c r="C521">
        <f>'1 prepared data'!B514</f>
        <v/>
      </c>
      <c r="D521" s="7">
        <f>'1 prepared data'!C514</f>
        <v/>
      </c>
      <c r="E521" s="7">
        <f>'1 prepared data'!D514</f>
        <v/>
      </c>
      <c r="F521" s="7">
        <f>'1 prepared data'!E514</f>
        <v/>
      </c>
      <c r="G521" s="7">
        <f>'1 prepared data'!F514</f>
        <v/>
      </c>
      <c r="H521" s="7">
        <f>'1 prepared data'!G514</f>
        <v/>
      </c>
      <c r="I521" s="7">
        <f>'1 prepared data'!H514</f>
        <v/>
      </c>
      <c r="J521" s="7">
        <f>'1 prepared data'!I514</f>
        <v/>
      </c>
      <c r="K521" s="7">
        <f>'1 prepared data'!J514</f>
        <v/>
      </c>
      <c r="L521" s="7">
        <f>'1 prepared data'!K514</f>
        <v/>
      </c>
      <c r="M521" s="7">
        <f>'1 prepared data'!L514</f>
        <v/>
      </c>
      <c r="N521" s="7">
        <f>'1 prepared data'!M514</f>
        <v/>
      </c>
      <c r="O521" s="7">
        <f>'1 prepared data'!N514</f>
        <v/>
      </c>
      <c r="P521" s="7">
        <f>'1 prepared data'!O514</f>
        <v/>
      </c>
      <c r="Q521" s="7">
        <f>'1 prepared data'!P514</f>
        <v/>
      </c>
      <c r="R521" s="7">
        <f>'1 prepared data'!Q514</f>
        <v/>
      </c>
      <c r="S521" s="7">
        <f>'1 prepared data'!R514</f>
        <v/>
      </c>
      <c r="T521" s="7">
        <f>'1 prepared data'!S514</f>
        <v/>
      </c>
      <c r="U521" s="7">
        <f>'1 prepared data'!T514</f>
        <v/>
      </c>
      <c r="V521" s="8">
        <f>$AC$12+D521*$AC$13+E521*$AC$14+F521*$AC$15+G521*$AC$16+H521*$AC$17+I521*$AC$18+J521*$AC$19+K521*$AC$20+L521*$AC$21+M521*$AC$22+N521*$AC$23+O521*$AC$24+P521*$AC$25+Q521*$AC$26+R521*$AC$27+S521*$AC$28+T521*$AC$29+U521*$AC$30</f>
        <v/>
      </c>
      <c r="W521" s="8">
        <f>1/(1+EXP(-V521))</f>
        <v/>
      </c>
      <c r="X521" s="9">
        <f>-IF(C521=1,LN(W521),LN(1-W521))</f>
        <v/>
      </c>
      <c r="Y521" s="10">
        <f>IF(W521&gt;$AC$33,1,0)</f>
        <v/>
      </c>
      <c r="Z521">
        <f>IF(Y521=C521,1,0)</f>
        <v/>
      </c>
    </row>
    <row r="522">
      <c r="A522">
        <f>'1 prepared data'!A515</f>
        <v/>
      </c>
      <c r="B522" s="5">
        <f>'1 prepared data'!U515</f>
        <v/>
      </c>
      <c r="C522">
        <f>'1 prepared data'!B515</f>
        <v/>
      </c>
      <c r="D522" s="7">
        <f>'1 prepared data'!C515</f>
        <v/>
      </c>
      <c r="E522" s="7">
        <f>'1 prepared data'!D515</f>
        <v/>
      </c>
      <c r="F522" s="7">
        <f>'1 prepared data'!E515</f>
        <v/>
      </c>
      <c r="G522" s="7">
        <f>'1 prepared data'!F515</f>
        <v/>
      </c>
      <c r="H522" s="7">
        <f>'1 prepared data'!G515</f>
        <v/>
      </c>
      <c r="I522" s="7">
        <f>'1 prepared data'!H515</f>
        <v/>
      </c>
      <c r="J522" s="7">
        <f>'1 prepared data'!I515</f>
        <v/>
      </c>
      <c r="K522" s="7">
        <f>'1 prepared data'!J515</f>
        <v/>
      </c>
      <c r="L522" s="7">
        <f>'1 prepared data'!K515</f>
        <v/>
      </c>
      <c r="M522" s="7">
        <f>'1 prepared data'!L515</f>
        <v/>
      </c>
      <c r="N522" s="7">
        <f>'1 prepared data'!M515</f>
        <v/>
      </c>
      <c r="O522" s="7">
        <f>'1 prepared data'!N515</f>
        <v/>
      </c>
      <c r="P522" s="7">
        <f>'1 prepared data'!O515</f>
        <v/>
      </c>
      <c r="Q522" s="7">
        <f>'1 prepared data'!P515</f>
        <v/>
      </c>
      <c r="R522" s="7">
        <f>'1 prepared data'!Q515</f>
        <v/>
      </c>
      <c r="S522" s="7">
        <f>'1 prepared data'!R515</f>
        <v/>
      </c>
      <c r="T522" s="7">
        <f>'1 prepared data'!S515</f>
        <v/>
      </c>
      <c r="U522" s="7">
        <f>'1 prepared data'!T515</f>
        <v/>
      </c>
      <c r="V522" s="8">
        <f>$AC$12+D522*$AC$13+E522*$AC$14+F522*$AC$15+G522*$AC$16+H522*$AC$17+I522*$AC$18+J522*$AC$19+K522*$AC$20+L522*$AC$21+M522*$AC$22+N522*$AC$23+O522*$AC$24+P522*$AC$25+Q522*$AC$26+R522*$AC$27+S522*$AC$28+T522*$AC$29+U522*$AC$30</f>
        <v/>
      </c>
      <c r="W522" s="8">
        <f>1/(1+EXP(-V522))</f>
        <v/>
      </c>
      <c r="X522" s="9">
        <f>-IF(C522=1,LN(W522),LN(1-W522))</f>
        <v/>
      </c>
      <c r="Y522" s="10">
        <f>IF(W522&gt;$AC$33,1,0)</f>
        <v/>
      </c>
      <c r="Z522">
        <f>IF(Y522=C522,1,0)</f>
        <v/>
      </c>
    </row>
    <row r="523">
      <c r="A523">
        <f>'1 prepared data'!A516</f>
        <v/>
      </c>
      <c r="B523" s="5">
        <f>'1 prepared data'!U516</f>
        <v/>
      </c>
      <c r="C523">
        <f>'1 prepared data'!B516</f>
        <v/>
      </c>
      <c r="D523" s="7">
        <f>'1 prepared data'!C516</f>
        <v/>
      </c>
      <c r="E523" s="7">
        <f>'1 prepared data'!D516</f>
        <v/>
      </c>
      <c r="F523" s="7">
        <f>'1 prepared data'!E516</f>
        <v/>
      </c>
      <c r="G523" s="7">
        <f>'1 prepared data'!F516</f>
        <v/>
      </c>
      <c r="H523" s="7">
        <f>'1 prepared data'!G516</f>
        <v/>
      </c>
      <c r="I523" s="7">
        <f>'1 prepared data'!H516</f>
        <v/>
      </c>
      <c r="J523" s="7">
        <f>'1 prepared data'!I516</f>
        <v/>
      </c>
      <c r="K523" s="7">
        <f>'1 prepared data'!J516</f>
        <v/>
      </c>
      <c r="L523" s="7">
        <f>'1 prepared data'!K516</f>
        <v/>
      </c>
      <c r="M523" s="7">
        <f>'1 prepared data'!L516</f>
        <v/>
      </c>
      <c r="N523" s="7">
        <f>'1 prepared data'!M516</f>
        <v/>
      </c>
      <c r="O523" s="7">
        <f>'1 prepared data'!N516</f>
        <v/>
      </c>
      <c r="P523" s="7">
        <f>'1 prepared data'!O516</f>
        <v/>
      </c>
      <c r="Q523" s="7">
        <f>'1 prepared data'!P516</f>
        <v/>
      </c>
      <c r="R523" s="7">
        <f>'1 prepared data'!Q516</f>
        <v/>
      </c>
      <c r="S523" s="7">
        <f>'1 prepared data'!R516</f>
        <v/>
      </c>
      <c r="T523" s="7">
        <f>'1 prepared data'!S516</f>
        <v/>
      </c>
      <c r="U523" s="7">
        <f>'1 prepared data'!T516</f>
        <v/>
      </c>
      <c r="V523" s="8">
        <f>$AC$12+D523*$AC$13+E523*$AC$14+F523*$AC$15+G523*$AC$16+H523*$AC$17+I523*$AC$18+J523*$AC$19+K523*$AC$20+L523*$AC$21+M523*$AC$22+N523*$AC$23+O523*$AC$24+P523*$AC$25+Q523*$AC$26+R523*$AC$27+S523*$AC$28+T523*$AC$29+U523*$AC$30</f>
        <v/>
      </c>
      <c r="W523" s="8">
        <f>1/(1+EXP(-V523))</f>
        <v/>
      </c>
      <c r="X523" s="9">
        <f>-IF(C523=1,LN(W523),LN(1-W523))</f>
        <v/>
      </c>
      <c r="Y523" s="10">
        <f>IF(W523&gt;$AC$33,1,0)</f>
        <v/>
      </c>
      <c r="Z523">
        <f>IF(Y523=C523,1,0)</f>
        <v/>
      </c>
    </row>
    <row r="524">
      <c r="A524">
        <f>'1 prepared data'!A517</f>
        <v/>
      </c>
      <c r="B524" s="5">
        <f>'1 prepared data'!U517</f>
        <v/>
      </c>
      <c r="C524">
        <f>'1 prepared data'!B517</f>
        <v/>
      </c>
      <c r="D524" s="7">
        <f>'1 prepared data'!C517</f>
        <v/>
      </c>
      <c r="E524" s="7">
        <f>'1 prepared data'!D517</f>
        <v/>
      </c>
      <c r="F524" s="7">
        <f>'1 prepared data'!E517</f>
        <v/>
      </c>
      <c r="G524" s="7">
        <f>'1 prepared data'!F517</f>
        <v/>
      </c>
      <c r="H524" s="7">
        <f>'1 prepared data'!G517</f>
        <v/>
      </c>
      <c r="I524" s="7">
        <f>'1 prepared data'!H517</f>
        <v/>
      </c>
      <c r="J524" s="7">
        <f>'1 prepared data'!I517</f>
        <v/>
      </c>
      <c r="K524" s="7">
        <f>'1 prepared data'!J517</f>
        <v/>
      </c>
      <c r="L524" s="7">
        <f>'1 prepared data'!K517</f>
        <v/>
      </c>
      <c r="M524" s="7">
        <f>'1 prepared data'!L517</f>
        <v/>
      </c>
      <c r="N524" s="7">
        <f>'1 prepared data'!M517</f>
        <v/>
      </c>
      <c r="O524" s="7">
        <f>'1 prepared data'!N517</f>
        <v/>
      </c>
      <c r="P524" s="7">
        <f>'1 prepared data'!O517</f>
        <v/>
      </c>
      <c r="Q524" s="7">
        <f>'1 prepared data'!P517</f>
        <v/>
      </c>
      <c r="R524" s="7">
        <f>'1 prepared data'!Q517</f>
        <v/>
      </c>
      <c r="S524" s="7">
        <f>'1 prepared data'!R517</f>
        <v/>
      </c>
      <c r="T524" s="7">
        <f>'1 prepared data'!S517</f>
        <v/>
      </c>
      <c r="U524" s="7">
        <f>'1 prepared data'!T517</f>
        <v/>
      </c>
      <c r="V524" s="8">
        <f>$AC$12+D524*$AC$13+E524*$AC$14+F524*$AC$15+G524*$AC$16+H524*$AC$17+I524*$AC$18+J524*$AC$19+K524*$AC$20+L524*$AC$21+M524*$AC$22+N524*$AC$23+O524*$AC$24+P524*$AC$25+Q524*$AC$26+R524*$AC$27+S524*$AC$28+T524*$AC$29+U524*$AC$30</f>
        <v/>
      </c>
      <c r="W524" s="8">
        <f>1/(1+EXP(-V524))</f>
        <v/>
      </c>
      <c r="X524" s="9">
        <f>-IF(C524=1,LN(W524),LN(1-W524))</f>
        <v/>
      </c>
      <c r="Y524" s="10">
        <f>IF(W524&gt;$AC$33,1,0)</f>
        <v/>
      </c>
      <c r="Z524">
        <f>IF(Y524=C524,1,0)</f>
        <v/>
      </c>
    </row>
    <row r="525">
      <c r="A525">
        <f>'1 prepared data'!A518</f>
        <v/>
      </c>
      <c r="B525" s="5">
        <f>'1 prepared data'!U518</f>
        <v/>
      </c>
      <c r="C525">
        <f>'1 prepared data'!B518</f>
        <v/>
      </c>
      <c r="D525" s="7">
        <f>'1 prepared data'!C518</f>
        <v/>
      </c>
      <c r="E525" s="7">
        <f>'1 prepared data'!D518</f>
        <v/>
      </c>
      <c r="F525" s="7">
        <f>'1 prepared data'!E518</f>
        <v/>
      </c>
      <c r="G525" s="7">
        <f>'1 prepared data'!F518</f>
        <v/>
      </c>
      <c r="H525" s="7">
        <f>'1 prepared data'!G518</f>
        <v/>
      </c>
      <c r="I525" s="7">
        <f>'1 prepared data'!H518</f>
        <v/>
      </c>
      <c r="J525" s="7">
        <f>'1 prepared data'!I518</f>
        <v/>
      </c>
      <c r="K525" s="7">
        <f>'1 prepared data'!J518</f>
        <v/>
      </c>
      <c r="L525" s="7">
        <f>'1 prepared data'!K518</f>
        <v/>
      </c>
      <c r="M525" s="7">
        <f>'1 prepared data'!L518</f>
        <v/>
      </c>
      <c r="N525" s="7">
        <f>'1 prepared data'!M518</f>
        <v/>
      </c>
      <c r="O525" s="7">
        <f>'1 prepared data'!N518</f>
        <v/>
      </c>
      <c r="P525" s="7">
        <f>'1 prepared data'!O518</f>
        <v/>
      </c>
      <c r="Q525" s="7">
        <f>'1 prepared data'!P518</f>
        <v/>
      </c>
      <c r="R525" s="7">
        <f>'1 prepared data'!Q518</f>
        <v/>
      </c>
      <c r="S525" s="7">
        <f>'1 prepared data'!R518</f>
        <v/>
      </c>
      <c r="T525" s="7">
        <f>'1 prepared data'!S518</f>
        <v/>
      </c>
      <c r="U525" s="7">
        <f>'1 prepared data'!T518</f>
        <v/>
      </c>
      <c r="V525" s="8">
        <f>$AC$12+D525*$AC$13+E525*$AC$14+F525*$AC$15+G525*$AC$16+H525*$AC$17+I525*$AC$18+J525*$AC$19+K525*$AC$20+L525*$AC$21+M525*$AC$22+N525*$AC$23+O525*$AC$24+P525*$AC$25+Q525*$AC$26+R525*$AC$27+S525*$AC$28+T525*$AC$29+U525*$AC$30</f>
        <v/>
      </c>
      <c r="W525" s="8">
        <f>1/(1+EXP(-V525))</f>
        <v/>
      </c>
      <c r="X525" s="9">
        <f>-IF(C525=1,LN(W525),LN(1-W525))</f>
        <v/>
      </c>
      <c r="Y525" s="10">
        <f>IF(W525&gt;$AC$33,1,0)</f>
        <v/>
      </c>
      <c r="Z525">
        <f>IF(Y525=C525,1,0)</f>
        <v/>
      </c>
    </row>
    <row r="526">
      <c r="A526">
        <f>'1 prepared data'!A519</f>
        <v/>
      </c>
      <c r="B526" s="5">
        <f>'1 prepared data'!U519</f>
        <v/>
      </c>
      <c r="C526">
        <f>'1 prepared data'!B519</f>
        <v/>
      </c>
      <c r="D526" s="7">
        <f>'1 prepared data'!C519</f>
        <v/>
      </c>
      <c r="E526" s="7">
        <f>'1 prepared data'!D519</f>
        <v/>
      </c>
      <c r="F526" s="7">
        <f>'1 prepared data'!E519</f>
        <v/>
      </c>
      <c r="G526" s="7">
        <f>'1 prepared data'!F519</f>
        <v/>
      </c>
      <c r="H526" s="7">
        <f>'1 prepared data'!G519</f>
        <v/>
      </c>
      <c r="I526" s="7">
        <f>'1 prepared data'!H519</f>
        <v/>
      </c>
      <c r="J526" s="7">
        <f>'1 prepared data'!I519</f>
        <v/>
      </c>
      <c r="K526" s="7">
        <f>'1 prepared data'!J519</f>
        <v/>
      </c>
      <c r="L526" s="7">
        <f>'1 prepared data'!K519</f>
        <v/>
      </c>
      <c r="M526" s="7">
        <f>'1 prepared data'!L519</f>
        <v/>
      </c>
      <c r="N526" s="7">
        <f>'1 prepared data'!M519</f>
        <v/>
      </c>
      <c r="O526" s="7">
        <f>'1 prepared data'!N519</f>
        <v/>
      </c>
      <c r="P526" s="7">
        <f>'1 prepared data'!O519</f>
        <v/>
      </c>
      <c r="Q526" s="7">
        <f>'1 prepared data'!P519</f>
        <v/>
      </c>
      <c r="R526" s="7">
        <f>'1 prepared data'!Q519</f>
        <v/>
      </c>
      <c r="S526" s="7">
        <f>'1 prepared data'!R519</f>
        <v/>
      </c>
      <c r="T526" s="7">
        <f>'1 prepared data'!S519</f>
        <v/>
      </c>
      <c r="U526" s="7">
        <f>'1 prepared data'!T519</f>
        <v/>
      </c>
      <c r="V526" s="8">
        <f>$AC$12+D526*$AC$13+E526*$AC$14+F526*$AC$15+G526*$AC$16+H526*$AC$17+I526*$AC$18+J526*$AC$19+K526*$AC$20+L526*$AC$21+M526*$AC$22+N526*$AC$23+O526*$AC$24+P526*$AC$25+Q526*$AC$26+R526*$AC$27+S526*$AC$28+T526*$AC$29+U526*$AC$30</f>
        <v/>
      </c>
      <c r="W526" s="8">
        <f>1/(1+EXP(-V526))</f>
        <v/>
      </c>
      <c r="X526" s="9">
        <f>-IF(C526=1,LN(W526),LN(1-W526))</f>
        <v/>
      </c>
      <c r="Y526" s="10">
        <f>IF(W526&gt;$AC$33,1,0)</f>
        <v/>
      </c>
      <c r="Z526">
        <f>IF(Y526=C526,1,0)</f>
        <v/>
      </c>
    </row>
    <row r="527">
      <c r="A527">
        <f>'1 prepared data'!A520</f>
        <v/>
      </c>
      <c r="B527" s="5">
        <f>'1 prepared data'!U520</f>
        <v/>
      </c>
      <c r="C527">
        <f>'1 prepared data'!B520</f>
        <v/>
      </c>
      <c r="D527" s="7">
        <f>'1 prepared data'!C520</f>
        <v/>
      </c>
      <c r="E527" s="7">
        <f>'1 prepared data'!D520</f>
        <v/>
      </c>
      <c r="F527" s="7">
        <f>'1 prepared data'!E520</f>
        <v/>
      </c>
      <c r="G527" s="7">
        <f>'1 prepared data'!F520</f>
        <v/>
      </c>
      <c r="H527" s="7">
        <f>'1 prepared data'!G520</f>
        <v/>
      </c>
      <c r="I527" s="7">
        <f>'1 prepared data'!H520</f>
        <v/>
      </c>
      <c r="J527" s="7">
        <f>'1 prepared data'!I520</f>
        <v/>
      </c>
      <c r="K527" s="7">
        <f>'1 prepared data'!J520</f>
        <v/>
      </c>
      <c r="L527" s="7">
        <f>'1 prepared data'!K520</f>
        <v/>
      </c>
      <c r="M527" s="7">
        <f>'1 prepared data'!L520</f>
        <v/>
      </c>
      <c r="N527" s="7">
        <f>'1 prepared data'!M520</f>
        <v/>
      </c>
      <c r="O527" s="7">
        <f>'1 prepared data'!N520</f>
        <v/>
      </c>
      <c r="P527" s="7">
        <f>'1 prepared data'!O520</f>
        <v/>
      </c>
      <c r="Q527" s="7">
        <f>'1 prepared data'!P520</f>
        <v/>
      </c>
      <c r="R527" s="7">
        <f>'1 prepared data'!Q520</f>
        <v/>
      </c>
      <c r="S527" s="7">
        <f>'1 prepared data'!R520</f>
        <v/>
      </c>
      <c r="T527" s="7">
        <f>'1 prepared data'!S520</f>
        <v/>
      </c>
      <c r="U527" s="7">
        <f>'1 prepared data'!T520</f>
        <v/>
      </c>
      <c r="V527" s="8">
        <f>$AC$12+D527*$AC$13+E527*$AC$14+F527*$AC$15+G527*$AC$16+H527*$AC$17+I527*$AC$18+J527*$AC$19+K527*$AC$20+L527*$AC$21+M527*$AC$22+N527*$AC$23+O527*$AC$24+P527*$AC$25+Q527*$AC$26+R527*$AC$27+S527*$AC$28+T527*$AC$29+U527*$AC$30</f>
        <v/>
      </c>
      <c r="W527" s="8">
        <f>1/(1+EXP(-V527))</f>
        <v/>
      </c>
      <c r="X527" s="9">
        <f>-IF(C527=1,LN(W527),LN(1-W527))</f>
        <v/>
      </c>
      <c r="Y527" s="10">
        <f>IF(W527&gt;$AC$33,1,0)</f>
        <v/>
      </c>
      <c r="Z527">
        <f>IF(Y527=C527,1,0)</f>
        <v/>
      </c>
    </row>
    <row r="528">
      <c r="A528">
        <f>'1 prepared data'!A521</f>
        <v/>
      </c>
      <c r="B528" s="5">
        <f>'1 prepared data'!U521</f>
        <v/>
      </c>
      <c r="C528">
        <f>'1 prepared data'!B521</f>
        <v/>
      </c>
      <c r="D528" s="7">
        <f>'1 prepared data'!C521</f>
        <v/>
      </c>
      <c r="E528" s="7">
        <f>'1 prepared data'!D521</f>
        <v/>
      </c>
      <c r="F528" s="7">
        <f>'1 prepared data'!E521</f>
        <v/>
      </c>
      <c r="G528" s="7">
        <f>'1 prepared data'!F521</f>
        <v/>
      </c>
      <c r="H528" s="7">
        <f>'1 prepared data'!G521</f>
        <v/>
      </c>
      <c r="I528" s="7">
        <f>'1 prepared data'!H521</f>
        <v/>
      </c>
      <c r="J528" s="7">
        <f>'1 prepared data'!I521</f>
        <v/>
      </c>
      <c r="K528" s="7">
        <f>'1 prepared data'!J521</f>
        <v/>
      </c>
      <c r="L528" s="7">
        <f>'1 prepared data'!K521</f>
        <v/>
      </c>
      <c r="M528" s="7">
        <f>'1 prepared data'!L521</f>
        <v/>
      </c>
      <c r="N528" s="7">
        <f>'1 prepared data'!M521</f>
        <v/>
      </c>
      <c r="O528" s="7">
        <f>'1 prepared data'!N521</f>
        <v/>
      </c>
      <c r="P528" s="7">
        <f>'1 prepared data'!O521</f>
        <v/>
      </c>
      <c r="Q528" s="7">
        <f>'1 prepared data'!P521</f>
        <v/>
      </c>
      <c r="R528" s="7">
        <f>'1 prepared data'!Q521</f>
        <v/>
      </c>
      <c r="S528" s="7">
        <f>'1 prepared data'!R521</f>
        <v/>
      </c>
      <c r="T528" s="7">
        <f>'1 prepared data'!S521</f>
        <v/>
      </c>
      <c r="U528" s="7">
        <f>'1 prepared data'!T521</f>
        <v/>
      </c>
      <c r="V528" s="8">
        <f>$AC$12+D528*$AC$13+E528*$AC$14+F528*$AC$15+G528*$AC$16+H528*$AC$17+I528*$AC$18+J528*$AC$19+K528*$AC$20+L528*$AC$21+M528*$AC$22+N528*$AC$23+O528*$AC$24+P528*$AC$25+Q528*$AC$26+R528*$AC$27+S528*$AC$28+T528*$AC$29+U528*$AC$30</f>
        <v/>
      </c>
      <c r="W528" s="8">
        <f>1/(1+EXP(-V528))</f>
        <v/>
      </c>
      <c r="X528" s="9">
        <f>-IF(C528=1,LN(W528),LN(1-W528))</f>
        <v/>
      </c>
      <c r="Y528" s="10">
        <f>IF(W528&gt;$AC$33,1,0)</f>
        <v/>
      </c>
      <c r="Z528">
        <f>IF(Y528=C528,1,0)</f>
        <v/>
      </c>
    </row>
    <row r="529">
      <c r="A529">
        <f>'1 prepared data'!A522</f>
        <v/>
      </c>
      <c r="B529" s="5">
        <f>'1 prepared data'!U522</f>
        <v/>
      </c>
      <c r="C529">
        <f>'1 prepared data'!B522</f>
        <v/>
      </c>
      <c r="D529" s="7">
        <f>'1 prepared data'!C522</f>
        <v/>
      </c>
      <c r="E529" s="7">
        <f>'1 prepared data'!D522</f>
        <v/>
      </c>
      <c r="F529" s="7">
        <f>'1 prepared data'!E522</f>
        <v/>
      </c>
      <c r="G529" s="7">
        <f>'1 prepared data'!F522</f>
        <v/>
      </c>
      <c r="H529" s="7">
        <f>'1 prepared data'!G522</f>
        <v/>
      </c>
      <c r="I529" s="7">
        <f>'1 prepared data'!H522</f>
        <v/>
      </c>
      <c r="J529" s="7">
        <f>'1 prepared data'!I522</f>
        <v/>
      </c>
      <c r="K529" s="7">
        <f>'1 prepared data'!J522</f>
        <v/>
      </c>
      <c r="L529" s="7">
        <f>'1 prepared data'!K522</f>
        <v/>
      </c>
      <c r="M529" s="7">
        <f>'1 prepared data'!L522</f>
        <v/>
      </c>
      <c r="N529" s="7">
        <f>'1 prepared data'!M522</f>
        <v/>
      </c>
      <c r="O529" s="7">
        <f>'1 prepared data'!N522</f>
        <v/>
      </c>
      <c r="P529" s="7">
        <f>'1 prepared data'!O522</f>
        <v/>
      </c>
      <c r="Q529" s="7">
        <f>'1 prepared data'!P522</f>
        <v/>
      </c>
      <c r="R529" s="7">
        <f>'1 prepared data'!Q522</f>
        <v/>
      </c>
      <c r="S529" s="7">
        <f>'1 prepared data'!R522</f>
        <v/>
      </c>
      <c r="T529" s="7">
        <f>'1 prepared data'!S522</f>
        <v/>
      </c>
      <c r="U529" s="7">
        <f>'1 prepared data'!T522</f>
        <v/>
      </c>
      <c r="V529" s="8">
        <f>$AC$12+D529*$AC$13+E529*$AC$14+F529*$AC$15+G529*$AC$16+H529*$AC$17+I529*$AC$18+J529*$AC$19+K529*$AC$20+L529*$AC$21+M529*$AC$22+N529*$AC$23+O529*$AC$24+P529*$AC$25+Q529*$AC$26+R529*$AC$27+S529*$AC$28+T529*$AC$29+U529*$AC$30</f>
        <v/>
      </c>
      <c r="W529" s="8">
        <f>1/(1+EXP(-V529))</f>
        <v/>
      </c>
      <c r="X529" s="9">
        <f>-IF(C529=1,LN(W529),LN(1-W529))</f>
        <v/>
      </c>
      <c r="Y529" s="10">
        <f>IF(W529&gt;$AC$33,1,0)</f>
        <v/>
      </c>
      <c r="Z529">
        <f>IF(Y529=C529,1,0)</f>
        <v/>
      </c>
    </row>
    <row r="530">
      <c r="A530">
        <f>'1 prepared data'!A523</f>
        <v/>
      </c>
      <c r="B530" s="5">
        <f>'1 prepared data'!U523</f>
        <v/>
      </c>
      <c r="C530">
        <f>'1 prepared data'!B523</f>
        <v/>
      </c>
      <c r="D530" s="7">
        <f>'1 prepared data'!C523</f>
        <v/>
      </c>
      <c r="E530" s="7">
        <f>'1 prepared data'!D523</f>
        <v/>
      </c>
      <c r="F530" s="7">
        <f>'1 prepared data'!E523</f>
        <v/>
      </c>
      <c r="G530" s="7">
        <f>'1 prepared data'!F523</f>
        <v/>
      </c>
      <c r="H530" s="7">
        <f>'1 prepared data'!G523</f>
        <v/>
      </c>
      <c r="I530" s="7">
        <f>'1 prepared data'!H523</f>
        <v/>
      </c>
      <c r="J530" s="7">
        <f>'1 prepared data'!I523</f>
        <v/>
      </c>
      <c r="K530" s="7">
        <f>'1 prepared data'!J523</f>
        <v/>
      </c>
      <c r="L530" s="7">
        <f>'1 prepared data'!K523</f>
        <v/>
      </c>
      <c r="M530" s="7">
        <f>'1 prepared data'!L523</f>
        <v/>
      </c>
      <c r="N530" s="7">
        <f>'1 prepared data'!M523</f>
        <v/>
      </c>
      <c r="O530" s="7">
        <f>'1 prepared data'!N523</f>
        <v/>
      </c>
      <c r="P530" s="7">
        <f>'1 prepared data'!O523</f>
        <v/>
      </c>
      <c r="Q530" s="7">
        <f>'1 prepared data'!P523</f>
        <v/>
      </c>
      <c r="R530" s="7">
        <f>'1 prepared data'!Q523</f>
        <v/>
      </c>
      <c r="S530" s="7">
        <f>'1 prepared data'!R523</f>
        <v/>
      </c>
      <c r="T530" s="7">
        <f>'1 prepared data'!S523</f>
        <v/>
      </c>
      <c r="U530" s="7">
        <f>'1 prepared data'!T523</f>
        <v/>
      </c>
      <c r="V530" s="8">
        <f>$AC$12+D530*$AC$13+E530*$AC$14+F530*$AC$15+G530*$AC$16+H530*$AC$17+I530*$AC$18+J530*$AC$19+K530*$AC$20+L530*$AC$21+M530*$AC$22+N530*$AC$23+O530*$AC$24+P530*$AC$25+Q530*$AC$26+R530*$AC$27+S530*$AC$28+T530*$AC$29+U530*$AC$30</f>
        <v/>
      </c>
      <c r="W530" s="8">
        <f>1/(1+EXP(-V530))</f>
        <v/>
      </c>
      <c r="X530" s="9">
        <f>-IF(C530=1,LN(W530),LN(1-W530))</f>
        <v/>
      </c>
      <c r="Y530" s="10">
        <f>IF(W530&gt;$AC$33,1,0)</f>
        <v/>
      </c>
      <c r="Z530">
        <f>IF(Y530=C530,1,0)</f>
        <v/>
      </c>
    </row>
    <row r="531">
      <c r="A531">
        <f>'1 prepared data'!A524</f>
        <v/>
      </c>
      <c r="B531" s="5">
        <f>'1 prepared data'!U524</f>
        <v/>
      </c>
      <c r="C531">
        <f>'1 prepared data'!B524</f>
        <v/>
      </c>
      <c r="D531" s="7">
        <f>'1 prepared data'!C524</f>
        <v/>
      </c>
      <c r="E531" s="7">
        <f>'1 prepared data'!D524</f>
        <v/>
      </c>
      <c r="F531" s="7">
        <f>'1 prepared data'!E524</f>
        <v/>
      </c>
      <c r="G531" s="7">
        <f>'1 prepared data'!F524</f>
        <v/>
      </c>
      <c r="H531" s="7">
        <f>'1 prepared data'!G524</f>
        <v/>
      </c>
      <c r="I531" s="7">
        <f>'1 prepared data'!H524</f>
        <v/>
      </c>
      <c r="J531" s="7">
        <f>'1 prepared data'!I524</f>
        <v/>
      </c>
      <c r="K531" s="7">
        <f>'1 prepared data'!J524</f>
        <v/>
      </c>
      <c r="L531" s="7">
        <f>'1 prepared data'!K524</f>
        <v/>
      </c>
      <c r="M531" s="7">
        <f>'1 prepared data'!L524</f>
        <v/>
      </c>
      <c r="N531" s="7">
        <f>'1 prepared data'!M524</f>
        <v/>
      </c>
      <c r="O531" s="7">
        <f>'1 prepared data'!N524</f>
        <v/>
      </c>
      <c r="P531" s="7">
        <f>'1 prepared data'!O524</f>
        <v/>
      </c>
      <c r="Q531" s="7">
        <f>'1 prepared data'!P524</f>
        <v/>
      </c>
      <c r="R531" s="7">
        <f>'1 prepared data'!Q524</f>
        <v/>
      </c>
      <c r="S531" s="7">
        <f>'1 prepared data'!R524</f>
        <v/>
      </c>
      <c r="T531" s="7">
        <f>'1 prepared data'!S524</f>
        <v/>
      </c>
      <c r="U531" s="7">
        <f>'1 prepared data'!T524</f>
        <v/>
      </c>
      <c r="V531" s="8">
        <f>$AC$12+D531*$AC$13+E531*$AC$14+F531*$AC$15+G531*$AC$16+H531*$AC$17+I531*$AC$18+J531*$AC$19+K531*$AC$20+L531*$AC$21+M531*$AC$22+N531*$AC$23+O531*$AC$24+P531*$AC$25+Q531*$AC$26+R531*$AC$27+S531*$AC$28+T531*$AC$29+U531*$AC$30</f>
        <v/>
      </c>
      <c r="W531" s="8">
        <f>1/(1+EXP(-V531))</f>
        <v/>
      </c>
      <c r="X531" s="9">
        <f>-IF(C531=1,LN(W531),LN(1-W531))</f>
        <v/>
      </c>
      <c r="Y531" s="10">
        <f>IF(W531&gt;$AC$33,1,0)</f>
        <v/>
      </c>
      <c r="Z531">
        <f>IF(Y531=C531,1,0)</f>
        <v/>
      </c>
    </row>
    <row r="532">
      <c r="A532">
        <f>'1 prepared data'!A525</f>
        <v/>
      </c>
      <c r="B532" s="5">
        <f>'1 prepared data'!U525</f>
        <v/>
      </c>
      <c r="C532">
        <f>'1 prepared data'!B525</f>
        <v/>
      </c>
      <c r="D532" s="7">
        <f>'1 prepared data'!C525</f>
        <v/>
      </c>
      <c r="E532" s="7">
        <f>'1 prepared data'!D525</f>
        <v/>
      </c>
      <c r="F532" s="7">
        <f>'1 prepared data'!E525</f>
        <v/>
      </c>
      <c r="G532" s="7">
        <f>'1 prepared data'!F525</f>
        <v/>
      </c>
      <c r="H532" s="7">
        <f>'1 prepared data'!G525</f>
        <v/>
      </c>
      <c r="I532" s="7">
        <f>'1 prepared data'!H525</f>
        <v/>
      </c>
      <c r="J532" s="7">
        <f>'1 prepared data'!I525</f>
        <v/>
      </c>
      <c r="K532" s="7">
        <f>'1 prepared data'!J525</f>
        <v/>
      </c>
      <c r="L532" s="7">
        <f>'1 prepared data'!K525</f>
        <v/>
      </c>
      <c r="M532" s="7">
        <f>'1 prepared data'!L525</f>
        <v/>
      </c>
      <c r="N532" s="7">
        <f>'1 prepared data'!M525</f>
        <v/>
      </c>
      <c r="O532" s="7">
        <f>'1 prepared data'!N525</f>
        <v/>
      </c>
      <c r="P532" s="7">
        <f>'1 prepared data'!O525</f>
        <v/>
      </c>
      <c r="Q532" s="7">
        <f>'1 prepared data'!P525</f>
        <v/>
      </c>
      <c r="R532" s="7">
        <f>'1 prepared data'!Q525</f>
        <v/>
      </c>
      <c r="S532" s="7">
        <f>'1 prepared data'!R525</f>
        <v/>
      </c>
      <c r="T532" s="7">
        <f>'1 prepared data'!S525</f>
        <v/>
      </c>
      <c r="U532" s="7">
        <f>'1 prepared data'!T525</f>
        <v/>
      </c>
      <c r="V532" s="8">
        <f>$AC$12+D532*$AC$13+E532*$AC$14+F532*$AC$15+G532*$AC$16+H532*$AC$17+I532*$AC$18+J532*$AC$19+K532*$AC$20+L532*$AC$21+M532*$AC$22+N532*$AC$23+O532*$AC$24+P532*$AC$25+Q532*$AC$26+R532*$AC$27+S532*$AC$28+T532*$AC$29+U532*$AC$30</f>
        <v/>
      </c>
      <c r="W532" s="8">
        <f>1/(1+EXP(-V532))</f>
        <v/>
      </c>
      <c r="X532" s="9">
        <f>-IF(C532=1,LN(W532),LN(1-W532))</f>
        <v/>
      </c>
      <c r="Y532" s="10">
        <f>IF(W532&gt;$AC$33,1,0)</f>
        <v/>
      </c>
      <c r="Z532">
        <f>IF(Y532=C532,1,0)</f>
        <v/>
      </c>
    </row>
    <row r="533">
      <c r="A533">
        <f>'1 prepared data'!A526</f>
        <v/>
      </c>
      <c r="B533" s="5">
        <f>'1 prepared data'!U526</f>
        <v/>
      </c>
      <c r="C533">
        <f>'1 prepared data'!B526</f>
        <v/>
      </c>
      <c r="D533" s="7">
        <f>'1 prepared data'!C526</f>
        <v/>
      </c>
      <c r="E533" s="7">
        <f>'1 prepared data'!D526</f>
        <v/>
      </c>
      <c r="F533" s="7">
        <f>'1 prepared data'!E526</f>
        <v/>
      </c>
      <c r="G533" s="7">
        <f>'1 prepared data'!F526</f>
        <v/>
      </c>
      <c r="H533" s="7">
        <f>'1 prepared data'!G526</f>
        <v/>
      </c>
      <c r="I533" s="7">
        <f>'1 prepared data'!H526</f>
        <v/>
      </c>
      <c r="J533" s="7">
        <f>'1 prepared data'!I526</f>
        <v/>
      </c>
      <c r="K533" s="7">
        <f>'1 prepared data'!J526</f>
        <v/>
      </c>
      <c r="L533" s="7">
        <f>'1 prepared data'!K526</f>
        <v/>
      </c>
      <c r="M533" s="7">
        <f>'1 prepared data'!L526</f>
        <v/>
      </c>
      <c r="N533" s="7">
        <f>'1 prepared data'!M526</f>
        <v/>
      </c>
      <c r="O533" s="7">
        <f>'1 prepared data'!N526</f>
        <v/>
      </c>
      <c r="P533" s="7">
        <f>'1 prepared data'!O526</f>
        <v/>
      </c>
      <c r="Q533" s="7">
        <f>'1 prepared data'!P526</f>
        <v/>
      </c>
      <c r="R533" s="7">
        <f>'1 prepared data'!Q526</f>
        <v/>
      </c>
      <c r="S533" s="7">
        <f>'1 prepared data'!R526</f>
        <v/>
      </c>
      <c r="T533" s="7">
        <f>'1 prepared data'!S526</f>
        <v/>
      </c>
      <c r="U533" s="7">
        <f>'1 prepared data'!T526</f>
        <v/>
      </c>
      <c r="V533" s="8">
        <f>$AC$12+D533*$AC$13+E533*$AC$14+F533*$AC$15+G533*$AC$16+H533*$AC$17+I533*$AC$18+J533*$AC$19+K533*$AC$20+L533*$AC$21+M533*$AC$22+N533*$AC$23+O533*$AC$24+P533*$AC$25+Q533*$AC$26+R533*$AC$27+S533*$AC$28+T533*$AC$29+U533*$AC$30</f>
        <v/>
      </c>
      <c r="W533" s="8">
        <f>1/(1+EXP(-V533))</f>
        <v/>
      </c>
      <c r="X533" s="9">
        <f>-IF(C533=1,LN(W533),LN(1-W533))</f>
        <v/>
      </c>
      <c r="Y533" s="10">
        <f>IF(W533&gt;$AC$33,1,0)</f>
        <v/>
      </c>
      <c r="Z533">
        <f>IF(Y533=C533,1,0)</f>
        <v/>
      </c>
    </row>
    <row r="534">
      <c r="A534">
        <f>'1 prepared data'!A527</f>
        <v/>
      </c>
      <c r="B534" s="5">
        <f>'1 prepared data'!U527</f>
        <v/>
      </c>
      <c r="C534">
        <f>'1 prepared data'!B527</f>
        <v/>
      </c>
      <c r="D534" s="7">
        <f>'1 prepared data'!C527</f>
        <v/>
      </c>
      <c r="E534" s="7">
        <f>'1 prepared data'!D527</f>
        <v/>
      </c>
      <c r="F534" s="7">
        <f>'1 prepared data'!E527</f>
        <v/>
      </c>
      <c r="G534" s="7">
        <f>'1 prepared data'!F527</f>
        <v/>
      </c>
      <c r="H534" s="7">
        <f>'1 prepared data'!G527</f>
        <v/>
      </c>
      <c r="I534" s="7">
        <f>'1 prepared data'!H527</f>
        <v/>
      </c>
      <c r="J534" s="7">
        <f>'1 prepared data'!I527</f>
        <v/>
      </c>
      <c r="K534" s="7">
        <f>'1 prepared data'!J527</f>
        <v/>
      </c>
      <c r="L534" s="7">
        <f>'1 prepared data'!K527</f>
        <v/>
      </c>
      <c r="M534" s="7">
        <f>'1 prepared data'!L527</f>
        <v/>
      </c>
      <c r="N534" s="7">
        <f>'1 prepared data'!M527</f>
        <v/>
      </c>
      <c r="O534" s="7">
        <f>'1 prepared data'!N527</f>
        <v/>
      </c>
      <c r="P534" s="7">
        <f>'1 prepared data'!O527</f>
        <v/>
      </c>
      <c r="Q534" s="7">
        <f>'1 prepared data'!P527</f>
        <v/>
      </c>
      <c r="R534" s="7">
        <f>'1 prepared data'!Q527</f>
        <v/>
      </c>
      <c r="S534" s="7">
        <f>'1 prepared data'!R527</f>
        <v/>
      </c>
      <c r="T534" s="7">
        <f>'1 prepared data'!S527</f>
        <v/>
      </c>
      <c r="U534" s="7">
        <f>'1 prepared data'!T527</f>
        <v/>
      </c>
      <c r="V534" s="8">
        <f>$AC$12+D534*$AC$13+E534*$AC$14+F534*$AC$15+G534*$AC$16+H534*$AC$17+I534*$AC$18+J534*$AC$19+K534*$AC$20+L534*$AC$21+M534*$AC$22+N534*$AC$23+O534*$AC$24+P534*$AC$25+Q534*$AC$26+R534*$AC$27+S534*$AC$28+T534*$AC$29+U534*$AC$30</f>
        <v/>
      </c>
      <c r="W534" s="8">
        <f>1/(1+EXP(-V534))</f>
        <v/>
      </c>
      <c r="X534" s="9">
        <f>-IF(C534=1,LN(W534),LN(1-W534))</f>
        <v/>
      </c>
      <c r="Y534" s="10">
        <f>IF(W534&gt;$AC$33,1,0)</f>
        <v/>
      </c>
      <c r="Z534">
        <f>IF(Y534=C534,1,0)</f>
        <v/>
      </c>
    </row>
    <row r="535">
      <c r="A535">
        <f>'1 prepared data'!A528</f>
        <v/>
      </c>
      <c r="B535" s="5">
        <f>'1 prepared data'!U528</f>
        <v/>
      </c>
      <c r="C535">
        <f>'1 prepared data'!B528</f>
        <v/>
      </c>
      <c r="D535" s="7">
        <f>'1 prepared data'!C528</f>
        <v/>
      </c>
      <c r="E535" s="7">
        <f>'1 prepared data'!D528</f>
        <v/>
      </c>
      <c r="F535" s="7">
        <f>'1 prepared data'!E528</f>
        <v/>
      </c>
      <c r="G535" s="7">
        <f>'1 prepared data'!F528</f>
        <v/>
      </c>
      <c r="H535" s="7">
        <f>'1 prepared data'!G528</f>
        <v/>
      </c>
      <c r="I535" s="7">
        <f>'1 prepared data'!H528</f>
        <v/>
      </c>
      <c r="J535" s="7">
        <f>'1 prepared data'!I528</f>
        <v/>
      </c>
      <c r="K535" s="7">
        <f>'1 prepared data'!J528</f>
        <v/>
      </c>
      <c r="L535" s="7">
        <f>'1 prepared data'!K528</f>
        <v/>
      </c>
      <c r="M535" s="7">
        <f>'1 prepared data'!L528</f>
        <v/>
      </c>
      <c r="N535" s="7">
        <f>'1 prepared data'!M528</f>
        <v/>
      </c>
      <c r="O535" s="7">
        <f>'1 prepared data'!N528</f>
        <v/>
      </c>
      <c r="P535" s="7">
        <f>'1 prepared data'!O528</f>
        <v/>
      </c>
      <c r="Q535" s="7">
        <f>'1 prepared data'!P528</f>
        <v/>
      </c>
      <c r="R535" s="7">
        <f>'1 prepared data'!Q528</f>
        <v/>
      </c>
      <c r="S535" s="7">
        <f>'1 prepared data'!R528</f>
        <v/>
      </c>
      <c r="T535" s="7">
        <f>'1 prepared data'!S528</f>
        <v/>
      </c>
      <c r="U535" s="7">
        <f>'1 prepared data'!T528</f>
        <v/>
      </c>
      <c r="V535" s="8">
        <f>$AC$12+D535*$AC$13+E535*$AC$14+F535*$AC$15+G535*$AC$16+H535*$AC$17+I535*$AC$18+J535*$AC$19+K535*$AC$20+L535*$AC$21+M535*$AC$22+N535*$AC$23+O535*$AC$24+P535*$AC$25+Q535*$AC$26+R535*$AC$27+S535*$AC$28+T535*$AC$29+U535*$AC$30</f>
        <v/>
      </c>
      <c r="W535" s="8">
        <f>1/(1+EXP(-V535))</f>
        <v/>
      </c>
      <c r="X535" s="9">
        <f>-IF(C535=1,LN(W535),LN(1-W535))</f>
        <v/>
      </c>
      <c r="Y535" s="10">
        <f>IF(W535&gt;$AC$33,1,0)</f>
        <v/>
      </c>
      <c r="Z535">
        <f>IF(Y535=C535,1,0)</f>
        <v/>
      </c>
    </row>
    <row r="536">
      <c r="A536">
        <f>'1 prepared data'!A529</f>
        <v/>
      </c>
      <c r="B536" s="5">
        <f>'1 prepared data'!U529</f>
        <v/>
      </c>
      <c r="C536">
        <f>'1 prepared data'!B529</f>
        <v/>
      </c>
      <c r="D536" s="7">
        <f>'1 prepared data'!C529</f>
        <v/>
      </c>
      <c r="E536" s="7">
        <f>'1 prepared data'!D529</f>
        <v/>
      </c>
      <c r="F536" s="7">
        <f>'1 prepared data'!E529</f>
        <v/>
      </c>
      <c r="G536" s="7">
        <f>'1 prepared data'!F529</f>
        <v/>
      </c>
      <c r="H536" s="7">
        <f>'1 prepared data'!G529</f>
        <v/>
      </c>
      <c r="I536" s="7">
        <f>'1 prepared data'!H529</f>
        <v/>
      </c>
      <c r="J536" s="7">
        <f>'1 prepared data'!I529</f>
        <v/>
      </c>
      <c r="K536" s="7">
        <f>'1 prepared data'!J529</f>
        <v/>
      </c>
      <c r="L536" s="7">
        <f>'1 prepared data'!K529</f>
        <v/>
      </c>
      <c r="M536" s="7">
        <f>'1 prepared data'!L529</f>
        <v/>
      </c>
      <c r="N536" s="7">
        <f>'1 prepared data'!M529</f>
        <v/>
      </c>
      <c r="O536" s="7">
        <f>'1 prepared data'!N529</f>
        <v/>
      </c>
      <c r="P536" s="7">
        <f>'1 prepared data'!O529</f>
        <v/>
      </c>
      <c r="Q536" s="7">
        <f>'1 prepared data'!P529</f>
        <v/>
      </c>
      <c r="R536" s="7">
        <f>'1 prepared data'!Q529</f>
        <v/>
      </c>
      <c r="S536" s="7">
        <f>'1 prepared data'!R529</f>
        <v/>
      </c>
      <c r="T536" s="7">
        <f>'1 prepared data'!S529</f>
        <v/>
      </c>
      <c r="U536" s="7">
        <f>'1 prepared data'!T529</f>
        <v/>
      </c>
      <c r="V536" s="8">
        <f>$AC$12+D536*$AC$13+E536*$AC$14+F536*$AC$15+G536*$AC$16+H536*$AC$17+I536*$AC$18+J536*$AC$19+K536*$AC$20+L536*$AC$21+M536*$AC$22+N536*$AC$23+O536*$AC$24+P536*$AC$25+Q536*$AC$26+R536*$AC$27+S536*$AC$28+T536*$AC$29+U536*$AC$30</f>
        <v/>
      </c>
      <c r="W536" s="8">
        <f>1/(1+EXP(-V536))</f>
        <v/>
      </c>
      <c r="X536" s="9">
        <f>-IF(C536=1,LN(W536),LN(1-W536))</f>
        <v/>
      </c>
      <c r="Y536" s="10">
        <f>IF(W536&gt;$AC$33,1,0)</f>
        <v/>
      </c>
      <c r="Z536">
        <f>IF(Y536=C536,1,0)</f>
        <v/>
      </c>
    </row>
    <row r="537">
      <c r="A537">
        <f>'1 prepared data'!A530</f>
        <v/>
      </c>
      <c r="B537" s="5">
        <f>'1 prepared data'!U530</f>
        <v/>
      </c>
      <c r="C537">
        <f>'1 prepared data'!B530</f>
        <v/>
      </c>
      <c r="D537" s="7">
        <f>'1 prepared data'!C530</f>
        <v/>
      </c>
      <c r="E537" s="7">
        <f>'1 prepared data'!D530</f>
        <v/>
      </c>
      <c r="F537" s="7">
        <f>'1 prepared data'!E530</f>
        <v/>
      </c>
      <c r="G537" s="7">
        <f>'1 prepared data'!F530</f>
        <v/>
      </c>
      <c r="H537" s="7">
        <f>'1 prepared data'!G530</f>
        <v/>
      </c>
      <c r="I537" s="7">
        <f>'1 prepared data'!H530</f>
        <v/>
      </c>
      <c r="J537" s="7">
        <f>'1 prepared data'!I530</f>
        <v/>
      </c>
      <c r="K537" s="7">
        <f>'1 prepared data'!J530</f>
        <v/>
      </c>
      <c r="L537" s="7">
        <f>'1 prepared data'!K530</f>
        <v/>
      </c>
      <c r="M537" s="7">
        <f>'1 prepared data'!L530</f>
        <v/>
      </c>
      <c r="N537" s="7">
        <f>'1 prepared data'!M530</f>
        <v/>
      </c>
      <c r="O537" s="7">
        <f>'1 prepared data'!N530</f>
        <v/>
      </c>
      <c r="P537" s="7">
        <f>'1 prepared data'!O530</f>
        <v/>
      </c>
      <c r="Q537" s="7">
        <f>'1 prepared data'!P530</f>
        <v/>
      </c>
      <c r="R537" s="7">
        <f>'1 prepared data'!Q530</f>
        <v/>
      </c>
      <c r="S537" s="7">
        <f>'1 prepared data'!R530</f>
        <v/>
      </c>
      <c r="T537" s="7">
        <f>'1 prepared data'!S530</f>
        <v/>
      </c>
      <c r="U537" s="7">
        <f>'1 prepared data'!T530</f>
        <v/>
      </c>
      <c r="V537" s="8">
        <f>$AC$12+D537*$AC$13+E537*$AC$14+F537*$AC$15+G537*$AC$16+H537*$AC$17+I537*$AC$18+J537*$AC$19+K537*$AC$20+L537*$AC$21+M537*$AC$22+N537*$AC$23+O537*$AC$24+P537*$AC$25+Q537*$AC$26+R537*$AC$27+S537*$AC$28+T537*$AC$29+U537*$AC$30</f>
        <v/>
      </c>
      <c r="W537" s="8">
        <f>1/(1+EXP(-V537))</f>
        <v/>
      </c>
      <c r="X537" s="9">
        <f>-IF(C537=1,LN(W537),LN(1-W537))</f>
        <v/>
      </c>
      <c r="Y537" s="10">
        <f>IF(W537&gt;$AC$33,1,0)</f>
        <v/>
      </c>
      <c r="Z537">
        <f>IF(Y537=C537,1,0)</f>
        <v/>
      </c>
    </row>
    <row r="538">
      <c r="A538">
        <f>'1 prepared data'!A531</f>
        <v/>
      </c>
      <c r="B538" s="5">
        <f>'1 prepared data'!U531</f>
        <v/>
      </c>
      <c r="C538">
        <f>'1 prepared data'!B531</f>
        <v/>
      </c>
      <c r="D538" s="7">
        <f>'1 prepared data'!C531</f>
        <v/>
      </c>
      <c r="E538" s="7">
        <f>'1 prepared data'!D531</f>
        <v/>
      </c>
      <c r="F538" s="7">
        <f>'1 prepared data'!E531</f>
        <v/>
      </c>
      <c r="G538" s="7">
        <f>'1 prepared data'!F531</f>
        <v/>
      </c>
      <c r="H538" s="7">
        <f>'1 prepared data'!G531</f>
        <v/>
      </c>
      <c r="I538" s="7">
        <f>'1 prepared data'!H531</f>
        <v/>
      </c>
      <c r="J538" s="7">
        <f>'1 prepared data'!I531</f>
        <v/>
      </c>
      <c r="K538" s="7">
        <f>'1 prepared data'!J531</f>
        <v/>
      </c>
      <c r="L538" s="7">
        <f>'1 prepared data'!K531</f>
        <v/>
      </c>
      <c r="M538" s="7">
        <f>'1 prepared data'!L531</f>
        <v/>
      </c>
      <c r="N538" s="7">
        <f>'1 prepared data'!M531</f>
        <v/>
      </c>
      <c r="O538" s="7">
        <f>'1 prepared data'!N531</f>
        <v/>
      </c>
      <c r="P538" s="7">
        <f>'1 prepared data'!O531</f>
        <v/>
      </c>
      <c r="Q538" s="7">
        <f>'1 prepared data'!P531</f>
        <v/>
      </c>
      <c r="R538" s="7">
        <f>'1 prepared data'!Q531</f>
        <v/>
      </c>
      <c r="S538" s="7">
        <f>'1 prepared data'!R531</f>
        <v/>
      </c>
      <c r="T538" s="7">
        <f>'1 prepared data'!S531</f>
        <v/>
      </c>
      <c r="U538" s="7">
        <f>'1 prepared data'!T531</f>
        <v/>
      </c>
      <c r="V538" s="8">
        <f>$AC$12+D538*$AC$13+E538*$AC$14+F538*$AC$15+G538*$AC$16+H538*$AC$17+I538*$AC$18+J538*$AC$19+K538*$AC$20+L538*$AC$21+M538*$AC$22+N538*$AC$23+O538*$AC$24+P538*$AC$25+Q538*$AC$26+R538*$AC$27+S538*$AC$28+T538*$AC$29+U538*$AC$30</f>
        <v/>
      </c>
      <c r="W538" s="8">
        <f>1/(1+EXP(-V538))</f>
        <v/>
      </c>
      <c r="X538" s="9">
        <f>-IF(C538=1,LN(W538),LN(1-W538))</f>
        <v/>
      </c>
      <c r="Y538" s="10">
        <f>IF(W538&gt;$AC$33,1,0)</f>
        <v/>
      </c>
      <c r="Z538">
        <f>IF(Y538=C538,1,0)</f>
        <v/>
      </c>
    </row>
    <row r="539">
      <c r="A539">
        <f>'1 prepared data'!A532</f>
        <v/>
      </c>
      <c r="B539" s="5">
        <f>'1 prepared data'!U532</f>
        <v/>
      </c>
      <c r="C539">
        <f>'1 prepared data'!B532</f>
        <v/>
      </c>
      <c r="D539" s="7">
        <f>'1 prepared data'!C532</f>
        <v/>
      </c>
      <c r="E539" s="7">
        <f>'1 prepared data'!D532</f>
        <v/>
      </c>
      <c r="F539" s="7">
        <f>'1 prepared data'!E532</f>
        <v/>
      </c>
      <c r="G539" s="7">
        <f>'1 prepared data'!F532</f>
        <v/>
      </c>
      <c r="H539" s="7">
        <f>'1 prepared data'!G532</f>
        <v/>
      </c>
      <c r="I539" s="7">
        <f>'1 prepared data'!H532</f>
        <v/>
      </c>
      <c r="J539" s="7">
        <f>'1 prepared data'!I532</f>
        <v/>
      </c>
      <c r="K539" s="7">
        <f>'1 prepared data'!J532</f>
        <v/>
      </c>
      <c r="L539" s="7">
        <f>'1 prepared data'!K532</f>
        <v/>
      </c>
      <c r="M539" s="7">
        <f>'1 prepared data'!L532</f>
        <v/>
      </c>
      <c r="N539" s="7">
        <f>'1 prepared data'!M532</f>
        <v/>
      </c>
      <c r="O539" s="7">
        <f>'1 prepared data'!N532</f>
        <v/>
      </c>
      <c r="P539" s="7">
        <f>'1 prepared data'!O532</f>
        <v/>
      </c>
      <c r="Q539" s="7">
        <f>'1 prepared data'!P532</f>
        <v/>
      </c>
      <c r="R539" s="7">
        <f>'1 prepared data'!Q532</f>
        <v/>
      </c>
      <c r="S539" s="7">
        <f>'1 prepared data'!R532</f>
        <v/>
      </c>
      <c r="T539" s="7">
        <f>'1 prepared data'!S532</f>
        <v/>
      </c>
      <c r="U539" s="7">
        <f>'1 prepared data'!T532</f>
        <v/>
      </c>
      <c r="V539" s="8">
        <f>$AC$12+D539*$AC$13+E539*$AC$14+F539*$AC$15+G539*$AC$16+H539*$AC$17+I539*$AC$18+J539*$AC$19+K539*$AC$20+L539*$AC$21+M539*$AC$22+N539*$AC$23+O539*$AC$24+P539*$AC$25+Q539*$AC$26+R539*$AC$27+S539*$AC$28+T539*$AC$29+U539*$AC$30</f>
        <v/>
      </c>
      <c r="W539" s="8">
        <f>1/(1+EXP(-V539))</f>
        <v/>
      </c>
      <c r="X539" s="9">
        <f>-IF(C539=1,LN(W539),LN(1-W539))</f>
        <v/>
      </c>
      <c r="Y539" s="10">
        <f>IF(W539&gt;$AC$33,1,0)</f>
        <v/>
      </c>
      <c r="Z539">
        <f>IF(Y539=C539,1,0)</f>
        <v/>
      </c>
    </row>
    <row r="540">
      <c r="A540">
        <f>'1 prepared data'!A533</f>
        <v/>
      </c>
      <c r="B540" s="5">
        <f>'1 prepared data'!U533</f>
        <v/>
      </c>
      <c r="C540">
        <f>'1 prepared data'!B533</f>
        <v/>
      </c>
      <c r="D540" s="7">
        <f>'1 prepared data'!C533</f>
        <v/>
      </c>
      <c r="E540" s="7">
        <f>'1 prepared data'!D533</f>
        <v/>
      </c>
      <c r="F540" s="7">
        <f>'1 prepared data'!E533</f>
        <v/>
      </c>
      <c r="G540" s="7">
        <f>'1 prepared data'!F533</f>
        <v/>
      </c>
      <c r="H540" s="7">
        <f>'1 prepared data'!G533</f>
        <v/>
      </c>
      <c r="I540" s="7">
        <f>'1 prepared data'!H533</f>
        <v/>
      </c>
      <c r="J540" s="7">
        <f>'1 prepared data'!I533</f>
        <v/>
      </c>
      <c r="K540" s="7">
        <f>'1 prepared data'!J533</f>
        <v/>
      </c>
      <c r="L540" s="7">
        <f>'1 prepared data'!K533</f>
        <v/>
      </c>
      <c r="M540" s="7">
        <f>'1 prepared data'!L533</f>
        <v/>
      </c>
      <c r="N540" s="7">
        <f>'1 prepared data'!M533</f>
        <v/>
      </c>
      <c r="O540" s="7">
        <f>'1 prepared data'!N533</f>
        <v/>
      </c>
      <c r="P540" s="7">
        <f>'1 prepared data'!O533</f>
        <v/>
      </c>
      <c r="Q540" s="7">
        <f>'1 prepared data'!P533</f>
        <v/>
      </c>
      <c r="R540" s="7">
        <f>'1 prepared data'!Q533</f>
        <v/>
      </c>
      <c r="S540" s="7">
        <f>'1 prepared data'!R533</f>
        <v/>
      </c>
      <c r="T540" s="7">
        <f>'1 prepared data'!S533</f>
        <v/>
      </c>
      <c r="U540" s="7">
        <f>'1 prepared data'!T533</f>
        <v/>
      </c>
      <c r="V540" s="8">
        <f>$AC$12+D540*$AC$13+E540*$AC$14+F540*$AC$15+G540*$AC$16+H540*$AC$17+I540*$AC$18+J540*$AC$19+K540*$AC$20+L540*$AC$21+M540*$AC$22+N540*$AC$23+O540*$AC$24+P540*$AC$25+Q540*$AC$26+R540*$AC$27+S540*$AC$28+T540*$AC$29+U540*$AC$30</f>
        <v/>
      </c>
      <c r="W540" s="8">
        <f>1/(1+EXP(-V540))</f>
        <v/>
      </c>
      <c r="X540" s="9">
        <f>-IF(C540=1,LN(W540),LN(1-W540))</f>
        <v/>
      </c>
      <c r="Y540" s="10">
        <f>IF(W540&gt;$AC$33,1,0)</f>
        <v/>
      </c>
      <c r="Z540">
        <f>IF(Y540=C540,1,0)</f>
        <v/>
      </c>
    </row>
    <row r="541">
      <c r="A541">
        <f>'1 prepared data'!A534</f>
        <v/>
      </c>
      <c r="B541" s="5">
        <f>'1 prepared data'!U534</f>
        <v/>
      </c>
      <c r="C541">
        <f>'1 prepared data'!B534</f>
        <v/>
      </c>
      <c r="D541" s="7">
        <f>'1 prepared data'!C534</f>
        <v/>
      </c>
      <c r="E541" s="7">
        <f>'1 prepared data'!D534</f>
        <v/>
      </c>
      <c r="F541" s="7">
        <f>'1 prepared data'!E534</f>
        <v/>
      </c>
      <c r="G541" s="7">
        <f>'1 prepared data'!F534</f>
        <v/>
      </c>
      <c r="H541" s="7">
        <f>'1 prepared data'!G534</f>
        <v/>
      </c>
      <c r="I541" s="7">
        <f>'1 prepared data'!H534</f>
        <v/>
      </c>
      <c r="J541" s="7">
        <f>'1 prepared data'!I534</f>
        <v/>
      </c>
      <c r="K541" s="7">
        <f>'1 prepared data'!J534</f>
        <v/>
      </c>
      <c r="L541" s="7">
        <f>'1 prepared data'!K534</f>
        <v/>
      </c>
      <c r="M541" s="7">
        <f>'1 prepared data'!L534</f>
        <v/>
      </c>
      <c r="N541" s="7">
        <f>'1 prepared data'!M534</f>
        <v/>
      </c>
      <c r="O541" s="7">
        <f>'1 prepared data'!N534</f>
        <v/>
      </c>
      <c r="P541" s="7">
        <f>'1 prepared data'!O534</f>
        <v/>
      </c>
      <c r="Q541" s="7">
        <f>'1 prepared data'!P534</f>
        <v/>
      </c>
      <c r="R541" s="7">
        <f>'1 prepared data'!Q534</f>
        <v/>
      </c>
      <c r="S541" s="7">
        <f>'1 prepared data'!R534</f>
        <v/>
      </c>
      <c r="T541" s="7">
        <f>'1 prepared data'!S534</f>
        <v/>
      </c>
      <c r="U541" s="7">
        <f>'1 prepared data'!T534</f>
        <v/>
      </c>
      <c r="V541" s="8">
        <f>$AC$12+D541*$AC$13+E541*$AC$14+F541*$AC$15+G541*$AC$16+H541*$AC$17+I541*$AC$18+J541*$AC$19+K541*$AC$20+L541*$AC$21+M541*$AC$22+N541*$AC$23+O541*$AC$24+P541*$AC$25+Q541*$AC$26+R541*$AC$27+S541*$AC$28+T541*$AC$29+U541*$AC$30</f>
        <v/>
      </c>
      <c r="W541" s="8">
        <f>1/(1+EXP(-V541))</f>
        <v/>
      </c>
      <c r="X541" s="9">
        <f>-IF(C541=1,LN(W541),LN(1-W541))</f>
        <v/>
      </c>
      <c r="Y541" s="10">
        <f>IF(W541&gt;$AC$33,1,0)</f>
        <v/>
      </c>
      <c r="Z541">
        <f>IF(Y541=C541,1,0)</f>
        <v/>
      </c>
    </row>
    <row r="542">
      <c r="A542">
        <f>'1 prepared data'!A535</f>
        <v/>
      </c>
      <c r="B542" s="5">
        <f>'1 prepared data'!U535</f>
        <v/>
      </c>
      <c r="C542">
        <f>'1 prepared data'!B535</f>
        <v/>
      </c>
      <c r="D542" s="7">
        <f>'1 prepared data'!C535</f>
        <v/>
      </c>
      <c r="E542" s="7">
        <f>'1 prepared data'!D535</f>
        <v/>
      </c>
      <c r="F542" s="7">
        <f>'1 prepared data'!E535</f>
        <v/>
      </c>
      <c r="G542" s="7">
        <f>'1 prepared data'!F535</f>
        <v/>
      </c>
      <c r="H542" s="7">
        <f>'1 prepared data'!G535</f>
        <v/>
      </c>
      <c r="I542" s="7">
        <f>'1 prepared data'!H535</f>
        <v/>
      </c>
      <c r="J542" s="7">
        <f>'1 prepared data'!I535</f>
        <v/>
      </c>
      <c r="K542" s="7">
        <f>'1 prepared data'!J535</f>
        <v/>
      </c>
      <c r="L542" s="7">
        <f>'1 prepared data'!K535</f>
        <v/>
      </c>
      <c r="M542" s="7">
        <f>'1 prepared data'!L535</f>
        <v/>
      </c>
      <c r="N542" s="7">
        <f>'1 prepared data'!M535</f>
        <v/>
      </c>
      <c r="O542" s="7">
        <f>'1 prepared data'!N535</f>
        <v/>
      </c>
      <c r="P542" s="7">
        <f>'1 prepared data'!O535</f>
        <v/>
      </c>
      <c r="Q542" s="7">
        <f>'1 prepared data'!P535</f>
        <v/>
      </c>
      <c r="R542" s="7">
        <f>'1 prepared data'!Q535</f>
        <v/>
      </c>
      <c r="S542" s="7">
        <f>'1 prepared data'!R535</f>
        <v/>
      </c>
      <c r="T542" s="7">
        <f>'1 prepared data'!S535</f>
        <v/>
      </c>
      <c r="U542" s="7">
        <f>'1 prepared data'!T535</f>
        <v/>
      </c>
      <c r="V542" s="8">
        <f>$AC$12+D542*$AC$13+E542*$AC$14+F542*$AC$15+G542*$AC$16+H542*$AC$17+I542*$AC$18+J542*$AC$19+K542*$AC$20+L542*$AC$21+M542*$AC$22+N542*$AC$23+O542*$AC$24+P542*$AC$25+Q542*$AC$26+R542*$AC$27+S542*$AC$28+T542*$AC$29+U542*$AC$30</f>
        <v/>
      </c>
      <c r="W542" s="8">
        <f>1/(1+EXP(-V542))</f>
        <v/>
      </c>
      <c r="X542" s="9">
        <f>-IF(C542=1,LN(W542),LN(1-W542))</f>
        <v/>
      </c>
      <c r="Y542" s="10">
        <f>IF(W542&gt;$AC$33,1,0)</f>
        <v/>
      </c>
      <c r="Z542">
        <f>IF(Y542=C542,1,0)</f>
        <v/>
      </c>
    </row>
    <row r="543">
      <c r="A543">
        <f>'1 prepared data'!A536</f>
        <v/>
      </c>
      <c r="B543" s="5">
        <f>'1 prepared data'!U536</f>
        <v/>
      </c>
      <c r="C543">
        <f>'1 prepared data'!B536</f>
        <v/>
      </c>
      <c r="D543" s="7">
        <f>'1 prepared data'!C536</f>
        <v/>
      </c>
      <c r="E543" s="7">
        <f>'1 prepared data'!D536</f>
        <v/>
      </c>
      <c r="F543" s="7">
        <f>'1 prepared data'!E536</f>
        <v/>
      </c>
      <c r="G543" s="7">
        <f>'1 prepared data'!F536</f>
        <v/>
      </c>
      <c r="H543" s="7">
        <f>'1 prepared data'!G536</f>
        <v/>
      </c>
      <c r="I543" s="7">
        <f>'1 prepared data'!H536</f>
        <v/>
      </c>
      <c r="J543" s="7">
        <f>'1 prepared data'!I536</f>
        <v/>
      </c>
      <c r="K543" s="7">
        <f>'1 prepared data'!J536</f>
        <v/>
      </c>
      <c r="L543" s="7">
        <f>'1 prepared data'!K536</f>
        <v/>
      </c>
      <c r="M543" s="7">
        <f>'1 prepared data'!L536</f>
        <v/>
      </c>
      <c r="N543" s="7">
        <f>'1 prepared data'!M536</f>
        <v/>
      </c>
      <c r="O543" s="7">
        <f>'1 prepared data'!N536</f>
        <v/>
      </c>
      <c r="P543" s="7">
        <f>'1 prepared data'!O536</f>
        <v/>
      </c>
      <c r="Q543" s="7">
        <f>'1 prepared data'!P536</f>
        <v/>
      </c>
      <c r="R543" s="7">
        <f>'1 prepared data'!Q536</f>
        <v/>
      </c>
      <c r="S543" s="7">
        <f>'1 prepared data'!R536</f>
        <v/>
      </c>
      <c r="T543" s="7">
        <f>'1 prepared data'!S536</f>
        <v/>
      </c>
      <c r="U543" s="7">
        <f>'1 prepared data'!T536</f>
        <v/>
      </c>
      <c r="V543" s="8">
        <f>$AC$12+D543*$AC$13+E543*$AC$14+F543*$AC$15+G543*$AC$16+H543*$AC$17+I543*$AC$18+J543*$AC$19+K543*$AC$20+L543*$AC$21+M543*$AC$22+N543*$AC$23+O543*$AC$24+P543*$AC$25+Q543*$AC$26+R543*$AC$27+S543*$AC$28+T543*$AC$29+U543*$AC$30</f>
        <v/>
      </c>
      <c r="W543" s="8">
        <f>1/(1+EXP(-V543))</f>
        <v/>
      </c>
      <c r="X543" s="9">
        <f>-IF(C543=1,LN(W543),LN(1-W543))</f>
        <v/>
      </c>
      <c r="Y543" s="10">
        <f>IF(W543&gt;$AC$33,1,0)</f>
        <v/>
      </c>
      <c r="Z543">
        <f>IF(Y543=C543,1,0)</f>
        <v/>
      </c>
    </row>
    <row r="544">
      <c r="A544">
        <f>'1 prepared data'!A537</f>
        <v/>
      </c>
      <c r="B544" s="5">
        <f>'1 prepared data'!U537</f>
        <v/>
      </c>
      <c r="C544">
        <f>'1 prepared data'!B537</f>
        <v/>
      </c>
      <c r="D544" s="7">
        <f>'1 prepared data'!C537</f>
        <v/>
      </c>
      <c r="E544" s="7">
        <f>'1 prepared data'!D537</f>
        <v/>
      </c>
      <c r="F544" s="7">
        <f>'1 prepared data'!E537</f>
        <v/>
      </c>
      <c r="G544" s="7">
        <f>'1 prepared data'!F537</f>
        <v/>
      </c>
      <c r="H544" s="7">
        <f>'1 prepared data'!G537</f>
        <v/>
      </c>
      <c r="I544" s="7">
        <f>'1 prepared data'!H537</f>
        <v/>
      </c>
      <c r="J544" s="7">
        <f>'1 prepared data'!I537</f>
        <v/>
      </c>
      <c r="K544" s="7">
        <f>'1 prepared data'!J537</f>
        <v/>
      </c>
      <c r="L544" s="7">
        <f>'1 prepared data'!K537</f>
        <v/>
      </c>
      <c r="M544" s="7">
        <f>'1 prepared data'!L537</f>
        <v/>
      </c>
      <c r="N544" s="7">
        <f>'1 prepared data'!M537</f>
        <v/>
      </c>
      <c r="O544" s="7">
        <f>'1 prepared data'!N537</f>
        <v/>
      </c>
      <c r="P544" s="7">
        <f>'1 prepared data'!O537</f>
        <v/>
      </c>
      <c r="Q544" s="7">
        <f>'1 prepared data'!P537</f>
        <v/>
      </c>
      <c r="R544" s="7">
        <f>'1 prepared data'!Q537</f>
        <v/>
      </c>
      <c r="S544" s="7">
        <f>'1 prepared data'!R537</f>
        <v/>
      </c>
      <c r="T544" s="7">
        <f>'1 prepared data'!S537</f>
        <v/>
      </c>
      <c r="U544" s="7">
        <f>'1 prepared data'!T537</f>
        <v/>
      </c>
      <c r="V544" s="8">
        <f>$AC$12+D544*$AC$13+E544*$AC$14+F544*$AC$15+G544*$AC$16+H544*$AC$17+I544*$AC$18+J544*$AC$19+K544*$AC$20+L544*$AC$21+M544*$AC$22+N544*$AC$23+O544*$AC$24+P544*$AC$25+Q544*$AC$26+R544*$AC$27+S544*$AC$28+T544*$AC$29+U544*$AC$30</f>
        <v/>
      </c>
      <c r="W544" s="8">
        <f>1/(1+EXP(-V544))</f>
        <v/>
      </c>
      <c r="X544" s="9">
        <f>-IF(C544=1,LN(W544),LN(1-W544))</f>
        <v/>
      </c>
      <c r="Y544" s="10">
        <f>IF(W544&gt;$AC$33,1,0)</f>
        <v/>
      </c>
      <c r="Z544">
        <f>IF(Y544=C544,1,0)</f>
        <v/>
      </c>
    </row>
    <row r="545">
      <c r="A545">
        <f>'1 prepared data'!A538</f>
        <v/>
      </c>
      <c r="B545" s="5">
        <f>'1 prepared data'!U538</f>
        <v/>
      </c>
      <c r="C545">
        <f>'1 prepared data'!B538</f>
        <v/>
      </c>
      <c r="D545" s="7">
        <f>'1 prepared data'!C538</f>
        <v/>
      </c>
      <c r="E545" s="7">
        <f>'1 prepared data'!D538</f>
        <v/>
      </c>
      <c r="F545" s="7">
        <f>'1 prepared data'!E538</f>
        <v/>
      </c>
      <c r="G545" s="7">
        <f>'1 prepared data'!F538</f>
        <v/>
      </c>
      <c r="H545" s="7">
        <f>'1 prepared data'!G538</f>
        <v/>
      </c>
      <c r="I545" s="7">
        <f>'1 prepared data'!H538</f>
        <v/>
      </c>
      <c r="J545" s="7">
        <f>'1 prepared data'!I538</f>
        <v/>
      </c>
      <c r="K545" s="7">
        <f>'1 prepared data'!J538</f>
        <v/>
      </c>
      <c r="L545" s="7">
        <f>'1 prepared data'!K538</f>
        <v/>
      </c>
      <c r="M545" s="7">
        <f>'1 prepared data'!L538</f>
        <v/>
      </c>
      <c r="N545" s="7">
        <f>'1 prepared data'!M538</f>
        <v/>
      </c>
      <c r="O545" s="7">
        <f>'1 prepared data'!N538</f>
        <v/>
      </c>
      <c r="P545" s="7">
        <f>'1 prepared data'!O538</f>
        <v/>
      </c>
      <c r="Q545" s="7">
        <f>'1 prepared data'!P538</f>
        <v/>
      </c>
      <c r="R545" s="7">
        <f>'1 prepared data'!Q538</f>
        <v/>
      </c>
      <c r="S545" s="7">
        <f>'1 prepared data'!R538</f>
        <v/>
      </c>
      <c r="T545" s="7">
        <f>'1 prepared data'!S538</f>
        <v/>
      </c>
      <c r="U545" s="7">
        <f>'1 prepared data'!T538</f>
        <v/>
      </c>
      <c r="V545" s="8">
        <f>$AC$12+D545*$AC$13+E545*$AC$14+F545*$AC$15+G545*$AC$16+H545*$AC$17+I545*$AC$18+J545*$AC$19+K545*$AC$20+L545*$AC$21+M545*$AC$22+N545*$AC$23+O545*$AC$24+P545*$AC$25+Q545*$AC$26+R545*$AC$27+S545*$AC$28+T545*$AC$29+U545*$AC$30</f>
        <v/>
      </c>
      <c r="W545" s="8">
        <f>1/(1+EXP(-V545))</f>
        <v/>
      </c>
      <c r="X545" s="9">
        <f>-IF(C545=1,LN(W545),LN(1-W545))</f>
        <v/>
      </c>
      <c r="Y545" s="10">
        <f>IF(W545&gt;$AC$33,1,0)</f>
        <v/>
      </c>
      <c r="Z545">
        <f>IF(Y545=C545,1,0)</f>
        <v/>
      </c>
    </row>
    <row r="546">
      <c r="A546">
        <f>'1 prepared data'!A539</f>
        <v/>
      </c>
      <c r="B546" s="5">
        <f>'1 prepared data'!U539</f>
        <v/>
      </c>
      <c r="C546">
        <f>'1 prepared data'!B539</f>
        <v/>
      </c>
      <c r="D546" s="7">
        <f>'1 prepared data'!C539</f>
        <v/>
      </c>
      <c r="E546" s="7">
        <f>'1 prepared data'!D539</f>
        <v/>
      </c>
      <c r="F546" s="7">
        <f>'1 prepared data'!E539</f>
        <v/>
      </c>
      <c r="G546" s="7">
        <f>'1 prepared data'!F539</f>
        <v/>
      </c>
      <c r="H546" s="7">
        <f>'1 prepared data'!G539</f>
        <v/>
      </c>
      <c r="I546" s="7">
        <f>'1 prepared data'!H539</f>
        <v/>
      </c>
      <c r="J546" s="7">
        <f>'1 prepared data'!I539</f>
        <v/>
      </c>
      <c r="K546" s="7">
        <f>'1 prepared data'!J539</f>
        <v/>
      </c>
      <c r="L546" s="7">
        <f>'1 prepared data'!K539</f>
        <v/>
      </c>
      <c r="M546" s="7">
        <f>'1 prepared data'!L539</f>
        <v/>
      </c>
      <c r="N546" s="7">
        <f>'1 prepared data'!M539</f>
        <v/>
      </c>
      <c r="O546" s="7">
        <f>'1 prepared data'!N539</f>
        <v/>
      </c>
      <c r="P546" s="7">
        <f>'1 prepared data'!O539</f>
        <v/>
      </c>
      <c r="Q546" s="7">
        <f>'1 prepared data'!P539</f>
        <v/>
      </c>
      <c r="R546" s="7">
        <f>'1 prepared data'!Q539</f>
        <v/>
      </c>
      <c r="S546" s="7">
        <f>'1 prepared data'!R539</f>
        <v/>
      </c>
      <c r="T546" s="7">
        <f>'1 prepared data'!S539</f>
        <v/>
      </c>
      <c r="U546" s="7">
        <f>'1 prepared data'!T539</f>
        <v/>
      </c>
      <c r="V546" s="8">
        <f>$AC$12+D546*$AC$13+E546*$AC$14+F546*$AC$15+G546*$AC$16+H546*$AC$17+I546*$AC$18+J546*$AC$19+K546*$AC$20+L546*$AC$21+M546*$AC$22+N546*$AC$23+O546*$AC$24+P546*$AC$25+Q546*$AC$26+R546*$AC$27+S546*$AC$28+T546*$AC$29+U546*$AC$30</f>
        <v/>
      </c>
      <c r="W546" s="8">
        <f>1/(1+EXP(-V546))</f>
        <v/>
      </c>
      <c r="X546" s="9">
        <f>-IF(C546=1,LN(W546),LN(1-W546))</f>
        <v/>
      </c>
      <c r="Y546" s="10">
        <f>IF(W546&gt;$AC$33,1,0)</f>
        <v/>
      </c>
      <c r="Z546">
        <f>IF(Y546=C546,1,0)</f>
        <v/>
      </c>
    </row>
    <row r="547">
      <c r="A547">
        <f>'1 prepared data'!A540</f>
        <v/>
      </c>
      <c r="B547" s="5">
        <f>'1 prepared data'!U540</f>
        <v/>
      </c>
      <c r="C547">
        <f>'1 prepared data'!B540</f>
        <v/>
      </c>
      <c r="D547" s="7">
        <f>'1 prepared data'!C540</f>
        <v/>
      </c>
      <c r="E547" s="7">
        <f>'1 prepared data'!D540</f>
        <v/>
      </c>
      <c r="F547" s="7">
        <f>'1 prepared data'!E540</f>
        <v/>
      </c>
      <c r="G547" s="7">
        <f>'1 prepared data'!F540</f>
        <v/>
      </c>
      <c r="H547" s="7">
        <f>'1 prepared data'!G540</f>
        <v/>
      </c>
      <c r="I547" s="7">
        <f>'1 prepared data'!H540</f>
        <v/>
      </c>
      <c r="J547" s="7">
        <f>'1 prepared data'!I540</f>
        <v/>
      </c>
      <c r="K547" s="7">
        <f>'1 prepared data'!J540</f>
        <v/>
      </c>
      <c r="L547" s="7">
        <f>'1 prepared data'!K540</f>
        <v/>
      </c>
      <c r="M547" s="7">
        <f>'1 prepared data'!L540</f>
        <v/>
      </c>
      <c r="N547" s="7">
        <f>'1 prepared data'!M540</f>
        <v/>
      </c>
      <c r="O547" s="7">
        <f>'1 prepared data'!N540</f>
        <v/>
      </c>
      <c r="P547" s="7">
        <f>'1 prepared data'!O540</f>
        <v/>
      </c>
      <c r="Q547" s="7">
        <f>'1 prepared data'!P540</f>
        <v/>
      </c>
      <c r="R547" s="7">
        <f>'1 prepared data'!Q540</f>
        <v/>
      </c>
      <c r="S547" s="7">
        <f>'1 prepared data'!R540</f>
        <v/>
      </c>
      <c r="T547" s="7">
        <f>'1 prepared data'!S540</f>
        <v/>
      </c>
      <c r="U547" s="7">
        <f>'1 prepared data'!T540</f>
        <v/>
      </c>
      <c r="V547" s="8">
        <f>$AC$12+D547*$AC$13+E547*$AC$14+F547*$AC$15+G547*$AC$16+H547*$AC$17+I547*$AC$18+J547*$AC$19+K547*$AC$20+L547*$AC$21+M547*$AC$22+N547*$AC$23+O547*$AC$24+P547*$AC$25+Q547*$AC$26+R547*$AC$27+S547*$AC$28+T547*$AC$29+U547*$AC$30</f>
        <v/>
      </c>
      <c r="W547" s="8">
        <f>1/(1+EXP(-V547))</f>
        <v/>
      </c>
      <c r="X547" s="9">
        <f>-IF(C547=1,LN(W547),LN(1-W547))</f>
        <v/>
      </c>
      <c r="Y547" s="10">
        <f>IF(W547&gt;$AC$33,1,0)</f>
        <v/>
      </c>
      <c r="Z547">
        <f>IF(Y547=C547,1,0)</f>
        <v/>
      </c>
    </row>
    <row r="548">
      <c r="A548">
        <f>'1 prepared data'!A541</f>
        <v/>
      </c>
      <c r="B548" s="5">
        <f>'1 prepared data'!U541</f>
        <v/>
      </c>
      <c r="C548">
        <f>'1 prepared data'!B541</f>
        <v/>
      </c>
      <c r="D548" s="7">
        <f>'1 prepared data'!C541</f>
        <v/>
      </c>
      <c r="E548" s="7">
        <f>'1 prepared data'!D541</f>
        <v/>
      </c>
      <c r="F548" s="7">
        <f>'1 prepared data'!E541</f>
        <v/>
      </c>
      <c r="G548" s="7">
        <f>'1 prepared data'!F541</f>
        <v/>
      </c>
      <c r="H548" s="7">
        <f>'1 prepared data'!G541</f>
        <v/>
      </c>
      <c r="I548" s="7">
        <f>'1 prepared data'!H541</f>
        <v/>
      </c>
      <c r="J548" s="7">
        <f>'1 prepared data'!I541</f>
        <v/>
      </c>
      <c r="K548" s="7">
        <f>'1 prepared data'!J541</f>
        <v/>
      </c>
      <c r="L548" s="7">
        <f>'1 prepared data'!K541</f>
        <v/>
      </c>
      <c r="M548" s="7">
        <f>'1 prepared data'!L541</f>
        <v/>
      </c>
      <c r="N548" s="7">
        <f>'1 prepared data'!M541</f>
        <v/>
      </c>
      <c r="O548" s="7">
        <f>'1 prepared data'!N541</f>
        <v/>
      </c>
      <c r="P548" s="7">
        <f>'1 prepared data'!O541</f>
        <v/>
      </c>
      <c r="Q548" s="7">
        <f>'1 prepared data'!P541</f>
        <v/>
      </c>
      <c r="R548" s="7">
        <f>'1 prepared data'!Q541</f>
        <v/>
      </c>
      <c r="S548" s="7">
        <f>'1 prepared data'!R541</f>
        <v/>
      </c>
      <c r="T548" s="7">
        <f>'1 prepared data'!S541</f>
        <v/>
      </c>
      <c r="U548" s="7">
        <f>'1 prepared data'!T541</f>
        <v/>
      </c>
      <c r="V548" s="8">
        <f>$AC$12+D548*$AC$13+E548*$AC$14+F548*$AC$15+G548*$AC$16+H548*$AC$17+I548*$AC$18+J548*$AC$19+K548*$AC$20+L548*$AC$21+M548*$AC$22+N548*$AC$23+O548*$AC$24+P548*$AC$25+Q548*$AC$26+R548*$AC$27+S548*$AC$28+T548*$AC$29+U548*$AC$30</f>
        <v/>
      </c>
      <c r="W548" s="8">
        <f>1/(1+EXP(-V548))</f>
        <v/>
      </c>
      <c r="X548" s="9">
        <f>-IF(C548=1,LN(W548),LN(1-W548))</f>
        <v/>
      </c>
      <c r="Y548" s="10">
        <f>IF(W548&gt;$AC$33,1,0)</f>
        <v/>
      </c>
      <c r="Z548">
        <f>IF(Y548=C548,1,0)</f>
        <v/>
      </c>
    </row>
    <row r="549">
      <c r="A549">
        <f>'1 prepared data'!A542</f>
        <v/>
      </c>
      <c r="B549" s="5">
        <f>'1 prepared data'!U542</f>
        <v/>
      </c>
      <c r="C549">
        <f>'1 prepared data'!B542</f>
        <v/>
      </c>
      <c r="D549" s="7">
        <f>'1 prepared data'!C542</f>
        <v/>
      </c>
      <c r="E549" s="7">
        <f>'1 prepared data'!D542</f>
        <v/>
      </c>
      <c r="F549" s="7">
        <f>'1 prepared data'!E542</f>
        <v/>
      </c>
      <c r="G549" s="7">
        <f>'1 prepared data'!F542</f>
        <v/>
      </c>
      <c r="H549" s="7">
        <f>'1 prepared data'!G542</f>
        <v/>
      </c>
      <c r="I549" s="7">
        <f>'1 prepared data'!H542</f>
        <v/>
      </c>
      <c r="J549" s="7">
        <f>'1 prepared data'!I542</f>
        <v/>
      </c>
      <c r="K549" s="7">
        <f>'1 prepared data'!J542</f>
        <v/>
      </c>
      <c r="L549" s="7">
        <f>'1 prepared data'!K542</f>
        <v/>
      </c>
      <c r="M549" s="7">
        <f>'1 prepared data'!L542</f>
        <v/>
      </c>
      <c r="N549" s="7">
        <f>'1 prepared data'!M542</f>
        <v/>
      </c>
      <c r="O549" s="7">
        <f>'1 prepared data'!N542</f>
        <v/>
      </c>
      <c r="P549" s="7">
        <f>'1 prepared data'!O542</f>
        <v/>
      </c>
      <c r="Q549" s="7">
        <f>'1 prepared data'!P542</f>
        <v/>
      </c>
      <c r="R549" s="7">
        <f>'1 prepared data'!Q542</f>
        <v/>
      </c>
      <c r="S549" s="7">
        <f>'1 prepared data'!R542</f>
        <v/>
      </c>
      <c r="T549" s="7">
        <f>'1 prepared data'!S542</f>
        <v/>
      </c>
      <c r="U549" s="7">
        <f>'1 prepared data'!T542</f>
        <v/>
      </c>
      <c r="V549" s="8">
        <f>$AC$12+D549*$AC$13+E549*$AC$14+F549*$AC$15+G549*$AC$16+H549*$AC$17+I549*$AC$18+J549*$AC$19+K549*$AC$20+L549*$AC$21+M549*$AC$22+N549*$AC$23+O549*$AC$24+P549*$AC$25+Q549*$AC$26+R549*$AC$27+S549*$AC$28+T549*$AC$29+U549*$AC$30</f>
        <v/>
      </c>
      <c r="W549" s="8">
        <f>1/(1+EXP(-V549))</f>
        <v/>
      </c>
      <c r="X549" s="9">
        <f>-IF(C549=1,LN(W549),LN(1-W549))</f>
        <v/>
      </c>
      <c r="Y549" s="10">
        <f>IF(W549&gt;$AC$33,1,0)</f>
        <v/>
      </c>
      <c r="Z549">
        <f>IF(Y549=C549,1,0)</f>
        <v/>
      </c>
    </row>
    <row r="550">
      <c r="A550">
        <f>'1 prepared data'!A543</f>
        <v/>
      </c>
      <c r="B550" s="5">
        <f>'1 prepared data'!U543</f>
        <v/>
      </c>
      <c r="C550">
        <f>'1 prepared data'!B543</f>
        <v/>
      </c>
      <c r="D550" s="7">
        <f>'1 prepared data'!C543</f>
        <v/>
      </c>
      <c r="E550" s="7">
        <f>'1 prepared data'!D543</f>
        <v/>
      </c>
      <c r="F550" s="7">
        <f>'1 prepared data'!E543</f>
        <v/>
      </c>
      <c r="G550" s="7">
        <f>'1 prepared data'!F543</f>
        <v/>
      </c>
      <c r="H550" s="7">
        <f>'1 prepared data'!G543</f>
        <v/>
      </c>
      <c r="I550" s="7">
        <f>'1 prepared data'!H543</f>
        <v/>
      </c>
      <c r="J550" s="7">
        <f>'1 prepared data'!I543</f>
        <v/>
      </c>
      <c r="K550" s="7">
        <f>'1 prepared data'!J543</f>
        <v/>
      </c>
      <c r="L550" s="7">
        <f>'1 prepared data'!K543</f>
        <v/>
      </c>
      <c r="M550" s="7">
        <f>'1 prepared data'!L543</f>
        <v/>
      </c>
      <c r="N550" s="7">
        <f>'1 prepared data'!M543</f>
        <v/>
      </c>
      <c r="O550" s="7">
        <f>'1 prepared data'!N543</f>
        <v/>
      </c>
      <c r="P550" s="7">
        <f>'1 prepared data'!O543</f>
        <v/>
      </c>
      <c r="Q550" s="7">
        <f>'1 prepared data'!P543</f>
        <v/>
      </c>
      <c r="R550" s="7">
        <f>'1 prepared data'!Q543</f>
        <v/>
      </c>
      <c r="S550" s="7">
        <f>'1 prepared data'!R543</f>
        <v/>
      </c>
      <c r="T550" s="7">
        <f>'1 prepared data'!S543</f>
        <v/>
      </c>
      <c r="U550" s="7">
        <f>'1 prepared data'!T543</f>
        <v/>
      </c>
      <c r="V550" s="8">
        <f>$AC$12+D550*$AC$13+E550*$AC$14+F550*$AC$15+G550*$AC$16+H550*$AC$17+I550*$AC$18+J550*$AC$19+K550*$AC$20+L550*$AC$21+M550*$AC$22+N550*$AC$23+O550*$AC$24+P550*$AC$25+Q550*$AC$26+R550*$AC$27+S550*$AC$28+T550*$AC$29+U550*$AC$30</f>
        <v/>
      </c>
      <c r="W550" s="8">
        <f>1/(1+EXP(-V550))</f>
        <v/>
      </c>
      <c r="X550" s="9">
        <f>-IF(C550=1,LN(W550),LN(1-W550))</f>
        <v/>
      </c>
      <c r="Y550" s="10">
        <f>IF(W550&gt;$AC$33,1,0)</f>
        <v/>
      </c>
      <c r="Z550">
        <f>IF(Y550=C550,1,0)</f>
        <v/>
      </c>
    </row>
    <row r="551">
      <c r="A551">
        <f>'1 prepared data'!A544</f>
        <v/>
      </c>
      <c r="B551" s="5">
        <f>'1 prepared data'!U544</f>
        <v/>
      </c>
      <c r="C551">
        <f>'1 prepared data'!B544</f>
        <v/>
      </c>
      <c r="D551" s="7">
        <f>'1 prepared data'!C544</f>
        <v/>
      </c>
      <c r="E551" s="7">
        <f>'1 prepared data'!D544</f>
        <v/>
      </c>
      <c r="F551" s="7">
        <f>'1 prepared data'!E544</f>
        <v/>
      </c>
      <c r="G551" s="7">
        <f>'1 prepared data'!F544</f>
        <v/>
      </c>
      <c r="H551" s="7">
        <f>'1 prepared data'!G544</f>
        <v/>
      </c>
      <c r="I551" s="7">
        <f>'1 prepared data'!H544</f>
        <v/>
      </c>
      <c r="J551" s="7">
        <f>'1 prepared data'!I544</f>
        <v/>
      </c>
      <c r="K551" s="7">
        <f>'1 prepared data'!J544</f>
        <v/>
      </c>
      <c r="L551" s="7">
        <f>'1 prepared data'!K544</f>
        <v/>
      </c>
      <c r="M551" s="7">
        <f>'1 prepared data'!L544</f>
        <v/>
      </c>
      <c r="N551" s="7">
        <f>'1 prepared data'!M544</f>
        <v/>
      </c>
      <c r="O551" s="7">
        <f>'1 prepared data'!N544</f>
        <v/>
      </c>
      <c r="P551" s="7">
        <f>'1 prepared data'!O544</f>
        <v/>
      </c>
      <c r="Q551" s="7">
        <f>'1 prepared data'!P544</f>
        <v/>
      </c>
      <c r="R551" s="7">
        <f>'1 prepared data'!Q544</f>
        <v/>
      </c>
      <c r="S551" s="7">
        <f>'1 prepared data'!R544</f>
        <v/>
      </c>
      <c r="T551" s="7">
        <f>'1 prepared data'!S544</f>
        <v/>
      </c>
      <c r="U551" s="7">
        <f>'1 prepared data'!T544</f>
        <v/>
      </c>
      <c r="V551" s="8">
        <f>$AC$12+D551*$AC$13+E551*$AC$14+F551*$AC$15+G551*$AC$16+H551*$AC$17+I551*$AC$18+J551*$AC$19+K551*$AC$20+L551*$AC$21+M551*$AC$22+N551*$AC$23+O551*$AC$24+P551*$AC$25+Q551*$AC$26+R551*$AC$27+S551*$AC$28+T551*$AC$29+U551*$AC$30</f>
        <v/>
      </c>
      <c r="W551" s="8">
        <f>1/(1+EXP(-V551))</f>
        <v/>
      </c>
      <c r="X551" s="9">
        <f>-IF(C551=1,LN(W551),LN(1-W551))</f>
        <v/>
      </c>
      <c r="Y551" s="10">
        <f>IF(W551&gt;$AC$33,1,0)</f>
        <v/>
      </c>
      <c r="Z551">
        <f>IF(Y551=C551,1,0)</f>
        <v/>
      </c>
    </row>
    <row r="552">
      <c r="A552">
        <f>'1 prepared data'!A545</f>
        <v/>
      </c>
      <c r="B552" s="5">
        <f>'1 prepared data'!U545</f>
        <v/>
      </c>
      <c r="C552">
        <f>'1 prepared data'!B545</f>
        <v/>
      </c>
      <c r="D552" s="7">
        <f>'1 prepared data'!C545</f>
        <v/>
      </c>
      <c r="E552" s="7">
        <f>'1 prepared data'!D545</f>
        <v/>
      </c>
      <c r="F552" s="7">
        <f>'1 prepared data'!E545</f>
        <v/>
      </c>
      <c r="G552" s="7">
        <f>'1 prepared data'!F545</f>
        <v/>
      </c>
      <c r="H552" s="7">
        <f>'1 prepared data'!G545</f>
        <v/>
      </c>
      <c r="I552" s="7">
        <f>'1 prepared data'!H545</f>
        <v/>
      </c>
      <c r="J552" s="7">
        <f>'1 prepared data'!I545</f>
        <v/>
      </c>
      <c r="K552" s="7">
        <f>'1 prepared data'!J545</f>
        <v/>
      </c>
      <c r="L552" s="7">
        <f>'1 prepared data'!K545</f>
        <v/>
      </c>
      <c r="M552" s="7">
        <f>'1 prepared data'!L545</f>
        <v/>
      </c>
      <c r="N552" s="7">
        <f>'1 prepared data'!M545</f>
        <v/>
      </c>
      <c r="O552" s="7">
        <f>'1 prepared data'!N545</f>
        <v/>
      </c>
      <c r="P552" s="7">
        <f>'1 prepared data'!O545</f>
        <v/>
      </c>
      <c r="Q552" s="7">
        <f>'1 prepared data'!P545</f>
        <v/>
      </c>
      <c r="R552" s="7">
        <f>'1 prepared data'!Q545</f>
        <v/>
      </c>
      <c r="S552" s="7">
        <f>'1 prepared data'!R545</f>
        <v/>
      </c>
      <c r="T552" s="7">
        <f>'1 prepared data'!S545</f>
        <v/>
      </c>
      <c r="U552" s="7">
        <f>'1 prepared data'!T545</f>
        <v/>
      </c>
      <c r="V552" s="8">
        <f>$AC$12+D552*$AC$13+E552*$AC$14+F552*$AC$15+G552*$AC$16+H552*$AC$17+I552*$AC$18+J552*$AC$19+K552*$AC$20+L552*$AC$21+M552*$AC$22+N552*$AC$23+O552*$AC$24+P552*$AC$25+Q552*$AC$26+R552*$AC$27+S552*$AC$28+T552*$AC$29+U552*$AC$30</f>
        <v/>
      </c>
      <c r="W552" s="8">
        <f>1/(1+EXP(-V552))</f>
        <v/>
      </c>
      <c r="X552" s="9">
        <f>-IF(C552=1,LN(W552),LN(1-W552))</f>
        <v/>
      </c>
      <c r="Y552" s="10">
        <f>IF(W552&gt;$AC$33,1,0)</f>
        <v/>
      </c>
      <c r="Z552">
        <f>IF(Y552=C552,1,0)</f>
        <v/>
      </c>
    </row>
    <row r="553">
      <c r="A553">
        <f>'1 prepared data'!A546</f>
        <v/>
      </c>
      <c r="B553" s="5">
        <f>'1 prepared data'!U546</f>
        <v/>
      </c>
      <c r="C553">
        <f>'1 prepared data'!B546</f>
        <v/>
      </c>
      <c r="D553" s="7">
        <f>'1 prepared data'!C546</f>
        <v/>
      </c>
      <c r="E553" s="7">
        <f>'1 prepared data'!D546</f>
        <v/>
      </c>
      <c r="F553" s="7">
        <f>'1 prepared data'!E546</f>
        <v/>
      </c>
      <c r="G553" s="7">
        <f>'1 prepared data'!F546</f>
        <v/>
      </c>
      <c r="H553" s="7">
        <f>'1 prepared data'!G546</f>
        <v/>
      </c>
      <c r="I553" s="7">
        <f>'1 prepared data'!H546</f>
        <v/>
      </c>
      <c r="J553" s="7">
        <f>'1 prepared data'!I546</f>
        <v/>
      </c>
      <c r="K553" s="7">
        <f>'1 prepared data'!J546</f>
        <v/>
      </c>
      <c r="L553" s="7">
        <f>'1 prepared data'!K546</f>
        <v/>
      </c>
      <c r="M553" s="7">
        <f>'1 prepared data'!L546</f>
        <v/>
      </c>
      <c r="N553" s="7">
        <f>'1 prepared data'!M546</f>
        <v/>
      </c>
      <c r="O553" s="7">
        <f>'1 prepared data'!N546</f>
        <v/>
      </c>
      <c r="P553" s="7">
        <f>'1 prepared data'!O546</f>
        <v/>
      </c>
      <c r="Q553" s="7">
        <f>'1 prepared data'!P546</f>
        <v/>
      </c>
      <c r="R553" s="7">
        <f>'1 prepared data'!Q546</f>
        <v/>
      </c>
      <c r="S553" s="7">
        <f>'1 prepared data'!R546</f>
        <v/>
      </c>
      <c r="T553" s="7">
        <f>'1 prepared data'!S546</f>
        <v/>
      </c>
      <c r="U553" s="7">
        <f>'1 prepared data'!T546</f>
        <v/>
      </c>
      <c r="V553" s="8">
        <f>$AC$12+D553*$AC$13+E553*$AC$14+F553*$AC$15+G553*$AC$16+H553*$AC$17+I553*$AC$18+J553*$AC$19+K553*$AC$20+L553*$AC$21+M553*$AC$22+N553*$AC$23+O553*$AC$24+P553*$AC$25+Q553*$AC$26+R553*$AC$27+S553*$AC$28+T553*$AC$29+U553*$AC$30</f>
        <v/>
      </c>
      <c r="W553" s="8">
        <f>1/(1+EXP(-V553))</f>
        <v/>
      </c>
      <c r="X553" s="9">
        <f>-IF(C553=1,LN(W553),LN(1-W553))</f>
        <v/>
      </c>
      <c r="Y553" s="10">
        <f>IF(W553&gt;$AC$33,1,0)</f>
        <v/>
      </c>
      <c r="Z553">
        <f>IF(Y553=C553,1,0)</f>
        <v/>
      </c>
    </row>
    <row r="554">
      <c r="A554">
        <f>'1 prepared data'!A547</f>
        <v/>
      </c>
      <c r="B554" s="5">
        <f>'1 prepared data'!U547</f>
        <v/>
      </c>
      <c r="C554">
        <f>'1 prepared data'!B547</f>
        <v/>
      </c>
      <c r="D554" s="7">
        <f>'1 prepared data'!C547</f>
        <v/>
      </c>
      <c r="E554" s="7">
        <f>'1 prepared data'!D547</f>
        <v/>
      </c>
      <c r="F554" s="7">
        <f>'1 prepared data'!E547</f>
        <v/>
      </c>
      <c r="G554" s="7">
        <f>'1 prepared data'!F547</f>
        <v/>
      </c>
      <c r="H554" s="7">
        <f>'1 prepared data'!G547</f>
        <v/>
      </c>
      <c r="I554" s="7">
        <f>'1 prepared data'!H547</f>
        <v/>
      </c>
      <c r="J554" s="7">
        <f>'1 prepared data'!I547</f>
        <v/>
      </c>
      <c r="K554" s="7">
        <f>'1 prepared data'!J547</f>
        <v/>
      </c>
      <c r="L554" s="7">
        <f>'1 prepared data'!K547</f>
        <v/>
      </c>
      <c r="M554" s="7">
        <f>'1 prepared data'!L547</f>
        <v/>
      </c>
      <c r="N554" s="7">
        <f>'1 prepared data'!M547</f>
        <v/>
      </c>
      <c r="O554" s="7">
        <f>'1 prepared data'!N547</f>
        <v/>
      </c>
      <c r="P554" s="7">
        <f>'1 prepared data'!O547</f>
        <v/>
      </c>
      <c r="Q554" s="7">
        <f>'1 prepared data'!P547</f>
        <v/>
      </c>
      <c r="R554" s="7">
        <f>'1 prepared data'!Q547</f>
        <v/>
      </c>
      <c r="S554" s="7">
        <f>'1 prepared data'!R547</f>
        <v/>
      </c>
      <c r="T554" s="7">
        <f>'1 prepared data'!S547</f>
        <v/>
      </c>
      <c r="U554" s="7">
        <f>'1 prepared data'!T547</f>
        <v/>
      </c>
      <c r="V554" s="8">
        <f>$AC$12+D554*$AC$13+E554*$AC$14+F554*$AC$15+G554*$AC$16+H554*$AC$17+I554*$AC$18+J554*$AC$19+K554*$AC$20+L554*$AC$21+M554*$AC$22+N554*$AC$23+O554*$AC$24+P554*$AC$25+Q554*$AC$26+R554*$AC$27+S554*$AC$28+T554*$AC$29+U554*$AC$30</f>
        <v/>
      </c>
      <c r="W554" s="8">
        <f>1/(1+EXP(-V554))</f>
        <v/>
      </c>
      <c r="X554" s="9">
        <f>-IF(C554=1,LN(W554),LN(1-W554))</f>
        <v/>
      </c>
      <c r="Y554" s="10">
        <f>IF(W554&gt;$AC$33,1,0)</f>
        <v/>
      </c>
      <c r="Z554">
        <f>IF(Y554=C554,1,0)</f>
        <v/>
      </c>
    </row>
    <row r="555">
      <c r="A555">
        <f>'1 prepared data'!A548</f>
        <v/>
      </c>
      <c r="B555" s="5">
        <f>'1 prepared data'!U548</f>
        <v/>
      </c>
      <c r="C555">
        <f>'1 prepared data'!B548</f>
        <v/>
      </c>
      <c r="D555" s="7">
        <f>'1 prepared data'!C548</f>
        <v/>
      </c>
      <c r="E555" s="7">
        <f>'1 prepared data'!D548</f>
        <v/>
      </c>
      <c r="F555" s="7">
        <f>'1 prepared data'!E548</f>
        <v/>
      </c>
      <c r="G555" s="7">
        <f>'1 prepared data'!F548</f>
        <v/>
      </c>
      <c r="H555" s="7">
        <f>'1 prepared data'!G548</f>
        <v/>
      </c>
      <c r="I555" s="7">
        <f>'1 prepared data'!H548</f>
        <v/>
      </c>
      <c r="J555" s="7">
        <f>'1 prepared data'!I548</f>
        <v/>
      </c>
      <c r="K555" s="7">
        <f>'1 prepared data'!J548</f>
        <v/>
      </c>
      <c r="L555" s="7">
        <f>'1 prepared data'!K548</f>
        <v/>
      </c>
      <c r="M555" s="7">
        <f>'1 prepared data'!L548</f>
        <v/>
      </c>
      <c r="N555" s="7">
        <f>'1 prepared data'!M548</f>
        <v/>
      </c>
      <c r="O555" s="7">
        <f>'1 prepared data'!N548</f>
        <v/>
      </c>
      <c r="P555" s="7">
        <f>'1 prepared data'!O548</f>
        <v/>
      </c>
      <c r="Q555" s="7">
        <f>'1 prepared data'!P548</f>
        <v/>
      </c>
      <c r="R555" s="7">
        <f>'1 prepared data'!Q548</f>
        <v/>
      </c>
      <c r="S555" s="7">
        <f>'1 prepared data'!R548</f>
        <v/>
      </c>
      <c r="T555" s="7">
        <f>'1 prepared data'!S548</f>
        <v/>
      </c>
      <c r="U555" s="7">
        <f>'1 prepared data'!T548</f>
        <v/>
      </c>
      <c r="V555" s="8">
        <f>$AC$12+D555*$AC$13+E555*$AC$14+F555*$AC$15+G555*$AC$16+H555*$AC$17+I555*$AC$18+J555*$AC$19+K555*$AC$20+L555*$AC$21+M555*$AC$22+N555*$AC$23+O555*$AC$24+P555*$AC$25+Q555*$AC$26+R555*$AC$27+S555*$AC$28+T555*$AC$29+U555*$AC$30</f>
        <v/>
      </c>
      <c r="W555" s="8">
        <f>1/(1+EXP(-V555))</f>
        <v/>
      </c>
      <c r="X555" s="9">
        <f>-IF(C555=1,LN(W555),LN(1-W555))</f>
        <v/>
      </c>
      <c r="Y555" s="10">
        <f>IF(W555&gt;$AC$33,1,0)</f>
        <v/>
      </c>
      <c r="Z555">
        <f>IF(Y555=C555,1,0)</f>
        <v/>
      </c>
    </row>
    <row r="556">
      <c r="A556">
        <f>'1 prepared data'!A549</f>
        <v/>
      </c>
      <c r="B556" s="5">
        <f>'1 prepared data'!U549</f>
        <v/>
      </c>
      <c r="C556">
        <f>'1 prepared data'!B549</f>
        <v/>
      </c>
      <c r="D556" s="7">
        <f>'1 prepared data'!C549</f>
        <v/>
      </c>
      <c r="E556" s="7">
        <f>'1 prepared data'!D549</f>
        <v/>
      </c>
      <c r="F556" s="7">
        <f>'1 prepared data'!E549</f>
        <v/>
      </c>
      <c r="G556" s="7">
        <f>'1 prepared data'!F549</f>
        <v/>
      </c>
      <c r="H556" s="7">
        <f>'1 prepared data'!G549</f>
        <v/>
      </c>
      <c r="I556" s="7">
        <f>'1 prepared data'!H549</f>
        <v/>
      </c>
      <c r="J556" s="7">
        <f>'1 prepared data'!I549</f>
        <v/>
      </c>
      <c r="K556" s="7">
        <f>'1 prepared data'!J549</f>
        <v/>
      </c>
      <c r="L556" s="7">
        <f>'1 prepared data'!K549</f>
        <v/>
      </c>
      <c r="M556" s="7">
        <f>'1 prepared data'!L549</f>
        <v/>
      </c>
      <c r="N556" s="7">
        <f>'1 prepared data'!M549</f>
        <v/>
      </c>
      <c r="O556" s="7">
        <f>'1 prepared data'!N549</f>
        <v/>
      </c>
      <c r="P556" s="7">
        <f>'1 prepared data'!O549</f>
        <v/>
      </c>
      <c r="Q556" s="7">
        <f>'1 prepared data'!P549</f>
        <v/>
      </c>
      <c r="R556" s="7">
        <f>'1 prepared data'!Q549</f>
        <v/>
      </c>
      <c r="S556" s="7">
        <f>'1 prepared data'!R549</f>
        <v/>
      </c>
      <c r="T556" s="7">
        <f>'1 prepared data'!S549</f>
        <v/>
      </c>
      <c r="U556" s="7">
        <f>'1 prepared data'!T549</f>
        <v/>
      </c>
      <c r="V556" s="8">
        <f>$AC$12+D556*$AC$13+E556*$AC$14+F556*$AC$15+G556*$AC$16+H556*$AC$17+I556*$AC$18+J556*$AC$19+K556*$AC$20+L556*$AC$21+M556*$AC$22+N556*$AC$23+O556*$AC$24+P556*$AC$25+Q556*$AC$26+R556*$AC$27+S556*$AC$28+T556*$AC$29+U556*$AC$30</f>
        <v/>
      </c>
      <c r="W556" s="8">
        <f>1/(1+EXP(-V556))</f>
        <v/>
      </c>
      <c r="X556" s="9">
        <f>-IF(C556=1,LN(W556),LN(1-W556))</f>
        <v/>
      </c>
      <c r="Y556" s="10">
        <f>IF(W556&gt;$AC$33,1,0)</f>
        <v/>
      </c>
      <c r="Z556">
        <f>IF(Y556=C556,1,0)</f>
        <v/>
      </c>
    </row>
    <row r="557">
      <c r="A557">
        <f>'1 prepared data'!A550</f>
        <v/>
      </c>
      <c r="B557" s="5">
        <f>'1 prepared data'!U550</f>
        <v/>
      </c>
      <c r="C557">
        <f>'1 prepared data'!B550</f>
        <v/>
      </c>
      <c r="D557" s="7">
        <f>'1 prepared data'!C550</f>
        <v/>
      </c>
      <c r="E557" s="7">
        <f>'1 prepared data'!D550</f>
        <v/>
      </c>
      <c r="F557" s="7">
        <f>'1 prepared data'!E550</f>
        <v/>
      </c>
      <c r="G557" s="7">
        <f>'1 prepared data'!F550</f>
        <v/>
      </c>
      <c r="H557" s="7">
        <f>'1 prepared data'!G550</f>
        <v/>
      </c>
      <c r="I557" s="7">
        <f>'1 prepared data'!H550</f>
        <v/>
      </c>
      <c r="J557" s="7">
        <f>'1 prepared data'!I550</f>
        <v/>
      </c>
      <c r="K557" s="7">
        <f>'1 prepared data'!J550</f>
        <v/>
      </c>
      <c r="L557" s="7">
        <f>'1 prepared data'!K550</f>
        <v/>
      </c>
      <c r="M557" s="7">
        <f>'1 prepared data'!L550</f>
        <v/>
      </c>
      <c r="N557" s="7">
        <f>'1 prepared data'!M550</f>
        <v/>
      </c>
      <c r="O557" s="7">
        <f>'1 prepared data'!N550</f>
        <v/>
      </c>
      <c r="P557" s="7">
        <f>'1 prepared data'!O550</f>
        <v/>
      </c>
      <c r="Q557" s="7">
        <f>'1 prepared data'!P550</f>
        <v/>
      </c>
      <c r="R557" s="7">
        <f>'1 prepared data'!Q550</f>
        <v/>
      </c>
      <c r="S557" s="7">
        <f>'1 prepared data'!R550</f>
        <v/>
      </c>
      <c r="T557" s="7">
        <f>'1 prepared data'!S550</f>
        <v/>
      </c>
      <c r="U557" s="7">
        <f>'1 prepared data'!T550</f>
        <v/>
      </c>
      <c r="V557" s="8">
        <f>$AC$12+D557*$AC$13+E557*$AC$14+F557*$AC$15+G557*$AC$16+H557*$AC$17+I557*$AC$18+J557*$AC$19+K557*$AC$20+L557*$AC$21+M557*$AC$22+N557*$AC$23+O557*$AC$24+P557*$AC$25+Q557*$AC$26+R557*$AC$27+S557*$AC$28+T557*$AC$29+U557*$AC$30</f>
        <v/>
      </c>
      <c r="W557" s="8">
        <f>1/(1+EXP(-V557))</f>
        <v/>
      </c>
      <c r="X557" s="9">
        <f>-IF(C557=1,LN(W557),LN(1-W557))</f>
        <v/>
      </c>
      <c r="Y557" s="10">
        <f>IF(W557&gt;$AC$33,1,0)</f>
        <v/>
      </c>
      <c r="Z557">
        <f>IF(Y557=C557,1,0)</f>
        <v/>
      </c>
    </row>
    <row r="558">
      <c r="A558">
        <f>'1 prepared data'!A551</f>
        <v/>
      </c>
      <c r="B558" s="5">
        <f>'1 prepared data'!U551</f>
        <v/>
      </c>
      <c r="C558">
        <f>'1 prepared data'!B551</f>
        <v/>
      </c>
      <c r="D558" s="7">
        <f>'1 prepared data'!C551</f>
        <v/>
      </c>
      <c r="E558" s="7">
        <f>'1 prepared data'!D551</f>
        <v/>
      </c>
      <c r="F558" s="7">
        <f>'1 prepared data'!E551</f>
        <v/>
      </c>
      <c r="G558" s="7">
        <f>'1 prepared data'!F551</f>
        <v/>
      </c>
      <c r="H558" s="7">
        <f>'1 prepared data'!G551</f>
        <v/>
      </c>
      <c r="I558" s="7">
        <f>'1 prepared data'!H551</f>
        <v/>
      </c>
      <c r="J558" s="7">
        <f>'1 prepared data'!I551</f>
        <v/>
      </c>
      <c r="K558" s="7">
        <f>'1 prepared data'!J551</f>
        <v/>
      </c>
      <c r="L558" s="7">
        <f>'1 prepared data'!K551</f>
        <v/>
      </c>
      <c r="M558" s="7">
        <f>'1 prepared data'!L551</f>
        <v/>
      </c>
      <c r="N558" s="7">
        <f>'1 prepared data'!M551</f>
        <v/>
      </c>
      <c r="O558" s="7">
        <f>'1 prepared data'!N551</f>
        <v/>
      </c>
      <c r="P558" s="7">
        <f>'1 prepared data'!O551</f>
        <v/>
      </c>
      <c r="Q558" s="7">
        <f>'1 prepared data'!P551</f>
        <v/>
      </c>
      <c r="R558" s="7">
        <f>'1 prepared data'!Q551</f>
        <v/>
      </c>
      <c r="S558" s="7">
        <f>'1 prepared data'!R551</f>
        <v/>
      </c>
      <c r="T558" s="7">
        <f>'1 prepared data'!S551</f>
        <v/>
      </c>
      <c r="U558" s="7">
        <f>'1 prepared data'!T551</f>
        <v/>
      </c>
      <c r="V558" s="8">
        <f>$AC$12+D558*$AC$13+E558*$AC$14+F558*$AC$15+G558*$AC$16+H558*$AC$17+I558*$AC$18+J558*$AC$19+K558*$AC$20+L558*$AC$21+M558*$AC$22+N558*$AC$23+O558*$AC$24+P558*$AC$25+Q558*$AC$26+R558*$AC$27+S558*$AC$28+T558*$AC$29+U558*$AC$30</f>
        <v/>
      </c>
      <c r="W558" s="8">
        <f>1/(1+EXP(-V558))</f>
        <v/>
      </c>
      <c r="X558" s="9">
        <f>-IF(C558=1,LN(W558),LN(1-W558))</f>
        <v/>
      </c>
      <c r="Y558" s="10">
        <f>IF(W558&gt;$AC$33,1,0)</f>
        <v/>
      </c>
      <c r="Z558">
        <f>IF(Y558=C558,1,0)</f>
        <v/>
      </c>
    </row>
    <row r="559">
      <c r="A559">
        <f>'1 prepared data'!A552</f>
        <v/>
      </c>
      <c r="B559" s="5">
        <f>'1 prepared data'!U552</f>
        <v/>
      </c>
      <c r="C559">
        <f>'1 prepared data'!B552</f>
        <v/>
      </c>
      <c r="D559" s="7">
        <f>'1 prepared data'!C552</f>
        <v/>
      </c>
      <c r="E559" s="7">
        <f>'1 prepared data'!D552</f>
        <v/>
      </c>
      <c r="F559" s="7">
        <f>'1 prepared data'!E552</f>
        <v/>
      </c>
      <c r="G559" s="7">
        <f>'1 prepared data'!F552</f>
        <v/>
      </c>
      <c r="H559" s="7">
        <f>'1 prepared data'!G552</f>
        <v/>
      </c>
      <c r="I559" s="7">
        <f>'1 prepared data'!H552</f>
        <v/>
      </c>
      <c r="J559" s="7">
        <f>'1 prepared data'!I552</f>
        <v/>
      </c>
      <c r="K559" s="7">
        <f>'1 prepared data'!J552</f>
        <v/>
      </c>
      <c r="L559" s="7">
        <f>'1 prepared data'!K552</f>
        <v/>
      </c>
      <c r="M559" s="7">
        <f>'1 prepared data'!L552</f>
        <v/>
      </c>
      <c r="N559" s="7">
        <f>'1 prepared data'!M552</f>
        <v/>
      </c>
      <c r="O559" s="7">
        <f>'1 prepared data'!N552</f>
        <v/>
      </c>
      <c r="P559" s="7">
        <f>'1 prepared data'!O552</f>
        <v/>
      </c>
      <c r="Q559" s="7">
        <f>'1 prepared data'!P552</f>
        <v/>
      </c>
      <c r="R559" s="7">
        <f>'1 prepared data'!Q552</f>
        <v/>
      </c>
      <c r="S559" s="7">
        <f>'1 prepared data'!R552</f>
        <v/>
      </c>
      <c r="T559" s="7">
        <f>'1 prepared data'!S552</f>
        <v/>
      </c>
      <c r="U559" s="7">
        <f>'1 prepared data'!T552</f>
        <v/>
      </c>
      <c r="V559" s="8">
        <f>$AC$12+D559*$AC$13+E559*$AC$14+F559*$AC$15+G559*$AC$16+H559*$AC$17+I559*$AC$18+J559*$AC$19+K559*$AC$20+L559*$AC$21+M559*$AC$22+N559*$AC$23+O559*$AC$24+P559*$AC$25+Q559*$AC$26+R559*$AC$27+S559*$AC$28+T559*$AC$29+U559*$AC$30</f>
        <v/>
      </c>
      <c r="W559" s="8">
        <f>1/(1+EXP(-V559))</f>
        <v/>
      </c>
      <c r="X559" s="9">
        <f>-IF(C559=1,LN(W559),LN(1-W559))</f>
        <v/>
      </c>
      <c r="Y559" s="10">
        <f>IF(W559&gt;$AC$33,1,0)</f>
        <v/>
      </c>
      <c r="Z559">
        <f>IF(Y559=C559,1,0)</f>
        <v/>
      </c>
    </row>
    <row r="560">
      <c r="A560">
        <f>'1 prepared data'!A553</f>
        <v/>
      </c>
      <c r="B560" s="5">
        <f>'1 prepared data'!U553</f>
        <v/>
      </c>
      <c r="C560">
        <f>'1 prepared data'!B553</f>
        <v/>
      </c>
      <c r="D560" s="7">
        <f>'1 prepared data'!C553</f>
        <v/>
      </c>
      <c r="E560" s="7">
        <f>'1 prepared data'!D553</f>
        <v/>
      </c>
      <c r="F560" s="7">
        <f>'1 prepared data'!E553</f>
        <v/>
      </c>
      <c r="G560" s="7">
        <f>'1 prepared data'!F553</f>
        <v/>
      </c>
      <c r="H560" s="7">
        <f>'1 prepared data'!G553</f>
        <v/>
      </c>
      <c r="I560" s="7">
        <f>'1 prepared data'!H553</f>
        <v/>
      </c>
      <c r="J560" s="7">
        <f>'1 prepared data'!I553</f>
        <v/>
      </c>
      <c r="K560" s="7">
        <f>'1 prepared data'!J553</f>
        <v/>
      </c>
      <c r="L560" s="7">
        <f>'1 prepared data'!K553</f>
        <v/>
      </c>
      <c r="M560" s="7">
        <f>'1 prepared data'!L553</f>
        <v/>
      </c>
      <c r="N560" s="7">
        <f>'1 prepared data'!M553</f>
        <v/>
      </c>
      <c r="O560" s="7">
        <f>'1 prepared data'!N553</f>
        <v/>
      </c>
      <c r="P560" s="7">
        <f>'1 prepared data'!O553</f>
        <v/>
      </c>
      <c r="Q560" s="7">
        <f>'1 prepared data'!P553</f>
        <v/>
      </c>
      <c r="R560" s="7">
        <f>'1 prepared data'!Q553</f>
        <v/>
      </c>
      <c r="S560" s="7">
        <f>'1 prepared data'!R553</f>
        <v/>
      </c>
      <c r="T560" s="7">
        <f>'1 prepared data'!S553</f>
        <v/>
      </c>
      <c r="U560" s="7">
        <f>'1 prepared data'!T553</f>
        <v/>
      </c>
      <c r="V560" s="8">
        <f>$AC$12+D560*$AC$13+E560*$AC$14+F560*$AC$15+G560*$AC$16+H560*$AC$17+I560*$AC$18+J560*$AC$19+K560*$AC$20+L560*$AC$21+M560*$AC$22+N560*$AC$23+O560*$AC$24+P560*$AC$25+Q560*$AC$26+R560*$AC$27+S560*$AC$28+T560*$AC$29+U560*$AC$30</f>
        <v/>
      </c>
      <c r="W560" s="8">
        <f>1/(1+EXP(-V560))</f>
        <v/>
      </c>
      <c r="X560" s="9">
        <f>-IF(C560=1,LN(W560),LN(1-W560))</f>
        <v/>
      </c>
      <c r="Y560" s="10">
        <f>IF(W560&gt;$AC$33,1,0)</f>
        <v/>
      </c>
      <c r="Z560">
        <f>IF(Y560=C560,1,0)</f>
        <v/>
      </c>
    </row>
    <row r="561">
      <c r="A561">
        <f>'1 prepared data'!A554</f>
        <v/>
      </c>
      <c r="B561" s="5">
        <f>'1 prepared data'!U554</f>
        <v/>
      </c>
      <c r="C561">
        <f>'1 prepared data'!B554</f>
        <v/>
      </c>
      <c r="D561" s="7">
        <f>'1 prepared data'!C554</f>
        <v/>
      </c>
      <c r="E561" s="7">
        <f>'1 prepared data'!D554</f>
        <v/>
      </c>
      <c r="F561" s="7">
        <f>'1 prepared data'!E554</f>
        <v/>
      </c>
      <c r="G561" s="7">
        <f>'1 prepared data'!F554</f>
        <v/>
      </c>
      <c r="H561" s="7">
        <f>'1 prepared data'!G554</f>
        <v/>
      </c>
      <c r="I561" s="7">
        <f>'1 prepared data'!H554</f>
        <v/>
      </c>
      <c r="J561" s="7">
        <f>'1 prepared data'!I554</f>
        <v/>
      </c>
      <c r="K561" s="7">
        <f>'1 prepared data'!J554</f>
        <v/>
      </c>
      <c r="L561" s="7">
        <f>'1 prepared data'!K554</f>
        <v/>
      </c>
      <c r="M561" s="7">
        <f>'1 prepared data'!L554</f>
        <v/>
      </c>
      <c r="N561" s="7">
        <f>'1 prepared data'!M554</f>
        <v/>
      </c>
      <c r="O561" s="7">
        <f>'1 prepared data'!N554</f>
        <v/>
      </c>
      <c r="P561" s="7">
        <f>'1 prepared data'!O554</f>
        <v/>
      </c>
      <c r="Q561" s="7">
        <f>'1 prepared data'!P554</f>
        <v/>
      </c>
      <c r="R561" s="7">
        <f>'1 prepared data'!Q554</f>
        <v/>
      </c>
      <c r="S561" s="7">
        <f>'1 prepared data'!R554</f>
        <v/>
      </c>
      <c r="T561" s="7">
        <f>'1 prepared data'!S554</f>
        <v/>
      </c>
      <c r="U561" s="7">
        <f>'1 prepared data'!T554</f>
        <v/>
      </c>
      <c r="V561" s="8">
        <f>$AC$12+D561*$AC$13+E561*$AC$14+F561*$AC$15+G561*$AC$16+H561*$AC$17+I561*$AC$18+J561*$AC$19+K561*$AC$20+L561*$AC$21+M561*$AC$22+N561*$AC$23+O561*$AC$24+P561*$AC$25+Q561*$AC$26+R561*$AC$27+S561*$AC$28+T561*$AC$29+U561*$AC$30</f>
        <v/>
      </c>
      <c r="W561" s="8">
        <f>1/(1+EXP(-V561))</f>
        <v/>
      </c>
      <c r="X561" s="9">
        <f>-IF(C561=1,LN(W561),LN(1-W561))</f>
        <v/>
      </c>
      <c r="Y561" s="10">
        <f>IF(W561&gt;$AC$33,1,0)</f>
        <v/>
      </c>
      <c r="Z561">
        <f>IF(Y561=C561,1,0)</f>
        <v/>
      </c>
    </row>
    <row r="562">
      <c r="A562">
        <f>'1 prepared data'!A555</f>
        <v/>
      </c>
      <c r="B562" s="5">
        <f>'1 prepared data'!U555</f>
        <v/>
      </c>
      <c r="C562">
        <f>'1 prepared data'!B555</f>
        <v/>
      </c>
      <c r="D562" s="7">
        <f>'1 prepared data'!C555</f>
        <v/>
      </c>
      <c r="E562" s="7">
        <f>'1 prepared data'!D555</f>
        <v/>
      </c>
      <c r="F562" s="7">
        <f>'1 prepared data'!E555</f>
        <v/>
      </c>
      <c r="G562" s="7">
        <f>'1 prepared data'!F555</f>
        <v/>
      </c>
      <c r="H562" s="7">
        <f>'1 prepared data'!G555</f>
        <v/>
      </c>
      <c r="I562" s="7">
        <f>'1 prepared data'!H555</f>
        <v/>
      </c>
      <c r="J562" s="7">
        <f>'1 prepared data'!I555</f>
        <v/>
      </c>
      <c r="K562" s="7">
        <f>'1 prepared data'!J555</f>
        <v/>
      </c>
      <c r="L562" s="7">
        <f>'1 prepared data'!K555</f>
        <v/>
      </c>
      <c r="M562" s="7">
        <f>'1 prepared data'!L555</f>
        <v/>
      </c>
      <c r="N562" s="7">
        <f>'1 prepared data'!M555</f>
        <v/>
      </c>
      <c r="O562" s="7">
        <f>'1 prepared data'!N555</f>
        <v/>
      </c>
      <c r="P562" s="7">
        <f>'1 prepared data'!O555</f>
        <v/>
      </c>
      <c r="Q562" s="7">
        <f>'1 prepared data'!P555</f>
        <v/>
      </c>
      <c r="R562" s="7">
        <f>'1 prepared data'!Q555</f>
        <v/>
      </c>
      <c r="S562" s="7">
        <f>'1 prepared data'!R555</f>
        <v/>
      </c>
      <c r="T562" s="7">
        <f>'1 prepared data'!S555</f>
        <v/>
      </c>
      <c r="U562" s="7">
        <f>'1 prepared data'!T555</f>
        <v/>
      </c>
      <c r="V562" s="8">
        <f>$AC$12+D562*$AC$13+E562*$AC$14+F562*$AC$15+G562*$AC$16+H562*$AC$17+I562*$AC$18+J562*$AC$19+K562*$AC$20+L562*$AC$21+M562*$AC$22+N562*$AC$23+O562*$AC$24+P562*$AC$25+Q562*$AC$26+R562*$AC$27+S562*$AC$28+T562*$AC$29+U562*$AC$30</f>
        <v/>
      </c>
      <c r="W562" s="8">
        <f>1/(1+EXP(-V562))</f>
        <v/>
      </c>
      <c r="X562" s="9">
        <f>-IF(C562=1,LN(W562),LN(1-W562))</f>
        <v/>
      </c>
      <c r="Y562" s="10">
        <f>IF(W562&gt;$AC$33,1,0)</f>
        <v/>
      </c>
      <c r="Z562">
        <f>IF(Y562=C562,1,0)</f>
        <v/>
      </c>
    </row>
    <row r="563">
      <c r="A563">
        <f>'1 prepared data'!A556</f>
        <v/>
      </c>
      <c r="B563" s="5">
        <f>'1 prepared data'!U556</f>
        <v/>
      </c>
      <c r="C563">
        <f>'1 prepared data'!B556</f>
        <v/>
      </c>
      <c r="D563" s="7">
        <f>'1 prepared data'!C556</f>
        <v/>
      </c>
      <c r="E563" s="7">
        <f>'1 prepared data'!D556</f>
        <v/>
      </c>
      <c r="F563" s="7">
        <f>'1 prepared data'!E556</f>
        <v/>
      </c>
      <c r="G563" s="7">
        <f>'1 prepared data'!F556</f>
        <v/>
      </c>
      <c r="H563" s="7">
        <f>'1 prepared data'!G556</f>
        <v/>
      </c>
      <c r="I563" s="7">
        <f>'1 prepared data'!H556</f>
        <v/>
      </c>
      <c r="J563" s="7">
        <f>'1 prepared data'!I556</f>
        <v/>
      </c>
      <c r="K563" s="7">
        <f>'1 prepared data'!J556</f>
        <v/>
      </c>
      <c r="L563" s="7">
        <f>'1 prepared data'!K556</f>
        <v/>
      </c>
      <c r="M563" s="7">
        <f>'1 prepared data'!L556</f>
        <v/>
      </c>
      <c r="N563" s="7">
        <f>'1 prepared data'!M556</f>
        <v/>
      </c>
      <c r="O563" s="7">
        <f>'1 prepared data'!N556</f>
        <v/>
      </c>
      <c r="P563" s="7">
        <f>'1 prepared data'!O556</f>
        <v/>
      </c>
      <c r="Q563" s="7">
        <f>'1 prepared data'!P556</f>
        <v/>
      </c>
      <c r="R563" s="7">
        <f>'1 prepared data'!Q556</f>
        <v/>
      </c>
      <c r="S563" s="7">
        <f>'1 prepared data'!R556</f>
        <v/>
      </c>
      <c r="T563" s="7">
        <f>'1 prepared data'!S556</f>
        <v/>
      </c>
      <c r="U563" s="7">
        <f>'1 prepared data'!T556</f>
        <v/>
      </c>
      <c r="V563" s="8">
        <f>$AC$12+D563*$AC$13+E563*$AC$14+F563*$AC$15+G563*$AC$16+H563*$AC$17+I563*$AC$18+J563*$AC$19+K563*$AC$20+L563*$AC$21+M563*$AC$22+N563*$AC$23+O563*$AC$24+P563*$AC$25+Q563*$AC$26+R563*$AC$27+S563*$AC$28+T563*$AC$29+U563*$AC$30</f>
        <v/>
      </c>
      <c r="W563" s="8">
        <f>1/(1+EXP(-V563))</f>
        <v/>
      </c>
      <c r="X563" s="9">
        <f>-IF(C563=1,LN(W563),LN(1-W563))</f>
        <v/>
      </c>
      <c r="Y563" s="10">
        <f>IF(W563&gt;$AC$33,1,0)</f>
        <v/>
      </c>
      <c r="Z563">
        <f>IF(Y563=C563,1,0)</f>
        <v/>
      </c>
    </row>
    <row r="564">
      <c r="A564">
        <f>'1 prepared data'!A557</f>
        <v/>
      </c>
      <c r="B564" s="5">
        <f>'1 prepared data'!U557</f>
        <v/>
      </c>
      <c r="C564">
        <f>'1 prepared data'!B557</f>
        <v/>
      </c>
      <c r="D564" s="7">
        <f>'1 prepared data'!C557</f>
        <v/>
      </c>
      <c r="E564" s="7">
        <f>'1 prepared data'!D557</f>
        <v/>
      </c>
      <c r="F564" s="7">
        <f>'1 prepared data'!E557</f>
        <v/>
      </c>
      <c r="G564" s="7">
        <f>'1 prepared data'!F557</f>
        <v/>
      </c>
      <c r="H564" s="7">
        <f>'1 prepared data'!G557</f>
        <v/>
      </c>
      <c r="I564" s="7">
        <f>'1 prepared data'!H557</f>
        <v/>
      </c>
      <c r="J564" s="7">
        <f>'1 prepared data'!I557</f>
        <v/>
      </c>
      <c r="K564" s="7">
        <f>'1 prepared data'!J557</f>
        <v/>
      </c>
      <c r="L564" s="7">
        <f>'1 prepared data'!K557</f>
        <v/>
      </c>
      <c r="M564" s="7">
        <f>'1 prepared data'!L557</f>
        <v/>
      </c>
      <c r="N564" s="7">
        <f>'1 prepared data'!M557</f>
        <v/>
      </c>
      <c r="O564" s="7">
        <f>'1 prepared data'!N557</f>
        <v/>
      </c>
      <c r="P564" s="7">
        <f>'1 prepared data'!O557</f>
        <v/>
      </c>
      <c r="Q564" s="7">
        <f>'1 prepared data'!P557</f>
        <v/>
      </c>
      <c r="R564" s="7">
        <f>'1 prepared data'!Q557</f>
        <v/>
      </c>
      <c r="S564" s="7">
        <f>'1 prepared data'!R557</f>
        <v/>
      </c>
      <c r="T564" s="7">
        <f>'1 prepared data'!S557</f>
        <v/>
      </c>
      <c r="U564" s="7">
        <f>'1 prepared data'!T557</f>
        <v/>
      </c>
      <c r="V564" s="8">
        <f>$AC$12+D564*$AC$13+E564*$AC$14+F564*$AC$15+G564*$AC$16+H564*$AC$17+I564*$AC$18+J564*$AC$19+K564*$AC$20+L564*$AC$21+M564*$AC$22+N564*$AC$23+O564*$AC$24+P564*$AC$25+Q564*$AC$26+R564*$AC$27+S564*$AC$28+T564*$AC$29+U564*$AC$30</f>
        <v/>
      </c>
      <c r="W564" s="8">
        <f>1/(1+EXP(-V564))</f>
        <v/>
      </c>
      <c r="X564" s="9">
        <f>-IF(C564=1,LN(W564),LN(1-W564))</f>
        <v/>
      </c>
      <c r="Y564" s="10">
        <f>IF(W564&gt;$AC$33,1,0)</f>
        <v/>
      </c>
      <c r="Z564">
        <f>IF(Y564=C564,1,0)</f>
        <v/>
      </c>
    </row>
    <row r="565">
      <c r="A565">
        <f>'1 prepared data'!A558</f>
        <v/>
      </c>
      <c r="B565" s="5">
        <f>'1 prepared data'!U558</f>
        <v/>
      </c>
      <c r="C565">
        <f>'1 prepared data'!B558</f>
        <v/>
      </c>
      <c r="D565" s="7">
        <f>'1 prepared data'!C558</f>
        <v/>
      </c>
      <c r="E565" s="7">
        <f>'1 prepared data'!D558</f>
        <v/>
      </c>
      <c r="F565" s="7">
        <f>'1 prepared data'!E558</f>
        <v/>
      </c>
      <c r="G565" s="7">
        <f>'1 prepared data'!F558</f>
        <v/>
      </c>
      <c r="H565" s="7">
        <f>'1 prepared data'!G558</f>
        <v/>
      </c>
      <c r="I565" s="7">
        <f>'1 prepared data'!H558</f>
        <v/>
      </c>
      <c r="J565" s="7">
        <f>'1 prepared data'!I558</f>
        <v/>
      </c>
      <c r="K565" s="7">
        <f>'1 prepared data'!J558</f>
        <v/>
      </c>
      <c r="L565" s="7">
        <f>'1 prepared data'!K558</f>
        <v/>
      </c>
      <c r="M565" s="7">
        <f>'1 prepared data'!L558</f>
        <v/>
      </c>
      <c r="N565" s="7">
        <f>'1 prepared data'!M558</f>
        <v/>
      </c>
      <c r="O565" s="7">
        <f>'1 prepared data'!N558</f>
        <v/>
      </c>
      <c r="P565" s="7">
        <f>'1 prepared data'!O558</f>
        <v/>
      </c>
      <c r="Q565" s="7">
        <f>'1 prepared data'!P558</f>
        <v/>
      </c>
      <c r="R565" s="7">
        <f>'1 prepared data'!Q558</f>
        <v/>
      </c>
      <c r="S565" s="7">
        <f>'1 prepared data'!R558</f>
        <v/>
      </c>
      <c r="T565" s="7">
        <f>'1 prepared data'!S558</f>
        <v/>
      </c>
      <c r="U565" s="7">
        <f>'1 prepared data'!T558</f>
        <v/>
      </c>
      <c r="V565" s="8">
        <f>$AC$12+D565*$AC$13+E565*$AC$14+F565*$AC$15+G565*$AC$16+H565*$AC$17+I565*$AC$18+J565*$AC$19+K565*$AC$20+L565*$AC$21+M565*$AC$22+N565*$AC$23+O565*$AC$24+P565*$AC$25+Q565*$AC$26+R565*$AC$27+S565*$AC$28+T565*$AC$29+U565*$AC$30</f>
        <v/>
      </c>
      <c r="W565" s="8">
        <f>1/(1+EXP(-V565))</f>
        <v/>
      </c>
      <c r="X565" s="9">
        <f>-IF(C565=1,LN(W565),LN(1-W565))</f>
        <v/>
      </c>
      <c r="Y565" s="10">
        <f>IF(W565&gt;$AC$33,1,0)</f>
        <v/>
      </c>
      <c r="Z565">
        <f>IF(Y565=C565,1,0)</f>
        <v/>
      </c>
    </row>
    <row r="566">
      <c r="A566">
        <f>'1 prepared data'!A559</f>
        <v/>
      </c>
      <c r="B566" s="5">
        <f>'1 prepared data'!U559</f>
        <v/>
      </c>
      <c r="C566">
        <f>'1 prepared data'!B559</f>
        <v/>
      </c>
      <c r="D566" s="7">
        <f>'1 prepared data'!C559</f>
        <v/>
      </c>
      <c r="E566" s="7">
        <f>'1 prepared data'!D559</f>
        <v/>
      </c>
      <c r="F566" s="7">
        <f>'1 prepared data'!E559</f>
        <v/>
      </c>
      <c r="G566" s="7">
        <f>'1 prepared data'!F559</f>
        <v/>
      </c>
      <c r="H566" s="7">
        <f>'1 prepared data'!G559</f>
        <v/>
      </c>
      <c r="I566" s="7">
        <f>'1 prepared data'!H559</f>
        <v/>
      </c>
      <c r="J566" s="7">
        <f>'1 prepared data'!I559</f>
        <v/>
      </c>
      <c r="K566" s="7">
        <f>'1 prepared data'!J559</f>
        <v/>
      </c>
      <c r="L566" s="7">
        <f>'1 prepared data'!K559</f>
        <v/>
      </c>
      <c r="M566" s="7">
        <f>'1 prepared data'!L559</f>
        <v/>
      </c>
      <c r="N566" s="7">
        <f>'1 prepared data'!M559</f>
        <v/>
      </c>
      <c r="O566" s="7">
        <f>'1 prepared data'!N559</f>
        <v/>
      </c>
      <c r="P566" s="7">
        <f>'1 prepared data'!O559</f>
        <v/>
      </c>
      <c r="Q566" s="7">
        <f>'1 prepared data'!P559</f>
        <v/>
      </c>
      <c r="R566" s="7">
        <f>'1 prepared data'!Q559</f>
        <v/>
      </c>
      <c r="S566" s="7">
        <f>'1 prepared data'!R559</f>
        <v/>
      </c>
      <c r="T566" s="7">
        <f>'1 prepared data'!S559</f>
        <v/>
      </c>
      <c r="U566" s="7">
        <f>'1 prepared data'!T559</f>
        <v/>
      </c>
      <c r="V566" s="8">
        <f>$AC$12+D566*$AC$13+E566*$AC$14+F566*$AC$15+G566*$AC$16+H566*$AC$17+I566*$AC$18+J566*$AC$19+K566*$AC$20+L566*$AC$21+M566*$AC$22+N566*$AC$23+O566*$AC$24+P566*$AC$25+Q566*$AC$26+R566*$AC$27+S566*$AC$28+T566*$AC$29+U566*$AC$30</f>
        <v/>
      </c>
      <c r="W566" s="8">
        <f>1/(1+EXP(-V566))</f>
        <v/>
      </c>
      <c r="X566" s="9">
        <f>-IF(C566=1,LN(W566),LN(1-W566))</f>
        <v/>
      </c>
      <c r="Y566" s="10">
        <f>IF(W566&gt;$AC$33,1,0)</f>
        <v/>
      </c>
      <c r="Z566">
        <f>IF(Y566=C566,1,0)</f>
        <v/>
      </c>
    </row>
    <row r="567">
      <c r="A567">
        <f>'1 prepared data'!A560</f>
        <v/>
      </c>
      <c r="B567" s="5">
        <f>'1 prepared data'!U560</f>
        <v/>
      </c>
      <c r="C567">
        <f>'1 prepared data'!B560</f>
        <v/>
      </c>
      <c r="D567" s="7">
        <f>'1 prepared data'!C560</f>
        <v/>
      </c>
      <c r="E567" s="7">
        <f>'1 prepared data'!D560</f>
        <v/>
      </c>
      <c r="F567" s="7">
        <f>'1 prepared data'!E560</f>
        <v/>
      </c>
      <c r="G567" s="7">
        <f>'1 prepared data'!F560</f>
        <v/>
      </c>
      <c r="H567" s="7">
        <f>'1 prepared data'!G560</f>
        <v/>
      </c>
      <c r="I567" s="7">
        <f>'1 prepared data'!H560</f>
        <v/>
      </c>
      <c r="J567" s="7">
        <f>'1 prepared data'!I560</f>
        <v/>
      </c>
      <c r="K567" s="7">
        <f>'1 prepared data'!J560</f>
        <v/>
      </c>
      <c r="L567" s="7">
        <f>'1 prepared data'!K560</f>
        <v/>
      </c>
      <c r="M567" s="7">
        <f>'1 prepared data'!L560</f>
        <v/>
      </c>
      <c r="N567" s="7">
        <f>'1 prepared data'!M560</f>
        <v/>
      </c>
      <c r="O567" s="7">
        <f>'1 prepared data'!N560</f>
        <v/>
      </c>
      <c r="P567" s="7">
        <f>'1 prepared data'!O560</f>
        <v/>
      </c>
      <c r="Q567" s="7">
        <f>'1 prepared data'!P560</f>
        <v/>
      </c>
      <c r="R567" s="7">
        <f>'1 prepared data'!Q560</f>
        <v/>
      </c>
      <c r="S567" s="7">
        <f>'1 prepared data'!R560</f>
        <v/>
      </c>
      <c r="T567" s="7">
        <f>'1 prepared data'!S560</f>
        <v/>
      </c>
      <c r="U567" s="7">
        <f>'1 prepared data'!T560</f>
        <v/>
      </c>
      <c r="V567" s="8">
        <f>$AC$12+D567*$AC$13+E567*$AC$14+F567*$AC$15+G567*$AC$16+H567*$AC$17+I567*$AC$18+J567*$AC$19+K567*$AC$20+L567*$AC$21+M567*$AC$22+N567*$AC$23+O567*$AC$24+P567*$AC$25+Q567*$AC$26+R567*$AC$27+S567*$AC$28+T567*$AC$29+U567*$AC$30</f>
        <v/>
      </c>
      <c r="W567" s="8">
        <f>1/(1+EXP(-V567))</f>
        <v/>
      </c>
      <c r="X567" s="9">
        <f>-IF(C567=1,LN(W567),LN(1-W567))</f>
        <v/>
      </c>
      <c r="Y567" s="10">
        <f>IF(W567&gt;$AC$33,1,0)</f>
        <v/>
      </c>
      <c r="Z567">
        <f>IF(Y567=C567,1,0)</f>
        <v/>
      </c>
    </row>
    <row r="568">
      <c r="A568">
        <f>'1 prepared data'!A561</f>
        <v/>
      </c>
      <c r="B568" s="5">
        <f>'1 prepared data'!U561</f>
        <v/>
      </c>
      <c r="C568">
        <f>'1 prepared data'!B561</f>
        <v/>
      </c>
      <c r="D568" s="7">
        <f>'1 prepared data'!C561</f>
        <v/>
      </c>
      <c r="E568" s="7">
        <f>'1 prepared data'!D561</f>
        <v/>
      </c>
      <c r="F568" s="7">
        <f>'1 prepared data'!E561</f>
        <v/>
      </c>
      <c r="G568" s="7">
        <f>'1 prepared data'!F561</f>
        <v/>
      </c>
      <c r="H568" s="7">
        <f>'1 prepared data'!G561</f>
        <v/>
      </c>
      <c r="I568" s="7">
        <f>'1 prepared data'!H561</f>
        <v/>
      </c>
      <c r="J568" s="7">
        <f>'1 prepared data'!I561</f>
        <v/>
      </c>
      <c r="K568" s="7">
        <f>'1 prepared data'!J561</f>
        <v/>
      </c>
      <c r="L568" s="7">
        <f>'1 prepared data'!K561</f>
        <v/>
      </c>
      <c r="M568" s="7">
        <f>'1 prepared data'!L561</f>
        <v/>
      </c>
      <c r="N568" s="7">
        <f>'1 prepared data'!M561</f>
        <v/>
      </c>
      <c r="O568" s="7">
        <f>'1 prepared data'!N561</f>
        <v/>
      </c>
      <c r="P568" s="7">
        <f>'1 prepared data'!O561</f>
        <v/>
      </c>
      <c r="Q568" s="7">
        <f>'1 prepared data'!P561</f>
        <v/>
      </c>
      <c r="R568" s="7">
        <f>'1 prepared data'!Q561</f>
        <v/>
      </c>
      <c r="S568" s="7">
        <f>'1 prepared data'!R561</f>
        <v/>
      </c>
      <c r="T568" s="7">
        <f>'1 prepared data'!S561</f>
        <v/>
      </c>
      <c r="U568" s="7">
        <f>'1 prepared data'!T561</f>
        <v/>
      </c>
      <c r="V568" s="8">
        <f>$AC$12+D568*$AC$13+E568*$AC$14+F568*$AC$15+G568*$AC$16+H568*$AC$17+I568*$AC$18+J568*$AC$19+K568*$AC$20+L568*$AC$21+M568*$AC$22+N568*$AC$23+O568*$AC$24+P568*$AC$25+Q568*$AC$26+R568*$AC$27+S568*$AC$28+T568*$AC$29+U568*$AC$30</f>
        <v/>
      </c>
      <c r="W568" s="8">
        <f>1/(1+EXP(-V568))</f>
        <v/>
      </c>
      <c r="X568" s="9">
        <f>-IF(C568=1,LN(W568),LN(1-W568))</f>
        <v/>
      </c>
      <c r="Y568" s="10">
        <f>IF(W568&gt;$AC$33,1,0)</f>
        <v/>
      </c>
      <c r="Z568">
        <f>IF(Y568=C568,1,0)</f>
        <v/>
      </c>
    </row>
    <row r="569">
      <c r="A569">
        <f>'1 prepared data'!A562</f>
        <v/>
      </c>
      <c r="B569" s="5">
        <f>'1 prepared data'!U562</f>
        <v/>
      </c>
      <c r="C569">
        <f>'1 prepared data'!B562</f>
        <v/>
      </c>
      <c r="D569" s="7">
        <f>'1 prepared data'!C562</f>
        <v/>
      </c>
      <c r="E569" s="7">
        <f>'1 prepared data'!D562</f>
        <v/>
      </c>
      <c r="F569" s="7">
        <f>'1 prepared data'!E562</f>
        <v/>
      </c>
      <c r="G569" s="7">
        <f>'1 prepared data'!F562</f>
        <v/>
      </c>
      <c r="H569" s="7">
        <f>'1 prepared data'!G562</f>
        <v/>
      </c>
      <c r="I569" s="7">
        <f>'1 prepared data'!H562</f>
        <v/>
      </c>
      <c r="J569" s="7">
        <f>'1 prepared data'!I562</f>
        <v/>
      </c>
      <c r="K569" s="7">
        <f>'1 prepared data'!J562</f>
        <v/>
      </c>
      <c r="L569" s="7">
        <f>'1 prepared data'!K562</f>
        <v/>
      </c>
      <c r="M569" s="7">
        <f>'1 prepared data'!L562</f>
        <v/>
      </c>
      <c r="N569" s="7">
        <f>'1 prepared data'!M562</f>
        <v/>
      </c>
      <c r="O569" s="7">
        <f>'1 prepared data'!N562</f>
        <v/>
      </c>
      <c r="P569" s="7">
        <f>'1 prepared data'!O562</f>
        <v/>
      </c>
      <c r="Q569" s="7">
        <f>'1 prepared data'!P562</f>
        <v/>
      </c>
      <c r="R569" s="7">
        <f>'1 prepared data'!Q562</f>
        <v/>
      </c>
      <c r="S569" s="7">
        <f>'1 prepared data'!R562</f>
        <v/>
      </c>
      <c r="T569" s="7">
        <f>'1 prepared data'!S562</f>
        <v/>
      </c>
      <c r="U569" s="7">
        <f>'1 prepared data'!T562</f>
        <v/>
      </c>
      <c r="V569" s="8">
        <f>$AC$12+D569*$AC$13+E569*$AC$14+F569*$AC$15+G569*$AC$16+H569*$AC$17+I569*$AC$18+J569*$AC$19+K569*$AC$20+L569*$AC$21+M569*$AC$22+N569*$AC$23+O569*$AC$24+P569*$AC$25+Q569*$AC$26+R569*$AC$27+S569*$AC$28+T569*$AC$29+U569*$AC$30</f>
        <v/>
      </c>
      <c r="W569" s="8">
        <f>1/(1+EXP(-V569))</f>
        <v/>
      </c>
      <c r="X569" s="9">
        <f>-IF(C569=1,LN(W569),LN(1-W569))</f>
        <v/>
      </c>
      <c r="Y569" s="10">
        <f>IF(W569&gt;$AC$33,1,0)</f>
        <v/>
      </c>
      <c r="Z569">
        <f>IF(Y569=C569,1,0)</f>
        <v/>
      </c>
    </row>
    <row r="570">
      <c r="A570">
        <f>'1 prepared data'!A563</f>
        <v/>
      </c>
      <c r="B570" s="5">
        <f>'1 prepared data'!U563</f>
        <v/>
      </c>
      <c r="C570">
        <f>'1 prepared data'!B563</f>
        <v/>
      </c>
      <c r="D570" s="7">
        <f>'1 prepared data'!C563</f>
        <v/>
      </c>
      <c r="E570" s="7">
        <f>'1 prepared data'!D563</f>
        <v/>
      </c>
      <c r="F570" s="7">
        <f>'1 prepared data'!E563</f>
        <v/>
      </c>
      <c r="G570" s="7">
        <f>'1 prepared data'!F563</f>
        <v/>
      </c>
      <c r="H570" s="7">
        <f>'1 prepared data'!G563</f>
        <v/>
      </c>
      <c r="I570" s="7">
        <f>'1 prepared data'!H563</f>
        <v/>
      </c>
      <c r="J570" s="7">
        <f>'1 prepared data'!I563</f>
        <v/>
      </c>
      <c r="K570" s="7">
        <f>'1 prepared data'!J563</f>
        <v/>
      </c>
      <c r="L570" s="7">
        <f>'1 prepared data'!K563</f>
        <v/>
      </c>
      <c r="M570" s="7">
        <f>'1 prepared data'!L563</f>
        <v/>
      </c>
      <c r="N570" s="7">
        <f>'1 prepared data'!M563</f>
        <v/>
      </c>
      <c r="O570" s="7">
        <f>'1 prepared data'!N563</f>
        <v/>
      </c>
      <c r="P570" s="7">
        <f>'1 prepared data'!O563</f>
        <v/>
      </c>
      <c r="Q570" s="7">
        <f>'1 prepared data'!P563</f>
        <v/>
      </c>
      <c r="R570" s="7">
        <f>'1 prepared data'!Q563</f>
        <v/>
      </c>
      <c r="S570" s="7">
        <f>'1 prepared data'!R563</f>
        <v/>
      </c>
      <c r="T570" s="7">
        <f>'1 prepared data'!S563</f>
        <v/>
      </c>
      <c r="U570" s="7">
        <f>'1 prepared data'!T563</f>
        <v/>
      </c>
      <c r="V570" s="8">
        <f>$AC$12+D570*$AC$13+E570*$AC$14+F570*$AC$15+G570*$AC$16+H570*$AC$17+I570*$AC$18+J570*$AC$19+K570*$AC$20+L570*$AC$21+M570*$AC$22+N570*$AC$23+O570*$AC$24+P570*$AC$25+Q570*$AC$26+R570*$AC$27+S570*$AC$28+T570*$AC$29+U570*$AC$30</f>
        <v/>
      </c>
      <c r="W570" s="8">
        <f>1/(1+EXP(-V570))</f>
        <v/>
      </c>
      <c r="X570" s="9">
        <f>-IF(C570=1,LN(W570),LN(1-W570))</f>
        <v/>
      </c>
      <c r="Y570" s="10">
        <f>IF(W570&gt;$AC$33,1,0)</f>
        <v/>
      </c>
      <c r="Z570">
        <f>IF(Y570=C570,1,0)</f>
        <v/>
      </c>
    </row>
    <row r="571">
      <c r="A571">
        <f>'1 prepared data'!A564</f>
        <v/>
      </c>
      <c r="B571" s="5">
        <f>'1 prepared data'!U564</f>
        <v/>
      </c>
      <c r="C571">
        <f>'1 prepared data'!B564</f>
        <v/>
      </c>
      <c r="D571" s="7">
        <f>'1 prepared data'!C564</f>
        <v/>
      </c>
      <c r="E571" s="7">
        <f>'1 prepared data'!D564</f>
        <v/>
      </c>
      <c r="F571" s="7">
        <f>'1 prepared data'!E564</f>
        <v/>
      </c>
      <c r="G571" s="7">
        <f>'1 prepared data'!F564</f>
        <v/>
      </c>
      <c r="H571" s="7">
        <f>'1 prepared data'!G564</f>
        <v/>
      </c>
      <c r="I571" s="7">
        <f>'1 prepared data'!H564</f>
        <v/>
      </c>
      <c r="J571" s="7">
        <f>'1 prepared data'!I564</f>
        <v/>
      </c>
      <c r="K571" s="7">
        <f>'1 prepared data'!J564</f>
        <v/>
      </c>
      <c r="L571" s="7">
        <f>'1 prepared data'!K564</f>
        <v/>
      </c>
      <c r="M571" s="7">
        <f>'1 prepared data'!L564</f>
        <v/>
      </c>
      <c r="N571" s="7">
        <f>'1 prepared data'!M564</f>
        <v/>
      </c>
      <c r="O571" s="7">
        <f>'1 prepared data'!N564</f>
        <v/>
      </c>
      <c r="P571" s="7">
        <f>'1 prepared data'!O564</f>
        <v/>
      </c>
      <c r="Q571" s="7">
        <f>'1 prepared data'!P564</f>
        <v/>
      </c>
      <c r="R571" s="7">
        <f>'1 prepared data'!Q564</f>
        <v/>
      </c>
      <c r="S571" s="7">
        <f>'1 prepared data'!R564</f>
        <v/>
      </c>
      <c r="T571" s="7">
        <f>'1 prepared data'!S564</f>
        <v/>
      </c>
      <c r="U571" s="7">
        <f>'1 prepared data'!T564</f>
        <v/>
      </c>
      <c r="V571" s="8">
        <f>$AC$12+D571*$AC$13+E571*$AC$14+F571*$AC$15+G571*$AC$16+H571*$AC$17+I571*$AC$18+J571*$AC$19+K571*$AC$20+L571*$AC$21+M571*$AC$22+N571*$AC$23+O571*$AC$24+P571*$AC$25+Q571*$AC$26+R571*$AC$27+S571*$AC$28+T571*$AC$29+U571*$AC$30</f>
        <v/>
      </c>
      <c r="W571" s="8">
        <f>1/(1+EXP(-V571))</f>
        <v/>
      </c>
      <c r="X571" s="9">
        <f>-IF(C571=1,LN(W571),LN(1-W571))</f>
        <v/>
      </c>
      <c r="Y571" s="10">
        <f>IF(W571&gt;$AC$33,1,0)</f>
        <v/>
      </c>
      <c r="Z571">
        <f>IF(Y571=C571,1,0)</f>
        <v/>
      </c>
    </row>
    <row r="572">
      <c r="A572">
        <f>'1 prepared data'!A565</f>
        <v/>
      </c>
      <c r="B572" s="5">
        <f>'1 prepared data'!U565</f>
        <v/>
      </c>
      <c r="C572">
        <f>'1 prepared data'!B565</f>
        <v/>
      </c>
      <c r="D572" s="7">
        <f>'1 prepared data'!C565</f>
        <v/>
      </c>
      <c r="E572" s="7">
        <f>'1 prepared data'!D565</f>
        <v/>
      </c>
      <c r="F572" s="7">
        <f>'1 prepared data'!E565</f>
        <v/>
      </c>
      <c r="G572" s="7">
        <f>'1 prepared data'!F565</f>
        <v/>
      </c>
      <c r="H572" s="7">
        <f>'1 prepared data'!G565</f>
        <v/>
      </c>
      <c r="I572" s="7">
        <f>'1 prepared data'!H565</f>
        <v/>
      </c>
      <c r="J572" s="7">
        <f>'1 prepared data'!I565</f>
        <v/>
      </c>
      <c r="K572" s="7">
        <f>'1 prepared data'!J565</f>
        <v/>
      </c>
      <c r="L572" s="7">
        <f>'1 prepared data'!K565</f>
        <v/>
      </c>
      <c r="M572" s="7">
        <f>'1 prepared data'!L565</f>
        <v/>
      </c>
      <c r="N572" s="7">
        <f>'1 prepared data'!M565</f>
        <v/>
      </c>
      <c r="O572" s="7">
        <f>'1 prepared data'!N565</f>
        <v/>
      </c>
      <c r="P572" s="7">
        <f>'1 prepared data'!O565</f>
        <v/>
      </c>
      <c r="Q572" s="7">
        <f>'1 prepared data'!P565</f>
        <v/>
      </c>
      <c r="R572" s="7">
        <f>'1 prepared data'!Q565</f>
        <v/>
      </c>
      <c r="S572" s="7">
        <f>'1 prepared data'!R565</f>
        <v/>
      </c>
      <c r="T572" s="7">
        <f>'1 prepared data'!S565</f>
        <v/>
      </c>
      <c r="U572" s="7">
        <f>'1 prepared data'!T565</f>
        <v/>
      </c>
      <c r="V572" s="8">
        <f>$AC$12+D572*$AC$13+E572*$AC$14+F572*$AC$15+G572*$AC$16+H572*$AC$17+I572*$AC$18+J572*$AC$19+K572*$AC$20+L572*$AC$21+M572*$AC$22+N572*$AC$23+O572*$AC$24+P572*$AC$25+Q572*$AC$26+R572*$AC$27+S572*$AC$28+T572*$AC$29+U572*$AC$30</f>
        <v/>
      </c>
      <c r="W572" s="8">
        <f>1/(1+EXP(-V572))</f>
        <v/>
      </c>
      <c r="X572" s="9">
        <f>-IF(C572=1,LN(W572),LN(1-W572))</f>
        <v/>
      </c>
      <c r="Y572" s="10">
        <f>IF(W572&gt;$AC$33,1,0)</f>
        <v/>
      </c>
      <c r="Z572">
        <f>IF(Y572=C572,1,0)</f>
        <v/>
      </c>
    </row>
    <row r="573">
      <c r="A573">
        <f>'1 prepared data'!A566</f>
        <v/>
      </c>
      <c r="B573" s="5">
        <f>'1 prepared data'!U566</f>
        <v/>
      </c>
      <c r="C573">
        <f>'1 prepared data'!B566</f>
        <v/>
      </c>
      <c r="D573" s="7">
        <f>'1 prepared data'!C566</f>
        <v/>
      </c>
      <c r="E573" s="7">
        <f>'1 prepared data'!D566</f>
        <v/>
      </c>
      <c r="F573" s="7">
        <f>'1 prepared data'!E566</f>
        <v/>
      </c>
      <c r="G573" s="7">
        <f>'1 prepared data'!F566</f>
        <v/>
      </c>
      <c r="H573" s="7">
        <f>'1 prepared data'!G566</f>
        <v/>
      </c>
      <c r="I573" s="7">
        <f>'1 prepared data'!H566</f>
        <v/>
      </c>
      <c r="J573" s="7">
        <f>'1 prepared data'!I566</f>
        <v/>
      </c>
      <c r="K573" s="7">
        <f>'1 prepared data'!J566</f>
        <v/>
      </c>
      <c r="L573" s="7">
        <f>'1 prepared data'!K566</f>
        <v/>
      </c>
      <c r="M573" s="7">
        <f>'1 prepared data'!L566</f>
        <v/>
      </c>
      <c r="N573" s="7">
        <f>'1 prepared data'!M566</f>
        <v/>
      </c>
      <c r="O573" s="7">
        <f>'1 prepared data'!N566</f>
        <v/>
      </c>
      <c r="P573" s="7">
        <f>'1 prepared data'!O566</f>
        <v/>
      </c>
      <c r="Q573" s="7">
        <f>'1 prepared data'!P566</f>
        <v/>
      </c>
      <c r="R573" s="7">
        <f>'1 prepared data'!Q566</f>
        <v/>
      </c>
      <c r="S573" s="7">
        <f>'1 prepared data'!R566</f>
        <v/>
      </c>
      <c r="T573" s="7">
        <f>'1 prepared data'!S566</f>
        <v/>
      </c>
      <c r="U573" s="7">
        <f>'1 prepared data'!T566</f>
        <v/>
      </c>
      <c r="V573" s="8">
        <f>$AC$12+D573*$AC$13+E573*$AC$14+F573*$AC$15+G573*$AC$16+H573*$AC$17+I573*$AC$18+J573*$AC$19+K573*$AC$20+L573*$AC$21+M573*$AC$22+N573*$AC$23+O573*$AC$24+P573*$AC$25+Q573*$AC$26+R573*$AC$27+S573*$AC$28+T573*$AC$29+U573*$AC$30</f>
        <v/>
      </c>
      <c r="W573" s="8">
        <f>1/(1+EXP(-V573))</f>
        <v/>
      </c>
      <c r="X573" s="9">
        <f>-IF(C573=1,LN(W573),LN(1-W573))</f>
        <v/>
      </c>
      <c r="Y573" s="10">
        <f>IF(W573&gt;$AC$33,1,0)</f>
        <v/>
      </c>
      <c r="Z573">
        <f>IF(Y573=C573,1,0)</f>
        <v/>
      </c>
    </row>
    <row r="574">
      <c r="A574">
        <f>'1 prepared data'!A567</f>
        <v/>
      </c>
      <c r="B574" s="5">
        <f>'1 prepared data'!U567</f>
        <v/>
      </c>
      <c r="C574">
        <f>'1 prepared data'!B567</f>
        <v/>
      </c>
      <c r="D574" s="7">
        <f>'1 prepared data'!C567</f>
        <v/>
      </c>
      <c r="E574" s="7">
        <f>'1 prepared data'!D567</f>
        <v/>
      </c>
      <c r="F574" s="7">
        <f>'1 prepared data'!E567</f>
        <v/>
      </c>
      <c r="G574" s="7">
        <f>'1 prepared data'!F567</f>
        <v/>
      </c>
      <c r="H574" s="7">
        <f>'1 prepared data'!G567</f>
        <v/>
      </c>
      <c r="I574" s="7">
        <f>'1 prepared data'!H567</f>
        <v/>
      </c>
      <c r="J574" s="7">
        <f>'1 prepared data'!I567</f>
        <v/>
      </c>
      <c r="K574" s="7">
        <f>'1 prepared data'!J567</f>
        <v/>
      </c>
      <c r="L574" s="7">
        <f>'1 prepared data'!K567</f>
        <v/>
      </c>
      <c r="M574" s="7">
        <f>'1 prepared data'!L567</f>
        <v/>
      </c>
      <c r="N574" s="7">
        <f>'1 prepared data'!M567</f>
        <v/>
      </c>
      <c r="O574" s="7">
        <f>'1 prepared data'!N567</f>
        <v/>
      </c>
      <c r="P574" s="7">
        <f>'1 prepared data'!O567</f>
        <v/>
      </c>
      <c r="Q574" s="7">
        <f>'1 prepared data'!P567</f>
        <v/>
      </c>
      <c r="R574" s="7">
        <f>'1 prepared data'!Q567</f>
        <v/>
      </c>
      <c r="S574" s="7">
        <f>'1 prepared data'!R567</f>
        <v/>
      </c>
      <c r="T574" s="7">
        <f>'1 prepared data'!S567</f>
        <v/>
      </c>
      <c r="U574" s="7">
        <f>'1 prepared data'!T567</f>
        <v/>
      </c>
      <c r="V574" s="8">
        <f>$AC$12+D574*$AC$13+E574*$AC$14+F574*$AC$15+G574*$AC$16+H574*$AC$17+I574*$AC$18+J574*$AC$19+K574*$AC$20+L574*$AC$21+M574*$AC$22+N574*$AC$23+O574*$AC$24+P574*$AC$25+Q574*$AC$26+R574*$AC$27+S574*$AC$28+T574*$AC$29+U574*$AC$30</f>
        <v/>
      </c>
      <c r="W574" s="8">
        <f>1/(1+EXP(-V574))</f>
        <v/>
      </c>
      <c r="X574" s="9">
        <f>-IF(C574=1,LN(W574),LN(1-W574))</f>
        <v/>
      </c>
      <c r="Y574" s="10">
        <f>IF(W574&gt;$AC$33,1,0)</f>
        <v/>
      </c>
      <c r="Z574">
        <f>IF(Y574=C574,1,0)</f>
        <v/>
      </c>
    </row>
    <row r="575">
      <c r="A575">
        <f>'1 prepared data'!A568</f>
        <v/>
      </c>
      <c r="B575" s="5">
        <f>'1 prepared data'!U568</f>
        <v/>
      </c>
      <c r="C575">
        <f>'1 prepared data'!B568</f>
        <v/>
      </c>
      <c r="D575" s="7">
        <f>'1 prepared data'!C568</f>
        <v/>
      </c>
      <c r="E575" s="7">
        <f>'1 prepared data'!D568</f>
        <v/>
      </c>
      <c r="F575" s="7">
        <f>'1 prepared data'!E568</f>
        <v/>
      </c>
      <c r="G575" s="7">
        <f>'1 prepared data'!F568</f>
        <v/>
      </c>
      <c r="H575" s="7">
        <f>'1 prepared data'!G568</f>
        <v/>
      </c>
      <c r="I575" s="7">
        <f>'1 prepared data'!H568</f>
        <v/>
      </c>
      <c r="J575" s="7">
        <f>'1 prepared data'!I568</f>
        <v/>
      </c>
      <c r="K575" s="7">
        <f>'1 prepared data'!J568</f>
        <v/>
      </c>
      <c r="L575" s="7">
        <f>'1 prepared data'!K568</f>
        <v/>
      </c>
      <c r="M575" s="7">
        <f>'1 prepared data'!L568</f>
        <v/>
      </c>
      <c r="N575" s="7">
        <f>'1 prepared data'!M568</f>
        <v/>
      </c>
      <c r="O575" s="7">
        <f>'1 prepared data'!N568</f>
        <v/>
      </c>
      <c r="P575" s="7">
        <f>'1 prepared data'!O568</f>
        <v/>
      </c>
      <c r="Q575" s="7">
        <f>'1 prepared data'!P568</f>
        <v/>
      </c>
      <c r="R575" s="7">
        <f>'1 prepared data'!Q568</f>
        <v/>
      </c>
      <c r="S575" s="7">
        <f>'1 prepared data'!R568</f>
        <v/>
      </c>
      <c r="T575" s="7">
        <f>'1 prepared data'!S568</f>
        <v/>
      </c>
      <c r="U575" s="7">
        <f>'1 prepared data'!T568</f>
        <v/>
      </c>
      <c r="V575" s="8">
        <f>$AC$12+D575*$AC$13+E575*$AC$14+F575*$AC$15+G575*$AC$16+H575*$AC$17+I575*$AC$18+J575*$AC$19+K575*$AC$20+L575*$AC$21+M575*$AC$22+N575*$AC$23+O575*$AC$24+P575*$AC$25+Q575*$AC$26+R575*$AC$27+S575*$AC$28+T575*$AC$29+U575*$AC$30</f>
        <v/>
      </c>
      <c r="W575" s="8">
        <f>1/(1+EXP(-V575))</f>
        <v/>
      </c>
      <c r="X575" s="9">
        <f>-IF(C575=1,LN(W575),LN(1-W575))</f>
        <v/>
      </c>
      <c r="Y575" s="10">
        <f>IF(W575&gt;$AC$33,1,0)</f>
        <v/>
      </c>
      <c r="Z575">
        <f>IF(Y575=C575,1,0)</f>
        <v/>
      </c>
    </row>
    <row r="576">
      <c r="A576">
        <f>'1 prepared data'!A569</f>
        <v/>
      </c>
      <c r="B576" s="5">
        <f>'1 prepared data'!U569</f>
        <v/>
      </c>
      <c r="C576">
        <f>'1 prepared data'!B569</f>
        <v/>
      </c>
      <c r="D576" s="7">
        <f>'1 prepared data'!C569</f>
        <v/>
      </c>
      <c r="E576" s="7">
        <f>'1 prepared data'!D569</f>
        <v/>
      </c>
      <c r="F576" s="7">
        <f>'1 prepared data'!E569</f>
        <v/>
      </c>
      <c r="G576" s="7">
        <f>'1 prepared data'!F569</f>
        <v/>
      </c>
      <c r="H576" s="7">
        <f>'1 prepared data'!G569</f>
        <v/>
      </c>
      <c r="I576" s="7">
        <f>'1 prepared data'!H569</f>
        <v/>
      </c>
      <c r="J576" s="7">
        <f>'1 prepared data'!I569</f>
        <v/>
      </c>
      <c r="K576" s="7">
        <f>'1 prepared data'!J569</f>
        <v/>
      </c>
      <c r="L576" s="7">
        <f>'1 prepared data'!K569</f>
        <v/>
      </c>
      <c r="M576" s="7">
        <f>'1 prepared data'!L569</f>
        <v/>
      </c>
      <c r="N576" s="7">
        <f>'1 prepared data'!M569</f>
        <v/>
      </c>
      <c r="O576" s="7">
        <f>'1 prepared data'!N569</f>
        <v/>
      </c>
      <c r="P576" s="7">
        <f>'1 prepared data'!O569</f>
        <v/>
      </c>
      <c r="Q576" s="7">
        <f>'1 prepared data'!P569</f>
        <v/>
      </c>
      <c r="R576" s="7">
        <f>'1 prepared data'!Q569</f>
        <v/>
      </c>
      <c r="S576" s="7">
        <f>'1 prepared data'!R569</f>
        <v/>
      </c>
      <c r="T576" s="7">
        <f>'1 prepared data'!S569</f>
        <v/>
      </c>
      <c r="U576" s="7">
        <f>'1 prepared data'!T569</f>
        <v/>
      </c>
      <c r="V576" s="8">
        <f>$AC$12+D576*$AC$13+E576*$AC$14+F576*$AC$15+G576*$AC$16+H576*$AC$17+I576*$AC$18+J576*$AC$19+K576*$AC$20+L576*$AC$21+M576*$AC$22+N576*$AC$23+O576*$AC$24+P576*$AC$25+Q576*$AC$26+R576*$AC$27+S576*$AC$28+T576*$AC$29+U576*$AC$30</f>
        <v/>
      </c>
      <c r="W576" s="8">
        <f>1/(1+EXP(-V576))</f>
        <v/>
      </c>
      <c r="X576" s="9">
        <f>-IF(C576=1,LN(W576),LN(1-W576))</f>
        <v/>
      </c>
      <c r="Y576" s="10">
        <f>IF(W576&gt;$AC$33,1,0)</f>
        <v/>
      </c>
      <c r="Z576">
        <f>IF(Y576=C576,1,0)</f>
        <v/>
      </c>
    </row>
    <row r="577">
      <c r="A577">
        <f>'1 prepared data'!A570</f>
        <v/>
      </c>
      <c r="B577" s="5">
        <f>'1 prepared data'!U570</f>
        <v/>
      </c>
      <c r="C577">
        <f>'1 prepared data'!B570</f>
        <v/>
      </c>
      <c r="D577" s="7">
        <f>'1 prepared data'!C570</f>
        <v/>
      </c>
      <c r="E577" s="7">
        <f>'1 prepared data'!D570</f>
        <v/>
      </c>
      <c r="F577" s="7">
        <f>'1 prepared data'!E570</f>
        <v/>
      </c>
      <c r="G577" s="7">
        <f>'1 prepared data'!F570</f>
        <v/>
      </c>
      <c r="H577" s="7">
        <f>'1 prepared data'!G570</f>
        <v/>
      </c>
      <c r="I577" s="7">
        <f>'1 prepared data'!H570</f>
        <v/>
      </c>
      <c r="J577" s="7">
        <f>'1 prepared data'!I570</f>
        <v/>
      </c>
      <c r="K577" s="7">
        <f>'1 prepared data'!J570</f>
        <v/>
      </c>
      <c r="L577" s="7">
        <f>'1 prepared data'!K570</f>
        <v/>
      </c>
      <c r="M577" s="7">
        <f>'1 prepared data'!L570</f>
        <v/>
      </c>
      <c r="N577" s="7">
        <f>'1 prepared data'!M570</f>
        <v/>
      </c>
      <c r="O577" s="7">
        <f>'1 prepared data'!N570</f>
        <v/>
      </c>
      <c r="P577" s="7">
        <f>'1 prepared data'!O570</f>
        <v/>
      </c>
      <c r="Q577" s="7">
        <f>'1 prepared data'!P570</f>
        <v/>
      </c>
      <c r="R577" s="7">
        <f>'1 prepared data'!Q570</f>
        <v/>
      </c>
      <c r="S577" s="7">
        <f>'1 prepared data'!R570</f>
        <v/>
      </c>
      <c r="T577" s="7">
        <f>'1 prepared data'!S570</f>
        <v/>
      </c>
      <c r="U577" s="7">
        <f>'1 prepared data'!T570</f>
        <v/>
      </c>
      <c r="V577" s="8">
        <f>$AC$12+D577*$AC$13+E577*$AC$14+F577*$AC$15+G577*$AC$16+H577*$AC$17+I577*$AC$18+J577*$AC$19+K577*$AC$20+L577*$AC$21+M577*$AC$22+N577*$AC$23+O577*$AC$24+P577*$AC$25+Q577*$AC$26+R577*$AC$27+S577*$AC$28+T577*$AC$29+U577*$AC$30</f>
        <v/>
      </c>
      <c r="W577" s="8">
        <f>1/(1+EXP(-V577))</f>
        <v/>
      </c>
      <c r="X577" s="9">
        <f>-IF(C577=1,LN(W577),LN(1-W577))</f>
        <v/>
      </c>
      <c r="Y577" s="10">
        <f>IF(W577&gt;$AC$33,1,0)</f>
        <v/>
      </c>
      <c r="Z577">
        <f>IF(Y577=C577,1,0)</f>
        <v/>
      </c>
    </row>
    <row r="578">
      <c r="A578">
        <f>'1 prepared data'!A571</f>
        <v/>
      </c>
      <c r="B578" s="5">
        <f>'1 prepared data'!U571</f>
        <v/>
      </c>
      <c r="C578">
        <f>'1 prepared data'!B571</f>
        <v/>
      </c>
      <c r="D578" s="7">
        <f>'1 prepared data'!C571</f>
        <v/>
      </c>
      <c r="E578" s="7">
        <f>'1 prepared data'!D571</f>
        <v/>
      </c>
      <c r="F578" s="7">
        <f>'1 prepared data'!E571</f>
        <v/>
      </c>
      <c r="G578" s="7">
        <f>'1 prepared data'!F571</f>
        <v/>
      </c>
      <c r="H578" s="7">
        <f>'1 prepared data'!G571</f>
        <v/>
      </c>
      <c r="I578" s="7">
        <f>'1 prepared data'!H571</f>
        <v/>
      </c>
      <c r="J578" s="7">
        <f>'1 prepared data'!I571</f>
        <v/>
      </c>
      <c r="K578" s="7">
        <f>'1 prepared data'!J571</f>
        <v/>
      </c>
      <c r="L578" s="7">
        <f>'1 prepared data'!K571</f>
        <v/>
      </c>
      <c r="M578" s="7">
        <f>'1 prepared data'!L571</f>
        <v/>
      </c>
      <c r="N578" s="7">
        <f>'1 prepared data'!M571</f>
        <v/>
      </c>
      <c r="O578" s="7">
        <f>'1 prepared data'!N571</f>
        <v/>
      </c>
      <c r="P578" s="7">
        <f>'1 prepared data'!O571</f>
        <v/>
      </c>
      <c r="Q578" s="7">
        <f>'1 prepared data'!P571</f>
        <v/>
      </c>
      <c r="R578" s="7">
        <f>'1 prepared data'!Q571</f>
        <v/>
      </c>
      <c r="S578" s="7">
        <f>'1 prepared data'!R571</f>
        <v/>
      </c>
      <c r="T578" s="7">
        <f>'1 prepared data'!S571</f>
        <v/>
      </c>
      <c r="U578" s="7">
        <f>'1 prepared data'!T571</f>
        <v/>
      </c>
      <c r="V578" s="8">
        <f>$AC$12+D578*$AC$13+E578*$AC$14+F578*$AC$15+G578*$AC$16+H578*$AC$17+I578*$AC$18+J578*$AC$19+K578*$AC$20+L578*$AC$21+M578*$AC$22+N578*$AC$23+O578*$AC$24+P578*$AC$25+Q578*$AC$26+R578*$AC$27+S578*$AC$28+T578*$AC$29+U578*$AC$30</f>
        <v/>
      </c>
      <c r="W578" s="8">
        <f>1/(1+EXP(-V578))</f>
        <v/>
      </c>
      <c r="X578" s="9">
        <f>-IF(C578=1,LN(W578),LN(1-W578))</f>
        <v/>
      </c>
      <c r="Y578" s="10">
        <f>IF(W578&gt;$AC$33,1,0)</f>
        <v/>
      </c>
      <c r="Z578">
        <f>IF(Y578=C578,1,0)</f>
        <v/>
      </c>
    </row>
    <row r="579">
      <c r="A579">
        <f>'1 prepared data'!A572</f>
        <v/>
      </c>
      <c r="B579" s="5">
        <f>'1 prepared data'!U572</f>
        <v/>
      </c>
      <c r="C579">
        <f>'1 prepared data'!B572</f>
        <v/>
      </c>
      <c r="D579" s="7">
        <f>'1 prepared data'!C572</f>
        <v/>
      </c>
      <c r="E579" s="7">
        <f>'1 prepared data'!D572</f>
        <v/>
      </c>
      <c r="F579" s="7">
        <f>'1 prepared data'!E572</f>
        <v/>
      </c>
      <c r="G579" s="7">
        <f>'1 prepared data'!F572</f>
        <v/>
      </c>
      <c r="H579" s="7">
        <f>'1 prepared data'!G572</f>
        <v/>
      </c>
      <c r="I579" s="7">
        <f>'1 prepared data'!H572</f>
        <v/>
      </c>
      <c r="J579" s="7">
        <f>'1 prepared data'!I572</f>
        <v/>
      </c>
      <c r="K579" s="7">
        <f>'1 prepared data'!J572</f>
        <v/>
      </c>
      <c r="L579" s="7">
        <f>'1 prepared data'!K572</f>
        <v/>
      </c>
      <c r="M579" s="7">
        <f>'1 prepared data'!L572</f>
        <v/>
      </c>
      <c r="N579" s="7">
        <f>'1 prepared data'!M572</f>
        <v/>
      </c>
      <c r="O579" s="7">
        <f>'1 prepared data'!N572</f>
        <v/>
      </c>
      <c r="P579" s="7">
        <f>'1 prepared data'!O572</f>
        <v/>
      </c>
      <c r="Q579" s="7">
        <f>'1 prepared data'!P572</f>
        <v/>
      </c>
      <c r="R579" s="7">
        <f>'1 prepared data'!Q572</f>
        <v/>
      </c>
      <c r="S579" s="7">
        <f>'1 prepared data'!R572</f>
        <v/>
      </c>
      <c r="T579" s="7">
        <f>'1 prepared data'!S572</f>
        <v/>
      </c>
      <c r="U579" s="7">
        <f>'1 prepared data'!T572</f>
        <v/>
      </c>
      <c r="V579" s="8">
        <f>$AC$12+D579*$AC$13+E579*$AC$14+F579*$AC$15+G579*$AC$16+H579*$AC$17+I579*$AC$18+J579*$AC$19+K579*$AC$20+L579*$AC$21+M579*$AC$22+N579*$AC$23+O579*$AC$24+P579*$AC$25+Q579*$AC$26+R579*$AC$27+S579*$AC$28+T579*$AC$29+U579*$AC$30</f>
        <v/>
      </c>
      <c r="W579" s="8">
        <f>1/(1+EXP(-V579))</f>
        <v/>
      </c>
      <c r="X579" s="9">
        <f>-IF(C579=1,LN(W579),LN(1-W579))</f>
        <v/>
      </c>
      <c r="Y579" s="10">
        <f>IF(W579&gt;$AC$33,1,0)</f>
        <v/>
      </c>
      <c r="Z579">
        <f>IF(Y579=C579,1,0)</f>
        <v/>
      </c>
    </row>
    <row r="580">
      <c r="A580">
        <f>'1 prepared data'!A573</f>
        <v/>
      </c>
      <c r="B580" s="5">
        <f>'1 prepared data'!U573</f>
        <v/>
      </c>
      <c r="C580">
        <f>'1 prepared data'!B573</f>
        <v/>
      </c>
      <c r="D580" s="7">
        <f>'1 prepared data'!C573</f>
        <v/>
      </c>
      <c r="E580" s="7">
        <f>'1 prepared data'!D573</f>
        <v/>
      </c>
      <c r="F580" s="7">
        <f>'1 prepared data'!E573</f>
        <v/>
      </c>
      <c r="G580" s="7">
        <f>'1 prepared data'!F573</f>
        <v/>
      </c>
      <c r="H580" s="7">
        <f>'1 prepared data'!G573</f>
        <v/>
      </c>
      <c r="I580" s="7">
        <f>'1 prepared data'!H573</f>
        <v/>
      </c>
      <c r="J580" s="7">
        <f>'1 prepared data'!I573</f>
        <v/>
      </c>
      <c r="K580" s="7">
        <f>'1 prepared data'!J573</f>
        <v/>
      </c>
      <c r="L580" s="7">
        <f>'1 prepared data'!K573</f>
        <v/>
      </c>
      <c r="M580" s="7">
        <f>'1 prepared data'!L573</f>
        <v/>
      </c>
      <c r="N580" s="7">
        <f>'1 prepared data'!M573</f>
        <v/>
      </c>
      <c r="O580" s="7">
        <f>'1 prepared data'!N573</f>
        <v/>
      </c>
      <c r="P580" s="7">
        <f>'1 prepared data'!O573</f>
        <v/>
      </c>
      <c r="Q580" s="7">
        <f>'1 prepared data'!P573</f>
        <v/>
      </c>
      <c r="R580" s="7">
        <f>'1 prepared data'!Q573</f>
        <v/>
      </c>
      <c r="S580" s="7">
        <f>'1 prepared data'!R573</f>
        <v/>
      </c>
      <c r="T580" s="7">
        <f>'1 prepared data'!S573</f>
        <v/>
      </c>
      <c r="U580" s="7">
        <f>'1 prepared data'!T573</f>
        <v/>
      </c>
      <c r="V580" s="8">
        <f>$AC$12+D580*$AC$13+E580*$AC$14+F580*$AC$15+G580*$AC$16+H580*$AC$17+I580*$AC$18+J580*$AC$19+K580*$AC$20+L580*$AC$21+M580*$AC$22+N580*$AC$23+O580*$AC$24+P580*$AC$25+Q580*$AC$26+R580*$AC$27+S580*$AC$28+T580*$AC$29+U580*$AC$30</f>
        <v/>
      </c>
      <c r="W580" s="8">
        <f>1/(1+EXP(-V580))</f>
        <v/>
      </c>
      <c r="X580" s="9">
        <f>-IF(C580=1,LN(W580),LN(1-W580))</f>
        <v/>
      </c>
      <c r="Y580" s="10">
        <f>IF(W580&gt;$AC$33,1,0)</f>
        <v/>
      </c>
      <c r="Z580">
        <f>IF(Y580=C580,1,0)</f>
        <v/>
      </c>
    </row>
    <row r="581">
      <c r="A581">
        <f>'1 prepared data'!A574</f>
        <v/>
      </c>
      <c r="B581" s="5">
        <f>'1 prepared data'!U574</f>
        <v/>
      </c>
      <c r="C581">
        <f>'1 prepared data'!B574</f>
        <v/>
      </c>
      <c r="D581" s="7">
        <f>'1 prepared data'!C574</f>
        <v/>
      </c>
      <c r="E581" s="7">
        <f>'1 prepared data'!D574</f>
        <v/>
      </c>
      <c r="F581" s="7">
        <f>'1 prepared data'!E574</f>
        <v/>
      </c>
      <c r="G581" s="7">
        <f>'1 prepared data'!F574</f>
        <v/>
      </c>
      <c r="H581" s="7">
        <f>'1 prepared data'!G574</f>
        <v/>
      </c>
      <c r="I581" s="7">
        <f>'1 prepared data'!H574</f>
        <v/>
      </c>
      <c r="J581" s="7">
        <f>'1 prepared data'!I574</f>
        <v/>
      </c>
      <c r="K581" s="7">
        <f>'1 prepared data'!J574</f>
        <v/>
      </c>
      <c r="L581" s="7">
        <f>'1 prepared data'!K574</f>
        <v/>
      </c>
      <c r="M581" s="7">
        <f>'1 prepared data'!L574</f>
        <v/>
      </c>
      <c r="N581" s="7">
        <f>'1 prepared data'!M574</f>
        <v/>
      </c>
      <c r="O581" s="7">
        <f>'1 prepared data'!N574</f>
        <v/>
      </c>
      <c r="P581" s="7">
        <f>'1 prepared data'!O574</f>
        <v/>
      </c>
      <c r="Q581" s="7">
        <f>'1 prepared data'!P574</f>
        <v/>
      </c>
      <c r="R581" s="7">
        <f>'1 prepared data'!Q574</f>
        <v/>
      </c>
      <c r="S581" s="7">
        <f>'1 prepared data'!R574</f>
        <v/>
      </c>
      <c r="T581" s="7">
        <f>'1 prepared data'!S574</f>
        <v/>
      </c>
      <c r="U581" s="7">
        <f>'1 prepared data'!T574</f>
        <v/>
      </c>
      <c r="V581" s="8">
        <f>$AC$12+D581*$AC$13+E581*$AC$14+F581*$AC$15+G581*$AC$16+H581*$AC$17+I581*$AC$18+J581*$AC$19+K581*$AC$20+L581*$AC$21+M581*$AC$22+N581*$AC$23+O581*$AC$24+P581*$AC$25+Q581*$AC$26+R581*$AC$27+S581*$AC$28+T581*$AC$29+U581*$AC$30</f>
        <v/>
      </c>
      <c r="W581" s="8">
        <f>1/(1+EXP(-V581))</f>
        <v/>
      </c>
      <c r="X581" s="9">
        <f>-IF(C581=1,LN(W581),LN(1-W581))</f>
        <v/>
      </c>
      <c r="Y581" s="10">
        <f>IF(W581&gt;$AC$33,1,0)</f>
        <v/>
      </c>
      <c r="Z581">
        <f>IF(Y581=C581,1,0)</f>
        <v/>
      </c>
    </row>
    <row r="582">
      <c r="A582">
        <f>'1 prepared data'!A575</f>
        <v/>
      </c>
      <c r="B582" s="5">
        <f>'1 prepared data'!U575</f>
        <v/>
      </c>
      <c r="C582">
        <f>'1 prepared data'!B575</f>
        <v/>
      </c>
      <c r="D582" s="7">
        <f>'1 prepared data'!C575</f>
        <v/>
      </c>
      <c r="E582" s="7">
        <f>'1 prepared data'!D575</f>
        <v/>
      </c>
      <c r="F582" s="7">
        <f>'1 prepared data'!E575</f>
        <v/>
      </c>
      <c r="G582" s="7">
        <f>'1 prepared data'!F575</f>
        <v/>
      </c>
      <c r="H582" s="7">
        <f>'1 prepared data'!G575</f>
        <v/>
      </c>
      <c r="I582" s="7">
        <f>'1 prepared data'!H575</f>
        <v/>
      </c>
      <c r="J582" s="7">
        <f>'1 prepared data'!I575</f>
        <v/>
      </c>
      <c r="K582" s="7">
        <f>'1 prepared data'!J575</f>
        <v/>
      </c>
      <c r="L582" s="7">
        <f>'1 prepared data'!K575</f>
        <v/>
      </c>
      <c r="M582" s="7">
        <f>'1 prepared data'!L575</f>
        <v/>
      </c>
      <c r="N582" s="7">
        <f>'1 prepared data'!M575</f>
        <v/>
      </c>
      <c r="O582" s="7">
        <f>'1 prepared data'!N575</f>
        <v/>
      </c>
      <c r="P582" s="7">
        <f>'1 prepared data'!O575</f>
        <v/>
      </c>
      <c r="Q582" s="7">
        <f>'1 prepared data'!P575</f>
        <v/>
      </c>
      <c r="R582" s="7">
        <f>'1 prepared data'!Q575</f>
        <v/>
      </c>
      <c r="S582" s="7">
        <f>'1 prepared data'!R575</f>
        <v/>
      </c>
      <c r="T582" s="7">
        <f>'1 prepared data'!S575</f>
        <v/>
      </c>
      <c r="U582" s="7">
        <f>'1 prepared data'!T575</f>
        <v/>
      </c>
      <c r="V582" s="8">
        <f>$AC$12+D582*$AC$13+E582*$AC$14+F582*$AC$15+G582*$AC$16+H582*$AC$17+I582*$AC$18+J582*$AC$19+K582*$AC$20+L582*$AC$21+M582*$AC$22+N582*$AC$23+O582*$AC$24+P582*$AC$25+Q582*$AC$26+R582*$AC$27+S582*$AC$28+T582*$AC$29+U582*$AC$30</f>
        <v/>
      </c>
      <c r="W582" s="8">
        <f>1/(1+EXP(-V582))</f>
        <v/>
      </c>
      <c r="X582" s="9">
        <f>-IF(C582=1,LN(W582),LN(1-W582))</f>
        <v/>
      </c>
      <c r="Y582" s="10">
        <f>IF(W582&gt;$AC$33,1,0)</f>
        <v/>
      </c>
      <c r="Z582">
        <f>IF(Y582=C582,1,0)</f>
        <v/>
      </c>
    </row>
    <row r="583">
      <c r="A583">
        <f>'1 prepared data'!A576</f>
        <v/>
      </c>
      <c r="B583" s="5">
        <f>'1 prepared data'!U576</f>
        <v/>
      </c>
      <c r="C583">
        <f>'1 prepared data'!B576</f>
        <v/>
      </c>
      <c r="D583" s="7">
        <f>'1 prepared data'!C576</f>
        <v/>
      </c>
      <c r="E583" s="7">
        <f>'1 prepared data'!D576</f>
        <v/>
      </c>
      <c r="F583" s="7">
        <f>'1 prepared data'!E576</f>
        <v/>
      </c>
      <c r="G583" s="7">
        <f>'1 prepared data'!F576</f>
        <v/>
      </c>
      <c r="H583" s="7">
        <f>'1 prepared data'!G576</f>
        <v/>
      </c>
      <c r="I583" s="7">
        <f>'1 prepared data'!H576</f>
        <v/>
      </c>
      <c r="J583" s="7">
        <f>'1 prepared data'!I576</f>
        <v/>
      </c>
      <c r="K583" s="7">
        <f>'1 prepared data'!J576</f>
        <v/>
      </c>
      <c r="L583" s="7">
        <f>'1 prepared data'!K576</f>
        <v/>
      </c>
      <c r="M583" s="7">
        <f>'1 prepared data'!L576</f>
        <v/>
      </c>
      <c r="N583" s="7">
        <f>'1 prepared data'!M576</f>
        <v/>
      </c>
      <c r="O583" s="7">
        <f>'1 prepared data'!N576</f>
        <v/>
      </c>
      <c r="P583" s="7">
        <f>'1 prepared data'!O576</f>
        <v/>
      </c>
      <c r="Q583" s="7">
        <f>'1 prepared data'!P576</f>
        <v/>
      </c>
      <c r="R583" s="7">
        <f>'1 prepared data'!Q576</f>
        <v/>
      </c>
      <c r="S583" s="7">
        <f>'1 prepared data'!R576</f>
        <v/>
      </c>
      <c r="T583" s="7">
        <f>'1 prepared data'!S576</f>
        <v/>
      </c>
      <c r="U583" s="7">
        <f>'1 prepared data'!T576</f>
        <v/>
      </c>
      <c r="V583" s="8">
        <f>$AC$12+D583*$AC$13+E583*$AC$14+F583*$AC$15+G583*$AC$16+H583*$AC$17+I583*$AC$18+J583*$AC$19+K583*$AC$20+L583*$AC$21+M583*$AC$22+N583*$AC$23+O583*$AC$24+P583*$AC$25+Q583*$AC$26+R583*$AC$27+S583*$AC$28+T583*$AC$29+U583*$AC$30</f>
        <v/>
      </c>
      <c r="W583" s="8">
        <f>1/(1+EXP(-V583))</f>
        <v/>
      </c>
      <c r="X583" s="9">
        <f>-IF(C583=1,LN(W583),LN(1-W583))</f>
        <v/>
      </c>
      <c r="Y583" s="10">
        <f>IF(W583&gt;$AC$33,1,0)</f>
        <v/>
      </c>
      <c r="Z583">
        <f>IF(Y583=C583,1,0)</f>
        <v/>
      </c>
    </row>
    <row r="584">
      <c r="A584">
        <f>'1 prepared data'!A577</f>
        <v/>
      </c>
      <c r="B584" s="5">
        <f>'1 prepared data'!U577</f>
        <v/>
      </c>
      <c r="C584">
        <f>'1 prepared data'!B577</f>
        <v/>
      </c>
      <c r="D584" s="7">
        <f>'1 prepared data'!C577</f>
        <v/>
      </c>
      <c r="E584" s="7">
        <f>'1 prepared data'!D577</f>
        <v/>
      </c>
      <c r="F584" s="7">
        <f>'1 prepared data'!E577</f>
        <v/>
      </c>
      <c r="G584" s="7">
        <f>'1 prepared data'!F577</f>
        <v/>
      </c>
      <c r="H584" s="7">
        <f>'1 prepared data'!G577</f>
        <v/>
      </c>
      <c r="I584" s="7">
        <f>'1 prepared data'!H577</f>
        <v/>
      </c>
      <c r="J584" s="7">
        <f>'1 prepared data'!I577</f>
        <v/>
      </c>
      <c r="K584" s="7">
        <f>'1 prepared data'!J577</f>
        <v/>
      </c>
      <c r="L584" s="7">
        <f>'1 prepared data'!K577</f>
        <v/>
      </c>
      <c r="M584" s="7">
        <f>'1 prepared data'!L577</f>
        <v/>
      </c>
      <c r="N584" s="7">
        <f>'1 prepared data'!M577</f>
        <v/>
      </c>
      <c r="O584" s="7">
        <f>'1 prepared data'!N577</f>
        <v/>
      </c>
      <c r="P584" s="7">
        <f>'1 prepared data'!O577</f>
        <v/>
      </c>
      <c r="Q584" s="7">
        <f>'1 prepared data'!P577</f>
        <v/>
      </c>
      <c r="R584" s="7">
        <f>'1 prepared data'!Q577</f>
        <v/>
      </c>
      <c r="S584" s="7">
        <f>'1 prepared data'!R577</f>
        <v/>
      </c>
      <c r="T584" s="7">
        <f>'1 prepared data'!S577</f>
        <v/>
      </c>
      <c r="U584" s="7">
        <f>'1 prepared data'!T577</f>
        <v/>
      </c>
      <c r="V584" s="8">
        <f>$AC$12+D584*$AC$13+E584*$AC$14+F584*$AC$15+G584*$AC$16+H584*$AC$17+I584*$AC$18+J584*$AC$19+K584*$AC$20+L584*$AC$21+M584*$AC$22+N584*$AC$23+O584*$AC$24+P584*$AC$25+Q584*$AC$26+R584*$AC$27+S584*$AC$28+T584*$AC$29+U584*$AC$30</f>
        <v/>
      </c>
      <c r="W584" s="8">
        <f>1/(1+EXP(-V584))</f>
        <v/>
      </c>
      <c r="X584" s="9">
        <f>-IF(C584=1,LN(W584),LN(1-W584))</f>
        <v/>
      </c>
      <c r="Y584" s="10">
        <f>IF(W584&gt;$AC$33,1,0)</f>
        <v/>
      </c>
      <c r="Z584">
        <f>IF(Y584=C584,1,0)</f>
        <v/>
      </c>
    </row>
    <row r="585">
      <c r="A585">
        <f>'1 prepared data'!A578</f>
        <v/>
      </c>
      <c r="B585" s="5">
        <f>'1 prepared data'!U578</f>
        <v/>
      </c>
      <c r="C585">
        <f>'1 prepared data'!B578</f>
        <v/>
      </c>
      <c r="D585" s="7">
        <f>'1 prepared data'!C578</f>
        <v/>
      </c>
      <c r="E585" s="7">
        <f>'1 prepared data'!D578</f>
        <v/>
      </c>
      <c r="F585" s="7">
        <f>'1 prepared data'!E578</f>
        <v/>
      </c>
      <c r="G585" s="7">
        <f>'1 prepared data'!F578</f>
        <v/>
      </c>
      <c r="H585" s="7">
        <f>'1 prepared data'!G578</f>
        <v/>
      </c>
      <c r="I585" s="7">
        <f>'1 prepared data'!H578</f>
        <v/>
      </c>
      <c r="J585" s="7">
        <f>'1 prepared data'!I578</f>
        <v/>
      </c>
      <c r="K585" s="7">
        <f>'1 prepared data'!J578</f>
        <v/>
      </c>
      <c r="L585" s="7">
        <f>'1 prepared data'!K578</f>
        <v/>
      </c>
      <c r="M585" s="7">
        <f>'1 prepared data'!L578</f>
        <v/>
      </c>
      <c r="N585" s="7">
        <f>'1 prepared data'!M578</f>
        <v/>
      </c>
      <c r="O585" s="7">
        <f>'1 prepared data'!N578</f>
        <v/>
      </c>
      <c r="P585" s="7">
        <f>'1 prepared data'!O578</f>
        <v/>
      </c>
      <c r="Q585" s="7">
        <f>'1 prepared data'!P578</f>
        <v/>
      </c>
      <c r="R585" s="7">
        <f>'1 prepared data'!Q578</f>
        <v/>
      </c>
      <c r="S585" s="7">
        <f>'1 prepared data'!R578</f>
        <v/>
      </c>
      <c r="T585" s="7">
        <f>'1 prepared data'!S578</f>
        <v/>
      </c>
      <c r="U585" s="7">
        <f>'1 prepared data'!T578</f>
        <v/>
      </c>
      <c r="V585" s="8">
        <f>$AC$12+D585*$AC$13+E585*$AC$14+F585*$AC$15+G585*$AC$16+H585*$AC$17+I585*$AC$18+J585*$AC$19+K585*$AC$20+L585*$AC$21+M585*$AC$22+N585*$AC$23+O585*$AC$24+P585*$AC$25+Q585*$AC$26+R585*$AC$27+S585*$AC$28+T585*$AC$29+U585*$AC$30</f>
        <v/>
      </c>
      <c r="W585" s="8">
        <f>1/(1+EXP(-V585))</f>
        <v/>
      </c>
      <c r="X585" s="9">
        <f>-IF(C585=1,LN(W585),LN(1-W585))</f>
        <v/>
      </c>
      <c r="Y585" s="10">
        <f>IF(W585&gt;$AC$33,1,0)</f>
        <v/>
      </c>
      <c r="Z585">
        <f>IF(Y585=C585,1,0)</f>
        <v/>
      </c>
    </row>
    <row r="586">
      <c r="A586">
        <f>'1 prepared data'!A579</f>
        <v/>
      </c>
      <c r="B586" s="5">
        <f>'1 prepared data'!U579</f>
        <v/>
      </c>
      <c r="C586">
        <f>'1 prepared data'!B579</f>
        <v/>
      </c>
      <c r="D586" s="7">
        <f>'1 prepared data'!C579</f>
        <v/>
      </c>
      <c r="E586" s="7">
        <f>'1 prepared data'!D579</f>
        <v/>
      </c>
      <c r="F586" s="7">
        <f>'1 prepared data'!E579</f>
        <v/>
      </c>
      <c r="G586" s="7">
        <f>'1 prepared data'!F579</f>
        <v/>
      </c>
      <c r="H586" s="7">
        <f>'1 prepared data'!G579</f>
        <v/>
      </c>
      <c r="I586" s="7">
        <f>'1 prepared data'!H579</f>
        <v/>
      </c>
      <c r="J586" s="7">
        <f>'1 prepared data'!I579</f>
        <v/>
      </c>
      <c r="K586" s="7">
        <f>'1 prepared data'!J579</f>
        <v/>
      </c>
      <c r="L586" s="7">
        <f>'1 prepared data'!K579</f>
        <v/>
      </c>
      <c r="M586" s="7">
        <f>'1 prepared data'!L579</f>
        <v/>
      </c>
      <c r="N586" s="7">
        <f>'1 prepared data'!M579</f>
        <v/>
      </c>
      <c r="O586" s="7">
        <f>'1 prepared data'!N579</f>
        <v/>
      </c>
      <c r="P586" s="7">
        <f>'1 prepared data'!O579</f>
        <v/>
      </c>
      <c r="Q586" s="7">
        <f>'1 prepared data'!P579</f>
        <v/>
      </c>
      <c r="R586" s="7">
        <f>'1 prepared data'!Q579</f>
        <v/>
      </c>
      <c r="S586" s="7">
        <f>'1 prepared data'!R579</f>
        <v/>
      </c>
      <c r="T586" s="7">
        <f>'1 prepared data'!S579</f>
        <v/>
      </c>
      <c r="U586" s="7">
        <f>'1 prepared data'!T579</f>
        <v/>
      </c>
      <c r="V586" s="8">
        <f>$AC$12+D586*$AC$13+E586*$AC$14+F586*$AC$15+G586*$AC$16+H586*$AC$17+I586*$AC$18+J586*$AC$19+K586*$AC$20+L586*$AC$21+M586*$AC$22+N586*$AC$23+O586*$AC$24+P586*$AC$25+Q586*$AC$26+R586*$AC$27+S586*$AC$28+T586*$AC$29+U586*$AC$30</f>
        <v/>
      </c>
      <c r="W586" s="8">
        <f>1/(1+EXP(-V586))</f>
        <v/>
      </c>
      <c r="X586" s="9">
        <f>-IF(C586=1,LN(W586),LN(1-W586))</f>
        <v/>
      </c>
      <c r="Y586" s="10">
        <f>IF(W586&gt;$AC$33,1,0)</f>
        <v/>
      </c>
      <c r="Z586">
        <f>IF(Y586=C586,1,0)</f>
        <v/>
      </c>
    </row>
    <row r="587">
      <c r="A587">
        <f>'1 prepared data'!A580</f>
        <v/>
      </c>
      <c r="B587" s="5">
        <f>'1 prepared data'!U580</f>
        <v/>
      </c>
      <c r="C587">
        <f>'1 prepared data'!B580</f>
        <v/>
      </c>
      <c r="D587" s="7">
        <f>'1 prepared data'!C580</f>
        <v/>
      </c>
      <c r="E587" s="7">
        <f>'1 prepared data'!D580</f>
        <v/>
      </c>
      <c r="F587" s="7">
        <f>'1 prepared data'!E580</f>
        <v/>
      </c>
      <c r="G587" s="7">
        <f>'1 prepared data'!F580</f>
        <v/>
      </c>
      <c r="H587" s="7">
        <f>'1 prepared data'!G580</f>
        <v/>
      </c>
      <c r="I587" s="7">
        <f>'1 prepared data'!H580</f>
        <v/>
      </c>
      <c r="J587" s="7">
        <f>'1 prepared data'!I580</f>
        <v/>
      </c>
      <c r="K587" s="7">
        <f>'1 prepared data'!J580</f>
        <v/>
      </c>
      <c r="L587" s="7">
        <f>'1 prepared data'!K580</f>
        <v/>
      </c>
      <c r="M587" s="7">
        <f>'1 prepared data'!L580</f>
        <v/>
      </c>
      <c r="N587" s="7">
        <f>'1 prepared data'!M580</f>
        <v/>
      </c>
      <c r="O587" s="7">
        <f>'1 prepared data'!N580</f>
        <v/>
      </c>
      <c r="P587" s="7">
        <f>'1 prepared data'!O580</f>
        <v/>
      </c>
      <c r="Q587" s="7">
        <f>'1 prepared data'!P580</f>
        <v/>
      </c>
      <c r="R587" s="7">
        <f>'1 prepared data'!Q580</f>
        <v/>
      </c>
      <c r="S587" s="7">
        <f>'1 prepared data'!R580</f>
        <v/>
      </c>
      <c r="T587" s="7">
        <f>'1 prepared data'!S580</f>
        <v/>
      </c>
      <c r="U587" s="7">
        <f>'1 prepared data'!T580</f>
        <v/>
      </c>
      <c r="V587" s="8">
        <f>$AC$12+D587*$AC$13+E587*$AC$14+F587*$AC$15+G587*$AC$16+H587*$AC$17+I587*$AC$18+J587*$AC$19+K587*$AC$20+L587*$AC$21+M587*$AC$22+N587*$AC$23+O587*$AC$24+P587*$AC$25+Q587*$AC$26+R587*$AC$27+S587*$AC$28+T587*$AC$29+U587*$AC$30</f>
        <v/>
      </c>
      <c r="W587" s="8">
        <f>1/(1+EXP(-V587))</f>
        <v/>
      </c>
      <c r="X587" s="9">
        <f>-IF(C587=1,LN(W587),LN(1-W587))</f>
        <v/>
      </c>
      <c r="Y587" s="10">
        <f>IF(W587&gt;$AC$33,1,0)</f>
        <v/>
      </c>
      <c r="Z587">
        <f>IF(Y587=C587,1,0)</f>
        <v/>
      </c>
    </row>
    <row r="588">
      <c r="A588">
        <f>'1 prepared data'!A581</f>
        <v/>
      </c>
      <c r="B588" s="5">
        <f>'1 prepared data'!U581</f>
        <v/>
      </c>
      <c r="C588">
        <f>'1 prepared data'!B581</f>
        <v/>
      </c>
      <c r="D588" s="7">
        <f>'1 prepared data'!C581</f>
        <v/>
      </c>
      <c r="E588" s="7">
        <f>'1 prepared data'!D581</f>
        <v/>
      </c>
      <c r="F588" s="7">
        <f>'1 prepared data'!E581</f>
        <v/>
      </c>
      <c r="G588" s="7">
        <f>'1 prepared data'!F581</f>
        <v/>
      </c>
      <c r="H588" s="7">
        <f>'1 prepared data'!G581</f>
        <v/>
      </c>
      <c r="I588" s="7">
        <f>'1 prepared data'!H581</f>
        <v/>
      </c>
      <c r="J588" s="7">
        <f>'1 prepared data'!I581</f>
        <v/>
      </c>
      <c r="K588" s="7">
        <f>'1 prepared data'!J581</f>
        <v/>
      </c>
      <c r="L588" s="7">
        <f>'1 prepared data'!K581</f>
        <v/>
      </c>
      <c r="M588" s="7">
        <f>'1 prepared data'!L581</f>
        <v/>
      </c>
      <c r="N588" s="7">
        <f>'1 prepared data'!M581</f>
        <v/>
      </c>
      <c r="O588" s="7">
        <f>'1 prepared data'!N581</f>
        <v/>
      </c>
      <c r="P588" s="7">
        <f>'1 prepared data'!O581</f>
        <v/>
      </c>
      <c r="Q588" s="7">
        <f>'1 prepared data'!P581</f>
        <v/>
      </c>
      <c r="R588" s="7">
        <f>'1 prepared data'!Q581</f>
        <v/>
      </c>
      <c r="S588" s="7">
        <f>'1 prepared data'!R581</f>
        <v/>
      </c>
      <c r="T588" s="7">
        <f>'1 prepared data'!S581</f>
        <v/>
      </c>
      <c r="U588" s="7">
        <f>'1 prepared data'!T581</f>
        <v/>
      </c>
      <c r="V588" s="8">
        <f>$AC$12+D588*$AC$13+E588*$AC$14+F588*$AC$15+G588*$AC$16+H588*$AC$17+I588*$AC$18+J588*$AC$19+K588*$AC$20+L588*$AC$21+M588*$AC$22+N588*$AC$23+O588*$AC$24+P588*$AC$25+Q588*$AC$26+R588*$AC$27+S588*$AC$28+T588*$AC$29+U588*$AC$30</f>
        <v/>
      </c>
      <c r="W588" s="8">
        <f>1/(1+EXP(-V588))</f>
        <v/>
      </c>
      <c r="X588" s="9">
        <f>-IF(C588=1,LN(W588),LN(1-W588))</f>
        <v/>
      </c>
      <c r="Y588" s="10">
        <f>IF(W588&gt;$AC$33,1,0)</f>
        <v/>
      </c>
      <c r="Z588">
        <f>IF(Y588=C588,1,0)</f>
        <v/>
      </c>
    </row>
    <row r="589">
      <c r="A589">
        <f>'1 prepared data'!A582</f>
        <v/>
      </c>
      <c r="B589" s="5">
        <f>'1 prepared data'!U582</f>
        <v/>
      </c>
      <c r="C589">
        <f>'1 prepared data'!B582</f>
        <v/>
      </c>
      <c r="D589" s="7">
        <f>'1 prepared data'!C582</f>
        <v/>
      </c>
      <c r="E589" s="7">
        <f>'1 prepared data'!D582</f>
        <v/>
      </c>
      <c r="F589" s="7">
        <f>'1 prepared data'!E582</f>
        <v/>
      </c>
      <c r="G589" s="7">
        <f>'1 prepared data'!F582</f>
        <v/>
      </c>
      <c r="H589" s="7">
        <f>'1 prepared data'!G582</f>
        <v/>
      </c>
      <c r="I589" s="7">
        <f>'1 prepared data'!H582</f>
        <v/>
      </c>
      <c r="J589" s="7">
        <f>'1 prepared data'!I582</f>
        <v/>
      </c>
      <c r="K589" s="7">
        <f>'1 prepared data'!J582</f>
        <v/>
      </c>
      <c r="L589" s="7">
        <f>'1 prepared data'!K582</f>
        <v/>
      </c>
      <c r="M589" s="7">
        <f>'1 prepared data'!L582</f>
        <v/>
      </c>
      <c r="N589" s="7">
        <f>'1 prepared data'!M582</f>
        <v/>
      </c>
      <c r="O589" s="7">
        <f>'1 prepared data'!N582</f>
        <v/>
      </c>
      <c r="P589" s="7">
        <f>'1 prepared data'!O582</f>
        <v/>
      </c>
      <c r="Q589" s="7">
        <f>'1 prepared data'!P582</f>
        <v/>
      </c>
      <c r="R589" s="7">
        <f>'1 prepared data'!Q582</f>
        <v/>
      </c>
      <c r="S589" s="7">
        <f>'1 prepared data'!R582</f>
        <v/>
      </c>
      <c r="T589" s="7">
        <f>'1 prepared data'!S582</f>
        <v/>
      </c>
      <c r="U589" s="7">
        <f>'1 prepared data'!T582</f>
        <v/>
      </c>
      <c r="V589" s="8">
        <f>$AC$12+D589*$AC$13+E589*$AC$14+F589*$AC$15+G589*$AC$16+H589*$AC$17+I589*$AC$18+J589*$AC$19+K589*$AC$20+L589*$AC$21+M589*$AC$22+N589*$AC$23+O589*$AC$24+P589*$AC$25+Q589*$AC$26+R589*$AC$27+S589*$AC$28+T589*$AC$29+U589*$AC$30</f>
        <v/>
      </c>
      <c r="W589" s="8">
        <f>1/(1+EXP(-V589))</f>
        <v/>
      </c>
      <c r="X589" s="9">
        <f>-IF(C589=1,LN(W589),LN(1-W589))</f>
        <v/>
      </c>
      <c r="Y589" s="10">
        <f>IF(W589&gt;$AC$33,1,0)</f>
        <v/>
      </c>
      <c r="Z589">
        <f>IF(Y589=C589,1,0)</f>
        <v/>
      </c>
    </row>
    <row r="590">
      <c r="A590">
        <f>'1 prepared data'!A583</f>
        <v/>
      </c>
      <c r="B590" s="5">
        <f>'1 prepared data'!U583</f>
        <v/>
      </c>
      <c r="C590">
        <f>'1 prepared data'!B583</f>
        <v/>
      </c>
      <c r="D590" s="7">
        <f>'1 prepared data'!C583</f>
        <v/>
      </c>
      <c r="E590" s="7">
        <f>'1 prepared data'!D583</f>
        <v/>
      </c>
      <c r="F590" s="7">
        <f>'1 prepared data'!E583</f>
        <v/>
      </c>
      <c r="G590" s="7">
        <f>'1 prepared data'!F583</f>
        <v/>
      </c>
      <c r="H590" s="7">
        <f>'1 prepared data'!G583</f>
        <v/>
      </c>
      <c r="I590" s="7">
        <f>'1 prepared data'!H583</f>
        <v/>
      </c>
      <c r="J590" s="7">
        <f>'1 prepared data'!I583</f>
        <v/>
      </c>
      <c r="K590" s="7">
        <f>'1 prepared data'!J583</f>
        <v/>
      </c>
      <c r="L590" s="7">
        <f>'1 prepared data'!K583</f>
        <v/>
      </c>
      <c r="M590" s="7">
        <f>'1 prepared data'!L583</f>
        <v/>
      </c>
      <c r="N590" s="7">
        <f>'1 prepared data'!M583</f>
        <v/>
      </c>
      <c r="O590" s="7">
        <f>'1 prepared data'!N583</f>
        <v/>
      </c>
      <c r="P590" s="7">
        <f>'1 prepared data'!O583</f>
        <v/>
      </c>
      <c r="Q590" s="7">
        <f>'1 prepared data'!P583</f>
        <v/>
      </c>
      <c r="R590" s="7">
        <f>'1 prepared data'!Q583</f>
        <v/>
      </c>
      <c r="S590" s="7">
        <f>'1 prepared data'!R583</f>
        <v/>
      </c>
      <c r="T590" s="7">
        <f>'1 prepared data'!S583</f>
        <v/>
      </c>
      <c r="U590" s="7">
        <f>'1 prepared data'!T583</f>
        <v/>
      </c>
      <c r="V590" s="8">
        <f>$AC$12+D590*$AC$13+E590*$AC$14+F590*$AC$15+G590*$AC$16+H590*$AC$17+I590*$AC$18+J590*$AC$19+K590*$AC$20+L590*$AC$21+M590*$AC$22+N590*$AC$23+O590*$AC$24+P590*$AC$25+Q590*$AC$26+R590*$AC$27+S590*$AC$28+T590*$AC$29+U590*$AC$30</f>
        <v/>
      </c>
      <c r="W590" s="8">
        <f>1/(1+EXP(-V590))</f>
        <v/>
      </c>
      <c r="X590" s="9">
        <f>-IF(C590=1,LN(W590),LN(1-W590))</f>
        <v/>
      </c>
      <c r="Y590" s="10">
        <f>IF(W590&gt;$AC$33,1,0)</f>
        <v/>
      </c>
      <c r="Z590">
        <f>IF(Y590=C590,1,0)</f>
        <v/>
      </c>
    </row>
    <row r="591">
      <c r="A591">
        <f>'1 prepared data'!A584</f>
        <v/>
      </c>
      <c r="B591" s="5">
        <f>'1 prepared data'!U584</f>
        <v/>
      </c>
      <c r="C591">
        <f>'1 prepared data'!B584</f>
        <v/>
      </c>
      <c r="D591" s="7">
        <f>'1 prepared data'!C584</f>
        <v/>
      </c>
      <c r="E591" s="7">
        <f>'1 prepared data'!D584</f>
        <v/>
      </c>
      <c r="F591" s="7">
        <f>'1 prepared data'!E584</f>
        <v/>
      </c>
      <c r="G591" s="7">
        <f>'1 prepared data'!F584</f>
        <v/>
      </c>
      <c r="H591" s="7">
        <f>'1 prepared data'!G584</f>
        <v/>
      </c>
      <c r="I591" s="7">
        <f>'1 prepared data'!H584</f>
        <v/>
      </c>
      <c r="J591" s="7">
        <f>'1 prepared data'!I584</f>
        <v/>
      </c>
      <c r="K591" s="7">
        <f>'1 prepared data'!J584</f>
        <v/>
      </c>
      <c r="L591" s="7">
        <f>'1 prepared data'!K584</f>
        <v/>
      </c>
      <c r="M591" s="7">
        <f>'1 prepared data'!L584</f>
        <v/>
      </c>
      <c r="N591" s="7">
        <f>'1 prepared data'!M584</f>
        <v/>
      </c>
      <c r="O591" s="7">
        <f>'1 prepared data'!N584</f>
        <v/>
      </c>
      <c r="P591" s="7">
        <f>'1 prepared data'!O584</f>
        <v/>
      </c>
      <c r="Q591" s="7">
        <f>'1 prepared data'!P584</f>
        <v/>
      </c>
      <c r="R591" s="7">
        <f>'1 prepared data'!Q584</f>
        <v/>
      </c>
      <c r="S591" s="7">
        <f>'1 prepared data'!R584</f>
        <v/>
      </c>
      <c r="T591" s="7">
        <f>'1 prepared data'!S584</f>
        <v/>
      </c>
      <c r="U591" s="7">
        <f>'1 prepared data'!T584</f>
        <v/>
      </c>
      <c r="V591" s="8">
        <f>$AC$12+D591*$AC$13+E591*$AC$14+F591*$AC$15+G591*$AC$16+H591*$AC$17+I591*$AC$18+J591*$AC$19+K591*$AC$20+L591*$AC$21+M591*$AC$22+N591*$AC$23+O591*$AC$24+P591*$AC$25+Q591*$AC$26+R591*$AC$27+S591*$AC$28+T591*$AC$29+U591*$AC$30</f>
        <v/>
      </c>
      <c r="W591" s="8">
        <f>1/(1+EXP(-V591))</f>
        <v/>
      </c>
      <c r="X591" s="9">
        <f>-IF(C591=1,LN(W591),LN(1-W591))</f>
        <v/>
      </c>
      <c r="Y591" s="10">
        <f>IF(W591&gt;$AC$33,1,0)</f>
        <v/>
      </c>
      <c r="Z591">
        <f>IF(Y591=C591,1,0)</f>
        <v/>
      </c>
    </row>
    <row r="592">
      <c r="A592">
        <f>'1 prepared data'!A585</f>
        <v/>
      </c>
      <c r="B592" s="5">
        <f>'1 prepared data'!U585</f>
        <v/>
      </c>
      <c r="C592">
        <f>'1 prepared data'!B585</f>
        <v/>
      </c>
      <c r="D592" s="7">
        <f>'1 prepared data'!C585</f>
        <v/>
      </c>
      <c r="E592" s="7">
        <f>'1 prepared data'!D585</f>
        <v/>
      </c>
      <c r="F592" s="7">
        <f>'1 prepared data'!E585</f>
        <v/>
      </c>
      <c r="G592" s="7">
        <f>'1 prepared data'!F585</f>
        <v/>
      </c>
      <c r="H592" s="7">
        <f>'1 prepared data'!G585</f>
        <v/>
      </c>
      <c r="I592" s="7">
        <f>'1 prepared data'!H585</f>
        <v/>
      </c>
      <c r="J592" s="7">
        <f>'1 prepared data'!I585</f>
        <v/>
      </c>
      <c r="K592" s="7">
        <f>'1 prepared data'!J585</f>
        <v/>
      </c>
      <c r="L592" s="7">
        <f>'1 prepared data'!K585</f>
        <v/>
      </c>
      <c r="M592" s="7">
        <f>'1 prepared data'!L585</f>
        <v/>
      </c>
      <c r="N592" s="7">
        <f>'1 prepared data'!M585</f>
        <v/>
      </c>
      <c r="O592" s="7">
        <f>'1 prepared data'!N585</f>
        <v/>
      </c>
      <c r="P592" s="7">
        <f>'1 prepared data'!O585</f>
        <v/>
      </c>
      <c r="Q592" s="7">
        <f>'1 prepared data'!P585</f>
        <v/>
      </c>
      <c r="R592" s="7">
        <f>'1 prepared data'!Q585</f>
        <v/>
      </c>
      <c r="S592" s="7">
        <f>'1 prepared data'!R585</f>
        <v/>
      </c>
      <c r="T592" s="7">
        <f>'1 prepared data'!S585</f>
        <v/>
      </c>
      <c r="U592" s="7">
        <f>'1 prepared data'!T585</f>
        <v/>
      </c>
      <c r="V592" s="8">
        <f>$AC$12+D592*$AC$13+E592*$AC$14+F592*$AC$15+G592*$AC$16+H592*$AC$17+I592*$AC$18+J592*$AC$19+K592*$AC$20+L592*$AC$21+M592*$AC$22+N592*$AC$23+O592*$AC$24+P592*$AC$25+Q592*$AC$26+R592*$AC$27+S592*$AC$28+T592*$AC$29+U592*$AC$30</f>
        <v/>
      </c>
      <c r="W592" s="8">
        <f>1/(1+EXP(-V592))</f>
        <v/>
      </c>
      <c r="X592" s="9">
        <f>-IF(C592=1,LN(W592),LN(1-W592))</f>
        <v/>
      </c>
      <c r="Y592" s="10">
        <f>IF(W592&gt;$AC$33,1,0)</f>
        <v/>
      </c>
      <c r="Z592">
        <f>IF(Y592=C592,1,0)</f>
        <v/>
      </c>
    </row>
    <row r="593">
      <c r="A593">
        <f>'1 prepared data'!A586</f>
        <v/>
      </c>
      <c r="B593" s="5">
        <f>'1 prepared data'!U586</f>
        <v/>
      </c>
      <c r="C593">
        <f>'1 prepared data'!B586</f>
        <v/>
      </c>
      <c r="D593" s="7">
        <f>'1 prepared data'!C586</f>
        <v/>
      </c>
      <c r="E593" s="7">
        <f>'1 prepared data'!D586</f>
        <v/>
      </c>
      <c r="F593" s="7">
        <f>'1 prepared data'!E586</f>
        <v/>
      </c>
      <c r="G593" s="7">
        <f>'1 prepared data'!F586</f>
        <v/>
      </c>
      <c r="H593" s="7">
        <f>'1 prepared data'!G586</f>
        <v/>
      </c>
      <c r="I593" s="7">
        <f>'1 prepared data'!H586</f>
        <v/>
      </c>
      <c r="J593" s="7">
        <f>'1 prepared data'!I586</f>
        <v/>
      </c>
      <c r="K593" s="7">
        <f>'1 prepared data'!J586</f>
        <v/>
      </c>
      <c r="L593" s="7">
        <f>'1 prepared data'!K586</f>
        <v/>
      </c>
      <c r="M593" s="7">
        <f>'1 prepared data'!L586</f>
        <v/>
      </c>
      <c r="N593" s="7">
        <f>'1 prepared data'!M586</f>
        <v/>
      </c>
      <c r="O593" s="7">
        <f>'1 prepared data'!N586</f>
        <v/>
      </c>
      <c r="P593" s="7">
        <f>'1 prepared data'!O586</f>
        <v/>
      </c>
      <c r="Q593" s="7">
        <f>'1 prepared data'!P586</f>
        <v/>
      </c>
      <c r="R593" s="7">
        <f>'1 prepared data'!Q586</f>
        <v/>
      </c>
      <c r="S593" s="7">
        <f>'1 prepared data'!R586</f>
        <v/>
      </c>
      <c r="T593" s="7">
        <f>'1 prepared data'!S586</f>
        <v/>
      </c>
      <c r="U593" s="7">
        <f>'1 prepared data'!T586</f>
        <v/>
      </c>
      <c r="V593" s="8">
        <f>$AC$12+D593*$AC$13+E593*$AC$14+F593*$AC$15+G593*$AC$16+H593*$AC$17+I593*$AC$18+J593*$AC$19+K593*$AC$20+L593*$AC$21+M593*$AC$22+N593*$AC$23+O593*$AC$24+P593*$AC$25+Q593*$AC$26+R593*$AC$27+S593*$AC$28+T593*$AC$29+U593*$AC$30</f>
        <v/>
      </c>
      <c r="W593" s="8">
        <f>1/(1+EXP(-V593))</f>
        <v/>
      </c>
      <c r="X593" s="9">
        <f>-IF(C593=1,LN(W593),LN(1-W593))</f>
        <v/>
      </c>
      <c r="Y593" s="10">
        <f>IF(W593&gt;$AC$33,1,0)</f>
        <v/>
      </c>
      <c r="Z593">
        <f>IF(Y593=C593,1,0)</f>
        <v/>
      </c>
    </row>
    <row r="594">
      <c r="A594">
        <f>'1 prepared data'!A587</f>
        <v/>
      </c>
      <c r="B594" s="5">
        <f>'1 prepared data'!U587</f>
        <v/>
      </c>
      <c r="C594">
        <f>'1 prepared data'!B587</f>
        <v/>
      </c>
      <c r="D594" s="7">
        <f>'1 prepared data'!C587</f>
        <v/>
      </c>
      <c r="E594" s="7">
        <f>'1 prepared data'!D587</f>
        <v/>
      </c>
      <c r="F594" s="7">
        <f>'1 prepared data'!E587</f>
        <v/>
      </c>
      <c r="G594" s="7">
        <f>'1 prepared data'!F587</f>
        <v/>
      </c>
      <c r="H594" s="7">
        <f>'1 prepared data'!G587</f>
        <v/>
      </c>
      <c r="I594" s="7">
        <f>'1 prepared data'!H587</f>
        <v/>
      </c>
      <c r="J594" s="7">
        <f>'1 prepared data'!I587</f>
        <v/>
      </c>
      <c r="K594" s="7">
        <f>'1 prepared data'!J587</f>
        <v/>
      </c>
      <c r="L594" s="7">
        <f>'1 prepared data'!K587</f>
        <v/>
      </c>
      <c r="M594" s="7">
        <f>'1 prepared data'!L587</f>
        <v/>
      </c>
      <c r="N594" s="7">
        <f>'1 prepared data'!M587</f>
        <v/>
      </c>
      <c r="O594" s="7">
        <f>'1 prepared data'!N587</f>
        <v/>
      </c>
      <c r="P594" s="7">
        <f>'1 prepared data'!O587</f>
        <v/>
      </c>
      <c r="Q594" s="7">
        <f>'1 prepared data'!P587</f>
        <v/>
      </c>
      <c r="R594" s="7">
        <f>'1 prepared data'!Q587</f>
        <v/>
      </c>
      <c r="S594" s="7">
        <f>'1 prepared data'!R587</f>
        <v/>
      </c>
      <c r="T594" s="7">
        <f>'1 prepared data'!S587</f>
        <v/>
      </c>
      <c r="U594" s="7">
        <f>'1 prepared data'!T587</f>
        <v/>
      </c>
      <c r="V594" s="8">
        <f>$AC$12+D594*$AC$13+E594*$AC$14+F594*$AC$15+G594*$AC$16+H594*$AC$17+I594*$AC$18+J594*$AC$19+K594*$AC$20+L594*$AC$21+M594*$AC$22+N594*$AC$23+O594*$AC$24+P594*$AC$25+Q594*$AC$26+R594*$AC$27+S594*$AC$28+T594*$AC$29+U594*$AC$30</f>
        <v/>
      </c>
      <c r="W594" s="8">
        <f>1/(1+EXP(-V594))</f>
        <v/>
      </c>
      <c r="X594" s="9">
        <f>-IF(C594=1,LN(W594),LN(1-W594))</f>
        <v/>
      </c>
      <c r="Y594" s="10">
        <f>IF(W594&gt;$AC$33,1,0)</f>
        <v/>
      </c>
      <c r="Z594">
        <f>IF(Y594=C594,1,0)</f>
        <v/>
      </c>
    </row>
    <row r="595">
      <c r="A595">
        <f>'1 prepared data'!A588</f>
        <v/>
      </c>
      <c r="B595" s="5">
        <f>'1 prepared data'!U588</f>
        <v/>
      </c>
      <c r="C595">
        <f>'1 prepared data'!B588</f>
        <v/>
      </c>
      <c r="D595" s="7">
        <f>'1 prepared data'!C588</f>
        <v/>
      </c>
      <c r="E595" s="7">
        <f>'1 prepared data'!D588</f>
        <v/>
      </c>
      <c r="F595" s="7">
        <f>'1 prepared data'!E588</f>
        <v/>
      </c>
      <c r="G595" s="7">
        <f>'1 prepared data'!F588</f>
        <v/>
      </c>
      <c r="H595" s="7">
        <f>'1 prepared data'!G588</f>
        <v/>
      </c>
      <c r="I595" s="7">
        <f>'1 prepared data'!H588</f>
        <v/>
      </c>
      <c r="J595" s="7">
        <f>'1 prepared data'!I588</f>
        <v/>
      </c>
      <c r="K595" s="7">
        <f>'1 prepared data'!J588</f>
        <v/>
      </c>
      <c r="L595" s="7">
        <f>'1 prepared data'!K588</f>
        <v/>
      </c>
      <c r="M595" s="7">
        <f>'1 prepared data'!L588</f>
        <v/>
      </c>
      <c r="N595" s="7">
        <f>'1 prepared data'!M588</f>
        <v/>
      </c>
      <c r="O595" s="7">
        <f>'1 prepared data'!N588</f>
        <v/>
      </c>
      <c r="P595" s="7">
        <f>'1 prepared data'!O588</f>
        <v/>
      </c>
      <c r="Q595" s="7">
        <f>'1 prepared data'!P588</f>
        <v/>
      </c>
      <c r="R595" s="7">
        <f>'1 prepared data'!Q588</f>
        <v/>
      </c>
      <c r="S595" s="7">
        <f>'1 prepared data'!R588</f>
        <v/>
      </c>
      <c r="T595" s="7">
        <f>'1 prepared data'!S588</f>
        <v/>
      </c>
      <c r="U595" s="7">
        <f>'1 prepared data'!T588</f>
        <v/>
      </c>
      <c r="V595" s="8">
        <f>$AC$12+D595*$AC$13+E595*$AC$14+F595*$AC$15+G595*$AC$16+H595*$AC$17+I595*$AC$18+J595*$AC$19+K595*$AC$20+L595*$AC$21+M595*$AC$22+N595*$AC$23+O595*$AC$24+P595*$AC$25+Q595*$AC$26+R595*$AC$27+S595*$AC$28+T595*$AC$29+U595*$AC$30</f>
        <v/>
      </c>
      <c r="W595" s="8">
        <f>1/(1+EXP(-V595))</f>
        <v/>
      </c>
      <c r="X595" s="9">
        <f>-IF(C595=1,LN(W595),LN(1-W595))</f>
        <v/>
      </c>
      <c r="Y595" s="10">
        <f>IF(W595&gt;$AC$33,1,0)</f>
        <v/>
      </c>
      <c r="Z595">
        <f>IF(Y595=C595,1,0)</f>
        <v/>
      </c>
    </row>
    <row r="596">
      <c r="A596">
        <f>'1 prepared data'!A589</f>
        <v/>
      </c>
      <c r="B596" s="5">
        <f>'1 prepared data'!U589</f>
        <v/>
      </c>
      <c r="C596">
        <f>'1 prepared data'!B589</f>
        <v/>
      </c>
      <c r="D596" s="7">
        <f>'1 prepared data'!C589</f>
        <v/>
      </c>
      <c r="E596" s="7">
        <f>'1 prepared data'!D589</f>
        <v/>
      </c>
      <c r="F596" s="7">
        <f>'1 prepared data'!E589</f>
        <v/>
      </c>
      <c r="G596" s="7">
        <f>'1 prepared data'!F589</f>
        <v/>
      </c>
      <c r="H596" s="7">
        <f>'1 prepared data'!G589</f>
        <v/>
      </c>
      <c r="I596" s="7">
        <f>'1 prepared data'!H589</f>
        <v/>
      </c>
      <c r="J596" s="7">
        <f>'1 prepared data'!I589</f>
        <v/>
      </c>
      <c r="K596" s="7">
        <f>'1 prepared data'!J589</f>
        <v/>
      </c>
      <c r="L596" s="7">
        <f>'1 prepared data'!K589</f>
        <v/>
      </c>
      <c r="M596" s="7">
        <f>'1 prepared data'!L589</f>
        <v/>
      </c>
      <c r="N596" s="7">
        <f>'1 prepared data'!M589</f>
        <v/>
      </c>
      <c r="O596" s="7">
        <f>'1 prepared data'!N589</f>
        <v/>
      </c>
      <c r="P596" s="7">
        <f>'1 prepared data'!O589</f>
        <v/>
      </c>
      <c r="Q596" s="7">
        <f>'1 prepared data'!P589</f>
        <v/>
      </c>
      <c r="R596" s="7">
        <f>'1 prepared data'!Q589</f>
        <v/>
      </c>
      <c r="S596" s="7">
        <f>'1 prepared data'!R589</f>
        <v/>
      </c>
      <c r="T596" s="7">
        <f>'1 prepared data'!S589</f>
        <v/>
      </c>
      <c r="U596" s="7">
        <f>'1 prepared data'!T589</f>
        <v/>
      </c>
      <c r="V596" s="8">
        <f>$AC$12+D596*$AC$13+E596*$AC$14+F596*$AC$15+G596*$AC$16+H596*$AC$17+I596*$AC$18+J596*$AC$19+K596*$AC$20+L596*$AC$21+M596*$AC$22+N596*$AC$23+O596*$AC$24+P596*$AC$25+Q596*$AC$26+R596*$AC$27+S596*$AC$28+T596*$AC$29+U596*$AC$30</f>
        <v/>
      </c>
      <c r="W596" s="8">
        <f>1/(1+EXP(-V596))</f>
        <v/>
      </c>
      <c r="X596" s="9">
        <f>-IF(C596=1,LN(W596),LN(1-W596))</f>
        <v/>
      </c>
      <c r="Y596" s="10">
        <f>IF(W596&gt;$AC$33,1,0)</f>
        <v/>
      </c>
      <c r="Z596">
        <f>IF(Y596=C596,1,0)</f>
        <v/>
      </c>
    </row>
    <row r="597">
      <c r="A597">
        <f>'1 prepared data'!A590</f>
        <v/>
      </c>
      <c r="B597" s="5">
        <f>'1 prepared data'!U590</f>
        <v/>
      </c>
      <c r="C597">
        <f>'1 prepared data'!B590</f>
        <v/>
      </c>
      <c r="D597" s="7">
        <f>'1 prepared data'!C590</f>
        <v/>
      </c>
      <c r="E597" s="7">
        <f>'1 prepared data'!D590</f>
        <v/>
      </c>
      <c r="F597" s="7">
        <f>'1 prepared data'!E590</f>
        <v/>
      </c>
      <c r="G597" s="7">
        <f>'1 prepared data'!F590</f>
        <v/>
      </c>
      <c r="H597" s="7">
        <f>'1 prepared data'!G590</f>
        <v/>
      </c>
      <c r="I597" s="7">
        <f>'1 prepared data'!H590</f>
        <v/>
      </c>
      <c r="J597" s="7">
        <f>'1 prepared data'!I590</f>
        <v/>
      </c>
      <c r="K597" s="7">
        <f>'1 prepared data'!J590</f>
        <v/>
      </c>
      <c r="L597" s="7">
        <f>'1 prepared data'!K590</f>
        <v/>
      </c>
      <c r="M597" s="7">
        <f>'1 prepared data'!L590</f>
        <v/>
      </c>
      <c r="N597" s="7">
        <f>'1 prepared data'!M590</f>
        <v/>
      </c>
      <c r="O597" s="7">
        <f>'1 prepared data'!N590</f>
        <v/>
      </c>
      <c r="P597" s="7">
        <f>'1 prepared data'!O590</f>
        <v/>
      </c>
      <c r="Q597" s="7">
        <f>'1 prepared data'!P590</f>
        <v/>
      </c>
      <c r="R597" s="7">
        <f>'1 prepared data'!Q590</f>
        <v/>
      </c>
      <c r="S597" s="7">
        <f>'1 prepared data'!R590</f>
        <v/>
      </c>
      <c r="T597" s="7">
        <f>'1 prepared data'!S590</f>
        <v/>
      </c>
      <c r="U597" s="7">
        <f>'1 prepared data'!T590</f>
        <v/>
      </c>
      <c r="V597" s="8">
        <f>$AC$12+D597*$AC$13+E597*$AC$14+F597*$AC$15+G597*$AC$16+H597*$AC$17+I597*$AC$18+J597*$AC$19+K597*$AC$20+L597*$AC$21+M597*$AC$22+N597*$AC$23+O597*$AC$24+P597*$AC$25+Q597*$AC$26+R597*$AC$27+S597*$AC$28+T597*$AC$29+U597*$AC$30</f>
        <v/>
      </c>
      <c r="W597" s="8">
        <f>1/(1+EXP(-V597))</f>
        <v/>
      </c>
      <c r="X597" s="9">
        <f>-IF(C597=1,LN(W597),LN(1-W597))</f>
        <v/>
      </c>
      <c r="Y597" s="10">
        <f>IF(W597&gt;$AC$33,1,0)</f>
        <v/>
      </c>
      <c r="Z597">
        <f>IF(Y597=C597,1,0)</f>
        <v/>
      </c>
    </row>
    <row r="598">
      <c r="A598">
        <f>'1 prepared data'!A591</f>
        <v/>
      </c>
      <c r="B598" s="5">
        <f>'1 prepared data'!U591</f>
        <v/>
      </c>
      <c r="C598">
        <f>'1 prepared data'!B591</f>
        <v/>
      </c>
      <c r="D598" s="7">
        <f>'1 prepared data'!C591</f>
        <v/>
      </c>
      <c r="E598" s="7">
        <f>'1 prepared data'!D591</f>
        <v/>
      </c>
      <c r="F598" s="7">
        <f>'1 prepared data'!E591</f>
        <v/>
      </c>
      <c r="G598" s="7">
        <f>'1 prepared data'!F591</f>
        <v/>
      </c>
      <c r="H598" s="7">
        <f>'1 prepared data'!G591</f>
        <v/>
      </c>
      <c r="I598" s="7">
        <f>'1 prepared data'!H591</f>
        <v/>
      </c>
      <c r="J598" s="7">
        <f>'1 prepared data'!I591</f>
        <v/>
      </c>
      <c r="K598" s="7">
        <f>'1 prepared data'!J591</f>
        <v/>
      </c>
      <c r="L598" s="7">
        <f>'1 prepared data'!K591</f>
        <v/>
      </c>
      <c r="M598" s="7">
        <f>'1 prepared data'!L591</f>
        <v/>
      </c>
      <c r="N598" s="7">
        <f>'1 prepared data'!M591</f>
        <v/>
      </c>
      <c r="O598" s="7">
        <f>'1 prepared data'!N591</f>
        <v/>
      </c>
      <c r="P598" s="7">
        <f>'1 prepared data'!O591</f>
        <v/>
      </c>
      <c r="Q598" s="7">
        <f>'1 prepared data'!P591</f>
        <v/>
      </c>
      <c r="R598" s="7">
        <f>'1 prepared data'!Q591</f>
        <v/>
      </c>
      <c r="S598" s="7">
        <f>'1 prepared data'!R591</f>
        <v/>
      </c>
      <c r="T598" s="7">
        <f>'1 prepared data'!S591</f>
        <v/>
      </c>
      <c r="U598" s="7">
        <f>'1 prepared data'!T591</f>
        <v/>
      </c>
      <c r="V598" s="8">
        <f>$AC$12+D598*$AC$13+E598*$AC$14+F598*$AC$15+G598*$AC$16+H598*$AC$17+I598*$AC$18+J598*$AC$19+K598*$AC$20+L598*$AC$21+M598*$AC$22+N598*$AC$23+O598*$AC$24+P598*$AC$25+Q598*$AC$26+R598*$AC$27+S598*$AC$28+T598*$AC$29+U598*$AC$30</f>
        <v/>
      </c>
      <c r="W598" s="8">
        <f>1/(1+EXP(-V598))</f>
        <v/>
      </c>
      <c r="X598" s="9">
        <f>-IF(C598=1,LN(W598),LN(1-W598))</f>
        <v/>
      </c>
      <c r="Y598" s="10">
        <f>IF(W598&gt;$AC$33,1,0)</f>
        <v/>
      </c>
      <c r="Z598">
        <f>IF(Y598=C598,1,0)</f>
        <v/>
      </c>
    </row>
    <row r="599">
      <c r="A599">
        <f>'1 prepared data'!A592</f>
        <v/>
      </c>
      <c r="B599" s="5">
        <f>'1 prepared data'!U592</f>
        <v/>
      </c>
      <c r="C599">
        <f>'1 prepared data'!B592</f>
        <v/>
      </c>
      <c r="D599" s="7">
        <f>'1 prepared data'!C592</f>
        <v/>
      </c>
      <c r="E599" s="7">
        <f>'1 prepared data'!D592</f>
        <v/>
      </c>
      <c r="F599" s="7">
        <f>'1 prepared data'!E592</f>
        <v/>
      </c>
      <c r="G599" s="7">
        <f>'1 prepared data'!F592</f>
        <v/>
      </c>
      <c r="H599" s="7">
        <f>'1 prepared data'!G592</f>
        <v/>
      </c>
      <c r="I599" s="7">
        <f>'1 prepared data'!H592</f>
        <v/>
      </c>
      <c r="J599" s="7">
        <f>'1 prepared data'!I592</f>
        <v/>
      </c>
      <c r="K599" s="7">
        <f>'1 prepared data'!J592</f>
        <v/>
      </c>
      <c r="L599" s="7">
        <f>'1 prepared data'!K592</f>
        <v/>
      </c>
      <c r="M599" s="7">
        <f>'1 prepared data'!L592</f>
        <v/>
      </c>
      <c r="N599" s="7">
        <f>'1 prepared data'!M592</f>
        <v/>
      </c>
      <c r="O599" s="7">
        <f>'1 prepared data'!N592</f>
        <v/>
      </c>
      <c r="P599" s="7">
        <f>'1 prepared data'!O592</f>
        <v/>
      </c>
      <c r="Q599" s="7">
        <f>'1 prepared data'!P592</f>
        <v/>
      </c>
      <c r="R599" s="7">
        <f>'1 prepared data'!Q592</f>
        <v/>
      </c>
      <c r="S599" s="7">
        <f>'1 prepared data'!R592</f>
        <v/>
      </c>
      <c r="T599" s="7">
        <f>'1 prepared data'!S592</f>
        <v/>
      </c>
      <c r="U599" s="7">
        <f>'1 prepared data'!T592</f>
        <v/>
      </c>
      <c r="V599" s="8">
        <f>$AC$12+D599*$AC$13+E599*$AC$14+F599*$AC$15+G599*$AC$16+H599*$AC$17+I599*$AC$18+J599*$AC$19+K599*$AC$20+L599*$AC$21+M599*$AC$22+N599*$AC$23+O599*$AC$24+P599*$AC$25+Q599*$AC$26+R599*$AC$27+S599*$AC$28+T599*$AC$29+U599*$AC$30</f>
        <v/>
      </c>
      <c r="W599" s="8">
        <f>1/(1+EXP(-V599))</f>
        <v/>
      </c>
      <c r="X599" s="9">
        <f>-IF(C599=1,LN(W599),LN(1-W599))</f>
        <v/>
      </c>
      <c r="Y599" s="10">
        <f>IF(W599&gt;$AC$33,1,0)</f>
        <v/>
      </c>
      <c r="Z599">
        <f>IF(Y599=C599,1,0)</f>
        <v/>
      </c>
    </row>
    <row r="600">
      <c r="A600">
        <f>'1 prepared data'!A593</f>
        <v/>
      </c>
      <c r="B600" s="5">
        <f>'1 prepared data'!U593</f>
        <v/>
      </c>
      <c r="C600">
        <f>'1 prepared data'!B593</f>
        <v/>
      </c>
      <c r="D600" s="7">
        <f>'1 prepared data'!C593</f>
        <v/>
      </c>
      <c r="E600" s="7">
        <f>'1 prepared data'!D593</f>
        <v/>
      </c>
      <c r="F600" s="7">
        <f>'1 prepared data'!E593</f>
        <v/>
      </c>
      <c r="G600" s="7">
        <f>'1 prepared data'!F593</f>
        <v/>
      </c>
      <c r="H600" s="7">
        <f>'1 prepared data'!G593</f>
        <v/>
      </c>
      <c r="I600" s="7">
        <f>'1 prepared data'!H593</f>
        <v/>
      </c>
      <c r="J600" s="7">
        <f>'1 prepared data'!I593</f>
        <v/>
      </c>
      <c r="K600" s="7">
        <f>'1 prepared data'!J593</f>
        <v/>
      </c>
      <c r="L600" s="7">
        <f>'1 prepared data'!K593</f>
        <v/>
      </c>
      <c r="M600" s="7">
        <f>'1 prepared data'!L593</f>
        <v/>
      </c>
      <c r="N600" s="7">
        <f>'1 prepared data'!M593</f>
        <v/>
      </c>
      <c r="O600" s="7">
        <f>'1 prepared data'!N593</f>
        <v/>
      </c>
      <c r="P600" s="7">
        <f>'1 prepared data'!O593</f>
        <v/>
      </c>
      <c r="Q600" s="7">
        <f>'1 prepared data'!P593</f>
        <v/>
      </c>
      <c r="R600" s="7">
        <f>'1 prepared data'!Q593</f>
        <v/>
      </c>
      <c r="S600" s="7">
        <f>'1 prepared data'!R593</f>
        <v/>
      </c>
      <c r="T600" s="7">
        <f>'1 prepared data'!S593</f>
        <v/>
      </c>
      <c r="U600" s="7">
        <f>'1 prepared data'!T593</f>
        <v/>
      </c>
      <c r="V600" s="8">
        <f>$AC$12+D600*$AC$13+E600*$AC$14+F600*$AC$15+G600*$AC$16+H600*$AC$17+I600*$AC$18+J600*$AC$19+K600*$AC$20+L600*$AC$21+M600*$AC$22+N600*$AC$23+O600*$AC$24+P600*$AC$25+Q600*$AC$26+R600*$AC$27+S600*$AC$28+T600*$AC$29+U600*$AC$30</f>
        <v/>
      </c>
      <c r="W600" s="8">
        <f>1/(1+EXP(-V600))</f>
        <v/>
      </c>
      <c r="X600" s="9">
        <f>-IF(C600=1,LN(W600),LN(1-W600))</f>
        <v/>
      </c>
      <c r="Y600" s="10">
        <f>IF(W600&gt;$AC$33,1,0)</f>
        <v/>
      </c>
      <c r="Z600">
        <f>IF(Y600=C600,1,0)</f>
        <v/>
      </c>
    </row>
    <row r="601">
      <c r="A601">
        <f>'1 prepared data'!A594</f>
        <v/>
      </c>
      <c r="B601" s="5">
        <f>'1 prepared data'!U594</f>
        <v/>
      </c>
      <c r="C601">
        <f>'1 prepared data'!B594</f>
        <v/>
      </c>
      <c r="D601" s="7">
        <f>'1 prepared data'!C594</f>
        <v/>
      </c>
      <c r="E601" s="7">
        <f>'1 prepared data'!D594</f>
        <v/>
      </c>
      <c r="F601" s="7">
        <f>'1 prepared data'!E594</f>
        <v/>
      </c>
      <c r="G601" s="7">
        <f>'1 prepared data'!F594</f>
        <v/>
      </c>
      <c r="H601" s="7">
        <f>'1 prepared data'!G594</f>
        <v/>
      </c>
      <c r="I601" s="7">
        <f>'1 prepared data'!H594</f>
        <v/>
      </c>
      <c r="J601" s="7">
        <f>'1 prepared data'!I594</f>
        <v/>
      </c>
      <c r="K601" s="7">
        <f>'1 prepared data'!J594</f>
        <v/>
      </c>
      <c r="L601" s="7">
        <f>'1 prepared data'!K594</f>
        <v/>
      </c>
      <c r="M601" s="7">
        <f>'1 prepared data'!L594</f>
        <v/>
      </c>
      <c r="N601" s="7">
        <f>'1 prepared data'!M594</f>
        <v/>
      </c>
      <c r="O601" s="7">
        <f>'1 prepared data'!N594</f>
        <v/>
      </c>
      <c r="P601" s="7">
        <f>'1 prepared data'!O594</f>
        <v/>
      </c>
      <c r="Q601" s="7">
        <f>'1 prepared data'!P594</f>
        <v/>
      </c>
      <c r="R601" s="7">
        <f>'1 prepared data'!Q594</f>
        <v/>
      </c>
      <c r="S601" s="7">
        <f>'1 prepared data'!R594</f>
        <v/>
      </c>
      <c r="T601" s="7">
        <f>'1 prepared data'!S594</f>
        <v/>
      </c>
      <c r="U601" s="7">
        <f>'1 prepared data'!T594</f>
        <v/>
      </c>
      <c r="V601" s="8">
        <f>$AC$12+D601*$AC$13+E601*$AC$14+F601*$AC$15+G601*$AC$16+H601*$AC$17+I601*$AC$18+J601*$AC$19+K601*$AC$20+L601*$AC$21+M601*$AC$22+N601*$AC$23+O601*$AC$24+P601*$AC$25+Q601*$AC$26+R601*$AC$27+S601*$AC$28+T601*$AC$29+U601*$AC$30</f>
        <v/>
      </c>
      <c r="W601" s="8">
        <f>1/(1+EXP(-V601))</f>
        <v/>
      </c>
      <c r="X601" s="9">
        <f>-IF(C601=1,LN(W601),LN(1-W601))</f>
        <v/>
      </c>
      <c r="Y601" s="10">
        <f>IF(W601&gt;$AC$33,1,0)</f>
        <v/>
      </c>
      <c r="Z601">
        <f>IF(Y601=C601,1,0)</f>
        <v/>
      </c>
    </row>
    <row r="602">
      <c r="A602">
        <f>'1 prepared data'!A595</f>
        <v/>
      </c>
      <c r="B602" s="5">
        <f>'1 prepared data'!U595</f>
        <v/>
      </c>
      <c r="C602">
        <f>'1 prepared data'!B595</f>
        <v/>
      </c>
      <c r="D602" s="7">
        <f>'1 prepared data'!C595</f>
        <v/>
      </c>
      <c r="E602" s="7">
        <f>'1 prepared data'!D595</f>
        <v/>
      </c>
      <c r="F602" s="7">
        <f>'1 prepared data'!E595</f>
        <v/>
      </c>
      <c r="G602" s="7">
        <f>'1 prepared data'!F595</f>
        <v/>
      </c>
      <c r="H602" s="7">
        <f>'1 prepared data'!G595</f>
        <v/>
      </c>
      <c r="I602" s="7">
        <f>'1 prepared data'!H595</f>
        <v/>
      </c>
      <c r="J602" s="7">
        <f>'1 prepared data'!I595</f>
        <v/>
      </c>
      <c r="K602" s="7">
        <f>'1 prepared data'!J595</f>
        <v/>
      </c>
      <c r="L602" s="7">
        <f>'1 prepared data'!K595</f>
        <v/>
      </c>
      <c r="M602" s="7">
        <f>'1 prepared data'!L595</f>
        <v/>
      </c>
      <c r="N602" s="7">
        <f>'1 prepared data'!M595</f>
        <v/>
      </c>
      <c r="O602" s="7">
        <f>'1 prepared data'!N595</f>
        <v/>
      </c>
      <c r="P602" s="7">
        <f>'1 prepared data'!O595</f>
        <v/>
      </c>
      <c r="Q602" s="7">
        <f>'1 prepared data'!P595</f>
        <v/>
      </c>
      <c r="R602" s="7">
        <f>'1 prepared data'!Q595</f>
        <v/>
      </c>
      <c r="S602" s="7">
        <f>'1 prepared data'!R595</f>
        <v/>
      </c>
      <c r="T602" s="7">
        <f>'1 prepared data'!S595</f>
        <v/>
      </c>
      <c r="U602" s="7">
        <f>'1 prepared data'!T595</f>
        <v/>
      </c>
      <c r="V602" s="8">
        <f>$AC$12+D602*$AC$13+E602*$AC$14+F602*$AC$15+G602*$AC$16+H602*$AC$17+I602*$AC$18+J602*$AC$19+K602*$AC$20+L602*$AC$21+M602*$AC$22+N602*$AC$23+O602*$AC$24+P602*$AC$25+Q602*$AC$26+R602*$AC$27+S602*$AC$28+T602*$AC$29+U602*$AC$30</f>
        <v/>
      </c>
      <c r="W602" s="8">
        <f>1/(1+EXP(-V602))</f>
        <v/>
      </c>
      <c r="X602" s="9">
        <f>-IF(C602=1,LN(W602),LN(1-W602))</f>
        <v/>
      </c>
      <c r="Y602" s="10">
        <f>IF(W602&gt;$AC$33,1,0)</f>
        <v/>
      </c>
      <c r="Z602">
        <f>IF(Y602=C602,1,0)</f>
        <v/>
      </c>
    </row>
    <row r="603">
      <c r="A603">
        <f>'1 prepared data'!A596</f>
        <v/>
      </c>
      <c r="B603" s="5">
        <f>'1 prepared data'!U596</f>
        <v/>
      </c>
      <c r="C603">
        <f>'1 prepared data'!B596</f>
        <v/>
      </c>
      <c r="D603" s="7">
        <f>'1 prepared data'!C596</f>
        <v/>
      </c>
      <c r="E603" s="7">
        <f>'1 prepared data'!D596</f>
        <v/>
      </c>
      <c r="F603" s="7">
        <f>'1 prepared data'!E596</f>
        <v/>
      </c>
      <c r="G603" s="7">
        <f>'1 prepared data'!F596</f>
        <v/>
      </c>
      <c r="H603" s="7">
        <f>'1 prepared data'!G596</f>
        <v/>
      </c>
      <c r="I603" s="7">
        <f>'1 prepared data'!H596</f>
        <v/>
      </c>
      <c r="J603" s="7">
        <f>'1 prepared data'!I596</f>
        <v/>
      </c>
      <c r="K603" s="7">
        <f>'1 prepared data'!J596</f>
        <v/>
      </c>
      <c r="L603" s="7">
        <f>'1 prepared data'!K596</f>
        <v/>
      </c>
      <c r="M603" s="7">
        <f>'1 prepared data'!L596</f>
        <v/>
      </c>
      <c r="N603" s="7">
        <f>'1 prepared data'!M596</f>
        <v/>
      </c>
      <c r="O603" s="7">
        <f>'1 prepared data'!N596</f>
        <v/>
      </c>
      <c r="P603" s="7">
        <f>'1 prepared data'!O596</f>
        <v/>
      </c>
      <c r="Q603" s="7">
        <f>'1 prepared data'!P596</f>
        <v/>
      </c>
      <c r="R603" s="7">
        <f>'1 prepared data'!Q596</f>
        <v/>
      </c>
      <c r="S603" s="7">
        <f>'1 prepared data'!R596</f>
        <v/>
      </c>
      <c r="T603" s="7">
        <f>'1 prepared data'!S596</f>
        <v/>
      </c>
      <c r="U603" s="7">
        <f>'1 prepared data'!T596</f>
        <v/>
      </c>
      <c r="V603" s="8">
        <f>$AC$12+D603*$AC$13+E603*$AC$14+F603*$AC$15+G603*$AC$16+H603*$AC$17+I603*$AC$18+J603*$AC$19+K603*$AC$20+L603*$AC$21+M603*$AC$22+N603*$AC$23+O603*$AC$24+P603*$AC$25+Q603*$AC$26+R603*$AC$27+S603*$AC$28+T603*$AC$29+U603*$AC$30</f>
        <v/>
      </c>
      <c r="W603" s="8">
        <f>1/(1+EXP(-V603))</f>
        <v/>
      </c>
      <c r="X603" s="9">
        <f>-IF(C603=1,LN(W603),LN(1-W603))</f>
        <v/>
      </c>
      <c r="Y603" s="10">
        <f>IF(W603&gt;$AC$33,1,0)</f>
        <v/>
      </c>
      <c r="Z603">
        <f>IF(Y603=C603,1,0)</f>
        <v/>
      </c>
    </row>
    <row r="604">
      <c r="A604">
        <f>'1 prepared data'!A597</f>
        <v/>
      </c>
      <c r="B604" s="5">
        <f>'1 prepared data'!U597</f>
        <v/>
      </c>
      <c r="C604">
        <f>'1 prepared data'!B597</f>
        <v/>
      </c>
      <c r="D604" s="7">
        <f>'1 prepared data'!C597</f>
        <v/>
      </c>
      <c r="E604" s="7">
        <f>'1 prepared data'!D597</f>
        <v/>
      </c>
      <c r="F604" s="7">
        <f>'1 prepared data'!E597</f>
        <v/>
      </c>
      <c r="G604" s="7">
        <f>'1 prepared data'!F597</f>
        <v/>
      </c>
      <c r="H604" s="7">
        <f>'1 prepared data'!G597</f>
        <v/>
      </c>
      <c r="I604" s="7">
        <f>'1 prepared data'!H597</f>
        <v/>
      </c>
      <c r="J604" s="7">
        <f>'1 prepared data'!I597</f>
        <v/>
      </c>
      <c r="K604" s="7">
        <f>'1 prepared data'!J597</f>
        <v/>
      </c>
      <c r="L604" s="7">
        <f>'1 prepared data'!K597</f>
        <v/>
      </c>
      <c r="M604" s="7">
        <f>'1 prepared data'!L597</f>
        <v/>
      </c>
      <c r="N604" s="7">
        <f>'1 prepared data'!M597</f>
        <v/>
      </c>
      <c r="O604" s="7">
        <f>'1 prepared data'!N597</f>
        <v/>
      </c>
      <c r="P604" s="7">
        <f>'1 prepared data'!O597</f>
        <v/>
      </c>
      <c r="Q604" s="7">
        <f>'1 prepared data'!P597</f>
        <v/>
      </c>
      <c r="R604" s="7">
        <f>'1 prepared data'!Q597</f>
        <v/>
      </c>
      <c r="S604" s="7">
        <f>'1 prepared data'!R597</f>
        <v/>
      </c>
      <c r="T604" s="7">
        <f>'1 prepared data'!S597</f>
        <v/>
      </c>
      <c r="U604" s="7">
        <f>'1 prepared data'!T597</f>
        <v/>
      </c>
      <c r="V604" s="8">
        <f>$AC$12+D604*$AC$13+E604*$AC$14+F604*$AC$15+G604*$AC$16+H604*$AC$17+I604*$AC$18+J604*$AC$19+K604*$AC$20+L604*$AC$21+M604*$AC$22+N604*$AC$23+O604*$AC$24+P604*$AC$25+Q604*$AC$26+R604*$AC$27+S604*$AC$28+T604*$AC$29+U604*$AC$30</f>
        <v/>
      </c>
      <c r="W604" s="8">
        <f>1/(1+EXP(-V604))</f>
        <v/>
      </c>
      <c r="X604" s="9">
        <f>-IF(C604=1,LN(W604),LN(1-W604))</f>
        <v/>
      </c>
      <c r="Y604" s="10">
        <f>IF(W604&gt;$AC$33,1,0)</f>
        <v/>
      </c>
      <c r="Z604">
        <f>IF(Y604=C604,1,0)</f>
        <v/>
      </c>
    </row>
    <row r="605">
      <c r="A605">
        <f>'1 prepared data'!A598</f>
        <v/>
      </c>
      <c r="B605" s="5">
        <f>'1 prepared data'!U598</f>
        <v/>
      </c>
      <c r="C605">
        <f>'1 prepared data'!B598</f>
        <v/>
      </c>
      <c r="D605" s="7">
        <f>'1 prepared data'!C598</f>
        <v/>
      </c>
      <c r="E605" s="7">
        <f>'1 prepared data'!D598</f>
        <v/>
      </c>
      <c r="F605" s="7">
        <f>'1 prepared data'!E598</f>
        <v/>
      </c>
      <c r="G605" s="7">
        <f>'1 prepared data'!F598</f>
        <v/>
      </c>
      <c r="H605" s="7">
        <f>'1 prepared data'!G598</f>
        <v/>
      </c>
      <c r="I605" s="7">
        <f>'1 prepared data'!H598</f>
        <v/>
      </c>
      <c r="J605" s="7">
        <f>'1 prepared data'!I598</f>
        <v/>
      </c>
      <c r="K605" s="7">
        <f>'1 prepared data'!J598</f>
        <v/>
      </c>
      <c r="L605" s="7">
        <f>'1 prepared data'!K598</f>
        <v/>
      </c>
      <c r="M605" s="7">
        <f>'1 prepared data'!L598</f>
        <v/>
      </c>
      <c r="N605" s="7">
        <f>'1 prepared data'!M598</f>
        <v/>
      </c>
      <c r="O605" s="7">
        <f>'1 prepared data'!N598</f>
        <v/>
      </c>
      <c r="P605" s="7">
        <f>'1 prepared data'!O598</f>
        <v/>
      </c>
      <c r="Q605" s="7">
        <f>'1 prepared data'!P598</f>
        <v/>
      </c>
      <c r="R605" s="7">
        <f>'1 prepared data'!Q598</f>
        <v/>
      </c>
      <c r="S605" s="7">
        <f>'1 prepared data'!R598</f>
        <v/>
      </c>
      <c r="T605" s="7">
        <f>'1 prepared data'!S598</f>
        <v/>
      </c>
      <c r="U605" s="7">
        <f>'1 prepared data'!T598</f>
        <v/>
      </c>
      <c r="V605" s="8">
        <f>$AC$12+D605*$AC$13+E605*$AC$14+F605*$AC$15+G605*$AC$16+H605*$AC$17+I605*$AC$18+J605*$AC$19+K605*$AC$20+L605*$AC$21+M605*$AC$22+N605*$AC$23+O605*$AC$24+P605*$AC$25+Q605*$AC$26+R605*$AC$27+S605*$AC$28+T605*$AC$29+U605*$AC$30</f>
        <v/>
      </c>
      <c r="W605" s="8">
        <f>1/(1+EXP(-V605))</f>
        <v/>
      </c>
      <c r="X605" s="9">
        <f>-IF(C605=1,LN(W605),LN(1-W605))</f>
        <v/>
      </c>
      <c r="Y605" s="10">
        <f>IF(W605&gt;$AC$33,1,0)</f>
        <v/>
      </c>
      <c r="Z605">
        <f>IF(Y605=C605,1,0)</f>
        <v/>
      </c>
    </row>
    <row r="606">
      <c r="A606">
        <f>'1 prepared data'!A599</f>
        <v/>
      </c>
      <c r="B606" s="5">
        <f>'1 prepared data'!U599</f>
        <v/>
      </c>
      <c r="C606">
        <f>'1 prepared data'!B599</f>
        <v/>
      </c>
      <c r="D606" s="7">
        <f>'1 prepared data'!C599</f>
        <v/>
      </c>
      <c r="E606" s="7">
        <f>'1 prepared data'!D599</f>
        <v/>
      </c>
      <c r="F606" s="7">
        <f>'1 prepared data'!E599</f>
        <v/>
      </c>
      <c r="G606" s="7">
        <f>'1 prepared data'!F599</f>
        <v/>
      </c>
      <c r="H606" s="7">
        <f>'1 prepared data'!G599</f>
        <v/>
      </c>
      <c r="I606" s="7">
        <f>'1 prepared data'!H599</f>
        <v/>
      </c>
      <c r="J606" s="7">
        <f>'1 prepared data'!I599</f>
        <v/>
      </c>
      <c r="K606" s="7">
        <f>'1 prepared data'!J599</f>
        <v/>
      </c>
      <c r="L606" s="7">
        <f>'1 prepared data'!K599</f>
        <v/>
      </c>
      <c r="M606" s="7">
        <f>'1 prepared data'!L599</f>
        <v/>
      </c>
      <c r="N606" s="7">
        <f>'1 prepared data'!M599</f>
        <v/>
      </c>
      <c r="O606" s="7">
        <f>'1 prepared data'!N599</f>
        <v/>
      </c>
      <c r="P606" s="7">
        <f>'1 prepared data'!O599</f>
        <v/>
      </c>
      <c r="Q606" s="7">
        <f>'1 prepared data'!P599</f>
        <v/>
      </c>
      <c r="R606" s="7">
        <f>'1 prepared data'!Q599</f>
        <v/>
      </c>
      <c r="S606" s="7">
        <f>'1 prepared data'!R599</f>
        <v/>
      </c>
      <c r="T606" s="7">
        <f>'1 prepared data'!S599</f>
        <v/>
      </c>
      <c r="U606" s="7">
        <f>'1 prepared data'!T599</f>
        <v/>
      </c>
      <c r="V606" s="8">
        <f>$AC$12+D606*$AC$13+E606*$AC$14+F606*$AC$15+G606*$AC$16+H606*$AC$17+I606*$AC$18+J606*$AC$19+K606*$AC$20+L606*$AC$21+M606*$AC$22+N606*$AC$23+O606*$AC$24+P606*$AC$25+Q606*$AC$26+R606*$AC$27+S606*$AC$28+T606*$AC$29+U606*$AC$30</f>
        <v/>
      </c>
      <c r="W606" s="8">
        <f>1/(1+EXP(-V606))</f>
        <v/>
      </c>
      <c r="X606" s="9">
        <f>-IF(C606=1,LN(W606),LN(1-W606))</f>
        <v/>
      </c>
      <c r="Y606" s="10">
        <f>IF(W606&gt;$AC$33,1,0)</f>
        <v/>
      </c>
      <c r="Z606">
        <f>IF(Y606=C606,1,0)</f>
        <v/>
      </c>
    </row>
    <row r="607">
      <c r="A607">
        <f>'1 prepared data'!A600</f>
        <v/>
      </c>
      <c r="B607" s="5">
        <f>'1 prepared data'!U600</f>
        <v/>
      </c>
      <c r="C607">
        <f>'1 prepared data'!B600</f>
        <v/>
      </c>
      <c r="D607" s="7">
        <f>'1 prepared data'!C600</f>
        <v/>
      </c>
      <c r="E607" s="7">
        <f>'1 prepared data'!D600</f>
        <v/>
      </c>
      <c r="F607" s="7">
        <f>'1 prepared data'!E600</f>
        <v/>
      </c>
      <c r="G607" s="7">
        <f>'1 prepared data'!F600</f>
        <v/>
      </c>
      <c r="H607" s="7">
        <f>'1 prepared data'!G600</f>
        <v/>
      </c>
      <c r="I607" s="7">
        <f>'1 prepared data'!H600</f>
        <v/>
      </c>
      <c r="J607" s="7">
        <f>'1 prepared data'!I600</f>
        <v/>
      </c>
      <c r="K607" s="7">
        <f>'1 prepared data'!J600</f>
        <v/>
      </c>
      <c r="L607" s="7">
        <f>'1 prepared data'!K600</f>
        <v/>
      </c>
      <c r="M607" s="7">
        <f>'1 prepared data'!L600</f>
        <v/>
      </c>
      <c r="N607" s="7">
        <f>'1 prepared data'!M600</f>
        <v/>
      </c>
      <c r="O607" s="7">
        <f>'1 prepared data'!N600</f>
        <v/>
      </c>
      <c r="P607" s="7">
        <f>'1 prepared data'!O600</f>
        <v/>
      </c>
      <c r="Q607" s="7">
        <f>'1 prepared data'!P600</f>
        <v/>
      </c>
      <c r="R607" s="7">
        <f>'1 prepared data'!Q600</f>
        <v/>
      </c>
      <c r="S607" s="7">
        <f>'1 prepared data'!R600</f>
        <v/>
      </c>
      <c r="T607" s="7">
        <f>'1 prepared data'!S600</f>
        <v/>
      </c>
      <c r="U607" s="7">
        <f>'1 prepared data'!T600</f>
        <v/>
      </c>
      <c r="V607" s="8">
        <f>$AC$12+D607*$AC$13+E607*$AC$14+F607*$AC$15+G607*$AC$16+H607*$AC$17+I607*$AC$18+J607*$AC$19+K607*$AC$20+L607*$AC$21+M607*$AC$22+N607*$AC$23+O607*$AC$24+P607*$AC$25+Q607*$AC$26+R607*$AC$27+S607*$AC$28+T607*$AC$29+U607*$AC$30</f>
        <v/>
      </c>
      <c r="W607" s="8">
        <f>1/(1+EXP(-V607))</f>
        <v/>
      </c>
      <c r="X607" s="9">
        <f>-IF(C607=1,LN(W607),LN(1-W607))</f>
        <v/>
      </c>
      <c r="Y607" s="10">
        <f>IF(W607&gt;$AC$33,1,0)</f>
        <v/>
      </c>
      <c r="Z607">
        <f>IF(Y607=C607,1,0)</f>
        <v/>
      </c>
    </row>
    <row r="608">
      <c r="A608">
        <f>'1 prepared data'!A601</f>
        <v/>
      </c>
      <c r="B608" s="5">
        <f>'1 prepared data'!U601</f>
        <v/>
      </c>
      <c r="C608">
        <f>'1 prepared data'!B601</f>
        <v/>
      </c>
      <c r="D608" s="7">
        <f>'1 prepared data'!C601</f>
        <v/>
      </c>
      <c r="E608" s="7">
        <f>'1 prepared data'!D601</f>
        <v/>
      </c>
      <c r="F608" s="7">
        <f>'1 prepared data'!E601</f>
        <v/>
      </c>
      <c r="G608" s="7">
        <f>'1 prepared data'!F601</f>
        <v/>
      </c>
      <c r="H608" s="7">
        <f>'1 prepared data'!G601</f>
        <v/>
      </c>
      <c r="I608" s="7">
        <f>'1 prepared data'!H601</f>
        <v/>
      </c>
      <c r="J608" s="7">
        <f>'1 prepared data'!I601</f>
        <v/>
      </c>
      <c r="K608" s="7">
        <f>'1 prepared data'!J601</f>
        <v/>
      </c>
      <c r="L608" s="7">
        <f>'1 prepared data'!K601</f>
        <v/>
      </c>
      <c r="M608" s="7">
        <f>'1 prepared data'!L601</f>
        <v/>
      </c>
      <c r="N608" s="7">
        <f>'1 prepared data'!M601</f>
        <v/>
      </c>
      <c r="O608" s="7">
        <f>'1 prepared data'!N601</f>
        <v/>
      </c>
      <c r="P608" s="7">
        <f>'1 prepared data'!O601</f>
        <v/>
      </c>
      <c r="Q608" s="7">
        <f>'1 prepared data'!P601</f>
        <v/>
      </c>
      <c r="R608" s="7">
        <f>'1 prepared data'!Q601</f>
        <v/>
      </c>
      <c r="S608" s="7">
        <f>'1 prepared data'!R601</f>
        <v/>
      </c>
      <c r="T608" s="7">
        <f>'1 prepared data'!S601</f>
        <v/>
      </c>
      <c r="U608" s="7">
        <f>'1 prepared data'!T601</f>
        <v/>
      </c>
      <c r="V608" s="8">
        <f>$AC$12+D608*$AC$13+E608*$AC$14+F608*$AC$15+G608*$AC$16+H608*$AC$17+I608*$AC$18+J608*$AC$19+K608*$AC$20+L608*$AC$21+M608*$AC$22+N608*$AC$23+O608*$AC$24+P608*$AC$25+Q608*$AC$26+R608*$AC$27+S608*$AC$28+T608*$AC$29+U608*$AC$30</f>
        <v/>
      </c>
      <c r="W608" s="8">
        <f>1/(1+EXP(-V608))</f>
        <v/>
      </c>
      <c r="X608" s="9">
        <f>-IF(C608=1,LN(W608),LN(1-W608))</f>
        <v/>
      </c>
      <c r="Y608" s="10">
        <f>IF(W608&gt;$AC$33,1,0)</f>
        <v/>
      </c>
      <c r="Z608">
        <f>IF(Y608=C608,1,0)</f>
        <v/>
      </c>
    </row>
    <row r="609">
      <c r="A609">
        <f>'1 prepared data'!A602</f>
        <v/>
      </c>
      <c r="B609" s="5">
        <f>'1 prepared data'!U602</f>
        <v/>
      </c>
      <c r="C609">
        <f>'1 prepared data'!B602</f>
        <v/>
      </c>
      <c r="D609" s="7">
        <f>'1 prepared data'!C602</f>
        <v/>
      </c>
      <c r="E609" s="7">
        <f>'1 prepared data'!D602</f>
        <v/>
      </c>
      <c r="F609" s="7">
        <f>'1 prepared data'!E602</f>
        <v/>
      </c>
      <c r="G609" s="7">
        <f>'1 prepared data'!F602</f>
        <v/>
      </c>
      <c r="H609" s="7">
        <f>'1 prepared data'!G602</f>
        <v/>
      </c>
      <c r="I609" s="7">
        <f>'1 prepared data'!H602</f>
        <v/>
      </c>
      <c r="J609" s="7">
        <f>'1 prepared data'!I602</f>
        <v/>
      </c>
      <c r="K609" s="7">
        <f>'1 prepared data'!J602</f>
        <v/>
      </c>
      <c r="L609" s="7">
        <f>'1 prepared data'!K602</f>
        <v/>
      </c>
      <c r="M609" s="7">
        <f>'1 prepared data'!L602</f>
        <v/>
      </c>
      <c r="N609" s="7">
        <f>'1 prepared data'!M602</f>
        <v/>
      </c>
      <c r="O609" s="7">
        <f>'1 prepared data'!N602</f>
        <v/>
      </c>
      <c r="P609" s="7">
        <f>'1 prepared data'!O602</f>
        <v/>
      </c>
      <c r="Q609" s="7">
        <f>'1 prepared data'!P602</f>
        <v/>
      </c>
      <c r="R609" s="7">
        <f>'1 prepared data'!Q602</f>
        <v/>
      </c>
      <c r="S609" s="7">
        <f>'1 prepared data'!R602</f>
        <v/>
      </c>
      <c r="T609" s="7">
        <f>'1 prepared data'!S602</f>
        <v/>
      </c>
      <c r="U609" s="7">
        <f>'1 prepared data'!T602</f>
        <v/>
      </c>
      <c r="V609" s="8">
        <f>$AC$12+D609*$AC$13+E609*$AC$14+F609*$AC$15+G609*$AC$16+H609*$AC$17+I609*$AC$18+J609*$AC$19+K609*$AC$20+L609*$AC$21+M609*$AC$22+N609*$AC$23+O609*$AC$24+P609*$AC$25+Q609*$AC$26+R609*$AC$27+S609*$AC$28+T609*$AC$29+U609*$AC$30</f>
        <v/>
      </c>
      <c r="W609" s="8">
        <f>1/(1+EXP(-V609))</f>
        <v/>
      </c>
      <c r="X609" s="9">
        <f>-IF(C609=1,LN(W609),LN(1-W609))</f>
        <v/>
      </c>
      <c r="Y609" s="10">
        <f>IF(W609&gt;$AC$33,1,0)</f>
        <v/>
      </c>
      <c r="Z609">
        <f>IF(Y609=C609,1,0)</f>
        <v/>
      </c>
    </row>
    <row r="610">
      <c r="A610">
        <f>'1 prepared data'!A603</f>
        <v/>
      </c>
      <c r="B610" s="5">
        <f>'1 prepared data'!U603</f>
        <v/>
      </c>
      <c r="C610">
        <f>'1 prepared data'!B603</f>
        <v/>
      </c>
      <c r="D610" s="7">
        <f>'1 prepared data'!C603</f>
        <v/>
      </c>
      <c r="E610" s="7">
        <f>'1 prepared data'!D603</f>
        <v/>
      </c>
      <c r="F610" s="7">
        <f>'1 prepared data'!E603</f>
        <v/>
      </c>
      <c r="G610" s="7">
        <f>'1 prepared data'!F603</f>
        <v/>
      </c>
      <c r="H610" s="7">
        <f>'1 prepared data'!G603</f>
        <v/>
      </c>
      <c r="I610" s="7">
        <f>'1 prepared data'!H603</f>
        <v/>
      </c>
      <c r="J610" s="7">
        <f>'1 prepared data'!I603</f>
        <v/>
      </c>
      <c r="K610" s="7">
        <f>'1 prepared data'!J603</f>
        <v/>
      </c>
      <c r="L610" s="7">
        <f>'1 prepared data'!K603</f>
        <v/>
      </c>
      <c r="M610" s="7">
        <f>'1 prepared data'!L603</f>
        <v/>
      </c>
      <c r="N610" s="7">
        <f>'1 prepared data'!M603</f>
        <v/>
      </c>
      <c r="O610" s="7">
        <f>'1 prepared data'!N603</f>
        <v/>
      </c>
      <c r="P610" s="7">
        <f>'1 prepared data'!O603</f>
        <v/>
      </c>
      <c r="Q610" s="7">
        <f>'1 prepared data'!P603</f>
        <v/>
      </c>
      <c r="R610" s="7">
        <f>'1 prepared data'!Q603</f>
        <v/>
      </c>
      <c r="S610" s="7">
        <f>'1 prepared data'!R603</f>
        <v/>
      </c>
      <c r="T610" s="7">
        <f>'1 prepared data'!S603</f>
        <v/>
      </c>
      <c r="U610" s="7">
        <f>'1 prepared data'!T603</f>
        <v/>
      </c>
      <c r="V610" s="8">
        <f>$AC$12+D610*$AC$13+E610*$AC$14+F610*$AC$15+G610*$AC$16+H610*$AC$17+I610*$AC$18+J610*$AC$19+K610*$AC$20+L610*$AC$21+M610*$AC$22+N610*$AC$23+O610*$AC$24+P610*$AC$25+Q610*$AC$26+R610*$AC$27+S610*$AC$28+T610*$AC$29+U610*$AC$30</f>
        <v/>
      </c>
      <c r="W610" s="8">
        <f>1/(1+EXP(-V610))</f>
        <v/>
      </c>
      <c r="X610" s="9">
        <f>-IF(C610=1,LN(W610),LN(1-W610))</f>
        <v/>
      </c>
      <c r="Y610" s="10">
        <f>IF(W610&gt;$AC$33,1,0)</f>
        <v/>
      </c>
      <c r="Z610">
        <f>IF(Y610=C610,1,0)</f>
        <v/>
      </c>
    </row>
    <row r="611">
      <c r="A611">
        <f>'1 prepared data'!A604</f>
        <v/>
      </c>
      <c r="B611" s="5">
        <f>'1 prepared data'!U604</f>
        <v/>
      </c>
      <c r="C611">
        <f>'1 prepared data'!B604</f>
        <v/>
      </c>
      <c r="D611" s="7">
        <f>'1 prepared data'!C604</f>
        <v/>
      </c>
      <c r="E611" s="7">
        <f>'1 prepared data'!D604</f>
        <v/>
      </c>
      <c r="F611" s="7">
        <f>'1 prepared data'!E604</f>
        <v/>
      </c>
      <c r="G611" s="7">
        <f>'1 prepared data'!F604</f>
        <v/>
      </c>
      <c r="H611" s="7">
        <f>'1 prepared data'!G604</f>
        <v/>
      </c>
      <c r="I611" s="7">
        <f>'1 prepared data'!H604</f>
        <v/>
      </c>
      <c r="J611" s="7">
        <f>'1 prepared data'!I604</f>
        <v/>
      </c>
      <c r="K611" s="7">
        <f>'1 prepared data'!J604</f>
        <v/>
      </c>
      <c r="L611" s="7">
        <f>'1 prepared data'!K604</f>
        <v/>
      </c>
      <c r="M611" s="7">
        <f>'1 prepared data'!L604</f>
        <v/>
      </c>
      <c r="N611" s="7">
        <f>'1 prepared data'!M604</f>
        <v/>
      </c>
      <c r="O611" s="7">
        <f>'1 prepared data'!N604</f>
        <v/>
      </c>
      <c r="P611" s="7">
        <f>'1 prepared data'!O604</f>
        <v/>
      </c>
      <c r="Q611" s="7">
        <f>'1 prepared data'!P604</f>
        <v/>
      </c>
      <c r="R611" s="7">
        <f>'1 prepared data'!Q604</f>
        <v/>
      </c>
      <c r="S611" s="7">
        <f>'1 prepared data'!R604</f>
        <v/>
      </c>
      <c r="T611" s="7">
        <f>'1 prepared data'!S604</f>
        <v/>
      </c>
      <c r="U611" s="7">
        <f>'1 prepared data'!T604</f>
        <v/>
      </c>
      <c r="V611" s="8">
        <f>$AC$12+D611*$AC$13+E611*$AC$14+F611*$AC$15+G611*$AC$16+H611*$AC$17+I611*$AC$18+J611*$AC$19+K611*$AC$20+L611*$AC$21+M611*$AC$22+N611*$AC$23+O611*$AC$24+P611*$AC$25+Q611*$AC$26+R611*$AC$27+S611*$AC$28+T611*$AC$29+U611*$AC$30</f>
        <v/>
      </c>
      <c r="W611" s="8">
        <f>1/(1+EXP(-V611))</f>
        <v/>
      </c>
      <c r="X611" s="9">
        <f>-IF(C611=1,LN(W611),LN(1-W611))</f>
        <v/>
      </c>
      <c r="Y611" s="10">
        <f>IF(W611&gt;$AC$33,1,0)</f>
        <v/>
      </c>
      <c r="Z611">
        <f>IF(Y611=C611,1,0)</f>
        <v/>
      </c>
    </row>
    <row r="612">
      <c r="A612">
        <f>'1 prepared data'!A605</f>
        <v/>
      </c>
      <c r="B612" s="5">
        <f>'1 prepared data'!U605</f>
        <v/>
      </c>
      <c r="C612">
        <f>'1 prepared data'!B605</f>
        <v/>
      </c>
      <c r="D612" s="7">
        <f>'1 prepared data'!C605</f>
        <v/>
      </c>
      <c r="E612" s="7">
        <f>'1 prepared data'!D605</f>
        <v/>
      </c>
      <c r="F612" s="7">
        <f>'1 prepared data'!E605</f>
        <v/>
      </c>
      <c r="G612" s="7">
        <f>'1 prepared data'!F605</f>
        <v/>
      </c>
      <c r="H612" s="7">
        <f>'1 prepared data'!G605</f>
        <v/>
      </c>
      <c r="I612" s="7">
        <f>'1 prepared data'!H605</f>
        <v/>
      </c>
      <c r="J612" s="7">
        <f>'1 prepared data'!I605</f>
        <v/>
      </c>
      <c r="K612" s="7">
        <f>'1 prepared data'!J605</f>
        <v/>
      </c>
      <c r="L612" s="7">
        <f>'1 prepared data'!K605</f>
        <v/>
      </c>
      <c r="M612" s="7">
        <f>'1 prepared data'!L605</f>
        <v/>
      </c>
      <c r="N612" s="7">
        <f>'1 prepared data'!M605</f>
        <v/>
      </c>
      <c r="O612" s="7">
        <f>'1 prepared data'!N605</f>
        <v/>
      </c>
      <c r="P612" s="7">
        <f>'1 prepared data'!O605</f>
        <v/>
      </c>
      <c r="Q612" s="7">
        <f>'1 prepared data'!P605</f>
        <v/>
      </c>
      <c r="R612" s="7">
        <f>'1 prepared data'!Q605</f>
        <v/>
      </c>
      <c r="S612" s="7">
        <f>'1 prepared data'!R605</f>
        <v/>
      </c>
      <c r="T612" s="7">
        <f>'1 prepared data'!S605</f>
        <v/>
      </c>
      <c r="U612" s="7">
        <f>'1 prepared data'!T605</f>
        <v/>
      </c>
      <c r="V612" s="8">
        <f>$AC$12+D612*$AC$13+E612*$AC$14+F612*$AC$15+G612*$AC$16+H612*$AC$17+I612*$AC$18+J612*$AC$19+K612*$AC$20+L612*$AC$21+M612*$AC$22+N612*$AC$23+O612*$AC$24+P612*$AC$25+Q612*$AC$26+R612*$AC$27+S612*$AC$28+T612*$AC$29+U612*$AC$30</f>
        <v/>
      </c>
      <c r="W612" s="8">
        <f>1/(1+EXP(-V612))</f>
        <v/>
      </c>
      <c r="X612" s="9">
        <f>-IF(C612=1,LN(W612),LN(1-W612))</f>
        <v/>
      </c>
      <c r="Y612" s="10">
        <f>IF(W612&gt;$AC$33,1,0)</f>
        <v/>
      </c>
      <c r="Z612">
        <f>IF(Y612=C612,1,0)</f>
        <v/>
      </c>
    </row>
    <row r="613">
      <c r="A613">
        <f>'1 prepared data'!A606</f>
        <v/>
      </c>
      <c r="B613" s="5">
        <f>'1 prepared data'!U606</f>
        <v/>
      </c>
      <c r="C613">
        <f>'1 prepared data'!B606</f>
        <v/>
      </c>
      <c r="D613" s="7">
        <f>'1 prepared data'!C606</f>
        <v/>
      </c>
      <c r="E613" s="7">
        <f>'1 prepared data'!D606</f>
        <v/>
      </c>
      <c r="F613" s="7">
        <f>'1 prepared data'!E606</f>
        <v/>
      </c>
      <c r="G613" s="7">
        <f>'1 prepared data'!F606</f>
        <v/>
      </c>
      <c r="H613" s="7">
        <f>'1 prepared data'!G606</f>
        <v/>
      </c>
      <c r="I613" s="7">
        <f>'1 prepared data'!H606</f>
        <v/>
      </c>
      <c r="J613" s="7">
        <f>'1 prepared data'!I606</f>
        <v/>
      </c>
      <c r="K613" s="7">
        <f>'1 prepared data'!J606</f>
        <v/>
      </c>
      <c r="L613" s="7">
        <f>'1 prepared data'!K606</f>
        <v/>
      </c>
      <c r="M613" s="7">
        <f>'1 prepared data'!L606</f>
        <v/>
      </c>
      <c r="N613" s="7">
        <f>'1 prepared data'!M606</f>
        <v/>
      </c>
      <c r="O613" s="7">
        <f>'1 prepared data'!N606</f>
        <v/>
      </c>
      <c r="P613" s="7">
        <f>'1 prepared data'!O606</f>
        <v/>
      </c>
      <c r="Q613" s="7">
        <f>'1 prepared data'!P606</f>
        <v/>
      </c>
      <c r="R613" s="7">
        <f>'1 prepared data'!Q606</f>
        <v/>
      </c>
      <c r="S613" s="7">
        <f>'1 prepared data'!R606</f>
        <v/>
      </c>
      <c r="T613" s="7">
        <f>'1 prepared data'!S606</f>
        <v/>
      </c>
      <c r="U613" s="7">
        <f>'1 prepared data'!T606</f>
        <v/>
      </c>
      <c r="V613" s="8">
        <f>$AC$12+D613*$AC$13+E613*$AC$14+F613*$AC$15+G613*$AC$16+H613*$AC$17+I613*$AC$18+J613*$AC$19+K613*$AC$20+L613*$AC$21+M613*$AC$22+N613*$AC$23+O613*$AC$24+P613*$AC$25+Q613*$AC$26+R613*$AC$27+S613*$AC$28+T613*$AC$29+U613*$AC$30</f>
        <v/>
      </c>
      <c r="W613" s="8">
        <f>1/(1+EXP(-V613))</f>
        <v/>
      </c>
      <c r="X613" s="9">
        <f>-IF(C613=1,LN(W613),LN(1-W613))</f>
        <v/>
      </c>
      <c r="Y613" s="10">
        <f>IF(W613&gt;$AC$33,1,0)</f>
        <v/>
      </c>
      <c r="Z613">
        <f>IF(Y613=C613,1,0)</f>
        <v/>
      </c>
    </row>
    <row r="614">
      <c r="A614">
        <f>'1 prepared data'!A607</f>
        <v/>
      </c>
      <c r="B614" s="5">
        <f>'1 prepared data'!U607</f>
        <v/>
      </c>
      <c r="C614">
        <f>'1 prepared data'!B607</f>
        <v/>
      </c>
      <c r="D614" s="7">
        <f>'1 prepared data'!C607</f>
        <v/>
      </c>
      <c r="E614" s="7">
        <f>'1 prepared data'!D607</f>
        <v/>
      </c>
      <c r="F614" s="7">
        <f>'1 prepared data'!E607</f>
        <v/>
      </c>
      <c r="G614" s="7">
        <f>'1 prepared data'!F607</f>
        <v/>
      </c>
      <c r="H614" s="7">
        <f>'1 prepared data'!G607</f>
        <v/>
      </c>
      <c r="I614" s="7">
        <f>'1 prepared data'!H607</f>
        <v/>
      </c>
      <c r="J614" s="7">
        <f>'1 prepared data'!I607</f>
        <v/>
      </c>
      <c r="K614" s="7">
        <f>'1 prepared data'!J607</f>
        <v/>
      </c>
      <c r="L614" s="7">
        <f>'1 prepared data'!K607</f>
        <v/>
      </c>
      <c r="M614" s="7">
        <f>'1 prepared data'!L607</f>
        <v/>
      </c>
      <c r="N614" s="7">
        <f>'1 prepared data'!M607</f>
        <v/>
      </c>
      <c r="O614" s="7">
        <f>'1 prepared data'!N607</f>
        <v/>
      </c>
      <c r="P614" s="7">
        <f>'1 prepared data'!O607</f>
        <v/>
      </c>
      <c r="Q614" s="7">
        <f>'1 prepared data'!P607</f>
        <v/>
      </c>
      <c r="R614" s="7">
        <f>'1 prepared data'!Q607</f>
        <v/>
      </c>
      <c r="S614" s="7">
        <f>'1 prepared data'!R607</f>
        <v/>
      </c>
      <c r="T614" s="7">
        <f>'1 prepared data'!S607</f>
        <v/>
      </c>
      <c r="U614" s="7">
        <f>'1 prepared data'!T607</f>
        <v/>
      </c>
      <c r="V614" s="8">
        <f>$AC$12+D614*$AC$13+E614*$AC$14+F614*$AC$15+G614*$AC$16+H614*$AC$17+I614*$AC$18+J614*$AC$19+K614*$AC$20+L614*$AC$21+M614*$AC$22+N614*$AC$23+O614*$AC$24+P614*$AC$25+Q614*$AC$26+R614*$AC$27+S614*$AC$28+T614*$AC$29+U614*$AC$30</f>
        <v/>
      </c>
      <c r="W614" s="8">
        <f>1/(1+EXP(-V614))</f>
        <v/>
      </c>
      <c r="X614" s="9">
        <f>-IF(C614=1,LN(W614),LN(1-W614))</f>
        <v/>
      </c>
      <c r="Y614" s="10">
        <f>IF(W614&gt;$AC$33,1,0)</f>
        <v/>
      </c>
      <c r="Z614">
        <f>IF(Y614=C614,1,0)</f>
        <v/>
      </c>
    </row>
    <row r="615">
      <c r="A615">
        <f>'1 prepared data'!A608</f>
        <v/>
      </c>
      <c r="B615" s="5">
        <f>'1 prepared data'!U608</f>
        <v/>
      </c>
      <c r="C615">
        <f>'1 prepared data'!B608</f>
        <v/>
      </c>
      <c r="D615" s="7">
        <f>'1 prepared data'!C608</f>
        <v/>
      </c>
      <c r="E615" s="7">
        <f>'1 prepared data'!D608</f>
        <v/>
      </c>
      <c r="F615" s="7">
        <f>'1 prepared data'!E608</f>
        <v/>
      </c>
      <c r="G615" s="7">
        <f>'1 prepared data'!F608</f>
        <v/>
      </c>
      <c r="H615" s="7">
        <f>'1 prepared data'!G608</f>
        <v/>
      </c>
      <c r="I615" s="7">
        <f>'1 prepared data'!H608</f>
        <v/>
      </c>
      <c r="J615" s="7">
        <f>'1 prepared data'!I608</f>
        <v/>
      </c>
      <c r="K615" s="7">
        <f>'1 prepared data'!J608</f>
        <v/>
      </c>
      <c r="L615" s="7">
        <f>'1 prepared data'!K608</f>
        <v/>
      </c>
      <c r="M615" s="7">
        <f>'1 prepared data'!L608</f>
        <v/>
      </c>
      <c r="N615" s="7">
        <f>'1 prepared data'!M608</f>
        <v/>
      </c>
      <c r="O615" s="7">
        <f>'1 prepared data'!N608</f>
        <v/>
      </c>
      <c r="P615" s="7">
        <f>'1 prepared data'!O608</f>
        <v/>
      </c>
      <c r="Q615" s="7">
        <f>'1 prepared data'!P608</f>
        <v/>
      </c>
      <c r="R615" s="7">
        <f>'1 prepared data'!Q608</f>
        <v/>
      </c>
      <c r="S615" s="7">
        <f>'1 prepared data'!R608</f>
        <v/>
      </c>
      <c r="T615" s="7">
        <f>'1 prepared data'!S608</f>
        <v/>
      </c>
      <c r="U615" s="7">
        <f>'1 prepared data'!T608</f>
        <v/>
      </c>
      <c r="V615" s="8">
        <f>$AC$12+D615*$AC$13+E615*$AC$14+F615*$AC$15+G615*$AC$16+H615*$AC$17+I615*$AC$18+J615*$AC$19+K615*$AC$20+L615*$AC$21+M615*$AC$22+N615*$AC$23+O615*$AC$24+P615*$AC$25+Q615*$AC$26+R615*$AC$27+S615*$AC$28+T615*$AC$29+U615*$AC$30</f>
        <v/>
      </c>
      <c r="W615" s="8">
        <f>1/(1+EXP(-V615))</f>
        <v/>
      </c>
      <c r="X615" s="9">
        <f>-IF(C615=1,LN(W615),LN(1-W615))</f>
        <v/>
      </c>
      <c r="Y615" s="10">
        <f>IF(W615&gt;$AC$33,1,0)</f>
        <v/>
      </c>
      <c r="Z615">
        <f>IF(Y615=C615,1,0)</f>
        <v/>
      </c>
    </row>
    <row r="616">
      <c r="A616">
        <f>'1 prepared data'!A609</f>
        <v/>
      </c>
      <c r="B616" s="5">
        <f>'1 prepared data'!U609</f>
        <v/>
      </c>
      <c r="C616">
        <f>'1 prepared data'!B609</f>
        <v/>
      </c>
      <c r="D616" s="7">
        <f>'1 prepared data'!C609</f>
        <v/>
      </c>
      <c r="E616" s="7">
        <f>'1 prepared data'!D609</f>
        <v/>
      </c>
      <c r="F616" s="7">
        <f>'1 prepared data'!E609</f>
        <v/>
      </c>
      <c r="G616" s="7">
        <f>'1 prepared data'!F609</f>
        <v/>
      </c>
      <c r="H616" s="7">
        <f>'1 prepared data'!G609</f>
        <v/>
      </c>
      <c r="I616" s="7">
        <f>'1 prepared data'!H609</f>
        <v/>
      </c>
      <c r="J616" s="7">
        <f>'1 prepared data'!I609</f>
        <v/>
      </c>
      <c r="K616" s="7">
        <f>'1 prepared data'!J609</f>
        <v/>
      </c>
      <c r="L616" s="7">
        <f>'1 prepared data'!K609</f>
        <v/>
      </c>
      <c r="M616" s="7">
        <f>'1 prepared data'!L609</f>
        <v/>
      </c>
      <c r="N616" s="7">
        <f>'1 prepared data'!M609</f>
        <v/>
      </c>
      <c r="O616" s="7">
        <f>'1 prepared data'!N609</f>
        <v/>
      </c>
      <c r="P616" s="7">
        <f>'1 prepared data'!O609</f>
        <v/>
      </c>
      <c r="Q616" s="7">
        <f>'1 prepared data'!P609</f>
        <v/>
      </c>
      <c r="R616" s="7">
        <f>'1 prepared data'!Q609</f>
        <v/>
      </c>
      <c r="S616" s="7">
        <f>'1 prepared data'!R609</f>
        <v/>
      </c>
      <c r="T616" s="7">
        <f>'1 prepared data'!S609</f>
        <v/>
      </c>
      <c r="U616" s="7">
        <f>'1 prepared data'!T609</f>
        <v/>
      </c>
      <c r="V616" s="8">
        <f>$AC$12+D616*$AC$13+E616*$AC$14+F616*$AC$15+G616*$AC$16+H616*$AC$17+I616*$AC$18+J616*$AC$19+K616*$AC$20+L616*$AC$21+M616*$AC$22+N616*$AC$23+O616*$AC$24+P616*$AC$25+Q616*$AC$26+R616*$AC$27+S616*$AC$28+T616*$AC$29+U616*$AC$30</f>
        <v/>
      </c>
      <c r="W616" s="8">
        <f>1/(1+EXP(-V616))</f>
        <v/>
      </c>
      <c r="X616" s="9">
        <f>-IF(C616=1,LN(W616),LN(1-W616))</f>
        <v/>
      </c>
      <c r="Y616" s="10">
        <f>IF(W616&gt;$AC$33,1,0)</f>
        <v/>
      </c>
      <c r="Z616">
        <f>IF(Y616=C616,1,0)</f>
        <v/>
      </c>
    </row>
    <row r="617">
      <c r="A617">
        <f>'1 prepared data'!A610</f>
        <v/>
      </c>
      <c r="B617" s="5">
        <f>'1 prepared data'!U610</f>
        <v/>
      </c>
      <c r="C617">
        <f>'1 prepared data'!B610</f>
        <v/>
      </c>
      <c r="D617" s="7">
        <f>'1 prepared data'!C610</f>
        <v/>
      </c>
      <c r="E617" s="7">
        <f>'1 prepared data'!D610</f>
        <v/>
      </c>
      <c r="F617" s="7">
        <f>'1 prepared data'!E610</f>
        <v/>
      </c>
      <c r="G617" s="7">
        <f>'1 prepared data'!F610</f>
        <v/>
      </c>
      <c r="H617" s="7">
        <f>'1 prepared data'!G610</f>
        <v/>
      </c>
      <c r="I617" s="7">
        <f>'1 prepared data'!H610</f>
        <v/>
      </c>
      <c r="J617" s="7">
        <f>'1 prepared data'!I610</f>
        <v/>
      </c>
      <c r="K617" s="7">
        <f>'1 prepared data'!J610</f>
        <v/>
      </c>
      <c r="L617" s="7">
        <f>'1 prepared data'!K610</f>
        <v/>
      </c>
      <c r="M617" s="7">
        <f>'1 prepared data'!L610</f>
        <v/>
      </c>
      <c r="N617" s="7">
        <f>'1 prepared data'!M610</f>
        <v/>
      </c>
      <c r="O617" s="7">
        <f>'1 prepared data'!N610</f>
        <v/>
      </c>
      <c r="P617" s="7">
        <f>'1 prepared data'!O610</f>
        <v/>
      </c>
      <c r="Q617" s="7">
        <f>'1 prepared data'!P610</f>
        <v/>
      </c>
      <c r="R617" s="7">
        <f>'1 prepared data'!Q610</f>
        <v/>
      </c>
      <c r="S617" s="7">
        <f>'1 prepared data'!R610</f>
        <v/>
      </c>
      <c r="T617" s="7">
        <f>'1 prepared data'!S610</f>
        <v/>
      </c>
      <c r="U617" s="7">
        <f>'1 prepared data'!T610</f>
        <v/>
      </c>
      <c r="V617" s="8">
        <f>$AC$12+D617*$AC$13+E617*$AC$14+F617*$AC$15+G617*$AC$16+H617*$AC$17+I617*$AC$18+J617*$AC$19+K617*$AC$20+L617*$AC$21+M617*$AC$22+N617*$AC$23+O617*$AC$24+P617*$AC$25+Q617*$AC$26+R617*$AC$27+S617*$AC$28+T617*$AC$29+U617*$AC$30</f>
        <v/>
      </c>
      <c r="W617" s="8">
        <f>1/(1+EXP(-V617))</f>
        <v/>
      </c>
      <c r="X617" s="9">
        <f>-IF(C617=1,LN(W617),LN(1-W617))</f>
        <v/>
      </c>
      <c r="Y617" s="10">
        <f>IF(W617&gt;$AC$33,1,0)</f>
        <v/>
      </c>
      <c r="Z617">
        <f>IF(Y617=C617,1,0)</f>
        <v/>
      </c>
    </row>
    <row r="618">
      <c r="A618">
        <f>'1 prepared data'!A611</f>
        <v/>
      </c>
      <c r="B618" s="5">
        <f>'1 prepared data'!U611</f>
        <v/>
      </c>
      <c r="C618">
        <f>'1 prepared data'!B611</f>
        <v/>
      </c>
      <c r="D618" s="7">
        <f>'1 prepared data'!C611</f>
        <v/>
      </c>
      <c r="E618" s="7">
        <f>'1 prepared data'!D611</f>
        <v/>
      </c>
      <c r="F618" s="7">
        <f>'1 prepared data'!E611</f>
        <v/>
      </c>
      <c r="G618" s="7">
        <f>'1 prepared data'!F611</f>
        <v/>
      </c>
      <c r="H618" s="7">
        <f>'1 prepared data'!G611</f>
        <v/>
      </c>
      <c r="I618" s="7">
        <f>'1 prepared data'!H611</f>
        <v/>
      </c>
      <c r="J618" s="7">
        <f>'1 prepared data'!I611</f>
        <v/>
      </c>
      <c r="K618" s="7">
        <f>'1 prepared data'!J611</f>
        <v/>
      </c>
      <c r="L618" s="7">
        <f>'1 prepared data'!K611</f>
        <v/>
      </c>
      <c r="M618" s="7">
        <f>'1 prepared data'!L611</f>
        <v/>
      </c>
      <c r="N618" s="7">
        <f>'1 prepared data'!M611</f>
        <v/>
      </c>
      <c r="O618" s="7">
        <f>'1 prepared data'!N611</f>
        <v/>
      </c>
      <c r="P618" s="7">
        <f>'1 prepared data'!O611</f>
        <v/>
      </c>
      <c r="Q618" s="7">
        <f>'1 prepared data'!P611</f>
        <v/>
      </c>
      <c r="R618" s="7">
        <f>'1 prepared data'!Q611</f>
        <v/>
      </c>
      <c r="S618" s="7">
        <f>'1 prepared data'!R611</f>
        <v/>
      </c>
      <c r="T618" s="7">
        <f>'1 prepared data'!S611</f>
        <v/>
      </c>
      <c r="U618" s="7">
        <f>'1 prepared data'!T611</f>
        <v/>
      </c>
      <c r="V618" s="8">
        <f>$AC$12+D618*$AC$13+E618*$AC$14+F618*$AC$15+G618*$AC$16+H618*$AC$17+I618*$AC$18+J618*$AC$19+K618*$AC$20+L618*$AC$21+M618*$AC$22+N618*$AC$23+O618*$AC$24+P618*$AC$25+Q618*$AC$26+R618*$AC$27+S618*$AC$28+T618*$AC$29+U618*$AC$30</f>
        <v/>
      </c>
      <c r="W618" s="8">
        <f>1/(1+EXP(-V618))</f>
        <v/>
      </c>
      <c r="X618" s="9">
        <f>-IF(C618=1,LN(W618),LN(1-W618))</f>
        <v/>
      </c>
      <c r="Y618" s="10">
        <f>IF(W618&gt;$AC$33,1,0)</f>
        <v/>
      </c>
      <c r="Z618">
        <f>IF(Y618=C618,1,0)</f>
        <v/>
      </c>
    </row>
    <row r="619">
      <c r="A619">
        <f>'1 prepared data'!A612</f>
        <v/>
      </c>
      <c r="B619" s="5">
        <f>'1 prepared data'!U612</f>
        <v/>
      </c>
      <c r="C619">
        <f>'1 prepared data'!B612</f>
        <v/>
      </c>
      <c r="D619" s="7">
        <f>'1 prepared data'!C612</f>
        <v/>
      </c>
      <c r="E619" s="7">
        <f>'1 prepared data'!D612</f>
        <v/>
      </c>
      <c r="F619" s="7">
        <f>'1 prepared data'!E612</f>
        <v/>
      </c>
      <c r="G619" s="7">
        <f>'1 prepared data'!F612</f>
        <v/>
      </c>
      <c r="H619" s="7">
        <f>'1 prepared data'!G612</f>
        <v/>
      </c>
      <c r="I619" s="7">
        <f>'1 prepared data'!H612</f>
        <v/>
      </c>
      <c r="J619" s="7">
        <f>'1 prepared data'!I612</f>
        <v/>
      </c>
      <c r="K619" s="7">
        <f>'1 prepared data'!J612</f>
        <v/>
      </c>
      <c r="L619" s="7">
        <f>'1 prepared data'!K612</f>
        <v/>
      </c>
      <c r="M619" s="7">
        <f>'1 prepared data'!L612</f>
        <v/>
      </c>
      <c r="N619" s="7">
        <f>'1 prepared data'!M612</f>
        <v/>
      </c>
      <c r="O619" s="7">
        <f>'1 prepared data'!N612</f>
        <v/>
      </c>
      <c r="P619" s="7">
        <f>'1 prepared data'!O612</f>
        <v/>
      </c>
      <c r="Q619" s="7">
        <f>'1 prepared data'!P612</f>
        <v/>
      </c>
      <c r="R619" s="7">
        <f>'1 prepared data'!Q612</f>
        <v/>
      </c>
      <c r="S619" s="7">
        <f>'1 prepared data'!R612</f>
        <v/>
      </c>
      <c r="T619" s="7">
        <f>'1 prepared data'!S612</f>
        <v/>
      </c>
      <c r="U619" s="7">
        <f>'1 prepared data'!T612</f>
        <v/>
      </c>
      <c r="V619" s="8">
        <f>$AC$12+D619*$AC$13+E619*$AC$14+F619*$AC$15+G619*$AC$16+H619*$AC$17+I619*$AC$18+J619*$AC$19+K619*$AC$20+L619*$AC$21+M619*$AC$22+N619*$AC$23+O619*$AC$24+P619*$AC$25+Q619*$AC$26+R619*$AC$27+S619*$AC$28+T619*$AC$29+U619*$AC$30</f>
        <v/>
      </c>
      <c r="W619" s="8">
        <f>1/(1+EXP(-V619))</f>
        <v/>
      </c>
      <c r="X619" s="9">
        <f>-IF(C619=1,LN(W619),LN(1-W619))</f>
        <v/>
      </c>
      <c r="Y619" s="10">
        <f>IF(W619&gt;$AC$33,1,0)</f>
        <v/>
      </c>
      <c r="Z619">
        <f>IF(Y619=C619,1,0)</f>
        <v/>
      </c>
    </row>
    <row r="620">
      <c r="A620">
        <f>'1 prepared data'!A613</f>
        <v/>
      </c>
      <c r="B620" s="5">
        <f>'1 prepared data'!U613</f>
        <v/>
      </c>
      <c r="C620">
        <f>'1 prepared data'!B613</f>
        <v/>
      </c>
      <c r="D620" s="7">
        <f>'1 prepared data'!C613</f>
        <v/>
      </c>
      <c r="E620" s="7">
        <f>'1 prepared data'!D613</f>
        <v/>
      </c>
      <c r="F620" s="7">
        <f>'1 prepared data'!E613</f>
        <v/>
      </c>
      <c r="G620" s="7">
        <f>'1 prepared data'!F613</f>
        <v/>
      </c>
      <c r="H620" s="7">
        <f>'1 prepared data'!G613</f>
        <v/>
      </c>
      <c r="I620" s="7">
        <f>'1 prepared data'!H613</f>
        <v/>
      </c>
      <c r="J620" s="7">
        <f>'1 prepared data'!I613</f>
        <v/>
      </c>
      <c r="K620" s="7">
        <f>'1 prepared data'!J613</f>
        <v/>
      </c>
      <c r="L620" s="7">
        <f>'1 prepared data'!K613</f>
        <v/>
      </c>
      <c r="M620" s="7">
        <f>'1 prepared data'!L613</f>
        <v/>
      </c>
      <c r="N620" s="7">
        <f>'1 prepared data'!M613</f>
        <v/>
      </c>
      <c r="O620" s="7">
        <f>'1 prepared data'!N613</f>
        <v/>
      </c>
      <c r="P620" s="7">
        <f>'1 prepared data'!O613</f>
        <v/>
      </c>
      <c r="Q620" s="7">
        <f>'1 prepared data'!P613</f>
        <v/>
      </c>
      <c r="R620" s="7">
        <f>'1 prepared data'!Q613</f>
        <v/>
      </c>
      <c r="S620" s="7">
        <f>'1 prepared data'!R613</f>
        <v/>
      </c>
      <c r="T620" s="7">
        <f>'1 prepared data'!S613</f>
        <v/>
      </c>
      <c r="U620" s="7">
        <f>'1 prepared data'!T613</f>
        <v/>
      </c>
      <c r="V620" s="8">
        <f>$AC$12+D620*$AC$13+E620*$AC$14+F620*$AC$15+G620*$AC$16+H620*$AC$17+I620*$AC$18+J620*$AC$19+K620*$AC$20+L620*$AC$21+M620*$AC$22+N620*$AC$23+O620*$AC$24+P620*$AC$25+Q620*$AC$26+R620*$AC$27+S620*$AC$28+T620*$AC$29+U620*$AC$30</f>
        <v/>
      </c>
      <c r="W620" s="8">
        <f>1/(1+EXP(-V620))</f>
        <v/>
      </c>
      <c r="X620" s="9">
        <f>-IF(C620=1,LN(W620),LN(1-W620))</f>
        <v/>
      </c>
      <c r="Y620" s="10">
        <f>IF(W620&gt;$AC$33,1,0)</f>
        <v/>
      </c>
      <c r="Z620">
        <f>IF(Y620=C620,1,0)</f>
        <v/>
      </c>
    </row>
    <row r="621">
      <c r="A621">
        <f>'1 prepared data'!A614</f>
        <v/>
      </c>
      <c r="B621" s="5">
        <f>'1 prepared data'!U614</f>
        <v/>
      </c>
      <c r="C621">
        <f>'1 prepared data'!B614</f>
        <v/>
      </c>
      <c r="D621" s="7">
        <f>'1 prepared data'!C614</f>
        <v/>
      </c>
      <c r="E621" s="7">
        <f>'1 prepared data'!D614</f>
        <v/>
      </c>
      <c r="F621" s="7">
        <f>'1 prepared data'!E614</f>
        <v/>
      </c>
      <c r="G621" s="7">
        <f>'1 prepared data'!F614</f>
        <v/>
      </c>
      <c r="H621" s="7">
        <f>'1 prepared data'!G614</f>
        <v/>
      </c>
      <c r="I621" s="7">
        <f>'1 prepared data'!H614</f>
        <v/>
      </c>
      <c r="J621" s="7">
        <f>'1 prepared data'!I614</f>
        <v/>
      </c>
      <c r="K621" s="7">
        <f>'1 prepared data'!J614</f>
        <v/>
      </c>
      <c r="L621" s="7">
        <f>'1 prepared data'!K614</f>
        <v/>
      </c>
      <c r="M621" s="7">
        <f>'1 prepared data'!L614</f>
        <v/>
      </c>
      <c r="N621" s="7">
        <f>'1 prepared data'!M614</f>
        <v/>
      </c>
      <c r="O621" s="7">
        <f>'1 prepared data'!N614</f>
        <v/>
      </c>
      <c r="P621" s="7">
        <f>'1 prepared data'!O614</f>
        <v/>
      </c>
      <c r="Q621" s="7">
        <f>'1 prepared data'!P614</f>
        <v/>
      </c>
      <c r="R621" s="7">
        <f>'1 prepared data'!Q614</f>
        <v/>
      </c>
      <c r="S621" s="7">
        <f>'1 prepared data'!R614</f>
        <v/>
      </c>
      <c r="T621" s="7">
        <f>'1 prepared data'!S614</f>
        <v/>
      </c>
      <c r="U621" s="7">
        <f>'1 prepared data'!T614</f>
        <v/>
      </c>
      <c r="V621" s="8">
        <f>$AC$12+D621*$AC$13+E621*$AC$14+F621*$AC$15+G621*$AC$16+H621*$AC$17+I621*$AC$18+J621*$AC$19+K621*$AC$20+L621*$AC$21+M621*$AC$22+N621*$AC$23+O621*$AC$24+P621*$AC$25+Q621*$AC$26+R621*$AC$27+S621*$AC$28+T621*$AC$29+U621*$AC$30</f>
        <v/>
      </c>
      <c r="W621" s="8">
        <f>1/(1+EXP(-V621))</f>
        <v/>
      </c>
      <c r="X621" s="9">
        <f>-IF(C621=1,LN(W621),LN(1-W621))</f>
        <v/>
      </c>
      <c r="Y621" s="10">
        <f>IF(W621&gt;$AC$33,1,0)</f>
        <v/>
      </c>
      <c r="Z621">
        <f>IF(Y621=C621,1,0)</f>
        <v/>
      </c>
    </row>
    <row r="622">
      <c r="A622">
        <f>'1 prepared data'!A615</f>
        <v/>
      </c>
      <c r="B622" s="5">
        <f>'1 prepared data'!U615</f>
        <v/>
      </c>
      <c r="C622">
        <f>'1 prepared data'!B615</f>
        <v/>
      </c>
      <c r="D622" s="7">
        <f>'1 prepared data'!C615</f>
        <v/>
      </c>
      <c r="E622" s="7">
        <f>'1 prepared data'!D615</f>
        <v/>
      </c>
      <c r="F622" s="7">
        <f>'1 prepared data'!E615</f>
        <v/>
      </c>
      <c r="G622" s="7">
        <f>'1 prepared data'!F615</f>
        <v/>
      </c>
      <c r="H622" s="7">
        <f>'1 prepared data'!G615</f>
        <v/>
      </c>
      <c r="I622" s="7">
        <f>'1 prepared data'!H615</f>
        <v/>
      </c>
      <c r="J622" s="7">
        <f>'1 prepared data'!I615</f>
        <v/>
      </c>
      <c r="K622" s="7">
        <f>'1 prepared data'!J615</f>
        <v/>
      </c>
      <c r="L622" s="7">
        <f>'1 prepared data'!K615</f>
        <v/>
      </c>
      <c r="M622" s="7">
        <f>'1 prepared data'!L615</f>
        <v/>
      </c>
      <c r="N622" s="7">
        <f>'1 prepared data'!M615</f>
        <v/>
      </c>
      <c r="O622" s="7">
        <f>'1 prepared data'!N615</f>
        <v/>
      </c>
      <c r="P622" s="7">
        <f>'1 prepared data'!O615</f>
        <v/>
      </c>
      <c r="Q622" s="7">
        <f>'1 prepared data'!P615</f>
        <v/>
      </c>
      <c r="R622" s="7">
        <f>'1 prepared data'!Q615</f>
        <v/>
      </c>
      <c r="S622" s="7">
        <f>'1 prepared data'!R615</f>
        <v/>
      </c>
      <c r="T622" s="7">
        <f>'1 prepared data'!S615</f>
        <v/>
      </c>
      <c r="U622" s="7">
        <f>'1 prepared data'!T615</f>
        <v/>
      </c>
      <c r="V622" s="8">
        <f>$AC$12+D622*$AC$13+E622*$AC$14+F622*$AC$15+G622*$AC$16+H622*$AC$17+I622*$AC$18+J622*$AC$19+K622*$AC$20+L622*$AC$21+M622*$AC$22+N622*$AC$23+O622*$AC$24+P622*$AC$25+Q622*$AC$26+R622*$AC$27+S622*$AC$28+T622*$AC$29+U622*$AC$30</f>
        <v/>
      </c>
      <c r="W622" s="8">
        <f>1/(1+EXP(-V622))</f>
        <v/>
      </c>
      <c r="X622" s="9">
        <f>-IF(C622=1,LN(W622),LN(1-W622))</f>
        <v/>
      </c>
      <c r="Y622" s="10">
        <f>IF(W622&gt;$AC$33,1,0)</f>
        <v/>
      </c>
      <c r="Z622">
        <f>IF(Y622=C622,1,0)</f>
        <v/>
      </c>
    </row>
    <row r="623">
      <c r="A623">
        <f>'1 prepared data'!A616</f>
        <v/>
      </c>
      <c r="B623" s="5">
        <f>'1 prepared data'!U616</f>
        <v/>
      </c>
      <c r="C623">
        <f>'1 prepared data'!B616</f>
        <v/>
      </c>
      <c r="D623" s="7">
        <f>'1 prepared data'!C616</f>
        <v/>
      </c>
      <c r="E623" s="7">
        <f>'1 prepared data'!D616</f>
        <v/>
      </c>
      <c r="F623" s="7">
        <f>'1 prepared data'!E616</f>
        <v/>
      </c>
      <c r="G623" s="7">
        <f>'1 prepared data'!F616</f>
        <v/>
      </c>
      <c r="H623" s="7">
        <f>'1 prepared data'!G616</f>
        <v/>
      </c>
      <c r="I623" s="7">
        <f>'1 prepared data'!H616</f>
        <v/>
      </c>
      <c r="J623" s="7">
        <f>'1 prepared data'!I616</f>
        <v/>
      </c>
      <c r="K623" s="7">
        <f>'1 prepared data'!J616</f>
        <v/>
      </c>
      <c r="L623" s="7">
        <f>'1 prepared data'!K616</f>
        <v/>
      </c>
      <c r="M623" s="7">
        <f>'1 prepared data'!L616</f>
        <v/>
      </c>
      <c r="N623" s="7">
        <f>'1 prepared data'!M616</f>
        <v/>
      </c>
      <c r="O623" s="7">
        <f>'1 prepared data'!N616</f>
        <v/>
      </c>
      <c r="P623" s="7">
        <f>'1 prepared data'!O616</f>
        <v/>
      </c>
      <c r="Q623" s="7">
        <f>'1 prepared data'!P616</f>
        <v/>
      </c>
      <c r="R623" s="7">
        <f>'1 prepared data'!Q616</f>
        <v/>
      </c>
      <c r="S623" s="7">
        <f>'1 prepared data'!R616</f>
        <v/>
      </c>
      <c r="T623" s="7">
        <f>'1 prepared data'!S616</f>
        <v/>
      </c>
      <c r="U623" s="7">
        <f>'1 prepared data'!T616</f>
        <v/>
      </c>
      <c r="V623" s="8">
        <f>$AC$12+D623*$AC$13+E623*$AC$14+F623*$AC$15+G623*$AC$16+H623*$AC$17+I623*$AC$18+J623*$AC$19+K623*$AC$20+L623*$AC$21+M623*$AC$22+N623*$AC$23+O623*$AC$24+P623*$AC$25+Q623*$AC$26+R623*$AC$27+S623*$AC$28+T623*$AC$29+U623*$AC$30</f>
        <v/>
      </c>
      <c r="W623" s="8">
        <f>1/(1+EXP(-V623))</f>
        <v/>
      </c>
      <c r="X623" s="9">
        <f>-IF(C623=1,LN(W623),LN(1-W623))</f>
        <v/>
      </c>
      <c r="Y623" s="10">
        <f>IF(W623&gt;$AC$33,1,0)</f>
        <v/>
      </c>
      <c r="Z623">
        <f>IF(Y623=C623,1,0)</f>
        <v/>
      </c>
    </row>
    <row r="624">
      <c r="A624">
        <f>'1 prepared data'!A617</f>
        <v/>
      </c>
      <c r="B624" s="5">
        <f>'1 prepared data'!U617</f>
        <v/>
      </c>
      <c r="C624">
        <f>'1 prepared data'!B617</f>
        <v/>
      </c>
      <c r="D624" s="7">
        <f>'1 prepared data'!C617</f>
        <v/>
      </c>
      <c r="E624" s="7">
        <f>'1 prepared data'!D617</f>
        <v/>
      </c>
      <c r="F624" s="7">
        <f>'1 prepared data'!E617</f>
        <v/>
      </c>
      <c r="G624" s="7">
        <f>'1 prepared data'!F617</f>
        <v/>
      </c>
      <c r="H624" s="7">
        <f>'1 prepared data'!G617</f>
        <v/>
      </c>
      <c r="I624" s="7">
        <f>'1 prepared data'!H617</f>
        <v/>
      </c>
      <c r="J624" s="7">
        <f>'1 prepared data'!I617</f>
        <v/>
      </c>
      <c r="K624" s="7">
        <f>'1 prepared data'!J617</f>
        <v/>
      </c>
      <c r="L624" s="7">
        <f>'1 prepared data'!K617</f>
        <v/>
      </c>
      <c r="M624" s="7">
        <f>'1 prepared data'!L617</f>
        <v/>
      </c>
      <c r="N624" s="7">
        <f>'1 prepared data'!M617</f>
        <v/>
      </c>
      <c r="O624" s="7">
        <f>'1 prepared data'!N617</f>
        <v/>
      </c>
      <c r="P624" s="7">
        <f>'1 prepared data'!O617</f>
        <v/>
      </c>
      <c r="Q624" s="7">
        <f>'1 prepared data'!P617</f>
        <v/>
      </c>
      <c r="R624" s="7">
        <f>'1 prepared data'!Q617</f>
        <v/>
      </c>
      <c r="S624" s="7">
        <f>'1 prepared data'!R617</f>
        <v/>
      </c>
      <c r="T624" s="7">
        <f>'1 prepared data'!S617</f>
        <v/>
      </c>
      <c r="U624" s="7">
        <f>'1 prepared data'!T617</f>
        <v/>
      </c>
      <c r="V624" s="8">
        <f>$AC$12+D624*$AC$13+E624*$AC$14+F624*$AC$15+G624*$AC$16+H624*$AC$17+I624*$AC$18+J624*$AC$19+K624*$AC$20+L624*$AC$21+M624*$AC$22+N624*$AC$23+O624*$AC$24+P624*$AC$25+Q624*$AC$26+R624*$AC$27+S624*$AC$28+T624*$AC$29+U624*$AC$30</f>
        <v/>
      </c>
      <c r="W624" s="8">
        <f>1/(1+EXP(-V624))</f>
        <v/>
      </c>
      <c r="X624" s="9">
        <f>-IF(C624=1,LN(W624),LN(1-W624))</f>
        <v/>
      </c>
      <c r="Y624" s="10">
        <f>IF(W624&gt;$AC$33,1,0)</f>
        <v/>
      </c>
      <c r="Z624">
        <f>IF(Y624=C624,1,0)</f>
        <v/>
      </c>
    </row>
    <row r="625">
      <c r="A625">
        <f>'1 prepared data'!A618</f>
        <v/>
      </c>
      <c r="B625" s="5">
        <f>'1 prepared data'!U618</f>
        <v/>
      </c>
      <c r="C625">
        <f>'1 prepared data'!B618</f>
        <v/>
      </c>
      <c r="D625" s="7">
        <f>'1 prepared data'!C618</f>
        <v/>
      </c>
      <c r="E625" s="7">
        <f>'1 prepared data'!D618</f>
        <v/>
      </c>
      <c r="F625" s="7">
        <f>'1 prepared data'!E618</f>
        <v/>
      </c>
      <c r="G625" s="7">
        <f>'1 prepared data'!F618</f>
        <v/>
      </c>
      <c r="H625" s="7">
        <f>'1 prepared data'!G618</f>
        <v/>
      </c>
      <c r="I625" s="7">
        <f>'1 prepared data'!H618</f>
        <v/>
      </c>
      <c r="J625" s="7">
        <f>'1 prepared data'!I618</f>
        <v/>
      </c>
      <c r="K625" s="7">
        <f>'1 prepared data'!J618</f>
        <v/>
      </c>
      <c r="L625" s="7">
        <f>'1 prepared data'!K618</f>
        <v/>
      </c>
      <c r="M625" s="7">
        <f>'1 prepared data'!L618</f>
        <v/>
      </c>
      <c r="N625" s="7">
        <f>'1 prepared data'!M618</f>
        <v/>
      </c>
      <c r="O625" s="7">
        <f>'1 prepared data'!N618</f>
        <v/>
      </c>
      <c r="P625" s="7">
        <f>'1 prepared data'!O618</f>
        <v/>
      </c>
      <c r="Q625" s="7">
        <f>'1 prepared data'!P618</f>
        <v/>
      </c>
      <c r="R625" s="7">
        <f>'1 prepared data'!Q618</f>
        <v/>
      </c>
      <c r="S625" s="7">
        <f>'1 prepared data'!R618</f>
        <v/>
      </c>
      <c r="T625" s="7">
        <f>'1 prepared data'!S618</f>
        <v/>
      </c>
      <c r="U625" s="7">
        <f>'1 prepared data'!T618</f>
        <v/>
      </c>
      <c r="V625" s="8">
        <f>$AC$12+D625*$AC$13+E625*$AC$14+F625*$AC$15+G625*$AC$16+H625*$AC$17+I625*$AC$18+J625*$AC$19+K625*$AC$20+L625*$AC$21+M625*$AC$22+N625*$AC$23+O625*$AC$24+P625*$AC$25+Q625*$AC$26+R625*$AC$27+S625*$AC$28+T625*$AC$29+U625*$AC$30</f>
        <v/>
      </c>
      <c r="W625" s="8">
        <f>1/(1+EXP(-V625))</f>
        <v/>
      </c>
      <c r="X625" s="9">
        <f>-IF(C625=1,LN(W625),LN(1-W625))</f>
        <v/>
      </c>
      <c r="Y625" s="10">
        <f>IF(W625&gt;$AC$33,1,0)</f>
        <v/>
      </c>
      <c r="Z625">
        <f>IF(Y625=C625,1,0)</f>
        <v/>
      </c>
    </row>
    <row r="626">
      <c r="A626">
        <f>'1 prepared data'!A619</f>
        <v/>
      </c>
      <c r="B626" s="5">
        <f>'1 prepared data'!U619</f>
        <v/>
      </c>
      <c r="C626">
        <f>'1 prepared data'!B619</f>
        <v/>
      </c>
      <c r="D626" s="7">
        <f>'1 prepared data'!C619</f>
        <v/>
      </c>
      <c r="E626" s="7">
        <f>'1 prepared data'!D619</f>
        <v/>
      </c>
      <c r="F626" s="7">
        <f>'1 prepared data'!E619</f>
        <v/>
      </c>
      <c r="G626" s="7">
        <f>'1 prepared data'!F619</f>
        <v/>
      </c>
      <c r="H626" s="7">
        <f>'1 prepared data'!G619</f>
        <v/>
      </c>
      <c r="I626" s="7">
        <f>'1 prepared data'!H619</f>
        <v/>
      </c>
      <c r="J626" s="7">
        <f>'1 prepared data'!I619</f>
        <v/>
      </c>
      <c r="K626" s="7">
        <f>'1 prepared data'!J619</f>
        <v/>
      </c>
      <c r="L626" s="7">
        <f>'1 prepared data'!K619</f>
        <v/>
      </c>
      <c r="M626" s="7">
        <f>'1 prepared data'!L619</f>
        <v/>
      </c>
      <c r="N626" s="7">
        <f>'1 prepared data'!M619</f>
        <v/>
      </c>
      <c r="O626" s="7">
        <f>'1 prepared data'!N619</f>
        <v/>
      </c>
      <c r="P626" s="7">
        <f>'1 prepared data'!O619</f>
        <v/>
      </c>
      <c r="Q626" s="7">
        <f>'1 prepared data'!P619</f>
        <v/>
      </c>
      <c r="R626" s="7">
        <f>'1 prepared data'!Q619</f>
        <v/>
      </c>
      <c r="S626" s="7">
        <f>'1 prepared data'!R619</f>
        <v/>
      </c>
      <c r="T626" s="7">
        <f>'1 prepared data'!S619</f>
        <v/>
      </c>
      <c r="U626" s="7">
        <f>'1 prepared data'!T619</f>
        <v/>
      </c>
      <c r="V626" s="8">
        <f>$AC$12+D626*$AC$13+E626*$AC$14+F626*$AC$15+G626*$AC$16+H626*$AC$17+I626*$AC$18+J626*$AC$19+K626*$AC$20+L626*$AC$21+M626*$AC$22+N626*$AC$23+O626*$AC$24+P626*$AC$25+Q626*$AC$26+R626*$AC$27+S626*$AC$28+T626*$AC$29+U626*$AC$30</f>
        <v/>
      </c>
      <c r="W626" s="8">
        <f>1/(1+EXP(-V626))</f>
        <v/>
      </c>
      <c r="X626" s="9">
        <f>-IF(C626=1,LN(W626),LN(1-W626))</f>
        <v/>
      </c>
      <c r="Y626" s="10">
        <f>IF(W626&gt;$AC$33,1,0)</f>
        <v/>
      </c>
      <c r="Z626">
        <f>IF(Y626=C626,1,0)</f>
        <v/>
      </c>
    </row>
    <row r="627">
      <c r="A627">
        <f>'1 prepared data'!A620</f>
        <v/>
      </c>
      <c r="B627" s="5">
        <f>'1 prepared data'!U620</f>
        <v/>
      </c>
      <c r="C627">
        <f>'1 prepared data'!B620</f>
        <v/>
      </c>
      <c r="D627" s="7">
        <f>'1 prepared data'!C620</f>
        <v/>
      </c>
      <c r="E627" s="7">
        <f>'1 prepared data'!D620</f>
        <v/>
      </c>
      <c r="F627" s="7">
        <f>'1 prepared data'!E620</f>
        <v/>
      </c>
      <c r="G627" s="7">
        <f>'1 prepared data'!F620</f>
        <v/>
      </c>
      <c r="H627" s="7">
        <f>'1 prepared data'!G620</f>
        <v/>
      </c>
      <c r="I627" s="7">
        <f>'1 prepared data'!H620</f>
        <v/>
      </c>
      <c r="J627" s="7">
        <f>'1 prepared data'!I620</f>
        <v/>
      </c>
      <c r="K627" s="7">
        <f>'1 prepared data'!J620</f>
        <v/>
      </c>
      <c r="L627" s="7">
        <f>'1 prepared data'!K620</f>
        <v/>
      </c>
      <c r="M627" s="7">
        <f>'1 prepared data'!L620</f>
        <v/>
      </c>
      <c r="N627" s="7">
        <f>'1 prepared data'!M620</f>
        <v/>
      </c>
      <c r="O627" s="7">
        <f>'1 prepared data'!N620</f>
        <v/>
      </c>
      <c r="P627" s="7">
        <f>'1 prepared data'!O620</f>
        <v/>
      </c>
      <c r="Q627" s="7">
        <f>'1 prepared data'!P620</f>
        <v/>
      </c>
      <c r="R627" s="7">
        <f>'1 prepared data'!Q620</f>
        <v/>
      </c>
      <c r="S627" s="7">
        <f>'1 prepared data'!R620</f>
        <v/>
      </c>
      <c r="T627" s="7">
        <f>'1 prepared data'!S620</f>
        <v/>
      </c>
      <c r="U627" s="7">
        <f>'1 prepared data'!T620</f>
        <v/>
      </c>
      <c r="V627" s="8">
        <f>$AC$12+D627*$AC$13+E627*$AC$14+F627*$AC$15+G627*$AC$16+H627*$AC$17+I627*$AC$18+J627*$AC$19+K627*$AC$20+L627*$AC$21+M627*$AC$22+N627*$AC$23+O627*$AC$24+P627*$AC$25+Q627*$AC$26+R627*$AC$27+S627*$AC$28+T627*$AC$29+U627*$AC$30</f>
        <v/>
      </c>
      <c r="W627" s="8">
        <f>1/(1+EXP(-V627))</f>
        <v/>
      </c>
      <c r="X627" s="9">
        <f>-IF(C627=1,LN(W627),LN(1-W627))</f>
        <v/>
      </c>
      <c r="Y627" s="10">
        <f>IF(W627&gt;$AC$33,1,0)</f>
        <v/>
      </c>
      <c r="Z627">
        <f>IF(Y627=C627,1,0)</f>
        <v/>
      </c>
    </row>
    <row r="628">
      <c r="A628">
        <f>'1 prepared data'!A621</f>
        <v/>
      </c>
      <c r="B628" s="5">
        <f>'1 prepared data'!U621</f>
        <v/>
      </c>
      <c r="C628">
        <f>'1 prepared data'!B621</f>
        <v/>
      </c>
      <c r="D628" s="7">
        <f>'1 prepared data'!C621</f>
        <v/>
      </c>
      <c r="E628" s="7">
        <f>'1 prepared data'!D621</f>
        <v/>
      </c>
      <c r="F628" s="7">
        <f>'1 prepared data'!E621</f>
        <v/>
      </c>
      <c r="G628" s="7">
        <f>'1 prepared data'!F621</f>
        <v/>
      </c>
      <c r="H628" s="7">
        <f>'1 prepared data'!G621</f>
        <v/>
      </c>
      <c r="I628" s="7">
        <f>'1 prepared data'!H621</f>
        <v/>
      </c>
      <c r="J628" s="7">
        <f>'1 prepared data'!I621</f>
        <v/>
      </c>
      <c r="K628" s="7">
        <f>'1 prepared data'!J621</f>
        <v/>
      </c>
      <c r="L628" s="7">
        <f>'1 prepared data'!K621</f>
        <v/>
      </c>
      <c r="M628" s="7">
        <f>'1 prepared data'!L621</f>
        <v/>
      </c>
      <c r="N628" s="7">
        <f>'1 prepared data'!M621</f>
        <v/>
      </c>
      <c r="O628" s="7">
        <f>'1 prepared data'!N621</f>
        <v/>
      </c>
      <c r="P628" s="7">
        <f>'1 prepared data'!O621</f>
        <v/>
      </c>
      <c r="Q628" s="7">
        <f>'1 prepared data'!P621</f>
        <v/>
      </c>
      <c r="R628" s="7">
        <f>'1 prepared data'!Q621</f>
        <v/>
      </c>
      <c r="S628" s="7">
        <f>'1 prepared data'!R621</f>
        <v/>
      </c>
      <c r="T628" s="7">
        <f>'1 prepared data'!S621</f>
        <v/>
      </c>
      <c r="U628" s="7">
        <f>'1 prepared data'!T621</f>
        <v/>
      </c>
      <c r="V628" s="8">
        <f>$AC$12+D628*$AC$13+E628*$AC$14+F628*$AC$15+G628*$AC$16+H628*$AC$17+I628*$AC$18+J628*$AC$19+K628*$AC$20+L628*$AC$21+M628*$AC$22+N628*$AC$23+O628*$AC$24+P628*$AC$25+Q628*$AC$26+R628*$AC$27+S628*$AC$28+T628*$AC$29+U628*$AC$30</f>
        <v/>
      </c>
      <c r="W628" s="8">
        <f>1/(1+EXP(-V628))</f>
        <v/>
      </c>
      <c r="X628" s="9">
        <f>-IF(C628=1,LN(W628),LN(1-W628))</f>
        <v/>
      </c>
      <c r="Y628" s="10">
        <f>IF(W628&gt;$AC$33,1,0)</f>
        <v/>
      </c>
      <c r="Z628">
        <f>IF(Y628=C628,1,0)</f>
        <v/>
      </c>
    </row>
    <row r="629">
      <c r="A629">
        <f>'1 prepared data'!A622</f>
        <v/>
      </c>
      <c r="B629" s="5">
        <f>'1 prepared data'!U622</f>
        <v/>
      </c>
      <c r="C629">
        <f>'1 prepared data'!B622</f>
        <v/>
      </c>
      <c r="D629" s="7">
        <f>'1 prepared data'!C622</f>
        <v/>
      </c>
      <c r="E629" s="7">
        <f>'1 prepared data'!D622</f>
        <v/>
      </c>
      <c r="F629" s="7">
        <f>'1 prepared data'!E622</f>
        <v/>
      </c>
      <c r="G629" s="7">
        <f>'1 prepared data'!F622</f>
        <v/>
      </c>
      <c r="H629" s="7">
        <f>'1 prepared data'!G622</f>
        <v/>
      </c>
      <c r="I629" s="7">
        <f>'1 prepared data'!H622</f>
        <v/>
      </c>
      <c r="J629" s="7">
        <f>'1 prepared data'!I622</f>
        <v/>
      </c>
      <c r="K629" s="7">
        <f>'1 prepared data'!J622</f>
        <v/>
      </c>
      <c r="L629" s="7">
        <f>'1 prepared data'!K622</f>
        <v/>
      </c>
      <c r="M629" s="7">
        <f>'1 prepared data'!L622</f>
        <v/>
      </c>
      <c r="N629" s="7">
        <f>'1 prepared data'!M622</f>
        <v/>
      </c>
      <c r="O629" s="7">
        <f>'1 prepared data'!N622</f>
        <v/>
      </c>
      <c r="P629" s="7">
        <f>'1 prepared data'!O622</f>
        <v/>
      </c>
      <c r="Q629" s="7">
        <f>'1 prepared data'!P622</f>
        <v/>
      </c>
      <c r="R629" s="7">
        <f>'1 prepared data'!Q622</f>
        <v/>
      </c>
      <c r="S629" s="7">
        <f>'1 prepared data'!R622</f>
        <v/>
      </c>
      <c r="T629" s="7">
        <f>'1 prepared data'!S622</f>
        <v/>
      </c>
      <c r="U629" s="7">
        <f>'1 prepared data'!T622</f>
        <v/>
      </c>
      <c r="V629" s="8">
        <f>$AC$12+D629*$AC$13+E629*$AC$14+F629*$AC$15+G629*$AC$16+H629*$AC$17+I629*$AC$18+J629*$AC$19+K629*$AC$20+L629*$AC$21+M629*$AC$22+N629*$AC$23+O629*$AC$24+P629*$AC$25+Q629*$AC$26+R629*$AC$27+S629*$AC$28+T629*$AC$29+U629*$AC$30</f>
        <v/>
      </c>
      <c r="W629" s="8">
        <f>1/(1+EXP(-V629))</f>
        <v/>
      </c>
      <c r="X629" s="9">
        <f>-IF(C629=1,LN(W629),LN(1-W629))</f>
        <v/>
      </c>
      <c r="Y629" s="10">
        <f>IF(W629&gt;$AC$33,1,0)</f>
        <v/>
      </c>
      <c r="Z629">
        <f>IF(Y629=C629,1,0)</f>
        <v/>
      </c>
    </row>
    <row r="630">
      <c r="A630">
        <f>'1 prepared data'!A623</f>
        <v/>
      </c>
      <c r="B630" s="5">
        <f>'1 prepared data'!U623</f>
        <v/>
      </c>
      <c r="C630">
        <f>'1 prepared data'!B623</f>
        <v/>
      </c>
      <c r="D630" s="7">
        <f>'1 prepared data'!C623</f>
        <v/>
      </c>
      <c r="E630" s="7">
        <f>'1 prepared data'!D623</f>
        <v/>
      </c>
      <c r="F630" s="7">
        <f>'1 prepared data'!E623</f>
        <v/>
      </c>
      <c r="G630" s="7">
        <f>'1 prepared data'!F623</f>
        <v/>
      </c>
      <c r="H630" s="7">
        <f>'1 prepared data'!G623</f>
        <v/>
      </c>
      <c r="I630" s="7">
        <f>'1 prepared data'!H623</f>
        <v/>
      </c>
      <c r="J630" s="7">
        <f>'1 prepared data'!I623</f>
        <v/>
      </c>
      <c r="K630" s="7">
        <f>'1 prepared data'!J623</f>
        <v/>
      </c>
      <c r="L630" s="7">
        <f>'1 prepared data'!K623</f>
        <v/>
      </c>
      <c r="M630" s="7">
        <f>'1 prepared data'!L623</f>
        <v/>
      </c>
      <c r="N630" s="7">
        <f>'1 prepared data'!M623</f>
        <v/>
      </c>
      <c r="O630" s="7">
        <f>'1 prepared data'!N623</f>
        <v/>
      </c>
      <c r="P630" s="7">
        <f>'1 prepared data'!O623</f>
        <v/>
      </c>
      <c r="Q630" s="7">
        <f>'1 prepared data'!P623</f>
        <v/>
      </c>
      <c r="R630" s="7">
        <f>'1 prepared data'!Q623</f>
        <v/>
      </c>
      <c r="S630" s="7">
        <f>'1 prepared data'!R623</f>
        <v/>
      </c>
      <c r="T630" s="7">
        <f>'1 prepared data'!S623</f>
        <v/>
      </c>
      <c r="U630" s="7">
        <f>'1 prepared data'!T623</f>
        <v/>
      </c>
      <c r="V630" s="8">
        <f>$AC$12+D630*$AC$13+E630*$AC$14+F630*$AC$15+G630*$AC$16+H630*$AC$17+I630*$AC$18+J630*$AC$19+K630*$AC$20+L630*$AC$21+M630*$AC$22+N630*$AC$23+O630*$AC$24+P630*$AC$25+Q630*$AC$26+R630*$AC$27+S630*$AC$28+T630*$AC$29+U630*$AC$30</f>
        <v/>
      </c>
      <c r="W630" s="8">
        <f>1/(1+EXP(-V630))</f>
        <v/>
      </c>
      <c r="X630" s="9">
        <f>-IF(C630=1,LN(W630),LN(1-W630))</f>
        <v/>
      </c>
      <c r="Y630" s="10">
        <f>IF(W630&gt;$AC$33,1,0)</f>
        <v/>
      </c>
      <c r="Z630">
        <f>IF(Y630=C630,1,0)</f>
        <v/>
      </c>
    </row>
    <row r="631">
      <c r="A631">
        <f>'1 prepared data'!A624</f>
        <v/>
      </c>
      <c r="B631" s="5">
        <f>'1 prepared data'!U624</f>
        <v/>
      </c>
      <c r="C631">
        <f>'1 prepared data'!B624</f>
        <v/>
      </c>
      <c r="D631" s="7">
        <f>'1 prepared data'!C624</f>
        <v/>
      </c>
      <c r="E631" s="7">
        <f>'1 prepared data'!D624</f>
        <v/>
      </c>
      <c r="F631" s="7">
        <f>'1 prepared data'!E624</f>
        <v/>
      </c>
      <c r="G631" s="7">
        <f>'1 prepared data'!F624</f>
        <v/>
      </c>
      <c r="H631" s="7">
        <f>'1 prepared data'!G624</f>
        <v/>
      </c>
      <c r="I631" s="7">
        <f>'1 prepared data'!H624</f>
        <v/>
      </c>
      <c r="J631" s="7">
        <f>'1 prepared data'!I624</f>
        <v/>
      </c>
      <c r="K631" s="7">
        <f>'1 prepared data'!J624</f>
        <v/>
      </c>
      <c r="L631" s="7">
        <f>'1 prepared data'!K624</f>
        <v/>
      </c>
      <c r="M631" s="7">
        <f>'1 prepared data'!L624</f>
        <v/>
      </c>
      <c r="N631" s="7">
        <f>'1 prepared data'!M624</f>
        <v/>
      </c>
      <c r="O631" s="7">
        <f>'1 prepared data'!N624</f>
        <v/>
      </c>
      <c r="P631" s="7">
        <f>'1 prepared data'!O624</f>
        <v/>
      </c>
      <c r="Q631" s="7">
        <f>'1 prepared data'!P624</f>
        <v/>
      </c>
      <c r="R631" s="7">
        <f>'1 prepared data'!Q624</f>
        <v/>
      </c>
      <c r="S631" s="7">
        <f>'1 prepared data'!R624</f>
        <v/>
      </c>
      <c r="T631" s="7">
        <f>'1 prepared data'!S624</f>
        <v/>
      </c>
      <c r="U631" s="7">
        <f>'1 prepared data'!T624</f>
        <v/>
      </c>
      <c r="V631" s="8">
        <f>$AC$12+D631*$AC$13+E631*$AC$14+F631*$AC$15+G631*$AC$16+H631*$AC$17+I631*$AC$18+J631*$AC$19+K631*$AC$20+L631*$AC$21+M631*$AC$22+N631*$AC$23+O631*$AC$24+P631*$AC$25+Q631*$AC$26+R631*$AC$27+S631*$AC$28+T631*$AC$29+U631*$AC$30</f>
        <v/>
      </c>
      <c r="W631" s="8">
        <f>1/(1+EXP(-V631))</f>
        <v/>
      </c>
      <c r="X631" s="9">
        <f>-IF(C631=1,LN(W631),LN(1-W631))</f>
        <v/>
      </c>
      <c r="Y631" s="10">
        <f>IF(W631&gt;$AC$33,1,0)</f>
        <v/>
      </c>
      <c r="Z631">
        <f>IF(Y631=C631,1,0)</f>
        <v/>
      </c>
    </row>
    <row r="632">
      <c r="A632">
        <f>'1 prepared data'!A625</f>
        <v/>
      </c>
      <c r="B632" s="5">
        <f>'1 prepared data'!U625</f>
        <v/>
      </c>
      <c r="C632">
        <f>'1 prepared data'!B625</f>
        <v/>
      </c>
      <c r="D632" s="7">
        <f>'1 prepared data'!C625</f>
        <v/>
      </c>
      <c r="E632" s="7">
        <f>'1 prepared data'!D625</f>
        <v/>
      </c>
      <c r="F632" s="7">
        <f>'1 prepared data'!E625</f>
        <v/>
      </c>
      <c r="G632" s="7">
        <f>'1 prepared data'!F625</f>
        <v/>
      </c>
      <c r="H632" s="7">
        <f>'1 prepared data'!G625</f>
        <v/>
      </c>
      <c r="I632" s="7">
        <f>'1 prepared data'!H625</f>
        <v/>
      </c>
      <c r="J632" s="7">
        <f>'1 prepared data'!I625</f>
        <v/>
      </c>
      <c r="K632" s="7">
        <f>'1 prepared data'!J625</f>
        <v/>
      </c>
      <c r="L632" s="7">
        <f>'1 prepared data'!K625</f>
        <v/>
      </c>
      <c r="M632" s="7">
        <f>'1 prepared data'!L625</f>
        <v/>
      </c>
      <c r="N632" s="7">
        <f>'1 prepared data'!M625</f>
        <v/>
      </c>
      <c r="O632" s="7">
        <f>'1 prepared data'!N625</f>
        <v/>
      </c>
      <c r="P632" s="7">
        <f>'1 prepared data'!O625</f>
        <v/>
      </c>
      <c r="Q632" s="7">
        <f>'1 prepared data'!P625</f>
        <v/>
      </c>
      <c r="R632" s="7">
        <f>'1 prepared data'!Q625</f>
        <v/>
      </c>
      <c r="S632" s="7">
        <f>'1 prepared data'!R625</f>
        <v/>
      </c>
      <c r="T632" s="7">
        <f>'1 prepared data'!S625</f>
        <v/>
      </c>
      <c r="U632" s="7">
        <f>'1 prepared data'!T625</f>
        <v/>
      </c>
      <c r="V632" s="8">
        <f>$AC$12+D632*$AC$13+E632*$AC$14+F632*$AC$15+G632*$AC$16+H632*$AC$17+I632*$AC$18+J632*$AC$19+K632*$AC$20+L632*$AC$21+M632*$AC$22+N632*$AC$23+O632*$AC$24+P632*$AC$25+Q632*$AC$26+R632*$AC$27+S632*$AC$28+T632*$AC$29+U632*$AC$30</f>
        <v/>
      </c>
      <c r="W632" s="8">
        <f>1/(1+EXP(-V632))</f>
        <v/>
      </c>
      <c r="X632" s="9">
        <f>-IF(C632=1,LN(W632),LN(1-W632))</f>
        <v/>
      </c>
      <c r="Y632" s="10">
        <f>IF(W632&gt;$AC$33,1,0)</f>
        <v/>
      </c>
      <c r="Z632">
        <f>IF(Y632=C632,1,0)</f>
        <v/>
      </c>
    </row>
    <row r="633">
      <c r="A633">
        <f>'1 prepared data'!A626</f>
        <v/>
      </c>
      <c r="B633" s="5">
        <f>'1 prepared data'!U626</f>
        <v/>
      </c>
      <c r="C633">
        <f>'1 prepared data'!B626</f>
        <v/>
      </c>
      <c r="D633" s="7">
        <f>'1 prepared data'!C626</f>
        <v/>
      </c>
      <c r="E633" s="7">
        <f>'1 prepared data'!D626</f>
        <v/>
      </c>
      <c r="F633" s="7">
        <f>'1 prepared data'!E626</f>
        <v/>
      </c>
      <c r="G633" s="7">
        <f>'1 prepared data'!F626</f>
        <v/>
      </c>
      <c r="H633" s="7">
        <f>'1 prepared data'!G626</f>
        <v/>
      </c>
      <c r="I633" s="7">
        <f>'1 prepared data'!H626</f>
        <v/>
      </c>
      <c r="J633" s="7">
        <f>'1 prepared data'!I626</f>
        <v/>
      </c>
      <c r="K633" s="7">
        <f>'1 prepared data'!J626</f>
        <v/>
      </c>
      <c r="L633" s="7">
        <f>'1 prepared data'!K626</f>
        <v/>
      </c>
      <c r="M633" s="7">
        <f>'1 prepared data'!L626</f>
        <v/>
      </c>
      <c r="N633" s="7">
        <f>'1 prepared data'!M626</f>
        <v/>
      </c>
      <c r="O633" s="7">
        <f>'1 prepared data'!N626</f>
        <v/>
      </c>
      <c r="P633" s="7">
        <f>'1 prepared data'!O626</f>
        <v/>
      </c>
      <c r="Q633" s="7">
        <f>'1 prepared data'!P626</f>
        <v/>
      </c>
      <c r="R633" s="7">
        <f>'1 prepared data'!Q626</f>
        <v/>
      </c>
      <c r="S633" s="7">
        <f>'1 prepared data'!R626</f>
        <v/>
      </c>
      <c r="T633" s="7">
        <f>'1 prepared data'!S626</f>
        <v/>
      </c>
      <c r="U633" s="7">
        <f>'1 prepared data'!T626</f>
        <v/>
      </c>
      <c r="V633" s="8">
        <f>$AC$12+D633*$AC$13+E633*$AC$14+F633*$AC$15+G633*$AC$16+H633*$AC$17+I633*$AC$18+J633*$AC$19+K633*$AC$20+L633*$AC$21+M633*$AC$22+N633*$AC$23+O633*$AC$24+P633*$AC$25+Q633*$AC$26+R633*$AC$27+S633*$AC$28+T633*$AC$29+U633*$AC$30</f>
        <v/>
      </c>
      <c r="W633" s="8">
        <f>1/(1+EXP(-V633))</f>
        <v/>
      </c>
      <c r="X633" s="9">
        <f>-IF(C633=1,LN(W633),LN(1-W633))</f>
        <v/>
      </c>
      <c r="Y633" s="10">
        <f>IF(W633&gt;$AC$33,1,0)</f>
        <v/>
      </c>
      <c r="Z633">
        <f>IF(Y633=C633,1,0)</f>
        <v/>
      </c>
    </row>
    <row r="634">
      <c r="A634">
        <f>'1 prepared data'!A627</f>
        <v/>
      </c>
      <c r="B634" s="5">
        <f>'1 prepared data'!U627</f>
        <v/>
      </c>
      <c r="C634">
        <f>'1 prepared data'!B627</f>
        <v/>
      </c>
      <c r="D634" s="7">
        <f>'1 prepared data'!C627</f>
        <v/>
      </c>
      <c r="E634" s="7">
        <f>'1 prepared data'!D627</f>
        <v/>
      </c>
      <c r="F634" s="7">
        <f>'1 prepared data'!E627</f>
        <v/>
      </c>
      <c r="G634" s="7">
        <f>'1 prepared data'!F627</f>
        <v/>
      </c>
      <c r="H634" s="7">
        <f>'1 prepared data'!G627</f>
        <v/>
      </c>
      <c r="I634" s="7">
        <f>'1 prepared data'!H627</f>
        <v/>
      </c>
      <c r="J634" s="7">
        <f>'1 prepared data'!I627</f>
        <v/>
      </c>
      <c r="K634" s="7">
        <f>'1 prepared data'!J627</f>
        <v/>
      </c>
      <c r="L634" s="7">
        <f>'1 prepared data'!K627</f>
        <v/>
      </c>
      <c r="M634" s="7">
        <f>'1 prepared data'!L627</f>
        <v/>
      </c>
      <c r="N634" s="7">
        <f>'1 prepared data'!M627</f>
        <v/>
      </c>
      <c r="O634" s="7">
        <f>'1 prepared data'!N627</f>
        <v/>
      </c>
      <c r="P634" s="7">
        <f>'1 prepared data'!O627</f>
        <v/>
      </c>
      <c r="Q634" s="7">
        <f>'1 prepared data'!P627</f>
        <v/>
      </c>
      <c r="R634" s="7">
        <f>'1 prepared data'!Q627</f>
        <v/>
      </c>
      <c r="S634" s="7">
        <f>'1 prepared data'!R627</f>
        <v/>
      </c>
      <c r="T634" s="7">
        <f>'1 prepared data'!S627</f>
        <v/>
      </c>
      <c r="U634" s="7">
        <f>'1 prepared data'!T627</f>
        <v/>
      </c>
      <c r="V634" s="8">
        <f>$AC$12+D634*$AC$13+E634*$AC$14+F634*$AC$15+G634*$AC$16+H634*$AC$17+I634*$AC$18+J634*$AC$19+K634*$AC$20+L634*$AC$21+M634*$AC$22+N634*$AC$23+O634*$AC$24+P634*$AC$25+Q634*$AC$26+R634*$AC$27+S634*$AC$28+T634*$AC$29+U634*$AC$30</f>
        <v/>
      </c>
      <c r="W634" s="8">
        <f>1/(1+EXP(-V634))</f>
        <v/>
      </c>
      <c r="X634" s="9">
        <f>-IF(C634=1,LN(W634),LN(1-W634))</f>
        <v/>
      </c>
      <c r="Y634" s="10">
        <f>IF(W634&gt;$AC$33,1,0)</f>
        <v/>
      </c>
      <c r="Z634">
        <f>IF(Y634=C634,1,0)</f>
        <v/>
      </c>
    </row>
    <row r="635">
      <c r="A635">
        <f>'1 prepared data'!A628</f>
        <v/>
      </c>
      <c r="B635" s="5">
        <f>'1 prepared data'!U628</f>
        <v/>
      </c>
      <c r="C635">
        <f>'1 prepared data'!B628</f>
        <v/>
      </c>
      <c r="D635" s="7">
        <f>'1 prepared data'!C628</f>
        <v/>
      </c>
      <c r="E635" s="7">
        <f>'1 prepared data'!D628</f>
        <v/>
      </c>
      <c r="F635" s="7">
        <f>'1 prepared data'!E628</f>
        <v/>
      </c>
      <c r="G635" s="7">
        <f>'1 prepared data'!F628</f>
        <v/>
      </c>
      <c r="H635" s="7">
        <f>'1 prepared data'!G628</f>
        <v/>
      </c>
      <c r="I635" s="7">
        <f>'1 prepared data'!H628</f>
        <v/>
      </c>
      <c r="J635" s="7">
        <f>'1 prepared data'!I628</f>
        <v/>
      </c>
      <c r="K635" s="7">
        <f>'1 prepared data'!J628</f>
        <v/>
      </c>
      <c r="L635" s="7">
        <f>'1 prepared data'!K628</f>
        <v/>
      </c>
      <c r="M635" s="7">
        <f>'1 prepared data'!L628</f>
        <v/>
      </c>
      <c r="N635" s="7">
        <f>'1 prepared data'!M628</f>
        <v/>
      </c>
      <c r="O635" s="7">
        <f>'1 prepared data'!N628</f>
        <v/>
      </c>
      <c r="P635" s="7">
        <f>'1 prepared data'!O628</f>
        <v/>
      </c>
      <c r="Q635" s="7">
        <f>'1 prepared data'!P628</f>
        <v/>
      </c>
      <c r="R635" s="7">
        <f>'1 prepared data'!Q628</f>
        <v/>
      </c>
      <c r="S635" s="7">
        <f>'1 prepared data'!R628</f>
        <v/>
      </c>
      <c r="T635" s="7">
        <f>'1 prepared data'!S628</f>
        <v/>
      </c>
      <c r="U635" s="7">
        <f>'1 prepared data'!T628</f>
        <v/>
      </c>
      <c r="V635" s="8">
        <f>$AC$12+D635*$AC$13+E635*$AC$14+F635*$AC$15+G635*$AC$16+H635*$AC$17+I635*$AC$18+J635*$AC$19+K635*$AC$20+L635*$AC$21+M635*$AC$22+N635*$AC$23+O635*$AC$24+P635*$AC$25+Q635*$AC$26+R635*$AC$27+S635*$AC$28+T635*$AC$29+U635*$AC$30</f>
        <v/>
      </c>
      <c r="W635" s="8">
        <f>1/(1+EXP(-V635))</f>
        <v/>
      </c>
      <c r="X635" s="9">
        <f>-IF(C635=1,LN(W635),LN(1-W635))</f>
        <v/>
      </c>
      <c r="Y635" s="10">
        <f>IF(W635&gt;$AC$33,1,0)</f>
        <v/>
      </c>
      <c r="Z635">
        <f>IF(Y635=C635,1,0)</f>
        <v/>
      </c>
    </row>
    <row r="636">
      <c r="A636">
        <f>'1 prepared data'!A629</f>
        <v/>
      </c>
      <c r="B636" s="5">
        <f>'1 prepared data'!U629</f>
        <v/>
      </c>
      <c r="C636">
        <f>'1 prepared data'!B629</f>
        <v/>
      </c>
      <c r="D636" s="7">
        <f>'1 prepared data'!C629</f>
        <v/>
      </c>
      <c r="E636" s="7">
        <f>'1 prepared data'!D629</f>
        <v/>
      </c>
      <c r="F636" s="7">
        <f>'1 prepared data'!E629</f>
        <v/>
      </c>
      <c r="G636" s="7">
        <f>'1 prepared data'!F629</f>
        <v/>
      </c>
      <c r="H636" s="7">
        <f>'1 prepared data'!G629</f>
        <v/>
      </c>
      <c r="I636" s="7">
        <f>'1 prepared data'!H629</f>
        <v/>
      </c>
      <c r="J636" s="7">
        <f>'1 prepared data'!I629</f>
        <v/>
      </c>
      <c r="K636" s="7">
        <f>'1 prepared data'!J629</f>
        <v/>
      </c>
      <c r="L636" s="7">
        <f>'1 prepared data'!K629</f>
        <v/>
      </c>
      <c r="M636" s="7">
        <f>'1 prepared data'!L629</f>
        <v/>
      </c>
      <c r="N636" s="7">
        <f>'1 prepared data'!M629</f>
        <v/>
      </c>
      <c r="O636" s="7">
        <f>'1 prepared data'!N629</f>
        <v/>
      </c>
      <c r="P636" s="7">
        <f>'1 prepared data'!O629</f>
        <v/>
      </c>
      <c r="Q636" s="7">
        <f>'1 prepared data'!P629</f>
        <v/>
      </c>
      <c r="R636" s="7">
        <f>'1 prepared data'!Q629</f>
        <v/>
      </c>
      <c r="S636" s="7">
        <f>'1 prepared data'!R629</f>
        <v/>
      </c>
      <c r="T636" s="7">
        <f>'1 prepared data'!S629</f>
        <v/>
      </c>
      <c r="U636" s="7">
        <f>'1 prepared data'!T629</f>
        <v/>
      </c>
      <c r="V636" s="8">
        <f>$AC$12+D636*$AC$13+E636*$AC$14+F636*$AC$15+G636*$AC$16+H636*$AC$17+I636*$AC$18+J636*$AC$19+K636*$AC$20+L636*$AC$21+M636*$AC$22+N636*$AC$23+O636*$AC$24+P636*$AC$25+Q636*$AC$26+R636*$AC$27+S636*$AC$28+T636*$AC$29+U636*$AC$30</f>
        <v/>
      </c>
      <c r="W636" s="8">
        <f>1/(1+EXP(-V636))</f>
        <v/>
      </c>
      <c r="X636" s="9">
        <f>-IF(C636=1,LN(W636),LN(1-W636))</f>
        <v/>
      </c>
      <c r="Y636" s="10">
        <f>IF(W636&gt;$AC$33,1,0)</f>
        <v/>
      </c>
      <c r="Z636">
        <f>IF(Y636=C636,1,0)</f>
        <v/>
      </c>
    </row>
    <row r="637">
      <c r="A637">
        <f>'1 prepared data'!A630</f>
        <v/>
      </c>
      <c r="B637" s="5">
        <f>'1 prepared data'!U630</f>
        <v/>
      </c>
      <c r="C637">
        <f>'1 prepared data'!B630</f>
        <v/>
      </c>
      <c r="D637" s="7">
        <f>'1 prepared data'!C630</f>
        <v/>
      </c>
      <c r="E637" s="7">
        <f>'1 prepared data'!D630</f>
        <v/>
      </c>
      <c r="F637" s="7">
        <f>'1 prepared data'!E630</f>
        <v/>
      </c>
      <c r="G637" s="7">
        <f>'1 prepared data'!F630</f>
        <v/>
      </c>
      <c r="H637" s="7">
        <f>'1 prepared data'!G630</f>
        <v/>
      </c>
      <c r="I637" s="7">
        <f>'1 prepared data'!H630</f>
        <v/>
      </c>
      <c r="J637" s="7">
        <f>'1 prepared data'!I630</f>
        <v/>
      </c>
      <c r="K637" s="7">
        <f>'1 prepared data'!J630</f>
        <v/>
      </c>
      <c r="L637" s="7">
        <f>'1 prepared data'!K630</f>
        <v/>
      </c>
      <c r="M637" s="7">
        <f>'1 prepared data'!L630</f>
        <v/>
      </c>
      <c r="N637" s="7">
        <f>'1 prepared data'!M630</f>
        <v/>
      </c>
      <c r="O637" s="7">
        <f>'1 prepared data'!N630</f>
        <v/>
      </c>
      <c r="P637" s="7">
        <f>'1 prepared data'!O630</f>
        <v/>
      </c>
      <c r="Q637" s="7">
        <f>'1 prepared data'!P630</f>
        <v/>
      </c>
      <c r="R637" s="7">
        <f>'1 prepared data'!Q630</f>
        <v/>
      </c>
      <c r="S637" s="7">
        <f>'1 prepared data'!R630</f>
        <v/>
      </c>
      <c r="T637" s="7">
        <f>'1 prepared data'!S630</f>
        <v/>
      </c>
      <c r="U637" s="7">
        <f>'1 prepared data'!T630</f>
        <v/>
      </c>
      <c r="V637" s="8">
        <f>$AC$12+D637*$AC$13+E637*$AC$14+F637*$AC$15+G637*$AC$16+H637*$AC$17+I637*$AC$18+J637*$AC$19+K637*$AC$20+L637*$AC$21+M637*$AC$22+N637*$AC$23+O637*$AC$24+P637*$AC$25+Q637*$AC$26+R637*$AC$27+S637*$AC$28+T637*$AC$29+U637*$AC$30</f>
        <v/>
      </c>
      <c r="W637" s="8">
        <f>1/(1+EXP(-V637))</f>
        <v/>
      </c>
      <c r="X637" s="9">
        <f>-IF(C637=1,LN(W637),LN(1-W637))</f>
        <v/>
      </c>
      <c r="Y637" s="10">
        <f>IF(W637&gt;$AC$33,1,0)</f>
        <v/>
      </c>
      <c r="Z637">
        <f>IF(Y637=C637,1,0)</f>
        <v/>
      </c>
    </row>
    <row r="638">
      <c r="A638">
        <f>'1 prepared data'!A631</f>
        <v/>
      </c>
      <c r="B638" s="5">
        <f>'1 prepared data'!U631</f>
        <v/>
      </c>
      <c r="C638">
        <f>'1 prepared data'!B631</f>
        <v/>
      </c>
      <c r="D638" s="7">
        <f>'1 prepared data'!C631</f>
        <v/>
      </c>
      <c r="E638" s="7">
        <f>'1 prepared data'!D631</f>
        <v/>
      </c>
      <c r="F638" s="7">
        <f>'1 prepared data'!E631</f>
        <v/>
      </c>
      <c r="G638" s="7">
        <f>'1 prepared data'!F631</f>
        <v/>
      </c>
      <c r="H638" s="7">
        <f>'1 prepared data'!G631</f>
        <v/>
      </c>
      <c r="I638" s="7">
        <f>'1 prepared data'!H631</f>
        <v/>
      </c>
      <c r="J638" s="7">
        <f>'1 prepared data'!I631</f>
        <v/>
      </c>
      <c r="K638" s="7">
        <f>'1 prepared data'!J631</f>
        <v/>
      </c>
      <c r="L638" s="7">
        <f>'1 prepared data'!K631</f>
        <v/>
      </c>
      <c r="M638" s="7">
        <f>'1 prepared data'!L631</f>
        <v/>
      </c>
      <c r="N638" s="7">
        <f>'1 prepared data'!M631</f>
        <v/>
      </c>
      <c r="O638" s="7">
        <f>'1 prepared data'!N631</f>
        <v/>
      </c>
      <c r="P638" s="7">
        <f>'1 prepared data'!O631</f>
        <v/>
      </c>
      <c r="Q638" s="7">
        <f>'1 prepared data'!P631</f>
        <v/>
      </c>
      <c r="R638" s="7">
        <f>'1 prepared data'!Q631</f>
        <v/>
      </c>
      <c r="S638" s="7">
        <f>'1 prepared data'!R631</f>
        <v/>
      </c>
      <c r="T638" s="7">
        <f>'1 prepared data'!S631</f>
        <v/>
      </c>
      <c r="U638" s="7">
        <f>'1 prepared data'!T631</f>
        <v/>
      </c>
      <c r="V638" s="8">
        <f>$AC$12+D638*$AC$13+E638*$AC$14+F638*$AC$15+G638*$AC$16+H638*$AC$17+I638*$AC$18+J638*$AC$19+K638*$AC$20+L638*$AC$21+M638*$AC$22+N638*$AC$23+O638*$AC$24+P638*$AC$25+Q638*$AC$26+R638*$AC$27+S638*$AC$28+T638*$AC$29+U638*$AC$30</f>
        <v/>
      </c>
      <c r="W638" s="8">
        <f>1/(1+EXP(-V638))</f>
        <v/>
      </c>
      <c r="X638" s="9">
        <f>-IF(C638=1,LN(W638),LN(1-W638))</f>
        <v/>
      </c>
      <c r="Y638" s="10">
        <f>IF(W638&gt;$AC$33,1,0)</f>
        <v/>
      </c>
      <c r="Z638">
        <f>IF(Y638=C638,1,0)</f>
        <v/>
      </c>
    </row>
    <row r="639">
      <c r="A639">
        <f>'1 prepared data'!A632</f>
        <v/>
      </c>
      <c r="B639" s="5">
        <f>'1 prepared data'!U632</f>
        <v/>
      </c>
      <c r="C639">
        <f>'1 prepared data'!B632</f>
        <v/>
      </c>
      <c r="D639" s="7">
        <f>'1 prepared data'!C632</f>
        <v/>
      </c>
      <c r="E639" s="7">
        <f>'1 prepared data'!D632</f>
        <v/>
      </c>
      <c r="F639" s="7">
        <f>'1 prepared data'!E632</f>
        <v/>
      </c>
      <c r="G639" s="7">
        <f>'1 prepared data'!F632</f>
        <v/>
      </c>
      <c r="H639" s="7">
        <f>'1 prepared data'!G632</f>
        <v/>
      </c>
      <c r="I639" s="7">
        <f>'1 prepared data'!H632</f>
        <v/>
      </c>
      <c r="J639" s="7">
        <f>'1 prepared data'!I632</f>
        <v/>
      </c>
      <c r="K639" s="7">
        <f>'1 prepared data'!J632</f>
        <v/>
      </c>
      <c r="L639" s="7">
        <f>'1 prepared data'!K632</f>
        <v/>
      </c>
      <c r="M639" s="7">
        <f>'1 prepared data'!L632</f>
        <v/>
      </c>
      <c r="N639" s="7">
        <f>'1 prepared data'!M632</f>
        <v/>
      </c>
      <c r="O639" s="7">
        <f>'1 prepared data'!N632</f>
        <v/>
      </c>
      <c r="P639" s="7">
        <f>'1 prepared data'!O632</f>
        <v/>
      </c>
      <c r="Q639" s="7">
        <f>'1 prepared data'!P632</f>
        <v/>
      </c>
      <c r="R639" s="7">
        <f>'1 prepared data'!Q632</f>
        <v/>
      </c>
      <c r="S639" s="7">
        <f>'1 prepared data'!R632</f>
        <v/>
      </c>
      <c r="T639" s="7">
        <f>'1 prepared data'!S632</f>
        <v/>
      </c>
      <c r="U639" s="7">
        <f>'1 prepared data'!T632</f>
        <v/>
      </c>
      <c r="V639" s="8">
        <f>$AC$12+D639*$AC$13+E639*$AC$14+F639*$AC$15+G639*$AC$16+H639*$AC$17+I639*$AC$18+J639*$AC$19+K639*$AC$20+L639*$AC$21+M639*$AC$22+N639*$AC$23+O639*$AC$24+P639*$AC$25+Q639*$AC$26+R639*$AC$27+S639*$AC$28+T639*$AC$29+U639*$AC$30</f>
        <v/>
      </c>
      <c r="W639" s="8">
        <f>1/(1+EXP(-V639))</f>
        <v/>
      </c>
      <c r="X639" s="9">
        <f>-IF(C639=1,LN(W639),LN(1-W639))</f>
        <v/>
      </c>
      <c r="Y639" s="10">
        <f>IF(W639&gt;$AC$33,1,0)</f>
        <v/>
      </c>
      <c r="Z639">
        <f>IF(Y639=C639,1,0)</f>
        <v/>
      </c>
    </row>
    <row r="640">
      <c r="A640">
        <f>'1 prepared data'!A633</f>
        <v/>
      </c>
      <c r="B640" s="5">
        <f>'1 prepared data'!U633</f>
        <v/>
      </c>
      <c r="C640">
        <f>'1 prepared data'!B633</f>
        <v/>
      </c>
      <c r="D640" s="7">
        <f>'1 prepared data'!C633</f>
        <v/>
      </c>
      <c r="E640" s="7">
        <f>'1 prepared data'!D633</f>
        <v/>
      </c>
      <c r="F640" s="7">
        <f>'1 prepared data'!E633</f>
        <v/>
      </c>
      <c r="G640" s="7">
        <f>'1 prepared data'!F633</f>
        <v/>
      </c>
      <c r="H640" s="7">
        <f>'1 prepared data'!G633</f>
        <v/>
      </c>
      <c r="I640" s="7">
        <f>'1 prepared data'!H633</f>
        <v/>
      </c>
      <c r="J640" s="7">
        <f>'1 prepared data'!I633</f>
        <v/>
      </c>
      <c r="K640" s="7">
        <f>'1 prepared data'!J633</f>
        <v/>
      </c>
      <c r="L640" s="7">
        <f>'1 prepared data'!K633</f>
        <v/>
      </c>
      <c r="M640" s="7">
        <f>'1 prepared data'!L633</f>
        <v/>
      </c>
      <c r="N640" s="7">
        <f>'1 prepared data'!M633</f>
        <v/>
      </c>
      <c r="O640" s="7">
        <f>'1 prepared data'!N633</f>
        <v/>
      </c>
      <c r="P640" s="7">
        <f>'1 prepared data'!O633</f>
        <v/>
      </c>
      <c r="Q640" s="7">
        <f>'1 prepared data'!P633</f>
        <v/>
      </c>
      <c r="R640" s="7">
        <f>'1 prepared data'!Q633</f>
        <v/>
      </c>
      <c r="S640" s="7">
        <f>'1 prepared data'!R633</f>
        <v/>
      </c>
      <c r="T640" s="7">
        <f>'1 prepared data'!S633</f>
        <v/>
      </c>
      <c r="U640" s="7">
        <f>'1 prepared data'!T633</f>
        <v/>
      </c>
      <c r="V640" s="8">
        <f>$AC$12+D640*$AC$13+E640*$AC$14+F640*$AC$15+G640*$AC$16+H640*$AC$17+I640*$AC$18+J640*$AC$19+K640*$AC$20+L640*$AC$21+M640*$AC$22+N640*$AC$23+O640*$AC$24+P640*$AC$25+Q640*$AC$26+R640*$AC$27+S640*$AC$28+T640*$AC$29+U640*$AC$30</f>
        <v/>
      </c>
      <c r="W640" s="8">
        <f>1/(1+EXP(-V640))</f>
        <v/>
      </c>
      <c r="X640" s="9">
        <f>-IF(C640=1,LN(W640),LN(1-W640))</f>
        <v/>
      </c>
      <c r="Y640" s="10">
        <f>IF(W640&gt;$AC$33,1,0)</f>
        <v/>
      </c>
      <c r="Z640">
        <f>IF(Y640=C640,1,0)</f>
        <v/>
      </c>
    </row>
    <row r="641">
      <c r="A641">
        <f>'1 prepared data'!A634</f>
        <v/>
      </c>
      <c r="B641" s="5">
        <f>'1 prepared data'!U634</f>
        <v/>
      </c>
      <c r="C641">
        <f>'1 prepared data'!B634</f>
        <v/>
      </c>
      <c r="D641" s="7">
        <f>'1 prepared data'!C634</f>
        <v/>
      </c>
      <c r="E641" s="7">
        <f>'1 prepared data'!D634</f>
        <v/>
      </c>
      <c r="F641" s="7">
        <f>'1 prepared data'!E634</f>
        <v/>
      </c>
      <c r="G641" s="7">
        <f>'1 prepared data'!F634</f>
        <v/>
      </c>
      <c r="H641" s="7">
        <f>'1 prepared data'!G634</f>
        <v/>
      </c>
      <c r="I641" s="7">
        <f>'1 prepared data'!H634</f>
        <v/>
      </c>
      <c r="J641" s="7">
        <f>'1 prepared data'!I634</f>
        <v/>
      </c>
      <c r="K641" s="7">
        <f>'1 prepared data'!J634</f>
        <v/>
      </c>
      <c r="L641" s="7">
        <f>'1 prepared data'!K634</f>
        <v/>
      </c>
      <c r="M641" s="7">
        <f>'1 prepared data'!L634</f>
        <v/>
      </c>
      <c r="N641" s="7">
        <f>'1 prepared data'!M634</f>
        <v/>
      </c>
      <c r="O641" s="7">
        <f>'1 prepared data'!N634</f>
        <v/>
      </c>
      <c r="P641" s="7">
        <f>'1 prepared data'!O634</f>
        <v/>
      </c>
      <c r="Q641" s="7">
        <f>'1 prepared data'!P634</f>
        <v/>
      </c>
      <c r="R641" s="7">
        <f>'1 prepared data'!Q634</f>
        <v/>
      </c>
      <c r="S641" s="7">
        <f>'1 prepared data'!R634</f>
        <v/>
      </c>
      <c r="T641" s="7">
        <f>'1 prepared data'!S634</f>
        <v/>
      </c>
      <c r="U641" s="7">
        <f>'1 prepared data'!T634</f>
        <v/>
      </c>
      <c r="V641" s="8">
        <f>$AC$12+D641*$AC$13+E641*$AC$14+F641*$AC$15+G641*$AC$16+H641*$AC$17+I641*$AC$18+J641*$AC$19+K641*$AC$20+L641*$AC$21+M641*$AC$22+N641*$AC$23+O641*$AC$24+P641*$AC$25+Q641*$AC$26+R641*$AC$27+S641*$AC$28+T641*$AC$29+U641*$AC$30</f>
        <v/>
      </c>
      <c r="W641" s="8">
        <f>1/(1+EXP(-V641))</f>
        <v/>
      </c>
      <c r="X641" s="9">
        <f>-IF(C641=1,LN(W641),LN(1-W641))</f>
        <v/>
      </c>
      <c r="Y641" s="10">
        <f>IF(W641&gt;$AC$33,1,0)</f>
        <v/>
      </c>
      <c r="Z641">
        <f>IF(Y641=C641,1,0)</f>
        <v/>
      </c>
    </row>
    <row r="642">
      <c r="A642">
        <f>'1 prepared data'!A635</f>
        <v/>
      </c>
      <c r="B642" s="5">
        <f>'1 prepared data'!U635</f>
        <v/>
      </c>
      <c r="C642">
        <f>'1 prepared data'!B635</f>
        <v/>
      </c>
      <c r="D642" s="7">
        <f>'1 prepared data'!C635</f>
        <v/>
      </c>
      <c r="E642" s="7">
        <f>'1 prepared data'!D635</f>
        <v/>
      </c>
      <c r="F642" s="7">
        <f>'1 prepared data'!E635</f>
        <v/>
      </c>
      <c r="G642" s="7">
        <f>'1 prepared data'!F635</f>
        <v/>
      </c>
      <c r="H642" s="7">
        <f>'1 prepared data'!G635</f>
        <v/>
      </c>
      <c r="I642" s="7">
        <f>'1 prepared data'!H635</f>
        <v/>
      </c>
      <c r="J642" s="7">
        <f>'1 prepared data'!I635</f>
        <v/>
      </c>
      <c r="K642" s="7">
        <f>'1 prepared data'!J635</f>
        <v/>
      </c>
      <c r="L642" s="7">
        <f>'1 prepared data'!K635</f>
        <v/>
      </c>
      <c r="M642" s="7">
        <f>'1 prepared data'!L635</f>
        <v/>
      </c>
      <c r="N642" s="7">
        <f>'1 prepared data'!M635</f>
        <v/>
      </c>
      <c r="O642" s="7">
        <f>'1 prepared data'!N635</f>
        <v/>
      </c>
      <c r="P642" s="7">
        <f>'1 prepared data'!O635</f>
        <v/>
      </c>
      <c r="Q642" s="7">
        <f>'1 prepared data'!P635</f>
        <v/>
      </c>
      <c r="R642" s="7">
        <f>'1 prepared data'!Q635</f>
        <v/>
      </c>
      <c r="S642" s="7">
        <f>'1 prepared data'!R635</f>
        <v/>
      </c>
      <c r="T642" s="7">
        <f>'1 prepared data'!S635</f>
        <v/>
      </c>
      <c r="U642" s="7">
        <f>'1 prepared data'!T635</f>
        <v/>
      </c>
      <c r="V642" s="8">
        <f>$AC$12+D642*$AC$13+E642*$AC$14+F642*$AC$15+G642*$AC$16+H642*$AC$17+I642*$AC$18+J642*$AC$19+K642*$AC$20+L642*$AC$21+M642*$AC$22+N642*$AC$23+O642*$AC$24+P642*$AC$25+Q642*$AC$26+R642*$AC$27+S642*$AC$28+T642*$AC$29+U642*$AC$30</f>
        <v/>
      </c>
      <c r="W642" s="8">
        <f>1/(1+EXP(-V642))</f>
        <v/>
      </c>
      <c r="X642" s="9">
        <f>-IF(C642=1,LN(W642),LN(1-W642))</f>
        <v/>
      </c>
      <c r="Y642" s="10">
        <f>IF(W642&gt;$AC$33,1,0)</f>
        <v/>
      </c>
      <c r="Z642">
        <f>IF(Y642=C642,1,0)</f>
        <v/>
      </c>
    </row>
    <row r="643">
      <c r="A643">
        <f>'1 prepared data'!A636</f>
        <v/>
      </c>
      <c r="B643" s="5">
        <f>'1 prepared data'!U636</f>
        <v/>
      </c>
      <c r="C643">
        <f>'1 prepared data'!B636</f>
        <v/>
      </c>
      <c r="D643" s="7">
        <f>'1 prepared data'!C636</f>
        <v/>
      </c>
      <c r="E643" s="7">
        <f>'1 prepared data'!D636</f>
        <v/>
      </c>
      <c r="F643" s="7">
        <f>'1 prepared data'!E636</f>
        <v/>
      </c>
      <c r="G643" s="7">
        <f>'1 prepared data'!F636</f>
        <v/>
      </c>
      <c r="H643" s="7">
        <f>'1 prepared data'!G636</f>
        <v/>
      </c>
      <c r="I643" s="7">
        <f>'1 prepared data'!H636</f>
        <v/>
      </c>
      <c r="J643" s="7">
        <f>'1 prepared data'!I636</f>
        <v/>
      </c>
      <c r="K643" s="7">
        <f>'1 prepared data'!J636</f>
        <v/>
      </c>
      <c r="L643" s="7">
        <f>'1 prepared data'!K636</f>
        <v/>
      </c>
      <c r="M643" s="7">
        <f>'1 prepared data'!L636</f>
        <v/>
      </c>
      <c r="N643" s="7">
        <f>'1 prepared data'!M636</f>
        <v/>
      </c>
      <c r="O643" s="7">
        <f>'1 prepared data'!N636</f>
        <v/>
      </c>
      <c r="P643" s="7">
        <f>'1 prepared data'!O636</f>
        <v/>
      </c>
      <c r="Q643" s="7">
        <f>'1 prepared data'!P636</f>
        <v/>
      </c>
      <c r="R643" s="7">
        <f>'1 prepared data'!Q636</f>
        <v/>
      </c>
      <c r="S643" s="7">
        <f>'1 prepared data'!R636</f>
        <v/>
      </c>
      <c r="T643" s="7">
        <f>'1 prepared data'!S636</f>
        <v/>
      </c>
      <c r="U643" s="7">
        <f>'1 prepared data'!T636</f>
        <v/>
      </c>
      <c r="V643" s="8">
        <f>$AC$12+D643*$AC$13+E643*$AC$14+F643*$AC$15+G643*$AC$16+H643*$AC$17+I643*$AC$18+J643*$AC$19+K643*$AC$20+L643*$AC$21+M643*$AC$22+N643*$AC$23+O643*$AC$24+P643*$AC$25+Q643*$AC$26+R643*$AC$27+S643*$AC$28+T643*$AC$29+U643*$AC$30</f>
        <v/>
      </c>
      <c r="W643" s="8">
        <f>1/(1+EXP(-V643))</f>
        <v/>
      </c>
      <c r="X643" s="9">
        <f>-IF(C643=1,LN(W643),LN(1-W643))</f>
        <v/>
      </c>
      <c r="Y643" s="10">
        <f>IF(W643&gt;$AC$33,1,0)</f>
        <v/>
      </c>
      <c r="Z643">
        <f>IF(Y643=C643,1,0)</f>
        <v/>
      </c>
    </row>
    <row r="644">
      <c r="A644">
        <f>'1 prepared data'!A637</f>
        <v/>
      </c>
      <c r="B644" s="5">
        <f>'1 prepared data'!U637</f>
        <v/>
      </c>
      <c r="C644">
        <f>'1 prepared data'!B637</f>
        <v/>
      </c>
      <c r="D644" s="7">
        <f>'1 prepared data'!C637</f>
        <v/>
      </c>
      <c r="E644" s="7">
        <f>'1 prepared data'!D637</f>
        <v/>
      </c>
      <c r="F644" s="7">
        <f>'1 prepared data'!E637</f>
        <v/>
      </c>
      <c r="G644" s="7">
        <f>'1 prepared data'!F637</f>
        <v/>
      </c>
      <c r="H644" s="7">
        <f>'1 prepared data'!G637</f>
        <v/>
      </c>
      <c r="I644" s="7">
        <f>'1 prepared data'!H637</f>
        <v/>
      </c>
      <c r="J644" s="7">
        <f>'1 prepared data'!I637</f>
        <v/>
      </c>
      <c r="K644" s="7">
        <f>'1 prepared data'!J637</f>
        <v/>
      </c>
      <c r="L644" s="7">
        <f>'1 prepared data'!K637</f>
        <v/>
      </c>
      <c r="M644" s="7">
        <f>'1 prepared data'!L637</f>
        <v/>
      </c>
      <c r="N644" s="7">
        <f>'1 prepared data'!M637</f>
        <v/>
      </c>
      <c r="O644" s="7">
        <f>'1 prepared data'!N637</f>
        <v/>
      </c>
      <c r="P644" s="7">
        <f>'1 prepared data'!O637</f>
        <v/>
      </c>
      <c r="Q644" s="7">
        <f>'1 prepared data'!P637</f>
        <v/>
      </c>
      <c r="R644" s="7">
        <f>'1 prepared data'!Q637</f>
        <v/>
      </c>
      <c r="S644" s="7">
        <f>'1 prepared data'!R637</f>
        <v/>
      </c>
      <c r="T644" s="7">
        <f>'1 prepared data'!S637</f>
        <v/>
      </c>
      <c r="U644" s="7">
        <f>'1 prepared data'!T637</f>
        <v/>
      </c>
      <c r="V644" s="8">
        <f>$AC$12+D644*$AC$13+E644*$AC$14+F644*$AC$15+G644*$AC$16+H644*$AC$17+I644*$AC$18+J644*$AC$19+K644*$AC$20+L644*$AC$21+M644*$AC$22+N644*$AC$23+O644*$AC$24+P644*$AC$25+Q644*$AC$26+R644*$AC$27+S644*$AC$28+T644*$AC$29+U644*$AC$30</f>
        <v/>
      </c>
      <c r="W644" s="8">
        <f>1/(1+EXP(-V644))</f>
        <v/>
      </c>
      <c r="X644" s="9">
        <f>-IF(C644=1,LN(W644),LN(1-W644))</f>
        <v/>
      </c>
      <c r="Y644" s="10">
        <f>IF(W644&gt;$AC$33,1,0)</f>
        <v/>
      </c>
      <c r="Z644">
        <f>IF(Y644=C644,1,0)</f>
        <v/>
      </c>
    </row>
    <row r="645">
      <c r="A645">
        <f>'1 prepared data'!A638</f>
        <v/>
      </c>
      <c r="B645" s="5">
        <f>'1 prepared data'!U638</f>
        <v/>
      </c>
      <c r="C645">
        <f>'1 prepared data'!B638</f>
        <v/>
      </c>
      <c r="D645" s="7">
        <f>'1 prepared data'!C638</f>
        <v/>
      </c>
      <c r="E645" s="7">
        <f>'1 prepared data'!D638</f>
        <v/>
      </c>
      <c r="F645" s="7">
        <f>'1 prepared data'!E638</f>
        <v/>
      </c>
      <c r="G645" s="7">
        <f>'1 prepared data'!F638</f>
        <v/>
      </c>
      <c r="H645" s="7">
        <f>'1 prepared data'!G638</f>
        <v/>
      </c>
      <c r="I645" s="7">
        <f>'1 prepared data'!H638</f>
        <v/>
      </c>
      <c r="J645" s="7">
        <f>'1 prepared data'!I638</f>
        <v/>
      </c>
      <c r="K645" s="7">
        <f>'1 prepared data'!J638</f>
        <v/>
      </c>
      <c r="L645" s="7">
        <f>'1 prepared data'!K638</f>
        <v/>
      </c>
      <c r="M645" s="7">
        <f>'1 prepared data'!L638</f>
        <v/>
      </c>
      <c r="N645" s="7">
        <f>'1 prepared data'!M638</f>
        <v/>
      </c>
      <c r="O645" s="7">
        <f>'1 prepared data'!N638</f>
        <v/>
      </c>
      <c r="P645" s="7">
        <f>'1 prepared data'!O638</f>
        <v/>
      </c>
      <c r="Q645" s="7">
        <f>'1 prepared data'!P638</f>
        <v/>
      </c>
      <c r="R645" s="7">
        <f>'1 prepared data'!Q638</f>
        <v/>
      </c>
      <c r="S645" s="7">
        <f>'1 prepared data'!R638</f>
        <v/>
      </c>
      <c r="T645" s="7">
        <f>'1 prepared data'!S638</f>
        <v/>
      </c>
      <c r="U645" s="7">
        <f>'1 prepared data'!T638</f>
        <v/>
      </c>
      <c r="V645" s="8">
        <f>$AC$12+D645*$AC$13+E645*$AC$14+F645*$AC$15+G645*$AC$16+H645*$AC$17+I645*$AC$18+J645*$AC$19+K645*$AC$20+L645*$AC$21+M645*$AC$22+N645*$AC$23+O645*$AC$24+P645*$AC$25+Q645*$AC$26+R645*$AC$27+S645*$AC$28+T645*$AC$29+U645*$AC$30</f>
        <v/>
      </c>
      <c r="W645" s="8">
        <f>1/(1+EXP(-V645))</f>
        <v/>
      </c>
      <c r="X645" s="9">
        <f>-IF(C645=1,LN(W645),LN(1-W645))</f>
        <v/>
      </c>
      <c r="Y645" s="10">
        <f>IF(W645&gt;$AC$33,1,0)</f>
        <v/>
      </c>
      <c r="Z645">
        <f>IF(Y645=C645,1,0)</f>
        <v/>
      </c>
    </row>
    <row r="646">
      <c r="A646">
        <f>'1 prepared data'!A639</f>
        <v/>
      </c>
      <c r="B646" s="5">
        <f>'1 prepared data'!U639</f>
        <v/>
      </c>
      <c r="C646">
        <f>'1 prepared data'!B639</f>
        <v/>
      </c>
      <c r="D646" s="7">
        <f>'1 prepared data'!C639</f>
        <v/>
      </c>
      <c r="E646" s="7">
        <f>'1 prepared data'!D639</f>
        <v/>
      </c>
      <c r="F646" s="7">
        <f>'1 prepared data'!E639</f>
        <v/>
      </c>
      <c r="G646" s="7">
        <f>'1 prepared data'!F639</f>
        <v/>
      </c>
      <c r="H646" s="7">
        <f>'1 prepared data'!G639</f>
        <v/>
      </c>
      <c r="I646" s="7">
        <f>'1 prepared data'!H639</f>
        <v/>
      </c>
      <c r="J646" s="7">
        <f>'1 prepared data'!I639</f>
        <v/>
      </c>
      <c r="K646" s="7">
        <f>'1 prepared data'!J639</f>
        <v/>
      </c>
      <c r="L646" s="7">
        <f>'1 prepared data'!K639</f>
        <v/>
      </c>
      <c r="M646" s="7">
        <f>'1 prepared data'!L639</f>
        <v/>
      </c>
      <c r="N646" s="7">
        <f>'1 prepared data'!M639</f>
        <v/>
      </c>
      <c r="O646" s="7">
        <f>'1 prepared data'!N639</f>
        <v/>
      </c>
      <c r="P646" s="7">
        <f>'1 prepared data'!O639</f>
        <v/>
      </c>
      <c r="Q646" s="7">
        <f>'1 prepared data'!P639</f>
        <v/>
      </c>
      <c r="R646" s="7">
        <f>'1 prepared data'!Q639</f>
        <v/>
      </c>
      <c r="S646" s="7">
        <f>'1 prepared data'!R639</f>
        <v/>
      </c>
      <c r="T646" s="7">
        <f>'1 prepared data'!S639</f>
        <v/>
      </c>
      <c r="U646" s="7">
        <f>'1 prepared data'!T639</f>
        <v/>
      </c>
      <c r="V646" s="8">
        <f>$AC$12+D646*$AC$13+E646*$AC$14+F646*$AC$15+G646*$AC$16+H646*$AC$17+I646*$AC$18+J646*$AC$19+K646*$AC$20+L646*$AC$21+M646*$AC$22+N646*$AC$23+O646*$AC$24+P646*$AC$25+Q646*$AC$26+R646*$AC$27+S646*$AC$28+T646*$AC$29+U646*$AC$30</f>
        <v/>
      </c>
      <c r="W646" s="8">
        <f>1/(1+EXP(-V646))</f>
        <v/>
      </c>
      <c r="X646" s="9">
        <f>-IF(C646=1,LN(W646),LN(1-W646))</f>
        <v/>
      </c>
      <c r="Y646" s="10">
        <f>IF(W646&gt;$AC$33,1,0)</f>
        <v/>
      </c>
      <c r="Z646">
        <f>IF(Y646=C646,1,0)</f>
        <v/>
      </c>
    </row>
    <row r="647">
      <c r="A647">
        <f>'1 prepared data'!A640</f>
        <v/>
      </c>
      <c r="B647" s="5">
        <f>'1 prepared data'!U640</f>
        <v/>
      </c>
      <c r="C647">
        <f>'1 prepared data'!B640</f>
        <v/>
      </c>
      <c r="D647" s="7">
        <f>'1 prepared data'!C640</f>
        <v/>
      </c>
      <c r="E647" s="7">
        <f>'1 prepared data'!D640</f>
        <v/>
      </c>
      <c r="F647" s="7">
        <f>'1 prepared data'!E640</f>
        <v/>
      </c>
      <c r="G647" s="7">
        <f>'1 prepared data'!F640</f>
        <v/>
      </c>
      <c r="H647" s="7">
        <f>'1 prepared data'!G640</f>
        <v/>
      </c>
      <c r="I647" s="7">
        <f>'1 prepared data'!H640</f>
        <v/>
      </c>
      <c r="J647" s="7">
        <f>'1 prepared data'!I640</f>
        <v/>
      </c>
      <c r="K647" s="7">
        <f>'1 prepared data'!J640</f>
        <v/>
      </c>
      <c r="L647" s="7">
        <f>'1 prepared data'!K640</f>
        <v/>
      </c>
      <c r="M647" s="7">
        <f>'1 prepared data'!L640</f>
        <v/>
      </c>
      <c r="N647" s="7">
        <f>'1 prepared data'!M640</f>
        <v/>
      </c>
      <c r="O647" s="7">
        <f>'1 prepared data'!N640</f>
        <v/>
      </c>
      <c r="P647" s="7">
        <f>'1 prepared data'!O640</f>
        <v/>
      </c>
      <c r="Q647" s="7">
        <f>'1 prepared data'!P640</f>
        <v/>
      </c>
      <c r="R647" s="7">
        <f>'1 prepared data'!Q640</f>
        <v/>
      </c>
      <c r="S647" s="7">
        <f>'1 prepared data'!R640</f>
        <v/>
      </c>
      <c r="T647" s="7">
        <f>'1 prepared data'!S640</f>
        <v/>
      </c>
      <c r="U647" s="7">
        <f>'1 prepared data'!T640</f>
        <v/>
      </c>
      <c r="V647" s="8">
        <f>$AC$12+D647*$AC$13+E647*$AC$14+F647*$AC$15+G647*$AC$16+H647*$AC$17+I647*$AC$18+J647*$AC$19+K647*$AC$20+L647*$AC$21+M647*$AC$22+N647*$AC$23+O647*$AC$24+P647*$AC$25+Q647*$AC$26+R647*$AC$27+S647*$AC$28+T647*$AC$29+U647*$AC$30</f>
        <v/>
      </c>
      <c r="W647" s="8">
        <f>1/(1+EXP(-V647))</f>
        <v/>
      </c>
      <c r="X647" s="9">
        <f>-IF(C647=1,LN(W647),LN(1-W647))</f>
        <v/>
      </c>
      <c r="Y647" s="10">
        <f>IF(W647&gt;$AC$33,1,0)</f>
        <v/>
      </c>
      <c r="Z647">
        <f>IF(Y647=C647,1,0)</f>
        <v/>
      </c>
    </row>
    <row r="648">
      <c r="A648">
        <f>'1 prepared data'!A641</f>
        <v/>
      </c>
      <c r="B648" s="5">
        <f>'1 prepared data'!U641</f>
        <v/>
      </c>
      <c r="C648">
        <f>'1 prepared data'!B641</f>
        <v/>
      </c>
      <c r="D648" s="7">
        <f>'1 prepared data'!C641</f>
        <v/>
      </c>
      <c r="E648" s="7">
        <f>'1 prepared data'!D641</f>
        <v/>
      </c>
      <c r="F648" s="7">
        <f>'1 prepared data'!E641</f>
        <v/>
      </c>
      <c r="G648" s="7">
        <f>'1 prepared data'!F641</f>
        <v/>
      </c>
      <c r="H648" s="7">
        <f>'1 prepared data'!G641</f>
        <v/>
      </c>
      <c r="I648" s="7">
        <f>'1 prepared data'!H641</f>
        <v/>
      </c>
      <c r="J648" s="7">
        <f>'1 prepared data'!I641</f>
        <v/>
      </c>
      <c r="K648" s="7">
        <f>'1 prepared data'!J641</f>
        <v/>
      </c>
      <c r="L648" s="7">
        <f>'1 prepared data'!K641</f>
        <v/>
      </c>
      <c r="M648" s="7">
        <f>'1 prepared data'!L641</f>
        <v/>
      </c>
      <c r="N648" s="7">
        <f>'1 prepared data'!M641</f>
        <v/>
      </c>
      <c r="O648" s="7">
        <f>'1 prepared data'!N641</f>
        <v/>
      </c>
      <c r="P648" s="7">
        <f>'1 prepared data'!O641</f>
        <v/>
      </c>
      <c r="Q648" s="7">
        <f>'1 prepared data'!P641</f>
        <v/>
      </c>
      <c r="R648" s="7">
        <f>'1 prepared data'!Q641</f>
        <v/>
      </c>
      <c r="S648" s="7">
        <f>'1 prepared data'!R641</f>
        <v/>
      </c>
      <c r="T648" s="7">
        <f>'1 prepared data'!S641</f>
        <v/>
      </c>
      <c r="U648" s="7">
        <f>'1 prepared data'!T641</f>
        <v/>
      </c>
      <c r="V648" s="8">
        <f>$AC$12+D648*$AC$13+E648*$AC$14+F648*$AC$15+G648*$AC$16+H648*$AC$17+I648*$AC$18+J648*$AC$19+K648*$AC$20+L648*$AC$21+M648*$AC$22+N648*$AC$23+O648*$AC$24+P648*$AC$25+Q648*$AC$26+R648*$AC$27+S648*$AC$28+T648*$AC$29+U648*$AC$30</f>
        <v/>
      </c>
      <c r="W648" s="8">
        <f>1/(1+EXP(-V648))</f>
        <v/>
      </c>
      <c r="X648" s="9">
        <f>-IF(C648=1,LN(W648),LN(1-W648))</f>
        <v/>
      </c>
      <c r="Y648" s="10">
        <f>IF(W648&gt;$AC$33,1,0)</f>
        <v/>
      </c>
      <c r="Z648">
        <f>IF(Y648=C648,1,0)</f>
        <v/>
      </c>
    </row>
    <row r="649">
      <c r="A649">
        <f>'1 prepared data'!A642</f>
        <v/>
      </c>
      <c r="B649" s="5">
        <f>'1 prepared data'!U642</f>
        <v/>
      </c>
      <c r="C649">
        <f>'1 prepared data'!B642</f>
        <v/>
      </c>
      <c r="D649" s="7">
        <f>'1 prepared data'!C642</f>
        <v/>
      </c>
      <c r="E649" s="7">
        <f>'1 prepared data'!D642</f>
        <v/>
      </c>
      <c r="F649" s="7">
        <f>'1 prepared data'!E642</f>
        <v/>
      </c>
      <c r="G649" s="7">
        <f>'1 prepared data'!F642</f>
        <v/>
      </c>
      <c r="H649" s="7">
        <f>'1 prepared data'!G642</f>
        <v/>
      </c>
      <c r="I649" s="7">
        <f>'1 prepared data'!H642</f>
        <v/>
      </c>
      <c r="J649" s="7">
        <f>'1 prepared data'!I642</f>
        <v/>
      </c>
      <c r="K649" s="7">
        <f>'1 prepared data'!J642</f>
        <v/>
      </c>
      <c r="L649" s="7">
        <f>'1 prepared data'!K642</f>
        <v/>
      </c>
      <c r="M649" s="7">
        <f>'1 prepared data'!L642</f>
        <v/>
      </c>
      <c r="N649" s="7">
        <f>'1 prepared data'!M642</f>
        <v/>
      </c>
      <c r="O649" s="7">
        <f>'1 prepared data'!N642</f>
        <v/>
      </c>
      <c r="P649" s="7">
        <f>'1 prepared data'!O642</f>
        <v/>
      </c>
      <c r="Q649" s="7">
        <f>'1 prepared data'!P642</f>
        <v/>
      </c>
      <c r="R649" s="7">
        <f>'1 prepared data'!Q642</f>
        <v/>
      </c>
      <c r="S649" s="7">
        <f>'1 prepared data'!R642</f>
        <v/>
      </c>
      <c r="T649" s="7">
        <f>'1 prepared data'!S642</f>
        <v/>
      </c>
      <c r="U649" s="7">
        <f>'1 prepared data'!T642</f>
        <v/>
      </c>
      <c r="V649" s="8">
        <f>$AC$12+D649*$AC$13+E649*$AC$14+F649*$AC$15+G649*$AC$16+H649*$AC$17+I649*$AC$18+J649*$AC$19+K649*$AC$20+L649*$AC$21+M649*$AC$22+N649*$AC$23+O649*$AC$24+P649*$AC$25+Q649*$AC$26+R649*$AC$27+S649*$AC$28+T649*$AC$29+U649*$AC$30</f>
        <v/>
      </c>
      <c r="W649" s="8">
        <f>1/(1+EXP(-V649))</f>
        <v/>
      </c>
      <c r="X649" s="9">
        <f>-IF(C649=1,LN(W649),LN(1-W649))</f>
        <v/>
      </c>
      <c r="Y649" s="10">
        <f>IF(W649&gt;$AC$33,1,0)</f>
        <v/>
      </c>
      <c r="Z649">
        <f>IF(Y649=C649,1,0)</f>
        <v/>
      </c>
    </row>
    <row r="650">
      <c r="A650">
        <f>'1 prepared data'!A643</f>
        <v/>
      </c>
      <c r="B650" s="5">
        <f>'1 prepared data'!U643</f>
        <v/>
      </c>
      <c r="C650">
        <f>'1 prepared data'!B643</f>
        <v/>
      </c>
      <c r="D650" s="7">
        <f>'1 prepared data'!C643</f>
        <v/>
      </c>
      <c r="E650" s="7">
        <f>'1 prepared data'!D643</f>
        <v/>
      </c>
      <c r="F650" s="7">
        <f>'1 prepared data'!E643</f>
        <v/>
      </c>
      <c r="G650" s="7">
        <f>'1 prepared data'!F643</f>
        <v/>
      </c>
      <c r="H650" s="7">
        <f>'1 prepared data'!G643</f>
        <v/>
      </c>
      <c r="I650" s="7">
        <f>'1 prepared data'!H643</f>
        <v/>
      </c>
      <c r="J650" s="7">
        <f>'1 prepared data'!I643</f>
        <v/>
      </c>
      <c r="K650" s="7">
        <f>'1 prepared data'!J643</f>
        <v/>
      </c>
      <c r="L650" s="7">
        <f>'1 prepared data'!K643</f>
        <v/>
      </c>
      <c r="M650" s="7">
        <f>'1 prepared data'!L643</f>
        <v/>
      </c>
      <c r="N650" s="7">
        <f>'1 prepared data'!M643</f>
        <v/>
      </c>
      <c r="O650" s="7">
        <f>'1 prepared data'!N643</f>
        <v/>
      </c>
      <c r="P650" s="7">
        <f>'1 prepared data'!O643</f>
        <v/>
      </c>
      <c r="Q650" s="7">
        <f>'1 prepared data'!P643</f>
        <v/>
      </c>
      <c r="R650" s="7">
        <f>'1 prepared data'!Q643</f>
        <v/>
      </c>
      <c r="S650" s="7">
        <f>'1 prepared data'!R643</f>
        <v/>
      </c>
      <c r="T650" s="7">
        <f>'1 prepared data'!S643</f>
        <v/>
      </c>
      <c r="U650" s="7">
        <f>'1 prepared data'!T643</f>
        <v/>
      </c>
      <c r="V650" s="8">
        <f>$AC$12+D650*$AC$13+E650*$AC$14+F650*$AC$15+G650*$AC$16+H650*$AC$17+I650*$AC$18+J650*$AC$19+K650*$AC$20+L650*$AC$21+M650*$AC$22+N650*$AC$23+O650*$AC$24+P650*$AC$25+Q650*$AC$26+R650*$AC$27+S650*$AC$28+T650*$AC$29+U650*$AC$30</f>
        <v/>
      </c>
      <c r="W650" s="8">
        <f>1/(1+EXP(-V650))</f>
        <v/>
      </c>
      <c r="X650" s="9">
        <f>-IF(C650=1,LN(W650),LN(1-W650))</f>
        <v/>
      </c>
      <c r="Y650" s="10">
        <f>IF(W650&gt;$AC$33,1,0)</f>
        <v/>
      </c>
      <c r="Z650">
        <f>IF(Y650=C650,1,0)</f>
        <v/>
      </c>
    </row>
    <row r="651">
      <c r="A651">
        <f>'1 prepared data'!A644</f>
        <v/>
      </c>
      <c r="B651" s="5">
        <f>'1 prepared data'!U644</f>
        <v/>
      </c>
      <c r="C651">
        <f>'1 prepared data'!B644</f>
        <v/>
      </c>
      <c r="D651" s="7">
        <f>'1 prepared data'!C644</f>
        <v/>
      </c>
      <c r="E651" s="7">
        <f>'1 prepared data'!D644</f>
        <v/>
      </c>
      <c r="F651" s="7">
        <f>'1 prepared data'!E644</f>
        <v/>
      </c>
      <c r="G651" s="7">
        <f>'1 prepared data'!F644</f>
        <v/>
      </c>
      <c r="H651" s="7">
        <f>'1 prepared data'!G644</f>
        <v/>
      </c>
      <c r="I651" s="7">
        <f>'1 prepared data'!H644</f>
        <v/>
      </c>
      <c r="J651" s="7">
        <f>'1 prepared data'!I644</f>
        <v/>
      </c>
      <c r="K651" s="7">
        <f>'1 prepared data'!J644</f>
        <v/>
      </c>
      <c r="L651" s="7">
        <f>'1 prepared data'!K644</f>
        <v/>
      </c>
      <c r="M651" s="7">
        <f>'1 prepared data'!L644</f>
        <v/>
      </c>
      <c r="N651" s="7">
        <f>'1 prepared data'!M644</f>
        <v/>
      </c>
      <c r="O651" s="7">
        <f>'1 prepared data'!N644</f>
        <v/>
      </c>
      <c r="P651" s="7">
        <f>'1 prepared data'!O644</f>
        <v/>
      </c>
      <c r="Q651" s="7">
        <f>'1 prepared data'!P644</f>
        <v/>
      </c>
      <c r="R651" s="7">
        <f>'1 prepared data'!Q644</f>
        <v/>
      </c>
      <c r="S651" s="7">
        <f>'1 prepared data'!R644</f>
        <v/>
      </c>
      <c r="T651" s="7">
        <f>'1 prepared data'!S644</f>
        <v/>
      </c>
      <c r="U651" s="7">
        <f>'1 prepared data'!T644</f>
        <v/>
      </c>
      <c r="V651" s="8">
        <f>$AC$12+D651*$AC$13+E651*$AC$14+F651*$AC$15+G651*$AC$16+H651*$AC$17+I651*$AC$18+J651*$AC$19+K651*$AC$20+L651*$AC$21+M651*$AC$22+N651*$AC$23+O651*$AC$24+P651*$AC$25+Q651*$AC$26+R651*$AC$27+S651*$AC$28+T651*$AC$29+U651*$AC$30</f>
        <v/>
      </c>
      <c r="W651" s="8">
        <f>1/(1+EXP(-V651))</f>
        <v/>
      </c>
      <c r="X651" s="9">
        <f>-IF(C651=1,LN(W651),LN(1-W651))</f>
        <v/>
      </c>
      <c r="Y651" s="10">
        <f>IF(W651&gt;$AC$33,1,0)</f>
        <v/>
      </c>
      <c r="Z651">
        <f>IF(Y651=C651,1,0)</f>
        <v/>
      </c>
    </row>
    <row r="652">
      <c r="A652">
        <f>'1 prepared data'!A645</f>
        <v/>
      </c>
      <c r="B652" s="5">
        <f>'1 prepared data'!U645</f>
        <v/>
      </c>
      <c r="C652">
        <f>'1 prepared data'!B645</f>
        <v/>
      </c>
      <c r="D652" s="7">
        <f>'1 prepared data'!C645</f>
        <v/>
      </c>
      <c r="E652" s="7">
        <f>'1 prepared data'!D645</f>
        <v/>
      </c>
      <c r="F652" s="7">
        <f>'1 prepared data'!E645</f>
        <v/>
      </c>
      <c r="G652" s="7">
        <f>'1 prepared data'!F645</f>
        <v/>
      </c>
      <c r="H652" s="7">
        <f>'1 prepared data'!G645</f>
        <v/>
      </c>
      <c r="I652" s="7">
        <f>'1 prepared data'!H645</f>
        <v/>
      </c>
      <c r="J652" s="7">
        <f>'1 prepared data'!I645</f>
        <v/>
      </c>
      <c r="K652" s="7">
        <f>'1 prepared data'!J645</f>
        <v/>
      </c>
      <c r="L652" s="7">
        <f>'1 prepared data'!K645</f>
        <v/>
      </c>
      <c r="M652" s="7">
        <f>'1 prepared data'!L645</f>
        <v/>
      </c>
      <c r="N652" s="7">
        <f>'1 prepared data'!M645</f>
        <v/>
      </c>
      <c r="O652" s="7">
        <f>'1 prepared data'!N645</f>
        <v/>
      </c>
      <c r="P652" s="7">
        <f>'1 prepared data'!O645</f>
        <v/>
      </c>
      <c r="Q652" s="7">
        <f>'1 prepared data'!P645</f>
        <v/>
      </c>
      <c r="R652" s="7">
        <f>'1 prepared data'!Q645</f>
        <v/>
      </c>
      <c r="S652" s="7">
        <f>'1 prepared data'!R645</f>
        <v/>
      </c>
      <c r="T652" s="7">
        <f>'1 prepared data'!S645</f>
        <v/>
      </c>
      <c r="U652" s="7">
        <f>'1 prepared data'!T645</f>
        <v/>
      </c>
      <c r="V652" s="8">
        <f>$AC$12+D652*$AC$13+E652*$AC$14+F652*$AC$15+G652*$AC$16+H652*$AC$17+I652*$AC$18+J652*$AC$19+K652*$AC$20+L652*$AC$21+M652*$AC$22+N652*$AC$23+O652*$AC$24+P652*$AC$25+Q652*$AC$26+R652*$AC$27+S652*$AC$28+T652*$AC$29+U652*$AC$30</f>
        <v/>
      </c>
      <c r="W652" s="8">
        <f>1/(1+EXP(-V652))</f>
        <v/>
      </c>
      <c r="X652" s="9">
        <f>-IF(C652=1,LN(W652),LN(1-W652))</f>
        <v/>
      </c>
      <c r="Y652" s="10">
        <f>IF(W652&gt;$AC$33,1,0)</f>
        <v/>
      </c>
      <c r="Z652">
        <f>IF(Y652=C652,1,0)</f>
        <v/>
      </c>
    </row>
    <row r="653">
      <c r="A653">
        <f>'1 prepared data'!A646</f>
        <v/>
      </c>
      <c r="B653" s="5">
        <f>'1 prepared data'!U646</f>
        <v/>
      </c>
      <c r="C653">
        <f>'1 prepared data'!B646</f>
        <v/>
      </c>
      <c r="D653" s="7">
        <f>'1 prepared data'!C646</f>
        <v/>
      </c>
      <c r="E653" s="7">
        <f>'1 prepared data'!D646</f>
        <v/>
      </c>
      <c r="F653" s="7">
        <f>'1 prepared data'!E646</f>
        <v/>
      </c>
      <c r="G653" s="7">
        <f>'1 prepared data'!F646</f>
        <v/>
      </c>
      <c r="H653" s="7">
        <f>'1 prepared data'!G646</f>
        <v/>
      </c>
      <c r="I653" s="7">
        <f>'1 prepared data'!H646</f>
        <v/>
      </c>
      <c r="J653" s="7">
        <f>'1 prepared data'!I646</f>
        <v/>
      </c>
      <c r="K653" s="7">
        <f>'1 prepared data'!J646</f>
        <v/>
      </c>
      <c r="L653" s="7">
        <f>'1 prepared data'!K646</f>
        <v/>
      </c>
      <c r="M653" s="7">
        <f>'1 prepared data'!L646</f>
        <v/>
      </c>
      <c r="N653" s="7">
        <f>'1 prepared data'!M646</f>
        <v/>
      </c>
      <c r="O653" s="7">
        <f>'1 prepared data'!N646</f>
        <v/>
      </c>
      <c r="P653" s="7">
        <f>'1 prepared data'!O646</f>
        <v/>
      </c>
      <c r="Q653" s="7">
        <f>'1 prepared data'!P646</f>
        <v/>
      </c>
      <c r="R653" s="7">
        <f>'1 prepared data'!Q646</f>
        <v/>
      </c>
      <c r="S653" s="7">
        <f>'1 prepared data'!R646</f>
        <v/>
      </c>
      <c r="T653" s="7">
        <f>'1 prepared data'!S646</f>
        <v/>
      </c>
      <c r="U653" s="7">
        <f>'1 prepared data'!T646</f>
        <v/>
      </c>
      <c r="V653" s="8">
        <f>$AC$12+D653*$AC$13+E653*$AC$14+F653*$AC$15+G653*$AC$16+H653*$AC$17+I653*$AC$18+J653*$AC$19+K653*$AC$20+L653*$AC$21+M653*$AC$22+N653*$AC$23+O653*$AC$24+P653*$AC$25+Q653*$AC$26+R653*$AC$27+S653*$AC$28+T653*$AC$29+U653*$AC$30</f>
        <v/>
      </c>
      <c r="W653" s="8">
        <f>1/(1+EXP(-V653))</f>
        <v/>
      </c>
      <c r="X653" s="9">
        <f>-IF(C653=1,LN(W653),LN(1-W653))</f>
        <v/>
      </c>
      <c r="Y653" s="10">
        <f>IF(W653&gt;$AC$33,1,0)</f>
        <v/>
      </c>
      <c r="Z653">
        <f>IF(Y653=C653,1,0)</f>
        <v/>
      </c>
    </row>
    <row r="654">
      <c r="A654">
        <f>'1 prepared data'!A647</f>
        <v/>
      </c>
      <c r="B654" s="5">
        <f>'1 prepared data'!U647</f>
        <v/>
      </c>
      <c r="C654">
        <f>'1 prepared data'!B647</f>
        <v/>
      </c>
      <c r="D654" s="7">
        <f>'1 prepared data'!C647</f>
        <v/>
      </c>
      <c r="E654" s="7">
        <f>'1 prepared data'!D647</f>
        <v/>
      </c>
      <c r="F654" s="7">
        <f>'1 prepared data'!E647</f>
        <v/>
      </c>
      <c r="G654" s="7">
        <f>'1 prepared data'!F647</f>
        <v/>
      </c>
      <c r="H654" s="7">
        <f>'1 prepared data'!G647</f>
        <v/>
      </c>
      <c r="I654" s="7">
        <f>'1 prepared data'!H647</f>
        <v/>
      </c>
      <c r="J654" s="7">
        <f>'1 prepared data'!I647</f>
        <v/>
      </c>
      <c r="K654" s="7">
        <f>'1 prepared data'!J647</f>
        <v/>
      </c>
      <c r="L654" s="7">
        <f>'1 prepared data'!K647</f>
        <v/>
      </c>
      <c r="M654" s="7">
        <f>'1 prepared data'!L647</f>
        <v/>
      </c>
      <c r="N654" s="7">
        <f>'1 prepared data'!M647</f>
        <v/>
      </c>
      <c r="O654" s="7">
        <f>'1 prepared data'!N647</f>
        <v/>
      </c>
      <c r="P654" s="7">
        <f>'1 prepared data'!O647</f>
        <v/>
      </c>
      <c r="Q654" s="7">
        <f>'1 prepared data'!P647</f>
        <v/>
      </c>
      <c r="R654" s="7">
        <f>'1 prepared data'!Q647</f>
        <v/>
      </c>
      <c r="S654" s="7">
        <f>'1 prepared data'!R647</f>
        <v/>
      </c>
      <c r="T654" s="7">
        <f>'1 prepared data'!S647</f>
        <v/>
      </c>
      <c r="U654" s="7">
        <f>'1 prepared data'!T647</f>
        <v/>
      </c>
      <c r="V654" s="8">
        <f>$AC$12+D654*$AC$13+E654*$AC$14+F654*$AC$15+G654*$AC$16+H654*$AC$17+I654*$AC$18+J654*$AC$19+K654*$AC$20+L654*$AC$21+M654*$AC$22+N654*$AC$23+O654*$AC$24+P654*$AC$25+Q654*$AC$26+R654*$AC$27+S654*$AC$28+T654*$AC$29+U654*$AC$30</f>
        <v/>
      </c>
      <c r="W654" s="8">
        <f>1/(1+EXP(-V654))</f>
        <v/>
      </c>
      <c r="X654" s="9">
        <f>-IF(C654=1,LN(W654),LN(1-W654))</f>
        <v/>
      </c>
      <c r="Y654" s="10">
        <f>IF(W654&gt;$AC$33,1,0)</f>
        <v/>
      </c>
      <c r="Z654">
        <f>IF(Y654=C654,1,0)</f>
        <v/>
      </c>
    </row>
    <row r="655">
      <c r="A655">
        <f>'1 prepared data'!A648</f>
        <v/>
      </c>
      <c r="B655" s="5">
        <f>'1 prepared data'!U648</f>
        <v/>
      </c>
      <c r="C655">
        <f>'1 prepared data'!B648</f>
        <v/>
      </c>
      <c r="D655" s="7">
        <f>'1 prepared data'!C648</f>
        <v/>
      </c>
      <c r="E655" s="7">
        <f>'1 prepared data'!D648</f>
        <v/>
      </c>
      <c r="F655" s="7">
        <f>'1 prepared data'!E648</f>
        <v/>
      </c>
      <c r="G655" s="7">
        <f>'1 prepared data'!F648</f>
        <v/>
      </c>
      <c r="H655" s="7">
        <f>'1 prepared data'!G648</f>
        <v/>
      </c>
      <c r="I655" s="7">
        <f>'1 prepared data'!H648</f>
        <v/>
      </c>
      <c r="J655" s="7">
        <f>'1 prepared data'!I648</f>
        <v/>
      </c>
      <c r="K655" s="7">
        <f>'1 prepared data'!J648</f>
        <v/>
      </c>
      <c r="L655" s="7">
        <f>'1 prepared data'!K648</f>
        <v/>
      </c>
      <c r="M655" s="7">
        <f>'1 prepared data'!L648</f>
        <v/>
      </c>
      <c r="N655" s="7">
        <f>'1 prepared data'!M648</f>
        <v/>
      </c>
      <c r="O655" s="7">
        <f>'1 prepared data'!N648</f>
        <v/>
      </c>
      <c r="P655" s="7">
        <f>'1 prepared data'!O648</f>
        <v/>
      </c>
      <c r="Q655" s="7">
        <f>'1 prepared data'!P648</f>
        <v/>
      </c>
      <c r="R655" s="7">
        <f>'1 prepared data'!Q648</f>
        <v/>
      </c>
      <c r="S655" s="7">
        <f>'1 prepared data'!R648</f>
        <v/>
      </c>
      <c r="T655" s="7">
        <f>'1 prepared data'!S648</f>
        <v/>
      </c>
      <c r="U655" s="7">
        <f>'1 prepared data'!T648</f>
        <v/>
      </c>
      <c r="V655" s="8">
        <f>$AC$12+D655*$AC$13+E655*$AC$14+F655*$AC$15+G655*$AC$16+H655*$AC$17+I655*$AC$18+J655*$AC$19+K655*$AC$20+L655*$AC$21+M655*$AC$22+N655*$AC$23+O655*$AC$24+P655*$AC$25+Q655*$AC$26+R655*$AC$27+S655*$AC$28+T655*$AC$29+U655*$AC$30</f>
        <v/>
      </c>
      <c r="W655" s="8">
        <f>1/(1+EXP(-V655))</f>
        <v/>
      </c>
      <c r="X655" s="9">
        <f>-IF(C655=1,LN(W655),LN(1-W655))</f>
        <v/>
      </c>
      <c r="Y655" s="10">
        <f>IF(W655&gt;$AC$33,1,0)</f>
        <v/>
      </c>
      <c r="Z655">
        <f>IF(Y655=C655,1,0)</f>
        <v/>
      </c>
    </row>
    <row r="656">
      <c r="A656">
        <f>'1 prepared data'!A649</f>
        <v/>
      </c>
      <c r="B656" s="5">
        <f>'1 prepared data'!U649</f>
        <v/>
      </c>
      <c r="C656">
        <f>'1 prepared data'!B649</f>
        <v/>
      </c>
      <c r="D656" s="7">
        <f>'1 prepared data'!C649</f>
        <v/>
      </c>
      <c r="E656" s="7">
        <f>'1 prepared data'!D649</f>
        <v/>
      </c>
      <c r="F656" s="7">
        <f>'1 prepared data'!E649</f>
        <v/>
      </c>
      <c r="G656" s="7">
        <f>'1 prepared data'!F649</f>
        <v/>
      </c>
      <c r="H656" s="7">
        <f>'1 prepared data'!G649</f>
        <v/>
      </c>
      <c r="I656" s="7">
        <f>'1 prepared data'!H649</f>
        <v/>
      </c>
      <c r="J656" s="7">
        <f>'1 prepared data'!I649</f>
        <v/>
      </c>
      <c r="K656" s="7">
        <f>'1 prepared data'!J649</f>
        <v/>
      </c>
      <c r="L656" s="7">
        <f>'1 prepared data'!K649</f>
        <v/>
      </c>
      <c r="M656" s="7">
        <f>'1 prepared data'!L649</f>
        <v/>
      </c>
      <c r="N656" s="7">
        <f>'1 prepared data'!M649</f>
        <v/>
      </c>
      <c r="O656" s="7">
        <f>'1 prepared data'!N649</f>
        <v/>
      </c>
      <c r="P656" s="7">
        <f>'1 prepared data'!O649</f>
        <v/>
      </c>
      <c r="Q656" s="7">
        <f>'1 prepared data'!P649</f>
        <v/>
      </c>
      <c r="R656" s="7">
        <f>'1 prepared data'!Q649</f>
        <v/>
      </c>
      <c r="S656" s="7">
        <f>'1 prepared data'!R649</f>
        <v/>
      </c>
      <c r="T656" s="7">
        <f>'1 prepared data'!S649</f>
        <v/>
      </c>
      <c r="U656" s="7">
        <f>'1 prepared data'!T649</f>
        <v/>
      </c>
      <c r="V656" s="8">
        <f>$AC$12+D656*$AC$13+E656*$AC$14+F656*$AC$15+G656*$AC$16+H656*$AC$17+I656*$AC$18+J656*$AC$19+K656*$AC$20+L656*$AC$21+M656*$AC$22+N656*$AC$23+O656*$AC$24+P656*$AC$25+Q656*$AC$26+R656*$AC$27+S656*$AC$28+T656*$AC$29+U656*$AC$30</f>
        <v/>
      </c>
      <c r="W656" s="8">
        <f>1/(1+EXP(-V656))</f>
        <v/>
      </c>
      <c r="X656" s="9">
        <f>-IF(C656=1,LN(W656),LN(1-W656))</f>
        <v/>
      </c>
      <c r="Y656" s="10">
        <f>IF(W656&gt;$AC$33,1,0)</f>
        <v/>
      </c>
      <c r="Z656">
        <f>IF(Y656=C656,1,0)</f>
        <v/>
      </c>
    </row>
    <row r="657">
      <c r="A657">
        <f>'1 prepared data'!A650</f>
        <v/>
      </c>
      <c r="B657" s="5">
        <f>'1 prepared data'!U650</f>
        <v/>
      </c>
      <c r="C657">
        <f>'1 prepared data'!B650</f>
        <v/>
      </c>
      <c r="D657" s="7">
        <f>'1 prepared data'!C650</f>
        <v/>
      </c>
      <c r="E657" s="7">
        <f>'1 prepared data'!D650</f>
        <v/>
      </c>
      <c r="F657" s="7">
        <f>'1 prepared data'!E650</f>
        <v/>
      </c>
      <c r="G657" s="7">
        <f>'1 prepared data'!F650</f>
        <v/>
      </c>
      <c r="H657" s="7">
        <f>'1 prepared data'!G650</f>
        <v/>
      </c>
      <c r="I657" s="7">
        <f>'1 prepared data'!H650</f>
        <v/>
      </c>
      <c r="J657" s="7">
        <f>'1 prepared data'!I650</f>
        <v/>
      </c>
      <c r="K657" s="7">
        <f>'1 prepared data'!J650</f>
        <v/>
      </c>
      <c r="L657" s="7">
        <f>'1 prepared data'!K650</f>
        <v/>
      </c>
      <c r="M657" s="7">
        <f>'1 prepared data'!L650</f>
        <v/>
      </c>
      <c r="N657" s="7">
        <f>'1 prepared data'!M650</f>
        <v/>
      </c>
      <c r="O657" s="7">
        <f>'1 prepared data'!N650</f>
        <v/>
      </c>
      <c r="P657" s="7">
        <f>'1 prepared data'!O650</f>
        <v/>
      </c>
      <c r="Q657" s="7">
        <f>'1 prepared data'!P650</f>
        <v/>
      </c>
      <c r="R657" s="7">
        <f>'1 prepared data'!Q650</f>
        <v/>
      </c>
      <c r="S657" s="7">
        <f>'1 prepared data'!R650</f>
        <v/>
      </c>
      <c r="T657" s="7">
        <f>'1 prepared data'!S650</f>
        <v/>
      </c>
      <c r="U657" s="7">
        <f>'1 prepared data'!T650</f>
        <v/>
      </c>
      <c r="V657" s="8">
        <f>$AC$12+D657*$AC$13+E657*$AC$14+F657*$AC$15+G657*$AC$16+H657*$AC$17+I657*$AC$18+J657*$AC$19+K657*$AC$20+L657*$AC$21+M657*$AC$22+N657*$AC$23+O657*$AC$24+P657*$AC$25+Q657*$AC$26+R657*$AC$27+S657*$AC$28+T657*$AC$29+U657*$AC$30</f>
        <v/>
      </c>
      <c r="W657" s="8">
        <f>1/(1+EXP(-V657))</f>
        <v/>
      </c>
      <c r="X657" s="9">
        <f>-IF(C657=1,LN(W657),LN(1-W657))</f>
        <v/>
      </c>
      <c r="Y657" s="10">
        <f>IF(W657&gt;$AC$33,1,0)</f>
        <v/>
      </c>
      <c r="Z657">
        <f>IF(Y657=C657,1,0)</f>
        <v/>
      </c>
    </row>
    <row r="658">
      <c r="A658">
        <f>'1 prepared data'!A651</f>
        <v/>
      </c>
      <c r="B658" s="5">
        <f>'1 prepared data'!U651</f>
        <v/>
      </c>
      <c r="C658">
        <f>'1 prepared data'!B651</f>
        <v/>
      </c>
      <c r="D658" s="7">
        <f>'1 prepared data'!C651</f>
        <v/>
      </c>
      <c r="E658" s="7">
        <f>'1 prepared data'!D651</f>
        <v/>
      </c>
      <c r="F658" s="7">
        <f>'1 prepared data'!E651</f>
        <v/>
      </c>
      <c r="G658" s="7">
        <f>'1 prepared data'!F651</f>
        <v/>
      </c>
      <c r="H658" s="7">
        <f>'1 prepared data'!G651</f>
        <v/>
      </c>
      <c r="I658" s="7">
        <f>'1 prepared data'!H651</f>
        <v/>
      </c>
      <c r="J658" s="7">
        <f>'1 prepared data'!I651</f>
        <v/>
      </c>
      <c r="K658" s="7">
        <f>'1 prepared data'!J651</f>
        <v/>
      </c>
      <c r="L658" s="7">
        <f>'1 prepared data'!K651</f>
        <v/>
      </c>
      <c r="M658" s="7">
        <f>'1 prepared data'!L651</f>
        <v/>
      </c>
      <c r="N658" s="7">
        <f>'1 prepared data'!M651</f>
        <v/>
      </c>
      <c r="O658" s="7">
        <f>'1 prepared data'!N651</f>
        <v/>
      </c>
      <c r="P658" s="7">
        <f>'1 prepared data'!O651</f>
        <v/>
      </c>
      <c r="Q658" s="7">
        <f>'1 prepared data'!P651</f>
        <v/>
      </c>
      <c r="R658" s="7">
        <f>'1 prepared data'!Q651</f>
        <v/>
      </c>
      <c r="S658" s="7">
        <f>'1 prepared data'!R651</f>
        <v/>
      </c>
      <c r="T658" s="7">
        <f>'1 prepared data'!S651</f>
        <v/>
      </c>
      <c r="U658" s="7">
        <f>'1 prepared data'!T651</f>
        <v/>
      </c>
      <c r="V658" s="8">
        <f>$AC$12+D658*$AC$13+E658*$AC$14+F658*$AC$15+G658*$AC$16+H658*$AC$17+I658*$AC$18+J658*$AC$19+K658*$AC$20+L658*$AC$21+M658*$AC$22+N658*$AC$23+O658*$AC$24+P658*$AC$25+Q658*$AC$26+R658*$AC$27+S658*$AC$28+T658*$AC$29+U658*$AC$30</f>
        <v/>
      </c>
      <c r="W658" s="8">
        <f>1/(1+EXP(-V658))</f>
        <v/>
      </c>
      <c r="X658" s="9">
        <f>-IF(C658=1,LN(W658),LN(1-W658))</f>
        <v/>
      </c>
      <c r="Y658" s="10">
        <f>IF(W658&gt;$AC$33,1,0)</f>
        <v/>
      </c>
      <c r="Z658">
        <f>IF(Y658=C658,1,0)</f>
        <v/>
      </c>
    </row>
    <row r="659">
      <c r="A659">
        <f>'1 prepared data'!A652</f>
        <v/>
      </c>
      <c r="B659" s="5">
        <f>'1 prepared data'!U652</f>
        <v/>
      </c>
      <c r="C659">
        <f>'1 prepared data'!B652</f>
        <v/>
      </c>
      <c r="D659" s="7">
        <f>'1 prepared data'!C652</f>
        <v/>
      </c>
      <c r="E659" s="7">
        <f>'1 prepared data'!D652</f>
        <v/>
      </c>
      <c r="F659" s="7">
        <f>'1 prepared data'!E652</f>
        <v/>
      </c>
      <c r="G659" s="7">
        <f>'1 prepared data'!F652</f>
        <v/>
      </c>
      <c r="H659" s="7">
        <f>'1 prepared data'!G652</f>
        <v/>
      </c>
      <c r="I659" s="7">
        <f>'1 prepared data'!H652</f>
        <v/>
      </c>
      <c r="J659" s="7">
        <f>'1 prepared data'!I652</f>
        <v/>
      </c>
      <c r="K659" s="7">
        <f>'1 prepared data'!J652</f>
        <v/>
      </c>
      <c r="L659" s="7">
        <f>'1 prepared data'!K652</f>
        <v/>
      </c>
      <c r="M659" s="7">
        <f>'1 prepared data'!L652</f>
        <v/>
      </c>
      <c r="N659" s="7">
        <f>'1 prepared data'!M652</f>
        <v/>
      </c>
      <c r="O659" s="7">
        <f>'1 prepared data'!N652</f>
        <v/>
      </c>
      <c r="P659" s="7">
        <f>'1 prepared data'!O652</f>
        <v/>
      </c>
      <c r="Q659" s="7">
        <f>'1 prepared data'!P652</f>
        <v/>
      </c>
      <c r="R659" s="7">
        <f>'1 prepared data'!Q652</f>
        <v/>
      </c>
      <c r="S659" s="7">
        <f>'1 prepared data'!R652</f>
        <v/>
      </c>
      <c r="T659" s="7">
        <f>'1 prepared data'!S652</f>
        <v/>
      </c>
      <c r="U659" s="7">
        <f>'1 prepared data'!T652</f>
        <v/>
      </c>
      <c r="V659" s="8">
        <f>$AC$12+D659*$AC$13+E659*$AC$14+F659*$AC$15+G659*$AC$16+H659*$AC$17+I659*$AC$18+J659*$AC$19+K659*$AC$20+L659*$AC$21+M659*$AC$22+N659*$AC$23+O659*$AC$24+P659*$AC$25+Q659*$AC$26+R659*$AC$27+S659*$AC$28+T659*$AC$29+U659*$AC$30</f>
        <v/>
      </c>
      <c r="W659" s="8">
        <f>1/(1+EXP(-V659))</f>
        <v/>
      </c>
      <c r="X659" s="9">
        <f>-IF(C659=1,LN(W659),LN(1-W659))</f>
        <v/>
      </c>
      <c r="Y659" s="10">
        <f>IF(W659&gt;$AC$33,1,0)</f>
        <v/>
      </c>
      <c r="Z659">
        <f>IF(Y659=C659,1,0)</f>
        <v/>
      </c>
    </row>
    <row r="660">
      <c r="A660">
        <f>'1 prepared data'!A653</f>
        <v/>
      </c>
      <c r="B660" s="5">
        <f>'1 prepared data'!U653</f>
        <v/>
      </c>
      <c r="C660">
        <f>'1 prepared data'!B653</f>
        <v/>
      </c>
      <c r="D660" s="7">
        <f>'1 prepared data'!C653</f>
        <v/>
      </c>
      <c r="E660" s="7">
        <f>'1 prepared data'!D653</f>
        <v/>
      </c>
      <c r="F660" s="7">
        <f>'1 prepared data'!E653</f>
        <v/>
      </c>
      <c r="G660" s="7">
        <f>'1 prepared data'!F653</f>
        <v/>
      </c>
      <c r="H660" s="7">
        <f>'1 prepared data'!G653</f>
        <v/>
      </c>
      <c r="I660" s="7">
        <f>'1 prepared data'!H653</f>
        <v/>
      </c>
      <c r="J660" s="7">
        <f>'1 prepared data'!I653</f>
        <v/>
      </c>
      <c r="K660" s="7">
        <f>'1 prepared data'!J653</f>
        <v/>
      </c>
      <c r="L660" s="7">
        <f>'1 prepared data'!K653</f>
        <v/>
      </c>
      <c r="M660" s="7">
        <f>'1 prepared data'!L653</f>
        <v/>
      </c>
      <c r="N660" s="7">
        <f>'1 prepared data'!M653</f>
        <v/>
      </c>
      <c r="O660" s="7">
        <f>'1 prepared data'!N653</f>
        <v/>
      </c>
      <c r="P660" s="7">
        <f>'1 prepared data'!O653</f>
        <v/>
      </c>
      <c r="Q660" s="7">
        <f>'1 prepared data'!P653</f>
        <v/>
      </c>
      <c r="R660" s="7">
        <f>'1 prepared data'!Q653</f>
        <v/>
      </c>
      <c r="S660" s="7">
        <f>'1 prepared data'!R653</f>
        <v/>
      </c>
      <c r="T660" s="7">
        <f>'1 prepared data'!S653</f>
        <v/>
      </c>
      <c r="U660" s="7">
        <f>'1 prepared data'!T653</f>
        <v/>
      </c>
      <c r="V660" s="8">
        <f>$AC$12+D660*$AC$13+E660*$AC$14+F660*$AC$15+G660*$AC$16+H660*$AC$17+I660*$AC$18+J660*$AC$19+K660*$AC$20+L660*$AC$21+M660*$AC$22+N660*$AC$23+O660*$AC$24+P660*$AC$25+Q660*$AC$26+R660*$AC$27+S660*$AC$28+T660*$AC$29+U660*$AC$30</f>
        <v/>
      </c>
      <c r="W660" s="8">
        <f>1/(1+EXP(-V660))</f>
        <v/>
      </c>
      <c r="X660" s="9">
        <f>-IF(C660=1,LN(W660),LN(1-W660))</f>
        <v/>
      </c>
      <c r="Y660" s="10">
        <f>IF(W660&gt;$AC$33,1,0)</f>
        <v/>
      </c>
      <c r="Z660">
        <f>IF(Y660=C660,1,0)</f>
        <v/>
      </c>
    </row>
    <row r="661">
      <c r="A661">
        <f>'1 prepared data'!A654</f>
        <v/>
      </c>
      <c r="B661" s="5">
        <f>'1 prepared data'!U654</f>
        <v/>
      </c>
      <c r="C661">
        <f>'1 prepared data'!B654</f>
        <v/>
      </c>
      <c r="D661" s="7">
        <f>'1 prepared data'!C654</f>
        <v/>
      </c>
      <c r="E661" s="7">
        <f>'1 prepared data'!D654</f>
        <v/>
      </c>
      <c r="F661" s="7">
        <f>'1 prepared data'!E654</f>
        <v/>
      </c>
      <c r="G661" s="7">
        <f>'1 prepared data'!F654</f>
        <v/>
      </c>
      <c r="H661" s="7">
        <f>'1 prepared data'!G654</f>
        <v/>
      </c>
      <c r="I661" s="7">
        <f>'1 prepared data'!H654</f>
        <v/>
      </c>
      <c r="J661" s="7">
        <f>'1 prepared data'!I654</f>
        <v/>
      </c>
      <c r="K661" s="7">
        <f>'1 prepared data'!J654</f>
        <v/>
      </c>
      <c r="L661" s="7">
        <f>'1 prepared data'!K654</f>
        <v/>
      </c>
      <c r="M661" s="7">
        <f>'1 prepared data'!L654</f>
        <v/>
      </c>
      <c r="N661" s="7">
        <f>'1 prepared data'!M654</f>
        <v/>
      </c>
      <c r="O661" s="7">
        <f>'1 prepared data'!N654</f>
        <v/>
      </c>
      <c r="P661" s="7">
        <f>'1 prepared data'!O654</f>
        <v/>
      </c>
      <c r="Q661" s="7">
        <f>'1 prepared data'!P654</f>
        <v/>
      </c>
      <c r="R661" s="7">
        <f>'1 prepared data'!Q654</f>
        <v/>
      </c>
      <c r="S661" s="7">
        <f>'1 prepared data'!R654</f>
        <v/>
      </c>
      <c r="T661" s="7">
        <f>'1 prepared data'!S654</f>
        <v/>
      </c>
      <c r="U661" s="7">
        <f>'1 prepared data'!T654</f>
        <v/>
      </c>
      <c r="V661" s="8">
        <f>$AC$12+D661*$AC$13+E661*$AC$14+F661*$AC$15+G661*$AC$16+H661*$AC$17+I661*$AC$18+J661*$AC$19+K661*$AC$20+L661*$AC$21+M661*$AC$22+N661*$AC$23+O661*$AC$24+P661*$AC$25+Q661*$AC$26+R661*$AC$27+S661*$AC$28+T661*$AC$29+U661*$AC$30</f>
        <v/>
      </c>
      <c r="W661" s="8">
        <f>1/(1+EXP(-V661))</f>
        <v/>
      </c>
      <c r="X661" s="9">
        <f>-IF(C661=1,LN(W661),LN(1-W661))</f>
        <v/>
      </c>
      <c r="Y661" s="10">
        <f>IF(W661&gt;$AC$33,1,0)</f>
        <v/>
      </c>
      <c r="Z661">
        <f>IF(Y661=C661,1,0)</f>
        <v/>
      </c>
    </row>
    <row r="662">
      <c r="A662">
        <f>'1 prepared data'!A655</f>
        <v/>
      </c>
      <c r="B662" s="5">
        <f>'1 prepared data'!U655</f>
        <v/>
      </c>
      <c r="C662">
        <f>'1 prepared data'!B655</f>
        <v/>
      </c>
      <c r="D662" s="7">
        <f>'1 prepared data'!C655</f>
        <v/>
      </c>
      <c r="E662" s="7">
        <f>'1 prepared data'!D655</f>
        <v/>
      </c>
      <c r="F662" s="7">
        <f>'1 prepared data'!E655</f>
        <v/>
      </c>
      <c r="G662" s="7">
        <f>'1 prepared data'!F655</f>
        <v/>
      </c>
      <c r="H662" s="7">
        <f>'1 prepared data'!G655</f>
        <v/>
      </c>
      <c r="I662" s="7">
        <f>'1 prepared data'!H655</f>
        <v/>
      </c>
      <c r="J662" s="7">
        <f>'1 prepared data'!I655</f>
        <v/>
      </c>
      <c r="K662" s="7">
        <f>'1 prepared data'!J655</f>
        <v/>
      </c>
      <c r="L662" s="7">
        <f>'1 prepared data'!K655</f>
        <v/>
      </c>
      <c r="M662" s="7">
        <f>'1 prepared data'!L655</f>
        <v/>
      </c>
      <c r="N662" s="7">
        <f>'1 prepared data'!M655</f>
        <v/>
      </c>
      <c r="O662" s="7">
        <f>'1 prepared data'!N655</f>
        <v/>
      </c>
      <c r="P662" s="7">
        <f>'1 prepared data'!O655</f>
        <v/>
      </c>
      <c r="Q662" s="7">
        <f>'1 prepared data'!P655</f>
        <v/>
      </c>
      <c r="R662" s="7">
        <f>'1 prepared data'!Q655</f>
        <v/>
      </c>
      <c r="S662" s="7">
        <f>'1 prepared data'!R655</f>
        <v/>
      </c>
      <c r="T662" s="7">
        <f>'1 prepared data'!S655</f>
        <v/>
      </c>
      <c r="U662" s="7">
        <f>'1 prepared data'!T655</f>
        <v/>
      </c>
      <c r="V662" s="8">
        <f>$AC$12+D662*$AC$13+E662*$AC$14+F662*$AC$15+G662*$AC$16+H662*$AC$17+I662*$AC$18+J662*$AC$19+K662*$AC$20+L662*$AC$21+M662*$AC$22+N662*$AC$23+O662*$AC$24+P662*$AC$25+Q662*$AC$26+R662*$AC$27+S662*$AC$28+T662*$AC$29+U662*$AC$30</f>
        <v/>
      </c>
      <c r="W662" s="8">
        <f>1/(1+EXP(-V662))</f>
        <v/>
      </c>
      <c r="X662" s="9">
        <f>-IF(C662=1,LN(W662),LN(1-W662))</f>
        <v/>
      </c>
      <c r="Y662" s="10">
        <f>IF(W662&gt;$AC$33,1,0)</f>
        <v/>
      </c>
      <c r="Z662">
        <f>IF(Y662=C662,1,0)</f>
        <v/>
      </c>
    </row>
    <row r="663">
      <c r="A663">
        <f>'1 prepared data'!A656</f>
        <v/>
      </c>
      <c r="B663" s="5">
        <f>'1 prepared data'!U656</f>
        <v/>
      </c>
      <c r="C663">
        <f>'1 prepared data'!B656</f>
        <v/>
      </c>
      <c r="D663" s="7">
        <f>'1 prepared data'!C656</f>
        <v/>
      </c>
      <c r="E663" s="7">
        <f>'1 prepared data'!D656</f>
        <v/>
      </c>
      <c r="F663" s="7">
        <f>'1 prepared data'!E656</f>
        <v/>
      </c>
      <c r="G663" s="7">
        <f>'1 prepared data'!F656</f>
        <v/>
      </c>
      <c r="H663" s="7">
        <f>'1 prepared data'!G656</f>
        <v/>
      </c>
      <c r="I663" s="7">
        <f>'1 prepared data'!H656</f>
        <v/>
      </c>
      <c r="J663" s="7">
        <f>'1 prepared data'!I656</f>
        <v/>
      </c>
      <c r="K663" s="7">
        <f>'1 prepared data'!J656</f>
        <v/>
      </c>
      <c r="L663" s="7">
        <f>'1 prepared data'!K656</f>
        <v/>
      </c>
      <c r="M663" s="7">
        <f>'1 prepared data'!L656</f>
        <v/>
      </c>
      <c r="N663" s="7">
        <f>'1 prepared data'!M656</f>
        <v/>
      </c>
      <c r="O663" s="7">
        <f>'1 prepared data'!N656</f>
        <v/>
      </c>
      <c r="P663" s="7">
        <f>'1 prepared data'!O656</f>
        <v/>
      </c>
      <c r="Q663" s="7">
        <f>'1 prepared data'!P656</f>
        <v/>
      </c>
      <c r="R663" s="7">
        <f>'1 prepared data'!Q656</f>
        <v/>
      </c>
      <c r="S663" s="7">
        <f>'1 prepared data'!R656</f>
        <v/>
      </c>
      <c r="T663" s="7">
        <f>'1 prepared data'!S656</f>
        <v/>
      </c>
      <c r="U663" s="7">
        <f>'1 prepared data'!T656</f>
        <v/>
      </c>
      <c r="V663" s="8">
        <f>$AC$12+D663*$AC$13+E663*$AC$14+F663*$AC$15+G663*$AC$16+H663*$AC$17+I663*$AC$18+J663*$AC$19+K663*$AC$20+L663*$AC$21+M663*$AC$22+N663*$AC$23+O663*$AC$24+P663*$AC$25+Q663*$AC$26+R663*$AC$27+S663*$AC$28+T663*$AC$29+U663*$AC$30</f>
        <v/>
      </c>
      <c r="W663" s="8">
        <f>1/(1+EXP(-V663))</f>
        <v/>
      </c>
      <c r="X663" s="9">
        <f>-IF(C663=1,LN(W663),LN(1-W663))</f>
        <v/>
      </c>
      <c r="Y663" s="10">
        <f>IF(W663&gt;$AC$33,1,0)</f>
        <v/>
      </c>
      <c r="Z663">
        <f>IF(Y663=C663,1,0)</f>
        <v/>
      </c>
    </row>
    <row r="664">
      <c r="A664">
        <f>'1 prepared data'!A657</f>
        <v/>
      </c>
      <c r="B664" s="5">
        <f>'1 prepared data'!U657</f>
        <v/>
      </c>
      <c r="C664">
        <f>'1 prepared data'!B657</f>
        <v/>
      </c>
      <c r="D664" s="7">
        <f>'1 prepared data'!C657</f>
        <v/>
      </c>
      <c r="E664" s="7">
        <f>'1 prepared data'!D657</f>
        <v/>
      </c>
      <c r="F664" s="7">
        <f>'1 prepared data'!E657</f>
        <v/>
      </c>
      <c r="G664" s="7">
        <f>'1 prepared data'!F657</f>
        <v/>
      </c>
      <c r="H664" s="7">
        <f>'1 prepared data'!G657</f>
        <v/>
      </c>
      <c r="I664" s="7">
        <f>'1 prepared data'!H657</f>
        <v/>
      </c>
      <c r="J664" s="7">
        <f>'1 prepared data'!I657</f>
        <v/>
      </c>
      <c r="K664" s="7">
        <f>'1 prepared data'!J657</f>
        <v/>
      </c>
      <c r="L664" s="7">
        <f>'1 prepared data'!K657</f>
        <v/>
      </c>
      <c r="M664" s="7">
        <f>'1 prepared data'!L657</f>
        <v/>
      </c>
      <c r="N664" s="7">
        <f>'1 prepared data'!M657</f>
        <v/>
      </c>
      <c r="O664" s="7">
        <f>'1 prepared data'!N657</f>
        <v/>
      </c>
      <c r="P664" s="7">
        <f>'1 prepared data'!O657</f>
        <v/>
      </c>
      <c r="Q664" s="7">
        <f>'1 prepared data'!P657</f>
        <v/>
      </c>
      <c r="R664" s="7">
        <f>'1 prepared data'!Q657</f>
        <v/>
      </c>
      <c r="S664" s="7">
        <f>'1 prepared data'!R657</f>
        <v/>
      </c>
      <c r="T664" s="7">
        <f>'1 prepared data'!S657</f>
        <v/>
      </c>
      <c r="U664" s="7">
        <f>'1 prepared data'!T657</f>
        <v/>
      </c>
      <c r="V664" s="8">
        <f>$AC$12+D664*$AC$13+E664*$AC$14+F664*$AC$15+G664*$AC$16+H664*$AC$17+I664*$AC$18+J664*$AC$19+K664*$AC$20+L664*$AC$21+M664*$AC$22+N664*$AC$23+O664*$AC$24+P664*$AC$25+Q664*$AC$26+R664*$AC$27+S664*$AC$28+T664*$AC$29+U664*$AC$30</f>
        <v/>
      </c>
      <c r="W664" s="8">
        <f>1/(1+EXP(-V664))</f>
        <v/>
      </c>
      <c r="X664" s="9">
        <f>-IF(C664=1,LN(W664),LN(1-W664))</f>
        <v/>
      </c>
      <c r="Y664" s="10">
        <f>IF(W664&gt;$AC$33,1,0)</f>
        <v/>
      </c>
      <c r="Z664">
        <f>IF(Y664=C664,1,0)</f>
        <v/>
      </c>
    </row>
    <row r="665">
      <c r="A665">
        <f>'1 prepared data'!A658</f>
        <v/>
      </c>
      <c r="B665" s="5">
        <f>'1 prepared data'!U658</f>
        <v/>
      </c>
      <c r="C665">
        <f>'1 prepared data'!B658</f>
        <v/>
      </c>
      <c r="D665" s="7">
        <f>'1 prepared data'!C658</f>
        <v/>
      </c>
      <c r="E665" s="7">
        <f>'1 prepared data'!D658</f>
        <v/>
      </c>
      <c r="F665" s="7">
        <f>'1 prepared data'!E658</f>
        <v/>
      </c>
      <c r="G665" s="7">
        <f>'1 prepared data'!F658</f>
        <v/>
      </c>
      <c r="H665" s="7">
        <f>'1 prepared data'!G658</f>
        <v/>
      </c>
      <c r="I665" s="7">
        <f>'1 prepared data'!H658</f>
        <v/>
      </c>
      <c r="J665" s="7">
        <f>'1 prepared data'!I658</f>
        <v/>
      </c>
      <c r="K665" s="7">
        <f>'1 prepared data'!J658</f>
        <v/>
      </c>
      <c r="L665" s="7">
        <f>'1 prepared data'!K658</f>
        <v/>
      </c>
      <c r="M665" s="7">
        <f>'1 prepared data'!L658</f>
        <v/>
      </c>
      <c r="N665" s="7">
        <f>'1 prepared data'!M658</f>
        <v/>
      </c>
      <c r="O665" s="7">
        <f>'1 prepared data'!N658</f>
        <v/>
      </c>
      <c r="P665" s="7">
        <f>'1 prepared data'!O658</f>
        <v/>
      </c>
      <c r="Q665" s="7">
        <f>'1 prepared data'!P658</f>
        <v/>
      </c>
      <c r="R665" s="7">
        <f>'1 prepared data'!Q658</f>
        <v/>
      </c>
      <c r="S665" s="7">
        <f>'1 prepared data'!R658</f>
        <v/>
      </c>
      <c r="T665" s="7">
        <f>'1 prepared data'!S658</f>
        <v/>
      </c>
      <c r="U665" s="7">
        <f>'1 prepared data'!T658</f>
        <v/>
      </c>
      <c r="V665" s="8">
        <f>$AC$12+D665*$AC$13+E665*$AC$14+F665*$AC$15+G665*$AC$16+H665*$AC$17+I665*$AC$18+J665*$AC$19+K665*$AC$20+L665*$AC$21+M665*$AC$22+N665*$AC$23+O665*$AC$24+P665*$AC$25+Q665*$AC$26+R665*$AC$27+S665*$AC$28+T665*$AC$29+U665*$AC$30</f>
        <v/>
      </c>
      <c r="W665" s="8">
        <f>1/(1+EXP(-V665))</f>
        <v/>
      </c>
      <c r="X665" s="9">
        <f>-IF(C665=1,LN(W665),LN(1-W665))</f>
        <v/>
      </c>
      <c r="Y665" s="10">
        <f>IF(W665&gt;$AC$33,1,0)</f>
        <v/>
      </c>
      <c r="Z665">
        <f>IF(Y665=C665,1,0)</f>
        <v/>
      </c>
    </row>
    <row r="666">
      <c r="A666">
        <f>'1 prepared data'!A659</f>
        <v/>
      </c>
      <c r="B666" s="5">
        <f>'1 prepared data'!U659</f>
        <v/>
      </c>
      <c r="C666">
        <f>'1 prepared data'!B659</f>
        <v/>
      </c>
      <c r="D666" s="7">
        <f>'1 prepared data'!C659</f>
        <v/>
      </c>
      <c r="E666" s="7">
        <f>'1 prepared data'!D659</f>
        <v/>
      </c>
      <c r="F666" s="7">
        <f>'1 prepared data'!E659</f>
        <v/>
      </c>
      <c r="G666" s="7">
        <f>'1 prepared data'!F659</f>
        <v/>
      </c>
      <c r="H666" s="7">
        <f>'1 prepared data'!G659</f>
        <v/>
      </c>
      <c r="I666" s="7">
        <f>'1 prepared data'!H659</f>
        <v/>
      </c>
      <c r="J666" s="7">
        <f>'1 prepared data'!I659</f>
        <v/>
      </c>
      <c r="K666" s="7">
        <f>'1 prepared data'!J659</f>
        <v/>
      </c>
      <c r="L666" s="7">
        <f>'1 prepared data'!K659</f>
        <v/>
      </c>
      <c r="M666" s="7">
        <f>'1 prepared data'!L659</f>
        <v/>
      </c>
      <c r="N666" s="7">
        <f>'1 prepared data'!M659</f>
        <v/>
      </c>
      <c r="O666" s="7">
        <f>'1 prepared data'!N659</f>
        <v/>
      </c>
      <c r="P666" s="7">
        <f>'1 prepared data'!O659</f>
        <v/>
      </c>
      <c r="Q666" s="7">
        <f>'1 prepared data'!P659</f>
        <v/>
      </c>
      <c r="R666" s="7">
        <f>'1 prepared data'!Q659</f>
        <v/>
      </c>
      <c r="S666" s="7">
        <f>'1 prepared data'!R659</f>
        <v/>
      </c>
      <c r="T666" s="7">
        <f>'1 prepared data'!S659</f>
        <v/>
      </c>
      <c r="U666" s="7">
        <f>'1 prepared data'!T659</f>
        <v/>
      </c>
      <c r="V666" s="8">
        <f>$AC$12+D666*$AC$13+E666*$AC$14+F666*$AC$15+G666*$AC$16+H666*$AC$17+I666*$AC$18+J666*$AC$19+K666*$AC$20+L666*$AC$21+M666*$AC$22+N666*$AC$23+O666*$AC$24+P666*$AC$25+Q666*$AC$26+R666*$AC$27+S666*$AC$28+T666*$AC$29+U666*$AC$30</f>
        <v/>
      </c>
      <c r="W666" s="8">
        <f>1/(1+EXP(-V666))</f>
        <v/>
      </c>
      <c r="X666" s="9">
        <f>-IF(C666=1,LN(W666),LN(1-W666))</f>
        <v/>
      </c>
      <c r="Y666" s="10">
        <f>IF(W666&gt;$AC$33,1,0)</f>
        <v/>
      </c>
      <c r="Z666">
        <f>IF(Y666=C666,1,0)</f>
        <v/>
      </c>
    </row>
    <row r="667">
      <c r="A667">
        <f>'1 prepared data'!A660</f>
        <v/>
      </c>
      <c r="B667" s="5">
        <f>'1 prepared data'!U660</f>
        <v/>
      </c>
      <c r="C667">
        <f>'1 prepared data'!B660</f>
        <v/>
      </c>
      <c r="D667" s="7">
        <f>'1 prepared data'!C660</f>
        <v/>
      </c>
      <c r="E667" s="7">
        <f>'1 prepared data'!D660</f>
        <v/>
      </c>
      <c r="F667" s="7">
        <f>'1 prepared data'!E660</f>
        <v/>
      </c>
      <c r="G667" s="7">
        <f>'1 prepared data'!F660</f>
        <v/>
      </c>
      <c r="H667" s="7">
        <f>'1 prepared data'!G660</f>
        <v/>
      </c>
      <c r="I667" s="7">
        <f>'1 prepared data'!H660</f>
        <v/>
      </c>
      <c r="J667" s="7">
        <f>'1 prepared data'!I660</f>
        <v/>
      </c>
      <c r="K667" s="7">
        <f>'1 prepared data'!J660</f>
        <v/>
      </c>
      <c r="L667" s="7">
        <f>'1 prepared data'!K660</f>
        <v/>
      </c>
      <c r="M667" s="7">
        <f>'1 prepared data'!L660</f>
        <v/>
      </c>
      <c r="N667" s="7">
        <f>'1 prepared data'!M660</f>
        <v/>
      </c>
      <c r="O667" s="7">
        <f>'1 prepared data'!N660</f>
        <v/>
      </c>
      <c r="P667" s="7">
        <f>'1 prepared data'!O660</f>
        <v/>
      </c>
      <c r="Q667" s="7">
        <f>'1 prepared data'!P660</f>
        <v/>
      </c>
      <c r="R667" s="7">
        <f>'1 prepared data'!Q660</f>
        <v/>
      </c>
      <c r="S667" s="7">
        <f>'1 prepared data'!R660</f>
        <v/>
      </c>
      <c r="T667" s="7">
        <f>'1 prepared data'!S660</f>
        <v/>
      </c>
      <c r="U667" s="7">
        <f>'1 prepared data'!T660</f>
        <v/>
      </c>
      <c r="V667" s="8">
        <f>$AC$12+D667*$AC$13+E667*$AC$14+F667*$AC$15+G667*$AC$16+H667*$AC$17+I667*$AC$18+J667*$AC$19+K667*$AC$20+L667*$AC$21+M667*$AC$22+N667*$AC$23+O667*$AC$24+P667*$AC$25+Q667*$AC$26+R667*$AC$27+S667*$AC$28+T667*$AC$29+U667*$AC$30</f>
        <v/>
      </c>
      <c r="W667" s="8">
        <f>1/(1+EXP(-V667))</f>
        <v/>
      </c>
      <c r="X667" s="9">
        <f>-IF(C667=1,LN(W667),LN(1-W667))</f>
        <v/>
      </c>
      <c r="Y667" s="10">
        <f>IF(W667&gt;$AC$33,1,0)</f>
        <v/>
      </c>
      <c r="Z667">
        <f>IF(Y667=C667,1,0)</f>
        <v/>
      </c>
    </row>
    <row r="668">
      <c r="A668">
        <f>'1 prepared data'!A661</f>
        <v/>
      </c>
      <c r="B668" s="5">
        <f>'1 prepared data'!U661</f>
        <v/>
      </c>
      <c r="C668">
        <f>'1 prepared data'!B661</f>
        <v/>
      </c>
      <c r="D668" s="7">
        <f>'1 prepared data'!C661</f>
        <v/>
      </c>
      <c r="E668" s="7">
        <f>'1 prepared data'!D661</f>
        <v/>
      </c>
      <c r="F668" s="7">
        <f>'1 prepared data'!E661</f>
        <v/>
      </c>
      <c r="G668" s="7">
        <f>'1 prepared data'!F661</f>
        <v/>
      </c>
      <c r="H668" s="7">
        <f>'1 prepared data'!G661</f>
        <v/>
      </c>
      <c r="I668" s="7">
        <f>'1 prepared data'!H661</f>
        <v/>
      </c>
      <c r="J668" s="7">
        <f>'1 prepared data'!I661</f>
        <v/>
      </c>
      <c r="K668" s="7">
        <f>'1 prepared data'!J661</f>
        <v/>
      </c>
      <c r="L668" s="7">
        <f>'1 prepared data'!K661</f>
        <v/>
      </c>
      <c r="M668" s="7">
        <f>'1 prepared data'!L661</f>
        <v/>
      </c>
      <c r="N668" s="7">
        <f>'1 prepared data'!M661</f>
        <v/>
      </c>
      <c r="O668" s="7">
        <f>'1 prepared data'!N661</f>
        <v/>
      </c>
      <c r="P668" s="7">
        <f>'1 prepared data'!O661</f>
        <v/>
      </c>
      <c r="Q668" s="7">
        <f>'1 prepared data'!P661</f>
        <v/>
      </c>
      <c r="R668" s="7">
        <f>'1 prepared data'!Q661</f>
        <v/>
      </c>
      <c r="S668" s="7">
        <f>'1 prepared data'!R661</f>
        <v/>
      </c>
      <c r="T668" s="7">
        <f>'1 prepared data'!S661</f>
        <v/>
      </c>
      <c r="U668" s="7">
        <f>'1 prepared data'!T661</f>
        <v/>
      </c>
      <c r="V668" s="8">
        <f>$AC$12+D668*$AC$13+E668*$AC$14+F668*$AC$15+G668*$AC$16+H668*$AC$17+I668*$AC$18+J668*$AC$19+K668*$AC$20+L668*$AC$21+M668*$AC$22+N668*$AC$23+O668*$AC$24+P668*$AC$25+Q668*$AC$26+R668*$AC$27+S668*$AC$28+T668*$AC$29+U668*$AC$30</f>
        <v/>
      </c>
      <c r="W668" s="8">
        <f>1/(1+EXP(-V668))</f>
        <v/>
      </c>
      <c r="X668" s="9">
        <f>-IF(C668=1,LN(W668),LN(1-W668))</f>
        <v/>
      </c>
      <c r="Y668" s="10">
        <f>IF(W668&gt;$AC$33,1,0)</f>
        <v/>
      </c>
      <c r="Z668">
        <f>IF(Y668=C668,1,0)</f>
        <v/>
      </c>
    </row>
    <row r="669">
      <c r="A669">
        <f>'1 prepared data'!A662</f>
        <v/>
      </c>
      <c r="B669" s="5">
        <f>'1 prepared data'!U662</f>
        <v/>
      </c>
      <c r="C669">
        <f>'1 prepared data'!B662</f>
        <v/>
      </c>
      <c r="D669" s="7">
        <f>'1 prepared data'!C662</f>
        <v/>
      </c>
      <c r="E669" s="7">
        <f>'1 prepared data'!D662</f>
        <v/>
      </c>
      <c r="F669" s="7">
        <f>'1 prepared data'!E662</f>
        <v/>
      </c>
      <c r="G669" s="7">
        <f>'1 prepared data'!F662</f>
        <v/>
      </c>
      <c r="H669" s="7">
        <f>'1 prepared data'!G662</f>
        <v/>
      </c>
      <c r="I669" s="7">
        <f>'1 prepared data'!H662</f>
        <v/>
      </c>
      <c r="J669" s="7">
        <f>'1 prepared data'!I662</f>
        <v/>
      </c>
      <c r="K669" s="7">
        <f>'1 prepared data'!J662</f>
        <v/>
      </c>
      <c r="L669" s="7">
        <f>'1 prepared data'!K662</f>
        <v/>
      </c>
      <c r="M669" s="7">
        <f>'1 prepared data'!L662</f>
        <v/>
      </c>
      <c r="N669" s="7">
        <f>'1 prepared data'!M662</f>
        <v/>
      </c>
      <c r="O669" s="7">
        <f>'1 prepared data'!N662</f>
        <v/>
      </c>
      <c r="P669" s="7">
        <f>'1 prepared data'!O662</f>
        <v/>
      </c>
      <c r="Q669" s="7">
        <f>'1 prepared data'!P662</f>
        <v/>
      </c>
      <c r="R669" s="7">
        <f>'1 prepared data'!Q662</f>
        <v/>
      </c>
      <c r="S669" s="7">
        <f>'1 prepared data'!R662</f>
        <v/>
      </c>
      <c r="T669" s="7">
        <f>'1 prepared data'!S662</f>
        <v/>
      </c>
      <c r="U669" s="7">
        <f>'1 prepared data'!T662</f>
        <v/>
      </c>
      <c r="V669" s="8">
        <f>$AC$12+D669*$AC$13+E669*$AC$14+F669*$AC$15+G669*$AC$16+H669*$AC$17+I669*$AC$18+J669*$AC$19+K669*$AC$20+L669*$AC$21+M669*$AC$22+N669*$AC$23+O669*$AC$24+P669*$AC$25+Q669*$AC$26+R669*$AC$27+S669*$AC$28+T669*$AC$29+U669*$AC$30</f>
        <v/>
      </c>
      <c r="W669" s="8">
        <f>1/(1+EXP(-V669))</f>
        <v/>
      </c>
      <c r="X669" s="9">
        <f>-IF(C669=1,LN(W669),LN(1-W669))</f>
        <v/>
      </c>
      <c r="Y669" s="10">
        <f>IF(W669&gt;$AC$33,1,0)</f>
        <v/>
      </c>
      <c r="Z669">
        <f>IF(Y669=C669,1,0)</f>
        <v/>
      </c>
    </row>
    <row r="670">
      <c r="A670">
        <f>'1 prepared data'!A663</f>
        <v/>
      </c>
      <c r="B670" s="5">
        <f>'1 prepared data'!U663</f>
        <v/>
      </c>
      <c r="C670">
        <f>'1 prepared data'!B663</f>
        <v/>
      </c>
      <c r="D670" s="7">
        <f>'1 prepared data'!C663</f>
        <v/>
      </c>
      <c r="E670" s="7">
        <f>'1 prepared data'!D663</f>
        <v/>
      </c>
      <c r="F670" s="7">
        <f>'1 prepared data'!E663</f>
        <v/>
      </c>
      <c r="G670" s="7">
        <f>'1 prepared data'!F663</f>
        <v/>
      </c>
      <c r="H670" s="7">
        <f>'1 prepared data'!G663</f>
        <v/>
      </c>
      <c r="I670" s="7">
        <f>'1 prepared data'!H663</f>
        <v/>
      </c>
      <c r="J670" s="7">
        <f>'1 prepared data'!I663</f>
        <v/>
      </c>
      <c r="K670" s="7">
        <f>'1 prepared data'!J663</f>
        <v/>
      </c>
      <c r="L670" s="7">
        <f>'1 prepared data'!K663</f>
        <v/>
      </c>
      <c r="M670" s="7">
        <f>'1 prepared data'!L663</f>
        <v/>
      </c>
      <c r="N670" s="7">
        <f>'1 prepared data'!M663</f>
        <v/>
      </c>
      <c r="O670" s="7">
        <f>'1 prepared data'!N663</f>
        <v/>
      </c>
      <c r="P670" s="7">
        <f>'1 prepared data'!O663</f>
        <v/>
      </c>
      <c r="Q670" s="7">
        <f>'1 prepared data'!P663</f>
        <v/>
      </c>
      <c r="R670" s="7">
        <f>'1 prepared data'!Q663</f>
        <v/>
      </c>
      <c r="S670" s="7">
        <f>'1 prepared data'!R663</f>
        <v/>
      </c>
      <c r="T670" s="7">
        <f>'1 prepared data'!S663</f>
        <v/>
      </c>
      <c r="U670" s="7">
        <f>'1 prepared data'!T663</f>
        <v/>
      </c>
      <c r="V670" s="8">
        <f>$AC$12+D670*$AC$13+E670*$AC$14+F670*$AC$15+G670*$AC$16+H670*$AC$17+I670*$AC$18+J670*$AC$19+K670*$AC$20+L670*$AC$21+M670*$AC$22+N670*$AC$23+O670*$AC$24+P670*$AC$25+Q670*$AC$26+R670*$AC$27+S670*$AC$28+T670*$AC$29+U670*$AC$30</f>
        <v/>
      </c>
      <c r="W670" s="8">
        <f>1/(1+EXP(-V670))</f>
        <v/>
      </c>
      <c r="X670" s="9">
        <f>-IF(C670=1,LN(W670),LN(1-W670))</f>
        <v/>
      </c>
      <c r="Y670" s="10">
        <f>IF(W670&gt;$AC$33,1,0)</f>
        <v/>
      </c>
      <c r="Z670">
        <f>IF(Y670=C670,1,0)</f>
        <v/>
      </c>
    </row>
    <row r="671">
      <c r="A671">
        <f>'1 prepared data'!A664</f>
        <v/>
      </c>
      <c r="B671" s="5">
        <f>'1 prepared data'!U664</f>
        <v/>
      </c>
      <c r="C671">
        <f>'1 prepared data'!B664</f>
        <v/>
      </c>
      <c r="D671" s="7">
        <f>'1 prepared data'!C664</f>
        <v/>
      </c>
      <c r="E671" s="7">
        <f>'1 prepared data'!D664</f>
        <v/>
      </c>
      <c r="F671" s="7">
        <f>'1 prepared data'!E664</f>
        <v/>
      </c>
      <c r="G671" s="7">
        <f>'1 prepared data'!F664</f>
        <v/>
      </c>
      <c r="H671" s="7">
        <f>'1 prepared data'!G664</f>
        <v/>
      </c>
      <c r="I671" s="7">
        <f>'1 prepared data'!H664</f>
        <v/>
      </c>
      <c r="J671" s="7">
        <f>'1 prepared data'!I664</f>
        <v/>
      </c>
      <c r="K671" s="7">
        <f>'1 prepared data'!J664</f>
        <v/>
      </c>
      <c r="L671" s="7">
        <f>'1 prepared data'!K664</f>
        <v/>
      </c>
      <c r="M671" s="7">
        <f>'1 prepared data'!L664</f>
        <v/>
      </c>
      <c r="N671" s="7">
        <f>'1 prepared data'!M664</f>
        <v/>
      </c>
      <c r="O671" s="7">
        <f>'1 prepared data'!N664</f>
        <v/>
      </c>
      <c r="P671" s="7">
        <f>'1 prepared data'!O664</f>
        <v/>
      </c>
      <c r="Q671" s="7">
        <f>'1 prepared data'!P664</f>
        <v/>
      </c>
      <c r="R671" s="7">
        <f>'1 prepared data'!Q664</f>
        <v/>
      </c>
      <c r="S671" s="7">
        <f>'1 prepared data'!R664</f>
        <v/>
      </c>
      <c r="T671" s="7">
        <f>'1 prepared data'!S664</f>
        <v/>
      </c>
      <c r="U671" s="7">
        <f>'1 prepared data'!T664</f>
        <v/>
      </c>
      <c r="V671" s="8">
        <f>$AC$12+D671*$AC$13+E671*$AC$14+F671*$AC$15+G671*$AC$16+H671*$AC$17+I671*$AC$18+J671*$AC$19+K671*$AC$20+L671*$AC$21+M671*$AC$22+N671*$AC$23+O671*$AC$24+P671*$AC$25+Q671*$AC$26+R671*$AC$27+S671*$AC$28+T671*$AC$29+U671*$AC$30</f>
        <v/>
      </c>
      <c r="W671" s="8">
        <f>1/(1+EXP(-V671))</f>
        <v/>
      </c>
      <c r="X671" s="9">
        <f>-IF(C671=1,LN(W671),LN(1-W671))</f>
        <v/>
      </c>
      <c r="Y671" s="10">
        <f>IF(W671&gt;$AC$33,1,0)</f>
        <v/>
      </c>
      <c r="Z671">
        <f>IF(Y671=C671,1,0)</f>
        <v/>
      </c>
    </row>
    <row r="672">
      <c r="A672">
        <f>'1 prepared data'!A665</f>
        <v/>
      </c>
      <c r="B672" s="5">
        <f>'1 prepared data'!U665</f>
        <v/>
      </c>
      <c r="C672">
        <f>'1 prepared data'!B665</f>
        <v/>
      </c>
      <c r="D672" s="7">
        <f>'1 prepared data'!C665</f>
        <v/>
      </c>
      <c r="E672" s="7">
        <f>'1 prepared data'!D665</f>
        <v/>
      </c>
      <c r="F672" s="7">
        <f>'1 prepared data'!E665</f>
        <v/>
      </c>
      <c r="G672" s="7">
        <f>'1 prepared data'!F665</f>
        <v/>
      </c>
      <c r="H672" s="7">
        <f>'1 prepared data'!G665</f>
        <v/>
      </c>
      <c r="I672" s="7">
        <f>'1 prepared data'!H665</f>
        <v/>
      </c>
      <c r="J672" s="7">
        <f>'1 prepared data'!I665</f>
        <v/>
      </c>
      <c r="K672" s="7">
        <f>'1 prepared data'!J665</f>
        <v/>
      </c>
      <c r="L672" s="7">
        <f>'1 prepared data'!K665</f>
        <v/>
      </c>
      <c r="M672" s="7">
        <f>'1 prepared data'!L665</f>
        <v/>
      </c>
      <c r="N672" s="7">
        <f>'1 prepared data'!M665</f>
        <v/>
      </c>
      <c r="O672" s="7">
        <f>'1 prepared data'!N665</f>
        <v/>
      </c>
      <c r="P672" s="7">
        <f>'1 prepared data'!O665</f>
        <v/>
      </c>
      <c r="Q672" s="7">
        <f>'1 prepared data'!P665</f>
        <v/>
      </c>
      <c r="R672" s="7">
        <f>'1 prepared data'!Q665</f>
        <v/>
      </c>
      <c r="S672" s="7">
        <f>'1 prepared data'!R665</f>
        <v/>
      </c>
      <c r="T672" s="7">
        <f>'1 prepared data'!S665</f>
        <v/>
      </c>
      <c r="U672" s="7">
        <f>'1 prepared data'!T665</f>
        <v/>
      </c>
      <c r="V672" s="8">
        <f>$AC$12+D672*$AC$13+E672*$AC$14+F672*$AC$15+G672*$AC$16+H672*$AC$17+I672*$AC$18+J672*$AC$19+K672*$AC$20+L672*$AC$21+M672*$AC$22+N672*$AC$23+O672*$AC$24+P672*$AC$25+Q672*$AC$26+R672*$AC$27+S672*$AC$28+T672*$AC$29+U672*$AC$30</f>
        <v/>
      </c>
      <c r="W672" s="8">
        <f>1/(1+EXP(-V672))</f>
        <v/>
      </c>
      <c r="X672" s="9">
        <f>-IF(C672=1,LN(W672),LN(1-W672))</f>
        <v/>
      </c>
      <c r="Y672" s="10">
        <f>IF(W672&gt;$AC$33,1,0)</f>
        <v/>
      </c>
      <c r="Z672">
        <f>IF(Y672=C672,1,0)</f>
        <v/>
      </c>
    </row>
    <row r="673">
      <c r="A673">
        <f>'1 prepared data'!A666</f>
        <v/>
      </c>
      <c r="B673" s="5">
        <f>'1 prepared data'!U666</f>
        <v/>
      </c>
      <c r="C673">
        <f>'1 prepared data'!B666</f>
        <v/>
      </c>
      <c r="D673" s="7">
        <f>'1 prepared data'!C666</f>
        <v/>
      </c>
      <c r="E673" s="7">
        <f>'1 prepared data'!D666</f>
        <v/>
      </c>
      <c r="F673" s="7">
        <f>'1 prepared data'!E666</f>
        <v/>
      </c>
      <c r="G673" s="7">
        <f>'1 prepared data'!F666</f>
        <v/>
      </c>
      <c r="H673" s="7">
        <f>'1 prepared data'!G666</f>
        <v/>
      </c>
      <c r="I673" s="7">
        <f>'1 prepared data'!H666</f>
        <v/>
      </c>
      <c r="J673" s="7">
        <f>'1 prepared data'!I666</f>
        <v/>
      </c>
      <c r="K673" s="7">
        <f>'1 prepared data'!J666</f>
        <v/>
      </c>
      <c r="L673" s="7">
        <f>'1 prepared data'!K666</f>
        <v/>
      </c>
      <c r="M673" s="7">
        <f>'1 prepared data'!L666</f>
        <v/>
      </c>
      <c r="N673" s="7">
        <f>'1 prepared data'!M666</f>
        <v/>
      </c>
      <c r="O673" s="7">
        <f>'1 prepared data'!N666</f>
        <v/>
      </c>
      <c r="P673" s="7">
        <f>'1 prepared data'!O666</f>
        <v/>
      </c>
      <c r="Q673" s="7">
        <f>'1 prepared data'!P666</f>
        <v/>
      </c>
      <c r="R673" s="7">
        <f>'1 prepared data'!Q666</f>
        <v/>
      </c>
      <c r="S673" s="7">
        <f>'1 prepared data'!R666</f>
        <v/>
      </c>
      <c r="T673" s="7">
        <f>'1 prepared data'!S666</f>
        <v/>
      </c>
      <c r="U673" s="7">
        <f>'1 prepared data'!T666</f>
        <v/>
      </c>
      <c r="V673" s="8">
        <f>$AC$12+D673*$AC$13+E673*$AC$14+F673*$AC$15+G673*$AC$16+H673*$AC$17+I673*$AC$18+J673*$AC$19+K673*$AC$20+L673*$AC$21+M673*$AC$22+N673*$AC$23+O673*$AC$24+P673*$AC$25+Q673*$AC$26+R673*$AC$27+S673*$AC$28+T673*$AC$29+U673*$AC$30</f>
        <v/>
      </c>
      <c r="W673" s="8">
        <f>1/(1+EXP(-V673))</f>
        <v/>
      </c>
      <c r="X673" s="9">
        <f>-IF(C673=1,LN(W673),LN(1-W673))</f>
        <v/>
      </c>
      <c r="Y673" s="10">
        <f>IF(W673&gt;$AC$33,1,0)</f>
        <v/>
      </c>
      <c r="Z673">
        <f>IF(Y673=C673,1,0)</f>
        <v/>
      </c>
    </row>
    <row r="674">
      <c r="A674">
        <f>'1 prepared data'!A667</f>
        <v/>
      </c>
      <c r="B674" s="5">
        <f>'1 prepared data'!U667</f>
        <v/>
      </c>
      <c r="C674">
        <f>'1 prepared data'!B667</f>
        <v/>
      </c>
      <c r="D674" s="7">
        <f>'1 prepared data'!C667</f>
        <v/>
      </c>
      <c r="E674" s="7">
        <f>'1 prepared data'!D667</f>
        <v/>
      </c>
      <c r="F674" s="7">
        <f>'1 prepared data'!E667</f>
        <v/>
      </c>
      <c r="G674" s="7">
        <f>'1 prepared data'!F667</f>
        <v/>
      </c>
      <c r="H674" s="7">
        <f>'1 prepared data'!G667</f>
        <v/>
      </c>
      <c r="I674" s="7">
        <f>'1 prepared data'!H667</f>
        <v/>
      </c>
      <c r="J674" s="7">
        <f>'1 prepared data'!I667</f>
        <v/>
      </c>
      <c r="K674" s="7">
        <f>'1 prepared data'!J667</f>
        <v/>
      </c>
      <c r="L674" s="7">
        <f>'1 prepared data'!K667</f>
        <v/>
      </c>
      <c r="M674" s="7">
        <f>'1 prepared data'!L667</f>
        <v/>
      </c>
      <c r="N674" s="7">
        <f>'1 prepared data'!M667</f>
        <v/>
      </c>
      <c r="O674" s="7">
        <f>'1 prepared data'!N667</f>
        <v/>
      </c>
      <c r="P674" s="7">
        <f>'1 prepared data'!O667</f>
        <v/>
      </c>
      <c r="Q674" s="7">
        <f>'1 prepared data'!P667</f>
        <v/>
      </c>
      <c r="R674" s="7">
        <f>'1 prepared data'!Q667</f>
        <v/>
      </c>
      <c r="S674" s="7">
        <f>'1 prepared data'!R667</f>
        <v/>
      </c>
      <c r="T674" s="7">
        <f>'1 prepared data'!S667</f>
        <v/>
      </c>
      <c r="U674" s="7">
        <f>'1 prepared data'!T667</f>
        <v/>
      </c>
      <c r="V674" s="8">
        <f>$AC$12+D674*$AC$13+E674*$AC$14+F674*$AC$15+G674*$AC$16+H674*$AC$17+I674*$AC$18+J674*$AC$19+K674*$AC$20+L674*$AC$21+M674*$AC$22+N674*$AC$23+O674*$AC$24+P674*$AC$25+Q674*$AC$26+R674*$AC$27+S674*$AC$28+T674*$AC$29+U674*$AC$30</f>
        <v/>
      </c>
      <c r="W674" s="8">
        <f>1/(1+EXP(-V674))</f>
        <v/>
      </c>
      <c r="X674" s="9">
        <f>-IF(C674=1,LN(W674),LN(1-W674))</f>
        <v/>
      </c>
      <c r="Y674" s="10">
        <f>IF(W674&gt;$AC$33,1,0)</f>
        <v/>
      </c>
      <c r="Z674">
        <f>IF(Y674=C674,1,0)</f>
        <v/>
      </c>
    </row>
    <row r="675">
      <c r="A675">
        <f>'1 prepared data'!A668</f>
        <v/>
      </c>
      <c r="B675" s="5">
        <f>'1 prepared data'!U668</f>
        <v/>
      </c>
      <c r="C675">
        <f>'1 prepared data'!B668</f>
        <v/>
      </c>
      <c r="D675" s="7">
        <f>'1 prepared data'!C668</f>
        <v/>
      </c>
      <c r="E675" s="7">
        <f>'1 prepared data'!D668</f>
        <v/>
      </c>
      <c r="F675" s="7">
        <f>'1 prepared data'!E668</f>
        <v/>
      </c>
      <c r="G675" s="7">
        <f>'1 prepared data'!F668</f>
        <v/>
      </c>
      <c r="H675" s="7">
        <f>'1 prepared data'!G668</f>
        <v/>
      </c>
      <c r="I675" s="7">
        <f>'1 prepared data'!H668</f>
        <v/>
      </c>
      <c r="J675" s="7">
        <f>'1 prepared data'!I668</f>
        <v/>
      </c>
      <c r="K675" s="7">
        <f>'1 prepared data'!J668</f>
        <v/>
      </c>
      <c r="L675" s="7">
        <f>'1 prepared data'!K668</f>
        <v/>
      </c>
      <c r="M675" s="7">
        <f>'1 prepared data'!L668</f>
        <v/>
      </c>
      <c r="N675" s="7">
        <f>'1 prepared data'!M668</f>
        <v/>
      </c>
      <c r="O675" s="7">
        <f>'1 prepared data'!N668</f>
        <v/>
      </c>
      <c r="P675" s="7">
        <f>'1 prepared data'!O668</f>
        <v/>
      </c>
      <c r="Q675" s="7">
        <f>'1 prepared data'!P668</f>
        <v/>
      </c>
      <c r="R675" s="7">
        <f>'1 prepared data'!Q668</f>
        <v/>
      </c>
      <c r="S675" s="7">
        <f>'1 prepared data'!R668</f>
        <v/>
      </c>
      <c r="T675" s="7">
        <f>'1 prepared data'!S668</f>
        <v/>
      </c>
      <c r="U675" s="7">
        <f>'1 prepared data'!T668</f>
        <v/>
      </c>
      <c r="V675" s="8">
        <f>$AC$12+D675*$AC$13+E675*$AC$14+F675*$AC$15+G675*$AC$16+H675*$AC$17+I675*$AC$18+J675*$AC$19+K675*$AC$20+L675*$AC$21+M675*$AC$22+N675*$AC$23+O675*$AC$24+P675*$AC$25+Q675*$AC$26+R675*$AC$27+S675*$AC$28+T675*$AC$29+U675*$AC$30</f>
        <v/>
      </c>
      <c r="W675" s="8">
        <f>1/(1+EXP(-V675))</f>
        <v/>
      </c>
      <c r="X675" s="9">
        <f>-IF(C675=1,LN(W675),LN(1-W675))</f>
        <v/>
      </c>
      <c r="Y675" s="10">
        <f>IF(W675&gt;$AC$33,1,0)</f>
        <v/>
      </c>
      <c r="Z675">
        <f>IF(Y675=C675,1,0)</f>
        <v/>
      </c>
    </row>
    <row r="676">
      <c r="A676">
        <f>'1 prepared data'!A669</f>
        <v/>
      </c>
      <c r="B676" s="5">
        <f>'1 prepared data'!U669</f>
        <v/>
      </c>
      <c r="C676">
        <f>'1 prepared data'!B669</f>
        <v/>
      </c>
      <c r="D676" s="7">
        <f>'1 prepared data'!C669</f>
        <v/>
      </c>
      <c r="E676" s="7">
        <f>'1 prepared data'!D669</f>
        <v/>
      </c>
      <c r="F676" s="7">
        <f>'1 prepared data'!E669</f>
        <v/>
      </c>
      <c r="G676" s="7">
        <f>'1 prepared data'!F669</f>
        <v/>
      </c>
      <c r="H676" s="7">
        <f>'1 prepared data'!G669</f>
        <v/>
      </c>
      <c r="I676" s="7">
        <f>'1 prepared data'!H669</f>
        <v/>
      </c>
      <c r="J676" s="7">
        <f>'1 prepared data'!I669</f>
        <v/>
      </c>
      <c r="K676" s="7">
        <f>'1 prepared data'!J669</f>
        <v/>
      </c>
      <c r="L676" s="7">
        <f>'1 prepared data'!K669</f>
        <v/>
      </c>
      <c r="M676" s="7">
        <f>'1 prepared data'!L669</f>
        <v/>
      </c>
      <c r="N676" s="7">
        <f>'1 prepared data'!M669</f>
        <v/>
      </c>
      <c r="O676" s="7">
        <f>'1 prepared data'!N669</f>
        <v/>
      </c>
      <c r="P676" s="7">
        <f>'1 prepared data'!O669</f>
        <v/>
      </c>
      <c r="Q676" s="7">
        <f>'1 prepared data'!P669</f>
        <v/>
      </c>
      <c r="R676" s="7">
        <f>'1 prepared data'!Q669</f>
        <v/>
      </c>
      <c r="S676" s="7">
        <f>'1 prepared data'!R669</f>
        <v/>
      </c>
      <c r="T676" s="7">
        <f>'1 prepared data'!S669</f>
        <v/>
      </c>
      <c r="U676" s="7">
        <f>'1 prepared data'!T669</f>
        <v/>
      </c>
      <c r="V676" s="8">
        <f>$AC$12+D676*$AC$13+E676*$AC$14+F676*$AC$15+G676*$AC$16+H676*$AC$17+I676*$AC$18+J676*$AC$19+K676*$AC$20+L676*$AC$21+M676*$AC$22+N676*$AC$23+O676*$AC$24+P676*$AC$25+Q676*$AC$26+R676*$AC$27+S676*$AC$28+T676*$AC$29+U676*$AC$30</f>
        <v/>
      </c>
      <c r="W676" s="8">
        <f>1/(1+EXP(-V676))</f>
        <v/>
      </c>
      <c r="X676" s="9">
        <f>-IF(C676=1,LN(W676),LN(1-W676))</f>
        <v/>
      </c>
      <c r="Y676" s="10">
        <f>IF(W676&gt;$AC$33,1,0)</f>
        <v/>
      </c>
      <c r="Z676">
        <f>IF(Y676=C676,1,0)</f>
        <v/>
      </c>
    </row>
    <row r="677">
      <c r="A677">
        <f>'1 prepared data'!A670</f>
        <v/>
      </c>
      <c r="B677" s="5">
        <f>'1 prepared data'!U670</f>
        <v/>
      </c>
      <c r="C677">
        <f>'1 prepared data'!B670</f>
        <v/>
      </c>
      <c r="D677" s="7">
        <f>'1 prepared data'!C670</f>
        <v/>
      </c>
      <c r="E677" s="7">
        <f>'1 prepared data'!D670</f>
        <v/>
      </c>
      <c r="F677" s="7">
        <f>'1 prepared data'!E670</f>
        <v/>
      </c>
      <c r="G677" s="7">
        <f>'1 prepared data'!F670</f>
        <v/>
      </c>
      <c r="H677" s="7">
        <f>'1 prepared data'!G670</f>
        <v/>
      </c>
      <c r="I677" s="7">
        <f>'1 prepared data'!H670</f>
        <v/>
      </c>
      <c r="J677" s="7">
        <f>'1 prepared data'!I670</f>
        <v/>
      </c>
      <c r="K677" s="7">
        <f>'1 prepared data'!J670</f>
        <v/>
      </c>
      <c r="L677" s="7">
        <f>'1 prepared data'!K670</f>
        <v/>
      </c>
      <c r="M677" s="7">
        <f>'1 prepared data'!L670</f>
        <v/>
      </c>
      <c r="N677" s="7">
        <f>'1 prepared data'!M670</f>
        <v/>
      </c>
      <c r="O677" s="7">
        <f>'1 prepared data'!N670</f>
        <v/>
      </c>
      <c r="P677" s="7">
        <f>'1 prepared data'!O670</f>
        <v/>
      </c>
      <c r="Q677" s="7">
        <f>'1 prepared data'!P670</f>
        <v/>
      </c>
      <c r="R677" s="7">
        <f>'1 prepared data'!Q670</f>
        <v/>
      </c>
      <c r="S677" s="7">
        <f>'1 prepared data'!R670</f>
        <v/>
      </c>
      <c r="T677" s="7">
        <f>'1 prepared data'!S670</f>
        <v/>
      </c>
      <c r="U677" s="7">
        <f>'1 prepared data'!T670</f>
        <v/>
      </c>
      <c r="V677" s="8">
        <f>$AC$12+D677*$AC$13+E677*$AC$14+F677*$AC$15+G677*$AC$16+H677*$AC$17+I677*$AC$18+J677*$AC$19+K677*$AC$20+L677*$AC$21+M677*$AC$22+N677*$AC$23+O677*$AC$24+P677*$AC$25+Q677*$AC$26+R677*$AC$27+S677*$AC$28+T677*$AC$29+U677*$AC$30</f>
        <v/>
      </c>
      <c r="W677" s="8">
        <f>1/(1+EXP(-V677))</f>
        <v/>
      </c>
      <c r="X677" s="9">
        <f>-IF(C677=1,LN(W677),LN(1-W677))</f>
        <v/>
      </c>
      <c r="Y677" s="10">
        <f>IF(W677&gt;$AC$33,1,0)</f>
        <v/>
      </c>
      <c r="Z677">
        <f>IF(Y677=C677,1,0)</f>
        <v/>
      </c>
    </row>
    <row r="678">
      <c r="A678">
        <f>'1 prepared data'!A671</f>
        <v/>
      </c>
      <c r="B678" s="5">
        <f>'1 prepared data'!U671</f>
        <v/>
      </c>
      <c r="C678">
        <f>'1 prepared data'!B671</f>
        <v/>
      </c>
      <c r="D678" s="7">
        <f>'1 prepared data'!C671</f>
        <v/>
      </c>
      <c r="E678" s="7">
        <f>'1 prepared data'!D671</f>
        <v/>
      </c>
      <c r="F678" s="7">
        <f>'1 prepared data'!E671</f>
        <v/>
      </c>
      <c r="G678" s="7">
        <f>'1 prepared data'!F671</f>
        <v/>
      </c>
      <c r="H678" s="7">
        <f>'1 prepared data'!G671</f>
        <v/>
      </c>
      <c r="I678" s="7">
        <f>'1 prepared data'!H671</f>
        <v/>
      </c>
      <c r="J678" s="7">
        <f>'1 prepared data'!I671</f>
        <v/>
      </c>
      <c r="K678" s="7">
        <f>'1 prepared data'!J671</f>
        <v/>
      </c>
      <c r="L678" s="7">
        <f>'1 prepared data'!K671</f>
        <v/>
      </c>
      <c r="M678" s="7">
        <f>'1 prepared data'!L671</f>
        <v/>
      </c>
      <c r="N678" s="7">
        <f>'1 prepared data'!M671</f>
        <v/>
      </c>
      <c r="O678" s="7">
        <f>'1 prepared data'!N671</f>
        <v/>
      </c>
      <c r="P678" s="7">
        <f>'1 prepared data'!O671</f>
        <v/>
      </c>
      <c r="Q678" s="7">
        <f>'1 prepared data'!P671</f>
        <v/>
      </c>
      <c r="R678" s="7">
        <f>'1 prepared data'!Q671</f>
        <v/>
      </c>
      <c r="S678" s="7">
        <f>'1 prepared data'!R671</f>
        <v/>
      </c>
      <c r="T678" s="7">
        <f>'1 prepared data'!S671</f>
        <v/>
      </c>
      <c r="U678" s="7">
        <f>'1 prepared data'!T671</f>
        <v/>
      </c>
      <c r="V678" s="8">
        <f>$AC$12+D678*$AC$13+E678*$AC$14+F678*$AC$15+G678*$AC$16+H678*$AC$17+I678*$AC$18+J678*$AC$19+K678*$AC$20+L678*$AC$21+M678*$AC$22+N678*$AC$23+O678*$AC$24+P678*$AC$25+Q678*$AC$26+R678*$AC$27+S678*$AC$28+T678*$AC$29+U678*$AC$30</f>
        <v/>
      </c>
      <c r="W678" s="8">
        <f>1/(1+EXP(-V678))</f>
        <v/>
      </c>
      <c r="X678" s="9">
        <f>-IF(C678=1,LN(W678),LN(1-W678))</f>
        <v/>
      </c>
      <c r="Y678" s="10">
        <f>IF(W678&gt;$AC$33,1,0)</f>
        <v/>
      </c>
      <c r="Z678">
        <f>IF(Y678=C678,1,0)</f>
        <v/>
      </c>
    </row>
    <row r="679">
      <c r="A679">
        <f>'1 prepared data'!A672</f>
        <v/>
      </c>
      <c r="B679" s="5">
        <f>'1 prepared data'!U672</f>
        <v/>
      </c>
      <c r="C679">
        <f>'1 prepared data'!B672</f>
        <v/>
      </c>
      <c r="D679" s="7">
        <f>'1 prepared data'!C672</f>
        <v/>
      </c>
      <c r="E679" s="7">
        <f>'1 prepared data'!D672</f>
        <v/>
      </c>
      <c r="F679" s="7">
        <f>'1 prepared data'!E672</f>
        <v/>
      </c>
      <c r="G679" s="7">
        <f>'1 prepared data'!F672</f>
        <v/>
      </c>
      <c r="H679" s="7">
        <f>'1 prepared data'!G672</f>
        <v/>
      </c>
      <c r="I679" s="7">
        <f>'1 prepared data'!H672</f>
        <v/>
      </c>
      <c r="J679" s="7">
        <f>'1 prepared data'!I672</f>
        <v/>
      </c>
      <c r="K679" s="7">
        <f>'1 prepared data'!J672</f>
        <v/>
      </c>
      <c r="L679" s="7">
        <f>'1 prepared data'!K672</f>
        <v/>
      </c>
      <c r="M679" s="7">
        <f>'1 prepared data'!L672</f>
        <v/>
      </c>
      <c r="N679" s="7">
        <f>'1 prepared data'!M672</f>
        <v/>
      </c>
      <c r="O679" s="7">
        <f>'1 prepared data'!N672</f>
        <v/>
      </c>
      <c r="P679" s="7">
        <f>'1 prepared data'!O672</f>
        <v/>
      </c>
      <c r="Q679" s="7">
        <f>'1 prepared data'!P672</f>
        <v/>
      </c>
      <c r="R679" s="7">
        <f>'1 prepared data'!Q672</f>
        <v/>
      </c>
      <c r="S679" s="7">
        <f>'1 prepared data'!R672</f>
        <v/>
      </c>
      <c r="T679" s="7">
        <f>'1 prepared data'!S672</f>
        <v/>
      </c>
      <c r="U679" s="7">
        <f>'1 prepared data'!T672</f>
        <v/>
      </c>
      <c r="V679" s="8">
        <f>$AC$12+D679*$AC$13+E679*$AC$14+F679*$AC$15+G679*$AC$16+H679*$AC$17+I679*$AC$18+J679*$AC$19+K679*$AC$20+L679*$AC$21+M679*$AC$22+N679*$AC$23+O679*$AC$24+P679*$AC$25+Q679*$AC$26+R679*$AC$27+S679*$AC$28+T679*$AC$29+U679*$AC$30</f>
        <v/>
      </c>
      <c r="W679" s="8">
        <f>1/(1+EXP(-V679))</f>
        <v/>
      </c>
      <c r="X679" s="9">
        <f>-IF(C679=1,LN(W679),LN(1-W679))</f>
        <v/>
      </c>
      <c r="Y679" s="10">
        <f>IF(W679&gt;$AC$33,1,0)</f>
        <v/>
      </c>
      <c r="Z679">
        <f>IF(Y679=C679,1,0)</f>
        <v/>
      </c>
    </row>
    <row r="680">
      <c r="A680">
        <f>'1 prepared data'!A673</f>
        <v/>
      </c>
      <c r="B680" s="5">
        <f>'1 prepared data'!U673</f>
        <v/>
      </c>
      <c r="C680">
        <f>'1 prepared data'!B673</f>
        <v/>
      </c>
      <c r="D680" s="7">
        <f>'1 prepared data'!C673</f>
        <v/>
      </c>
      <c r="E680" s="7">
        <f>'1 prepared data'!D673</f>
        <v/>
      </c>
      <c r="F680" s="7">
        <f>'1 prepared data'!E673</f>
        <v/>
      </c>
      <c r="G680" s="7">
        <f>'1 prepared data'!F673</f>
        <v/>
      </c>
      <c r="H680" s="7">
        <f>'1 prepared data'!G673</f>
        <v/>
      </c>
      <c r="I680" s="7">
        <f>'1 prepared data'!H673</f>
        <v/>
      </c>
      <c r="J680" s="7">
        <f>'1 prepared data'!I673</f>
        <v/>
      </c>
      <c r="K680" s="7">
        <f>'1 prepared data'!J673</f>
        <v/>
      </c>
      <c r="L680" s="7">
        <f>'1 prepared data'!K673</f>
        <v/>
      </c>
      <c r="M680" s="7">
        <f>'1 prepared data'!L673</f>
        <v/>
      </c>
      <c r="N680" s="7">
        <f>'1 prepared data'!M673</f>
        <v/>
      </c>
      <c r="O680" s="7">
        <f>'1 prepared data'!N673</f>
        <v/>
      </c>
      <c r="P680" s="7">
        <f>'1 prepared data'!O673</f>
        <v/>
      </c>
      <c r="Q680" s="7">
        <f>'1 prepared data'!P673</f>
        <v/>
      </c>
      <c r="R680" s="7">
        <f>'1 prepared data'!Q673</f>
        <v/>
      </c>
      <c r="S680" s="7">
        <f>'1 prepared data'!R673</f>
        <v/>
      </c>
      <c r="T680" s="7">
        <f>'1 prepared data'!S673</f>
        <v/>
      </c>
      <c r="U680" s="7">
        <f>'1 prepared data'!T673</f>
        <v/>
      </c>
      <c r="V680" s="8">
        <f>$AC$12+D680*$AC$13+E680*$AC$14+F680*$AC$15+G680*$AC$16+H680*$AC$17+I680*$AC$18+J680*$AC$19+K680*$AC$20+L680*$AC$21+M680*$AC$22+N680*$AC$23+O680*$AC$24+P680*$AC$25+Q680*$AC$26+R680*$AC$27+S680*$AC$28+T680*$AC$29+U680*$AC$30</f>
        <v/>
      </c>
      <c r="W680" s="8">
        <f>1/(1+EXP(-V680))</f>
        <v/>
      </c>
      <c r="X680" s="9">
        <f>-IF(C680=1,LN(W680),LN(1-W680))</f>
        <v/>
      </c>
      <c r="Y680" s="10">
        <f>IF(W680&gt;$AC$33,1,0)</f>
        <v/>
      </c>
      <c r="Z680">
        <f>IF(Y680=C680,1,0)</f>
        <v/>
      </c>
    </row>
    <row r="681">
      <c r="A681">
        <f>'1 prepared data'!A674</f>
        <v/>
      </c>
      <c r="B681" s="5">
        <f>'1 prepared data'!U674</f>
        <v/>
      </c>
      <c r="C681">
        <f>'1 prepared data'!B674</f>
        <v/>
      </c>
      <c r="D681" s="7">
        <f>'1 prepared data'!C674</f>
        <v/>
      </c>
      <c r="E681" s="7">
        <f>'1 prepared data'!D674</f>
        <v/>
      </c>
      <c r="F681" s="7">
        <f>'1 prepared data'!E674</f>
        <v/>
      </c>
      <c r="G681" s="7">
        <f>'1 prepared data'!F674</f>
        <v/>
      </c>
      <c r="H681" s="7">
        <f>'1 prepared data'!G674</f>
        <v/>
      </c>
      <c r="I681" s="7">
        <f>'1 prepared data'!H674</f>
        <v/>
      </c>
      <c r="J681" s="7">
        <f>'1 prepared data'!I674</f>
        <v/>
      </c>
      <c r="K681" s="7">
        <f>'1 prepared data'!J674</f>
        <v/>
      </c>
      <c r="L681" s="7">
        <f>'1 prepared data'!K674</f>
        <v/>
      </c>
      <c r="M681" s="7">
        <f>'1 prepared data'!L674</f>
        <v/>
      </c>
      <c r="N681" s="7">
        <f>'1 prepared data'!M674</f>
        <v/>
      </c>
      <c r="O681" s="7">
        <f>'1 prepared data'!N674</f>
        <v/>
      </c>
      <c r="P681" s="7">
        <f>'1 prepared data'!O674</f>
        <v/>
      </c>
      <c r="Q681" s="7">
        <f>'1 prepared data'!P674</f>
        <v/>
      </c>
      <c r="R681" s="7">
        <f>'1 prepared data'!Q674</f>
        <v/>
      </c>
      <c r="S681" s="7">
        <f>'1 prepared data'!R674</f>
        <v/>
      </c>
      <c r="T681" s="7">
        <f>'1 prepared data'!S674</f>
        <v/>
      </c>
      <c r="U681" s="7">
        <f>'1 prepared data'!T674</f>
        <v/>
      </c>
      <c r="V681" s="8">
        <f>$AC$12+D681*$AC$13+E681*$AC$14+F681*$AC$15+G681*$AC$16+H681*$AC$17+I681*$AC$18+J681*$AC$19+K681*$AC$20+L681*$AC$21+M681*$AC$22+N681*$AC$23+O681*$AC$24+P681*$AC$25+Q681*$AC$26+R681*$AC$27+S681*$AC$28+T681*$AC$29+U681*$AC$30</f>
        <v/>
      </c>
      <c r="W681" s="8">
        <f>1/(1+EXP(-V681))</f>
        <v/>
      </c>
      <c r="X681" s="9">
        <f>-IF(C681=1,LN(W681),LN(1-W681))</f>
        <v/>
      </c>
      <c r="Y681" s="10">
        <f>IF(W681&gt;$AC$33,1,0)</f>
        <v/>
      </c>
      <c r="Z681">
        <f>IF(Y681=C681,1,0)</f>
        <v/>
      </c>
    </row>
    <row r="682">
      <c r="A682">
        <f>'1 prepared data'!A675</f>
        <v/>
      </c>
      <c r="B682" s="5">
        <f>'1 prepared data'!U675</f>
        <v/>
      </c>
      <c r="C682">
        <f>'1 prepared data'!B675</f>
        <v/>
      </c>
      <c r="D682" s="7">
        <f>'1 prepared data'!C675</f>
        <v/>
      </c>
      <c r="E682" s="7">
        <f>'1 prepared data'!D675</f>
        <v/>
      </c>
      <c r="F682" s="7">
        <f>'1 prepared data'!E675</f>
        <v/>
      </c>
      <c r="G682" s="7">
        <f>'1 prepared data'!F675</f>
        <v/>
      </c>
      <c r="H682" s="7">
        <f>'1 prepared data'!G675</f>
        <v/>
      </c>
      <c r="I682" s="7">
        <f>'1 prepared data'!H675</f>
        <v/>
      </c>
      <c r="J682" s="7">
        <f>'1 prepared data'!I675</f>
        <v/>
      </c>
      <c r="K682" s="7">
        <f>'1 prepared data'!J675</f>
        <v/>
      </c>
      <c r="L682" s="7">
        <f>'1 prepared data'!K675</f>
        <v/>
      </c>
      <c r="M682" s="7">
        <f>'1 prepared data'!L675</f>
        <v/>
      </c>
      <c r="N682" s="7">
        <f>'1 prepared data'!M675</f>
        <v/>
      </c>
      <c r="O682" s="7">
        <f>'1 prepared data'!N675</f>
        <v/>
      </c>
      <c r="P682" s="7">
        <f>'1 prepared data'!O675</f>
        <v/>
      </c>
      <c r="Q682" s="7">
        <f>'1 prepared data'!P675</f>
        <v/>
      </c>
      <c r="R682" s="7">
        <f>'1 prepared data'!Q675</f>
        <v/>
      </c>
      <c r="S682" s="7">
        <f>'1 prepared data'!R675</f>
        <v/>
      </c>
      <c r="T682" s="7">
        <f>'1 prepared data'!S675</f>
        <v/>
      </c>
      <c r="U682" s="7">
        <f>'1 prepared data'!T675</f>
        <v/>
      </c>
      <c r="V682" s="8">
        <f>$AC$12+D682*$AC$13+E682*$AC$14+F682*$AC$15+G682*$AC$16+H682*$AC$17+I682*$AC$18+J682*$AC$19+K682*$AC$20+L682*$AC$21+M682*$AC$22+N682*$AC$23+O682*$AC$24+P682*$AC$25+Q682*$AC$26+R682*$AC$27+S682*$AC$28+T682*$AC$29+U682*$AC$30</f>
        <v/>
      </c>
      <c r="W682" s="8">
        <f>1/(1+EXP(-V682))</f>
        <v/>
      </c>
      <c r="X682" s="9">
        <f>-IF(C682=1,LN(W682),LN(1-W682))</f>
        <v/>
      </c>
      <c r="Y682" s="10">
        <f>IF(W682&gt;$AC$33,1,0)</f>
        <v/>
      </c>
      <c r="Z682">
        <f>IF(Y682=C682,1,0)</f>
        <v/>
      </c>
    </row>
    <row r="683">
      <c r="A683">
        <f>'1 prepared data'!A676</f>
        <v/>
      </c>
      <c r="B683" s="5">
        <f>'1 prepared data'!U676</f>
        <v/>
      </c>
      <c r="C683">
        <f>'1 prepared data'!B676</f>
        <v/>
      </c>
      <c r="D683" s="7">
        <f>'1 prepared data'!C676</f>
        <v/>
      </c>
      <c r="E683" s="7">
        <f>'1 prepared data'!D676</f>
        <v/>
      </c>
      <c r="F683" s="7">
        <f>'1 prepared data'!E676</f>
        <v/>
      </c>
      <c r="G683" s="7">
        <f>'1 prepared data'!F676</f>
        <v/>
      </c>
      <c r="H683" s="7">
        <f>'1 prepared data'!G676</f>
        <v/>
      </c>
      <c r="I683" s="7">
        <f>'1 prepared data'!H676</f>
        <v/>
      </c>
      <c r="J683" s="7">
        <f>'1 prepared data'!I676</f>
        <v/>
      </c>
      <c r="K683" s="7">
        <f>'1 prepared data'!J676</f>
        <v/>
      </c>
      <c r="L683" s="7">
        <f>'1 prepared data'!K676</f>
        <v/>
      </c>
      <c r="M683" s="7">
        <f>'1 prepared data'!L676</f>
        <v/>
      </c>
      <c r="N683" s="7">
        <f>'1 prepared data'!M676</f>
        <v/>
      </c>
      <c r="O683" s="7">
        <f>'1 prepared data'!N676</f>
        <v/>
      </c>
      <c r="P683" s="7">
        <f>'1 prepared data'!O676</f>
        <v/>
      </c>
      <c r="Q683" s="7">
        <f>'1 prepared data'!P676</f>
        <v/>
      </c>
      <c r="R683" s="7">
        <f>'1 prepared data'!Q676</f>
        <v/>
      </c>
      <c r="S683" s="7">
        <f>'1 prepared data'!R676</f>
        <v/>
      </c>
      <c r="T683" s="7">
        <f>'1 prepared data'!S676</f>
        <v/>
      </c>
      <c r="U683" s="7">
        <f>'1 prepared data'!T676</f>
        <v/>
      </c>
      <c r="V683" s="8">
        <f>$AC$12+D683*$AC$13+E683*$AC$14+F683*$AC$15+G683*$AC$16+H683*$AC$17+I683*$AC$18+J683*$AC$19+K683*$AC$20+L683*$AC$21+M683*$AC$22+N683*$AC$23+O683*$AC$24+P683*$AC$25+Q683*$AC$26+R683*$AC$27+S683*$AC$28+T683*$AC$29+U683*$AC$30</f>
        <v/>
      </c>
      <c r="W683" s="8">
        <f>1/(1+EXP(-V683))</f>
        <v/>
      </c>
      <c r="X683" s="9">
        <f>-IF(C683=1,LN(W683),LN(1-W683))</f>
        <v/>
      </c>
      <c r="Y683" s="10">
        <f>IF(W683&gt;$AC$33,1,0)</f>
        <v/>
      </c>
      <c r="Z683">
        <f>IF(Y683=C683,1,0)</f>
        <v/>
      </c>
    </row>
    <row r="684">
      <c r="A684">
        <f>'1 prepared data'!A677</f>
        <v/>
      </c>
      <c r="B684" s="5">
        <f>'1 prepared data'!U677</f>
        <v/>
      </c>
      <c r="C684">
        <f>'1 prepared data'!B677</f>
        <v/>
      </c>
      <c r="D684" s="7">
        <f>'1 prepared data'!C677</f>
        <v/>
      </c>
      <c r="E684" s="7">
        <f>'1 prepared data'!D677</f>
        <v/>
      </c>
      <c r="F684" s="7">
        <f>'1 prepared data'!E677</f>
        <v/>
      </c>
      <c r="G684" s="7">
        <f>'1 prepared data'!F677</f>
        <v/>
      </c>
      <c r="H684" s="7">
        <f>'1 prepared data'!G677</f>
        <v/>
      </c>
      <c r="I684" s="7">
        <f>'1 prepared data'!H677</f>
        <v/>
      </c>
      <c r="J684" s="7">
        <f>'1 prepared data'!I677</f>
        <v/>
      </c>
      <c r="K684" s="7">
        <f>'1 prepared data'!J677</f>
        <v/>
      </c>
      <c r="L684" s="7">
        <f>'1 prepared data'!K677</f>
        <v/>
      </c>
      <c r="M684" s="7">
        <f>'1 prepared data'!L677</f>
        <v/>
      </c>
      <c r="N684" s="7">
        <f>'1 prepared data'!M677</f>
        <v/>
      </c>
      <c r="O684" s="7">
        <f>'1 prepared data'!N677</f>
        <v/>
      </c>
      <c r="P684" s="7">
        <f>'1 prepared data'!O677</f>
        <v/>
      </c>
      <c r="Q684" s="7">
        <f>'1 prepared data'!P677</f>
        <v/>
      </c>
      <c r="R684" s="7">
        <f>'1 prepared data'!Q677</f>
        <v/>
      </c>
      <c r="S684" s="7">
        <f>'1 prepared data'!R677</f>
        <v/>
      </c>
      <c r="T684" s="7">
        <f>'1 prepared data'!S677</f>
        <v/>
      </c>
      <c r="U684" s="7">
        <f>'1 prepared data'!T677</f>
        <v/>
      </c>
      <c r="V684" s="8">
        <f>$AC$12+D684*$AC$13+E684*$AC$14+F684*$AC$15+G684*$AC$16+H684*$AC$17+I684*$AC$18+J684*$AC$19+K684*$AC$20+L684*$AC$21+M684*$AC$22+N684*$AC$23+O684*$AC$24+P684*$AC$25+Q684*$AC$26+R684*$AC$27+S684*$AC$28+T684*$AC$29+U684*$AC$30</f>
        <v/>
      </c>
      <c r="W684" s="8">
        <f>1/(1+EXP(-V684))</f>
        <v/>
      </c>
      <c r="X684" s="9">
        <f>-IF(C684=1,LN(W684),LN(1-W684))</f>
        <v/>
      </c>
      <c r="Y684" s="10">
        <f>IF(W684&gt;$AC$33,1,0)</f>
        <v/>
      </c>
      <c r="Z684">
        <f>IF(Y684=C684,1,0)</f>
        <v/>
      </c>
    </row>
    <row r="685">
      <c r="A685">
        <f>'1 prepared data'!A678</f>
        <v/>
      </c>
      <c r="B685" s="5">
        <f>'1 prepared data'!U678</f>
        <v/>
      </c>
      <c r="C685">
        <f>'1 prepared data'!B678</f>
        <v/>
      </c>
      <c r="D685" s="7">
        <f>'1 prepared data'!C678</f>
        <v/>
      </c>
      <c r="E685" s="7">
        <f>'1 prepared data'!D678</f>
        <v/>
      </c>
      <c r="F685" s="7">
        <f>'1 prepared data'!E678</f>
        <v/>
      </c>
      <c r="G685" s="7">
        <f>'1 prepared data'!F678</f>
        <v/>
      </c>
      <c r="H685" s="7">
        <f>'1 prepared data'!G678</f>
        <v/>
      </c>
      <c r="I685" s="7">
        <f>'1 prepared data'!H678</f>
        <v/>
      </c>
      <c r="J685" s="7">
        <f>'1 prepared data'!I678</f>
        <v/>
      </c>
      <c r="K685" s="7">
        <f>'1 prepared data'!J678</f>
        <v/>
      </c>
      <c r="L685" s="7">
        <f>'1 prepared data'!K678</f>
        <v/>
      </c>
      <c r="M685" s="7">
        <f>'1 prepared data'!L678</f>
        <v/>
      </c>
      <c r="N685" s="7">
        <f>'1 prepared data'!M678</f>
        <v/>
      </c>
      <c r="O685" s="7">
        <f>'1 prepared data'!N678</f>
        <v/>
      </c>
      <c r="P685" s="7">
        <f>'1 prepared data'!O678</f>
        <v/>
      </c>
      <c r="Q685" s="7">
        <f>'1 prepared data'!P678</f>
        <v/>
      </c>
      <c r="R685" s="7">
        <f>'1 prepared data'!Q678</f>
        <v/>
      </c>
      <c r="S685" s="7">
        <f>'1 prepared data'!R678</f>
        <v/>
      </c>
      <c r="T685" s="7">
        <f>'1 prepared data'!S678</f>
        <v/>
      </c>
      <c r="U685" s="7">
        <f>'1 prepared data'!T678</f>
        <v/>
      </c>
      <c r="V685" s="8">
        <f>$AC$12+D685*$AC$13+E685*$AC$14+F685*$AC$15+G685*$AC$16+H685*$AC$17+I685*$AC$18+J685*$AC$19+K685*$AC$20+L685*$AC$21+M685*$AC$22+N685*$AC$23+O685*$AC$24+P685*$AC$25+Q685*$AC$26+R685*$AC$27+S685*$AC$28+T685*$AC$29+U685*$AC$30</f>
        <v/>
      </c>
      <c r="W685" s="8">
        <f>1/(1+EXP(-V685))</f>
        <v/>
      </c>
      <c r="X685" s="9">
        <f>-IF(C685=1,LN(W685),LN(1-W685))</f>
        <v/>
      </c>
      <c r="Y685" s="10">
        <f>IF(W685&gt;$AC$33,1,0)</f>
        <v/>
      </c>
      <c r="Z685">
        <f>IF(Y685=C685,1,0)</f>
        <v/>
      </c>
    </row>
    <row r="686">
      <c r="A686">
        <f>'1 prepared data'!A679</f>
        <v/>
      </c>
      <c r="B686" s="5">
        <f>'1 prepared data'!U679</f>
        <v/>
      </c>
      <c r="C686">
        <f>'1 prepared data'!B679</f>
        <v/>
      </c>
      <c r="D686" s="7">
        <f>'1 prepared data'!C679</f>
        <v/>
      </c>
      <c r="E686" s="7">
        <f>'1 prepared data'!D679</f>
        <v/>
      </c>
      <c r="F686" s="7">
        <f>'1 prepared data'!E679</f>
        <v/>
      </c>
      <c r="G686" s="7">
        <f>'1 prepared data'!F679</f>
        <v/>
      </c>
      <c r="H686" s="7">
        <f>'1 prepared data'!G679</f>
        <v/>
      </c>
      <c r="I686" s="7">
        <f>'1 prepared data'!H679</f>
        <v/>
      </c>
      <c r="J686" s="7">
        <f>'1 prepared data'!I679</f>
        <v/>
      </c>
      <c r="K686" s="7">
        <f>'1 prepared data'!J679</f>
        <v/>
      </c>
      <c r="L686" s="7">
        <f>'1 prepared data'!K679</f>
        <v/>
      </c>
      <c r="M686" s="7">
        <f>'1 prepared data'!L679</f>
        <v/>
      </c>
      <c r="N686" s="7">
        <f>'1 prepared data'!M679</f>
        <v/>
      </c>
      <c r="O686" s="7">
        <f>'1 prepared data'!N679</f>
        <v/>
      </c>
      <c r="P686" s="7">
        <f>'1 prepared data'!O679</f>
        <v/>
      </c>
      <c r="Q686" s="7">
        <f>'1 prepared data'!P679</f>
        <v/>
      </c>
      <c r="R686" s="7">
        <f>'1 prepared data'!Q679</f>
        <v/>
      </c>
      <c r="S686" s="7">
        <f>'1 prepared data'!R679</f>
        <v/>
      </c>
      <c r="T686" s="7">
        <f>'1 prepared data'!S679</f>
        <v/>
      </c>
      <c r="U686" s="7">
        <f>'1 prepared data'!T679</f>
        <v/>
      </c>
      <c r="V686" s="8">
        <f>$AC$12+D686*$AC$13+E686*$AC$14+F686*$AC$15+G686*$AC$16+H686*$AC$17+I686*$AC$18+J686*$AC$19+K686*$AC$20+L686*$AC$21+M686*$AC$22+N686*$AC$23+O686*$AC$24+P686*$AC$25+Q686*$AC$26+R686*$AC$27+S686*$AC$28+T686*$AC$29+U686*$AC$30</f>
        <v/>
      </c>
      <c r="W686" s="8">
        <f>1/(1+EXP(-V686))</f>
        <v/>
      </c>
      <c r="X686" s="9">
        <f>-IF(C686=1,LN(W686),LN(1-W686))</f>
        <v/>
      </c>
      <c r="Y686" s="10">
        <f>IF(W686&gt;$AC$33,1,0)</f>
        <v/>
      </c>
      <c r="Z686">
        <f>IF(Y686=C686,1,0)</f>
        <v/>
      </c>
    </row>
    <row r="687">
      <c r="A687">
        <f>'1 prepared data'!A680</f>
        <v/>
      </c>
      <c r="B687" s="5">
        <f>'1 prepared data'!U680</f>
        <v/>
      </c>
      <c r="C687">
        <f>'1 prepared data'!B680</f>
        <v/>
      </c>
      <c r="D687" s="7">
        <f>'1 prepared data'!C680</f>
        <v/>
      </c>
      <c r="E687" s="7">
        <f>'1 prepared data'!D680</f>
        <v/>
      </c>
      <c r="F687" s="7">
        <f>'1 prepared data'!E680</f>
        <v/>
      </c>
      <c r="G687" s="7">
        <f>'1 prepared data'!F680</f>
        <v/>
      </c>
      <c r="H687" s="7">
        <f>'1 prepared data'!G680</f>
        <v/>
      </c>
      <c r="I687" s="7">
        <f>'1 prepared data'!H680</f>
        <v/>
      </c>
      <c r="J687" s="7">
        <f>'1 prepared data'!I680</f>
        <v/>
      </c>
      <c r="K687" s="7">
        <f>'1 prepared data'!J680</f>
        <v/>
      </c>
      <c r="L687" s="7">
        <f>'1 prepared data'!K680</f>
        <v/>
      </c>
      <c r="M687" s="7">
        <f>'1 prepared data'!L680</f>
        <v/>
      </c>
      <c r="N687" s="7">
        <f>'1 prepared data'!M680</f>
        <v/>
      </c>
      <c r="O687" s="7">
        <f>'1 prepared data'!N680</f>
        <v/>
      </c>
      <c r="P687" s="7">
        <f>'1 prepared data'!O680</f>
        <v/>
      </c>
      <c r="Q687" s="7">
        <f>'1 prepared data'!P680</f>
        <v/>
      </c>
      <c r="R687" s="7">
        <f>'1 prepared data'!Q680</f>
        <v/>
      </c>
      <c r="S687" s="7">
        <f>'1 prepared data'!R680</f>
        <v/>
      </c>
      <c r="T687" s="7">
        <f>'1 prepared data'!S680</f>
        <v/>
      </c>
      <c r="U687" s="7">
        <f>'1 prepared data'!T680</f>
        <v/>
      </c>
      <c r="V687" s="8">
        <f>$AC$12+D687*$AC$13+E687*$AC$14+F687*$AC$15+G687*$AC$16+H687*$AC$17+I687*$AC$18+J687*$AC$19+K687*$AC$20+L687*$AC$21+M687*$AC$22+N687*$AC$23+O687*$AC$24+P687*$AC$25+Q687*$AC$26+R687*$AC$27+S687*$AC$28+T687*$AC$29+U687*$AC$30</f>
        <v/>
      </c>
      <c r="W687" s="8">
        <f>1/(1+EXP(-V687))</f>
        <v/>
      </c>
      <c r="X687" s="9">
        <f>-IF(C687=1,LN(W687),LN(1-W687))</f>
        <v/>
      </c>
      <c r="Y687" s="10">
        <f>IF(W687&gt;$AC$33,1,0)</f>
        <v/>
      </c>
      <c r="Z687">
        <f>IF(Y687=C687,1,0)</f>
        <v/>
      </c>
    </row>
    <row r="688">
      <c r="A688">
        <f>'1 prepared data'!A681</f>
        <v/>
      </c>
      <c r="B688" s="5">
        <f>'1 prepared data'!U681</f>
        <v/>
      </c>
      <c r="C688">
        <f>'1 prepared data'!B681</f>
        <v/>
      </c>
      <c r="D688" s="7">
        <f>'1 prepared data'!C681</f>
        <v/>
      </c>
      <c r="E688" s="7">
        <f>'1 prepared data'!D681</f>
        <v/>
      </c>
      <c r="F688" s="7">
        <f>'1 prepared data'!E681</f>
        <v/>
      </c>
      <c r="G688" s="7">
        <f>'1 prepared data'!F681</f>
        <v/>
      </c>
      <c r="H688" s="7">
        <f>'1 prepared data'!G681</f>
        <v/>
      </c>
      <c r="I688" s="7">
        <f>'1 prepared data'!H681</f>
        <v/>
      </c>
      <c r="J688" s="7">
        <f>'1 prepared data'!I681</f>
        <v/>
      </c>
      <c r="K688" s="7">
        <f>'1 prepared data'!J681</f>
        <v/>
      </c>
      <c r="L688" s="7">
        <f>'1 prepared data'!K681</f>
        <v/>
      </c>
      <c r="M688" s="7">
        <f>'1 prepared data'!L681</f>
        <v/>
      </c>
      <c r="N688" s="7">
        <f>'1 prepared data'!M681</f>
        <v/>
      </c>
      <c r="O688" s="7">
        <f>'1 prepared data'!N681</f>
        <v/>
      </c>
      <c r="P688" s="7">
        <f>'1 prepared data'!O681</f>
        <v/>
      </c>
      <c r="Q688" s="7">
        <f>'1 prepared data'!P681</f>
        <v/>
      </c>
      <c r="R688" s="7">
        <f>'1 prepared data'!Q681</f>
        <v/>
      </c>
      <c r="S688" s="7">
        <f>'1 prepared data'!R681</f>
        <v/>
      </c>
      <c r="T688" s="7">
        <f>'1 prepared data'!S681</f>
        <v/>
      </c>
      <c r="U688" s="7">
        <f>'1 prepared data'!T681</f>
        <v/>
      </c>
      <c r="V688" s="8">
        <f>$AC$12+D688*$AC$13+E688*$AC$14+F688*$AC$15+G688*$AC$16+H688*$AC$17+I688*$AC$18+J688*$AC$19+K688*$AC$20+L688*$AC$21+M688*$AC$22+N688*$AC$23+O688*$AC$24+P688*$AC$25+Q688*$AC$26+R688*$AC$27+S688*$AC$28+T688*$AC$29+U688*$AC$30</f>
        <v/>
      </c>
      <c r="W688" s="8">
        <f>1/(1+EXP(-V688))</f>
        <v/>
      </c>
      <c r="X688" s="9">
        <f>-IF(C688=1,LN(W688),LN(1-W688))</f>
        <v/>
      </c>
      <c r="Y688" s="10">
        <f>IF(W688&gt;$AC$33,1,0)</f>
        <v/>
      </c>
      <c r="Z688">
        <f>IF(Y688=C688,1,0)</f>
        <v/>
      </c>
    </row>
    <row r="689">
      <c r="A689">
        <f>'1 prepared data'!A682</f>
        <v/>
      </c>
      <c r="B689" s="5">
        <f>'1 prepared data'!U682</f>
        <v/>
      </c>
      <c r="C689">
        <f>'1 prepared data'!B682</f>
        <v/>
      </c>
      <c r="D689" s="7">
        <f>'1 prepared data'!C682</f>
        <v/>
      </c>
      <c r="E689" s="7">
        <f>'1 prepared data'!D682</f>
        <v/>
      </c>
      <c r="F689" s="7">
        <f>'1 prepared data'!E682</f>
        <v/>
      </c>
      <c r="G689" s="7">
        <f>'1 prepared data'!F682</f>
        <v/>
      </c>
      <c r="H689" s="7">
        <f>'1 prepared data'!G682</f>
        <v/>
      </c>
      <c r="I689" s="7">
        <f>'1 prepared data'!H682</f>
        <v/>
      </c>
      <c r="J689" s="7">
        <f>'1 prepared data'!I682</f>
        <v/>
      </c>
      <c r="K689" s="7">
        <f>'1 prepared data'!J682</f>
        <v/>
      </c>
      <c r="L689" s="7">
        <f>'1 prepared data'!K682</f>
        <v/>
      </c>
      <c r="M689" s="7">
        <f>'1 prepared data'!L682</f>
        <v/>
      </c>
      <c r="N689" s="7">
        <f>'1 prepared data'!M682</f>
        <v/>
      </c>
      <c r="O689" s="7">
        <f>'1 prepared data'!N682</f>
        <v/>
      </c>
      <c r="P689" s="7">
        <f>'1 prepared data'!O682</f>
        <v/>
      </c>
      <c r="Q689" s="7">
        <f>'1 prepared data'!P682</f>
        <v/>
      </c>
      <c r="R689" s="7">
        <f>'1 prepared data'!Q682</f>
        <v/>
      </c>
      <c r="S689" s="7">
        <f>'1 prepared data'!R682</f>
        <v/>
      </c>
      <c r="T689" s="7">
        <f>'1 prepared data'!S682</f>
        <v/>
      </c>
      <c r="U689" s="7">
        <f>'1 prepared data'!T682</f>
        <v/>
      </c>
      <c r="V689" s="8">
        <f>$AC$12+D689*$AC$13+E689*$AC$14+F689*$AC$15+G689*$AC$16+H689*$AC$17+I689*$AC$18+J689*$AC$19+K689*$AC$20+L689*$AC$21+M689*$AC$22+N689*$AC$23+O689*$AC$24+P689*$AC$25+Q689*$AC$26+R689*$AC$27+S689*$AC$28+T689*$AC$29+U689*$AC$30</f>
        <v/>
      </c>
      <c r="W689" s="8">
        <f>1/(1+EXP(-V689))</f>
        <v/>
      </c>
      <c r="X689" s="9">
        <f>-IF(C689=1,LN(W689),LN(1-W689))</f>
        <v/>
      </c>
      <c r="Y689" s="10">
        <f>IF(W689&gt;$AC$33,1,0)</f>
        <v/>
      </c>
      <c r="Z689">
        <f>IF(Y689=C689,1,0)</f>
        <v/>
      </c>
    </row>
    <row r="690">
      <c r="A690">
        <f>'1 prepared data'!A683</f>
        <v/>
      </c>
      <c r="B690" s="5">
        <f>'1 prepared data'!U683</f>
        <v/>
      </c>
      <c r="C690">
        <f>'1 prepared data'!B683</f>
        <v/>
      </c>
      <c r="D690" s="7">
        <f>'1 prepared data'!C683</f>
        <v/>
      </c>
      <c r="E690" s="7">
        <f>'1 prepared data'!D683</f>
        <v/>
      </c>
      <c r="F690" s="7">
        <f>'1 prepared data'!E683</f>
        <v/>
      </c>
      <c r="G690" s="7">
        <f>'1 prepared data'!F683</f>
        <v/>
      </c>
      <c r="H690" s="7">
        <f>'1 prepared data'!G683</f>
        <v/>
      </c>
      <c r="I690" s="7">
        <f>'1 prepared data'!H683</f>
        <v/>
      </c>
      <c r="J690" s="7">
        <f>'1 prepared data'!I683</f>
        <v/>
      </c>
      <c r="K690" s="7">
        <f>'1 prepared data'!J683</f>
        <v/>
      </c>
      <c r="L690" s="7">
        <f>'1 prepared data'!K683</f>
        <v/>
      </c>
      <c r="M690" s="7">
        <f>'1 prepared data'!L683</f>
        <v/>
      </c>
      <c r="N690" s="7">
        <f>'1 prepared data'!M683</f>
        <v/>
      </c>
      <c r="O690" s="7">
        <f>'1 prepared data'!N683</f>
        <v/>
      </c>
      <c r="P690" s="7">
        <f>'1 prepared data'!O683</f>
        <v/>
      </c>
      <c r="Q690" s="7">
        <f>'1 prepared data'!P683</f>
        <v/>
      </c>
      <c r="R690" s="7">
        <f>'1 prepared data'!Q683</f>
        <v/>
      </c>
      <c r="S690" s="7">
        <f>'1 prepared data'!R683</f>
        <v/>
      </c>
      <c r="T690" s="7">
        <f>'1 prepared data'!S683</f>
        <v/>
      </c>
      <c r="U690" s="7">
        <f>'1 prepared data'!T683</f>
        <v/>
      </c>
      <c r="V690" s="8">
        <f>$AC$12+D690*$AC$13+E690*$AC$14+F690*$AC$15+G690*$AC$16+H690*$AC$17+I690*$AC$18+J690*$AC$19+K690*$AC$20+L690*$AC$21+M690*$AC$22+N690*$AC$23+O690*$AC$24+P690*$AC$25+Q690*$AC$26+R690*$AC$27+S690*$AC$28+T690*$AC$29+U690*$AC$30</f>
        <v/>
      </c>
      <c r="W690" s="8">
        <f>1/(1+EXP(-V690))</f>
        <v/>
      </c>
      <c r="X690" s="9">
        <f>-IF(C690=1,LN(W690),LN(1-W690))</f>
        <v/>
      </c>
      <c r="Y690" s="10">
        <f>IF(W690&gt;$AC$33,1,0)</f>
        <v/>
      </c>
      <c r="Z690">
        <f>IF(Y690=C690,1,0)</f>
        <v/>
      </c>
    </row>
    <row r="691">
      <c r="A691">
        <f>'1 prepared data'!A684</f>
        <v/>
      </c>
      <c r="B691" s="5">
        <f>'1 prepared data'!U684</f>
        <v/>
      </c>
      <c r="C691">
        <f>'1 prepared data'!B684</f>
        <v/>
      </c>
      <c r="D691" s="7">
        <f>'1 prepared data'!C684</f>
        <v/>
      </c>
      <c r="E691" s="7">
        <f>'1 prepared data'!D684</f>
        <v/>
      </c>
      <c r="F691" s="7">
        <f>'1 prepared data'!E684</f>
        <v/>
      </c>
      <c r="G691" s="7">
        <f>'1 prepared data'!F684</f>
        <v/>
      </c>
      <c r="H691" s="7">
        <f>'1 prepared data'!G684</f>
        <v/>
      </c>
      <c r="I691" s="7">
        <f>'1 prepared data'!H684</f>
        <v/>
      </c>
      <c r="J691" s="7">
        <f>'1 prepared data'!I684</f>
        <v/>
      </c>
      <c r="K691" s="7">
        <f>'1 prepared data'!J684</f>
        <v/>
      </c>
      <c r="L691" s="7">
        <f>'1 prepared data'!K684</f>
        <v/>
      </c>
      <c r="M691" s="7">
        <f>'1 prepared data'!L684</f>
        <v/>
      </c>
      <c r="N691" s="7">
        <f>'1 prepared data'!M684</f>
        <v/>
      </c>
      <c r="O691" s="7">
        <f>'1 prepared data'!N684</f>
        <v/>
      </c>
      <c r="P691" s="7">
        <f>'1 prepared data'!O684</f>
        <v/>
      </c>
      <c r="Q691" s="7">
        <f>'1 prepared data'!P684</f>
        <v/>
      </c>
      <c r="R691" s="7">
        <f>'1 prepared data'!Q684</f>
        <v/>
      </c>
      <c r="S691" s="7">
        <f>'1 prepared data'!R684</f>
        <v/>
      </c>
      <c r="T691" s="7">
        <f>'1 prepared data'!S684</f>
        <v/>
      </c>
      <c r="U691" s="7">
        <f>'1 prepared data'!T684</f>
        <v/>
      </c>
      <c r="V691" s="8">
        <f>$AC$12+D691*$AC$13+E691*$AC$14+F691*$AC$15+G691*$AC$16+H691*$AC$17+I691*$AC$18+J691*$AC$19+K691*$AC$20+L691*$AC$21+M691*$AC$22+N691*$AC$23+O691*$AC$24+P691*$AC$25+Q691*$AC$26+R691*$AC$27+S691*$AC$28+T691*$AC$29+U691*$AC$30</f>
        <v/>
      </c>
      <c r="W691" s="8">
        <f>1/(1+EXP(-V691))</f>
        <v/>
      </c>
      <c r="X691" s="9">
        <f>-IF(C691=1,LN(W691),LN(1-W691))</f>
        <v/>
      </c>
      <c r="Y691" s="10">
        <f>IF(W691&gt;$AC$33,1,0)</f>
        <v/>
      </c>
      <c r="Z691">
        <f>IF(Y691=C691,1,0)</f>
        <v/>
      </c>
    </row>
    <row r="692">
      <c r="A692">
        <f>'1 prepared data'!A685</f>
        <v/>
      </c>
      <c r="B692" s="5">
        <f>'1 prepared data'!U685</f>
        <v/>
      </c>
      <c r="C692">
        <f>'1 prepared data'!B685</f>
        <v/>
      </c>
      <c r="D692" s="7">
        <f>'1 prepared data'!C685</f>
        <v/>
      </c>
      <c r="E692" s="7">
        <f>'1 prepared data'!D685</f>
        <v/>
      </c>
      <c r="F692" s="7">
        <f>'1 prepared data'!E685</f>
        <v/>
      </c>
      <c r="G692" s="7">
        <f>'1 prepared data'!F685</f>
        <v/>
      </c>
      <c r="H692" s="7">
        <f>'1 prepared data'!G685</f>
        <v/>
      </c>
      <c r="I692" s="7">
        <f>'1 prepared data'!H685</f>
        <v/>
      </c>
      <c r="J692" s="7">
        <f>'1 prepared data'!I685</f>
        <v/>
      </c>
      <c r="K692" s="7">
        <f>'1 prepared data'!J685</f>
        <v/>
      </c>
      <c r="L692" s="7">
        <f>'1 prepared data'!K685</f>
        <v/>
      </c>
      <c r="M692" s="7">
        <f>'1 prepared data'!L685</f>
        <v/>
      </c>
      <c r="N692" s="7">
        <f>'1 prepared data'!M685</f>
        <v/>
      </c>
      <c r="O692" s="7">
        <f>'1 prepared data'!N685</f>
        <v/>
      </c>
      <c r="P692" s="7">
        <f>'1 prepared data'!O685</f>
        <v/>
      </c>
      <c r="Q692" s="7">
        <f>'1 prepared data'!P685</f>
        <v/>
      </c>
      <c r="R692" s="7">
        <f>'1 prepared data'!Q685</f>
        <v/>
      </c>
      <c r="S692" s="7">
        <f>'1 prepared data'!R685</f>
        <v/>
      </c>
      <c r="T692" s="7">
        <f>'1 prepared data'!S685</f>
        <v/>
      </c>
      <c r="U692" s="7">
        <f>'1 prepared data'!T685</f>
        <v/>
      </c>
      <c r="V692" s="8">
        <f>$AC$12+D692*$AC$13+E692*$AC$14+F692*$AC$15+G692*$AC$16+H692*$AC$17+I692*$AC$18+J692*$AC$19+K692*$AC$20+L692*$AC$21+M692*$AC$22+N692*$AC$23+O692*$AC$24+P692*$AC$25+Q692*$AC$26+R692*$AC$27+S692*$AC$28+T692*$AC$29+U692*$AC$30</f>
        <v/>
      </c>
      <c r="W692" s="8">
        <f>1/(1+EXP(-V692))</f>
        <v/>
      </c>
      <c r="X692" s="9">
        <f>-IF(C692=1,LN(W692),LN(1-W692))</f>
        <v/>
      </c>
      <c r="Y692" s="10">
        <f>IF(W692&gt;$AC$33,1,0)</f>
        <v/>
      </c>
      <c r="Z692">
        <f>IF(Y692=C692,1,0)</f>
        <v/>
      </c>
    </row>
    <row r="693">
      <c r="A693">
        <f>'1 prepared data'!A686</f>
        <v/>
      </c>
      <c r="B693" s="5">
        <f>'1 prepared data'!U686</f>
        <v/>
      </c>
      <c r="C693">
        <f>'1 prepared data'!B686</f>
        <v/>
      </c>
      <c r="D693" s="7">
        <f>'1 prepared data'!C686</f>
        <v/>
      </c>
      <c r="E693" s="7">
        <f>'1 prepared data'!D686</f>
        <v/>
      </c>
      <c r="F693" s="7">
        <f>'1 prepared data'!E686</f>
        <v/>
      </c>
      <c r="G693" s="7">
        <f>'1 prepared data'!F686</f>
        <v/>
      </c>
      <c r="H693" s="7">
        <f>'1 prepared data'!G686</f>
        <v/>
      </c>
      <c r="I693" s="7">
        <f>'1 prepared data'!H686</f>
        <v/>
      </c>
      <c r="J693" s="7">
        <f>'1 prepared data'!I686</f>
        <v/>
      </c>
      <c r="K693" s="7">
        <f>'1 prepared data'!J686</f>
        <v/>
      </c>
      <c r="L693" s="7">
        <f>'1 prepared data'!K686</f>
        <v/>
      </c>
      <c r="M693" s="7">
        <f>'1 prepared data'!L686</f>
        <v/>
      </c>
      <c r="N693" s="7">
        <f>'1 prepared data'!M686</f>
        <v/>
      </c>
      <c r="O693" s="7">
        <f>'1 prepared data'!N686</f>
        <v/>
      </c>
      <c r="P693" s="7">
        <f>'1 prepared data'!O686</f>
        <v/>
      </c>
      <c r="Q693" s="7">
        <f>'1 prepared data'!P686</f>
        <v/>
      </c>
      <c r="R693" s="7">
        <f>'1 prepared data'!Q686</f>
        <v/>
      </c>
      <c r="S693" s="7">
        <f>'1 prepared data'!R686</f>
        <v/>
      </c>
      <c r="T693" s="7">
        <f>'1 prepared data'!S686</f>
        <v/>
      </c>
      <c r="U693" s="7">
        <f>'1 prepared data'!T686</f>
        <v/>
      </c>
      <c r="V693" s="8">
        <f>$AC$12+D693*$AC$13+E693*$AC$14+F693*$AC$15+G693*$AC$16+H693*$AC$17+I693*$AC$18+J693*$AC$19+K693*$AC$20+L693*$AC$21+M693*$AC$22+N693*$AC$23+O693*$AC$24+P693*$AC$25+Q693*$AC$26+R693*$AC$27+S693*$AC$28+T693*$AC$29+U693*$AC$30</f>
        <v/>
      </c>
      <c r="W693" s="8">
        <f>1/(1+EXP(-V693))</f>
        <v/>
      </c>
      <c r="X693" s="9">
        <f>-IF(C693=1,LN(W693),LN(1-W693))</f>
        <v/>
      </c>
      <c r="Y693" s="10">
        <f>IF(W693&gt;$AC$33,1,0)</f>
        <v/>
      </c>
      <c r="Z693">
        <f>IF(Y693=C693,1,0)</f>
        <v/>
      </c>
    </row>
    <row r="694">
      <c r="A694">
        <f>'1 prepared data'!A687</f>
        <v/>
      </c>
      <c r="B694" s="5">
        <f>'1 prepared data'!U687</f>
        <v/>
      </c>
      <c r="C694">
        <f>'1 prepared data'!B687</f>
        <v/>
      </c>
      <c r="D694" s="7">
        <f>'1 prepared data'!C687</f>
        <v/>
      </c>
      <c r="E694" s="7">
        <f>'1 prepared data'!D687</f>
        <v/>
      </c>
      <c r="F694" s="7">
        <f>'1 prepared data'!E687</f>
        <v/>
      </c>
      <c r="G694" s="7">
        <f>'1 prepared data'!F687</f>
        <v/>
      </c>
      <c r="H694" s="7">
        <f>'1 prepared data'!G687</f>
        <v/>
      </c>
      <c r="I694" s="7">
        <f>'1 prepared data'!H687</f>
        <v/>
      </c>
      <c r="J694" s="7">
        <f>'1 prepared data'!I687</f>
        <v/>
      </c>
      <c r="K694" s="7">
        <f>'1 prepared data'!J687</f>
        <v/>
      </c>
      <c r="L694" s="7">
        <f>'1 prepared data'!K687</f>
        <v/>
      </c>
      <c r="M694" s="7">
        <f>'1 prepared data'!L687</f>
        <v/>
      </c>
      <c r="N694" s="7">
        <f>'1 prepared data'!M687</f>
        <v/>
      </c>
      <c r="O694" s="7">
        <f>'1 prepared data'!N687</f>
        <v/>
      </c>
      <c r="P694" s="7">
        <f>'1 prepared data'!O687</f>
        <v/>
      </c>
      <c r="Q694" s="7">
        <f>'1 prepared data'!P687</f>
        <v/>
      </c>
      <c r="R694" s="7">
        <f>'1 prepared data'!Q687</f>
        <v/>
      </c>
      <c r="S694" s="7">
        <f>'1 prepared data'!R687</f>
        <v/>
      </c>
      <c r="T694" s="7">
        <f>'1 prepared data'!S687</f>
        <v/>
      </c>
      <c r="U694" s="7">
        <f>'1 prepared data'!T687</f>
        <v/>
      </c>
      <c r="V694" s="8">
        <f>$AC$12+D694*$AC$13+E694*$AC$14+F694*$AC$15+G694*$AC$16+H694*$AC$17+I694*$AC$18+J694*$AC$19+K694*$AC$20+L694*$AC$21+M694*$AC$22+N694*$AC$23+O694*$AC$24+P694*$AC$25+Q694*$AC$26+R694*$AC$27+S694*$AC$28+T694*$AC$29+U694*$AC$30</f>
        <v/>
      </c>
      <c r="W694" s="8">
        <f>1/(1+EXP(-V694))</f>
        <v/>
      </c>
      <c r="X694" s="9">
        <f>-IF(C694=1,LN(W694),LN(1-W694))</f>
        <v/>
      </c>
      <c r="Y694" s="10">
        <f>IF(W694&gt;$AC$33,1,0)</f>
        <v/>
      </c>
      <c r="Z694">
        <f>IF(Y694=C694,1,0)</f>
        <v/>
      </c>
    </row>
    <row r="695">
      <c r="A695">
        <f>'1 prepared data'!A688</f>
        <v/>
      </c>
      <c r="B695" s="5">
        <f>'1 prepared data'!U688</f>
        <v/>
      </c>
      <c r="C695">
        <f>'1 prepared data'!B688</f>
        <v/>
      </c>
      <c r="D695" s="7">
        <f>'1 prepared data'!C688</f>
        <v/>
      </c>
      <c r="E695" s="7">
        <f>'1 prepared data'!D688</f>
        <v/>
      </c>
      <c r="F695" s="7">
        <f>'1 prepared data'!E688</f>
        <v/>
      </c>
      <c r="G695" s="7">
        <f>'1 prepared data'!F688</f>
        <v/>
      </c>
      <c r="H695" s="7">
        <f>'1 prepared data'!G688</f>
        <v/>
      </c>
      <c r="I695" s="7">
        <f>'1 prepared data'!H688</f>
        <v/>
      </c>
      <c r="J695" s="7">
        <f>'1 prepared data'!I688</f>
        <v/>
      </c>
      <c r="K695" s="7">
        <f>'1 prepared data'!J688</f>
        <v/>
      </c>
      <c r="L695" s="7">
        <f>'1 prepared data'!K688</f>
        <v/>
      </c>
      <c r="M695" s="7">
        <f>'1 prepared data'!L688</f>
        <v/>
      </c>
      <c r="N695" s="7">
        <f>'1 prepared data'!M688</f>
        <v/>
      </c>
      <c r="O695" s="7">
        <f>'1 prepared data'!N688</f>
        <v/>
      </c>
      <c r="P695" s="7">
        <f>'1 prepared data'!O688</f>
        <v/>
      </c>
      <c r="Q695" s="7">
        <f>'1 prepared data'!P688</f>
        <v/>
      </c>
      <c r="R695" s="7">
        <f>'1 prepared data'!Q688</f>
        <v/>
      </c>
      <c r="S695" s="7">
        <f>'1 prepared data'!R688</f>
        <v/>
      </c>
      <c r="T695" s="7">
        <f>'1 prepared data'!S688</f>
        <v/>
      </c>
      <c r="U695" s="7">
        <f>'1 prepared data'!T688</f>
        <v/>
      </c>
      <c r="V695" s="8">
        <f>$AC$12+D695*$AC$13+E695*$AC$14+F695*$AC$15+G695*$AC$16+H695*$AC$17+I695*$AC$18+J695*$AC$19+K695*$AC$20+L695*$AC$21+M695*$AC$22+N695*$AC$23+O695*$AC$24+P695*$AC$25+Q695*$AC$26+R695*$AC$27+S695*$AC$28+T695*$AC$29+U695*$AC$30</f>
        <v/>
      </c>
      <c r="W695" s="8">
        <f>1/(1+EXP(-V695))</f>
        <v/>
      </c>
      <c r="X695" s="9">
        <f>-IF(C695=1,LN(W695),LN(1-W695))</f>
        <v/>
      </c>
      <c r="Y695" s="10">
        <f>IF(W695&gt;$AC$33,1,0)</f>
        <v/>
      </c>
      <c r="Z695">
        <f>IF(Y695=C695,1,0)</f>
        <v/>
      </c>
    </row>
    <row r="696">
      <c r="A696">
        <f>'1 prepared data'!A689</f>
        <v/>
      </c>
      <c r="B696" s="5">
        <f>'1 prepared data'!U689</f>
        <v/>
      </c>
      <c r="C696">
        <f>'1 prepared data'!B689</f>
        <v/>
      </c>
      <c r="D696" s="7">
        <f>'1 prepared data'!C689</f>
        <v/>
      </c>
      <c r="E696" s="7">
        <f>'1 prepared data'!D689</f>
        <v/>
      </c>
      <c r="F696" s="7">
        <f>'1 prepared data'!E689</f>
        <v/>
      </c>
      <c r="G696" s="7">
        <f>'1 prepared data'!F689</f>
        <v/>
      </c>
      <c r="H696" s="7">
        <f>'1 prepared data'!G689</f>
        <v/>
      </c>
      <c r="I696" s="7">
        <f>'1 prepared data'!H689</f>
        <v/>
      </c>
      <c r="J696" s="7">
        <f>'1 prepared data'!I689</f>
        <v/>
      </c>
      <c r="K696" s="7">
        <f>'1 prepared data'!J689</f>
        <v/>
      </c>
      <c r="L696" s="7">
        <f>'1 prepared data'!K689</f>
        <v/>
      </c>
      <c r="M696" s="7">
        <f>'1 prepared data'!L689</f>
        <v/>
      </c>
      <c r="N696" s="7">
        <f>'1 prepared data'!M689</f>
        <v/>
      </c>
      <c r="O696" s="7">
        <f>'1 prepared data'!N689</f>
        <v/>
      </c>
      <c r="P696" s="7">
        <f>'1 prepared data'!O689</f>
        <v/>
      </c>
      <c r="Q696" s="7">
        <f>'1 prepared data'!P689</f>
        <v/>
      </c>
      <c r="R696" s="7">
        <f>'1 prepared data'!Q689</f>
        <v/>
      </c>
      <c r="S696" s="7">
        <f>'1 prepared data'!R689</f>
        <v/>
      </c>
      <c r="T696" s="7">
        <f>'1 prepared data'!S689</f>
        <v/>
      </c>
      <c r="U696" s="7">
        <f>'1 prepared data'!T689</f>
        <v/>
      </c>
      <c r="V696" s="8">
        <f>$AC$12+D696*$AC$13+E696*$AC$14+F696*$AC$15+G696*$AC$16+H696*$AC$17+I696*$AC$18+J696*$AC$19+K696*$AC$20+L696*$AC$21+M696*$AC$22+N696*$AC$23+O696*$AC$24+P696*$AC$25+Q696*$AC$26+R696*$AC$27+S696*$AC$28+T696*$AC$29+U696*$AC$30</f>
        <v/>
      </c>
      <c r="W696" s="8">
        <f>1/(1+EXP(-V696))</f>
        <v/>
      </c>
      <c r="X696" s="9">
        <f>-IF(C696=1,LN(W696),LN(1-W696))</f>
        <v/>
      </c>
      <c r="Y696" s="10">
        <f>IF(W696&gt;$AC$33,1,0)</f>
        <v/>
      </c>
      <c r="Z696">
        <f>IF(Y696=C696,1,0)</f>
        <v/>
      </c>
    </row>
    <row r="697">
      <c r="A697">
        <f>'1 prepared data'!A690</f>
        <v/>
      </c>
      <c r="B697" s="5">
        <f>'1 prepared data'!U690</f>
        <v/>
      </c>
      <c r="C697">
        <f>'1 prepared data'!B690</f>
        <v/>
      </c>
      <c r="D697" s="7">
        <f>'1 prepared data'!C690</f>
        <v/>
      </c>
      <c r="E697" s="7">
        <f>'1 prepared data'!D690</f>
        <v/>
      </c>
      <c r="F697" s="7">
        <f>'1 prepared data'!E690</f>
        <v/>
      </c>
      <c r="G697" s="7">
        <f>'1 prepared data'!F690</f>
        <v/>
      </c>
      <c r="H697" s="7">
        <f>'1 prepared data'!G690</f>
        <v/>
      </c>
      <c r="I697" s="7">
        <f>'1 prepared data'!H690</f>
        <v/>
      </c>
      <c r="J697" s="7">
        <f>'1 prepared data'!I690</f>
        <v/>
      </c>
      <c r="K697" s="7">
        <f>'1 prepared data'!J690</f>
        <v/>
      </c>
      <c r="L697" s="7">
        <f>'1 prepared data'!K690</f>
        <v/>
      </c>
      <c r="M697" s="7">
        <f>'1 prepared data'!L690</f>
        <v/>
      </c>
      <c r="N697" s="7">
        <f>'1 prepared data'!M690</f>
        <v/>
      </c>
      <c r="O697" s="7">
        <f>'1 prepared data'!N690</f>
        <v/>
      </c>
      <c r="P697" s="7">
        <f>'1 prepared data'!O690</f>
        <v/>
      </c>
      <c r="Q697" s="7">
        <f>'1 prepared data'!P690</f>
        <v/>
      </c>
      <c r="R697" s="7">
        <f>'1 prepared data'!Q690</f>
        <v/>
      </c>
      <c r="S697" s="7">
        <f>'1 prepared data'!R690</f>
        <v/>
      </c>
      <c r="T697" s="7">
        <f>'1 prepared data'!S690</f>
        <v/>
      </c>
      <c r="U697" s="7">
        <f>'1 prepared data'!T690</f>
        <v/>
      </c>
      <c r="V697" s="8">
        <f>$AC$12+D697*$AC$13+E697*$AC$14+F697*$AC$15+G697*$AC$16+H697*$AC$17+I697*$AC$18+J697*$AC$19+K697*$AC$20+L697*$AC$21+M697*$AC$22+N697*$AC$23+O697*$AC$24+P697*$AC$25+Q697*$AC$26+R697*$AC$27+S697*$AC$28+T697*$AC$29+U697*$AC$30</f>
        <v/>
      </c>
      <c r="W697" s="8">
        <f>1/(1+EXP(-V697))</f>
        <v/>
      </c>
      <c r="X697" s="9">
        <f>-IF(C697=1,LN(W697),LN(1-W697))</f>
        <v/>
      </c>
      <c r="Y697" s="10">
        <f>IF(W697&gt;$AC$33,1,0)</f>
        <v/>
      </c>
      <c r="Z697">
        <f>IF(Y697=C697,1,0)</f>
        <v/>
      </c>
    </row>
    <row r="698">
      <c r="A698">
        <f>'1 prepared data'!A691</f>
        <v/>
      </c>
      <c r="B698" s="5">
        <f>'1 prepared data'!U691</f>
        <v/>
      </c>
      <c r="C698">
        <f>'1 prepared data'!B691</f>
        <v/>
      </c>
      <c r="D698" s="7">
        <f>'1 prepared data'!C691</f>
        <v/>
      </c>
      <c r="E698" s="7">
        <f>'1 prepared data'!D691</f>
        <v/>
      </c>
      <c r="F698" s="7">
        <f>'1 prepared data'!E691</f>
        <v/>
      </c>
      <c r="G698" s="7">
        <f>'1 prepared data'!F691</f>
        <v/>
      </c>
      <c r="H698" s="7">
        <f>'1 prepared data'!G691</f>
        <v/>
      </c>
      <c r="I698" s="7">
        <f>'1 prepared data'!H691</f>
        <v/>
      </c>
      <c r="J698" s="7">
        <f>'1 prepared data'!I691</f>
        <v/>
      </c>
      <c r="K698" s="7">
        <f>'1 prepared data'!J691</f>
        <v/>
      </c>
      <c r="L698" s="7">
        <f>'1 prepared data'!K691</f>
        <v/>
      </c>
      <c r="M698" s="7">
        <f>'1 prepared data'!L691</f>
        <v/>
      </c>
      <c r="N698" s="7">
        <f>'1 prepared data'!M691</f>
        <v/>
      </c>
      <c r="O698" s="7">
        <f>'1 prepared data'!N691</f>
        <v/>
      </c>
      <c r="P698" s="7">
        <f>'1 prepared data'!O691</f>
        <v/>
      </c>
      <c r="Q698" s="7">
        <f>'1 prepared data'!P691</f>
        <v/>
      </c>
      <c r="R698" s="7">
        <f>'1 prepared data'!Q691</f>
        <v/>
      </c>
      <c r="S698" s="7">
        <f>'1 prepared data'!R691</f>
        <v/>
      </c>
      <c r="T698" s="7">
        <f>'1 prepared data'!S691</f>
        <v/>
      </c>
      <c r="U698" s="7">
        <f>'1 prepared data'!T691</f>
        <v/>
      </c>
      <c r="V698" s="8">
        <f>$AC$12+D698*$AC$13+E698*$AC$14+F698*$AC$15+G698*$AC$16+H698*$AC$17+I698*$AC$18+J698*$AC$19+K698*$AC$20+L698*$AC$21+M698*$AC$22+N698*$AC$23+O698*$AC$24+P698*$AC$25+Q698*$AC$26+R698*$AC$27+S698*$AC$28+T698*$AC$29+U698*$AC$30</f>
        <v/>
      </c>
      <c r="W698" s="8">
        <f>1/(1+EXP(-V698))</f>
        <v/>
      </c>
      <c r="X698" s="9">
        <f>-IF(C698=1,LN(W698),LN(1-W698))</f>
        <v/>
      </c>
      <c r="Y698" s="10">
        <f>IF(W698&gt;$AC$33,1,0)</f>
        <v/>
      </c>
      <c r="Z698">
        <f>IF(Y698=C698,1,0)</f>
        <v/>
      </c>
    </row>
    <row r="699">
      <c r="A699">
        <f>'1 prepared data'!A692</f>
        <v/>
      </c>
      <c r="B699" s="5">
        <f>'1 prepared data'!U692</f>
        <v/>
      </c>
      <c r="C699">
        <f>'1 prepared data'!B692</f>
        <v/>
      </c>
      <c r="D699" s="7">
        <f>'1 prepared data'!C692</f>
        <v/>
      </c>
      <c r="E699" s="7">
        <f>'1 prepared data'!D692</f>
        <v/>
      </c>
      <c r="F699" s="7">
        <f>'1 prepared data'!E692</f>
        <v/>
      </c>
      <c r="G699" s="7">
        <f>'1 prepared data'!F692</f>
        <v/>
      </c>
      <c r="H699" s="7">
        <f>'1 prepared data'!G692</f>
        <v/>
      </c>
      <c r="I699" s="7">
        <f>'1 prepared data'!H692</f>
        <v/>
      </c>
      <c r="J699" s="7">
        <f>'1 prepared data'!I692</f>
        <v/>
      </c>
      <c r="K699" s="7">
        <f>'1 prepared data'!J692</f>
        <v/>
      </c>
      <c r="L699" s="7">
        <f>'1 prepared data'!K692</f>
        <v/>
      </c>
      <c r="M699" s="7">
        <f>'1 prepared data'!L692</f>
        <v/>
      </c>
      <c r="N699" s="7">
        <f>'1 prepared data'!M692</f>
        <v/>
      </c>
      <c r="O699" s="7">
        <f>'1 prepared data'!N692</f>
        <v/>
      </c>
      <c r="P699" s="7">
        <f>'1 prepared data'!O692</f>
        <v/>
      </c>
      <c r="Q699" s="7">
        <f>'1 prepared data'!P692</f>
        <v/>
      </c>
      <c r="R699" s="7">
        <f>'1 prepared data'!Q692</f>
        <v/>
      </c>
      <c r="S699" s="7">
        <f>'1 prepared data'!R692</f>
        <v/>
      </c>
      <c r="T699" s="7">
        <f>'1 prepared data'!S692</f>
        <v/>
      </c>
      <c r="U699" s="7">
        <f>'1 prepared data'!T692</f>
        <v/>
      </c>
      <c r="V699" s="8">
        <f>$AC$12+D699*$AC$13+E699*$AC$14+F699*$AC$15+G699*$AC$16+H699*$AC$17+I699*$AC$18+J699*$AC$19+K699*$AC$20+L699*$AC$21+M699*$AC$22+N699*$AC$23+O699*$AC$24+P699*$AC$25+Q699*$AC$26+R699*$AC$27+S699*$AC$28+T699*$AC$29+U699*$AC$30</f>
        <v/>
      </c>
      <c r="W699" s="8">
        <f>1/(1+EXP(-V699))</f>
        <v/>
      </c>
      <c r="X699" s="9">
        <f>-IF(C699=1,LN(W699),LN(1-W699))</f>
        <v/>
      </c>
      <c r="Y699" s="10">
        <f>IF(W699&gt;$AC$33,1,0)</f>
        <v/>
      </c>
      <c r="Z699">
        <f>IF(Y699=C699,1,0)</f>
        <v/>
      </c>
    </row>
    <row r="700">
      <c r="A700">
        <f>'1 prepared data'!A693</f>
        <v/>
      </c>
      <c r="B700" s="5">
        <f>'1 prepared data'!U693</f>
        <v/>
      </c>
      <c r="C700">
        <f>'1 prepared data'!B693</f>
        <v/>
      </c>
      <c r="D700" s="7">
        <f>'1 prepared data'!C693</f>
        <v/>
      </c>
      <c r="E700" s="7">
        <f>'1 prepared data'!D693</f>
        <v/>
      </c>
      <c r="F700" s="7">
        <f>'1 prepared data'!E693</f>
        <v/>
      </c>
      <c r="G700" s="7">
        <f>'1 prepared data'!F693</f>
        <v/>
      </c>
      <c r="H700" s="7">
        <f>'1 prepared data'!G693</f>
        <v/>
      </c>
      <c r="I700" s="7">
        <f>'1 prepared data'!H693</f>
        <v/>
      </c>
      <c r="J700" s="7">
        <f>'1 prepared data'!I693</f>
        <v/>
      </c>
      <c r="K700" s="7">
        <f>'1 prepared data'!J693</f>
        <v/>
      </c>
      <c r="L700" s="7">
        <f>'1 prepared data'!K693</f>
        <v/>
      </c>
      <c r="M700" s="7">
        <f>'1 prepared data'!L693</f>
        <v/>
      </c>
      <c r="N700" s="7">
        <f>'1 prepared data'!M693</f>
        <v/>
      </c>
      <c r="O700" s="7">
        <f>'1 prepared data'!N693</f>
        <v/>
      </c>
      <c r="P700" s="7">
        <f>'1 prepared data'!O693</f>
        <v/>
      </c>
      <c r="Q700" s="7">
        <f>'1 prepared data'!P693</f>
        <v/>
      </c>
      <c r="R700" s="7">
        <f>'1 prepared data'!Q693</f>
        <v/>
      </c>
      <c r="S700" s="7">
        <f>'1 prepared data'!R693</f>
        <v/>
      </c>
      <c r="T700" s="7">
        <f>'1 prepared data'!S693</f>
        <v/>
      </c>
      <c r="U700" s="7">
        <f>'1 prepared data'!T693</f>
        <v/>
      </c>
      <c r="V700" s="8">
        <f>$AC$12+D700*$AC$13+E700*$AC$14+F700*$AC$15+G700*$AC$16+H700*$AC$17+I700*$AC$18+J700*$AC$19+K700*$AC$20+L700*$AC$21+M700*$AC$22+N700*$AC$23+O700*$AC$24+P700*$AC$25+Q700*$AC$26+R700*$AC$27+S700*$AC$28+T700*$AC$29+U700*$AC$30</f>
        <v/>
      </c>
      <c r="W700" s="8">
        <f>1/(1+EXP(-V700))</f>
        <v/>
      </c>
      <c r="X700" s="9">
        <f>-IF(C700=1,LN(W700),LN(1-W700))</f>
        <v/>
      </c>
      <c r="Y700" s="10">
        <f>IF(W700&gt;$AC$33,1,0)</f>
        <v/>
      </c>
      <c r="Z700">
        <f>IF(Y700=C700,1,0)</f>
        <v/>
      </c>
    </row>
    <row r="701">
      <c r="A701">
        <f>'1 prepared data'!A694</f>
        <v/>
      </c>
      <c r="B701" s="5">
        <f>'1 prepared data'!U694</f>
        <v/>
      </c>
      <c r="C701">
        <f>'1 prepared data'!B694</f>
        <v/>
      </c>
      <c r="D701" s="7">
        <f>'1 prepared data'!C694</f>
        <v/>
      </c>
      <c r="E701" s="7">
        <f>'1 prepared data'!D694</f>
        <v/>
      </c>
      <c r="F701" s="7">
        <f>'1 prepared data'!E694</f>
        <v/>
      </c>
      <c r="G701" s="7">
        <f>'1 prepared data'!F694</f>
        <v/>
      </c>
      <c r="H701" s="7">
        <f>'1 prepared data'!G694</f>
        <v/>
      </c>
      <c r="I701" s="7">
        <f>'1 prepared data'!H694</f>
        <v/>
      </c>
      <c r="J701" s="7">
        <f>'1 prepared data'!I694</f>
        <v/>
      </c>
      <c r="K701" s="7">
        <f>'1 prepared data'!J694</f>
        <v/>
      </c>
      <c r="L701" s="7">
        <f>'1 prepared data'!K694</f>
        <v/>
      </c>
      <c r="M701" s="7">
        <f>'1 prepared data'!L694</f>
        <v/>
      </c>
      <c r="N701" s="7">
        <f>'1 prepared data'!M694</f>
        <v/>
      </c>
      <c r="O701" s="7">
        <f>'1 prepared data'!N694</f>
        <v/>
      </c>
      <c r="P701" s="7">
        <f>'1 prepared data'!O694</f>
        <v/>
      </c>
      <c r="Q701" s="7">
        <f>'1 prepared data'!P694</f>
        <v/>
      </c>
      <c r="R701" s="7">
        <f>'1 prepared data'!Q694</f>
        <v/>
      </c>
      <c r="S701" s="7">
        <f>'1 prepared data'!R694</f>
        <v/>
      </c>
      <c r="T701" s="7">
        <f>'1 prepared data'!S694</f>
        <v/>
      </c>
      <c r="U701" s="7">
        <f>'1 prepared data'!T694</f>
        <v/>
      </c>
      <c r="V701" s="8">
        <f>$AC$12+D701*$AC$13+E701*$AC$14+F701*$AC$15+G701*$AC$16+H701*$AC$17+I701*$AC$18+J701*$AC$19+K701*$AC$20+L701*$AC$21+M701*$AC$22+N701*$AC$23+O701*$AC$24+P701*$AC$25+Q701*$AC$26+R701*$AC$27+S701*$AC$28+T701*$AC$29+U701*$AC$30</f>
        <v/>
      </c>
      <c r="W701" s="8">
        <f>1/(1+EXP(-V701))</f>
        <v/>
      </c>
      <c r="X701" s="9">
        <f>-IF(C701=1,LN(W701),LN(1-W701))</f>
        <v/>
      </c>
      <c r="Y701" s="10">
        <f>IF(W701&gt;$AC$33,1,0)</f>
        <v/>
      </c>
      <c r="Z701">
        <f>IF(Y701=C701,1,0)</f>
        <v/>
      </c>
    </row>
    <row r="702">
      <c r="A702">
        <f>'1 prepared data'!A695</f>
        <v/>
      </c>
      <c r="B702" s="5">
        <f>'1 prepared data'!U695</f>
        <v/>
      </c>
      <c r="C702">
        <f>'1 prepared data'!B695</f>
        <v/>
      </c>
      <c r="D702" s="7">
        <f>'1 prepared data'!C695</f>
        <v/>
      </c>
      <c r="E702" s="7">
        <f>'1 prepared data'!D695</f>
        <v/>
      </c>
      <c r="F702" s="7">
        <f>'1 prepared data'!E695</f>
        <v/>
      </c>
      <c r="G702" s="7">
        <f>'1 prepared data'!F695</f>
        <v/>
      </c>
      <c r="H702" s="7">
        <f>'1 prepared data'!G695</f>
        <v/>
      </c>
      <c r="I702" s="7">
        <f>'1 prepared data'!H695</f>
        <v/>
      </c>
      <c r="J702" s="7">
        <f>'1 prepared data'!I695</f>
        <v/>
      </c>
      <c r="K702" s="7">
        <f>'1 prepared data'!J695</f>
        <v/>
      </c>
      <c r="L702" s="7">
        <f>'1 prepared data'!K695</f>
        <v/>
      </c>
      <c r="M702" s="7">
        <f>'1 prepared data'!L695</f>
        <v/>
      </c>
      <c r="N702" s="7">
        <f>'1 prepared data'!M695</f>
        <v/>
      </c>
      <c r="O702" s="7">
        <f>'1 prepared data'!N695</f>
        <v/>
      </c>
      <c r="P702" s="7">
        <f>'1 prepared data'!O695</f>
        <v/>
      </c>
      <c r="Q702" s="7">
        <f>'1 prepared data'!P695</f>
        <v/>
      </c>
      <c r="R702" s="7">
        <f>'1 prepared data'!Q695</f>
        <v/>
      </c>
      <c r="S702" s="7">
        <f>'1 prepared data'!R695</f>
        <v/>
      </c>
      <c r="T702" s="7">
        <f>'1 prepared data'!S695</f>
        <v/>
      </c>
      <c r="U702" s="7">
        <f>'1 prepared data'!T695</f>
        <v/>
      </c>
      <c r="V702" s="8">
        <f>$AC$12+D702*$AC$13+E702*$AC$14+F702*$AC$15+G702*$AC$16+H702*$AC$17+I702*$AC$18+J702*$AC$19+K702*$AC$20+L702*$AC$21+M702*$AC$22+N702*$AC$23+O702*$AC$24+P702*$AC$25+Q702*$AC$26+R702*$AC$27+S702*$AC$28+T702*$AC$29+U702*$AC$30</f>
        <v/>
      </c>
      <c r="W702" s="8">
        <f>1/(1+EXP(-V702))</f>
        <v/>
      </c>
      <c r="X702" s="9">
        <f>-IF(C702=1,LN(W702),LN(1-W702))</f>
        <v/>
      </c>
      <c r="Y702" s="10">
        <f>IF(W702&gt;$AC$33,1,0)</f>
        <v/>
      </c>
      <c r="Z702">
        <f>IF(Y702=C702,1,0)</f>
        <v/>
      </c>
    </row>
    <row r="703">
      <c r="A703">
        <f>'1 prepared data'!A696</f>
        <v/>
      </c>
      <c r="B703" s="5">
        <f>'1 prepared data'!U696</f>
        <v/>
      </c>
      <c r="C703">
        <f>'1 prepared data'!B696</f>
        <v/>
      </c>
      <c r="D703" s="7">
        <f>'1 prepared data'!C696</f>
        <v/>
      </c>
      <c r="E703" s="7">
        <f>'1 prepared data'!D696</f>
        <v/>
      </c>
      <c r="F703" s="7">
        <f>'1 prepared data'!E696</f>
        <v/>
      </c>
      <c r="G703" s="7">
        <f>'1 prepared data'!F696</f>
        <v/>
      </c>
      <c r="H703" s="7">
        <f>'1 prepared data'!G696</f>
        <v/>
      </c>
      <c r="I703" s="7">
        <f>'1 prepared data'!H696</f>
        <v/>
      </c>
      <c r="J703" s="7">
        <f>'1 prepared data'!I696</f>
        <v/>
      </c>
      <c r="K703" s="7">
        <f>'1 prepared data'!J696</f>
        <v/>
      </c>
      <c r="L703" s="7">
        <f>'1 prepared data'!K696</f>
        <v/>
      </c>
      <c r="M703" s="7">
        <f>'1 prepared data'!L696</f>
        <v/>
      </c>
      <c r="N703" s="7">
        <f>'1 prepared data'!M696</f>
        <v/>
      </c>
      <c r="O703" s="7">
        <f>'1 prepared data'!N696</f>
        <v/>
      </c>
      <c r="P703" s="7">
        <f>'1 prepared data'!O696</f>
        <v/>
      </c>
      <c r="Q703" s="7">
        <f>'1 prepared data'!P696</f>
        <v/>
      </c>
      <c r="R703" s="7">
        <f>'1 prepared data'!Q696</f>
        <v/>
      </c>
      <c r="S703" s="7">
        <f>'1 prepared data'!R696</f>
        <v/>
      </c>
      <c r="T703" s="7">
        <f>'1 prepared data'!S696</f>
        <v/>
      </c>
      <c r="U703" s="7">
        <f>'1 prepared data'!T696</f>
        <v/>
      </c>
      <c r="V703" s="8">
        <f>$AC$12+D703*$AC$13+E703*$AC$14+F703*$AC$15+G703*$AC$16+H703*$AC$17+I703*$AC$18+J703*$AC$19+K703*$AC$20+L703*$AC$21+M703*$AC$22+N703*$AC$23+O703*$AC$24+P703*$AC$25+Q703*$AC$26+R703*$AC$27+S703*$AC$28+T703*$AC$29+U703*$AC$30</f>
        <v/>
      </c>
      <c r="W703" s="8">
        <f>1/(1+EXP(-V703))</f>
        <v/>
      </c>
      <c r="X703" s="9">
        <f>-IF(C703=1,LN(W703),LN(1-W703))</f>
        <v/>
      </c>
      <c r="Y703" s="10">
        <f>IF(W703&gt;$AC$33,1,0)</f>
        <v/>
      </c>
      <c r="Z703">
        <f>IF(Y703=C703,1,0)</f>
        <v/>
      </c>
    </row>
    <row r="704">
      <c r="A704">
        <f>'1 prepared data'!A697</f>
        <v/>
      </c>
      <c r="B704" s="5">
        <f>'1 prepared data'!U697</f>
        <v/>
      </c>
      <c r="C704">
        <f>'1 prepared data'!B697</f>
        <v/>
      </c>
      <c r="D704" s="7">
        <f>'1 prepared data'!C697</f>
        <v/>
      </c>
      <c r="E704" s="7">
        <f>'1 prepared data'!D697</f>
        <v/>
      </c>
      <c r="F704" s="7">
        <f>'1 prepared data'!E697</f>
        <v/>
      </c>
      <c r="G704" s="7">
        <f>'1 prepared data'!F697</f>
        <v/>
      </c>
      <c r="H704" s="7">
        <f>'1 prepared data'!G697</f>
        <v/>
      </c>
      <c r="I704" s="7">
        <f>'1 prepared data'!H697</f>
        <v/>
      </c>
      <c r="J704" s="7">
        <f>'1 prepared data'!I697</f>
        <v/>
      </c>
      <c r="K704" s="7">
        <f>'1 prepared data'!J697</f>
        <v/>
      </c>
      <c r="L704" s="7">
        <f>'1 prepared data'!K697</f>
        <v/>
      </c>
      <c r="M704" s="7">
        <f>'1 prepared data'!L697</f>
        <v/>
      </c>
      <c r="N704" s="7">
        <f>'1 prepared data'!M697</f>
        <v/>
      </c>
      <c r="O704" s="7">
        <f>'1 prepared data'!N697</f>
        <v/>
      </c>
      <c r="P704" s="7">
        <f>'1 prepared data'!O697</f>
        <v/>
      </c>
      <c r="Q704" s="7">
        <f>'1 prepared data'!P697</f>
        <v/>
      </c>
      <c r="R704" s="7">
        <f>'1 prepared data'!Q697</f>
        <v/>
      </c>
      <c r="S704" s="7">
        <f>'1 prepared data'!R697</f>
        <v/>
      </c>
      <c r="T704" s="7">
        <f>'1 prepared data'!S697</f>
        <v/>
      </c>
      <c r="U704" s="7">
        <f>'1 prepared data'!T697</f>
        <v/>
      </c>
      <c r="V704" s="8">
        <f>$AC$12+D704*$AC$13+E704*$AC$14+F704*$AC$15+G704*$AC$16+H704*$AC$17+I704*$AC$18+J704*$AC$19+K704*$AC$20+L704*$AC$21+M704*$AC$22+N704*$AC$23+O704*$AC$24+P704*$AC$25+Q704*$AC$26+R704*$AC$27+S704*$AC$28+T704*$AC$29+U704*$AC$30</f>
        <v/>
      </c>
      <c r="W704" s="8">
        <f>1/(1+EXP(-V704))</f>
        <v/>
      </c>
      <c r="X704" s="9">
        <f>-IF(C704=1,LN(W704),LN(1-W704))</f>
        <v/>
      </c>
      <c r="Y704" s="10">
        <f>IF(W704&gt;$AC$33,1,0)</f>
        <v/>
      </c>
      <c r="Z704">
        <f>IF(Y704=C704,1,0)</f>
        <v/>
      </c>
    </row>
    <row r="705">
      <c r="A705">
        <f>'1 prepared data'!A698</f>
        <v/>
      </c>
      <c r="B705" s="5">
        <f>'1 prepared data'!U698</f>
        <v/>
      </c>
      <c r="C705">
        <f>'1 prepared data'!B698</f>
        <v/>
      </c>
      <c r="D705" s="7">
        <f>'1 prepared data'!C698</f>
        <v/>
      </c>
      <c r="E705" s="7">
        <f>'1 prepared data'!D698</f>
        <v/>
      </c>
      <c r="F705" s="7">
        <f>'1 prepared data'!E698</f>
        <v/>
      </c>
      <c r="G705" s="7">
        <f>'1 prepared data'!F698</f>
        <v/>
      </c>
      <c r="H705" s="7">
        <f>'1 prepared data'!G698</f>
        <v/>
      </c>
      <c r="I705" s="7">
        <f>'1 prepared data'!H698</f>
        <v/>
      </c>
      <c r="J705" s="7">
        <f>'1 prepared data'!I698</f>
        <v/>
      </c>
      <c r="K705" s="7">
        <f>'1 prepared data'!J698</f>
        <v/>
      </c>
      <c r="L705" s="7">
        <f>'1 prepared data'!K698</f>
        <v/>
      </c>
      <c r="M705" s="7">
        <f>'1 prepared data'!L698</f>
        <v/>
      </c>
      <c r="N705" s="7">
        <f>'1 prepared data'!M698</f>
        <v/>
      </c>
      <c r="O705" s="7">
        <f>'1 prepared data'!N698</f>
        <v/>
      </c>
      <c r="P705" s="7">
        <f>'1 prepared data'!O698</f>
        <v/>
      </c>
      <c r="Q705" s="7">
        <f>'1 prepared data'!P698</f>
        <v/>
      </c>
      <c r="R705" s="7">
        <f>'1 prepared data'!Q698</f>
        <v/>
      </c>
      <c r="S705" s="7">
        <f>'1 prepared data'!R698</f>
        <v/>
      </c>
      <c r="T705" s="7">
        <f>'1 prepared data'!S698</f>
        <v/>
      </c>
      <c r="U705" s="7">
        <f>'1 prepared data'!T698</f>
        <v/>
      </c>
      <c r="V705" s="8">
        <f>$AC$12+D705*$AC$13+E705*$AC$14+F705*$AC$15+G705*$AC$16+H705*$AC$17+I705*$AC$18+J705*$AC$19+K705*$AC$20+L705*$AC$21+M705*$AC$22+N705*$AC$23+O705*$AC$24+P705*$AC$25+Q705*$AC$26+R705*$AC$27+S705*$AC$28+T705*$AC$29+U705*$AC$30</f>
        <v/>
      </c>
      <c r="W705" s="8">
        <f>1/(1+EXP(-V705))</f>
        <v/>
      </c>
      <c r="X705" s="9">
        <f>-IF(C705=1,LN(W705),LN(1-W705))</f>
        <v/>
      </c>
      <c r="Y705" s="10">
        <f>IF(W705&gt;$AC$33,1,0)</f>
        <v/>
      </c>
      <c r="Z705">
        <f>IF(Y705=C705,1,0)</f>
        <v/>
      </c>
    </row>
    <row r="706">
      <c r="A706">
        <f>'1 prepared data'!A699</f>
        <v/>
      </c>
      <c r="B706" s="5">
        <f>'1 prepared data'!U699</f>
        <v/>
      </c>
      <c r="C706">
        <f>'1 prepared data'!B699</f>
        <v/>
      </c>
      <c r="D706" s="7">
        <f>'1 prepared data'!C699</f>
        <v/>
      </c>
      <c r="E706" s="7">
        <f>'1 prepared data'!D699</f>
        <v/>
      </c>
      <c r="F706" s="7">
        <f>'1 prepared data'!E699</f>
        <v/>
      </c>
      <c r="G706" s="7">
        <f>'1 prepared data'!F699</f>
        <v/>
      </c>
      <c r="H706" s="7">
        <f>'1 prepared data'!G699</f>
        <v/>
      </c>
      <c r="I706" s="7">
        <f>'1 prepared data'!H699</f>
        <v/>
      </c>
      <c r="J706" s="7">
        <f>'1 prepared data'!I699</f>
        <v/>
      </c>
      <c r="K706" s="7">
        <f>'1 prepared data'!J699</f>
        <v/>
      </c>
      <c r="L706" s="7">
        <f>'1 prepared data'!K699</f>
        <v/>
      </c>
      <c r="M706" s="7">
        <f>'1 prepared data'!L699</f>
        <v/>
      </c>
      <c r="N706" s="7">
        <f>'1 prepared data'!M699</f>
        <v/>
      </c>
      <c r="O706" s="7">
        <f>'1 prepared data'!N699</f>
        <v/>
      </c>
      <c r="P706" s="7">
        <f>'1 prepared data'!O699</f>
        <v/>
      </c>
      <c r="Q706" s="7">
        <f>'1 prepared data'!P699</f>
        <v/>
      </c>
      <c r="R706" s="7">
        <f>'1 prepared data'!Q699</f>
        <v/>
      </c>
      <c r="S706" s="7">
        <f>'1 prepared data'!R699</f>
        <v/>
      </c>
      <c r="T706" s="7">
        <f>'1 prepared data'!S699</f>
        <v/>
      </c>
      <c r="U706" s="7">
        <f>'1 prepared data'!T699</f>
        <v/>
      </c>
      <c r="V706" s="8">
        <f>$AC$12+D706*$AC$13+E706*$AC$14+F706*$AC$15+G706*$AC$16+H706*$AC$17+I706*$AC$18+J706*$AC$19+K706*$AC$20+L706*$AC$21+M706*$AC$22+N706*$AC$23+O706*$AC$24+P706*$AC$25+Q706*$AC$26+R706*$AC$27+S706*$AC$28+T706*$AC$29+U706*$AC$30</f>
        <v/>
      </c>
      <c r="W706" s="8">
        <f>1/(1+EXP(-V706))</f>
        <v/>
      </c>
      <c r="X706" s="9">
        <f>-IF(C706=1,LN(W706),LN(1-W706))</f>
        <v/>
      </c>
      <c r="Y706" s="10">
        <f>IF(W706&gt;$AC$33,1,0)</f>
        <v/>
      </c>
      <c r="Z706">
        <f>IF(Y706=C706,1,0)</f>
        <v/>
      </c>
    </row>
    <row r="707">
      <c r="A707">
        <f>'1 prepared data'!A700</f>
        <v/>
      </c>
      <c r="B707" s="5">
        <f>'1 prepared data'!U700</f>
        <v/>
      </c>
      <c r="C707">
        <f>'1 prepared data'!B700</f>
        <v/>
      </c>
      <c r="D707" s="7">
        <f>'1 prepared data'!C700</f>
        <v/>
      </c>
      <c r="E707" s="7">
        <f>'1 prepared data'!D700</f>
        <v/>
      </c>
      <c r="F707" s="7">
        <f>'1 prepared data'!E700</f>
        <v/>
      </c>
      <c r="G707" s="7">
        <f>'1 prepared data'!F700</f>
        <v/>
      </c>
      <c r="H707" s="7">
        <f>'1 prepared data'!G700</f>
        <v/>
      </c>
      <c r="I707" s="7">
        <f>'1 prepared data'!H700</f>
        <v/>
      </c>
      <c r="J707" s="7">
        <f>'1 prepared data'!I700</f>
        <v/>
      </c>
      <c r="K707" s="7">
        <f>'1 prepared data'!J700</f>
        <v/>
      </c>
      <c r="L707" s="7">
        <f>'1 prepared data'!K700</f>
        <v/>
      </c>
      <c r="M707" s="7">
        <f>'1 prepared data'!L700</f>
        <v/>
      </c>
      <c r="N707" s="7">
        <f>'1 prepared data'!M700</f>
        <v/>
      </c>
      <c r="O707" s="7">
        <f>'1 prepared data'!N700</f>
        <v/>
      </c>
      <c r="P707" s="7">
        <f>'1 prepared data'!O700</f>
        <v/>
      </c>
      <c r="Q707" s="7">
        <f>'1 prepared data'!P700</f>
        <v/>
      </c>
      <c r="R707" s="7">
        <f>'1 prepared data'!Q700</f>
        <v/>
      </c>
      <c r="S707" s="7">
        <f>'1 prepared data'!R700</f>
        <v/>
      </c>
      <c r="T707" s="7">
        <f>'1 prepared data'!S700</f>
        <v/>
      </c>
      <c r="U707" s="7">
        <f>'1 prepared data'!T700</f>
        <v/>
      </c>
      <c r="V707" s="8">
        <f>$AC$12+D707*$AC$13+E707*$AC$14+F707*$AC$15+G707*$AC$16+H707*$AC$17+I707*$AC$18+J707*$AC$19+K707*$AC$20+L707*$AC$21+M707*$AC$22+N707*$AC$23+O707*$AC$24+P707*$AC$25+Q707*$AC$26+R707*$AC$27+S707*$AC$28+T707*$AC$29+U707*$AC$30</f>
        <v/>
      </c>
      <c r="W707" s="8">
        <f>1/(1+EXP(-V707))</f>
        <v/>
      </c>
      <c r="X707" s="9">
        <f>-IF(C707=1,LN(W707),LN(1-W707))</f>
        <v/>
      </c>
      <c r="Y707" s="10">
        <f>IF(W707&gt;$AC$33,1,0)</f>
        <v/>
      </c>
      <c r="Z707">
        <f>IF(Y707=C707,1,0)</f>
        <v/>
      </c>
    </row>
    <row r="708">
      <c r="A708">
        <f>'1 prepared data'!A701</f>
        <v/>
      </c>
      <c r="B708" s="5">
        <f>'1 prepared data'!U701</f>
        <v/>
      </c>
      <c r="C708">
        <f>'1 prepared data'!B701</f>
        <v/>
      </c>
      <c r="D708" s="7">
        <f>'1 prepared data'!C701</f>
        <v/>
      </c>
      <c r="E708" s="7">
        <f>'1 prepared data'!D701</f>
        <v/>
      </c>
      <c r="F708" s="7">
        <f>'1 prepared data'!E701</f>
        <v/>
      </c>
      <c r="G708" s="7">
        <f>'1 prepared data'!F701</f>
        <v/>
      </c>
      <c r="H708" s="7">
        <f>'1 prepared data'!G701</f>
        <v/>
      </c>
      <c r="I708" s="7">
        <f>'1 prepared data'!H701</f>
        <v/>
      </c>
      <c r="J708" s="7">
        <f>'1 prepared data'!I701</f>
        <v/>
      </c>
      <c r="K708" s="7">
        <f>'1 prepared data'!J701</f>
        <v/>
      </c>
      <c r="L708" s="7">
        <f>'1 prepared data'!K701</f>
        <v/>
      </c>
      <c r="M708" s="7">
        <f>'1 prepared data'!L701</f>
        <v/>
      </c>
      <c r="N708" s="7">
        <f>'1 prepared data'!M701</f>
        <v/>
      </c>
      <c r="O708" s="7">
        <f>'1 prepared data'!N701</f>
        <v/>
      </c>
      <c r="P708" s="7">
        <f>'1 prepared data'!O701</f>
        <v/>
      </c>
      <c r="Q708" s="7">
        <f>'1 prepared data'!P701</f>
        <v/>
      </c>
      <c r="R708" s="7">
        <f>'1 prepared data'!Q701</f>
        <v/>
      </c>
      <c r="S708" s="7">
        <f>'1 prepared data'!R701</f>
        <v/>
      </c>
      <c r="T708" s="7">
        <f>'1 prepared data'!S701</f>
        <v/>
      </c>
      <c r="U708" s="7">
        <f>'1 prepared data'!T701</f>
        <v/>
      </c>
      <c r="V708" s="8">
        <f>$AC$12+D708*$AC$13+E708*$AC$14+F708*$AC$15+G708*$AC$16+H708*$AC$17+I708*$AC$18+J708*$AC$19+K708*$AC$20+L708*$AC$21+M708*$AC$22+N708*$AC$23+O708*$AC$24+P708*$AC$25+Q708*$AC$26+R708*$AC$27+S708*$AC$28+T708*$AC$29+U708*$AC$30</f>
        <v/>
      </c>
      <c r="W708" s="8">
        <f>1/(1+EXP(-V708))</f>
        <v/>
      </c>
      <c r="X708" s="9">
        <f>-IF(C708=1,LN(W708),LN(1-W708))</f>
        <v/>
      </c>
      <c r="Y708" s="10">
        <f>IF(W708&gt;$AC$33,1,0)</f>
        <v/>
      </c>
      <c r="Z708">
        <f>IF(Y708=C708,1,0)</f>
        <v/>
      </c>
    </row>
    <row r="709">
      <c r="A709">
        <f>'1 prepared data'!A702</f>
        <v/>
      </c>
      <c r="B709" s="5">
        <f>'1 prepared data'!U702</f>
        <v/>
      </c>
      <c r="C709">
        <f>'1 prepared data'!B702</f>
        <v/>
      </c>
      <c r="D709" s="7">
        <f>'1 prepared data'!C702</f>
        <v/>
      </c>
      <c r="E709" s="7">
        <f>'1 prepared data'!D702</f>
        <v/>
      </c>
      <c r="F709" s="7">
        <f>'1 prepared data'!E702</f>
        <v/>
      </c>
      <c r="G709" s="7">
        <f>'1 prepared data'!F702</f>
        <v/>
      </c>
      <c r="H709" s="7">
        <f>'1 prepared data'!G702</f>
        <v/>
      </c>
      <c r="I709" s="7">
        <f>'1 prepared data'!H702</f>
        <v/>
      </c>
      <c r="J709" s="7">
        <f>'1 prepared data'!I702</f>
        <v/>
      </c>
      <c r="K709" s="7">
        <f>'1 prepared data'!J702</f>
        <v/>
      </c>
      <c r="L709" s="7">
        <f>'1 prepared data'!K702</f>
        <v/>
      </c>
      <c r="M709" s="7">
        <f>'1 prepared data'!L702</f>
        <v/>
      </c>
      <c r="N709" s="7">
        <f>'1 prepared data'!M702</f>
        <v/>
      </c>
      <c r="O709" s="7">
        <f>'1 prepared data'!N702</f>
        <v/>
      </c>
      <c r="P709" s="7">
        <f>'1 prepared data'!O702</f>
        <v/>
      </c>
      <c r="Q709" s="7">
        <f>'1 prepared data'!P702</f>
        <v/>
      </c>
      <c r="R709" s="7">
        <f>'1 prepared data'!Q702</f>
        <v/>
      </c>
      <c r="S709" s="7">
        <f>'1 prepared data'!R702</f>
        <v/>
      </c>
      <c r="T709" s="7">
        <f>'1 prepared data'!S702</f>
        <v/>
      </c>
      <c r="U709" s="7">
        <f>'1 prepared data'!T702</f>
        <v/>
      </c>
      <c r="V709" s="8">
        <f>$AC$12+D709*$AC$13+E709*$AC$14+F709*$AC$15+G709*$AC$16+H709*$AC$17+I709*$AC$18+J709*$AC$19+K709*$AC$20+L709*$AC$21+M709*$AC$22+N709*$AC$23+O709*$AC$24+P709*$AC$25+Q709*$AC$26+R709*$AC$27+S709*$AC$28+T709*$AC$29+U709*$AC$30</f>
        <v/>
      </c>
      <c r="W709" s="8">
        <f>1/(1+EXP(-V709))</f>
        <v/>
      </c>
      <c r="X709" s="9">
        <f>-IF(C709=1,LN(W709),LN(1-W709))</f>
        <v/>
      </c>
      <c r="Y709" s="10">
        <f>IF(W709&gt;$AC$33,1,0)</f>
        <v/>
      </c>
      <c r="Z709">
        <f>IF(Y709=C709,1,0)</f>
        <v/>
      </c>
    </row>
    <row r="710">
      <c r="A710">
        <f>'1 prepared data'!A703</f>
        <v/>
      </c>
      <c r="B710" s="5">
        <f>'1 prepared data'!U703</f>
        <v/>
      </c>
      <c r="C710">
        <f>'1 prepared data'!B703</f>
        <v/>
      </c>
      <c r="D710" s="7">
        <f>'1 prepared data'!C703</f>
        <v/>
      </c>
      <c r="E710" s="7">
        <f>'1 prepared data'!D703</f>
        <v/>
      </c>
      <c r="F710" s="7">
        <f>'1 prepared data'!E703</f>
        <v/>
      </c>
      <c r="G710" s="7">
        <f>'1 prepared data'!F703</f>
        <v/>
      </c>
      <c r="H710" s="7">
        <f>'1 prepared data'!G703</f>
        <v/>
      </c>
      <c r="I710" s="7">
        <f>'1 prepared data'!H703</f>
        <v/>
      </c>
      <c r="J710" s="7">
        <f>'1 prepared data'!I703</f>
        <v/>
      </c>
      <c r="K710" s="7">
        <f>'1 prepared data'!J703</f>
        <v/>
      </c>
      <c r="L710" s="7">
        <f>'1 prepared data'!K703</f>
        <v/>
      </c>
      <c r="M710" s="7">
        <f>'1 prepared data'!L703</f>
        <v/>
      </c>
      <c r="N710" s="7">
        <f>'1 prepared data'!M703</f>
        <v/>
      </c>
      <c r="O710" s="7">
        <f>'1 prepared data'!N703</f>
        <v/>
      </c>
      <c r="P710" s="7">
        <f>'1 prepared data'!O703</f>
        <v/>
      </c>
      <c r="Q710" s="7">
        <f>'1 prepared data'!P703</f>
        <v/>
      </c>
      <c r="R710" s="7">
        <f>'1 prepared data'!Q703</f>
        <v/>
      </c>
      <c r="S710" s="7">
        <f>'1 prepared data'!R703</f>
        <v/>
      </c>
      <c r="T710" s="7">
        <f>'1 prepared data'!S703</f>
        <v/>
      </c>
      <c r="U710" s="7">
        <f>'1 prepared data'!T703</f>
        <v/>
      </c>
      <c r="V710" s="8">
        <f>$AC$12+D710*$AC$13+E710*$AC$14+F710*$AC$15+G710*$AC$16+H710*$AC$17+I710*$AC$18+J710*$AC$19+K710*$AC$20+L710*$AC$21+M710*$AC$22+N710*$AC$23+O710*$AC$24+P710*$AC$25+Q710*$AC$26+R710*$AC$27+S710*$AC$28+T710*$AC$29+U710*$AC$30</f>
        <v/>
      </c>
      <c r="W710" s="8">
        <f>1/(1+EXP(-V710))</f>
        <v/>
      </c>
      <c r="X710" s="9">
        <f>-IF(C710=1,LN(W710),LN(1-W710))</f>
        <v/>
      </c>
      <c r="Y710" s="10">
        <f>IF(W710&gt;$AC$33,1,0)</f>
        <v/>
      </c>
      <c r="Z710">
        <f>IF(Y710=C710,1,0)</f>
        <v/>
      </c>
    </row>
    <row r="711">
      <c r="A711">
        <f>'1 prepared data'!A704</f>
        <v/>
      </c>
      <c r="B711" s="5">
        <f>'1 prepared data'!U704</f>
        <v/>
      </c>
      <c r="C711">
        <f>'1 prepared data'!B704</f>
        <v/>
      </c>
      <c r="D711" s="7">
        <f>'1 prepared data'!C704</f>
        <v/>
      </c>
      <c r="E711" s="7">
        <f>'1 prepared data'!D704</f>
        <v/>
      </c>
      <c r="F711" s="7">
        <f>'1 prepared data'!E704</f>
        <v/>
      </c>
      <c r="G711" s="7">
        <f>'1 prepared data'!F704</f>
        <v/>
      </c>
      <c r="H711" s="7">
        <f>'1 prepared data'!G704</f>
        <v/>
      </c>
      <c r="I711" s="7">
        <f>'1 prepared data'!H704</f>
        <v/>
      </c>
      <c r="J711" s="7">
        <f>'1 prepared data'!I704</f>
        <v/>
      </c>
      <c r="K711" s="7">
        <f>'1 prepared data'!J704</f>
        <v/>
      </c>
      <c r="L711" s="7">
        <f>'1 prepared data'!K704</f>
        <v/>
      </c>
      <c r="M711" s="7">
        <f>'1 prepared data'!L704</f>
        <v/>
      </c>
      <c r="N711" s="7">
        <f>'1 prepared data'!M704</f>
        <v/>
      </c>
      <c r="O711" s="7">
        <f>'1 prepared data'!N704</f>
        <v/>
      </c>
      <c r="P711" s="7">
        <f>'1 prepared data'!O704</f>
        <v/>
      </c>
      <c r="Q711" s="7">
        <f>'1 prepared data'!P704</f>
        <v/>
      </c>
      <c r="R711" s="7">
        <f>'1 prepared data'!Q704</f>
        <v/>
      </c>
      <c r="S711" s="7">
        <f>'1 prepared data'!R704</f>
        <v/>
      </c>
      <c r="T711" s="7">
        <f>'1 prepared data'!S704</f>
        <v/>
      </c>
      <c r="U711" s="7">
        <f>'1 prepared data'!T704</f>
        <v/>
      </c>
      <c r="V711" s="8">
        <f>$AC$12+D711*$AC$13+E711*$AC$14+F711*$AC$15+G711*$AC$16+H711*$AC$17+I711*$AC$18+J711*$AC$19+K711*$AC$20+L711*$AC$21+M711*$AC$22+N711*$AC$23+O711*$AC$24+P711*$AC$25+Q711*$AC$26+R711*$AC$27+S711*$AC$28+T711*$AC$29+U711*$AC$30</f>
        <v/>
      </c>
      <c r="W711" s="8">
        <f>1/(1+EXP(-V711))</f>
        <v/>
      </c>
      <c r="X711" s="9">
        <f>-IF(C711=1,LN(W711),LN(1-W711))</f>
        <v/>
      </c>
      <c r="Y711" s="10">
        <f>IF(W711&gt;$AC$33,1,0)</f>
        <v/>
      </c>
      <c r="Z711">
        <f>IF(Y711=C711,1,0)</f>
        <v/>
      </c>
    </row>
    <row r="712">
      <c r="A712">
        <f>'1 prepared data'!A705</f>
        <v/>
      </c>
      <c r="B712" s="5">
        <f>'1 prepared data'!U705</f>
        <v/>
      </c>
      <c r="C712">
        <f>'1 prepared data'!B705</f>
        <v/>
      </c>
      <c r="D712" s="7">
        <f>'1 prepared data'!C705</f>
        <v/>
      </c>
      <c r="E712" s="7">
        <f>'1 prepared data'!D705</f>
        <v/>
      </c>
      <c r="F712" s="7">
        <f>'1 prepared data'!E705</f>
        <v/>
      </c>
      <c r="G712" s="7">
        <f>'1 prepared data'!F705</f>
        <v/>
      </c>
      <c r="H712" s="7">
        <f>'1 prepared data'!G705</f>
        <v/>
      </c>
      <c r="I712" s="7">
        <f>'1 prepared data'!H705</f>
        <v/>
      </c>
      <c r="J712" s="7">
        <f>'1 prepared data'!I705</f>
        <v/>
      </c>
      <c r="K712" s="7">
        <f>'1 prepared data'!J705</f>
        <v/>
      </c>
      <c r="L712" s="7">
        <f>'1 prepared data'!K705</f>
        <v/>
      </c>
      <c r="M712" s="7">
        <f>'1 prepared data'!L705</f>
        <v/>
      </c>
      <c r="N712" s="7">
        <f>'1 prepared data'!M705</f>
        <v/>
      </c>
      <c r="O712" s="7">
        <f>'1 prepared data'!N705</f>
        <v/>
      </c>
      <c r="P712" s="7">
        <f>'1 prepared data'!O705</f>
        <v/>
      </c>
      <c r="Q712" s="7">
        <f>'1 prepared data'!P705</f>
        <v/>
      </c>
      <c r="R712" s="7">
        <f>'1 prepared data'!Q705</f>
        <v/>
      </c>
      <c r="S712" s="7">
        <f>'1 prepared data'!R705</f>
        <v/>
      </c>
      <c r="T712" s="7">
        <f>'1 prepared data'!S705</f>
        <v/>
      </c>
      <c r="U712" s="7">
        <f>'1 prepared data'!T705</f>
        <v/>
      </c>
      <c r="V712" s="8">
        <f>$AC$12+D712*$AC$13+E712*$AC$14+F712*$AC$15+G712*$AC$16+H712*$AC$17+I712*$AC$18+J712*$AC$19+K712*$AC$20+L712*$AC$21+M712*$AC$22+N712*$AC$23+O712*$AC$24+P712*$AC$25+Q712*$AC$26+R712*$AC$27+S712*$AC$28+T712*$AC$29+U712*$AC$30</f>
        <v/>
      </c>
      <c r="W712" s="8">
        <f>1/(1+EXP(-V712))</f>
        <v/>
      </c>
      <c r="X712" s="9">
        <f>-IF(C712=1,LN(W712),LN(1-W712))</f>
        <v/>
      </c>
      <c r="Y712" s="10">
        <f>IF(W712&gt;$AC$33,1,0)</f>
        <v/>
      </c>
      <c r="Z712">
        <f>IF(Y712=C712,1,0)</f>
        <v/>
      </c>
    </row>
    <row r="713">
      <c r="A713">
        <f>'1 prepared data'!A706</f>
        <v/>
      </c>
      <c r="B713" s="5">
        <f>'1 prepared data'!U706</f>
        <v/>
      </c>
      <c r="C713">
        <f>'1 prepared data'!B706</f>
        <v/>
      </c>
      <c r="D713" s="7">
        <f>'1 prepared data'!C706</f>
        <v/>
      </c>
      <c r="E713" s="7">
        <f>'1 prepared data'!D706</f>
        <v/>
      </c>
      <c r="F713" s="7">
        <f>'1 prepared data'!E706</f>
        <v/>
      </c>
      <c r="G713" s="7">
        <f>'1 prepared data'!F706</f>
        <v/>
      </c>
      <c r="H713" s="7">
        <f>'1 prepared data'!G706</f>
        <v/>
      </c>
      <c r="I713" s="7">
        <f>'1 prepared data'!H706</f>
        <v/>
      </c>
      <c r="J713" s="7">
        <f>'1 prepared data'!I706</f>
        <v/>
      </c>
      <c r="K713" s="7">
        <f>'1 prepared data'!J706</f>
        <v/>
      </c>
      <c r="L713" s="7">
        <f>'1 prepared data'!K706</f>
        <v/>
      </c>
      <c r="M713" s="7">
        <f>'1 prepared data'!L706</f>
        <v/>
      </c>
      <c r="N713" s="7">
        <f>'1 prepared data'!M706</f>
        <v/>
      </c>
      <c r="O713" s="7">
        <f>'1 prepared data'!N706</f>
        <v/>
      </c>
      <c r="P713" s="7">
        <f>'1 prepared data'!O706</f>
        <v/>
      </c>
      <c r="Q713" s="7">
        <f>'1 prepared data'!P706</f>
        <v/>
      </c>
      <c r="R713" s="7">
        <f>'1 prepared data'!Q706</f>
        <v/>
      </c>
      <c r="S713" s="7">
        <f>'1 prepared data'!R706</f>
        <v/>
      </c>
      <c r="T713" s="7">
        <f>'1 prepared data'!S706</f>
        <v/>
      </c>
      <c r="U713" s="7">
        <f>'1 prepared data'!T706</f>
        <v/>
      </c>
      <c r="V713" s="8">
        <f>$AC$12+D713*$AC$13+E713*$AC$14+F713*$AC$15+G713*$AC$16+H713*$AC$17+I713*$AC$18+J713*$AC$19+K713*$AC$20+L713*$AC$21+M713*$AC$22+N713*$AC$23+O713*$AC$24+P713*$AC$25+Q713*$AC$26+R713*$AC$27+S713*$AC$28+T713*$AC$29+U713*$AC$30</f>
        <v/>
      </c>
      <c r="W713" s="8">
        <f>1/(1+EXP(-V713))</f>
        <v/>
      </c>
      <c r="X713" s="9">
        <f>-IF(C713=1,LN(W713),LN(1-W713))</f>
        <v/>
      </c>
      <c r="Y713" s="10">
        <f>IF(W713&gt;$AC$33,1,0)</f>
        <v/>
      </c>
      <c r="Z713">
        <f>IF(Y713=C713,1,0)</f>
        <v/>
      </c>
    </row>
    <row r="714">
      <c r="A714">
        <f>'1 prepared data'!A707</f>
        <v/>
      </c>
      <c r="B714" s="5">
        <f>'1 prepared data'!U707</f>
        <v/>
      </c>
      <c r="C714">
        <f>'1 prepared data'!B707</f>
        <v/>
      </c>
      <c r="D714" s="7">
        <f>'1 prepared data'!C707</f>
        <v/>
      </c>
      <c r="E714" s="7">
        <f>'1 prepared data'!D707</f>
        <v/>
      </c>
      <c r="F714" s="7">
        <f>'1 prepared data'!E707</f>
        <v/>
      </c>
      <c r="G714" s="7">
        <f>'1 prepared data'!F707</f>
        <v/>
      </c>
      <c r="H714" s="7">
        <f>'1 prepared data'!G707</f>
        <v/>
      </c>
      <c r="I714" s="7">
        <f>'1 prepared data'!H707</f>
        <v/>
      </c>
      <c r="J714" s="7">
        <f>'1 prepared data'!I707</f>
        <v/>
      </c>
      <c r="K714" s="7">
        <f>'1 prepared data'!J707</f>
        <v/>
      </c>
      <c r="L714" s="7">
        <f>'1 prepared data'!K707</f>
        <v/>
      </c>
      <c r="M714" s="7">
        <f>'1 prepared data'!L707</f>
        <v/>
      </c>
      <c r="N714" s="7">
        <f>'1 prepared data'!M707</f>
        <v/>
      </c>
      <c r="O714" s="7">
        <f>'1 prepared data'!N707</f>
        <v/>
      </c>
      <c r="P714" s="7">
        <f>'1 prepared data'!O707</f>
        <v/>
      </c>
      <c r="Q714" s="7">
        <f>'1 prepared data'!P707</f>
        <v/>
      </c>
      <c r="R714" s="7">
        <f>'1 prepared data'!Q707</f>
        <v/>
      </c>
      <c r="S714" s="7">
        <f>'1 prepared data'!R707</f>
        <v/>
      </c>
      <c r="T714" s="7">
        <f>'1 prepared data'!S707</f>
        <v/>
      </c>
      <c r="U714" s="7">
        <f>'1 prepared data'!T707</f>
        <v/>
      </c>
      <c r="V714" s="8">
        <f>$AC$12+D714*$AC$13+E714*$AC$14+F714*$AC$15+G714*$AC$16+H714*$AC$17+I714*$AC$18+J714*$AC$19+K714*$AC$20+L714*$AC$21+M714*$AC$22+N714*$AC$23+O714*$AC$24+P714*$AC$25+Q714*$AC$26+R714*$AC$27+S714*$AC$28+T714*$AC$29+U714*$AC$30</f>
        <v/>
      </c>
      <c r="W714" s="8">
        <f>1/(1+EXP(-V714))</f>
        <v/>
      </c>
      <c r="X714" s="9">
        <f>-IF(C714=1,LN(W714),LN(1-W714))</f>
        <v/>
      </c>
      <c r="Y714" s="10">
        <f>IF(W714&gt;$AC$33,1,0)</f>
        <v/>
      </c>
      <c r="Z714">
        <f>IF(Y714=C714,1,0)</f>
        <v/>
      </c>
    </row>
    <row r="715">
      <c r="A715">
        <f>'1 prepared data'!A708</f>
        <v/>
      </c>
      <c r="B715" s="5">
        <f>'1 prepared data'!U708</f>
        <v/>
      </c>
      <c r="C715">
        <f>'1 prepared data'!B708</f>
        <v/>
      </c>
      <c r="D715" s="7">
        <f>'1 prepared data'!C708</f>
        <v/>
      </c>
      <c r="E715" s="7">
        <f>'1 prepared data'!D708</f>
        <v/>
      </c>
      <c r="F715" s="7">
        <f>'1 prepared data'!E708</f>
        <v/>
      </c>
      <c r="G715" s="7">
        <f>'1 prepared data'!F708</f>
        <v/>
      </c>
      <c r="H715" s="7">
        <f>'1 prepared data'!G708</f>
        <v/>
      </c>
      <c r="I715" s="7">
        <f>'1 prepared data'!H708</f>
        <v/>
      </c>
      <c r="J715" s="7">
        <f>'1 prepared data'!I708</f>
        <v/>
      </c>
      <c r="K715" s="7">
        <f>'1 prepared data'!J708</f>
        <v/>
      </c>
      <c r="L715" s="7">
        <f>'1 prepared data'!K708</f>
        <v/>
      </c>
      <c r="M715" s="7">
        <f>'1 prepared data'!L708</f>
        <v/>
      </c>
      <c r="N715" s="7">
        <f>'1 prepared data'!M708</f>
        <v/>
      </c>
      <c r="O715" s="7">
        <f>'1 prepared data'!N708</f>
        <v/>
      </c>
      <c r="P715" s="7">
        <f>'1 prepared data'!O708</f>
        <v/>
      </c>
      <c r="Q715" s="7">
        <f>'1 prepared data'!P708</f>
        <v/>
      </c>
      <c r="R715" s="7">
        <f>'1 prepared data'!Q708</f>
        <v/>
      </c>
      <c r="S715" s="7">
        <f>'1 prepared data'!R708</f>
        <v/>
      </c>
      <c r="T715" s="7">
        <f>'1 prepared data'!S708</f>
        <v/>
      </c>
      <c r="U715" s="7">
        <f>'1 prepared data'!T708</f>
        <v/>
      </c>
      <c r="V715" s="8">
        <f>$AC$12+D715*$AC$13+E715*$AC$14+F715*$AC$15+G715*$AC$16+H715*$AC$17+I715*$AC$18+J715*$AC$19+K715*$AC$20+L715*$AC$21+M715*$AC$22+N715*$AC$23+O715*$AC$24+P715*$AC$25+Q715*$AC$26+R715*$AC$27+S715*$AC$28+T715*$AC$29+U715*$AC$30</f>
        <v/>
      </c>
      <c r="W715" s="8">
        <f>1/(1+EXP(-V715))</f>
        <v/>
      </c>
      <c r="X715" s="9">
        <f>-IF(C715=1,LN(W715),LN(1-W715))</f>
        <v/>
      </c>
      <c r="Y715" s="10">
        <f>IF(W715&gt;$AC$33,1,0)</f>
        <v/>
      </c>
      <c r="Z715">
        <f>IF(Y715=C715,1,0)</f>
        <v/>
      </c>
    </row>
    <row r="716">
      <c r="A716">
        <f>'1 prepared data'!A709</f>
        <v/>
      </c>
      <c r="B716" s="5">
        <f>'1 prepared data'!U709</f>
        <v/>
      </c>
      <c r="C716">
        <f>'1 prepared data'!B709</f>
        <v/>
      </c>
      <c r="D716" s="7">
        <f>'1 prepared data'!C709</f>
        <v/>
      </c>
      <c r="E716" s="7">
        <f>'1 prepared data'!D709</f>
        <v/>
      </c>
      <c r="F716" s="7">
        <f>'1 prepared data'!E709</f>
        <v/>
      </c>
      <c r="G716" s="7">
        <f>'1 prepared data'!F709</f>
        <v/>
      </c>
      <c r="H716" s="7">
        <f>'1 prepared data'!G709</f>
        <v/>
      </c>
      <c r="I716" s="7">
        <f>'1 prepared data'!H709</f>
        <v/>
      </c>
      <c r="J716" s="7">
        <f>'1 prepared data'!I709</f>
        <v/>
      </c>
      <c r="K716" s="7">
        <f>'1 prepared data'!J709</f>
        <v/>
      </c>
      <c r="L716" s="7">
        <f>'1 prepared data'!K709</f>
        <v/>
      </c>
      <c r="M716" s="7">
        <f>'1 prepared data'!L709</f>
        <v/>
      </c>
      <c r="N716" s="7">
        <f>'1 prepared data'!M709</f>
        <v/>
      </c>
      <c r="O716" s="7">
        <f>'1 prepared data'!N709</f>
        <v/>
      </c>
      <c r="P716" s="7">
        <f>'1 prepared data'!O709</f>
        <v/>
      </c>
      <c r="Q716" s="7">
        <f>'1 prepared data'!P709</f>
        <v/>
      </c>
      <c r="R716" s="7">
        <f>'1 prepared data'!Q709</f>
        <v/>
      </c>
      <c r="S716" s="7">
        <f>'1 prepared data'!R709</f>
        <v/>
      </c>
      <c r="T716" s="7">
        <f>'1 prepared data'!S709</f>
        <v/>
      </c>
      <c r="U716" s="7">
        <f>'1 prepared data'!T709</f>
        <v/>
      </c>
      <c r="V716" s="8">
        <f>$AC$12+D716*$AC$13+E716*$AC$14+F716*$AC$15+G716*$AC$16+H716*$AC$17+I716*$AC$18+J716*$AC$19+K716*$AC$20+L716*$AC$21+M716*$AC$22+N716*$AC$23+O716*$AC$24+P716*$AC$25+Q716*$AC$26+R716*$AC$27+S716*$AC$28+T716*$AC$29+U716*$AC$30</f>
        <v/>
      </c>
      <c r="W716" s="8">
        <f>1/(1+EXP(-V716))</f>
        <v/>
      </c>
      <c r="X716" s="9">
        <f>-IF(C716=1,LN(W716),LN(1-W716))</f>
        <v/>
      </c>
      <c r="Y716" s="10">
        <f>IF(W716&gt;$AC$33,1,0)</f>
        <v/>
      </c>
      <c r="Z716">
        <f>IF(Y716=C716,1,0)</f>
        <v/>
      </c>
    </row>
    <row r="717">
      <c r="A717">
        <f>'1 prepared data'!A710</f>
        <v/>
      </c>
      <c r="B717" s="5">
        <f>'1 prepared data'!U710</f>
        <v/>
      </c>
      <c r="C717">
        <f>'1 prepared data'!B710</f>
        <v/>
      </c>
      <c r="D717" s="7">
        <f>'1 prepared data'!C710</f>
        <v/>
      </c>
      <c r="E717" s="7">
        <f>'1 prepared data'!D710</f>
        <v/>
      </c>
      <c r="F717" s="7">
        <f>'1 prepared data'!E710</f>
        <v/>
      </c>
      <c r="G717" s="7">
        <f>'1 prepared data'!F710</f>
        <v/>
      </c>
      <c r="H717" s="7">
        <f>'1 prepared data'!G710</f>
        <v/>
      </c>
      <c r="I717" s="7">
        <f>'1 prepared data'!H710</f>
        <v/>
      </c>
      <c r="J717" s="7">
        <f>'1 prepared data'!I710</f>
        <v/>
      </c>
      <c r="K717" s="7">
        <f>'1 prepared data'!J710</f>
        <v/>
      </c>
      <c r="L717" s="7">
        <f>'1 prepared data'!K710</f>
        <v/>
      </c>
      <c r="M717" s="7">
        <f>'1 prepared data'!L710</f>
        <v/>
      </c>
      <c r="N717" s="7">
        <f>'1 prepared data'!M710</f>
        <v/>
      </c>
      <c r="O717" s="7">
        <f>'1 prepared data'!N710</f>
        <v/>
      </c>
      <c r="P717" s="7">
        <f>'1 prepared data'!O710</f>
        <v/>
      </c>
      <c r="Q717" s="7">
        <f>'1 prepared data'!P710</f>
        <v/>
      </c>
      <c r="R717" s="7">
        <f>'1 prepared data'!Q710</f>
        <v/>
      </c>
      <c r="S717" s="7">
        <f>'1 prepared data'!R710</f>
        <v/>
      </c>
      <c r="T717" s="7">
        <f>'1 prepared data'!S710</f>
        <v/>
      </c>
      <c r="U717" s="7">
        <f>'1 prepared data'!T710</f>
        <v/>
      </c>
      <c r="V717" s="8">
        <f>$AC$12+D717*$AC$13+E717*$AC$14+F717*$AC$15+G717*$AC$16+H717*$AC$17+I717*$AC$18+J717*$AC$19+K717*$AC$20+L717*$AC$21+M717*$AC$22+N717*$AC$23+O717*$AC$24+P717*$AC$25+Q717*$AC$26+R717*$AC$27+S717*$AC$28+T717*$AC$29+U717*$AC$30</f>
        <v/>
      </c>
      <c r="W717" s="8">
        <f>1/(1+EXP(-V717))</f>
        <v/>
      </c>
      <c r="X717" s="9">
        <f>-IF(C717=1,LN(W717),LN(1-W717))</f>
        <v/>
      </c>
      <c r="Y717" s="10">
        <f>IF(W717&gt;$AC$33,1,0)</f>
        <v/>
      </c>
      <c r="Z717">
        <f>IF(Y717=C717,1,0)</f>
        <v/>
      </c>
    </row>
    <row r="718">
      <c r="A718">
        <f>'1 prepared data'!A711</f>
        <v/>
      </c>
      <c r="B718" s="5">
        <f>'1 prepared data'!U711</f>
        <v/>
      </c>
      <c r="C718">
        <f>'1 prepared data'!B711</f>
        <v/>
      </c>
      <c r="D718" s="7">
        <f>'1 prepared data'!C711</f>
        <v/>
      </c>
      <c r="E718" s="7">
        <f>'1 prepared data'!D711</f>
        <v/>
      </c>
      <c r="F718" s="7">
        <f>'1 prepared data'!E711</f>
        <v/>
      </c>
      <c r="G718" s="7">
        <f>'1 prepared data'!F711</f>
        <v/>
      </c>
      <c r="H718" s="7">
        <f>'1 prepared data'!G711</f>
        <v/>
      </c>
      <c r="I718" s="7">
        <f>'1 prepared data'!H711</f>
        <v/>
      </c>
      <c r="J718" s="7">
        <f>'1 prepared data'!I711</f>
        <v/>
      </c>
      <c r="K718" s="7">
        <f>'1 prepared data'!J711</f>
        <v/>
      </c>
      <c r="L718" s="7">
        <f>'1 prepared data'!K711</f>
        <v/>
      </c>
      <c r="M718" s="7">
        <f>'1 prepared data'!L711</f>
        <v/>
      </c>
      <c r="N718" s="7">
        <f>'1 prepared data'!M711</f>
        <v/>
      </c>
      <c r="O718" s="7">
        <f>'1 prepared data'!N711</f>
        <v/>
      </c>
      <c r="P718" s="7">
        <f>'1 prepared data'!O711</f>
        <v/>
      </c>
      <c r="Q718" s="7">
        <f>'1 prepared data'!P711</f>
        <v/>
      </c>
      <c r="R718" s="7">
        <f>'1 prepared data'!Q711</f>
        <v/>
      </c>
      <c r="S718" s="7">
        <f>'1 prepared data'!R711</f>
        <v/>
      </c>
      <c r="T718" s="7">
        <f>'1 prepared data'!S711</f>
        <v/>
      </c>
      <c r="U718" s="7">
        <f>'1 prepared data'!T711</f>
        <v/>
      </c>
      <c r="V718" s="8">
        <f>$AC$12+D718*$AC$13+E718*$AC$14+F718*$AC$15+G718*$AC$16+H718*$AC$17+I718*$AC$18+J718*$AC$19+K718*$AC$20+L718*$AC$21+M718*$AC$22+N718*$AC$23+O718*$AC$24+P718*$AC$25+Q718*$AC$26+R718*$AC$27+S718*$AC$28+T718*$AC$29+U718*$AC$30</f>
        <v/>
      </c>
      <c r="W718" s="8">
        <f>1/(1+EXP(-V718))</f>
        <v/>
      </c>
      <c r="X718" s="9">
        <f>-IF(C718=1,LN(W718),LN(1-W718))</f>
        <v/>
      </c>
      <c r="Y718" s="10">
        <f>IF(W718&gt;$AC$33,1,0)</f>
        <v/>
      </c>
      <c r="Z718">
        <f>IF(Y718=C718,1,0)</f>
        <v/>
      </c>
    </row>
    <row r="719">
      <c r="A719">
        <f>'1 prepared data'!A712</f>
        <v/>
      </c>
      <c r="B719" s="5">
        <f>'1 prepared data'!U712</f>
        <v/>
      </c>
      <c r="C719">
        <f>'1 prepared data'!B712</f>
        <v/>
      </c>
      <c r="D719" s="7">
        <f>'1 prepared data'!C712</f>
        <v/>
      </c>
      <c r="E719" s="7">
        <f>'1 prepared data'!D712</f>
        <v/>
      </c>
      <c r="F719" s="7">
        <f>'1 prepared data'!E712</f>
        <v/>
      </c>
      <c r="G719" s="7">
        <f>'1 prepared data'!F712</f>
        <v/>
      </c>
      <c r="H719" s="7">
        <f>'1 prepared data'!G712</f>
        <v/>
      </c>
      <c r="I719" s="7">
        <f>'1 prepared data'!H712</f>
        <v/>
      </c>
      <c r="J719" s="7">
        <f>'1 prepared data'!I712</f>
        <v/>
      </c>
      <c r="K719" s="7">
        <f>'1 prepared data'!J712</f>
        <v/>
      </c>
      <c r="L719" s="7">
        <f>'1 prepared data'!K712</f>
        <v/>
      </c>
      <c r="M719" s="7">
        <f>'1 prepared data'!L712</f>
        <v/>
      </c>
      <c r="N719" s="7">
        <f>'1 prepared data'!M712</f>
        <v/>
      </c>
      <c r="O719" s="7">
        <f>'1 prepared data'!N712</f>
        <v/>
      </c>
      <c r="P719" s="7">
        <f>'1 prepared data'!O712</f>
        <v/>
      </c>
      <c r="Q719" s="7">
        <f>'1 prepared data'!P712</f>
        <v/>
      </c>
      <c r="R719" s="7">
        <f>'1 prepared data'!Q712</f>
        <v/>
      </c>
      <c r="S719" s="7">
        <f>'1 prepared data'!R712</f>
        <v/>
      </c>
      <c r="T719" s="7">
        <f>'1 prepared data'!S712</f>
        <v/>
      </c>
      <c r="U719" s="7">
        <f>'1 prepared data'!T712</f>
        <v/>
      </c>
      <c r="V719" s="8">
        <f>$AC$12+D719*$AC$13+E719*$AC$14+F719*$AC$15+G719*$AC$16+H719*$AC$17+I719*$AC$18+J719*$AC$19+K719*$AC$20+L719*$AC$21+M719*$AC$22+N719*$AC$23+O719*$AC$24+P719*$AC$25+Q719*$AC$26+R719*$AC$27+S719*$AC$28+T719*$AC$29+U719*$AC$30</f>
        <v/>
      </c>
      <c r="W719" s="8">
        <f>1/(1+EXP(-V719))</f>
        <v/>
      </c>
      <c r="X719" s="9">
        <f>-IF(C719=1,LN(W719),LN(1-W719))</f>
        <v/>
      </c>
      <c r="Y719" s="10">
        <f>IF(W719&gt;$AC$33,1,0)</f>
        <v/>
      </c>
      <c r="Z719">
        <f>IF(Y719=C719,1,0)</f>
        <v/>
      </c>
    </row>
    <row r="720">
      <c r="A720">
        <f>'1 prepared data'!A713</f>
        <v/>
      </c>
      <c r="B720" s="5">
        <f>'1 prepared data'!U713</f>
        <v/>
      </c>
      <c r="C720">
        <f>'1 prepared data'!B713</f>
        <v/>
      </c>
      <c r="D720" s="7">
        <f>'1 prepared data'!C713</f>
        <v/>
      </c>
      <c r="E720" s="7">
        <f>'1 prepared data'!D713</f>
        <v/>
      </c>
      <c r="F720" s="7">
        <f>'1 prepared data'!E713</f>
        <v/>
      </c>
      <c r="G720" s="7">
        <f>'1 prepared data'!F713</f>
        <v/>
      </c>
      <c r="H720" s="7">
        <f>'1 prepared data'!G713</f>
        <v/>
      </c>
      <c r="I720" s="7">
        <f>'1 prepared data'!H713</f>
        <v/>
      </c>
      <c r="J720" s="7">
        <f>'1 prepared data'!I713</f>
        <v/>
      </c>
      <c r="K720" s="7">
        <f>'1 prepared data'!J713</f>
        <v/>
      </c>
      <c r="L720" s="7">
        <f>'1 prepared data'!K713</f>
        <v/>
      </c>
      <c r="M720" s="7">
        <f>'1 prepared data'!L713</f>
        <v/>
      </c>
      <c r="N720" s="7">
        <f>'1 prepared data'!M713</f>
        <v/>
      </c>
      <c r="O720" s="7">
        <f>'1 prepared data'!N713</f>
        <v/>
      </c>
      <c r="P720" s="7">
        <f>'1 prepared data'!O713</f>
        <v/>
      </c>
      <c r="Q720" s="7">
        <f>'1 prepared data'!P713</f>
        <v/>
      </c>
      <c r="R720" s="7">
        <f>'1 prepared data'!Q713</f>
        <v/>
      </c>
      <c r="S720" s="7">
        <f>'1 prepared data'!R713</f>
        <v/>
      </c>
      <c r="T720" s="7">
        <f>'1 prepared data'!S713</f>
        <v/>
      </c>
      <c r="U720" s="7">
        <f>'1 prepared data'!T713</f>
        <v/>
      </c>
      <c r="V720" s="8">
        <f>$AC$12+D720*$AC$13+E720*$AC$14+F720*$AC$15+G720*$AC$16+H720*$AC$17+I720*$AC$18+J720*$AC$19+K720*$AC$20+L720*$AC$21+M720*$AC$22+N720*$AC$23+O720*$AC$24+P720*$AC$25+Q720*$AC$26+R720*$AC$27+S720*$AC$28+T720*$AC$29+U720*$AC$30</f>
        <v/>
      </c>
      <c r="W720" s="8">
        <f>1/(1+EXP(-V720))</f>
        <v/>
      </c>
      <c r="X720" s="9">
        <f>-IF(C720=1,LN(W720),LN(1-W720))</f>
        <v/>
      </c>
      <c r="Y720" s="10">
        <f>IF(W720&gt;$AC$33,1,0)</f>
        <v/>
      </c>
      <c r="Z720">
        <f>IF(Y720=C720,1,0)</f>
        <v/>
      </c>
    </row>
    <row r="721">
      <c r="A721">
        <f>'1 prepared data'!A714</f>
        <v/>
      </c>
      <c r="B721" s="5">
        <f>'1 prepared data'!U714</f>
        <v/>
      </c>
      <c r="C721">
        <f>'1 prepared data'!B714</f>
        <v/>
      </c>
      <c r="D721" s="7">
        <f>'1 prepared data'!C714</f>
        <v/>
      </c>
      <c r="E721" s="7">
        <f>'1 prepared data'!D714</f>
        <v/>
      </c>
      <c r="F721" s="7">
        <f>'1 prepared data'!E714</f>
        <v/>
      </c>
      <c r="G721" s="7">
        <f>'1 prepared data'!F714</f>
        <v/>
      </c>
      <c r="H721" s="7">
        <f>'1 prepared data'!G714</f>
        <v/>
      </c>
      <c r="I721" s="7">
        <f>'1 prepared data'!H714</f>
        <v/>
      </c>
      <c r="J721" s="7">
        <f>'1 prepared data'!I714</f>
        <v/>
      </c>
      <c r="K721" s="7">
        <f>'1 prepared data'!J714</f>
        <v/>
      </c>
      <c r="L721" s="7">
        <f>'1 prepared data'!K714</f>
        <v/>
      </c>
      <c r="M721" s="7">
        <f>'1 prepared data'!L714</f>
        <v/>
      </c>
      <c r="N721" s="7">
        <f>'1 prepared data'!M714</f>
        <v/>
      </c>
      <c r="O721" s="7">
        <f>'1 prepared data'!N714</f>
        <v/>
      </c>
      <c r="P721" s="7">
        <f>'1 prepared data'!O714</f>
        <v/>
      </c>
      <c r="Q721" s="7">
        <f>'1 prepared data'!P714</f>
        <v/>
      </c>
      <c r="R721" s="7">
        <f>'1 prepared data'!Q714</f>
        <v/>
      </c>
      <c r="S721" s="7">
        <f>'1 prepared data'!R714</f>
        <v/>
      </c>
      <c r="T721" s="7">
        <f>'1 prepared data'!S714</f>
        <v/>
      </c>
      <c r="U721" s="7">
        <f>'1 prepared data'!T714</f>
        <v/>
      </c>
      <c r="V721" s="8">
        <f>$AC$12+D721*$AC$13+E721*$AC$14+F721*$AC$15+G721*$AC$16+H721*$AC$17+I721*$AC$18+J721*$AC$19+K721*$AC$20+L721*$AC$21+M721*$AC$22+N721*$AC$23+O721*$AC$24+P721*$AC$25+Q721*$AC$26+R721*$AC$27+S721*$AC$28+T721*$AC$29+U721*$AC$30</f>
        <v/>
      </c>
      <c r="W721" s="8">
        <f>1/(1+EXP(-V721))</f>
        <v/>
      </c>
      <c r="X721" s="9">
        <f>-IF(C721=1,LN(W721),LN(1-W721))</f>
        <v/>
      </c>
      <c r="Y721" s="10">
        <f>IF(W721&gt;$AC$33,1,0)</f>
        <v/>
      </c>
      <c r="Z721">
        <f>IF(Y721=C721,1,0)</f>
        <v/>
      </c>
    </row>
    <row r="722">
      <c r="A722">
        <f>'1 prepared data'!A715</f>
        <v/>
      </c>
      <c r="B722" s="5">
        <f>'1 prepared data'!U715</f>
        <v/>
      </c>
      <c r="C722">
        <f>'1 prepared data'!B715</f>
        <v/>
      </c>
      <c r="D722" s="7">
        <f>'1 prepared data'!C715</f>
        <v/>
      </c>
      <c r="E722" s="7">
        <f>'1 prepared data'!D715</f>
        <v/>
      </c>
      <c r="F722" s="7">
        <f>'1 prepared data'!E715</f>
        <v/>
      </c>
      <c r="G722" s="7">
        <f>'1 prepared data'!F715</f>
        <v/>
      </c>
      <c r="H722" s="7">
        <f>'1 prepared data'!G715</f>
        <v/>
      </c>
      <c r="I722" s="7">
        <f>'1 prepared data'!H715</f>
        <v/>
      </c>
      <c r="J722" s="7">
        <f>'1 prepared data'!I715</f>
        <v/>
      </c>
      <c r="K722" s="7">
        <f>'1 prepared data'!J715</f>
        <v/>
      </c>
      <c r="L722" s="7">
        <f>'1 prepared data'!K715</f>
        <v/>
      </c>
      <c r="M722" s="7">
        <f>'1 prepared data'!L715</f>
        <v/>
      </c>
      <c r="N722" s="7">
        <f>'1 prepared data'!M715</f>
        <v/>
      </c>
      <c r="O722" s="7">
        <f>'1 prepared data'!N715</f>
        <v/>
      </c>
      <c r="P722" s="7">
        <f>'1 prepared data'!O715</f>
        <v/>
      </c>
      <c r="Q722" s="7">
        <f>'1 prepared data'!P715</f>
        <v/>
      </c>
      <c r="R722" s="7">
        <f>'1 prepared data'!Q715</f>
        <v/>
      </c>
      <c r="S722" s="7">
        <f>'1 prepared data'!R715</f>
        <v/>
      </c>
      <c r="T722" s="7">
        <f>'1 prepared data'!S715</f>
        <v/>
      </c>
      <c r="U722" s="7">
        <f>'1 prepared data'!T715</f>
        <v/>
      </c>
      <c r="V722" s="8">
        <f>$AC$12+D722*$AC$13+E722*$AC$14+F722*$AC$15+G722*$AC$16+H722*$AC$17+I722*$AC$18+J722*$AC$19+K722*$AC$20+L722*$AC$21+M722*$AC$22+N722*$AC$23+O722*$AC$24+P722*$AC$25+Q722*$AC$26+R722*$AC$27+S722*$AC$28+T722*$AC$29+U722*$AC$30</f>
        <v/>
      </c>
      <c r="W722" s="8">
        <f>1/(1+EXP(-V722))</f>
        <v/>
      </c>
      <c r="X722" s="9">
        <f>-IF(C722=1,LN(W722),LN(1-W722))</f>
        <v/>
      </c>
      <c r="Y722" s="10">
        <f>IF(W722&gt;$AC$33,1,0)</f>
        <v/>
      </c>
      <c r="Z722">
        <f>IF(Y722=C722,1,0)</f>
        <v/>
      </c>
    </row>
    <row r="723">
      <c r="A723">
        <f>'1 prepared data'!A716</f>
        <v/>
      </c>
      <c r="B723" s="5">
        <f>'1 prepared data'!U716</f>
        <v/>
      </c>
      <c r="C723">
        <f>'1 prepared data'!B716</f>
        <v/>
      </c>
      <c r="D723" s="7">
        <f>'1 prepared data'!C716</f>
        <v/>
      </c>
      <c r="E723" s="7">
        <f>'1 prepared data'!D716</f>
        <v/>
      </c>
      <c r="F723" s="7">
        <f>'1 prepared data'!E716</f>
        <v/>
      </c>
      <c r="G723" s="7">
        <f>'1 prepared data'!F716</f>
        <v/>
      </c>
      <c r="H723" s="7">
        <f>'1 prepared data'!G716</f>
        <v/>
      </c>
      <c r="I723" s="7">
        <f>'1 prepared data'!H716</f>
        <v/>
      </c>
      <c r="J723" s="7">
        <f>'1 prepared data'!I716</f>
        <v/>
      </c>
      <c r="K723" s="7">
        <f>'1 prepared data'!J716</f>
        <v/>
      </c>
      <c r="L723" s="7">
        <f>'1 prepared data'!K716</f>
        <v/>
      </c>
      <c r="M723" s="7">
        <f>'1 prepared data'!L716</f>
        <v/>
      </c>
      <c r="N723" s="7">
        <f>'1 prepared data'!M716</f>
        <v/>
      </c>
      <c r="O723" s="7">
        <f>'1 prepared data'!N716</f>
        <v/>
      </c>
      <c r="P723" s="7">
        <f>'1 prepared data'!O716</f>
        <v/>
      </c>
      <c r="Q723" s="7">
        <f>'1 prepared data'!P716</f>
        <v/>
      </c>
      <c r="R723" s="7">
        <f>'1 prepared data'!Q716</f>
        <v/>
      </c>
      <c r="S723" s="7">
        <f>'1 prepared data'!R716</f>
        <v/>
      </c>
      <c r="T723" s="7">
        <f>'1 prepared data'!S716</f>
        <v/>
      </c>
      <c r="U723" s="7">
        <f>'1 prepared data'!T716</f>
        <v/>
      </c>
      <c r="V723" s="8">
        <f>$AC$12+D723*$AC$13+E723*$AC$14+F723*$AC$15+G723*$AC$16+H723*$AC$17+I723*$AC$18+J723*$AC$19+K723*$AC$20+L723*$AC$21+M723*$AC$22+N723*$AC$23+O723*$AC$24+P723*$AC$25+Q723*$AC$26+R723*$AC$27+S723*$AC$28+T723*$AC$29+U723*$AC$30</f>
        <v/>
      </c>
      <c r="W723" s="8">
        <f>1/(1+EXP(-V723))</f>
        <v/>
      </c>
      <c r="X723" s="9">
        <f>-IF(C723=1,LN(W723),LN(1-W723))</f>
        <v/>
      </c>
      <c r="Y723" s="10">
        <f>IF(W723&gt;$AC$33,1,0)</f>
        <v/>
      </c>
      <c r="Z723">
        <f>IF(Y723=C723,1,0)</f>
        <v/>
      </c>
    </row>
    <row r="724">
      <c r="A724">
        <f>'1 prepared data'!A717</f>
        <v/>
      </c>
      <c r="B724" s="5">
        <f>'1 prepared data'!U717</f>
        <v/>
      </c>
      <c r="C724">
        <f>'1 prepared data'!B717</f>
        <v/>
      </c>
      <c r="D724" s="7">
        <f>'1 prepared data'!C717</f>
        <v/>
      </c>
      <c r="E724" s="7">
        <f>'1 prepared data'!D717</f>
        <v/>
      </c>
      <c r="F724" s="7">
        <f>'1 prepared data'!E717</f>
        <v/>
      </c>
      <c r="G724" s="7">
        <f>'1 prepared data'!F717</f>
        <v/>
      </c>
      <c r="H724" s="7">
        <f>'1 prepared data'!G717</f>
        <v/>
      </c>
      <c r="I724" s="7">
        <f>'1 prepared data'!H717</f>
        <v/>
      </c>
      <c r="J724" s="7">
        <f>'1 prepared data'!I717</f>
        <v/>
      </c>
      <c r="K724" s="7">
        <f>'1 prepared data'!J717</f>
        <v/>
      </c>
      <c r="L724" s="7">
        <f>'1 prepared data'!K717</f>
        <v/>
      </c>
      <c r="M724" s="7">
        <f>'1 prepared data'!L717</f>
        <v/>
      </c>
      <c r="N724" s="7">
        <f>'1 prepared data'!M717</f>
        <v/>
      </c>
      <c r="O724" s="7">
        <f>'1 prepared data'!N717</f>
        <v/>
      </c>
      <c r="P724" s="7">
        <f>'1 prepared data'!O717</f>
        <v/>
      </c>
      <c r="Q724" s="7">
        <f>'1 prepared data'!P717</f>
        <v/>
      </c>
      <c r="R724" s="7">
        <f>'1 prepared data'!Q717</f>
        <v/>
      </c>
      <c r="S724" s="7">
        <f>'1 prepared data'!R717</f>
        <v/>
      </c>
      <c r="T724" s="7">
        <f>'1 prepared data'!S717</f>
        <v/>
      </c>
      <c r="U724" s="7">
        <f>'1 prepared data'!T717</f>
        <v/>
      </c>
      <c r="V724" s="8">
        <f>$AC$12+D724*$AC$13+E724*$AC$14+F724*$AC$15+G724*$AC$16+H724*$AC$17+I724*$AC$18+J724*$AC$19+K724*$AC$20+L724*$AC$21+M724*$AC$22+N724*$AC$23+O724*$AC$24+P724*$AC$25+Q724*$AC$26+R724*$AC$27+S724*$AC$28+T724*$AC$29+U724*$AC$30</f>
        <v/>
      </c>
      <c r="W724" s="8">
        <f>1/(1+EXP(-V724))</f>
        <v/>
      </c>
      <c r="X724" s="9">
        <f>-IF(C724=1,LN(W724),LN(1-W724))</f>
        <v/>
      </c>
      <c r="Y724" s="10">
        <f>IF(W724&gt;$AC$33,1,0)</f>
        <v/>
      </c>
      <c r="Z724">
        <f>IF(Y724=C724,1,0)</f>
        <v/>
      </c>
    </row>
    <row r="725">
      <c r="A725">
        <f>'1 prepared data'!A718</f>
        <v/>
      </c>
      <c r="B725" s="5">
        <f>'1 prepared data'!U718</f>
        <v/>
      </c>
      <c r="C725">
        <f>'1 prepared data'!B718</f>
        <v/>
      </c>
      <c r="D725" s="7">
        <f>'1 prepared data'!C718</f>
        <v/>
      </c>
      <c r="E725" s="7">
        <f>'1 prepared data'!D718</f>
        <v/>
      </c>
      <c r="F725" s="7">
        <f>'1 prepared data'!E718</f>
        <v/>
      </c>
      <c r="G725" s="7">
        <f>'1 prepared data'!F718</f>
        <v/>
      </c>
      <c r="H725" s="7">
        <f>'1 prepared data'!G718</f>
        <v/>
      </c>
      <c r="I725" s="7">
        <f>'1 prepared data'!H718</f>
        <v/>
      </c>
      <c r="J725" s="7">
        <f>'1 prepared data'!I718</f>
        <v/>
      </c>
      <c r="K725" s="7">
        <f>'1 prepared data'!J718</f>
        <v/>
      </c>
      <c r="L725" s="7">
        <f>'1 prepared data'!K718</f>
        <v/>
      </c>
      <c r="M725" s="7">
        <f>'1 prepared data'!L718</f>
        <v/>
      </c>
      <c r="N725" s="7">
        <f>'1 prepared data'!M718</f>
        <v/>
      </c>
      <c r="O725" s="7">
        <f>'1 prepared data'!N718</f>
        <v/>
      </c>
      <c r="P725" s="7">
        <f>'1 prepared data'!O718</f>
        <v/>
      </c>
      <c r="Q725" s="7">
        <f>'1 prepared data'!P718</f>
        <v/>
      </c>
      <c r="R725" s="7">
        <f>'1 prepared data'!Q718</f>
        <v/>
      </c>
      <c r="S725" s="7">
        <f>'1 prepared data'!R718</f>
        <v/>
      </c>
      <c r="T725" s="7">
        <f>'1 prepared data'!S718</f>
        <v/>
      </c>
      <c r="U725" s="7">
        <f>'1 prepared data'!T718</f>
        <v/>
      </c>
      <c r="V725" s="8">
        <f>$AC$12+D725*$AC$13+E725*$AC$14+F725*$AC$15+G725*$AC$16+H725*$AC$17+I725*$AC$18+J725*$AC$19+K725*$AC$20+L725*$AC$21+M725*$AC$22+N725*$AC$23+O725*$AC$24+P725*$AC$25+Q725*$AC$26+R725*$AC$27+S725*$AC$28+T725*$AC$29+U725*$AC$30</f>
        <v/>
      </c>
      <c r="W725" s="8">
        <f>1/(1+EXP(-V725))</f>
        <v/>
      </c>
      <c r="X725" s="9">
        <f>-IF(C725=1,LN(W725),LN(1-W725))</f>
        <v/>
      </c>
      <c r="Y725" s="10">
        <f>IF(W725&gt;$AC$33,1,0)</f>
        <v/>
      </c>
      <c r="Z725">
        <f>IF(Y725=C725,1,0)</f>
        <v/>
      </c>
    </row>
    <row r="726">
      <c r="A726">
        <f>'1 prepared data'!A719</f>
        <v/>
      </c>
      <c r="B726" s="5">
        <f>'1 prepared data'!U719</f>
        <v/>
      </c>
      <c r="C726">
        <f>'1 prepared data'!B719</f>
        <v/>
      </c>
      <c r="D726" s="7">
        <f>'1 prepared data'!C719</f>
        <v/>
      </c>
      <c r="E726" s="7">
        <f>'1 prepared data'!D719</f>
        <v/>
      </c>
      <c r="F726" s="7">
        <f>'1 prepared data'!E719</f>
        <v/>
      </c>
      <c r="G726" s="7">
        <f>'1 prepared data'!F719</f>
        <v/>
      </c>
      <c r="H726" s="7">
        <f>'1 prepared data'!G719</f>
        <v/>
      </c>
      <c r="I726" s="7">
        <f>'1 prepared data'!H719</f>
        <v/>
      </c>
      <c r="J726" s="7">
        <f>'1 prepared data'!I719</f>
        <v/>
      </c>
      <c r="K726" s="7">
        <f>'1 prepared data'!J719</f>
        <v/>
      </c>
      <c r="L726" s="7">
        <f>'1 prepared data'!K719</f>
        <v/>
      </c>
      <c r="M726" s="7">
        <f>'1 prepared data'!L719</f>
        <v/>
      </c>
      <c r="N726" s="7">
        <f>'1 prepared data'!M719</f>
        <v/>
      </c>
      <c r="O726" s="7">
        <f>'1 prepared data'!N719</f>
        <v/>
      </c>
      <c r="P726" s="7">
        <f>'1 prepared data'!O719</f>
        <v/>
      </c>
      <c r="Q726" s="7">
        <f>'1 prepared data'!P719</f>
        <v/>
      </c>
      <c r="R726" s="7">
        <f>'1 prepared data'!Q719</f>
        <v/>
      </c>
      <c r="S726" s="7">
        <f>'1 prepared data'!R719</f>
        <v/>
      </c>
      <c r="T726" s="7">
        <f>'1 prepared data'!S719</f>
        <v/>
      </c>
      <c r="U726" s="7">
        <f>'1 prepared data'!T719</f>
        <v/>
      </c>
      <c r="V726" s="8">
        <f>$AC$12+D726*$AC$13+E726*$AC$14+F726*$AC$15+G726*$AC$16+H726*$AC$17+I726*$AC$18+J726*$AC$19+K726*$AC$20+L726*$AC$21+M726*$AC$22+N726*$AC$23+O726*$AC$24+P726*$AC$25+Q726*$AC$26+R726*$AC$27+S726*$AC$28+T726*$AC$29+U726*$AC$30</f>
        <v/>
      </c>
      <c r="W726" s="8">
        <f>1/(1+EXP(-V726))</f>
        <v/>
      </c>
      <c r="X726" s="9">
        <f>-IF(C726=1,LN(W726),LN(1-W726))</f>
        <v/>
      </c>
      <c r="Y726" s="10">
        <f>IF(W726&gt;$AC$33,1,0)</f>
        <v/>
      </c>
      <c r="Z726">
        <f>IF(Y726=C726,1,0)</f>
        <v/>
      </c>
    </row>
    <row r="727">
      <c r="A727">
        <f>'1 prepared data'!A720</f>
        <v/>
      </c>
      <c r="B727" s="5">
        <f>'1 prepared data'!U720</f>
        <v/>
      </c>
      <c r="C727">
        <f>'1 prepared data'!B720</f>
        <v/>
      </c>
      <c r="D727" s="7">
        <f>'1 prepared data'!C720</f>
        <v/>
      </c>
      <c r="E727" s="7">
        <f>'1 prepared data'!D720</f>
        <v/>
      </c>
      <c r="F727" s="7">
        <f>'1 prepared data'!E720</f>
        <v/>
      </c>
      <c r="G727" s="7">
        <f>'1 prepared data'!F720</f>
        <v/>
      </c>
      <c r="H727" s="7">
        <f>'1 prepared data'!G720</f>
        <v/>
      </c>
      <c r="I727" s="7">
        <f>'1 prepared data'!H720</f>
        <v/>
      </c>
      <c r="J727" s="7">
        <f>'1 prepared data'!I720</f>
        <v/>
      </c>
      <c r="K727" s="7">
        <f>'1 prepared data'!J720</f>
        <v/>
      </c>
      <c r="L727" s="7">
        <f>'1 prepared data'!K720</f>
        <v/>
      </c>
      <c r="M727" s="7">
        <f>'1 prepared data'!L720</f>
        <v/>
      </c>
      <c r="N727" s="7">
        <f>'1 prepared data'!M720</f>
        <v/>
      </c>
      <c r="O727" s="7">
        <f>'1 prepared data'!N720</f>
        <v/>
      </c>
      <c r="P727" s="7">
        <f>'1 prepared data'!O720</f>
        <v/>
      </c>
      <c r="Q727" s="7">
        <f>'1 prepared data'!P720</f>
        <v/>
      </c>
      <c r="R727" s="7">
        <f>'1 prepared data'!Q720</f>
        <v/>
      </c>
      <c r="S727" s="7">
        <f>'1 prepared data'!R720</f>
        <v/>
      </c>
      <c r="T727" s="7">
        <f>'1 prepared data'!S720</f>
        <v/>
      </c>
      <c r="U727" s="7">
        <f>'1 prepared data'!T720</f>
        <v/>
      </c>
      <c r="V727" s="8">
        <f>$AC$12+D727*$AC$13+E727*$AC$14+F727*$AC$15+G727*$AC$16+H727*$AC$17+I727*$AC$18+J727*$AC$19+K727*$AC$20+L727*$AC$21+M727*$AC$22+N727*$AC$23+O727*$AC$24+P727*$AC$25+Q727*$AC$26+R727*$AC$27+S727*$AC$28+T727*$AC$29+U727*$AC$30</f>
        <v/>
      </c>
      <c r="W727" s="8">
        <f>1/(1+EXP(-V727))</f>
        <v/>
      </c>
      <c r="X727" s="9">
        <f>-IF(C727=1,LN(W727),LN(1-W727))</f>
        <v/>
      </c>
      <c r="Y727" s="10">
        <f>IF(W727&gt;$AC$33,1,0)</f>
        <v/>
      </c>
      <c r="Z727">
        <f>IF(Y727=C727,1,0)</f>
        <v/>
      </c>
    </row>
    <row r="728">
      <c r="A728">
        <f>'1 prepared data'!A721</f>
        <v/>
      </c>
      <c r="B728" s="5">
        <f>'1 prepared data'!U721</f>
        <v/>
      </c>
      <c r="C728">
        <f>'1 prepared data'!B721</f>
        <v/>
      </c>
      <c r="D728" s="7">
        <f>'1 prepared data'!C721</f>
        <v/>
      </c>
      <c r="E728" s="7">
        <f>'1 prepared data'!D721</f>
        <v/>
      </c>
      <c r="F728" s="7">
        <f>'1 prepared data'!E721</f>
        <v/>
      </c>
      <c r="G728" s="7">
        <f>'1 prepared data'!F721</f>
        <v/>
      </c>
      <c r="H728" s="7">
        <f>'1 prepared data'!G721</f>
        <v/>
      </c>
      <c r="I728" s="7">
        <f>'1 prepared data'!H721</f>
        <v/>
      </c>
      <c r="J728" s="7">
        <f>'1 prepared data'!I721</f>
        <v/>
      </c>
      <c r="K728" s="7">
        <f>'1 prepared data'!J721</f>
        <v/>
      </c>
      <c r="L728" s="7">
        <f>'1 prepared data'!K721</f>
        <v/>
      </c>
      <c r="M728" s="7">
        <f>'1 prepared data'!L721</f>
        <v/>
      </c>
      <c r="N728" s="7">
        <f>'1 prepared data'!M721</f>
        <v/>
      </c>
      <c r="O728" s="7">
        <f>'1 prepared data'!N721</f>
        <v/>
      </c>
      <c r="P728" s="7">
        <f>'1 prepared data'!O721</f>
        <v/>
      </c>
      <c r="Q728" s="7">
        <f>'1 prepared data'!P721</f>
        <v/>
      </c>
      <c r="R728" s="7">
        <f>'1 prepared data'!Q721</f>
        <v/>
      </c>
      <c r="S728" s="7">
        <f>'1 prepared data'!R721</f>
        <v/>
      </c>
      <c r="T728" s="7">
        <f>'1 prepared data'!S721</f>
        <v/>
      </c>
      <c r="U728" s="7">
        <f>'1 prepared data'!T721</f>
        <v/>
      </c>
      <c r="V728" s="8">
        <f>$AC$12+D728*$AC$13+E728*$AC$14+F728*$AC$15+G728*$AC$16+H728*$AC$17+I728*$AC$18+J728*$AC$19+K728*$AC$20+L728*$AC$21+M728*$AC$22+N728*$AC$23+O728*$AC$24+P728*$AC$25+Q728*$AC$26+R728*$AC$27+S728*$AC$28+T728*$AC$29+U728*$AC$30</f>
        <v/>
      </c>
      <c r="W728" s="8">
        <f>1/(1+EXP(-V728))</f>
        <v/>
      </c>
      <c r="X728" s="9">
        <f>-IF(C728=1,LN(W728),LN(1-W728))</f>
        <v/>
      </c>
      <c r="Y728" s="10">
        <f>IF(W728&gt;$AC$33,1,0)</f>
        <v/>
      </c>
      <c r="Z728">
        <f>IF(Y728=C728,1,0)</f>
        <v/>
      </c>
    </row>
    <row r="729">
      <c r="A729">
        <f>'1 prepared data'!A722</f>
        <v/>
      </c>
      <c r="B729" s="5">
        <f>'1 prepared data'!U722</f>
        <v/>
      </c>
      <c r="C729">
        <f>'1 prepared data'!B722</f>
        <v/>
      </c>
      <c r="D729" s="7">
        <f>'1 prepared data'!C722</f>
        <v/>
      </c>
      <c r="E729" s="7">
        <f>'1 prepared data'!D722</f>
        <v/>
      </c>
      <c r="F729" s="7">
        <f>'1 prepared data'!E722</f>
        <v/>
      </c>
      <c r="G729" s="7">
        <f>'1 prepared data'!F722</f>
        <v/>
      </c>
      <c r="H729" s="7">
        <f>'1 prepared data'!G722</f>
        <v/>
      </c>
      <c r="I729" s="7">
        <f>'1 prepared data'!H722</f>
        <v/>
      </c>
      <c r="J729" s="7">
        <f>'1 prepared data'!I722</f>
        <v/>
      </c>
      <c r="K729" s="7">
        <f>'1 prepared data'!J722</f>
        <v/>
      </c>
      <c r="L729" s="7">
        <f>'1 prepared data'!K722</f>
        <v/>
      </c>
      <c r="M729" s="7">
        <f>'1 prepared data'!L722</f>
        <v/>
      </c>
      <c r="N729" s="7">
        <f>'1 prepared data'!M722</f>
        <v/>
      </c>
      <c r="O729" s="7">
        <f>'1 prepared data'!N722</f>
        <v/>
      </c>
      <c r="P729" s="7">
        <f>'1 prepared data'!O722</f>
        <v/>
      </c>
      <c r="Q729" s="7">
        <f>'1 prepared data'!P722</f>
        <v/>
      </c>
      <c r="R729" s="7">
        <f>'1 prepared data'!Q722</f>
        <v/>
      </c>
      <c r="S729" s="7">
        <f>'1 prepared data'!R722</f>
        <v/>
      </c>
      <c r="T729" s="7">
        <f>'1 prepared data'!S722</f>
        <v/>
      </c>
      <c r="U729" s="7">
        <f>'1 prepared data'!T722</f>
        <v/>
      </c>
      <c r="V729" s="8">
        <f>$AC$12+D729*$AC$13+E729*$AC$14+F729*$AC$15+G729*$AC$16+H729*$AC$17+I729*$AC$18+J729*$AC$19+K729*$AC$20+L729*$AC$21+M729*$AC$22+N729*$AC$23+O729*$AC$24+P729*$AC$25+Q729*$AC$26+R729*$AC$27+S729*$AC$28+T729*$AC$29+U729*$AC$30</f>
        <v/>
      </c>
      <c r="W729" s="8">
        <f>1/(1+EXP(-V729))</f>
        <v/>
      </c>
      <c r="X729" s="9">
        <f>-IF(C729=1,LN(W729),LN(1-W729))</f>
        <v/>
      </c>
      <c r="Y729" s="10">
        <f>IF(W729&gt;$AC$33,1,0)</f>
        <v/>
      </c>
      <c r="Z729">
        <f>IF(Y729=C729,1,0)</f>
        <v/>
      </c>
    </row>
    <row r="730">
      <c r="A730">
        <f>'1 prepared data'!A723</f>
        <v/>
      </c>
      <c r="B730" s="5">
        <f>'1 prepared data'!U723</f>
        <v/>
      </c>
      <c r="C730">
        <f>'1 prepared data'!B723</f>
        <v/>
      </c>
      <c r="D730" s="7">
        <f>'1 prepared data'!C723</f>
        <v/>
      </c>
      <c r="E730" s="7">
        <f>'1 prepared data'!D723</f>
        <v/>
      </c>
      <c r="F730" s="7">
        <f>'1 prepared data'!E723</f>
        <v/>
      </c>
      <c r="G730" s="7">
        <f>'1 prepared data'!F723</f>
        <v/>
      </c>
      <c r="H730" s="7">
        <f>'1 prepared data'!G723</f>
        <v/>
      </c>
      <c r="I730" s="7">
        <f>'1 prepared data'!H723</f>
        <v/>
      </c>
      <c r="J730" s="7">
        <f>'1 prepared data'!I723</f>
        <v/>
      </c>
      <c r="K730" s="7">
        <f>'1 prepared data'!J723</f>
        <v/>
      </c>
      <c r="L730" s="7">
        <f>'1 prepared data'!K723</f>
        <v/>
      </c>
      <c r="M730" s="7">
        <f>'1 prepared data'!L723</f>
        <v/>
      </c>
      <c r="N730" s="7">
        <f>'1 prepared data'!M723</f>
        <v/>
      </c>
      <c r="O730" s="7">
        <f>'1 prepared data'!N723</f>
        <v/>
      </c>
      <c r="P730" s="7">
        <f>'1 prepared data'!O723</f>
        <v/>
      </c>
      <c r="Q730" s="7">
        <f>'1 prepared data'!P723</f>
        <v/>
      </c>
      <c r="R730" s="7">
        <f>'1 prepared data'!Q723</f>
        <v/>
      </c>
      <c r="S730" s="7">
        <f>'1 prepared data'!R723</f>
        <v/>
      </c>
      <c r="T730" s="7">
        <f>'1 prepared data'!S723</f>
        <v/>
      </c>
      <c r="U730" s="7">
        <f>'1 prepared data'!T723</f>
        <v/>
      </c>
      <c r="V730" s="8">
        <f>$AC$12+D730*$AC$13+E730*$AC$14+F730*$AC$15+G730*$AC$16+H730*$AC$17+I730*$AC$18+J730*$AC$19+K730*$AC$20+L730*$AC$21+M730*$AC$22+N730*$AC$23+O730*$AC$24+P730*$AC$25+Q730*$AC$26+R730*$AC$27+S730*$AC$28+T730*$AC$29+U730*$AC$30</f>
        <v/>
      </c>
      <c r="W730" s="8">
        <f>1/(1+EXP(-V730))</f>
        <v/>
      </c>
      <c r="X730" s="9">
        <f>-IF(C730=1,LN(W730),LN(1-W730))</f>
        <v/>
      </c>
      <c r="Y730" s="10">
        <f>IF(W730&gt;$AC$33,1,0)</f>
        <v/>
      </c>
      <c r="Z730">
        <f>IF(Y730=C730,1,0)</f>
        <v/>
      </c>
    </row>
    <row r="731">
      <c r="A731">
        <f>'1 prepared data'!A724</f>
        <v/>
      </c>
      <c r="B731" s="5">
        <f>'1 prepared data'!U724</f>
        <v/>
      </c>
      <c r="C731">
        <f>'1 prepared data'!B724</f>
        <v/>
      </c>
      <c r="D731" s="7">
        <f>'1 prepared data'!C724</f>
        <v/>
      </c>
      <c r="E731" s="7">
        <f>'1 prepared data'!D724</f>
        <v/>
      </c>
      <c r="F731" s="7">
        <f>'1 prepared data'!E724</f>
        <v/>
      </c>
      <c r="G731" s="7">
        <f>'1 prepared data'!F724</f>
        <v/>
      </c>
      <c r="H731" s="7">
        <f>'1 prepared data'!G724</f>
        <v/>
      </c>
      <c r="I731" s="7">
        <f>'1 prepared data'!H724</f>
        <v/>
      </c>
      <c r="J731" s="7">
        <f>'1 prepared data'!I724</f>
        <v/>
      </c>
      <c r="K731" s="7">
        <f>'1 prepared data'!J724</f>
        <v/>
      </c>
      <c r="L731" s="7">
        <f>'1 prepared data'!K724</f>
        <v/>
      </c>
      <c r="M731" s="7">
        <f>'1 prepared data'!L724</f>
        <v/>
      </c>
      <c r="N731" s="7">
        <f>'1 prepared data'!M724</f>
        <v/>
      </c>
      <c r="O731" s="7">
        <f>'1 prepared data'!N724</f>
        <v/>
      </c>
      <c r="P731" s="7">
        <f>'1 prepared data'!O724</f>
        <v/>
      </c>
      <c r="Q731" s="7">
        <f>'1 prepared data'!P724</f>
        <v/>
      </c>
      <c r="R731" s="7">
        <f>'1 prepared data'!Q724</f>
        <v/>
      </c>
      <c r="S731" s="7">
        <f>'1 prepared data'!R724</f>
        <v/>
      </c>
      <c r="T731" s="7">
        <f>'1 prepared data'!S724</f>
        <v/>
      </c>
      <c r="U731" s="7">
        <f>'1 prepared data'!T724</f>
        <v/>
      </c>
      <c r="V731" s="8">
        <f>$AC$12+D731*$AC$13+E731*$AC$14+F731*$AC$15+G731*$AC$16+H731*$AC$17+I731*$AC$18+J731*$AC$19+K731*$AC$20+L731*$AC$21+M731*$AC$22+N731*$AC$23+O731*$AC$24+P731*$AC$25+Q731*$AC$26+R731*$AC$27+S731*$AC$28+T731*$AC$29+U731*$AC$30</f>
        <v/>
      </c>
      <c r="W731" s="8">
        <f>1/(1+EXP(-V731))</f>
        <v/>
      </c>
      <c r="X731" s="9">
        <f>-IF(C731=1,LN(W731),LN(1-W731))</f>
        <v/>
      </c>
      <c r="Y731" s="10">
        <f>IF(W731&gt;$AC$33,1,0)</f>
        <v/>
      </c>
      <c r="Z731">
        <f>IF(Y731=C731,1,0)</f>
        <v/>
      </c>
    </row>
    <row r="732">
      <c r="A732">
        <f>'1 prepared data'!A725</f>
        <v/>
      </c>
      <c r="B732" s="5">
        <f>'1 prepared data'!U725</f>
        <v/>
      </c>
      <c r="C732">
        <f>'1 prepared data'!B725</f>
        <v/>
      </c>
      <c r="D732" s="7">
        <f>'1 prepared data'!C725</f>
        <v/>
      </c>
      <c r="E732" s="7">
        <f>'1 prepared data'!D725</f>
        <v/>
      </c>
      <c r="F732" s="7">
        <f>'1 prepared data'!E725</f>
        <v/>
      </c>
      <c r="G732" s="7">
        <f>'1 prepared data'!F725</f>
        <v/>
      </c>
      <c r="H732" s="7">
        <f>'1 prepared data'!G725</f>
        <v/>
      </c>
      <c r="I732" s="7">
        <f>'1 prepared data'!H725</f>
        <v/>
      </c>
      <c r="J732" s="7">
        <f>'1 prepared data'!I725</f>
        <v/>
      </c>
      <c r="K732" s="7">
        <f>'1 prepared data'!J725</f>
        <v/>
      </c>
      <c r="L732" s="7">
        <f>'1 prepared data'!K725</f>
        <v/>
      </c>
      <c r="M732" s="7">
        <f>'1 prepared data'!L725</f>
        <v/>
      </c>
      <c r="N732" s="7">
        <f>'1 prepared data'!M725</f>
        <v/>
      </c>
      <c r="O732" s="7">
        <f>'1 prepared data'!N725</f>
        <v/>
      </c>
      <c r="P732" s="7">
        <f>'1 prepared data'!O725</f>
        <v/>
      </c>
      <c r="Q732" s="7">
        <f>'1 prepared data'!P725</f>
        <v/>
      </c>
      <c r="R732" s="7">
        <f>'1 prepared data'!Q725</f>
        <v/>
      </c>
      <c r="S732" s="7">
        <f>'1 prepared data'!R725</f>
        <v/>
      </c>
      <c r="T732" s="7">
        <f>'1 prepared data'!S725</f>
        <v/>
      </c>
      <c r="U732" s="7">
        <f>'1 prepared data'!T725</f>
        <v/>
      </c>
      <c r="V732" s="8">
        <f>$AC$12+D732*$AC$13+E732*$AC$14+F732*$AC$15+G732*$AC$16+H732*$AC$17+I732*$AC$18+J732*$AC$19+K732*$AC$20+L732*$AC$21+M732*$AC$22+N732*$AC$23+O732*$AC$24+P732*$AC$25+Q732*$AC$26+R732*$AC$27+S732*$AC$28+T732*$AC$29+U732*$AC$30</f>
        <v/>
      </c>
      <c r="W732" s="8">
        <f>1/(1+EXP(-V732))</f>
        <v/>
      </c>
      <c r="X732" s="9">
        <f>-IF(C732=1,LN(W732),LN(1-W732))</f>
        <v/>
      </c>
      <c r="Y732" s="10">
        <f>IF(W732&gt;$AC$33,1,0)</f>
        <v/>
      </c>
      <c r="Z732">
        <f>IF(Y732=C732,1,0)</f>
        <v/>
      </c>
    </row>
    <row r="733">
      <c r="A733">
        <f>'1 prepared data'!A726</f>
        <v/>
      </c>
      <c r="B733" s="5">
        <f>'1 prepared data'!U726</f>
        <v/>
      </c>
      <c r="C733">
        <f>'1 prepared data'!B726</f>
        <v/>
      </c>
      <c r="D733" s="7">
        <f>'1 prepared data'!C726</f>
        <v/>
      </c>
      <c r="E733" s="7">
        <f>'1 prepared data'!D726</f>
        <v/>
      </c>
      <c r="F733" s="7">
        <f>'1 prepared data'!E726</f>
        <v/>
      </c>
      <c r="G733" s="7">
        <f>'1 prepared data'!F726</f>
        <v/>
      </c>
      <c r="H733" s="7">
        <f>'1 prepared data'!G726</f>
        <v/>
      </c>
      <c r="I733" s="7">
        <f>'1 prepared data'!H726</f>
        <v/>
      </c>
      <c r="J733" s="7">
        <f>'1 prepared data'!I726</f>
        <v/>
      </c>
      <c r="K733" s="7">
        <f>'1 prepared data'!J726</f>
        <v/>
      </c>
      <c r="L733" s="7">
        <f>'1 prepared data'!K726</f>
        <v/>
      </c>
      <c r="M733" s="7">
        <f>'1 prepared data'!L726</f>
        <v/>
      </c>
      <c r="N733" s="7">
        <f>'1 prepared data'!M726</f>
        <v/>
      </c>
      <c r="O733" s="7">
        <f>'1 prepared data'!N726</f>
        <v/>
      </c>
      <c r="P733" s="7">
        <f>'1 prepared data'!O726</f>
        <v/>
      </c>
      <c r="Q733" s="7">
        <f>'1 prepared data'!P726</f>
        <v/>
      </c>
      <c r="R733" s="7">
        <f>'1 prepared data'!Q726</f>
        <v/>
      </c>
      <c r="S733" s="7">
        <f>'1 prepared data'!R726</f>
        <v/>
      </c>
      <c r="T733" s="7">
        <f>'1 prepared data'!S726</f>
        <v/>
      </c>
      <c r="U733" s="7">
        <f>'1 prepared data'!T726</f>
        <v/>
      </c>
      <c r="V733" s="8">
        <f>$AC$12+D733*$AC$13+E733*$AC$14+F733*$AC$15+G733*$AC$16+H733*$AC$17+I733*$AC$18+J733*$AC$19+K733*$AC$20+L733*$AC$21+M733*$AC$22+N733*$AC$23+O733*$AC$24+P733*$AC$25+Q733*$AC$26+R733*$AC$27+S733*$AC$28+T733*$AC$29+U733*$AC$30</f>
        <v/>
      </c>
      <c r="W733" s="8">
        <f>1/(1+EXP(-V733))</f>
        <v/>
      </c>
      <c r="X733" s="9">
        <f>-IF(C733=1,LN(W733),LN(1-W733))</f>
        <v/>
      </c>
      <c r="Y733" s="10">
        <f>IF(W733&gt;$AC$33,1,0)</f>
        <v/>
      </c>
      <c r="Z733">
        <f>IF(Y733=C733,1,0)</f>
        <v/>
      </c>
    </row>
    <row r="734">
      <c r="A734">
        <f>'1 prepared data'!A727</f>
        <v/>
      </c>
      <c r="B734" s="5">
        <f>'1 prepared data'!U727</f>
        <v/>
      </c>
      <c r="C734">
        <f>'1 prepared data'!B727</f>
        <v/>
      </c>
      <c r="D734" s="7">
        <f>'1 prepared data'!C727</f>
        <v/>
      </c>
      <c r="E734" s="7">
        <f>'1 prepared data'!D727</f>
        <v/>
      </c>
      <c r="F734" s="7">
        <f>'1 prepared data'!E727</f>
        <v/>
      </c>
      <c r="G734" s="7">
        <f>'1 prepared data'!F727</f>
        <v/>
      </c>
      <c r="H734" s="7">
        <f>'1 prepared data'!G727</f>
        <v/>
      </c>
      <c r="I734" s="7">
        <f>'1 prepared data'!H727</f>
        <v/>
      </c>
      <c r="J734" s="7">
        <f>'1 prepared data'!I727</f>
        <v/>
      </c>
      <c r="K734" s="7">
        <f>'1 prepared data'!J727</f>
        <v/>
      </c>
      <c r="L734" s="7">
        <f>'1 prepared data'!K727</f>
        <v/>
      </c>
      <c r="M734" s="7">
        <f>'1 prepared data'!L727</f>
        <v/>
      </c>
      <c r="N734" s="7">
        <f>'1 prepared data'!M727</f>
        <v/>
      </c>
      <c r="O734" s="7">
        <f>'1 prepared data'!N727</f>
        <v/>
      </c>
      <c r="P734" s="7">
        <f>'1 prepared data'!O727</f>
        <v/>
      </c>
      <c r="Q734" s="7">
        <f>'1 prepared data'!P727</f>
        <v/>
      </c>
      <c r="R734" s="7">
        <f>'1 prepared data'!Q727</f>
        <v/>
      </c>
      <c r="S734" s="7">
        <f>'1 prepared data'!R727</f>
        <v/>
      </c>
      <c r="T734" s="7">
        <f>'1 prepared data'!S727</f>
        <v/>
      </c>
      <c r="U734" s="7">
        <f>'1 prepared data'!T727</f>
        <v/>
      </c>
      <c r="V734" s="8">
        <f>$AC$12+D734*$AC$13+E734*$AC$14+F734*$AC$15+G734*$AC$16+H734*$AC$17+I734*$AC$18+J734*$AC$19+K734*$AC$20+L734*$AC$21+M734*$AC$22+N734*$AC$23+O734*$AC$24+P734*$AC$25+Q734*$AC$26+R734*$AC$27+S734*$AC$28+T734*$AC$29+U734*$AC$30</f>
        <v/>
      </c>
      <c r="W734" s="8">
        <f>1/(1+EXP(-V734))</f>
        <v/>
      </c>
      <c r="X734" s="9">
        <f>-IF(C734=1,LN(W734),LN(1-W734))</f>
        <v/>
      </c>
      <c r="Y734" s="10">
        <f>IF(W734&gt;$AC$33,1,0)</f>
        <v/>
      </c>
      <c r="Z734">
        <f>IF(Y734=C734,1,0)</f>
        <v/>
      </c>
    </row>
    <row r="735">
      <c r="A735">
        <f>'1 prepared data'!A728</f>
        <v/>
      </c>
      <c r="B735" s="5">
        <f>'1 prepared data'!U728</f>
        <v/>
      </c>
      <c r="C735">
        <f>'1 prepared data'!B728</f>
        <v/>
      </c>
      <c r="D735" s="7">
        <f>'1 prepared data'!C728</f>
        <v/>
      </c>
      <c r="E735" s="7">
        <f>'1 prepared data'!D728</f>
        <v/>
      </c>
      <c r="F735" s="7">
        <f>'1 prepared data'!E728</f>
        <v/>
      </c>
      <c r="G735" s="7">
        <f>'1 prepared data'!F728</f>
        <v/>
      </c>
      <c r="H735" s="7">
        <f>'1 prepared data'!G728</f>
        <v/>
      </c>
      <c r="I735" s="7">
        <f>'1 prepared data'!H728</f>
        <v/>
      </c>
      <c r="J735" s="7">
        <f>'1 prepared data'!I728</f>
        <v/>
      </c>
      <c r="K735" s="7">
        <f>'1 prepared data'!J728</f>
        <v/>
      </c>
      <c r="L735" s="7">
        <f>'1 prepared data'!K728</f>
        <v/>
      </c>
      <c r="M735" s="7">
        <f>'1 prepared data'!L728</f>
        <v/>
      </c>
      <c r="N735" s="7">
        <f>'1 prepared data'!M728</f>
        <v/>
      </c>
      <c r="O735" s="7">
        <f>'1 prepared data'!N728</f>
        <v/>
      </c>
      <c r="P735" s="7">
        <f>'1 prepared data'!O728</f>
        <v/>
      </c>
      <c r="Q735" s="7">
        <f>'1 prepared data'!P728</f>
        <v/>
      </c>
      <c r="R735" s="7">
        <f>'1 prepared data'!Q728</f>
        <v/>
      </c>
      <c r="S735" s="7">
        <f>'1 prepared data'!R728</f>
        <v/>
      </c>
      <c r="T735" s="7">
        <f>'1 prepared data'!S728</f>
        <v/>
      </c>
      <c r="U735" s="7">
        <f>'1 prepared data'!T728</f>
        <v/>
      </c>
      <c r="V735" s="8">
        <f>$AC$12+D735*$AC$13+E735*$AC$14+F735*$AC$15+G735*$AC$16+H735*$AC$17+I735*$AC$18+J735*$AC$19+K735*$AC$20+L735*$AC$21+M735*$AC$22+N735*$AC$23+O735*$AC$24+P735*$AC$25+Q735*$AC$26+R735*$AC$27+S735*$AC$28+T735*$AC$29+U735*$AC$30</f>
        <v/>
      </c>
      <c r="W735" s="8">
        <f>1/(1+EXP(-V735))</f>
        <v/>
      </c>
      <c r="X735" s="9">
        <f>-IF(C735=1,LN(W735),LN(1-W735))</f>
        <v/>
      </c>
      <c r="Y735" s="10">
        <f>IF(W735&gt;$AC$33,1,0)</f>
        <v/>
      </c>
      <c r="Z735">
        <f>IF(Y735=C735,1,0)</f>
        <v/>
      </c>
    </row>
    <row r="736">
      <c r="A736">
        <f>'1 prepared data'!A729</f>
        <v/>
      </c>
      <c r="B736" s="5">
        <f>'1 prepared data'!U729</f>
        <v/>
      </c>
      <c r="C736">
        <f>'1 prepared data'!B729</f>
        <v/>
      </c>
      <c r="D736" s="7">
        <f>'1 prepared data'!C729</f>
        <v/>
      </c>
      <c r="E736" s="7">
        <f>'1 prepared data'!D729</f>
        <v/>
      </c>
      <c r="F736" s="7">
        <f>'1 prepared data'!E729</f>
        <v/>
      </c>
      <c r="G736" s="7">
        <f>'1 prepared data'!F729</f>
        <v/>
      </c>
      <c r="H736" s="7">
        <f>'1 prepared data'!G729</f>
        <v/>
      </c>
      <c r="I736" s="7">
        <f>'1 prepared data'!H729</f>
        <v/>
      </c>
      <c r="J736" s="7">
        <f>'1 prepared data'!I729</f>
        <v/>
      </c>
      <c r="K736" s="7">
        <f>'1 prepared data'!J729</f>
        <v/>
      </c>
      <c r="L736" s="7">
        <f>'1 prepared data'!K729</f>
        <v/>
      </c>
      <c r="M736" s="7">
        <f>'1 prepared data'!L729</f>
        <v/>
      </c>
      <c r="N736" s="7">
        <f>'1 prepared data'!M729</f>
        <v/>
      </c>
      <c r="O736" s="7">
        <f>'1 prepared data'!N729</f>
        <v/>
      </c>
      <c r="P736" s="7">
        <f>'1 prepared data'!O729</f>
        <v/>
      </c>
      <c r="Q736" s="7">
        <f>'1 prepared data'!P729</f>
        <v/>
      </c>
      <c r="R736" s="7">
        <f>'1 prepared data'!Q729</f>
        <v/>
      </c>
      <c r="S736" s="7">
        <f>'1 prepared data'!R729</f>
        <v/>
      </c>
      <c r="T736" s="7">
        <f>'1 prepared data'!S729</f>
        <v/>
      </c>
      <c r="U736" s="7">
        <f>'1 prepared data'!T729</f>
        <v/>
      </c>
      <c r="V736" s="8">
        <f>$AC$12+D736*$AC$13+E736*$AC$14+F736*$AC$15+G736*$AC$16+H736*$AC$17+I736*$AC$18+J736*$AC$19+K736*$AC$20+L736*$AC$21+M736*$AC$22+N736*$AC$23+O736*$AC$24+P736*$AC$25+Q736*$AC$26+R736*$AC$27+S736*$AC$28+T736*$AC$29+U736*$AC$30</f>
        <v/>
      </c>
      <c r="W736" s="8">
        <f>1/(1+EXP(-V736))</f>
        <v/>
      </c>
      <c r="X736" s="9">
        <f>-IF(C736=1,LN(W736),LN(1-W736))</f>
        <v/>
      </c>
      <c r="Y736" s="10">
        <f>IF(W736&gt;$AC$33,1,0)</f>
        <v/>
      </c>
      <c r="Z736">
        <f>IF(Y736=C736,1,0)</f>
        <v/>
      </c>
    </row>
    <row r="737">
      <c r="A737">
        <f>'1 prepared data'!A730</f>
        <v/>
      </c>
      <c r="B737" s="5">
        <f>'1 prepared data'!U730</f>
        <v/>
      </c>
      <c r="C737">
        <f>'1 prepared data'!B730</f>
        <v/>
      </c>
      <c r="D737" s="7">
        <f>'1 prepared data'!C730</f>
        <v/>
      </c>
      <c r="E737" s="7">
        <f>'1 prepared data'!D730</f>
        <v/>
      </c>
      <c r="F737" s="7">
        <f>'1 prepared data'!E730</f>
        <v/>
      </c>
      <c r="G737" s="7">
        <f>'1 prepared data'!F730</f>
        <v/>
      </c>
      <c r="H737" s="7">
        <f>'1 prepared data'!G730</f>
        <v/>
      </c>
      <c r="I737" s="7">
        <f>'1 prepared data'!H730</f>
        <v/>
      </c>
      <c r="J737" s="7">
        <f>'1 prepared data'!I730</f>
        <v/>
      </c>
      <c r="K737" s="7">
        <f>'1 prepared data'!J730</f>
        <v/>
      </c>
      <c r="L737" s="7">
        <f>'1 prepared data'!K730</f>
        <v/>
      </c>
      <c r="M737" s="7">
        <f>'1 prepared data'!L730</f>
        <v/>
      </c>
      <c r="N737" s="7">
        <f>'1 prepared data'!M730</f>
        <v/>
      </c>
      <c r="O737" s="7">
        <f>'1 prepared data'!N730</f>
        <v/>
      </c>
      <c r="P737" s="7">
        <f>'1 prepared data'!O730</f>
        <v/>
      </c>
      <c r="Q737" s="7">
        <f>'1 prepared data'!P730</f>
        <v/>
      </c>
      <c r="R737" s="7">
        <f>'1 prepared data'!Q730</f>
        <v/>
      </c>
      <c r="S737" s="7">
        <f>'1 prepared data'!R730</f>
        <v/>
      </c>
      <c r="T737" s="7">
        <f>'1 prepared data'!S730</f>
        <v/>
      </c>
      <c r="U737" s="7">
        <f>'1 prepared data'!T730</f>
        <v/>
      </c>
      <c r="V737" s="8">
        <f>$AC$12+D737*$AC$13+E737*$AC$14+F737*$AC$15+G737*$AC$16+H737*$AC$17+I737*$AC$18+J737*$AC$19+K737*$AC$20+L737*$AC$21+M737*$AC$22+N737*$AC$23+O737*$AC$24+P737*$AC$25+Q737*$AC$26+R737*$AC$27+S737*$AC$28+T737*$AC$29+U737*$AC$30</f>
        <v/>
      </c>
      <c r="W737" s="8">
        <f>1/(1+EXP(-V737))</f>
        <v/>
      </c>
      <c r="X737" s="9">
        <f>-IF(C737=1,LN(W737),LN(1-W737))</f>
        <v/>
      </c>
      <c r="Y737" s="10">
        <f>IF(W737&gt;$AC$33,1,0)</f>
        <v/>
      </c>
      <c r="Z737">
        <f>IF(Y737=C737,1,0)</f>
        <v/>
      </c>
    </row>
    <row r="738">
      <c r="A738">
        <f>'1 prepared data'!A731</f>
        <v/>
      </c>
      <c r="B738" s="5">
        <f>'1 prepared data'!U731</f>
        <v/>
      </c>
      <c r="C738">
        <f>'1 prepared data'!B731</f>
        <v/>
      </c>
      <c r="D738" s="7">
        <f>'1 prepared data'!C731</f>
        <v/>
      </c>
      <c r="E738" s="7">
        <f>'1 prepared data'!D731</f>
        <v/>
      </c>
      <c r="F738" s="7">
        <f>'1 prepared data'!E731</f>
        <v/>
      </c>
      <c r="G738" s="7">
        <f>'1 prepared data'!F731</f>
        <v/>
      </c>
      <c r="H738" s="7">
        <f>'1 prepared data'!G731</f>
        <v/>
      </c>
      <c r="I738" s="7">
        <f>'1 prepared data'!H731</f>
        <v/>
      </c>
      <c r="J738" s="7">
        <f>'1 prepared data'!I731</f>
        <v/>
      </c>
      <c r="K738" s="7">
        <f>'1 prepared data'!J731</f>
        <v/>
      </c>
      <c r="L738" s="7">
        <f>'1 prepared data'!K731</f>
        <v/>
      </c>
      <c r="M738" s="7">
        <f>'1 prepared data'!L731</f>
        <v/>
      </c>
      <c r="N738" s="7">
        <f>'1 prepared data'!M731</f>
        <v/>
      </c>
      <c r="O738" s="7">
        <f>'1 prepared data'!N731</f>
        <v/>
      </c>
      <c r="P738" s="7">
        <f>'1 prepared data'!O731</f>
        <v/>
      </c>
      <c r="Q738" s="7">
        <f>'1 prepared data'!P731</f>
        <v/>
      </c>
      <c r="R738" s="7">
        <f>'1 prepared data'!Q731</f>
        <v/>
      </c>
      <c r="S738" s="7">
        <f>'1 prepared data'!R731</f>
        <v/>
      </c>
      <c r="T738" s="7">
        <f>'1 prepared data'!S731</f>
        <v/>
      </c>
      <c r="U738" s="7">
        <f>'1 prepared data'!T731</f>
        <v/>
      </c>
      <c r="V738" s="8">
        <f>$AC$12+D738*$AC$13+E738*$AC$14+F738*$AC$15+G738*$AC$16+H738*$AC$17+I738*$AC$18+J738*$AC$19+K738*$AC$20+L738*$AC$21+M738*$AC$22+N738*$AC$23+O738*$AC$24+P738*$AC$25+Q738*$AC$26+R738*$AC$27+S738*$AC$28+T738*$AC$29+U738*$AC$30</f>
        <v/>
      </c>
      <c r="W738" s="8">
        <f>1/(1+EXP(-V738))</f>
        <v/>
      </c>
      <c r="X738" s="9">
        <f>-IF(C738=1,LN(W738),LN(1-W738))</f>
        <v/>
      </c>
      <c r="Y738" s="10">
        <f>IF(W738&gt;$AC$33,1,0)</f>
        <v/>
      </c>
      <c r="Z738">
        <f>IF(Y738=C738,1,0)</f>
        <v/>
      </c>
    </row>
    <row r="739">
      <c r="A739">
        <f>'1 prepared data'!A732</f>
        <v/>
      </c>
      <c r="B739" s="5">
        <f>'1 prepared data'!U732</f>
        <v/>
      </c>
      <c r="C739">
        <f>'1 prepared data'!B732</f>
        <v/>
      </c>
      <c r="D739" s="7">
        <f>'1 prepared data'!C732</f>
        <v/>
      </c>
      <c r="E739" s="7">
        <f>'1 prepared data'!D732</f>
        <v/>
      </c>
      <c r="F739" s="7">
        <f>'1 prepared data'!E732</f>
        <v/>
      </c>
      <c r="G739" s="7">
        <f>'1 prepared data'!F732</f>
        <v/>
      </c>
      <c r="H739" s="7">
        <f>'1 prepared data'!G732</f>
        <v/>
      </c>
      <c r="I739" s="7">
        <f>'1 prepared data'!H732</f>
        <v/>
      </c>
      <c r="J739" s="7">
        <f>'1 prepared data'!I732</f>
        <v/>
      </c>
      <c r="K739" s="7">
        <f>'1 prepared data'!J732</f>
        <v/>
      </c>
      <c r="L739" s="7">
        <f>'1 prepared data'!K732</f>
        <v/>
      </c>
      <c r="M739" s="7">
        <f>'1 prepared data'!L732</f>
        <v/>
      </c>
      <c r="N739" s="7">
        <f>'1 prepared data'!M732</f>
        <v/>
      </c>
      <c r="O739" s="7">
        <f>'1 prepared data'!N732</f>
        <v/>
      </c>
      <c r="P739" s="7">
        <f>'1 prepared data'!O732</f>
        <v/>
      </c>
      <c r="Q739" s="7">
        <f>'1 prepared data'!P732</f>
        <v/>
      </c>
      <c r="R739" s="7">
        <f>'1 prepared data'!Q732</f>
        <v/>
      </c>
      <c r="S739" s="7">
        <f>'1 prepared data'!R732</f>
        <v/>
      </c>
      <c r="T739" s="7">
        <f>'1 prepared data'!S732</f>
        <v/>
      </c>
      <c r="U739" s="7">
        <f>'1 prepared data'!T732</f>
        <v/>
      </c>
      <c r="V739" s="8">
        <f>$AC$12+D739*$AC$13+E739*$AC$14+F739*$AC$15+G739*$AC$16+H739*$AC$17+I739*$AC$18+J739*$AC$19+K739*$AC$20+L739*$AC$21+M739*$AC$22+N739*$AC$23+O739*$AC$24+P739*$AC$25+Q739*$AC$26+R739*$AC$27+S739*$AC$28+T739*$AC$29+U739*$AC$30</f>
        <v/>
      </c>
      <c r="W739" s="8">
        <f>1/(1+EXP(-V739))</f>
        <v/>
      </c>
      <c r="X739" s="9">
        <f>-IF(C739=1,LN(W739),LN(1-W739))</f>
        <v/>
      </c>
      <c r="Y739" s="10">
        <f>IF(W739&gt;$AC$33,1,0)</f>
        <v/>
      </c>
      <c r="Z739">
        <f>IF(Y739=C739,1,0)</f>
        <v/>
      </c>
    </row>
    <row r="740">
      <c r="A740">
        <f>'1 prepared data'!A733</f>
        <v/>
      </c>
      <c r="B740" s="5">
        <f>'1 prepared data'!U733</f>
        <v/>
      </c>
      <c r="C740">
        <f>'1 prepared data'!B733</f>
        <v/>
      </c>
      <c r="D740" s="7">
        <f>'1 prepared data'!C733</f>
        <v/>
      </c>
      <c r="E740" s="7">
        <f>'1 prepared data'!D733</f>
        <v/>
      </c>
      <c r="F740" s="7">
        <f>'1 prepared data'!E733</f>
        <v/>
      </c>
      <c r="G740" s="7">
        <f>'1 prepared data'!F733</f>
        <v/>
      </c>
      <c r="H740" s="7">
        <f>'1 prepared data'!G733</f>
        <v/>
      </c>
      <c r="I740" s="7">
        <f>'1 prepared data'!H733</f>
        <v/>
      </c>
      <c r="J740" s="7">
        <f>'1 prepared data'!I733</f>
        <v/>
      </c>
      <c r="K740" s="7">
        <f>'1 prepared data'!J733</f>
        <v/>
      </c>
      <c r="L740" s="7">
        <f>'1 prepared data'!K733</f>
        <v/>
      </c>
      <c r="M740" s="7">
        <f>'1 prepared data'!L733</f>
        <v/>
      </c>
      <c r="N740" s="7">
        <f>'1 prepared data'!M733</f>
        <v/>
      </c>
      <c r="O740" s="7">
        <f>'1 prepared data'!N733</f>
        <v/>
      </c>
      <c r="P740" s="7">
        <f>'1 prepared data'!O733</f>
        <v/>
      </c>
      <c r="Q740" s="7">
        <f>'1 prepared data'!P733</f>
        <v/>
      </c>
      <c r="R740" s="7">
        <f>'1 prepared data'!Q733</f>
        <v/>
      </c>
      <c r="S740" s="7">
        <f>'1 prepared data'!R733</f>
        <v/>
      </c>
      <c r="T740" s="7">
        <f>'1 prepared data'!S733</f>
        <v/>
      </c>
      <c r="U740" s="7">
        <f>'1 prepared data'!T733</f>
        <v/>
      </c>
      <c r="V740" s="8">
        <f>$AC$12+D740*$AC$13+E740*$AC$14+F740*$AC$15+G740*$AC$16+H740*$AC$17+I740*$AC$18+J740*$AC$19+K740*$AC$20+L740*$AC$21+M740*$AC$22+N740*$AC$23+O740*$AC$24+P740*$AC$25+Q740*$AC$26+R740*$AC$27+S740*$AC$28+T740*$AC$29+U740*$AC$30</f>
        <v/>
      </c>
      <c r="W740" s="8">
        <f>1/(1+EXP(-V740))</f>
        <v/>
      </c>
      <c r="X740" s="9">
        <f>-IF(C740=1,LN(W740),LN(1-W740))</f>
        <v/>
      </c>
      <c r="Y740" s="10">
        <f>IF(W740&gt;$AC$33,1,0)</f>
        <v/>
      </c>
      <c r="Z740">
        <f>IF(Y740=C740,1,0)</f>
        <v/>
      </c>
    </row>
    <row r="741">
      <c r="A741">
        <f>'1 prepared data'!A734</f>
        <v/>
      </c>
      <c r="B741" s="5">
        <f>'1 prepared data'!U734</f>
        <v/>
      </c>
      <c r="C741">
        <f>'1 prepared data'!B734</f>
        <v/>
      </c>
      <c r="D741" s="7">
        <f>'1 prepared data'!C734</f>
        <v/>
      </c>
      <c r="E741" s="7">
        <f>'1 prepared data'!D734</f>
        <v/>
      </c>
      <c r="F741" s="7">
        <f>'1 prepared data'!E734</f>
        <v/>
      </c>
      <c r="G741" s="7">
        <f>'1 prepared data'!F734</f>
        <v/>
      </c>
      <c r="H741" s="7">
        <f>'1 prepared data'!G734</f>
        <v/>
      </c>
      <c r="I741" s="7">
        <f>'1 prepared data'!H734</f>
        <v/>
      </c>
      <c r="J741" s="7">
        <f>'1 prepared data'!I734</f>
        <v/>
      </c>
      <c r="K741" s="7">
        <f>'1 prepared data'!J734</f>
        <v/>
      </c>
      <c r="L741" s="7">
        <f>'1 prepared data'!K734</f>
        <v/>
      </c>
      <c r="M741" s="7">
        <f>'1 prepared data'!L734</f>
        <v/>
      </c>
      <c r="N741" s="7">
        <f>'1 prepared data'!M734</f>
        <v/>
      </c>
      <c r="O741" s="7">
        <f>'1 prepared data'!N734</f>
        <v/>
      </c>
      <c r="P741" s="7">
        <f>'1 prepared data'!O734</f>
        <v/>
      </c>
      <c r="Q741" s="7">
        <f>'1 prepared data'!P734</f>
        <v/>
      </c>
      <c r="R741" s="7">
        <f>'1 prepared data'!Q734</f>
        <v/>
      </c>
      <c r="S741" s="7">
        <f>'1 prepared data'!R734</f>
        <v/>
      </c>
      <c r="T741" s="7">
        <f>'1 prepared data'!S734</f>
        <v/>
      </c>
      <c r="U741" s="7">
        <f>'1 prepared data'!T734</f>
        <v/>
      </c>
      <c r="V741" s="8">
        <f>$AC$12+D741*$AC$13+E741*$AC$14+F741*$AC$15+G741*$AC$16+H741*$AC$17+I741*$AC$18+J741*$AC$19+K741*$AC$20+L741*$AC$21+M741*$AC$22+N741*$AC$23+O741*$AC$24+P741*$AC$25+Q741*$AC$26+R741*$AC$27+S741*$AC$28+T741*$AC$29+U741*$AC$30</f>
        <v/>
      </c>
      <c r="W741" s="8">
        <f>1/(1+EXP(-V741))</f>
        <v/>
      </c>
      <c r="X741" s="9">
        <f>-IF(C741=1,LN(W741),LN(1-W741))</f>
        <v/>
      </c>
      <c r="Y741" s="10">
        <f>IF(W741&gt;$AC$33,1,0)</f>
        <v/>
      </c>
      <c r="Z741">
        <f>IF(Y741=C741,1,0)</f>
        <v/>
      </c>
    </row>
    <row r="742">
      <c r="A742">
        <f>'1 prepared data'!A735</f>
        <v/>
      </c>
      <c r="B742" s="5">
        <f>'1 prepared data'!U735</f>
        <v/>
      </c>
      <c r="C742">
        <f>'1 prepared data'!B735</f>
        <v/>
      </c>
      <c r="D742" s="7">
        <f>'1 prepared data'!C735</f>
        <v/>
      </c>
      <c r="E742" s="7">
        <f>'1 prepared data'!D735</f>
        <v/>
      </c>
      <c r="F742" s="7">
        <f>'1 prepared data'!E735</f>
        <v/>
      </c>
      <c r="G742" s="7">
        <f>'1 prepared data'!F735</f>
        <v/>
      </c>
      <c r="H742" s="7">
        <f>'1 prepared data'!G735</f>
        <v/>
      </c>
      <c r="I742" s="7">
        <f>'1 prepared data'!H735</f>
        <v/>
      </c>
      <c r="J742" s="7">
        <f>'1 prepared data'!I735</f>
        <v/>
      </c>
      <c r="K742" s="7">
        <f>'1 prepared data'!J735</f>
        <v/>
      </c>
      <c r="L742" s="7">
        <f>'1 prepared data'!K735</f>
        <v/>
      </c>
      <c r="M742" s="7">
        <f>'1 prepared data'!L735</f>
        <v/>
      </c>
      <c r="N742" s="7">
        <f>'1 prepared data'!M735</f>
        <v/>
      </c>
      <c r="O742" s="7">
        <f>'1 prepared data'!N735</f>
        <v/>
      </c>
      <c r="P742" s="7">
        <f>'1 prepared data'!O735</f>
        <v/>
      </c>
      <c r="Q742" s="7">
        <f>'1 prepared data'!P735</f>
        <v/>
      </c>
      <c r="R742" s="7">
        <f>'1 prepared data'!Q735</f>
        <v/>
      </c>
      <c r="S742" s="7">
        <f>'1 prepared data'!R735</f>
        <v/>
      </c>
      <c r="T742" s="7">
        <f>'1 prepared data'!S735</f>
        <v/>
      </c>
      <c r="U742" s="7">
        <f>'1 prepared data'!T735</f>
        <v/>
      </c>
      <c r="V742" s="8">
        <f>$AC$12+D742*$AC$13+E742*$AC$14+F742*$AC$15+G742*$AC$16+H742*$AC$17+I742*$AC$18+J742*$AC$19+K742*$AC$20+L742*$AC$21+M742*$AC$22+N742*$AC$23+O742*$AC$24+P742*$AC$25+Q742*$AC$26+R742*$AC$27+S742*$AC$28+T742*$AC$29+U742*$AC$30</f>
        <v/>
      </c>
      <c r="W742" s="8">
        <f>1/(1+EXP(-V742))</f>
        <v/>
      </c>
      <c r="X742" s="9">
        <f>-IF(C742=1,LN(W742),LN(1-W742))</f>
        <v/>
      </c>
      <c r="Y742" s="10">
        <f>IF(W742&gt;$AC$33,1,0)</f>
        <v/>
      </c>
      <c r="Z742">
        <f>IF(Y742=C742,1,0)</f>
        <v/>
      </c>
    </row>
    <row r="743">
      <c r="A743">
        <f>'1 prepared data'!A736</f>
        <v/>
      </c>
      <c r="B743" s="5">
        <f>'1 prepared data'!U736</f>
        <v/>
      </c>
      <c r="C743">
        <f>'1 prepared data'!B736</f>
        <v/>
      </c>
      <c r="D743" s="7">
        <f>'1 prepared data'!C736</f>
        <v/>
      </c>
      <c r="E743" s="7">
        <f>'1 prepared data'!D736</f>
        <v/>
      </c>
      <c r="F743" s="7">
        <f>'1 prepared data'!E736</f>
        <v/>
      </c>
      <c r="G743" s="7">
        <f>'1 prepared data'!F736</f>
        <v/>
      </c>
      <c r="H743" s="7">
        <f>'1 prepared data'!G736</f>
        <v/>
      </c>
      <c r="I743" s="7">
        <f>'1 prepared data'!H736</f>
        <v/>
      </c>
      <c r="J743" s="7">
        <f>'1 prepared data'!I736</f>
        <v/>
      </c>
      <c r="K743" s="7">
        <f>'1 prepared data'!J736</f>
        <v/>
      </c>
      <c r="L743" s="7">
        <f>'1 prepared data'!K736</f>
        <v/>
      </c>
      <c r="M743" s="7">
        <f>'1 prepared data'!L736</f>
        <v/>
      </c>
      <c r="N743" s="7">
        <f>'1 prepared data'!M736</f>
        <v/>
      </c>
      <c r="O743" s="7">
        <f>'1 prepared data'!N736</f>
        <v/>
      </c>
      <c r="P743" s="7">
        <f>'1 prepared data'!O736</f>
        <v/>
      </c>
      <c r="Q743" s="7">
        <f>'1 prepared data'!P736</f>
        <v/>
      </c>
      <c r="R743" s="7">
        <f>'1 prepared data'!Q736</f>
        <v/>
      </c>
      <c r="S743" s="7">
        <f>'1 prepared data'!R736</f>
        <v/>
      </c>
      <c r="T743" s="7">
        <f>'1 prepared data'!S736</f>
        <v/>
      </c>
      <c r="U743" s="7">
        <f>'1 prepared data'!T736</f>
        <v/>
      </c>
      <c r="V743" s="8">
        <f>$AC$12+D743*$AC$13+E743*$AC$14+F743*$AC$15+G743*$AC$16+H743*$AC$17+I743*$AC$18+J743*$AC$19+K743*$AC$20+L743*$AC$21+M743*$AC$22+N743*$AC$23+O743*$AC$24+P743*$AC$25+Q743*$AC$26+R743*$AC$27+S743*$AC$28+T743*$AC$29+U743*$AC$30</f>
        <v/>
      </c>
      <c r="W743" s="8">
        <f>1/(1+EXP(-V743))</f>
        <v/>
      </c>
      <c r="X743" s="9">
        <f>-IF(C743=1,LN(W743),LN(1-W743))</f>
        <v/>
      </c>
      <c r="Y743" s="10">
        <f>IF(W743&gt;$AC$33,1,0)</f>
        <v/>
      </c>
      <c r="Z743">
        <f>IF(Y743=C743,1,0)</f>
        <v/>
      </c>
    </row>
    <row r="744">
      <c r="A744">
        <f>'1 prepared data'!A737</f>
        <v/>
      </c>
      <c r="B744" s="5">
        <f>'1 prepared data'!U737</f>
        <v/>
      </c>
      <c r="C744">
        <f>'1 prepared data'!B737</f>
        <v/>
      </c>
      <c r="D744" s="7">
        <f>'1 prepared data'!C737</f>
        <v/>
      </c>
      <c r="E744" s="7">
        <f>'1 prepared data'!D737</f>
        <v/>
      </c>
      <c r="F744" s="7">
        <f>'1 prepared data'!E737</f>
        <v/>
      </c>
      <c r="G744" s="7">
        <f>'1 prepared data'!F737</f>
        <v/>
      </c>
      <c r="H744" s="7">
        <f>'1 prepared data'!G737</f>
        <v/>
      </c>
      <c r="I744" s="7">
        <f>'1 prepared data'!H737</f>
        <v/>
      </c>
      <c r="J744" s="7">
        <f>'1 prepared data'!I737</f>
        <v/>
      </c>
      <c r="K744" s="7">
        <f>'1 prepared data'!J737</f>
        <v/>
      </c>
      <c r="L744" s="7">
        <f>'1 prepared data'!K737</f>
        <v/>
      </c>
      <c r="M744" s="7">
        <f>'1 prepared data'!L737</f>
        <v/>
      </c>
      <c r="N744" s="7">
        <f>'1 prepared data'!M737</f>
        <v/>
      </c>
      <c r="O744" s="7">
        <f>'1 prepared data'!N737</f>
        <v/>
      </c>
      <c r="P744" s="7">
        <f>'1 prepared data'!O737</f>
        <v/>
      </c>
      <c r="Q744" s="7">
        <f>'1 prepared data'!P737</f>
        <v/>
      </c>
      <c r="R744" s="7">
        <f>'1 prepared data'!Q737</f>
        <v/>
      </c>
      <c r="S744" s="7">
        <f>'1 prepared data'!R737</f>
        <v/>
      </c>
      <c r="T744" s="7">
        <f>'1 prepared data'!S737</f>
        <v/>
      </c>
      <c r="U744" s="7">
        <f>'1 prepared data'!T737</f>
        <v/>
      </c>
      <c r="V744" s="8">
        <f>$AC$12+D744*$AC$13+E744*$AC$14+F744*$AC$15+G744*$AC$16+H744*$AC$17+I744*$AC$18+J744*$AC$19+K744*$AC$20+L744*$AC$21+M744*$AC$22+N744*$AC$23+O744*$AC$24+P744*$AC$25+Q744*$AC$26+R744*$AC$27+S744*$AC$28+T744*$AC$29+U744*$AC$30</f>
        <v/>
      </c>
      <c r="W744" s="8">
        <f>1/(1+EXP(-V744))</f>
        <v/>
      </c>
      <c r="X744" s="9">
        <f>-IF(C744=1,LN(W744),LN(1-W744))</f>
        <v/>
      </c>
      <c r="Y744" s="10">
        <f>IF(W744&gt;$AC$33,1,0)</f>
        <v/>
      </c>
      <c r="Z744">
        <f>IF(Y744=C744,1,0)</f>
        <v/>
      </c>
    </row>
    <row r="745">
      <c r="A745">
        <f>'1 prepared data'!A738</f>
        <v/>
      </c>
      <c r="B745" s="5">
        <f>'1 prepared data'!U738</f>
        <v/>
      </c>
      <c r="C745">
        <f>'1 prepared data'!B738</f>
        <v/>
      </c>
      <c r="D745" s="7">
        <f>'1 prepared data'!C738</f>
        <v/>
      </c>
      <c r="E745" s="7">
        <f>'1 prepared data'!D738</f>
        <v/>
      </c>
      <c r="F745" s="7">
        <f>'1 prepared data'!E738</f>
        <v/>
      </c>
      <c r="G745" s="7">
        <f>'1 prepared data'!F738</f>
        <v/>
      </c>
      <c r="H745" s="7">
        <f>'1 prepared data'!G738</f>
        <v/>
      </c>
      <c r="I745" s="7">
        <f>'1 prepared data'!H738</f>
        <v/>
      </c>
      <c r="J745" s="7">
        <f>'1 prepared data'!I738</f>
        <v/>
      </c>
      <c r="K745" s="7">
        <f>'1 prepared data'!J738</f>
        <v/>
      </c>
      <c r="L745" s="7">
        <f>'1 prepared data'!K738</f>
        <v/>
      </c>
      <c r="M745" s="7">
        <f>'1 prepared data'!L738</f>
        <v/>
      </c>
      <c r="N745" s="7">
        <f>'1 prepared data'!M738</f>
        <v/>
      </c>
      <c r="O745" s="7">
        <f>'1 prepared data'!N738</f>
        <v/>
      </c>
      <c r="P745" s="7">
        <f>'1 prepared data'!O738</f>
        <v/>
      </c>
      <c r="Q745" s="7">
        <f>'1 prepared data'!P738</f>
        <v/>
      </c>
      <c r="R745" s="7">
        <f>'1 prepared data'!Q738</f>
        <v/>
      </c>
      <c r="S745" s="7">
        <f>'1 prepared data'!R738</f>
        <v/>
      </c>
      <c r="T745" s="7">
        <f>'1 prepared data'!S738</f>
        <v/>
      </c>
      <c r="U745" s="7">
        <f>'1 prepared data'!T738</f>
        <v/>
      </c>
      <c r="V745" s="8">
        <f>$AC$12+D745*$AC$13+E745*$AC$14+F745*$AC$15+G745*$AC$16+H745*$AC$17+I745*$AC$18+J745*$AC$19+K745*$AC$20+L745*$AC$21+M745*$AC$22+N745*$AC$23+O745*$AC$24+P745*$AC$25+Q745*$AC$26+R745*$AC$27+S745*$AC$28+T745*$AC$29+U745*$AC$30</f>
        <v/>
      </c>
      <c r="W745" s="8">
        <f>1/(1+EXP(-V745))</f>
        <v/>
      </c>
      <c r="X745" s="9">
        <f>-IF(C745=1,LN(W745),LN(1-W745))</f>
        <v/>
      </c>
      <c r="Y745" s="10">
        <f>IF(W745&gt;$AC$33,1,0)</f>
        <v/>
      </c>
      <c r="Z745">
        <f>IF(Y745=C745,1,0)</f>
        <v/>
      </c>
    </row>
    <row r="746">
      <c r="A746">
        <f>'1 prepared data'!A739</f>
        <v/>
      </c>
      <c r="B746" s="5">
        <f>'1 prepared data'!U739</f>
        <v/>
      </c>
      <c r="C746">
        <f>'1 prepared data'!B739</f>
        <v/>
      </c>
      <c r="D746" s="7">
        <f>'1 prepared data'!C739</f>
        <v/>
      </c>
      <c r="E746" s="7">
        <f>'1 prepared data'!D739</f>
        <v/>
      </c>
      <c r="F746" s="7">
        <f>'1 prepared data'!E739</f>
        <v/>
      </c>
      <c r="G746" s="7">
        <f>'1 prepared data'!F739</f>
        <v/>
      </c>
      <c r="H746" s="7">
        <f>'1 prepared data'!G739</f>
        <v/>
      </c>
      <c r="I746" s="7">
        <f>'1 prepared data'!H739</f>
        <v/>
      </c>
      <c r="J746" s="7">
        <f>'1 prepared data'!I739</f>
        <v/>
      </c>
      <c r="K746" s="7">
        <f>'1 prepared data'!J739</f>
        <v/>
      </c>
      <c r="L746" s="7">
        <f>'1 prepared data'!K739</f>
        <v/>
      </c>
      <c r="M746" s="7">
        <f>'1 prepared data'!L739</f>
        <v/>
      </c>
      <c r="N746" s="7">
        <f>'1 prepared data'!M739</f>
        <v/>
      </c>
      <c r="O746" s="7">
        <f>'1 prepared data'!N739</f>
        <v/>
      </c>
      <c r="P746" s="7">
        <f>'1 prepared data'!O739</f>
        <v/>
      </c>
      <c r="Q746" s="7">
        <f>'1 prepared data'!P739</f>
        <v/>
      </c>
      <c r="R746" s="7">
        <f>'1 prepared data'!Q739</f>
        <v/>
      </c>
      <c r="S746" s="7">
        <f>'1 prepared data'!R739</f>
        <v/>
      </c>
      <c r="T746" s="7">
        <f>'1 prepared data'!S739</f>
        <v/>
      </c>
      <c r="U746" s="7">
        <f>'1 prepared data'!T739</f>
        <v/>
      </c>
      <c r="V746" s="8">
        <f>$AC$12+D746*$AC$13+E746*$AC$14+F746*$AC$15+G746*$AC$16+H746*$AC$17+I746*$AC$18+J746*$AC$19+K746*$AC$20+L746*$AC$21+M746*$AC$22+N746*$AC$23+O746*$AC$24+P746*$AC$25+Q746*$AC$26+R746*$AC$27+S746*$AC$28+T746*$AC$29+U746*$AC$30</f>
        <v/>
      </c>
      <c r="W746" s="8">
        <f>1/(1+EXP(-V746))</f>
        <v/>
      </c>
      <c r="X746" s="9">
        <f>-IF(C746=1,LN(W746),LN(1-W746))</f>
        <v/>
      </c>
      <c r="Y746" s="10">
        <f>IF(W746&gt;$AC$33,1,0)</f>
        <v/>
      </c>
      <c r="Z746">
        <f>IF(Y746=C746,1,0)</f>
        <v/>
      </c>
    </row>
    <row r="747">
      <c r="A747">
        <f>'1 prepared data'!A740</f>
        <v/>
      </c>
      <c r="B747" s="5">
        <f>'1 prepared data'!U740</f>
        <v/>
      </c>
      <c r="C747">
        <f>'1 prepared data'!B740</f>
        <v/>
      </c>
      <c r="D747" s="7">
        <f>'1 prepared data'!C740</f>
        <v/>
      </c>
      <c r="E747" s="7">
        <f>'1 prepared data'!D740</f>
        <v/>
      </c>
      <c r="F747" s="7">
        <f>'1 prepared data'!E740</f>
        <v/>
      </c>
      <c r="G747" s="7">
        <f>'1 prepared data'!F740</f>
        <v/>
      </c>
      <c r="H747" s="7">
        <f>'1 prepared data'!G740</f>
        <v/>
      </c>
      <c r="I747" s="7">
        <f>'1 prepared data'!H740</f>
        <v/>
      </c>
      <c r="J747" s="7">
        <f>'1 prepared data'!I740</f>
        <v/>
      </c>
      <c r="K747" s="7">
        <f>'1 prepared data'!J740</f>
        <v/>
      </c>
      <c r="L747" s="7">
        <f>'1 prepared data'!K740</f>
        <v/>
      </c>
      <c r="M747" s="7">
        <f>'1 prepared data'!L740</f>
        <v/>
      </c>
      <c r="N747" s="7">
        <f>'1 prepared data'!M740</f>
        <v/>
      </c>
      <c r="O747" s="7">
        <f>'1 prepared data'!N740</f>
        <v/>
      </c>
      <c r="P747" s="7">
        <f>'1 prepared data'!O740</f>
        <v/>
      </c>
      <c r="Q747" s="7">
        <f>'1 prepared data'!P740</f>
        <v/>
      </c>
      <c r="R747" s="7">
        <f>'1 prepared data'!Q740</f>
        <v/>
      </c>
      <c r="S747" s="7">
        <f>'1 prepared data'!R740</f>
        <v/>
      </c>
      <c r="T747" s="7">
        <f>'1 prepared data'!S740</f>
        <v/>
      </c>
      <c r="U747" s="7">
        <f>'1 prepared data'!T740</f>
        <v/>
      </c>
      <c r="V747" s="8">
        <f>$AC$12+D747*$AC$13+E747*$AC$14+F747*$AC$15+G747*$AC$16+H747*$AC$17+I747*$AC$18+J747*$AC$19+K747*$AC$20+L747*$AC$21+M747*$AC$22+N747*$AC$23+O747*$AC$24+P747*$AC$25+Q747*$AC$26+R747*$AC$27+S747*$AC$28+T747*$AC$29+U747*$AC$30</f>
        <v/>
      </c>
      <c r="W747" s="8">
        <f>1/(1+EXP(-V747))</f>
        <v/>
      </c>
      <c r="X747" s="9">
        <f>-IF(C747=1,LN(W747),LN(1-W747))</f>
        <v/>
      </c>
      <c r="Y747" s="10">
        <f>IF(W747&gt;$AC$33,1,0)</f>
        <v/>
      </c>
      <c r="Z747">
        <f>IF(Y747=C747,1,0)</f>
        <v/>
      </c>
    </row>
    <row r="748">
      <c r="A748">
        <f>'1 prepared data'!A741</f>
        <v/>
      </c>
      <c r="B748" s="5">
        <f>'1 prepared data'!U741</f>
        <v/>
      </c>
      <c r="C748">
        <f>'1 prepared data'!B741</f>
        <v/>
      </c>
      <c r="D748" s="7">
        <f>'1 prepared data'!C741</f>
        <v/>
      </c>
      <c r="E748" s="7">
        <f>'1 prepared data'!D741</f>
        <v/>
      </c>
      <c r="F748" s="7">
        <f>'1 prepared data'!E741</f>
        <v/>
      </c>
      <c r="G748" s="7">
        <f>'1 prepared data'!F741</f>
        <v/>
      </c>
      <c r="H748" s="7">
        <f>'1 prepared data'!G741</f>
        <v/>
      </c>
      <c r="I748" s="7">
        <f>'1 prepared data'!H741</f>
        <v/>
      </c>
      <c r="J748" s="7">
        <f>'1 prepared data'!I741</f>
        <v/>
      </c>
      <c r="K748" s="7">
        <f>'1 prepared data'!J741</f>
        <v/>
      </c>
      <c r="L748" s="7">
        <f>'1 prepared data'!K741</f>
        <v/>
      </c>
      <c r="M748" s="7">
        <f>'1 prepared data'!L741</f>
        <v/>
      </c>
      <c r="N748" s="7">
        <f>'1 prepared data'!M741</f>
        <v/>
      </c>
      <c r="O748" s="7">
        <f>'1 prepared data'!N741</f>
        <v/>
      </c>
      <c r="P748" s="7">
        <f>'1 prepared data'!O741</f>
        <v/>
      </c>
      <c r="Q748" s="7">
        <f>'1 prepared data'!P741</f>
        <v/>
      </c>
      <c r="R748" s="7">
        <f>'1 prepared data'!Q741</f>
        <v/>
      </c>
      <c r="S748" s="7">
        <f>'1 prepared data'!R741</f>
        <v/>
      </c>
      <c r="T748" s="7">
        <f>'1 prepared data'!S741</f>
        <v/>
      </c>
      <c r="U748" s="7">
        <f>'1 prepared data'!T741</f>
        <v/>
      </c>
      <c r="V748" s="8">
        <f>$AC$12+D748*$AC$13+E748*$AC$14+F748*$AC$15+G748*$AC$16+H748*$AC$17+I748*$AC$18+J748*$AC$19+K748*$AC$20+L748*$AC$21+M748*$AC$22+N748*$AC$23+O748*$AC$24+P748*$AC$25+Q748*$AC$26+R748*$AC$27+S748*$AC$28+T748*$AC$29+U748*$AC$30</f>
        <v/>
      </c>
      <c r="W748" s="8">
        <f>1/(1+EXP(-V748))</f>
        <v/>
      </c>
      <c r="X748" s="9">
        <f>-IF(C748=1,LN(W748),LN(1-W748))</f>
        <v/>
      </c>
      <c r="Y748" s="10">
        <f>IF(W748&gt;$AC$33,1,0)</f>
        <v/>
      </c>
      <c r="Z748">
        <f>IF(Y748=C748,1,0)</f>
        <v/>
      </c>
    </row>
    <row r="749">
      <c r="A749">
        <f>'1 prepared data'!A742</f>
        <v/>
      </c>
      <c r="B749" s="5">
        <f>'1 prepared data'!U742</f>
        <v/>
      </c>
      <c r="C749">
        <f>'1 prepared data'!B742</f>
        <v/>
      </c>
      <c r="D749" s="7">
        <f>'1 prepared data'!C742</f>
        <v/>
      </c>
      <c r="E749" s="7">
        <f>'1 prepared data'!D742</f>
        <v/>
      </c>
      <c r="F749" s="7">
        <f>'1 prepared data'!E742</f>
        <v/>
      </c>
      <c r="G749" s="7">
        <f>'1 prepared data'!F742</f>
        <v/>
      </c>
      <c r="H749" s="7">
        <f>'1 prepared data'!G742</f>
        <v/>
      </c>
      <c r="I749" s="7">
        <f>'1 prepared data'!H742</f>
        <v/>
      </c>
      <c r="J749" s="7">
        <f>'1 prepared data'!I742</f>
        <v/>
      </c>
      <c r="K749" s="7">
        <f>'1 prepared data'!J742</f>
        <v/>
      </c>
      <c r="L749" s="7">
        <f>'1 prepared data'!K742</f>
        <v/>
      </c>
      <c r="M749" s="7">
        <f>'1 prepared data'!L742</f>
        <v/>
      </c>
      <c r="N749" s="7">
        <f>'1 prepared data'!M742</f>
        <v/>
      </c>
      <c r="O749" s="7">
        <f>'1 prepared data'!N742</f>
        <v/>
      </c>
      <c r="P749" s="7">
        <f>'1 prepared data'!O742</f>
        <v/>
      </c>
      <c r="Q749" s="7">
        <f>'1 prepared data'!P742</f>
        <v/>
      </c>
      <c r="R749" s="7">
        <f>'1 prepared data'!Q742</f>
        <v/>
      </c>
      <c r="S749" s="7">
        <f>'1 prepared data'!R742</f>
        <v/>
      </c>
      <c r="T749" s="7">
        <f>'1 prepared data'!S742</f>
        <v/>
      </c>
      <c r="U749" s="7">
        <f>'1 prepared data'!T742</f>
        <v/>
      </c>
      <c r="V749" s="8">
        <f>$AC$12+D749*$AC$13+E749*$AC$14+F749*$AC$15+G749*$AC$16+H749*$AC$17+I749*$AC$18+J749*$AC$19+K749*$AC$20+L749*$AC$21+M749*$AC$22+N749*$AC$23+O749*$AC$24+P749*$AC$25+Q749*$AC$26+R749*$AC$27+S749*$AC$28+T749*$AC$29+U749*$AC$30</f>
        <v/>
      </c>
      <c r="W749" s="8">
        <f>1/(1+EXP(-V749))</f>
        <v/>
      </c>
      <c r="X749" s="9">
        <f>-IF(C749=1,LN(W749),LN(1-W749))</f>
        <v/>
      </c>
      <c r="Y749" s="10">
        <f>IF(W749&gt;$AC$33,1,0)</f>
        <v/>
      </c>
      <c r="Z749">
        <f>IF(Y749=C749,1,0)</f>
        <v/>
      </c>
    </row>
    <row r="750">
      <c r="A750">
        <f>'1 prepared data'!A743</f>
        <v/>
      </c>
      <c r="B750" s="5">
        <f>'1 prepared data'!U743</f>
        <v/>
      </c>
      <c r="C750">
        <f>'1 prepared data'!B743</f>
        <v/>
      </c>
      <c r="D750" s="7">
        <f>'1 prepared data'!C743</f>
        <v/>
      </c>
      <c r="E750" s="7">
        <f>'1 prepared data'!D743</f>
        <v/>
      </c>
      <c r="F750" s="7">
        <f>'1 prepared data'!E743</f>
        <v/>
      </c>
      <c r="G750" s="7">
        <f>'1 prepared data'!F743</f>
        <v/>
      </c>
      <c r="H750" s="7">
        <f>'1 prepared data'!G743</f>
        <v/>
      </c>
      <c r="I750" s="7">
        <f>'1 prepared data'!H743</f>
        <v/>
      </c>
      <c r="J750" s="7">
        <f>'1 prepared data'!I743</f>
        <v/>
      </c>
      <c r="K750" s="7">
        <f>'1 prepared data'!J743</f>
        <v/>
      </c>
      <c r="L750" s="7">
        <f>'1 prepared data'!K743</f>
        <v/>
      </c>
      <c r="M750" s="7">
        <f>'1 prepared data'!L743</f>
        <v/>
      </c>
      <c r="N750" s="7">
        <f>'1 prepared data'!M743</f>
        <v/>
      </c>
      <c r="O750" s="7">
        <f>'1 prepared data'!N743</f>
        <v/>
      </c>
      <c r="P750" s="7">
        <f>'1 prepared data'!O743</f>
        <v/>
      </c>
      <c r="Q750" s="7">
        <f>'1 prepared data'!P743</f>
        <v/>
      </c>
      <c r="R750" s="7">
        <f>'1 prepared data'!Q743</f>
        <v/>
      </c>
      <c r="S750" s="7">
        <f>'1 prepared data'!R743</f>
        <v/>
      </c>
      <c r="T750" s="7">
        <f>'1 prepared data'!S743</f>
        <v/>
      </c>
      <c r="U750" s="7">
        <f>'1 prepared data'!T743</f>
        <v/>
      </c>
      <c r="V750" s="8">
        <f>$AC$12+D750*$AC$13+E750*$AC$14+F750*$AC$15+G750*$AC$16+H750*$AC$17+I750*$AC$18+J750*$AC$19+K750*$AC$20+L750*$AC$21+M750*$AC$22+N750*$AC$23+O750*$AC$24+P750*$AC$25+Q750*$AC$26+R750*$AC$27+S750*$AC$28+T750*$AC$29+U750*$AC$30</f>
        <v/>
      </c>
      <c r="W750" s="8">
        <f>1/(1+EXP(-V750))</f>
        <v/>
      </c>
      <c r="X750" s="9">
        <f>-IF(C750=1,LN(W750),LN(1-W750))</f>
        <v/>
      </c>
      <c r="Y750" s="10">
        <f>IF(W750&gt;$AC$33,1,0)</f>
        <v/>
      </c>
      <c r="Z750">
        <f>IF(Y750=C750,1,0)</f>
        <v/>
      </c>
    </row>
    <row r="751">
      <c r="A751">
        <f>'1 prepared data'!A744</f>
        <v/>
      </c>
      <c r="B751" s="5">
        <f>'1 prepared data'!U744</f>
        <v/>
      </c>
      <c r="C751">
        <f>'1 prepared data'!B744</f>
        <v/>
      </c>
      <c r="D751" s="7">
        <f>'1 prepared data'!C744</f>
        <v/>
      </c>
      <c r="E751" s="7">
        <f>'1 prepared data'!D744</f>
        <v/>
      </c>
      <c r="F751" s="7">
        <f>'1 prepared data'!E744</f>
        <v/>
      </c>
      <c r="G751" s="7">
        <f>'1 prepared data'!F744</f>
        <v/>
      </c>
      <c r="H751" s="7">
        <f>'1 prepared data'!G744</f>
        <v/>
      </c>
      <c r="I751" s="7">
        <f>'1 prepared data'!H744</f>
        <v/>
      </c>
      <c r="J751" s="7">
        <f>'1 prepared data'!I744</f>
        <v/>
      </c>
      <c r="K751" s="7">
        <f>'1 prepared data'!J744</f>
        <v/>
      </c>
      <c r="L751" s="7">
        <f>'1 prepared data'!K744</f>
        <v/>
      </c>
      <c r="M751" s="7">
        <f>'1 prepared data'!L744</f>
        <v/>
      </c>
      <c r="N751" s="7">
        <f>'1 prepared data'!M744</f>
        <v/>
      </c>
      <c r="O751" s="7">
        <f>'1 prepared data'!N744</f>
        <v/>
      </c>
      <c r="P751" s="7">
        <f>'1 prepared data'!O744</f>
        <v/>
      </c>
      <c r="Q751" s="7">
        <f>'1 prepared data'!P744</f>
        <v/>
      </c>
      <c r="R751" s="7">
        <f>'1 prepared data'!Q744</f>
        <v/>
      </c>
      <c r="S751" s="7">
        <f>'1 prepared data'!R744</f>
        <v/>
      </c>
      <c r="T751" s="7">
        <f>'1 prepared data'!S744</f>
        <v/>
      </c>
      <c r="U751" s="7">
        <f>'1 prepared data'!T744</f>
        <v/>
      </c>
      <c r="V751" s="8">
        <f>$AC$12+D751*$AC$13+E751*$AC$14+F751*$AC$15+G751*$AC$16+H751*$AC$17+I751*$AC$18+J751*$AC$19+K751*$AC$20+L751*$AC$21+M751*$AC$22+N751*$AC$23+O751*$AC$24+P751*$AC$25+Q751*$AC$26+R751*$AC$27+S751*$AC$28+T751*$AC$29+U751*$AC$30</f>
        <v/>
      </c>
      <c r="W751" s="8">
        <f>1/(1+EXP(-V751))</f>
        <v/>
      </c>
      <c r="X751" s="9">
        <f>-IF(C751=1,LN(W751),LN(1-W751))</f>
        <v/>
      </c>
      <c r="Y751" s="10">
        <f>IF(W751&gt;$AC$33,1,0)</f>
        <v/>
      </c>
      <c r="Z751">
        <f>IF(Y751=C751,1,0)</f>
        <v/>
      </c>
    </row>
    <row r="752">
      <c r="A752">
        <f>'1 prepared data'!A745</f>
        <v/>
      </c>
      <c r="B752" s="5">
        <f>'1 prepared data'!U745</f>
        <v/>
      </c>
      <c r="C752">
        <f>'1 prepared data'!B745</f>
        <v/>
      </c>
      <c r="D752" s="7">
        <f>'1 prepared data'!C745</f>
        <v/>
      </c>
      <c r="E752" s="7">
        <f>'1 prepared data'!D745</f>
        <v/>
      </c>
      <c r="F752" s="7">
        <f>'1 prepared data'!E745</f>
        <v/>
      </c>
      <c r="G752" s="7">
        <f>'1 prepared data'!F745</f>
        <v/>
      </c>
      <c r="H752" s="7">
        <f>'1 prepared data'!G745</f>
        <v/>
      </c>
      <c r="I752" s="7">
        <f>'1 prepared data'!H745</f>
        <v/>
      </c>
      <c r="J752" s="7">
        <f>'1 prepared data'!I745</f>
        <v/>
      </c>
      <c r="K752" s="7">
        <f>'1 prepared data'!J745</f>
        <v/>
      </c>
      <c r="L752" s="7">
        <f>'1 prepared data'!K745</f>
        <v/>
      </c>
      <c r="M752" s="7">
        <f>'1 prepared data'!L745</f>
        <v/>
      </c>
      <c r="N752" s="7">
        <f>'1 prepared data'!M745</f>
        <v/>
      </c>
      <c r="O752" s="7">
        <f>'1 prepared data'!N745</f>
        <v/>
      </c>
      <c r="P752" s="7">
        <f>'1 prepared data'!O745</f>
        <v/>
      </c>
      <c r="Q752" s="7">
        <f>'1 prepared data'!P745</f>
        <v/>
      </c>
      <c r="R752" s="7">
        <f>'1 prepared data'!Q745</f>
        <v/>
      </c>
      <c r="S752" s="7">
        <f>'1 prepared data'!R745</f>
        <v/>
      </c>
      <c r="T752" s="7">
        <f>'1 prepared data'!S745</f>
        <v/>
      </c>
      <c r="U752" s="7">
        <f>'1 prepared data'!T745</f>
        <v/>
      </c>
      <c r="V752" s="8">
        <f>$AC$12+D752*$AC$13+E752*$AC$14+F752*$AC$15+G752*$AC$16+H752*$AC$17+I752*$AC$18+J752*$AC$19+K752*$AC$20+L752*$AC$21+M752*$AC$22+N752*$AC$23+O752*$AC$24+P752*$AC$25+Q752*$AC$26+R752*$AC$27+S752*$AC$28+T752*$AC$29+U752*$AC$30</f>
        <v/>
      </c>
      <c r="W752" s="8">
        <f>1/(1+EXP(-V752))</f>
        <v/>
      </c>
      <c r="X752" s="9">
        <f>-IF(C752=1,LN(W752),LN(1-W752))</f>
        <v/>
      </c>
      <c r="Y752" s="10">
        <f>IF(W752&gt;$AC$33,1,0)</f>
        <v/>
      </c>
      <c r="Z752">
        <f>IF(Y752=C752,1,0)</f>
        <v/>
      </c>
    </row>
    <row r="753">
      <c r="A753">
        <f>'1 prepared data'!A746</f>
        <v/>
      </c>
      <c r="B753" s="5">
        <f>'1 prepared data'!U746</f>
        <v/>
      </c>
      <c r="C753">
        <f>'1 prepared data'!B746</f>
        <v/>
      </c>
      <c r="D753" s="7">
        <f>'1 prepared data'!C746</f>
        <v/>
      </c>
      <c r="E753" s="7">
        <f>'1 prepared data'!D746</f>
        <v/>
      </c>
      <c r="F753" s="7">
        <f>'1 prepared data'!E746</f>
        <v/>
      </c>
      <c r="G753" s="7">
        <f>'1 prepared data'!F746</f>
        <v/>
      </c>
      <c r="H753" s="7">
        <f>'1 prepared data'!G746</f>
        <v/>
      </c>
      <c r="I753" s="7">
        <f>'1 prepared data'!H746</f>
        <v/>
      </c>
      <c r="J753" s="7">
        <f>'1 prepared data'!I746</f>
        <v/>
      </c>
      <c r="K753" s="7">
        <f>'1 prepared data'!J746</f>
        <v/>
      </c>
      <c r="L753" s="7">
        <f>'1 prepared data'!K746</f>
        <v/>
      </c>
      <c r="M753" s="7">
        <f>'1 prepared data'!L746</f>
        <v/>
      </c>
      <c r="N753" s="7">
        <f>'1 prepared data'!M746</f>
        <v/>
      </c>
      <c r="O753" s="7">
        <f>'1 prepared data'!N746</f>
        <v/>
      </c>
      <c r="P753" s="7">
        <f>'1 prepared data'!O746</f>
        <v/>
      </c>
      <c r="Q753" s="7">
        <f>'1 prepared data'!P746</f>
        <v/>
      </c>
      <c r="R753" s="7">
        <f>'1 prepared data'!Q746</f>
        <v/>
      </c>
      <c r="S753" s="7">
        <f>'1 prepared data'!R746</f>
        <v/>
      </c>
      <c r="T753" s="7">
        <f>'1 prepared data'!S746</f>
        <v/>
      </c>
      <c r="U753" s="7">
        <f>'1 prepared data'!T746</f>
        <v/>
      </c>
      <c r="V753" s="8">
        <f>$AC$12+D753*$AC$13+E753*$AC$14+F753*$AC$15+G753*$AC$16+H753*$AC$17+I753*$AC$18+J753*$AC$19+K753*$AC$20+L753*$AC$21+M753*$AC$22+N753*$AC$23+O753*$AC$24+P753*$AC$25+Q753*$AC$26+R753*$AC$27+S753*$AC$28+T753*$AC$29+U753*$AC$30</f>
        <v/>
      </c>
      <c r="W753" s="8">
        <f>1/(1+EXP(-V753))</f>
        <v/>
      </c>
      <c r="X753" s="9">
        <f>-IF(C753=1,LN(W753),LN(1-W753))</f>
        <v/>
      </c>
      <c r="Y753" s="10">
        <f>IF(W753&gt;$AC$33,1,0)</f>
        <v/>
      </c>
      <c r="Z753">
        <f>IF(Y753=C753,1,0)</f>
        <v/>
      </c>
    </row>
    <row r="754">
      <c r="A754">
        <f>'1 prepared data'!A747</f>
        <v/>
      </c>
      <c r="B754" s="5">
        <f>'1 prepared data'!U747</f>
        <v/>
      </c>
      <c r="C754">
        <f>'1 prepared data'!B747</f>
        <v/>
      </c>
      <c r="D754" s="7">
        <f>'1 prepared data'!C747</f>
        <v/>
      </c>
      <c r="E754" s="7">
        <f>'1 prepared data'!D747</f>
        <v/>
      </c>
      <c r="F754" s="7">
        <f>'1 prepared data'!E747</f>
        <v/>
      </c>
      <c r="G754" s="7">
        <f>'1 prepared data'!F747</f>
        <v/>
      </c>
      <c r="H754" s="7">
        <f>'1 prepared data'!G747</f>
        <v/>
      </c>
      <c r="I754" s="7">
        <f>'1 prepared data'!H747</f>
        <v/>
      </c>
      <c r="J754" s="7">
        <f>'1 prepared data'!I747</f>
        <v/>
      </c>
      <c r="K754" s="7">
        <f>'1 prepared data'!J747</f>
        <v/>
      </c>
      <c r="L754" s="7">
        <f>'1 prepared data'!K747</f>
        <v/>
      </c>
      <c r="M754" s="7">
        <f>'1 prepared data'!L747</f>
        <v/>
      </c>
      <c r="N754" s="7">
        <f>'1 prepared data'!M747</f>
        <v/>
      </c>
      <c r="O754" s="7">
        <f>'1 prepared data'!N747</f>
        <v/>
      </c>
      <c r="P754" s="7">
        <f>'1 prepared data'!O747</f>
        <v/>
      </c>
      <c r="Q754" s="7">
        <f>'1 prepared data'!P747</f>
        <v/>
      </c>
      <c r="R754" s="7">
        <f>'1 prepared data'!Q747</f>
        <v/>
      </c>
      <c r="S754" s="7">
        <f>'1 prepared data'!R747</f>
        <v/>
      </c>
      <c r="T754" s="7">
        <f>'1 prepared data'!S747</f>
        <v/>
      </c>
      <c r="U754" s="7">
        <f>'1 prepared data'!T747</f>
        <v/>
      </c>
      <c r="V754" s="8">
        <f>$AC$12+D754*$AC$13+E754*$AC$14+F754*$AC$15+G754*$AC$16+H754*$AC$17+I754*$AC$18+J754*$AC$19+K754*$AC$20+L754*$AC$21+M754*$AC$22+N754*$AC$23+O754*$AC$24+P754*$AC$25+Q754*$AC$26+R754*$AC$27+S754*$AC$28+T754*$AC$29+U754*$AC$30</f>
        <v/>
      </c>
      <c r="W754" s="8">
        <f>1/(1+EXP(-V754))</f>
        <v/>
      </c>
      <c r="X754" s="9">
        <f>-IF(C754=1,LN(W754),LN(1-W754))</f>
        <v/>
      </c>
      <c r="Y754" s="10">
        <f>IF(W754&gt;$AC$33,1,0)</f>
        <v/>
      </c>
      <c r="Z754">
        <f>IF(Y754=C754,1,0)</f>
        <v/>
      </c>
    </row>
    <row r="755">
      <c r="A755">
        <f>'1 prepared data'!A748</f>
        <v/>
      </c>
      <c r="B755" s="5">
        <f>'1 prepared data'!U748</f>
        <v/>
      </c>
      <c r="C755">
        <f>'1 prepared data'!B748</f>
        <v/>
      </c>
      <c r="D755" s="7">
        <f>'1 prepared data'!C748</f>
        <v/>
      </c>
      <c r="E755" s="7">
        <f>'1 prepared data'!D748</f>
        <v/>
      </c>
      <c r="F755" s="7">
        <f>'1 prepared data'!E748</f>
        <v/>
      </c>
      <c r="G755" s="7">
        <f>'1 prepared data'!F748</f>
        <v/>
      </c>
      <c r="H755" s="7">
        <f>'1 prepared data'!G748</f>
        <v/>
      </c>
      <c r="I755" s="7">
        <f>'1 prepared data'!H748</f>
        <v/>
      </c>
      <c r="J755" s="7">
        <f>'1 prepared data'!I748</f>
        <v/>
      </c>
      <c r="K755" s="7">
        <f>'1 prepared data'!J748</f>
        <v/>
      </c>
      <c r="L755" s="7">
        <f>'1 prepared data'!K748</f>
        <v/>
      </c>
      <c r="M755" s="7">
        <f>'1 prepared data'!L748</f>
        <v/>
      </c>
      <c r="N755" s="7">
        <f>'1 prepared data'!M748</f>
        <v/>
      </c>
      <c r="O755" s="7">
        <f>'1 prepared data'!N748</f>
        <v/>
      </c>
      <c r="P755" s="7">
        <f>'1 prepared data'!O748</f>
        <v/>
      </c>
      <c r="Q755" s="7">
        <f>'1 prepared data'!P748</f>
        <v/>
      </c>
      <c r="R755" s="7">
        <f>'1 prepared data'!Q748</f>
        <v/>
      </c>
      <c r="S755" s="7">
        <f>'1 prepared data'!R748</f>
        <v/>
      </c>
      <c r="T755" s="7">
        <f>'1 prepared data'!S748</f>
        <v/>
      </c>
      <c r="U755" s="7">
        <f>'1 prepared data'!T748</f>
        <v/>
      </c>
      <c r="V755" s="8">
        <f>$AC$12+D755*$AC$13+E755*$AC$14+F755*$AC$15+G755*$AC$16+H755*$AC$17+I755*$AC$18+J755*$AC$19+K755*$AC$20+L755*$AC$21+M755*$AC$22+N755*$AC$23+O755*$AC$24+P755*$AC$25+Q755*$AC$26+R755*$AC$27+S755*$AC$28+T755*$AC$29+U755*$AC$30</f>
        <v/>
      </c>
      <c r="W755" s="8">
        <f>1/(1+EXP(-V755))</f>
        <v/>
      </c>
      <c r="X755" s="9">
        <f>-IF(C755=1,LN(W755),LN(1-W755))</f>
        <v/>
      </c>
      <c r="Y755" s="10">
        <f>IF(W755&gt;$AC$33,1,0)</f>
        <v/>
      </c>
      <c r="Z755">
        <f>IF(Y755=C755,1,0)</f>
        <v/>
      </c>
    </row>
    <row r="756">
      <c r="A756">
        <f>'1 prepared data'!A749</f>
        <v/>
      </c>
      <c r="B756" s="5">
        <f>'1 prepared data'!U749</f>
        <v/>
      </c>
      <c r="C756">
        <f>'1 prepared data'!B749</f>
        <v/>
      </c>
      <c r="D756" s="7">
        <f>'1 prepared data'!C749</f>
        <v/>
      </c>
      <c r="E756" s="7">
        <f>'1 prepared data'!D749</f>
        <v/>
      </c>
      <c r="F756" s="7">
        <f>'1 prepared data'!E749</f>
        <v/>
      </c>
      <c r="G756" s="7">
        <f>'1 prepared data'!F749</f>
        <v/>
      </c>
      <c r="H756" s="7">
        <f>'1 prepared data'!G749</f>
        <v/>
      </c>
      <c r="I756" s="7">
        <f>'1 prepared data'!H749</f>
        <v/>
      </c>
      <c r="J756" s="7">
        <f>'1 prepared data'!I749</f>
        <v/>
      </c>
      <c r="K756" s="7">
        <f>'1 prepared data'!J749</f>
        <v/>
      </c>
      <c r="L756" s="7">
        <f>'1 prepared data'!K749</f>
        <v/>
      </c>
      <c r="M756" s="7">
        <f>'1 prepared data'!L749</f>
        <v/>
      </c>
      <c r="N756" s="7">
        <f>'1 prepared data'!M749</f>
        <v/>
      </c>
      <c r="O756" s="7">
        <f>'1 prepared data'!N749</f>
        <v/>
      </c>
      <c r="P756" s="7">
        <f>'1 prepared data'!O749</f>
        <v/>
      </c>
      <c r="Q756" s="7">
        <f>'1 prepared data'!P749</f>
        <v/>
      </c>
      <c r="R756" s="7">
        <f>'1 prepared data'!Q749</f>
        <v/>
      </c>
      <c r="S756" s="7">
        <f>'1 prepared data'!R749</f>
        <v/>
      </c>
      <c r="T756" s="7">
        <f>'1 prepared data'!S749</f>
        <v/>
      </c>
      <c r="U756" s="7">
        <f>'1 prepared data'!T749</f>
        <v/>
      </c>
      <c r="V756" s="8">
        <f>$AC$12+D756*$AC$13+E756*$AC$14+F756*$AC$15+G756*$AC$16+H756*$AC$17+I756*$AC$18+J756*$AC$19+K756*$AC$20+L756*$AC$21+M756*$AC$22+N756*$AC$23+O756*$AC$24+P756*$AC$25+Q756*$AC$26+R756*$AC$27+S756*$AC$28+T756*$AC$29+U756*$AC$30</f>
        <v/>
      </c>
      <c r="W756" s="8">
        <f>1/(1+EXP(-V756))</f>
        <v/>
      </c>
      <c r="X756" s="9">
        <f>-IF(C756=1,LN(W756),LN(1-W756))</f>
        <v/>
      </c>
      <c r="Y756" s="10">
        <f>IF(W756&gt;$AC$33,1,0)</f>
        <v/>
      </c>
      <c r="Z756">
        <f>IF(Y756=C756,1,0)</f>
        <v/>
      </c>
    </row>
    <row r="757">
      <c r="A757">
        <f>'1 prepared data'!A750</f>
        <v/>
      </c>
      <c r="B757" s="5">
        <f>'1 prepared data'!U750</f>
        <v/>
      </c>
      <c r="C757">
        <f>'1 prepared data'!B750</f>
        <v/>
      </c>
      <c r="D757" s="7">
        <f>'1 prepared data'!C750</f>
        <v/>
      </c>
      <c r="E757" s="7">
        <f>'1 prepared data'!D750</f>
        <v/>
      </c>
      <c r="F757" s="7">
        <f>'1 prepared data'!E750</f>
        <v/>
      </c>
      <c r="G757" s="7">
        <f>'1 prepared data'!F750</f>
        <v/>
      </c>
      <c r="H757" s="7">
        <f>'1 prepared data'!G750</f>
        <v/>
      </c>
      <c r="I757" s="7">
        <f>'1 prepared data'!H750</f>
        <v/>
      </c>
      <c r="J757" s="7">
        <f>'1 prepared data'!I750</f>
        <v/>
      </c>
      <c r="K757" s="7">
        <f>'1 prepared data'!J750</f>
        <v/>
      </c>
      <c r="L757" s="7">
        <f>'1 prepared data'!K750</f>
        <v/>
      </c>
      <c r="M757" s="7">
        <f>'1 prepared data'!L750</f>
        <v/>
      </c>
      <c r="N757" s="7">
        <f>'1 prepared data'!M750</f>
        <v/>
      </c>
      <c r="O757" s="7">
        <f>'1 prepared data'!N750</f>
        <v/>
      </c>
      <c r="P757" s="7">
        <f>'1 prepared data'!O750</f>
        <v/>
      </c>
      <c r="Q757" s="7">
        <f>'1 prepared data'!P750</f>
        <v/>
      </c>
      <c r="R757" s="7">
        <f>'1 prepared data'!Q750</f>
        <v/>
      </c>
      <c r="S757" s="7">
        <f>'1 prepared data'!R750</f>
        <v/>
      </c>
      <c r="T757" s="7">
        <f>'1 prepared data'!S750</f>
        <v/>
      </c>
      <c r="U757" s="7">
        <f>'1 prepared data'!T750</f>
        <v/>
      </c>
      <c r="V757" s="8">
        <f>$AC$12+D757*$AC$13+E757*$AC$14+F757*$AC$15+G757*$AC$16+H757*$AC$17+I757*$AC$18+J757*$AC$19+K757*$AC$20+L757*$AC$21+M757*$AC$22+N757*$AC$23+O757*$AC$24+P757*$AC$25+Q757*$AC$26+R757*$AC$27+S757*$AC$28+T757*$AC$29+U757*$AC$30</f>
        <v/>
      </c>
      <c r="W757" s="8">
        <f>1/(1+EXP(-V757))</f>
        <v/>
      </c>
      <c r="X757" s="9">
        <f>-IF(C757=1,LN(W757),LN(1-W757))</f>
        <v/>
      </c>
      <c r="Y757" s="10">
        <f>IF(W757&gt;$AC$33,1,0)</f>
        <v/>
      </c>
      <c r="Z757">
        <f>IF(Y757=C757,1,0)</f>
        <v/>
      </c>
    </row>
    <row r="758">
      <c r="A758">
        <f>'1 prepared data'!A751</f>
        <v/>
      </c>
      <c r="B758" s="5">
        <f>'1 prepared data'!U751</f>
        <v/>
      </c>
      <c r="C758">
        <f>'1 prepared data'!B751</f>
        <v/>
      </c>
      <c r="D758" s="7">
        <f>'1 prepared data'!C751</f>
        <v/>
      </c>
      <c r="E758" s="7">
        <f>'1 prepared data'!D751</f>
        <v/>
      </c>
      <c r="F758" s="7">
        <f>'1 prepared data'!E751</f>
        <v/>
      </c>
      <c r="G758" s="7">
        <f>'1 prepared data'!F751</f>
        <v/>
      </c>
      <c r="H758" s="7">
        <f>'1 prepared data'!G751</f>
        <v/>
      </c>
      <c r="I758" s="7">
        <f>'1 prepared data'!H751</f>
        <v/>
      </c>
      <c r="J758" s="7">
        <f>'1 prepared data'!I751</f>
        <v/>
      </c>
      <c r="K758" s="7">
        <f>'1 prepared data'!J751</f>
        <v/>
      </c>
      <c r="L758" s="7">
        <f>'1 prepared data'!K751</f>
        <v/>
      </c>
      <c r="M758" s="7">
        <f>'1 prepared data'!L751</f>
        <v/>
      </c>
      <c r="N758" s="7">
        <f>'1 prepared data'!M751</f>
        <v/>
      </c>
      <c r="O758" s="7">
        <f>'1 prepared data'!N751</f>
        <v/>
      </c>
      <c r="P758" s="7">
        <f>'1 prepared data'!O751</f>
        <v/>
      </c>
      <c r="Q758" s="7">
        <f>'1 prepared data'!P751</f>
        <v/>
      </c>
      <c r="R758" s="7">
        <f>'1 prepared data'!Q751</f>
        <v/>
      </c>
      <c r="S758" s="7">
        <f>'1 prepared data'!R751</f>
        <v/>
      </c>
      <c r="T758" s="7">
        <f>'1 prepared data'!S751</f>
        <v/>
      </c>
      <c r="U758" s="7">
        <f>'1 prepared data'!T751</f>
        <v/>
      </c>
      <c r="V758" s="8">
        <f>$AC$12+D758*$AC$13+E758*$AC$14+F758*$AC$15+G758*$AC$16+H758*$AC$17+I758*$AC$18+J758*$AC$19+K758*$AC$20+L758*$AC$21+M758*$AC$22+N758*$AC$23+O758*$AC$24+P758*$AC$25+Q758*$AC$26+R758*$AC$27+S758*$AC$28+T758*$AC$29+U758*$AC$30</f>
        <v/>
      </c>
      <c r="W758" s="8">
        <f>1/(1+EXP(-V758))</f>
        <v/>
      </c>
      <c r="X758" s="9">
        <f>-IF(C758=1,LN(W758),LN(1-W758))</f>
        <v/>
      </c>
      <c r="Y758" s="10">
        <f>IF(W758&gt;$AC$33,1,0)</f>
        <v/>
      </c>
      <c r="Z758">
        <f>IF(Y758=C758,1,0)</f>
        <v/>
      </c>
    </row>
    <row r="759">
      <c r="A759">
        <f>'1 prepared data'!A752</f>
        <v/>
      </c>
      <c r="B759" s="5">
        <f>'1 prepared data'!U752</f>
        <v/>
      </c>
      <c r="C759">
        <f>'1 prepared data'!B752</f>
        <v/>
      </c>
      <c r="D759" s="7">
        <f>'1 prepared data'!C752</f>
        <v/>
      </c>
      <c r="E759" s="7">
        <f>'1 prepared data'!D752</f>
        <v/>
      </c>
      <c r="F759" s="7">
        <f>'1 prepared data'!E752</f>
        <v/>
      </c>
      <c r="G759" s="7">
        <f>'1 prepared data'!F752</f>
        <v/>
      </c>
      <c r="H759" s="7">
        <f>'1 prepared data'!G752</f>
        <v/>
      </c>
      <c r="I759" s="7">
        <f>'1 prepared data'!H752</f>
        <v/>
      </c>
      <c r="J759" s="7">
        <f>'1 prepared data'!I752</f>
        <v/>
      </c>
      <c r="K759" s="7">
        <f>'1 prepared data'!J752</f>
        <v/>
      </c>
      <c r="L759" s="7">
        <f>'1 prepared data'!K752</f>
        <v/>
      </c>
      <c r="M759" s="7">
        <f>'1 prepared data'!L752</f>
        <v/>
      </c>
      <c r="N759" s="7">
        <f>'1 prepared data'!M752</f>
        <v/>
      </c>
      <c r="O759" s="7">
        <f>'1 prepared data'!N752</f>
        <v/>
      </c>
      <c r="P759" s="7">
        <f>'1 prepared data'!O752</f>
        <v/>
      </c>
      <c r="Q759" s="7">
        <f>'1 prepared data'!P752</f>
        <v/>
      </c>
      <c r="R759" s="7">
        <f>'1 prepared data'!Q752</f>
        <v/>
      </c>
      <c r="S759" s="7">
        <f>'1 prepared data'!R752</f>
        <v/>
      </c>
      <c r="T759" s="7">
        <f>'1 prepared data'!S752</f>
        <v/>
      </c>
      <c r="U759" s="7">
        <f>'1 prepared data'!T752</f>
        <v/>
      </c>
      <c r="V759" s="8">
        <f>$AC$12+D759*$AC$13+E759*$AC$14+F759*$AC$15+G759*$AC$16+H759*$AC$17+I759*$AC$18+J759*$AC$19+K759*$AC$20+L759*$AC$21+M759*$AC$22+N759*$AC$23+O759*$AC$24+P759*$AC$25+Q759*$AC$26+R759*$AC$27+S759*$AC$28+T759*$AC$29+U759*$AC$30</f>
        <v/>
      </c>
      <c r="W759" s="8">
        <f>1/(1+EXP(-V759))</f>
        <v/>
      </c>
      <c r="X759" s="9">
        <f>-IF(C759=1,LN(W759),LN(1-W759))</f>
        <v/>
      </c>
      <c r="Y759" s="10">
        <f>IF(W759&gt;$AC$33,1,0)</f>
        <v/>
      </c>
      <c r="Z759">
        <f>IF(Y759=C759,1,0)</f>
        <v/>
      </c>
    </row>
    <row r="760">
      <c r="A760">
        <f>'1 prepared data'!A753</f>
        <v/>
      </c>
      <c r="B760" s="5">
        <f>'1 prepared data'!U753</f>
        <v/>
      </c>
      <c r="C760">
        <f>'1 prepared data'!B753</f>
        <v/>
      </c>
      <c r="D760" s="7">
        <f>'1 prepared data'!C753</f>
        <v/>
      </c>
      <c r="E760" s="7">
        <f>'1 prepared data'!D753</f>
        <v/>
      </c>
      <c r="F760" s="7">
        <f>'1 prepared data'!E753</f>
        <v/>
      </c>
      <c r="G760" s="7">
        <f>'1 prepared data'!F753</f>
        <v/>
      </c>
      <c r="H760" s="7">
        <f>'1 prepared data'!G753</f>
        <v/>
      </c>
      <c r="I760" s="7">
        <f>'1 prepared data'!H753</f>
        <v/>
      </c>
      <c r="J760" s="7">
        <f>'1 prepared data'!I753</f>
        <v/>
      </c>
      <c r="K760" s="7">
        <f>'1 prepared data'!J753</f>
        <v/>
      </c>
      <c r="L760" s="7">
        <f>'1 prepared data'!K753</f>
        <v/>
      </c>
      <c r="M760" s="7">
        <f>'1 prepared data'!L753</f>
        <v/>
      </c>
      <c r="N760" s="7">
        <f>'1 prepared data'!M753</f>
        <v/>
      </c>
      <c r="O760" s="7">
        <f>'1 prepared data'!N753</f>
        <v/>
      </c>
      <c r="P760" s="7">
        <f>'1 prepared data'!O753</f>
        <v/>
      </c>
      <c r="Q760" s="7">
        <f>'1 prepared data'!P753</f>
        <v/>
      </c>
      <c r="R760" s="7">
        <f>'1 prepared data'!Q753</f>
        <v/>
      </c>
      <c r="S760" s="7">
        <f>'1 prepared data'!R753</f>
        <v/>
      </c>
      <c r="T760" s="7">
        <f>'1 prepared data'!S753</f>
        <v/>
      </c>
      <c r="U760" s="7">
        <f>'1 prepared data'!T753</f>
        <v/>
      </c>
      <c r="V760" s="8">
        <f>$AC$12+D760*$AC$13+E760*$AC$14+F760*$AC$15+G760*$AC$16+H760*$AC$17+I760*$AC$18+J760*$AC$19+K760*$AC$20+L760*$AC$21+M760*$AC$22+N760*$AC$23+O760*$AC$24+P760*$AC$25+Q760*$AC$26+R760*$AC$27+S760*$AC$28+T760*$AC$29+U760*$AC$30</f>
        <v/>
      </c>
      <c r="W760" s="8">
        <f>1/(1+EXP(-V760))</f>
        <v/>
      </c>
      <c r="X760" s="9">
        <f>-IF(C760=1,LN(W760),LN(1-W760))</f>
        <v/>
      </c>
      <c r="Y760" s="10">
        <f>IF(W760&gt;$AC$33,1,0)</f>
        <v/>
      </c>
      <c r="Z760">
        <f>IF(Y760=C760,1,0)</f>
        <v/>
      </c>
    </row>
    <row r="761">
      <c r="A761">
        <f>'1 prepared data'!A754</f>
        <v/>
      </c>
      <c r="B761" s="5">
        <f>'1 prepared data'!U754</f>
        <v/>
      </c>
      <c r="C761">
        <f>'1 prepared data'!B754</f>
        <v/>
      </c>
      <c r="D761" s="7">
        <f>'1 prepared data'!C754</f>
        <v/>
      </c>
      <c r="E761" s="7">
        <f>'1 prepared data'!D754</f>
        <v/>
      </c>
      <c r="F761" s="7">
        <f>'1 prepared data'!E754</f>
        <v/>
      </c>
      <c r="G761" s="7">
        <f>'1 prepared data'!F754</f>
        <v/>
      </c>
      <c r="H761" s="7">
        <f>'1 prepared data'!G754</f>
        <v/>
      </c>
      <c r="I761" s="7">
        <f>'1 prepared data'!H754</f>
        <v/>
      </c>
      <c r="J761" s="7">
        <f>'1 prepared data'!I754</f>
        <v/>
      </c>
      <c r="K761" s="7">
        <f>'1 prepared data'!J754</f>
        <v/>
      </c>
      <c r="L761" s="7">
        <f>'1 prepared data'!K754</f>
        <v/>
      </c>
      <c r="M761" s="7">
        <f>'1 prepared data'!L754</f>
        <v/>
      </c>
      <c r="N761" s="7">
        <f>'1 prepared data'!M754</f>
        <v/>
      </c>
      <c r="O761" s="7">
        <f>'1 prepared data'!N754</f>
        <v/>
      </c>
      <c r="P761" s="7">
        <f>'1 prepared data'!O754</f>
        <v/>
      </c>
      <c r="Q761" s="7">
        <f>'1 prepared data'!P754</f>
        <v/>
      </c>
      <c r="R761" s="7">
        <f>'1 prepared data'!Q754</f>
        <v/>
      </c>
      <c r="S761" s="7">
        <f>'1 prepared data'!R754</f>
        <v/>
      </c>
      <c r="T761" s="7">
        <f>'1 prepared data'!S754</f>
        <v/>
      </c>
      <c r="U761" s="7">
        <f>'1 prepared data'!T754</f>
        <v/>
      </c>
      <c r="V761" s="8">
        <f>$AC$12+D761*$AC$13+E761*$AC$14+F761*$AC$15+G761*$AC$16+H761*$AC$17+I761*$AC$18+J761*$AC$19+K761*$AC$20+L761*$AC$21+M761*$AC$22+N761*$AC$23+O761*$AC$24+P761*$AC$25+Q761*$AC$26+R761*$AC$27+S761*$AC$28+T761*$AC$29+U761*$AC$30</f>
        <v/>
      </c>
      <c r="W761" s="8">
        <f>1/(1+EXP(-V761))</f>
        <v/>
      </c>
      <c r="X761" s="9">
        <f>-IF(C761=1,LN(W761),LN(1-W761))</f>
        <v/>
      </c>
      <c r="Y761" s="10">
        <f>IF(W761&gt;$AC$33,1,0)</f>
        <v/>
      </c>
      <c r="Z761">
        <f>IF(Y761=C761,1,0)</f>
        <v/>
      </c>
    </row>
    <row r="762">
      <c r="A762">
        <f>'1 prepared data'!A755</f>
        <v/>
      </c>
      <c r="B762" s="5">
        <f>'1 prepared data'!U755</f>
        <v/>
      </c>
      <c r="C762">
        <f>'1 prepared data'!B755</f>
        <v/>
      </c>
      <c r="D762" s="7">
        <f>'1 prepared data'!C755</f>
        <v/>
      </c>
      <c r="E762" s="7">
        <f>'1 prepared data'!D755</f>
        <v/>
      </c>
      <c r="F762" s="7">
        <f>'1 prepared data'!E755</f>
        <v/>
      </c>
      <c r="G762" s="7">
        <f>'1 prepared data'!F755</f>
        <v/>
      </c>
      <c r="H762" s="7">
        <f>'1 prepared data'!G755</f>
        <v/>
      </c>
      <c r="I762" s="7">
        <f>'1 prepared data'!H755</f>
        <v/>
      </c>
      <c r="J762" s="7">
        <f>'1 prepared data'!I755</f>
        <v/>
      </c>
      <c r="K762" s="7">
        <f>'1 prepared data'!J755</f>
        <v/>
      </c>
      <c r="L762" s="7">
        <f>'1 prepared data'!K755</f>
        <v/>
      </c>
      <c r="M762" s="7">
        <f>'1 prepared data'!L755</f>
        <v/>
      </c>
      <c r="N762" s="7">
        <f>'1 prepared data'!M755</f>
        <v/>
      </c>
      <c r="O762" s="7">
        <f>'1 prepared data'!N755</f>
        <v/>
      </c>
      <c r="P762" s="7">
        <f>'1 prepared data'!O755</f>
        <v/>
      </c>
      <c r="Q762" s="7">
        <f>'1 prepared data'!P755</f>
        <v/>
      </c>
      <c r="R762" s="7">
        <f>'1 prepared data'!Q755</f>
        <v/>
      </c>
      <c r="S762" s="7">
        <f>'1 prepared data'!R755</f>
        <v/>
      </c>
      <c r="T762" s="7">
        <f>'1 prepared data'!S755</f>
        <v/>
      </c>
      <c r="U762" s="7">
        <f>'1 prepared data'!T755</f>
        <v/>
      </c>
      <c r="V762" s="8">
        <f>$AC$12+D762*$AC$13+E762*$AC$14+F762*$AC$15+G762*$AC$16+H762*$AC$17+I762*$AC$18+J762*$AC$19+K762*$AC$20+L762*$AC$21+M762*$AC$22+N762*$AC$23+O762*$AC$24+P762*$AC$25+Q762*$AC$26+R762*$AC$27+S762*$AC$28+T762*$AC$29+U762*$AC$30</f>
        <v/>
      </c>
      <c r="W762" s="8">
        <f>1/(1+EXP(-V762))</f>
        <v/>
      </c>
      <c r="X762" s="9">
        <f>-IF(C762=1,LN(W762),LN(1-W762))</f>
        <v/>
      </c>
      <c r="Y762" s="10">
        <f>IF(W762&gt;$AC$33,1,0)</f>
        <v/>
      </c>
      <c r="Z762">
        <f>IF(Y762=C762,1,0)</f>
        <v/>
      </c>
    </row>
    <row r="763">
      <c r="A763">
        <f>'1 prepared data'!A756</f>
        <v/>
      </c>
      <c r="B763" s="5">
        <f>'1 prepared data'!U756</f>
        <v/>
      </c>
      <c r="C763">
        <f>'1 prepared data'!B756</f>
        <v/>
      </c>
      <c r="D763" s="7">
        <f>'1 prepared data'!C756</f>
        <v/>
      </c>
      <c r="E763" s="7">
        <f>'1 prepared data'!D756</f>
        <v/>
      </c>
      <c r="F763" s="7">
        <f>'1 prepared data'!E756</f>
        <v/>
      </c>
      <c r="G763" s="7">
        <f>'1 prepared data'!F756</f>
        <v/>
      </c>
      <c r="H763" s="7">
        <f>'1 prepared data'!G756</f>
        <v/>
      </c>
      <c r="I763" s="7">
        <f>'1 prepared data'!H756</f>
        <v/>
      </c>
      <c r="J763" s="7">
        <f>'1 prepared data'!I756</f>
        <v/>
      </c>
      <c r="K763" s="7">
        <f>'1 prepared data'!J756</f>
        <v/>
      </c>
      <c r="L763" s="7">
        <f>'1 prepared data'!K756</f>
        <v/>
      </c>
      <c r="M763" s="7">
        <f>'1 prepared data'!L756</f>
        <v/>
      </c>
      <c r="N763" s="7">
        <f>'1 prepared data'!M756</f>
        <v/>
      </c>
      <c r="O763" s="7">
        <f>'1 prepared data'!N756</f>
        <v/>
      </c>
      <c r="P763" s="7">
        <f>'1 prepared data'!O756</f>
        <v/>
      </c>
      <c r="Q763" s="7">
        <f>'1 prepared data'!P756</f>
        <v/>
      </c>
      <c r="R763" s="7">
        <f>'1 prepared data'!Q756</f>
        <v/>
      </c>
      <c r="S763" s="7">
        <f>'1 prepared data'!R756</f>
        <v/>
      </c>
      <c r="T763" s="7">
        <f>'1 prepared data'!S756</f>
        <v/>
      </c>
      <c r="U763" s="7">
        <f>'1 prepared data'!T756</f>
        <v/>
      </c>
      <c r="V763" s="8">
        <f>$AC$12+D763*$AC$13+E763*$AC$14+F763*$AC$15+G763*$AC$16+H763*$AC$17+I763*$AC$18+J763*$AC$19+K763*$AC$20+L763*$AC$21+M763*$AC$22+N763*$AC$23+O763*$AC$24+P763*$AC$25+Q763*$AC$26+R763*$AC$27+S763*$AC$28+T763*$AC$29+U763*$AC$30</f>
        <v/>
      </c>
      <c r="W763" s="8">
        <f>1/(1+EXP(-V763))</f>
        <v/>
      </c>
      <c r="X763" s="9">
        <f>-IF(C763=1,LN(W763),LN(1-W763))</f>
        <v/>
      </c>
      <c r="Y763" s="10">
        <f>IF(W763&gt;$AC$33,1,0)</f>
        <v/>
      </c>
      <c r="Z763">
        <f>IF(Y763=C763,1,0)</f>
        <v/>
      </c>
    </row>
    <row r="764">
      <c r="A764">
        <f>'1 prepared data'!A757</f>
        <v/>
      </c>
      <c r="B764" s="5">
        <f>'1 prepared data'!U757</f>
        <v/>
      </c>
      <c r="C764">
        <f>'1 prepared data'!B757</f>
        <v/>
      </c>
      <c r="D764" s="7">
        <f>'1 prepared data'!C757</f>
        <v/>
      </c>
      <c r="E764" s="7">
        <f>'1 prepared data'!D757</f>
        <v/>
      </c>
      <c r="F764" s="7">
        <f>'1 prepared data'!E757</f>
        <v/>
      </c>
      <c r="G764" s="7">
        <f>'1 prepared data'!F757</f>
        <v/>
      </c>
      <c r="H764" s="7">
        <f>'1 prepared data'!G757</f>
        <v/>
      </c>
      <c r="I764" s="7">
        <f>'1 prepared data'!H757</f>
        <v/>
      </c>
      <c r="J764" s="7">
        <f>'1 prepared data'!I757</f>
        <v/>
      </c>
      <c r="K764" s="7">
        <f>'1 prepared data'!J757</f>
        <v/>
      </c>
      <c r="L764" s="7">
        <f>'1 prepared data'!K757</f>
        <v/>
      </c>
      <c r="M764" s="7">
        <f>'1 prepared data'!L757</f>
        <v/>
      </c>
      <c r="N764" s="7">
        <f>'1 prepared data'!M757</f>
        <v/>
      </c>
      <c r="O764" s="7">
        <f>'1 prepared data'!N757</f>
        <v/>
      </c>
      <c r="P764" s="7">
        <f>'1 prepared data'!O757</f>
        <v/>
      </c>
      <c r="Q764" s="7">
        <f>'1 prepared data'!P757</f>
        <v/>
      </c>
      <c r="R764" s="7">
        <f>'1 prepared data'!Q757</f>
        <v/>
      </c>
      <c r="S764" s="7">
        <f>'1 prepared data'!R757</f>
        <v/>
      </c>
      <c r="T764" s="7">
        <f>'1 prepared data'!S757</f>
        <v/>
      </c>
      <c r="U764" s="7">
        <f>'1 prepared data'!T757</f>
        <v/>
      </c>
      <c r="V764" s="8">
        <f>$AC$12+D764*$AC$13+E764*$AC$14+F764*$AC$15+G764*$AC$16+H764*$AC$17+I764*$AC$18+J764*$AC$19+K764*$AC$20+L764*$AC$21+M764*$AC$22+N764*$AC$23+O764*$AC$24+P764*$AC$25+Q764*$AC$26+R764*$AC$27+S764*$AC$28+T764*$AC$29+U764*$AC$30</f>
        <v/>
      </c>
      <c r="W764" s="8">
        <f>1/(1+EXP(-V764))</f>
        <v/>
      </c>
      <c r="X764" s="9">
        <f>-IF(C764=1,LN(W764),LN(1-W764))</f>
        <v/>
      </c>
      <c r="Y764" s="10">
        <f>IF(W764&gt;$AC$33,1,0)</f>
        <v/>
      </c>
      <c r="Z764">
        <f>IF(Y764=C764,1,0)</f>
        <v/>
      </c>
    </row>
    <row r="765">
      <c r="A765">
        <f>'1 prepared data'!A758</f>
        <v/>
      </c>
      <c r="B765" s="5">
        <f>'1 prepared data'!U758</f>
        <v/>
      </c>
      <c r="C765">
        <f>'1 prepared data'!B758</f>
        <v/>
      </c>
      <c r="D765" s="7">
        <f>'1 prepared data'!C758</f>
        <v/>
      </c>
      <c r="E765" s="7">
        <f>'1 prepared data'!D758</f>
        <v/>
      </c>
      <c r="F765" s="7">
        <f>'1 prepared data'!E758</f>
        <v/>
      </c>
      <c r="G765" s="7">
        <f>'1 prepared data'!F758</f>
        <v/>
      </c>
      <c r="H765" s="7">
        <f>'1 prepared data'!G758</f>
        <v/>
      </c>
      <c r="I765" s="7">
        <f>'1 prepared data'!H758</f>
        <v/>
      </c>
      <c r="J765" s="7">
        <f>'1 prepared data'!I758</f>
        <v/>
      </c>
      <c r="K765" s="7">
        <f>'1 prepared data'!J758</f>
        <v/>
      </c>
      <c r="L765" s="7">
        <f>'1 prepared data'!K758</f>
        <v/>
      </c>
      <c r="M765" s="7">
        <f>'1 prepared data'!L758</f>
        <v/>
      </c>
      <c r="N765" s="7">
        <f>'1 prepared data'!M758</f>
        <v/>
      </c>
      <c r="O765" s="7">
        <f>'1 prepared data'!N758</f>
        <v/>
      </c>
      <c r="P765" s="7">
        <f>'1 prepared data'!O758</f>
        <v/>
      </c>
      <c r="Q765" s="7">
        <f>'1 prepared data'!P758</f>
        <v/>
      </c>
      <c r="R765" s="7">
        <f>'1 prepared data'!Q758</f>
        <v/>
      </c>
      <c r="S765" s="7">
        <f>'1 prepared data'!R758</f>
        <v/>
      </c>
      <c r="T765" s="7">
        <f>'1 prepared data'!S758</f>
        <v/>
      </c>
      <c r="U765" s="7">
        <f>'1 prepared data'!T758</f>
        <v/>
      </c>
      <c r="V765" s="8">
        <f>$AC$12+D765*$AC$13+E765*$AC$14+F765*$AC$15+G765*$AC$16+H765*$AC$17+I765*$AC$18+J765*$AC$19+K765*$AC$20+L765*$AC$21+M765*$AC$22+N765*$AC$23+O765*$AC$24+P765*$AC$25+Q765*$AC$26+R765*$AC$27+S765*$AC$28+T765*$AC$29+U765*$AC$30</f>
        <v/>
      </c>
      <c r="W765" s="8">
        <f>1/(1+EXP(-V765))</f>
        <v/>
      </c>
      <c r="X765" s="9">
        <f>-IF(C765=1,LN(W765),LN(1-W765))</f>
        <v/>
      </c>
      <c r="Y765" s="10">
        <f>IF(W765&gt;$AC$33,1,0)</f>
        <v/>
      </c>
      <c r="Z765">
        <f>IF(Y765=C765,1,0)</f>
        <v/>
      </c>
    </row>
    <row r="766">
      <c r="A766">
        <f>'1 prepared data'!A759</f>
        <v/>
      </c>
      <c r="B766" s="5">
        <f>'1 prepared data'!U759</f>
        <v/>
      </c>
      <c r="C766">
        <f>'1 prepared data'!B759</f>
        <v/>
      </c>
      <c r="D766" s="7">
        <f>'1 prepared data'!C759</f>
        <v/>
      </c>
      <c r="E766" s="7">
        <f>'1 prepared data'!D759</f>
        <v/>
      </c>
      <c r="F766" s="7">
        <f>'1 prepared data'!E759</f>
        <v/>
      </c>
      <c r="G766" s="7">
        <f>'1 prepared data'!F759</f>
        <v/>
      </c>
      <c r="H766" s="7">
        <f>'1 prepared data'!G759</f>
        <v/>
      </c>
      <c r="I766" s="7">
        <f>'1 prepared data'!H759</f>
        <v/>
      </c>
      <c r="J766" s="7">
        <f>'1 prepared data'!I759</f>
        <v/>
      </c>
      <c r="K766" s="7">
        <f>'1 prepared data'!J759</f>
        <v/>
      </c>
      <c r="L766" s="7">
        <f>'1 prepared data'!K759</f>
        <v/>
      </c>
      <c r="M766" s="7">
        <f>'1 prepared data'!L759</f>
        <v/>
      </c>
      <c r="N766" s="7">
        <f>'1 prepared data'!M759</f>
        <v/>
      </c>
      <c r="O766" s="7">
        <f>'1 prepared data'!N759</f>
        <v/>
      </c>
      <c r="P766" s="7">
        <f>'1 prepared data'!O759</f>
        <v/>
      </c>
      <c r="Q766" s="7">
        <f>'1 prepared data'!P759</f>
        <v/>
      </c>
      <c r="R766" s="7">
        <f>'1 prepared data'!Q759</f>
        <v/>
      </c>
      <c r="S766" s="7">
        <f>'1 prepared data'!R759</f>
        <v/>
      </c>
      <c r="T766" s="7">
        <f>'1 prepared data'!S759</f>
        <v/>
      </c>
      <c r="U766" s="7">
        <f>'1 prepared data'!T759</f>
        <v/>
      </c>
      <c r="V766" s="8">
        <f>$AC$12+D766*$AC$13+E766*$AC$14+F766*$AC$15+G766*$AC$16+H766*$AC$17+I766*$AC$18+J766*$AC$19+K766*$AC$20+L766*$AC$21+M766*$AC$22+N766*$AC$23+O766*$AC$24+P766*$AC$25+Q766*$AC$26+R766*$AC$27+S766*$AC$28+T766*$AC$29+U766*$AC$30</f>
        <v/>
      </c>
      <c r="W766" s="8">
        <f>1/(1+EXP(-V766))</f>
        <v/>
      </c>
      <c r="X766" s="9">
        <f>-IF(C766=1,LN(W766),LN(1-W766))</f>
        <v/>
      </c>
      <c r="Y766" s="10">
        <f>IF(W766&gt;$AC$33,1,0)</f>
        <v/>
      </c>
      <c r="Z766">
        <f>IF(Y766=C766,1,0)</f>
        <v/>
      </c>
    </row>
    <row r="767">
      <c r="A767">
        <f>'1 prepared data'!A760</f>
        <v/>
      </c>
      <c r="B767" s="5">
        <f>'1 prepared data'!U760</f>
        <v/>
      </c>
      <c r="C767">
        <f>'1 prepared data'!B760</f>
        <v/>
      </c>
      <c r="D767" s="7">
        <f>'1 prepared data'!C760</f>
        <v/>
      </c>
      <c r="E767" s="7">
        <f>'1 prepared data'!D760</f>
        <v/>
      </c>
      <c r="F767" s="7">
        <f>'1 prepared data'!E760</f>
        <v/>
      </c>
      <c r="G767" s="7">
        <f>'1 prepared data'!F760</f>
        <v/>
      </c>
      <c r="H767" s="7">
        <f>'1 prepared data'!G760</f>
        <v/>
      </c>
      <c r="I767" s="7">
        <f>'1 prepared data'!H760</f>
        <v/>
      </c>
      <c r="J767" s="7">
        <f>'1 prepared data'!I760</f>
        <v/>
      </c>
      <c r="K767" s="7">
        <f>'1 prepared data'!J760</f>
        <v/>
      </c>
      <c r="L767" s="7">
        <f>'1 prepared data'!K760</f>
        <v/>
      </c>
      <c r="M767" s="7">
        <f>'1 prepared data'!L760</f>
        <v/>
      </c>
      <c r="N767" s="7">
        <f>'1 prepared data'!M760</f>
        <v/>
      </c>
      <c r="O767" s="7">
        <f>'1 prepared data'!N760</f>
        <v/>
      </c>
      <c r="P767" s="7">
        <f>'1 prepared data'!O760</f>
        <v/>
      </c>
      <c r="Q767" s="7">
        <f>'1 prepared data'!P760</f>
        <v/>
      </c>
      <c r="R767" s="7">
        <f>'1 prepared data'!Q760</f>
        <v/>
      </c>
      <c r="S767" s="7">
        <f>'1 prepared data'!R760</f>
        <v/>
      </c>
      <c r="T767" s="7">
        <f>'1 prepared data'!S760</f>
        <v/>
      </c>
      <c r="U767" s="7">
        <f>'1 prepared data'!T760</f>
        <v/>
      </c>
      <c r="V767" s="8">
        <f>$AC$12+D767*$AC$13+E767*$AC$14+F767*$AC$15+G767*$AC$16+H767*$AC$17+I767*$AC$18+J767*$AC$19+K767*$AC$20+L767*$AC$21+M767*$AC$22+N767*$AC$23+O767*$AC$24+P767*$AC$25+Q767*$AC$26+R767*$AC$27+S767*$AC$28+T767*$AC$29+U767*$AC$30</f>
        <v/>
      </c>
      <c r="W767" s="8">
        <f>1/(1+EXP(-V767))</f>
        <v/>
      </c>
      <c r="X767" s="9">
        <f>-IF(C767=1,LN(W767),LN(1-W767))</f>
        <v/>
      </c>
      <c r="Y767" s="10">
        <f>IF(W767&gt;$AC$33,1,0)</f>
        <v/>
      </c>
      <c r="Z767">
        <f>IF(Y767=C767,1,0)</f>
        <v/>
      </c>
    </row>
    <row r="768">
      <c r="A768">
        <f>'1 prepared data'!A761</f>
        <v/>
      </c>
      <c r="B768" s="5">
        <f>'1 prepared data'!U761</f>
        <v/>
      </c>
      <c r="C768">
        <f>'1 prepared data'!B761</f>
        <v/>
      </c>
      <c r="D768" s="7">
        <f>'1 prepared data'!C761</f>
        <v/>
      </c>
      <c r="E768" s="7">
        <f>'1 prepared data'!D761</f>
        <v/>
      </c>
      <c r="F768" s="7">
        <f>'1 prepared data'!E761</f>
        <v/>
      </c>
      <c r="G768" s="7">
        <f>'1 prepared data'!F761</f>
        <v/>
      </c>
      <c r="H768" s="7">
        <f>'1 prepared data'!G761</f>
        <v/>
      </c>
      <c r="I768" s="7">
        <f>'1 prepared data'!H761</f>
        <v/>
      </c>
      <c r="J768" s="7">
        <f>'1 prepared data'!I761</f>
        <v/>
      </c>
      <c r="K768" s="7">
        <f>'1 prepared data'!J761</f>
        <v/>
      </c>
      <c r="L768" s="7">
        <f>'1 prepared data'!K761</f>
        <v/>
      </c>
      <c r="M768" s="7">
        <f>'1 prepared data'!L761</f>
        <v/>
      </c>
      <c r="N768" s="7">
        <f>'1 prepared data'!M761</f>
        <v/>
      </c>
      <c r="O768" s="7">
        <f>'1 prepared data'!N761</f>
        <v/>
      </c>
      <c r="P768" s="7">
        <f>'1 prepared data'!O761</f>
        <v/>
      </c>
      <c r="Q768" s="7">
        <f>'1 prepared data'!P761</f>
        <v/>
      </c>
      <c r="R768" s="7">
        <f>'1 prepared data'!Q761</f>
        <v/>
      </c>
      <c r="S768" s="7">
        <f>'1 prepared data'!R761</f>
        <v/>
      </c>
      <c r="T768" s="7">
        <f>'1 prepared data'!S761</f>
        <v/>
      </c>
      <c r="U768" s="7">
        <f>'1 prepared data'!T761</f>
        <v/>
      </c>
      <c r="V768" s="8">
        <f>$AC$12+D768*$AC$13+E768*$AC$14+F768*$AC$15+G768*$AC$16+H768*$AC$17+I768*$AC$18+J768*$AC$19+K768*$AC$20+L768*$AC$21+M768*$AC$22+N768*$AC$23+O768*$AC$24+P768*$AC$25+Q768*$AC$26+R768*$AC$27+S768*$AC$28+T768*$AC$29+U768*$AC$30</f>
        <v/>
      </c>
      <c r="W768" s="8">
        <f>1/(1+EXP(-V768))</f>
        <v/>
      </c>
      <c r="X768" s="9">
        <f>-IF(C768=1,LN(W768),LN(1-W768))</f>
        <v/>
      </c>
      <c r="Y768" s="10">
        <f>IF(W768&gt;$AC$33,1,0)</f>
        <v/>
      </c>
      <c r="Z768">
        <f>IF(Y768=C768,1,0)</f>
        <v/>
      </c>
    </row>
    <row r="769">
      <c r="A769">
        <f>'1 prepared data'!A762</f>
        <v/>
      </c>
      <c r="B769" s="5">
        <f>'1 prepared data'!U762</f>
        <v/>
      </c>
      <c r="C769">
        <f>'1 prepared data'!B762</f>
        <v/>
      </c>
      <c r="D769" s="7">
        <f>'1 prepared data'!C762</f>
        <v/>
      </c>
      <c r="E769" s="7">
        <f>'1 prepared data'!D762</f>
        <v/>
      </c>
      <c r="F769" s="7">
        <f>'1 prepared data'!E762</f>
        <v/>
      </c>
      <c r="G769" s="7">
        <f>'1 prepared data'!F762</f>
        <v/>
      </c>
      <c r="H769" s="7">
        <f>'1 prepared data'!G762</f>
        <v/>
      </c>
      <c r="I769" s="7">
        <f>'1 prepared data'!H762</f>
        <v/>
      </c>
      <c r="J769" s="7">
        <f>'1 prepared data'!I762</f>
        <v/>
      </c>
      <c r="K769" s="7">
        <f>'1 prepared data'!J762</f>
        <v/>
      </c>
      <c r="L769" s="7">
        <f>'1 prepared data'!K762</f>
        <v/>
      </c>
      <c r="M769" s="7">
        <f>'1 prepared data'!L762</f>
        <v/>
      </c>
      <c r="N769" s="7">
        <f>'1 prepared data'!M762</f>
        <v/>
      </c>
      <c r="O769" s="7">
        <f>'1 prepared data'!N762</f>
        <v/>
      </c>
      <c r="P769" s="7">
        <f>'1 prepared data'!O762</f>
        <v/>
      </c>
      <c r="Q769" s="7">
        <f>'1 prepared data'!P762</f>
        <v/>
      </c>
      <c r="R769" s="7">
        <f>'1 prepared data'!Q762</f>
        <v/>
      </c>
      <c r="S769" s="7">
        <f>'1 prepared data'!R762</f>
        <v/>
      </c>
      <c r="T769" s="7">
        <f>'1 prepared data'!S762</f>
        <v/>
      </c>
      <c r="U769" s="7">
        <f>'1 prepared data'!T762</f>
        <v/>
      </c>
      <c r="V769" s="8">
        <f>$AC$12+D769*$AC$13+E769*$AC$14+F769*$AC$15+G769*$AC$16+H769*$AC$17+I769*$AC$18+J769*$AC$19+K769*$AC$20+L769*$AC$21+M769*$AC$22+N769*$AC$23+O769*$AC$24+P769*$AC$25+Q769*$AC$26+R769*$AC$27+S769*$AC$28+T769*$AC$29+U769*$AC$30</f>
        <v/>
      </c>
      <c r="W769" s="8">
        <f>1/(1+EXP(-V769))</f>
        <v/>
      </c>
      <c r="X769" s="9">
        <f>-IF(C769=1,LN(W769),LN(1-W769))</f>
        <v/>
      </c>
      <c r="Y769" s="10">
        <f>IF(W769&gt;$AC$33,1,0)</f>
        <v/>
      </c>
      <c r="Z769">
        <f>IF(Y769=C769,1,0)</f>
        <v/>
      </c>
    </row>
    <row r="770">
      <c r="A770">
        <f>'1 prepared data'!A763</f>
        <v/>
      </c>
      <c r="B770" s="5">
        <f>'1 prepared data'!U763</f>
        <v/>
      </c>
      <c r="C770">
        <f>'1 prepared data'!B763</f>
        <v/>
      </c>
      <c r="D770" s="7">
        <f>'1 prepared data'!C763</f>
        <v/>
      </c>
      <c r="E770" s="7">
        <f>'1 prepared data'!D763</f>
        <v/>
      </c>
      <c r="F770" s="7">
        <f>'1 prepared data'!E763</f>
        <v/>
      </c>
      <c r="G770" s="7">
        <f>'1 prepared data'!F763</f>
        <v/>
      </c>
      <c r="H770" s="7">
        <f>'1 prepared data'!G763</f>
        <v/>
      </c>
      <c r="I770" s="7">
        <f>'1 prepared data'!H763</f>
        <v/>
      </c>
      <c r="J770" s="7">
        <f>'1 prepared data'!I763</f>
        <v/>
      </c>
      <c r="K770" s="7">
        <f>'1 prepared data'!J763</f>
        <v/>
      </c>
      <c r="L770" s="7">
        <f>'1 prepared data'!K763</f>
        <v/>
      </c>
      <c r="M770" s="7">
        <f>'1 prepared data'!L763</f>
        <v/>
      </c>
      <c r="N770" s="7">
        <f>'1 prepared data'!M763</f>
        <v/>
      </c>
      <c r="O770" s="7">
        <f>'1 prepared data'!N763</f>
        <v/>
      </c>
      <c r="P770" s="7">
        <f>'1 prepared data'!O763</f>
        <v/>
      </c>
      <c r="Q770" s="7">
        <f>'1 prepared data'!P763</f>
        <v/>
      </c>
      <c r="R770" s="7">
        <f>'1 prepared data'!Q763</f>
        <v/>
      </c>
      <c r="S770" s="7">
        <f>'1 prepared data'!R763</f>
        <v/>
      </c>
      <c r="T770" s="7">
        <f>'1 prepared data'!S763</f>
        <v/>
      </c>
      <c r="U770" s="7">
        <f>'1 prepared data'!T763</f>
        <v/>
      </c>
      <c r="V770" s="8">
        <f>$AC$12+D770*$AC$13+E770*$AC$14+F770*$AC$15+G770*$AC$16+H770*$AC$17+I770*$AC$18+J770*$AC$19+K770*$AC$20+L770*$AC$21+M770*$AC$22+N770*$AC$23+O770*$AC$24+P770*$AC$25+Q770*$AC$26+R770*$AC$27+S770*$AC$28+T770*$AC$29+U770*$AC$30</f>
        <v/>
      </c>
      <c r="W770" s="8">
        <f>1/(1+EXP(-V770))</f>
        <v/>
      </c>
      <c r="X770" s="9">
        <f>-IF(C770=1,LN(W770),LN(1-W770))</f>
        <v/>
      </c>
      <c r="Y770" s="10">
        <f>IF(W770&gt;$AC$33,1,0)</f>
        <v/>
      </c>
      <c r="Z770">
        <f>IF(Y770=C770,1,0)</f>
        <v/>
      </c>
    </row>
    <row r="771">
      <c r="A771">
        <f>'1 prepared data'!A764</f>
        <v/>
      </c>
      <c r="B771" s="5">
        <f>'1 prepared data'!U764</f>
        <v/>
      </c>
      <c r="C771">
        <f>'1 prepared data'!B764</f>
        <v/>
      </c>
      <c r="D771" s="7">
        <f>'1 prepared data'!C764</f>
        <v/>
      </c>
      <c r="E771" s="7">
        <f>'1 prepared data'!D764</f>
        <v/>
      </c>
      <c r="F771" s="7">
        <f>'1 prepared data'!E764</f>
        <v/>
      </c>
      <c r="G771" s="7">
        <f>'1 prepared data'!F764</f>
        <v/>
      </c>
      <c r="H771" s="7">
        <f>'1 prepared data'!G764</f>
        <v/>
      </c>
      <c r="I771" s="7">
        <f>'1 prepared data'!H764</f>
        <v/>
      </c>
      <c r="J771" s="7">
        <f>'1 prepared data'!I764</f>
        <v/>
      </c>
      <c r="K771" s="7">
        <f>'1 prepared data'!J764</f>
        <v/>
      </c>
      <c r="L771" s="7">
        <f>'1 prepared data'!K764</f>
        <v/>
      </c>
      <c r="M771" s="7">
        <f>'1 prepared data'!L764</f>
        <v/>
      </c>
      <c r="N771" s="7">
        <f>'1 prepared data'!M764</f>
        <v/>
      </c>
      <c r="O771" s="7">
        <f>'1 prepared data'!N764</f>
        <v/>
      </c>
      <c r="P771" s="7">
        <f>'1 prepared data'!O764</f>
        <v/>
      </c>
      <c r="Q771" s="7">
        <f>'1 prepared data'!P764</f>
        <v/>
      </c>
      <c r="R771" s="7">
        <f>'1 prepared data'!Q764</f>
        <v/>
      </c>
      <c r="S771" s="7">
        <f>'1 prepared data'!R764</f>
        <v/>
      </c>
      <c r="T771" s="7">
        <f>'1 prepared data'!S764</f>
        <v/>
      </c>
      <c r="U771" s="7">
        <f>'1 prepared data'!T764</f>
        <v/>
      </c>
      <c r="V771" s="8">
        <f>$AC$12+D771*$AC$13+E771*$AC$14+F771*$AC$15+G771*$AC$16+H771*$AC$17+I771*$AC$18+J771*$AC$19+K771*$AC$20+L771*$AC$21+M771*$AC$22+N771*$AC$23+O771*$AC$24+P771*$AC$25+Q771*$AC$26+R771*$AC$27+S771*$AC$28+T771*$AC$29+U771*$AC$30</f>
        <v/>
      </c>
      <c r="W771" s="8">
        <f>1/(1+EXP(-V771))</f>
        <v/>
      </c>
      <c r="X771" s="9">
        <f>-IF(C771=1,LN(W771),LN(1-W771))</f>
        <v/>
      </c>
      <c r="Y771" s="10">
        <f>IF(W771&gt;$AC$33,1,0)</f>
        <v/>
      </c>
      <c r="Z771">
        <f>IF(Y771=C771,1,0)</f>
        <v/>
      </c>
    </row>
    <row r="772">
      <c r="A772">
        <f>'1 prepared data'!A765</f>
        <v/>
      </c>
      <c r="B772" s="5">
        <f>'1 prepared data'!U765</f>
        <v/>
      </c>
      <c r="C772">
        <f>'1 prepared data'!B765</f>
        <v/>
      </c>
      <c r="D772" s="7">
        <f>'1 prepared data'!C765</f>
        <v/>
      </c>
      <c r="E772" s="7">
        <f>'1 prepared data'!D765</f>
        <v/>
      </c>
      <c r="F772" s="7">
        <f>'1 prepared data'!E765</f>
        <v/>
      </c>
      <c r="G772" s="7">
        <f>'1 prepared data'!F765</f>
        <v/>
      </c>
      <c r="H772" s="7">
        <f>'1 prepared data'!G765</f>
        <v/>
      </c>
      <c r="I772" s="7">
        <f>'1 prepared data'!H765</f>
        <v/>
      </c>
      <c r="J772" s="7">
        <f>'1 prepared data'!I765</f>
        <v/>
      </c>
      <c r="K772" s="7">
        <f>'1 prepared data'!J765</f>
        <v/>
      </c>
      <c r="L772" s="7">
        <f>'1 prepared data'!K765</f>
        <v/>
      </c>
      <c r="M772" s="7">
        <f>'1 prepared data'!L765</f>
        <v/>
      </c>
      <c r="N772" s="7">
        <f>'1 prepared data'!M765</f>
        <v/>
      </c>
      <c r="O772" s="7">
        <f>'1 prepared data'!N765</f>
        <v/>
      </c>
      <c r="P772" s="7">
        <f>'1 prepared data'!O765</f>
        <v/>
      </c>
      <c r="Q772" s="7">
        <f>'1 prepared data'!P765</f>
        <v/>
      </c>
      <c r="R772" s="7">
        <f>'1 prepared data'!Q765</f>
        <v/>
      </c>
      <c r="S772" s="7">
        <f>'1 prepared data'!R765</f>
        <v/>
      </c>
      <c r="T772" s="7">
        <f>'1 prepared data'!S765</f>
        <v/>
      </c>
      <c r="U772" s="7">
        <f>'1 prepared data'!T765</f>
        <v/>
      </c>
      <c r="V772" s="8">
        <f>$AC$12+D772*$AC$13+E772*$AC$14+F772*$AC$15+G772*$AC$16+H772*$AC$17+I772*$AC$18+J772*$AC$19+K772*$AC$20+L772*$AC$21+M772*$AC$22+N772*$AC$23+O772*$AC$24+P772*$AC$25+Q772*$AC$26+R772*$AC$27+S772*$AC$28+T772*$AC$29+U772*$AC$30</f>
        <v/>
      </c>
      <c r="W772" s="8">
        <f>1/(1+EXP(-V772))</f>
        <v/>
      </c>
      <c r="X772" s="9">
        <f>-IF(C772=1,LN(W772),LN(1-W772))</f>
        <v/>
      </c>
      <c r="Y772" s="10">
        <f>IF(W772&gt;$AC$33,1,0)</f>
        <v/>
      </c>
      <c r="Z772">
        <f>IF(Y772=C772,1,0)</f>
        <v/>
      </c>
    </row>
    <row r="773">
      <c r="A773">
        <f>'1 prepared data'!A766</f>
        <v/>
      </c>
      <c r="B773" s="5">
        <f>'1 prepared data'!U766</f>
        <v/>
      </c>
      <c r="C773">
        <f>'1 prepared data'!B766</f>
        <v/>
      </c>
      <c r="D773" s="7">
        <f>'1 prepared data'!C766</f>
        <v/>
      </c>
      <c r="E773" s="7">
        <f>'1 prepared data'!D766</f>
        <v/>
      </c>
      <c r="F773" s="7">
        <f>'1 prepared data'!E766</f>
        <v/>
      </c>
      <c r="G773" s="7">
        <f>'1 prepared data'!F766</f>
        <v/>
      </c>
      <c r="H773" s="7">
        <f>'1 prepared data'!G766</f>
        <v/>
      </c>
      <c r="I773" s="7">
        <f>'1 prepared data'!H766</f>
        <v/>
      </c>
      <c r="J773" s="7">
        <f>'1 prepared data'!I766</f>
        <v/>
      </c>
      <c r="K773" s="7">
        <f>'1 prepared data'!J766</f>
        <v/>
      </c>
      <c r="L773" s="7">
        <f>'1 prepared data'!K766</f>
        <v/>
      </c>
      <c r="M773" s="7">
        <f>'1 prepared data'!L766</f>
        <v/>
      </c>
      <c r="N773" s="7">
        <f>'1 prepared data'!M766</f>
        <v/>
      </c>
      <c r="O773" s="7">
        <f>'1 prepared data'!N766</f>
        <v/>
      </c>
      <c r="P773" s="7">
        <f>'1 prepared data'!O766</f>
        <v/>
      </c>
      <c r="Q773" s="7">
        <f>'1 prepared data'!P766</f>
        <v/>
      </c>
      <c r="R773" s="7">
        <f>'1 prepared data'!Q766</f>
        <v/>
      </c>
      <c r="S773" s="7">
        <f>'1 prepared data'!R766</f>
        <v/>
      </c>
      <c r="T773" s="7">
        <f>'1 prepared data'!S766</f>
        <v/>
      </c>
      <c r="U773" s="7">
        <f>'1 prepared data'!T766</f>
        <v/>
      </c>
      <c r="V773" s="8">
        <f>$AC$12+D773*$AC$13+E773*$AC$14+F773*$AC$15+G773*$AC$16+H773*$AC$17+I773*$AC$18+J773*$AC$19+K773*$AC$20+L773*$AC$21+M773*$AC$22+N773*$AC$23+O773*$AC$24+P773*$AC$25+Q773*$AC$26+R773*$AC$27+S773*$AC$28+T773*$AC$29+U773*$AC$30</f>
        <v/>
      </c>
      <c r="W773" s="8">
        <f>1/(1+EXP(-V773))</f>
        <v/>
      </c>
      <c r="X773" s="9">
        <f>-IF(C773=1,LN(W773),LN(1-W773))</f>
        <v/>
      </c>
      <c r="Y773" s="10">
        <f>IF(W773&gt;$AC$33,1,0)</f>
        <v/>
      </c>
      <c r="Z773">
        <f>IF(Y773=C773,1,0)</f>
        <v/>
      </c>
    </row>
    <row r="774">
      <c r="A774">
        <f>'1 prepared data'!A767</f>
        <v/>
      </c>
      <c r="B774" s="5">
        <f>'1 prepared data'!U767</f>
        <v/>
      </c>
      <c r="C774">
        <f>'1 prepared data'!B767</f>
        <v/>
      </c>
      <c r="D774" s="7">
        <f>'1 prepared data'!C767</f>
        <v/>
      </c>
      <c r="E774" s="7">
        <f>'1 prepared data'!D767</f>
        <v/>
      </c>
      <c r="F774" s="7">
        <f>'1 prepared data'!E767</f>
        <v/>
      </c>
      <c r="G774" s="7">
        <f>'1 prepared data'!F767</f>
        <v/>
      </c>
      <c r="H774" s="7">
        <f>'1 prepared data'!G767</f>
        <v/>
      </c>
      <c r="I774" s="7">
        <f>'1 prepared data'!H767</f>
        <v/>
      </c>
      <c r="J774" s="7">
        <f>'1 prepared data'!I767</f>
        <v/>
      </c>
      <c r="K774" s="7">
        <f>'1 prepared data'!J767</f>
        <v/>
      </c>
      <c r="L774" s="7">
        <f>'1 prepared data'!K767</f>
        <v/>
      </c>
      <c r="M774" s="7">
        <f>'1 prepared data'!L767</f>
        <v/>
      </c>
      <c r="N774" s="7">
        <f>'1 prepared data'!M767</f>
        <v/>
      </c>
      <c r="O774" s="7">
        <f>'1 prepared data'!N767</f>
        <v/>
      </c>
      <c r="P774" s="7">
        <f>'1 prepared data'!O767</f>
        <v/>
      </c>
      <c r="Q774" s="7">
        <f>'1 prepared data'!P767</f>
        <v/>
      </c>
      <c r="R774" s="7">
        <f>'1 prepared data'!Q767</f>
        <v/>
      </c>
      <c r="S774" s="7">
        <f>'1 prepared data'!R767</f>
        <v/>
      </c>
      <c r="T774" s="7">
        <f>'1 prepared data'!S767</f>
        <v/>
      </c>
      <c r="U774" s="7">
        <f>'1 prepared data'!T767</f>
        <v/>
      </c>
      <c r="V774" s="8">
        <f>$AC$12+D774*$AC$13+E774*$AC$14+F774*$AC$15+G774*$AC$16+H774*$AC$17+I774*$AC$18+J774*$AC$19+K774*$AC$20+L774*$AC$21+M774*$AC$22+N774*$AC$23+O774*$AC$24+P774*$AC$25+Q774*$AC$26+R774*$AC$27+S774*$AC$28+T774*$AC$29+U774*$AC$30</f>
        <v/>
      </c>
      <c r="W774" s="8">
        <f>1/(1+EXP(-V774))</f>
        <v/>
      </c>
      <c r="X774" s="9">
        <f>-IF(C774=1,LN(W774),LN(1-W774))</f>
        <v/>
      </c>
      <c r="Y774" s="10">
        <f>IF(W774&gt;$AC$33,1,0)</f>
        <v/>
      </c>
      <c r="Z774">
        <f>IF(Y774=C774,1,0)</f>
        <v/>
      </c>
    </row>
    <row r="775">
      <c r="A775">
        <f>'1 prepared data'!A768</f>
        <v/>
      </c>
      <c r="B775" s="5">
        <f>'1 prepared data'!U768</f>
        <v/>
      </c>
      <c r="C775">
        <f>'1 prepared data'!B768</f>
        <v/>
      </c>
      <c r="D775" s="7">
        <f>'1 prepared data'!C768</f>
        <v/>
      </c>
      <c r="E775" s="7">
        <f>'1 prepared data'!D768</f>
        <v/>
      </c>
      <c r="F775" s="7">
        <f>'1 prepared data'!E768</f>
        <v/>
      </c>
      <c r="G775" s="7">
        <f>'1 prepared data'!F768</f>
        <v/>
      </c>
      <c r="H775" s="7">
        <f>'1 prepared data'!G768</f>
        <v/>
      </c>
      <c r="I775" s="7">
        <f>'1 prepared data'!H768</f>
        <v/>
      </c>
      <c r="J775" s="7">
        <f>'1 prepared data'!I768</f>
        <v/>
      </c>
      <c r="K775" s="7">
        <f>'1 prepared data'!J768</f>
        <v/>
      </c>
      <c r="L775" s="7">
        <f>'1 prepared data'!K768</f>
        <v/>
      </c>
      <c r="M775" s="7">
        <f>'1 prepared data'!L768</f>
        <v/>
      </c>
      <c r="N775" s="7">
        <f>'1 prepared data'!M768</f>
        <v/>
      </c>
      <c r="O775" s="7">
        <f>'1 prepared data'!N768</f>
        <v/>
      </c>
      <c r="P775" s="7">
        <f>'1 prepared data'!O768</f>
        <v/>
      </c>
      <c r="Q775" s="7">
        <f>'1 prepared data'!P768</f>
        <v/>
      </c>
      <c r="R775" s="7">
        <f>'1 prepared data'!Q768</f>
        <v/>
      </c>
      <c r="S775" s="7">
        <f>'1 prepared data'!R768</f>
        <v/>
      </c>
      <c r="T775" s="7">
        <f>'1 prepared data'!S768</f>
        <v/>
      </c>
      <c r="U775" s="7">
        <f>'1 prepared data'!T768</f>
        <v/>
      </c>
      <c r="V775" s="8">
        <f>$AC$12+D775*$AC$13+E775*$AC$14+F775*$AC$15+G775*$AC$16+H775*$AC$17+I775*$AC$18+J775*$AC$19+K775*$AC$20+L775*$AC$21+M775*$AC$22+N775*$AC$23+O775*$AC$24+P775*$AC$25+Q775*$AC$26+R775*$AC$27+S775*$AC$28+T775*$AC$29+U775*$AC$30</f>
        <v/>
      </c>
      <c r="W775" s="8">
        <f>1/(1+EXP(-V775))</f>
        <v/>
      </c>
      <c r="X775" s="9">
        <f>-IF(C775=1,LN(W775),LN(1-W775))</f>
        <v/>
      </c>
      <c r="Y775" s="10">
        <f>IF(W775&gt;$AC$33,1,0)</f>
        <v/>
      </c>
      <c r="Z775">
        <f>IF(Y775=C775,1,0)</f>
        <v/>
      </c>
    </row>
    <row r="776">
      <c r="A776">
        <f>'1 prepared data'!A769</f>
        <v/>
      </c>
      <c r="B776" s="5">
        <f>'1 prepared data'!U769</f>
        <v/>
      </c>
      <c r="C776">
        <f>'1 prepared data'!B769</f>
        <v/>
      </c>
      <c r="D776" s="7">
        <f>'1 prepared data'!C769</f>
        <v/>
      </c>
      <c r="E776" s="7">
        <f>'1 prepared data'!D769</f>
        <v/>
      </c>
      <c r="F776" s="7">
        <f>'1 prepared data'!E769</f>
        <v/>
      </c>
      <c r="G776" s="7">
        <f>'1 prepared data'!F769</f>
        <v/>
      </c>
      <c r="H776" s="7">
        <f>'1 prepared data'!G769</f>
        <v/>
      </c>
      <c r="I776" s="7">
        <f>'1 prepared data'!H769</f>
        <v/>
      </c>
      <c r="J776" s="7">
        <f>'1 prepared data'!I769</f>
        <v/>
      </c>
      <c r="K776" s="7">
        <f>'1 prepared data'!J769</f>
        <v/>
      </c>
      <c r="L776" s="7">
        <f>'1 prepared data'!K769</f>
        <v/>
      </c>
      <c r="M776" s="7">
        <f>'1 prepared data'!L769</f>
        <v/>
      </c>
      <c r="N776" s="7">
        <f>'1 prepared data'!M769</f>
        <v/>
      </c>
      <c r="O776" s="7">
        <f>'1 prepared data'!N769</f>
        <v/>
      </c>
      <c r="P776" s="7">
        <f>'1 prepared data'!O769</f>
        <v/>
      </c>
      <c r="Q776" s="7">
        <f>'1 prepared data'!P769</f>
        <v/>
      </c>
      <c r="R776" s="7">
        <f>'1 prepared data'!Q769</f>
        <v/>
      </c>
      <c r="S776" s="7">
        <f>'1 prepared data'!R769</f>
        <v/>
      </c>
      <c r="T776" s="7">
        <f>'1 prepared data'!S769</f>
        <v/>
      </c>
      <c r="U776" s="7">
        <f>'1 prepared data'!T769</f>
        <v/>
      </c>
      <c r="V776" s="8">
        <f>$AC$12+D776*$AC$13+E776*$AC$14+F776*$AC$15+G776*$AC$16+H776*$AC$17+I776*$AC$18+J776*$AC$19+K776*$AC$20+L776*$AC$21+M776*$AC$22+N776*$AC$23+O776*$AC$24+P776*$AC$25+Q776*$AC$26+R776*$AC$27+S776*$AC$28+T776*$AC$29+U776*$AC$30</f>
        <v/>
      </c>
      <c r="W776" s="8">
        <f>1/(1+EXP(-V776))</f>
        <v/>
      </c>
      <c r="X776" s="9">
        <f>-IF(C776=1,LN(W776),LN(1-W776))</f>
        <v/>
      </c>
      <c r="Y776" s="10">
        <f>IF(W776&gt;$AC$33,1,0)</f>
        <v/>
      </c>
      <c r="Z776">
        <f>IF(Y776=C776,1,0)</f>
        <v/>
      </c>
    </row>
    <row r="777">
      <c r="A777">
        <f>'1 prepared data'!A770</f>
        <v/>
      </c>
      <c r="B777" s="5">
        <f>'1 prepared data'!U770</f>
        <v/>
      </c>
      <c r="C777">
        <f>'1 prepared data'!B770</f>
        <v/>
      </c>
      <c r="D777" s="7">
        <f>'1 prepared data'!C770</f>
        <v/>
      </c>
      <c r="E777" s="7">
        <f>'1 prepared data'!D770</f>
        <v/>
      </c>
      <c r="F777" s="7">
        <f>'1 prepared data'!E770</f>
        <v/>
      </c>
      <c r="G777" s="7">
        <f>'1 prepared data'!F770</f>
        <v/>
      </c>
      <c r="H777" s="7">
        <f>'1 prepared data'!G770</f>
        <v/>
      </c>
      <c r="I777" s="7">
        <f>'1 prepared data'!H770</f>
        <v/>
      </c>
      <c r="J777" s="7">
        <f>'1 prepared data'!I770</f>
        <v/>
      </c>
      <c r="K777" s="7">
        <f>'1 prepared data'!J770</f>
        <v/>
      </c>
      <c r="L777" s="7">
        <f>'1 prepared data'!K770</f>
        <v/>
      </c>
      <c r="M777" s="7">
        <f>'1 prepared data'!L770</f>
        <v/>
      </c>
      <c r="N777" s="7">
        <f>'1 prepared data'!M770</f>
        <v/>
      </c>
      <c r="O777" s="7">
        <f>'1 prepared data'!N770</f>
        <v/>
      </c>
      <c r="P777" s="7">
        <f>'1 prepared data'!O770</f>
        <v/>
      </c>
      <c r="Q777" s="7">
        <f>'1 prepared data'!P770</f>
        <v/>
      </c>
      <c r="R777" s="7">
        <f>'1 prepared data'!Q770</f>
        <v/>
      </c>
      <c r="S777" s="7">
        <f>'1 prepared data'!R770</f>
        <v/>
      </c>
      <c r="T777" s="7">
        <f>'1 prepared data'!S770</f>
        <v/>
      </c>
      <c r="U777" s="7">
        <f>'1 prepared data'!T770</f>
        <v/>
      </c>
      <c r="V777" s="8">
        <f>$AC$12+D777*$AC$13+E777*$AC$14+F777*$AC$15+G777*$AC$16+H777*$AC$17+I777*$AC$18+J777*$AC$19+K777*$AC$20+L777*$AC$21+M777*$AC$22+N777*$AC$23+O777*$AC$24+P777*$AC$25+Q777*$AC$26+R777*$AC$27+S777*$AC$28+T777*$AC$29+U777*$AC$30</f>
        <v/>
      </c>
      <c r="W777" s="8">
        <f>1/(1+EXP(-V777))</f>
        <v/>
      </c>
      <c r="X777" s="9">
        <f>-IF(C777=1,LN(W777),LN(1-W777))</f>
        <v/>
      </c>
      <c r="Y777" s="10">
        <f>IF(W777&gt;$AC$33,1,0)</f>
        <v/>
      </c>
      <c r="Z777">
        <f>IF(Y777=C777,1,0)</f>
        <v/>
      </c>
    </row>
    <row r="778">
      <c r="A778">
        <f>'1 prepared data'!A771</f>
        <v/>
      </c>
      <c r="B778" s="5">
        <f>'1 prepared data'!U771</f>
        <v/>
      </c>
      <c r="C778">
        <f>'1 prepared data'!B771</f>
        <v/>
      </c>
      <c r="D778" s="7">
        <f>'1 prepared data'!C771</f>
        <v/>
      </c>
      <c r="E778" s="7">
        <f>'1 prepared data'!D771</f>
        <v/>
      </c>
      <c r="F778" s="7">
        <f>'1 prepared data'!E771</f>
        <v/>
      </c>
      <c r="G778" s="7">
        <f>'1 prepared data'!F771</f>
        <v/>
      </c>
      <c r="H778" s="7">
        <f>'1 prepared data'!G771</f>
        <v/>
      </c>
      <c r="I778" s="7">
        <f>'1 prepared data'!H771</f>
        <v/>
      </c>
      <c r="J778" s="7">
        <f>'1 prepared data'!I771</f>
        <v/>
      </c>
      <c r="K778" s="7">
        <f>'1 prepared data'!J771</f>
        <v/>
      </c>
      <c r="L778" s="7">
        <f>'1 prepared data'!K771</f>
        <v/>
      </c>
      <c r="M778" s="7">
        <f>'1 prepared data'!L771</f>
        <v/>
      </c>
      <c r="N778" s="7">
        <f>'1 prepared data'!M771</f>
        <v/>
      </c>
      <c r="O778" s="7">
        <f>'1 prepared data'!N771</f>
        <v/>
      </c>
      <c r="P778" s="7">
        <f>'1 prepared data'!O771</f>
        <v/>
      </c>
      <c r="Q778" s="7">
        <f>'1 prepared data'!P771</f>
        <v/>
      </c>
      <c r="R778" s="7">
        <f>'1 prepared data'!Q771</f>
        <v/>
      </c>
      <c r="S778" s="7">
        <f>'1 prepared data'!R771</f>
        <v/>
      </c>
      <c r="T778" s="7">
        <f>'1 prepared data'!S771</f>
        <v/>
      </c>
      <c r="U778" s="7">
        <f>'1 prepared data'!T771</f>
        <v/>
      </c>
      <c r="V778" s="8">
        <f>$AC$12+D778*$AC$13+E778*$AC$14+F778*$AC$15+G778*$AC$16+H778*$AC$17+I778*$AC$18+J778*$AC$19+K778*$AC$20+L778*$AC$21+M778*$AC$22+N778*$AC$23+O778*$AC$24+P778*$AC$25+Q778*$AC$26+R778*$AC$27+S778*$AC$28+T778*$AC$29+U778*$AC$30</f>
        <v/>
      </c>
      <c r="W778" s="8">
        <f>1/(1+EXP(-V778))</f>
        <v/>
      </c>
      <c r="X778" s="9">
        <f>-IF(C778=1,LN(W778),LN(1-W778))</f>
        <v/>
      </c>
      <c r="Y778" s="10">
        <f>IF(W778&gt;$AC$33,1,0)</f>
        <v/>
      </c>
      <c r="Z778">
        <f>IF(Y778=C778,1,0)</f>
        <v/>
      </c>
    </row>
    <row r="779">
      <c r="A779">
        <f>'1 prepared data'!A772</f>
        <v/>
      </c>
      <c r="B779" s="5">
        <f>'1 prepared data'!U772</f>
        <v/>
      </c>
      <c r="C779">
        <f>'1 prepared data'!B772</f>
        <v/>
      </c>
      <c r="D779" s="7">
        <f>'1 prepared data'!C772</f>
        <v/>
      </c>
      <c r="E779" s="7">
        <f>'1 prepared data'!D772</f>
        <v/>
      </c>
      <c r="F779" s="7">
        <f>'1 prepared data'!E772</f>
        <v/>
      </c>
      <c r="G779" s="7">
        <f>'1 prepared data'!F772</f>
        <v/>
      </c>
      <c r="H779" s="7">
        <f>'1 prepared data'!G772</f>
        <v/>
      </c>
      <c r="I779" s="7">
        <f>'1 prepared data'!H772</f>
        <v/>
      </c>
      <c r="J779" s="7">
        <f>'1 prepared data'!I772</f>
        <v/>
      </c>
      <c r="K779" s="7">
        <f>'1 prepared data'!J772</f>
        <v/>
      </c>
      <c r="L779" s="7">
        <f>'1 prepared data'!K772</f>
        <v/>
      </c>
      <c r="M779" s="7">
        <f>'1 prepared data'!L772</f>
        <v/>
      </c>
      <c r="N779" s="7">
        <f>'1 prepared data'!M772</f>
        <v/>
      </c>
      <c r="O779" s="7">
        <f>'1 prepared data'!N772</f>
        <v/>
      </c>
      <c r="P779" s="7">
        <f>'1 prepared data'!O772</f>
        <v/>
      </c>
      <c r="Q779" s="7">
        <f>'1 prepared data'!P772</f>
        <v/>
      </c>
      <c r="R779" s="7">
        <f>'1 prepared data'!Q772</f>
        <v/>
      </c>
      <c r="S779" s="7">
        <f>'1 prepared data'!R772</f>
        <v/>
      </c>
      <c r="T779" s="7">
        <f>'1 prepared data'!S772</f>
        <v/>
      </c>
      <c r="U779" s="7">
        <f>'1 prepared data'!T772</f>
        <v/>
      </c>
      <c r="V779" s="8">
        <f>$AC$12+D779*$AC$13+E779*$AC$14+F779*$AC$15+G779*$AC$16+H779*$AC$17+I779*$AC$18+J779*$AC$19+K779*$AC$20+L779*$AC$21+M779*$AC$22+N779*$AC$23+O779*$AC$24+P779*$AC$25+Q779*$AC$26+R779*$AC$27+S779*$AC$28+T779*$AC$29+U779*$AC$30</f>
        <v/>
      </c>
      <c r="W779" s="8">
        <f>1/(1+EXP(-V779))</f>
        <v/>
      </c>
      <c r="X779" s="9">
        <f>-IF(C779=1,LN(W779),LN(1-W779))</f>
        <v/>
      </c>
      <c r="Y779" s="10">
        <f>IF(W779&gt;$AC$33,1,0)</f>
        <v/>
      </c>
      <c r="Z779">
        <f>IF(Y779=C779,1,0)</f>
        <v/>
      </c>
    </row>
    <row r="780">
      <c r="A780">
        <f>'1 prepared data'!A773</f>
        <v/>
      </c>
      <c r="B780" s="5">
        <f>'1 prepared data'!U773</f>
        <v/>
      </c>
      <c r="C780">
        <f>'1 prepared data'!B773</f>
        <v/>
      </c>
      <c r="D780" s="7">
        <f>'1 prepared data'!C773</f>
        <v/>
      </c>
      <c r="E780" s="7">
        <f>'1 prepared data'!D773</f>
        <v/>
      </c>
      <c r="F780" s="7">
        <f>'1 prepared data'!E773</f>
        <v/>
      </c>
      <c r="G780" s="7">
        <f>'1 prepared data'!F773</f>
        <v/>
      </c>
      <c r="H780" s="7">
        <f>'1 prepared data'!G773</f>
        <v/>
      </c>
      <c r="I780" s="7">
        <f>'1 prepared data'!H773</f>
        <v/>
      </c>
      <c r="J780" s="7">
        <f>'1 prepared data'!I773</f>
        <v/>
      </c>
      <c r="K780" s="7">
        <f>'1 prepared data'!J773</f>
        <v/>
      </c>
      <c r="L780" s="7">
        <f>'1 prepared data'!K773</f>
        <v/>
      </c>
      <c r="M780" s="7">
        <f>'1 prepared data'!L773</f>
        <v/>
      </c>
      <c r="N780" s="7">
        <f>'1 prepared data'!M773</f>
        <v/>
      </c>
      <c r="O780" s="7">
        <f>'1 prepared data'!N773</f>
        <v/>
      </c>
      <c r="P780" s="7">
        <f>'1 prepared data'!O773</f>
        <v/>
      </c>
      <c r="Q780" s="7">
        <f>'1 prepared data'!P773</f>
        <v/>
      </c>
      <c r="R780" s="7">
        <f>'1 prepared data'!Q773</f>
        <v/>
      </c>
      <c r="S780" s="7">
        <f>'1 prepared data'!R773</f>
        <v/>
      </c>
      <c r="T780" s="7">
        <f>'1 prepared data'!S773</f>
        <v/>
      </c>
      <c r="U780" s="7">
        <f>'1 prepared data'!T773</f>
        <v/>
      </c>
      <c r="V780" s="8">
        <f>$AC$12+D780*$AC$13+E780*$AC$14+F780*$AC$15+G780*$AC$16+H780*$AC$17+I780*$AC$18+J780*$AC$19+K780*$AC$20+L780*$AC$21+M780*$AC$22+N780*$AC$23+O780*$AC$24+P780*$AC$25+Q780*$AC$26+R780*$AC$27+S780*$AC$28+T780*$AC$29+U780*$AC$30</f>
        <v/>
      </c>
      <c r="W780" s="8">
        <f>1/(1+EXP(-V780))</f>
        <v/>
      </c>
      <c r="X780" s="9">
        <f>-IF(C780=1,LN(W780),LN(1-W780))</f>
        <v/>
      </c>
      <c r="Y780" s="10">
        <f>IF(W780&gt;$AC$33,1,0)</f>
        <v/>
      </c>
      <c r="Z780">
        <f>IF(Y780=C780,1,0)</f>
        <v/>
      </c>
    </row>
    <row r="781">
      <c r="A781">
        <f>'1 prepared data'!A774</f>
        <v/>
      </c>
      <c r="B781" s="5">
        <f>'1 prepared data'!U774</f>
        <v/>
      </c>
      <c r="C781">
        <f>'1 prepared data'!B774</f>
        <v/>
      </c>
      <c r="D781" s="7">
        <f>'1 prepared data'!C774</f>
        <v/>
      </c>
      <c r="E781" s="7">
        <f>'1 prepared data'!D774</f>
        <v/>
      </c>
      <c r="F781" s="7">
        <f>'1 prepared data'!E774</f>
        <v/>
      </c>
      <c r="G781" s="7">
        <f>'1 prepared data'!F774</f>
        <v/>
      </c>
      <c r="H781" s="7">
        <f>'1 prepared data'!G774</f>
        <v/>
      </c>
      <c r="I781" s="7">
        <f>'1 prepared data'!H774</f>
        <v/>
      </c>
      <c r="J781" s="7">
        <f>'1 prepared data'!I774</f>
        <v/>
      </c>
      <c r="K781" s="7">
        <f>'1 prepared data'!J774</f>
        <v/>
      </c>
      <c r="L781" s="7">
        <f>'1 prepared data'!K774</f>
        <v/>
      </c>
      <c r="M781" s="7">
        <f>'1 prepared data'!L774</f>
        <v/>
      </c>
      <c r="N781" s="7">
        <f>'1 prepared data'!M774</f>
        <v/>
      </c>
      <c r="O781" s="7">
        <f>'1 prepared data'!N774</f>
        <v/>
      </c>
      <c r="P781" s="7">
        <f>'1 prepared data'!O774</f>
        <v/>
      </c>
      <c r="Q781" s="7">
        <f>'1 prepared data'!P774</f>
        <v/>
      </c>
      <c r="R781" s="7">
        <f>'1 prepared data'!Q774</f>
        <v/>
      </c>
      <c r="S781" s="7">
        <f>'1 prepared data'!R774</f>
        <v/>
      </c>
      <c r="T781" s="7">
        <f>'1 prepared data'!S774</f>
        <v/>
      </c>
      <c r="U781" s="7">
        <f>'1 prepared data'!T774</f>
        <v/>
      </c>
      <c r="V781" s="8">
        <f>$AC$12+D781*$AC$13+E781*$AC$14+F781*$AC$15+G781*$AC$16+H781*$AC$17+I781*$AC$18+J781*$AC$19+K781*$AC$20+L781*$AC$21+M781*$AC$22+N781*$AC$23+O781*$AC$24+P781*$AC$25+Q781*$AC$26+R781*$AC$27+S781*$AC$28+T781*$AC$29+U781*$AC$30</f>
        <v/>
      </c>
      <c r="W781" s="8">
        <f>1/(1+EXP(-V781))</f>
        <v/>
      </c>
      <c r="X781" s="9">
        <f>-IF(C781=1,LN(W781),LN(1-W781))</f>
        <v/>
      </c>
      <c r="Y781" s="10">
        <f>IF(W781&gt;$AC$33,1,0)</f>
        <v/>
      </c>
      <c r="Z781">
        <f>IF(Y781=C781,1,0)</f>
        <v/>
      </c>
    </row>
    <row r="782">
      <c r="A782">
        <f>'1 prepared data'!A775</f>
        <v/>
      </c>
      <c r="B782" s="5">
        <f>'1 prepared data'!U775</f>
        <v/>
      </c>
      <c r="C782">
        <f>'1 prepared data'!B775</f>
        <v/>
      </c>
      <c r="D782" s="7">
        <f>'1 prepared data'!C775</f>
        <v/>
      </c>
      <c r="E782" s="7">
        <f>'1 prepared data'!D775</f>
        <v/>
      </c>
      <c r="F782" s="7">
        <f>'1 prepared data'!E775</f>
        <v/>
      </c>
      <c r="G782" s="7">
        <f>'1 prepared data'!F775</f>
        <v/>
      </c>
      <c r="H782" s="7">
        <f>'1 prepared data'!G775</f>
        <v/>
      </c>
      <c r="I782" s="7">
        <f>'1 prepared data'!H775</f>
        <v/>
      </c>
      <c r="J782" s="7">
        <f>'1 prepared data'!I775</f>
        <v/>
      </c>
      <c r="K782" s="7">
        <f>'1 prepared data'!J775</f>
        <v/>
      </c>
      <c r="L782" s="7">
        <f>'1 prepared data'!K775</f>
        <v/>
      </c>
      <c r="M782" s="7">
        <f>'1 prepared data'!L775</f>
        <v/>
      </c>
      <c r="N782" s="7">
        <f>'1 prepared data'!M775</f>
        <v/>
      </c>
      <c r="O782" s="7">
        <f>'1 prepared data'!N775</f>
        <v/>
      </c>
      <c r="P782" s="7">
        <f>'1 prepared data'!O775</f>
        <v/>
      </c>
      <c r="Q782" s="7">
        <f>'1 prepared data'!P775</f>
        <v/>
      </c>
      <c r="R782" s="7">
        <f>'1 prepared data'!Q775</f>
        <v/>
      </c>
      <c r="S782" s="7">
        <f>'1 prepared data'!R775</f>
        <v/>
      </c>
      <c r="T782" s="7">
        <f>'1 prepared data'!S775</f>
        <v/>
      </c>
      <c r="U782" s="7">
        <f>'1 prepared data'!T775</f>
        <v/>
      </c>
      <c r="V782" s="8">
        <f>$AC$12+D782*$AC$13+E782*$AC$14+F782*$AC$15+G782*$AC$16+H782*$AC$17+I782*$AC$18+J782*$AC$19+K782*$AC$20+L782*$AC$21+M782*$AC$22+N782*$AC$23+O782*$AC$24+P782*$AC$25+Q782*$AC$26+R782*$AC$27+S782*$AC$28+T782*$AC$29+U782*$AC$30</f>
        <v/>
      </c>
      <c r="W782" s="8">
        <f>1/(1+EXP(-V782))</f>
        <v/>
      </c>
      <c r="X782" s="9">
        <f>-IF(C782=1,LN(W782),LN(1-W782))</f>
        <v/>
      </c>
      <c r="Y782" s="10">
        <f>IF(W782&gt;$AC$33,1,0)</f>
        <v/>
      </c>
      <c r="Z782">
        <f>IF(Y782=C782,1,0)</f>
        <v/>
      </c>
    </row>
    <row r="783">
      <c r="A783">
        <f>'1 prepared data'!A776</f>
        <v/>
      </c>
      <c r="B783" s="5">
        <f>'1 prepared data'!U776</f>
        <v/>
      </c>
      <c r="C783">
        <f>'1 prepared data'!B776</f>
        <v/>
      </c>
      <c r="D783" s="7">
        <f>'1 prepared data'!C776</f>
        <v/>
      </c>
      <c r="E783" s="7">
        <f>'1 prepared data'!D776</f>
        <v/>
      </c>
      <c r="F783" s="7">
        <f>'1 prepared data'!E776</f>
        <v/>
      </c>
      <c r="G783" s="7">
        <f>'1 prepared data'!F776</f>
        <v/>
      </c>
      <c r="H783" s="7">
        <f>'1 prepared data'!G776</f>
        <v/>
      </c>
      <c r="I783" s="7">
        <f>'1 prepared data'!H776</f>
        <v/>
      </c>
      <c r="J783" s="7">
        <f>'1 prepared data'!I776</f>
        <v/>
      </c>
      <c r="K783" s="7">
        <f>'1 prepared data'!J776</f>
        <v/>
      </c>
      <c r="L783" s="7">
        <f>'1 prepared data'!K776</f>
        <v/>
      </c>
      <c r="M783" s="7">
        <f>'1 prepared data'!L776</f>
        <v/>
      </c>
      <c r="N783" s="7">
        <f>'1 prepared data'!M776</f>
        <v/>
      </c>
      <c r="O783" s="7">
        <f>'1 prepared data'!N776</f>
        <v/>
      </c>
      <c r="P783" s="7">
        <f>'1 prepared data'!O776</f>
        <v/>
      </c>
      <c r="Q783" s="7">
        <f>'1 prepared data'!P776</f>
        <v/>
      </c>
      <c r="R783" s="7">
        <f>'1 prepared data'!Q776</f>
        <v/>
      </c>
      <c r="S783" s="7">
        <f>'1 prepared data'!R776</f>
        <v/>
      </c>
      <c r="T783" s="7">
        <f>'1 prepared data'!S776</f>
        <v/>
      </c>
      <c r="U783" s="7">
        <f>'1 prepared data'!T776</f>
        <v/>
      </c>
      <c r="V783" s="8">
        <f>$AC$12+D783*$AC$13+E783*$AC$14+F783*$AC$15+G783*$AC$16+H783*$AC$17+I783*$AC$18+J783*$AC$19+K783*$AC$20+L783*$AC$21+M783*$AC$22+N783*$AC$23+O783*$AC$24+P783*$AC$25+Q783*$AC$26+R783*$AC$27+S783*$AC$28+T783*$AC$29+U783*$AC$30</f>
        <v/>
      </c>
      <c r="W783" s="8">
        <f>1/(1+EXP(-V783))</f>
        <v/>
      </c>
      <c r="X783" s="9">
        <f>-IF(C783=1,LN(W783),LN(1-W783))</f>
        <v/>
      </c>
      <c r="Y783" s="10">
        <f>IF(W783&gt;$AC$33,1,0)</f>
        <v/>
      </c>
      <c r="Z783">
        <f>IF(Y783=C783,1,0)</f>
        <v/>
      </c>
    </row>
    <row r="784">
      <c r="A784">
        <f>'1 prepared data'!A777</f>
        <v/>
      </c>
      <c r="B784" s="5">
        <f>'1 prepared data'!U777</f>
        <v/>
      </c>
      <c r="C784">
        <f>'1 prepared data'!B777</f>
        <v/>
      </c>
      <c r="D784" s="7">
        <f>'1 prepared data'!C777</f>
        <v/>
      </c>
      <c r="E784" s="7">
        <f>'1 prepared data'!D777</f>
        <v/>
      </c>
      <c r="F784" s="7">
        <f>'1 prepared data'!E777</f>
        <v/>
      </c>
      <c r="G784" s="7">
        <f>'1 prepared data'!F777</f>
        <v/>
      </c>
      <c r="H784" s="7">
        <f>'1 prepared data'!G777</f>
        <v/>
      </c>
      <c r="I784" s="7">
        <f>'1 prepared data'!H777</f>
        <v/>
      </c>
      <c r="J784" s="7">
        <f>'1 prepared data'!I777</f>
        <v/>
      </c>
      <c r="K784" s="7">
        <f>'1 prepared data'!J777</f>
        <v/>
      </c>
      <c r="L784" s="7">
        <f>'1 prepared data'!K777</f>
        <v/>
      </c>
      <c r="M784" s="7">
        <f>'1 prepared data'!L777</f>
        <v/>
      </c>
      <c r="N784" s="7">
        <f>'1 prepared data'!M777</f>
        <v/>
      </c>
      <c r="O784" s="7">
        <f>'1 prepared data'!N777</f>
        <v/>
      </c>
      <c r="P784" s="7">
        <f>'1 prepared data'!O777</f>
        <v/>
      </c>
      <c r="Q784" s="7">
        <f>'1 prepared data'!P777</f>
        <v/>
      </c>
      <c r="R784" s="7">
        <f>'1 prepared data'!Q777</f>
        <v/>
      </c>
      <c r="S784" s="7">
        <f>'1 prepared data'!R777</f>
        <v/>
      </c>
      <c r="T784" s="7">
        <f>'1 prepared data'!S777</f>
        <v/>
      </c>
      <c r="U784" s="7">
        <f>'1 prepared data'!T777</f>
        <v/>
      </c>
      <c r="V784" s="8">
        <f>$AC$12+D784*$AC$13+E784*$AC$14+F784*$AC$15+G784*$AC$16+H784*$AC$17+I784*$AC$18+J784*$AC$19+K784*$AC$20+L784*$AC$21+M784*$AC$22+N784*$AC$23+O784*$AC$24+P784*$AC$25+Q784*$AC$26+R784*$AC$27+S784*$AC$28+T784*$AC$29+U784*$AC$30</f>
        <v/>
      </c>
      <c r="W784" s="8">
        <f>1/(1+EXP(-V784))</f>
        <v/>
      </c>
      <c r="X784" s="9">
        <f>-IF(C784=1,LN(W784),LN(1-W784))</f>
        <v/>
      </c>
      <c r="Y784" s="10">
        <f>IF(W784&gt;$AC$33,1,0)</f>
        <v/>
      </c>
      <c r="Z784">
        <f>IF(Y784=C784,1,0)</f>
        <v/>
      </c>
    </row>
    <row r="785">
      <c r="A785">
        <f>'1 prepared data'!A778</f>
        <v/>
      </c>
      <c r="B785" s="5">
        <f>'1 prepared data'!U778</f>
        <v/>
      </c>
      <c r="C785">
        <f>'1 prepared data'!B778</f>
        <v/>
      </c>
      <c r="D785" s="7">
        <f>'1 prepared data'!C778</f>
        <v/>
      </c>
      <c r="E785" s="7">
        <f>'1 prepared data'!D778</f>
        <v/>
      </c>
      <c r="F785" s="7">
        <f>'1 prepared data'!E778</f>
        <v/>
      </c>
      <c r="G785" s="7">
        <f>'1 prepared data'!F778</f>
        <v/>
      </c>
      <c r="H785" s="7">
        <f>'1 prepared data'!G778</f>
        <v/>
      </c>
      <c r="I785" s="7">
        <f>'1 prepared data'!H778</f>
        <v/>
      </c>
      <c r="J785" s="7">
        <f>'1 prepared data'!I778</f>
        <v/>
      </c>
      <c r="K785" s="7">
        <f>'1 prepared data'!J778</f>
        <v/>
      </c>
      <c r="L785" s="7">
        <f>'1 prepared data'!K778</f>
        <v/>
      </c>
      <c r="M785" s="7">
        <f>'1 prepared data'!L778</f>
        <v/>
      </c>
      <c r="N785" s="7">
        <f>'1 prepared data'!M778</f>
        <v/>
      </c>
      <c r="O785" s="7">
        <f>'1 prepared data'!N778</f>
        <v/>
      </c>
      <c r="P785" s="7">
        <f>'1 prepared data'!O778</f>
        <v/>
      </c>
      <c r="Q785" s="7">
        <f>'1 prepared data'!P778</f>
        <v/>
      </c>
      <c r="R785" s="7">
        <f>'1 prepared data'!Q778</f>
        <v/>
      </c>
      <c r="S785" s="7">
        <f>'1 prepared data'!R778</f>
        <v/>
      </c>
      <c r="T785" s="7">
        <f>'1 prepared data'!S778</f>
        <v/>
      </c>
      <c r="U785" s="7">
        <f>'1 prepared data'!T778</f>
        <v/>
      </c>
      <c r="V785" s="8">
        <f>$AC$12+D785*$AC$13+E785*$AC$14+F785*$AC$15+G785*$AC$16+H785*$AC$17+I785*$AC$18+J785*$AC$19+K785*$AC$20+L785*$AC$21+M785*$AC$22+N785*$AC$23+O785*$AC$24+P785*$AC$25+Q785*$AC$26+R785*$AC$27+S785*$AC$28+T785*$AC$29+U785*$AC$30</f>
        <v/>
      </c>
      <c r="W785" s="8">
        <f>1/(1+EXP(-V785))</f>
        <v/>
      </c>
      <c r="X785" s="9">
        <f>-IF(C785=1,LN(W785),LN(1-W785))</f>
        <v/>
      </c>
      <c r="Y785" s="10">
        <f>IF(W785&gt;$AC$33,1,0)</f>
        <v/>
      </c>
      <c r="Z785">
        <f>IF(Y785=C785,1,0)</f>
        <v/>
      </c>
    </row>
    <row r="786">
      <c r="A786">
        <f>'1 prepared data'!A779</f>
        <v/>
      </c>
      <c r="B786" s="5">
        <f>'1 prepared data'!U779</f>
        <v/>
      </c>
      <c r="C786">
        <f>'1 prepared data'!B779</f>
        <v/>
      </c>
      <c r="D786" s="7">
        <f>'1 prepared data'!C779</f>
        <v/>
      </c>
      <c r="E786" s="7">
        <f>'1 prepared data'!D779</f>
        <v/>
      </c>
      <c r="F786" s="7">
        <f>'1 prepared data'!E779</f>
        <v/>
      </c>
      <c r="G786" s="7">
        <f>'1 prepared data'!F779</f>
        <v/>
      </c>
      <c r="H786" s="7">
        <f>'1 prepared data'!G779</f>
        <v/>
      </c>
      <c r="I786" s="7">
        <f>'1 prepared data'!H779</f>
        <v/>
      </c>
      <c r="J786" s="7">
        <f>'1 prepared data'!I779</f>
        <v/>
      </c>
      <c r="K786" s="7">
        <f>'1 prepared data'!J779</f>
        <v/>
      </c>
      <c r="L786" s="7">
        <f>'1 prepared data'!K779</f>
        <v/>
      </c>
      <c r="M786" s="7">
        <f>'1 prepared data'!L779</f>
        <v/>
      </c>
      <c r="N786" s="7">
        <f>'1 prepared data'!M779</f>
        <v/>
      </c>
      <c r="O786" s="7">
        <f>'1 prepared data'!N779</f>
        <v/>
      </c>
      <c r="P786" s="7">
        <f>'1 prepared data'!O779</f>
        <v/>
      </c>
      <c r="Q786" s="7">
        <f>'1 prepared data'!P779</f>
        <v/>
      </c>
      <c r="R786" s="7">
        <f>'1 prepared data'!Q779</f>
        <v/>
      </c>
      <c r="S786" s="7">
        <f>'1 prepared data'!R779</f>
        <v/>
      </c>
      <c r="T786" s="7">
        <f>'1 prepared data'!S779</f>
        <v/>
      </c>
      <c r="U786" s="7">
        <f>'1 prepared data'!T779</f>
        <v/>
      </c>
      <c r="V786" s="8">
        <f>$AC$12+D786*$AC$13+E786*$AC$14+F786*$AC$15+G786*$AC$16+H786*$AC$17+I786*$AC$18+J786*$AC$19+K786*$AC$20+L786*$AC$21+M786*$AC$22+N786*$AC$23+O786*$AC$24+P786*$AC$25+Q786*$AC$26+R786*$AC$27+S786*$AC$28+T786*$AC$29+U786*$AC$30</f>
        <v/>
      </c>
      <c r="W786" s="8">
        <f>1/(1+EXP(-V786))</f>
        <v/>
      </c>
      <c r="X786" s="9">
        <f>-IF(C786=1,LN(W786),LN(1-W786))</f>
        <v/>
      </c>
      <c r="Y786" s="10">
        <f>IF(W786&gt;$AC$33,1,0)</f>
        <v/>
      </c>
      <c r="Z786">
        <f>IF(Y786=C786,1,0)</f>
        <v/>
      </c>
    </row>
    <row r="787">
      <c r="A787">
        <f>'1 prepared data'!A780</f>
        <v/>
      </c>
      <c r="B787" s="5">
        <f>'1 prepared data'!U780</f>
        <v/>
      </c>
      <c r="C787">
        <f>'1 prepared data'!B780</f>
        <v/>
      </c>
      <c r="D787" s="7">
        <f>'1 prepared data'!C780</f>
        <v/>
      </c>
      <c r="E787" s="7">
        <f>'1 prepared data'!D780</f>
        <v/>
      </c>
      <c r="F787" s="7">
        <f>'1 prepared data'!E780</f>
        <v/>
      </c>
      <c r="G787" s="7">
        <f>'1 prepared data'!F780</f>
        <v/>
      </c>
      <c r="H787" s="7">
        <f>'1 prepared data'!G780</f>
        <v/>
      </c>
      <c r="I787" s="7">
        <f>'1 prepared data'!H780</f>
        <v/>
      </c>
      <c r="J787" s="7">
        <f>'1 prepared data'!I780</f>
        <v/>
      </c>
      <c r="K787" s="7">
        <f>'1 prepared data'!J780</f>
        <v/>
      </c>
      <c r="L787" s="7">
        <f>'1 prepared data'!K780</f>
        <v/>
      </c>
      <c r="M787" s="7">
        <f>'1 prepared data'!L780</f>
        <v/>
      </c>
      <c r="N787" s="7">
        <f>'1 prepared data'!M780</f>
        <v/>
      </c>
      <c r="O787" s="7">
        <f>'1 prepared data'!N780</f>
        <v/>
      </c>
      <c r="P787" s="7">
        <f>'1 prepared data'!O780</f>
        <v/>
      </c>
      <c r="Q787" s="7">
        <f>'1 prepared data'!P780</f>
        <v/>
      </c>
      <c r="R787" s="7">
        <f>'1 prepared data'!Q780</f>
        <v/>
      </c>
      <c r="S787" s="7">
        <f>'1 prepared data'!R780</f>
        <v/>
      </c>
      <c r="T787" s="7">
        <f>'1 prepared data'!S780</f>
        <v/>
      </c>
      <c r="U787" s="7">
        <f>'1 prepared data'!T780</f>
        <v/>
      </c>
      <c r="V787" s="8">
        <f>$AC$12+D787*$AC$13+E787*$AC$14+F787*$AC$15+G787*$AC$16+H787*$AC$17+I787*$AC$18+J787*$AC$19+K787*$AC$20+L787*$AC$21+M787*$AC$22+N787*$AC$23+O787*$AC$24+P787*$AC$25+Q787*$AC$26+R787*$AC$27+S787*$AC$28+T787*$AC$29+U787*$AC$30</f>
        <v/>
      </c>
      <c r="W787" s="8">
        <f>1/(1+EXP(-V787))</f>
        <v/>
      </c>
      <c r="X787" s="9">
        <f>-IF(C787=1,LN(W787),LN(1-W787))</f>
        <v/>
      </c>
      <c r="Y787" s="10">
        <f>IF(W787&gt;$AC$33,1,0)</f>
        <v/>
      </c>
      <c r="Z787">
        <f>IF(Y787=C787,1,0)</f>
        <v/>
      </c>
    </row>
    <row r="788">
      <c r="A788">
        <f>'1 prepared data'!A781</f>
        <v/>
      </c>
      <c r="B788" s="5">
        <f>'1 prepared data'!U781</f>
        <v/>
      </c>
      <c r="C788">
        <f>'1 prepared data'!B781</f>
        <v/>
      </c>
      <c r="D788" s="7">
        <f>'1 prepared data'!C781</f>
        <v/>
      </c>
      <c r="E788" s="7">
        <f>'1 prepared data'!D781</f>
        <v/>
      </c>
      <c r="F788" s="7">
        <f>'1 prepared data'!E781</f>
        <v/>
      </c>
      <c r="G788" s="7">
        <f>'1 prepared data'!F781</f>
        <v/>
      </c>
      <c r="H788" s="7">
        <f>'1 prepared data'!G781</f>
        <v/>
      </c>
      <c r="I788" s="7">
        <f>'1 prepared data'!H781</f>
        <v/>
      </c>
      <c r="J788" s="7">
        <f>'1 prepared data'!I781</f>
        <v/>
      </c>
      <c r="K788" s="7">
        <f>'1 prepared data'!J781</f>
        <v/>
      </c>
      <c r="L788" s="7">
        <f>'1 prepared data'!K781</f>
        <v/>
      </c>
      <c r="M788" s="7">
        <f>'1 prepared data'!L781</f>
        <v/>
      </c>
      <c r="N788" s="7">
        <f>'1 prepared data'!M781</f>
        <v/>
      </c>
      <c r="O788" s="7">
        <f>'1 prepared data'!N781</f>
        <v/>
      </c>
      <c r="P788" s="7">
        <f>'1 prepared data'!O781</f>
        <v/>
      </c>
      <c r="Q788" s="7">
        <f>'1 prepared data'!P781</f>
        <v/>
      </c>
      <c r="R788" s="7">
        <f>'1 prepared data'!Q781</f>
        <v/>
      </c>
      <c r="S788" s="7">
        <f>'1 prepared data'!R781</f>
        <v/>
      </c>
      <c r="T788" s="7">
        <f>'1 prepared data'!S781</f>
        <v/>
      </c>
      <c r="U788" s="7">
        <f>'1 prepared data'!T781</f>
        <v/>
      </c>
      <c r="V788" s="8">
        <f>$AC$12+D788*$AC$13+E788*$AC$14+F788*$AC$15+G788*$AC$16+H788*$AC$17+I788*$AC$18+J788*$AC$19+K788*$AC$20+L788*$AC$21+M788*$AC$22+N788*$AC$23+O788*$AC$24+P788*$AC$25+Q788*$AC$26+R788*$AC$27+S788*$AC$28+T788*$AC$29+U788*$AC$30</f>
        <v/>
      </c>
      <c r="W788" s="8">
        <f>1/(1+EXP(-V788))</f>
        <v/>
      </c>
      <c r="X788" s="9">
        <f>-IF(C788=1,LN(W788),LN(1-W788))</f>
        <v/>
      </c>
      <c r="Y788" s="10">
        <f>IF(W788&gt;$AC$33,1,0)</f>
        <v/>
      </c>
      <c r="Z788">
        <f>IF(Y788=C788,1,0)</f>
        <v/>
      </c>
    </row>
    <row r="789">
      <c r="A789">
        <f>'1 prepared data'!A782</f>
        <v/>
      </c>
      <c r="B789" s="5">
        <f>'1 prepared data'!U782</f>
        <v/>
      </c>
      <c r="C789">
        <f>'1 prepared data'!B782</f>
        <v/>
      </c>
      <c r="D789" s="7">
        <f>'1 prepared data'!C782</f>
        <v/>
      </c>
      <c r="E789" s="7">
        <f>'1 prepared data'!D782</f>
        <v/>
      </c>
      <c r="F789" s="7">
        <f>'1 prepared data'!E782</f>
        <v/>
      </c>
      <c r="G789" s="7">
        <f>'1 prepared data'!F782</f>
        <v/>
      </c>
      <c r="H789" s="7">
        <f>'1 prepared data'!G782</f>
        <v/>
      </c>
      <c r="I789" s="7">
        <f>'1 prepared data'!H782</f>
        <v/>
      </c>
      <c r="J789" s="7">
        <f>'1 prepared data'!I782</f>
        <v/>
      </c>
      <c r="K789" s="7">
        <f>'1 prepared data'!J782</f>
        <v/>
      </c>
      <c r="L789" s="7">
        <f>'1 prepared data'!K782</f>
        <v/>
      </c>
      <c r="M789" s="7">
        <f>'1 prepared data'!L782</f>
        <v/>
      </c>
      <c r="N789" s="7">
        <f>'1 prepared data'!M782</f>
        <v/>
      </c>
      <c r="O789" s="7">
        <f>'1 prepared data'!N782</f>
        <v/>
      </c>
      <c r="P789" s="7">
        <f>'1 prepared data'!O782</f>
        <v/>
      </c>
      <c r="Q789" s="7">
        <f>'1 prepared data'!P782</f>
        <v/>
      </c>
      <c r="R789" s="7">
        <f>'1 prepared data'!Q782</f>
        <v/>
      </c>
      <c r="S789" s="7">
        <f>'1 prepared data'!R782</f>
        <v/>
      </c>
      <c r="T789" s="7">
        <f>'1 prepared data'!S782</f>
        <v/>
      </c>
      <c r="U789" s="7">
        <f>'1 prepared data'!T782</f>
        <v/>
      </c>
      <c r="V789" s="8">
        <f>$AC$12+D789*$AC$13+E789*$AC$14+F789*$AC$15+G789*$AC$16+H789*$AC$17+I789*$AC$18+J789*$AC$19+K789*$AC$20+L789*$AC$21+M789*$AC$22+N789*$AC$23+O789*$AC$24+P789*$AC$25+Q789*$AC$26+R789*$AC$27+S789*$AC$28+T789*$AC$29+U789*$AC$30</f>
        <v/>
      </c>
      <c r="W789" s="8">
        <f>1/(1+EXP(-V789))</f>
        <v/>
      </c>
      <c r="X789" s="9">
        <f>-IF(C789=1,LN(W789),LN(1-W789))</f>
        <v/>
      </c>
      <c r="Y789" s="10">
        <f>IF(W789&gt;$AC$33,1,0)</f>
        <v/>
      </c>
      <c r="Z789">
        <f>IF(Y789=C789,1,0)</f>
        <v/>
      </c>
    </row>
    <row r="790">
      <c r="A790">
        <f>'1 prepared data'!A783</f>
        <v/>
      </c>
      <c r="B790" s="5">
        <f>'1 prepared data'!U783</f>
        <v/>
      </c>
      <c r="C790">
        <f>'1 prepared data'!B783</f>
        <v/>
      </c>
      <c r="D790" s="7">
        <f>'1 prepared data'!C783</f>
        <v/>
      </c>
      <c r="E790" s="7">
        <f>'1 prepared data'!D783</f>
        <v/>
      </c>
      <c r="F790" s="7">
        <f>'1 prepared data'!E783</f>
        <v/>
      </c>
      <c r="G790" s="7">
        <f>'1 prepared data'!F783</f>
        <v/>
      </c>
      <c r="H790" s="7">
        <f>'1 prepared data'!G783</f>
        <v/>
      </c>
      <c r="I790" s="7">
        <f>'1 prepared data'!H783</f>
        <v/>
      </c>
      <c r="J790" s="7">
        <f>'1 prepared data'!I783</f>
        <v/>
      </c>
      <c r="K790" s="7">
        <f>'1 prepared data'!J783</f>
        <v/>
      </c>
      <c r="L790" s="7">
        <f>'1 prepared data'!K783</f>
        <v/>
      </c>
      <c r="M790" s="7">
        <f>'1 prepared data'!L783</f>
        <v/>
      </c>
      <c r="N790" s="7">
        <f>'1 prepared data'!M783</f>
        <v/>
      </c>
      <c r="O790" s="7">
        <f>'1 prepared data'!N783</f>
        <v/>
      </c>
      <c r="P790" s="7">
        <f>'1 prepared data'!O783</f>
        <v/>
      </c>
      <c r="Q790" s="7">
        <f>'1 prepared data'!P783</f>
        <v/>
      </c>
      <c r="R790" s="7">
        <f>'1 prepared data'!Q783</f>
        <v/>
      </c>
      <c r="S790" s="7">
        <f>'1 prepared data'!R783</f>
        <v/>
      </c>
      <c r="T790" s="7">
        <f>'1 prepared data'!S783</f>
        <v/>
      </c>
      <c r="U790" s="7">
        <f>'1 prepared data'!T783</f>
        <v/>
      </c>
      <c r="V790" s="8">
        <f>$AC$12+D790*$AC$13+E790*$AC$14+F790*$AC$15+G790*$AC$16+H790*$AC$17+I790*$AC$18+J790*$AC$19+K790*$AC$20+L790*$AC$21+M790*$AC$22+N790*$AC$23+O790*$AC$24+P790*$AC$25+Q790*$AC$26+R790*$AC$27+S790*$AC$28+T790*$AC$29+U790*$AC$30</f>
        <v/>
      </c>
      <c r="W790" s="8">
        <f>1/(1+EXP(-V790))</f>
        <v/>
      </c>
      <c r="X790" s="9">
        <f>-IF(C790=1,LN(W790),LN(1-W790))</f>
        <v/>
      </c>
      <c r="Y790" s="10">
        <f>IF(W790&gt;$AC$33,1,0)</f>
        <v/>
      </c>
      <c r="Z790">
        <f>IF(Y790=C790,1,0)</f>
        <v/>
      </c>
    </row>
    <row r="791">
      <c r="A791">
        <f>'1 prepared data'!A784</f>
        <v/>
      </c>
      <c r="B791" s="5">
        <f>'1 prepared data'!U784</f>
        <v/>
      </c>
      <c r="C791">
        <f>'1 prepared data'!B784</f>
        <v/>
      </c>
      <c r="D791" s="7">
        <f>'1 prepared data'!C784</f>
        <v/>
      </c>
      <c r="E791" s="7">
        <f>'1 prepared data'!D784</f>
        <v/>
      </c>
      <c r="F791" s="7">
        <f>'1 prepared data'!E784</f>
        <v/>
      </c>
      <c r="G791" s="7">
        <f>'1 prepared data'!F784</f>
        <v/>
      </c>
      <c r="H791" s="7">
        <f>'1 prepared data'!G784</f>
        <v/>
      </c>
      <c r="I791" s="7">
        <f>'1 prepared data'!H784</f>
        <v/>
      </c>
      <c r="J791" s="7">
        <f>'1 prepared data'!I784</f>
        <v/>
      </c>
      <c r="K791" s="7">
        <f>'1 prepared data'!J784</f>
        <v/>
      </c>
      <c r="L791" s="7">
        <f>'1 prepared data'!K784</f>
        <v/>
      </c>
      <c r="M791" s="7">
        <f>'1 prepared data'!L784</f>
        <v/>
      </c>
      <c r="N791" s="7">
        <f>'1 prepared data'!M784</f>
        <v/>
      </c>
      <c r="O791" s="7">
        <f>'1 prepared data'!N784</f>
        <v/>
      </c>
      <c r="P791" s="7">
        <f>'1 prepared data'!O784</f>
        <v/>
      </c>
      <c r="Q791" s="7">
        <f>'1 prepared data'!P784</f>
        <v/>
      </c>
      <c r="R791" s="7">
        <f>'1 prepared data'!Q784</f>
        <v/>
      </c>
      <c r="S791" s="7">
        <f>'1 prepared data'!R784</f>
        <v/>
      </c>
      <c r="T791" s="7">
        <f>'1 prepared data'!S784</f>
        <v/>
      </c>
      <c r="U791" s="7">
        <f>'1 prepared data'!T784</f>
        <v/>
      </c>
      <c r="V791" s="8">
        <f>$AC$12+D791*$AC$13+E791*$AC$14+F791*$AC$15+G791*$AC$16+H791*$AC$17+I791*$AC$18+J791*$AC$19+K791*$AC$20+L791*$AC$21+M791*$AC$22+N791*$AC$23+O791*$AC$24+P791*$AC$25+Q791*$AC$26+R791*$AC$27+S791*$AC$28+T791*$AC$29+U791*$AC$30</f>
        <v/>
      </c>
      <c r="W791" s="8">
        <f>1/(1+EXP(-V791))</f>
        <v/>
      </c>
      <c r="X791" s="9">
        <f>-IF(C791=1,LN(W791),LN(1-W791))</f>
        <v/>
      </c>
      <c r="Y791" s="10">
        <f>IF(W791&gt;$AC$33,1,0)</f>
        <v/>
      </c>
      <c r="Z791">
        <f>IF(Y791=C791,1,0)</f>
        <v/>
      </c>
    </row>
    <row r="792">
      <c r="A792">
        <f>'1 prepared data'!A785</f>
        <v/>
      </c>
      <c r="B792" s="5">
        <f>'1 prepared data'!U785</f>
        <v/>
      </c>
      <c r="C792">
        <f>'1 prepared data'!B785</f>
        <v/>
      </c>
      <c r="D792" s="7">
        <f>'1 prepared data'!C785</f>
        <v/>
      </c>
      <c r="E792" s="7">
        <f>'1 prepared data'!D785</f>
        <v/>
      </c>
      <c r="F792" s="7">
        <f>'1 prepared data'!E785</f>
        <v/>
      </c>
      <c r="G792" s="7">
        <f>'1 prepared data'!F785</f>
        <v/>
      </c>
      <c r="H792" s="7">
        <f>'1 prepared data'!G785</f>
        <v/>
      </c>
      <c r="I792" s="7">
        <f>'1 prepared data'!H785</f>
        <v/>
      </c>
      <c r="J792" s="7">
        <f>'1 prepared data'!I785</f>
        <v/>
      </c>
      <c r="K792" s="7">
        <f>'1 prepared data'!J785</f>
        <v/>
      </c>
      <c r="L792" s="7">
        <f>'1 prepared data'!K785</f>
        <v/>
      </c>
      <c r="M792" s="7">
        <f>'1 prepared data'!L785</f>
        <v/>
      </c>
      <c r="N792" s="7">
        <f>'1 prepared data'!M785</f>
        <v/>
      </c>
      <c r="O792" s="7">
        <f>'1 prepared data'!N785</f>
        <v/>
      </c>
      <c r="P792" s="7">
        <f>'1 prepared data'!O785</f>
        <v/>
      </c>
      <c r="Q792" s="7">
        <f>'1 prepared data'!P785</f>
        <v/>
      </c>
      <c r="R792" s="7">
        <f>'1 prepared data'!Q785</f>
        <v/>
      </c>
      <c r="S792" s="7">
        <f>'1 prepared data'!R785</f>
        <v/>
      </c>
      <c r="T792" s="7">
        <f>'1 prepared data'!S785</f>
        <v/>
      </c>
      <c r="U792" s="7">
        <f>'1 prepared data'!T785</f>
        <v/>
      </c>
      <c r="V792" s="8">
        <f>$AC$12+D792*$AC$13+E792*$AC$14+F792*$AC$15+G792*$AC$16+H792*$AC$17+I792*$AC$18+J792*$AC$19+K792*$AC$20+L792*$AC$21+M792*$AC$22+N792*$AC$23+O792*$AC$24+P792*$AC$25+Q792*$AC$26+R792*$AC$27+S792*$AC$28+T792*$AC$29+U792*$AC$30</f>
        <v/>
      </c>
      <c r="W792" s="8">
        <f>1/(1+EXP(-V792))</f>
        <v/>
      </c>
      <c r="X792" s="9">
        <f>-IF(C792=1,LN(W792),LN(1-W792))</f>
        <v/>
      </c>
      <c r="Y792" s="10">
        <f>IF(W792&gt;$AC$33,1,0)</f>
        <v/>
      </c>
      <c r="Z792">
        <f>IF(Y792=C792,1,0)</f>
        <v/>
      </c>
    </row>
    <row r="793">
      <c r="A793">
        <f>'1 prepared data'!A786</f>
        <v/>
      </c>
      <c r="B793" s="5">
        <f>'1 prepared data'!U786</f>
        <v/>
      </c>
      <c r="C793">
        <f>'1 prepared data'!B786</f>
        <v/>
      </c>
      <c r="D793" s="7">
        <f>'1 prepared data'!C786</f>
        <v/>
      </c>
      <c r="E793" s="7">
        <f>'1 prepared data'!D786</f>
        <v/>
      </c>
      <c r="F793" s="7">
        <f>'1 prepared data'!E786</f>
        <v/>
      </c>
      <c r="G793" s="7">
        <f>'1 prepared data'!F786</f>
        <v/>
      </c>
      <c r="H793" s="7">
        <f>'1 prepared data'!G786</f>
        <v/>
      </c>
      <c r="I793" s="7">
        <f>'1 prepared data'!H786</f>
        <v/>
      </c>
      <c r="J793" s="7">
        <f>'1 prepared data'!I786</f>
        <v/>
      </c>
      <c r="K793" s="7">
        <f>'1 prepared data'!J786</f>
        <v/>
      </c>
      <c r="L793" s="7">
        <f>'1 prepared data'!K786</f>
        <v/>
      </c>
      <c r="M793" s="7">
        <f>'1 prepared data'!L786</f>
        <v/>
      </c>
      <c r="N793" s="7">
        <f>'1 prepared data'!M786</f>
        <v/>
      </c>
      <c r="O793" s="7">
        <f>'1 prepared data'!N786</f>
        <v/>
      </c>
      <c r="P793" s="7">
        <f>'1 prepared data'!O786</f>
        <v/>
      </c>
      <c r="Q793" s="7">
        <f>'1 prepared data'!P786</f>
        <v/>
      </c>
      <c r="R793" s="7">
        <f>'1 prepared data'!Q786</f>
        <v/>
      </c>
      <c r="S793" s="7">
        <f>'1 prepared data'!R786</f>
        <v/>
      </c>
      <c r="T793" s="7">
        <f>'1 prepared data'!S786</f>
        <v/>
      </c>
      <c r="U793" s="7">
        <f>'1 prepared data'!T786</f>
        <v/>
      </c>
      <c r="V793" s="8">
        <f>$AC$12+D793*$AC$13+E793*$AC$14+F793*$AC$15+G793*$AC$16+H793*$AC$17+I793*$AC$18+J793*$AC$19+K793*$AC$20+L793*$AC$21+M793*$AC$22+N793*$AC$23+O793*$AC$24+P793*$AC$25+Q793*$AC$26+R793*$AC$27+S793*$AC$28+T793*$AC$29+U793*$AC$30</f>
        <v/>
      </c>
      <c r="W793" s="8">
        <f>1/(1+EXP(-V793))</f>
        <v/>
      </c>
      <c r="X793" s="9">
        <f>-IF(C793=1,LN(W793),LN(1-W793))</f>
        <v/>
      </c>
      <c r="Y793" s="10">
        <f>IF(W793&gt;$AC$33,1,0)</f>
        <v/>
      </c>
      <c r="Z793">
        <f>IF(Y793=C793,1,0)</f>
        <v/>
      </c>
    </row>
    <row r="794">
      <c r="A794">
        <f>'1 prepared data'!A787</f>
        <v/>
      </c>
      <c r="B794" s="5">
        <f>'1 prepared data'!U787</f>
        <v/>
      </c>
      <c r="C794">
        <f>'1 prepared data'!B787</f>
        <v/>
      </c>
      <c r="D794" s="7">
        <f>'1 prepared data'!C787</f>
        <v/>
      </c>
      <c r="E794" s="7">
        <f>'1 prepared data'!D787</f>
        <v/>
      </c>
      <c r="F794" s="7">
        <f>'1 prepared data'!E787</f>
        <v/>
      </c>
      <c r="G794" s="7">
        <f>'1 prepared data'!F787</f>
        <v/>
      </c>
      <c r="H794" s="7">
        <f>'1 prepared data'!G787</f>
        <v/>
      </c>
      <c r="I794" s="7">
        <f>'1 prepared data'!H787</f>
        <v/>
      </c>
      <c r="J794" s="7">
        <f>'1 prepared data'!I787</f>
        <v/>
      </c>
      <c r="K794" s="7">
        <f>'1 prepared data'!J787</f>
        <v/>
      </c>
      <c r="L794" s="7">
        <f>'1 prepared data'!K787</f>
        <v/>
      </c>
      <c r="M794" s="7">
        <f>'1 prepared data'!L787</f>
        <v/>
      </c>
      <c r="N794" s="7">
        <f>'1 prepared data'!M787</f>
        <v/>
      </c>
      <c r="O794" s="7">
        <f>'1 prepared data'!N787</f>
        <v/>
      </c>
      <c r="P794" s="7">
        <f>'1 prepared data'!O787</f>
        <v/>
      </c>
      <c r="Q794" s="7">
        <f>'1 prepared data'!P787</f>
        <v/>
      </c>
      <c r="R794" s="7">
        <f>'1 prepared data'!Q787</f>
        <v/>
      </c>
      <c r="S794" s="7">
        <f>'1 prepared data'!R787</f>
        <v/>
      </c>
      <c r="T794" s="7">
        <f>'1 prepared data'!S787</f>
        <v/>
      </c>
      <c r="U794" s="7">
        <f>'1 prepared data'!T787</f>
        <v/>
      </c>
      <c r="V794" s="8">
        <f>$AC$12+D794*$AC$13+E794*$AC$14+F794*$AC$15+G794*$AC$16+H794*$AC$17+I794*$AC$18+J794*$AC$19+K794*$AC$20+L794*$AC$21+M794*$AC$22+N794*$AC$23+O794*$AC$24+P794*$AC$25+Q794*$AC$26+R794*$AC$27+S794*$AC$28+T794*$AC$29+U794*$AC$30</f>
        <v/>
      </c>
      <c r="W794" s="8">
        <f>1/(1+EXP(-V794))</f>
        <v/>
      </c>
      <c r="X794" s="9">
        <f>-IF(C794=1,LN(W794),LN(1-W794))</f>
        <v/>
      </c>
      <c r="Y794" s="10">
        <f>IF(W794&gt;$AC$33,1,0)</f>
        <v/>
      </c>
      <c r="Z794">
        <f>IF(Y794=C794,1,0)</f>
        <v/>
      </c>
    </row>
    <row r="795">
      <c r="A795">
        <f>'1 prepared data'!A788</f>
        <v/>
      </c>
      <c r="B795" s="5">
        <f>'1 prepared data'!U788</f>
        <v/>
      </c>
      <c r="C795">
        <f>'1 prepared data'!B788</f>
        <v/>
      </c>
      <c r="D795" s="7">
        <f>'1 prepared data'!C788</f>
        <v/>
      </c>
      <c r="E795" s="7">
        <f>'1 prepared data'!D788</f>
        <v/>
      </c>
      <c r="F795" s="7">
        <f>'1 prepared data'!E788</f>
        <v/>
      </c>
      <c r="G795" s="7">
        <f>'1 prepared data'!F788</f>
        <v/>
      </c>
      <c r="H795" s="7">
        <f>'1 prepared data'!G788</f>
        <v/>
      </c>
      <c r="I795" s="7">
        <f>'1 prepared data'!H788</f>
        <v/>
      </c>
      <c r="J795" s="7">
        <f>'1 prepared data'!I788</f>
        <v/>
      </c>
      <c r="K795" s="7">
        <f>'1 prepared data'!J788</f>
        <v/>
      </c>
      <c r="L795" s="7">
        <f>'1 prepared data'!K788</f>
        <v/>
      </c>
      <c r="M795" s="7">
        <f>'1 prepared data'!L788</f>
        <v/>
      </c>
      <c r="N795" s="7">
        <f>'1 prepared data'!M788</f>
        <v/>
      </c>
      <c r="O795" s="7">
        <f>'1 prepared data'!N788</f>
        <v/>
      </c>
      <c r="P795" s="7">
        <f>'1 prepared data'!O788</f>
        <v/>
      </c>
      <c r="Q795" s="7">
        <f>'1 prepared data'!P788</f>
        <v/>
      </c>
      <c r="R795" s="7">
        <f>'1 prepared data'!Q788</f>
        <v/>
      </c>
      <c r="S795" s="7">
        <f>'1 prepared data'!R788</f>
        <v/>
      </c>
      <c r="T795" s="7">
        <f>'1 prepared data'!S788</f>
        <v/>
      </c>
      <c r="U795" s="7">
        <f>'1 prepared data'!T788</f>
        <v/>
      </c>
      <c r="V795" s="8">
        <f>$AC$12+D795*$AC$13+E795*$AC$14+F795*$AC$15+G795*$AC$16+H795*$AC$17+I795*$AC$18+J795*$AC$19+K795*$AC$20+L795*$AC$21+M795*$AC$22+N795*$AC$23+O795*$AC$24+P795*$AC$25+Q795*$AC$26+R795*$AC$27+S795*$AC$28+T795*$AC$29+U795*$AC$30</f>
        <v/>
      </c>
      <c r="W795" s="8">
        <f>1/(1+EXP(-V795))</f>
        <v/>
      </c>
      <c r="X795" s="9">
        <f>-IF(C795=1,LN(W795),LN(1-W795))</f>
        <v/>
      </c>
      <c r="Y795" s="10">
        <f>IF(W795&gt;$AC$33,1,0)</f>
        <v/>
      </c>
      <c r="Z795">
        <f>IF(Y795=C795,1,0)</f>
        <v/>
      </c>
    </row>
    <row r="796">
      <c r="A796">
        <f>'1 prepared data'!A789</f>
        <v/>
      </c>
      <c r="B796" s="5">
        <f>'1 prepared data'!U789</f>
        <v/>
      </c>
      <c r="C796">
        <f>'1 prepared data'!B789</f>
        <v/>
      </c>
      <c r="D796" s="7">
        <f>'1 prepared data'!C789</f>
        <v/>
      </c>
      <c r="E796" s="7">
        <f>'1 prepared data'!D789</f>
        <v/>
      </c>
      <c r="F796" s="7">
        <f>'1 prepared data'!E789</f>
        <v/>
      </c>
      <c r="G796" s="7">
        <f>'1 prepared data'!F789</f>
        <v/>
      </c>
      <c r="H796" s="7">
        <f>'1 prepared data'!G789</f>
        <v/>
      </c>
      <c r="I796" s="7">
        <f>'1 prepared data'!H789</f>
        <v/>
      </c>
      <c r="J796" s="7">
        <f>'1 prepared data'!I789</f>
        <v/>
      </c>
      <c r="K796" s="7">
        <f>'1 prepared data'!J789</f>
        <v/>
      </c>
      <c r="L796" s="7">
        <f>'1 prepared data'!K789</f>
        <v/>
      </c>
      <c r="M796" s="7">
        <f>'1 prepared data'!L789</f>
        <v/>
      </c>
      <c r="N796" s="7">
        <f>'1 prepared data'!M789</f>
        <v/>
      </c>
      <c r="O796" s="7">
        <f>'1 prepared data'!N789</f>
        <v/>
      </c>
      <c r="P796" s="7">
        <f>'1 prepared data'!O789</f>
        <v/>
      </c>
      <c r="Q796" s="7">
        <f>'1 prepared data'!P789</f>
        <v/>
      </c>
      <c r="R796" s="7">
        <f>'1 prepared data'!Q789</f>
        <v/>
      </c>
      <c r="S796" s="7">
        <f>'1 prepared data'!R789</f>
        <v/>
      </c>
      <c r="T796" s="7">
        <f>'1 prepared data'!S789</f>
        <v/>
      </c>
      <c r="U796" s="7">
        <f>'1 prepared data'!T789</f>
        <v/>
      </c>
      <c r="V796" s="8">
        <f>$AC$12+D796*$AC$13+E796*$AC$14+F796*$AC$15+G796*$AC$16+H796*$AC$17+I796*$AC$18+J796*$AC$19+K796*$AC$20+L796*$AC$21+M796*$AC$22+N796*$AC$23+O796*$AC$24+P796*$AC$25+Q796*$AC$26+R796*$AC$27+S796*$AC$28+T796*$AC$29+U796*$AC$30</f>
        <v/>
      </c>
      <c r="W796" s="8">
        <f>1/(1+EXP(-V796))</f>
        <v/>
      </c>
      <c r="X796" s="9">
        <f>-IF(C796=1,LN(W796),LN(1-W796))</f>
        <v/>
      </c>
      <c r="Y796" s="10">
        <f>IF(W796&gt;$AC$33,1,0)</f>
        <v/>
      </c>
      <c r="Z796">
        <f>IF(Y796=C796,1,0)</f>
        <v/>
      </c>
    </row>
    <row r="797">
      <c r="A797">
        <f>'1 prepared data'!A790</f>
        <v/>
      </c>
      <c r="B797" s="5">
        <f>'1 prepared data'!U790</f>
        <v/>
      </c>
      <c r="C797">
        <f>'1 prepared data'!B790</f>
        <v/>
      </c>
      <c r="D797" s="7">
        <f>'1 prepared data'!C790</f>
        <v/>
      </c>
      <c r="E797" s="7">
        <f>'1 prepared data'!D790</f>
        <v/>
      </c>
      <c r="F797" s="7">
        <f>'1 prepared data'!E790</f>
        <v/>
      </c>
      <c r="G797" s="7">
        <f>'1 prepared data'!F790</f>
        <v/>
      </c>
      <c r="H797" s="7">
        <f>'1 prepared data'!G790</f>
        <v/>
      </c>
      <c r="I797" s="7">
        <f>'1 prepared data'!H790</f>
        <v/>
      </c>
      <c r="J797" s="7">
        <f>'1 prepared data'!I790</f>
        <v/>
      </c>
      <c r="K797" s="7">
        <f>'1 prepared data'!J790</f>
        <v/>
      </c>
      <c r="L797" s="7">
        <f>'1 prepared data'!K790</f>
        <v/>
      </c>
      <c r="M797" s="7">
        <f>'1 prepared data'!L790</f>
        <v/>
      </c>
      <c r="N797" s="7">
        <f>'1 prepared data'!M790</f>
        <v/>
      </c>
      <c r="O797" s="7">
        <f>'1 prepared data'!N790</f>
        <v/>
      </c>
      <c r="P797" s="7">
        <f>'1 prepared data'!O790</f>
        <v/>
      </c>
      <c r="Q797" s="7">
        <f>'1 prepared data'!P790</f>
        <v/>
      </c>
      <c r="R797" s="7">
        <f>'1 prepared data'!Q790</f>
        <v/>
      </c>
      <c r="S797" s="7">
        <f>'1 prepared data'!R790</f>
        <v/>
      </c>
      <c r="T797" s="7">
        <f>'1 prepared data'!S790</f>
        <v/>
      </c>
      <c r="U797" s="7">
        <f>'1 prepared data'!T790</f>
        <v/>
      </c>
      <c r="V797" s="8">
        <f>$AC$12+D797*$AC$13+E797*$AC$14+F797*$AC$15+G797*$AC$16+H797*$AC$17+I797*$AC$18+J797*$AC$19+K797*$AC$20+L797*$AC$21+M797*$AC$22+N797*$AC$23+O797*$AC$24+P797*$AC$25+Q797*$AC$26+R797*$AC$27+S797*$AC$28+T797*$AC$29+U797*$AC$30</f>
        <v/>
      </c>
      <c r="W797" s="8">
        <f>1/(1+EXP(-V797))</f>
        <v/>
      </c>
      <c r="X797" s="9">
        <f>-IF(C797=1,LN(W797),LN(1-W797))</f>
        <v/>
      </c>
      <c r="Y797" s="10">
        <f>IF(W797&gt;$AC$33,1,0)</f>
        <v/>
      </c>
      <c r="Z797">
        <f>IF(Y797=C797,1,0)</f>
        <v/>
      </c>
    </row>
    <row r="798">
      <c r="A798">
        <f>'1 prepared data'!A791</f>
        <v/>
      </c>
      <c r="B798" s="5">
        <f>'1 prepared data'!U791</f>
        <v/>
      </c>
      <c r="C798">
        <f>'1 prepared data'!B791</f>
        <v/>
      </c>
      <c r="D798" s="7">
        <f>'1 prepared data'!C791</f>
        <v/>
      </c>
      <c r="E798" s="7">
        <f>'1 prepared data'!D791</f>
        <v/>
      </c>
      <c r="F798" s="7">
        <f>'1 prepared data'!E791</f>
        <v/>
      </c>
      <c r="G798" s="7">
        <f>'1 prepared data'!F791</f>
        <v/>
      </c>
      <c r="H798" s="7">
        <f>'1 prepared data'!G791</f>
        <v/>
      </c>
      <c r="I798" s="7">
        <f>'1 prepared data'!H791</f>
        <v/>
      </c>
      <c r="J798" s="7">
        <f>'1 prepared data'!I791</f>
        <v/>
      </c>
      <c r="K798" s="7">
        <f>'1 prepared data'!J791</f>
        <v/>
      </c>
      <c r="L798" s="7">
        <f>'1 prepared data'!K791</f>
        <v/>
      </c>
      <c r="M798" s="7">
        <f>'1 prepared data'!L791</f>
        <v/>
      </c>
      <c r="N798" s="7">
        <f>'1 prepared data'!M791</f>
        <v/>
      </c>
      <c r="O798" s="7">
        <f>'1 prepared data'!N791</f>
        <v/>
      </c>
      <c r="P798" s="7">
        <f>'1 prepared data'!O791</f>
        <v/>
      </c>
      <c r="Q798" s="7">
        <f>'1 prepared data'!P791</f>
        <v/>
      </c>
      <c r="R798" s="7">
        <f>'1 prepared data'!Q791</f>
        <v/>
      </c>
      <c r="S798" s="7">
        <f>'1 prepared data'!R791</f>
        <v/>
      </c>
      <c r="T798" s="7">
        <f>'1 prepared data'!S791</f>
        <v/>
      </c>
      <c r="U798" s="7">
        <f>'1 prepared data'!T791</f>
        <v/>
      </c>
      <c r="V798" s="8">
        <f>$AC$12+D798*$AC$13+E798*$AC$14+F798*$AC$15+G798*$AC$16+H798*$AC$17+I798*$AC$18+J798*$AC$19+K798*$AC$20+L798*$AC$21+M798*$AC$22+N798*$AC$23+O798*$AC$24+P798*$AC$25+Q798*$AC$26+R798*$AC$27+S798*$AC$28+T798*$AC$29+U798*$AC$30</f>
        <v/>
      </c>
      <c r="W798" s="8">
        <f>1/(1+EXP(-V798))</f>
        <v/>
      </c>
      <c r="X798" s="9">
        <f>-IF(C798=1,LN(W798),LN(1-W798))</f>
        <v/>
      </c>
      <c r="Y798" s="10">
        <f>IF(W798&gt;$AC$33,1,0)</f>
        <v/>
      </c>
      <c r="Z798">
        <f>IF(Y798=C798,1,0)</f>
        <v/>
      </c>
    </row>
    <row r="799">
      <c r="A799">
        <f>'1 prepared data'!A792</f>
        <v/>
      </c>
      <c r="B799" s="5">
        <f>'1 prepared data'!U792</f>
        <v/>
      </c>
      <c r="C799">
        <f>'1 prepared data'!B792</f>
        <v/>
      </c>
      <c r="D799" s="7">
        <f>'1 prepared data'!C792</f>
        <v/>
      </c>
      <c r="E799" s="7">
        <f>'1 prepared data'!D792</f>
        <v/>
      </c>
      <c r="F799" s="7">
        <f>'1 prepared data'!E792</f>
        <v/>
      </c>
      <c r="G799" s="7">
        <f>'1 prepared data'!F792</f>
        <v/>
      </c>
      <c r="H799" s="7">
        <f>'1 prepared data'!G792</f>
        <v/>
      </c>
      <c r="I799" s="7">
        <f>'1 prepared data'!H792</f>
        <v/>
      </c>
      <c r="J799" s="7">
        <f>'1 prepared data'!I792</f>
        <v/>
      </c>
      <c r="K799" s="7">
        <f>'1 prepared data'!J792</f>
        <v/>
      </c>
      <c r="L799" s="7">
        <f>'1 prepared data'!K792</f>
        <v/>
      </c>
      <c r="M799" s="7">
        <f>'1 prepared data'!L792</f>
        <v/>
      </c>
      <c r="N799" s="7">
        <f>'1 prepared data'!M792</f>
        <v/>
      </c>
      <c r="O799" s="7">
        <f>'1 prepared data'!N792</f>
        <v/>
      </c>
      <c r="P799" s="7">
        <f>'1 prepared data'!O792</f>
        <v/>
      </c>
      <c r="Q799" s="7">
        <f>'1 prepared data'!P792</f>
        <v/>
      </c>
      <c r="R799" s="7">
        <f>'1 prepared data'!Q792</f>
        <v/>
      </c>
      <c r="S799" s="7">
        <f>'1 prepared data'!R792</f>
        <v/>
      </c>
      <c r="T799" s="7">
        <f>'1 prepared data'!S792</f>
        <v/>
      </c>
      <c r="U799" s="7">
        <f>'1 prepared data'!T792</f>
        <v/>
      </c>
      <c r="V799" s="8">
        <f>$AC$12+D799*$AC$13+E799*$AC$14+F799*$AC$15+G799*$AC$16+H799*$AC$17+I799*$AC$18+J799*$AC$19+K799*$AC$20+L799*$AC$21+M799*$AC$22+N799*$AC$23+O799*$AC$24+P799*$AC$25+Q799*$AC$26+R799*$AC$27+S799*$AC$28+T799*$AC$29+U799*$AC$30</f>
        <v/>
      </c>
      <c r="W799" s="8">
        <f>1/(1+EXP(-V799))</f>
        <v/>
      </c>
      <c r="X799" s="9">
        <f>-IF(C799=1,LN(W799),LN(1-W799))</f>
        <v/>
      </c>
      <c r="Y799" s="10">
        <f>IF(W799&gt;$AC$33,1,0)</f>
        <v/>
      </c>
      <c r="Z799">
        <f>IF(Y799=C799,1,0)</f>
        <v/>
      </c>
    </row>
    <row r="800">
      <c r="A800">
        <f>'1 prepared data'!A793</f>
        <v/>
      </c>
      <c r="B800" s="5">
        <f>'1 prepared data'!U793</f>
        <v/>
      </c>
      <c r="C800">
        <f>'1 prepared data'!B793</f>
        <v/>
      </c>
      <c r="D800" s="7">
        <f>'1 prepared data'!C793</f>
        <v/>
      </c>
      <c r="E800" s="7">
        <f>'1 prepared data'!D793</f>
        <v/>
      </c>
      <c r="F800" s="7">
        <f>'1 prepared data'!E793</f>
        <v/>
      </c>
      <c r="G800" s="7">
        <f>'1 prepared data'!F793</f>
        <v/>
      </c>
      <c r="H800" s="7">
        <f>'1 prepared data'!G793</f>
        <v/>
      </c>
      <c r="I800" s="7">
        <f>'1 prepared data'!H793</f>
        <v/>
      </c>
      <c r="J800" s="7">
        <f>'1 prepared data'!I793</f>
        <v/>
      </c>
      <c r="K800" s="7">
        <f>'1 prepared data'!J793</f>
        <v/>
      </c>
      <c r="L800" s="7">
        <f>'1 prepared data'!K793</f>
        <v/>
      </c>
      <c r="M800" s="7">
        <f>'1 prepared data'!L793</f>
        <v/>
      </c>
      <c r="N800" s="7">
        <f>'1 prepared data'!M793</f>
        <v/>
      </c>
      <c r="O800" s="7">
        <f>'1 prepared data'!N793</f>
        <v/>
      </c>
      <c r="P800" s="7">
        <f>'1 prepared data'!O793</f>
        <v/>
      </c>
      <c r="Q800" s="7">
        <f>'1 prepared data'!P793</f>
        <v/>
      </c>
      <c r="R800" s="7">
        <f>'1 prepared data'!Q793</f>
        <v/>
      </c>
      <c r="S800" s="7">
        <f>'1 prepared data'!R793</f>
        <v/>
      </c>
      <c r="T800" s="7">
        <f>'1 prepared data'!S793</f>
        <v/>
      </c>
      <c r="U800" s="7">
        <f>'1 prepared data'!T793</f>
        <v/>
      </c>
      <c r="V800" s="8">
        <f>$AC$12+D800*$AC$13+E800*$AC$14+F800*$AC$15+G800*$AC$16+H800*$AC$17+I800*$AC$18+J800*$AC$19+K800*$AC$20+L800*$AC$21+M800*$AC$22+N800*$AC$23+O800*$AC$24+P800*$AC$25+Q800*$AC$26+R800*$AC$27+S800*$AC$28+T800*$AC$29+U800*$AC$30</f>
        <v/>
      </c>
      <c r="W800" s="8">
        <f>1/(1+EXP(-V800))</f>
        <v/>
      </c>
      <c r="X800" s="9">
        <f>-IF(C800=1,LN(W800),LN(1-W800))</f>
        <v/>
      </c>
      <c r="Y800" s="10">
        <f>IF(W800&gt;$AC$33,1,0)</f>
        <v/>
      </c>
      <c r="Z800">
        <f>IF(Y800=C800,1,0)</f>
        <v/>
      </c>
    </row>
    <row r="801">
      <c r="A801">
        <f>'1 prepared data'!A794</f>
        <v/>
      </c>
      <c r="B801" s="5">
        <f>'1 prepared data'!U794</f>
        <v/>
      </c>
      <c r="C801">
        <f>'1 prepared data'!B794</f>
        <v/>
      </c>
      <c r="D801" s="7">
        <f>'1 prepared data'!C794</f>
        <v/>
      </c>
      <c r="E801" s="7">
        <f>'1 prepared data'!D794</f>
        <v/>
      </c>
      <c r="F801" s="7">
        <f>'1 prepared data'!E794</f>
        <v/>
      </c>
      <c r="G801" s="7">
        <f>'1 prepared data'!F794</f>
        <v/>
      </c>
      <c r="H801" s="7">
        <f>'1 prepared data'!G794</f>
        <v/>
      </c>
      <c r="I801" s="7">
        <f>'1 prepared data'!H794</f>
        <v/>
      </c>
      <c r="J801" s="7">
        <f>'1 prepared data'!I794</f>
        <v/>
      </c>
      <c r="K801" s="7">
        <f>'1 prepared data'!J794</f>
        <v/>
      </c>
      <c r="L801" s="7">
        <f>'1 prepared data'!K794</f>
        <v/>
      </c>
      <c r="M801" s="7">
        <f>'1 prepared data'!L794</f>
        <v/>
      </c>
      <c r="N801" s="7">
        <f>'1 prepared data'!M794</f>
        <v/>
      </c>
      <c r="O801" s="7">
        <f>'1 prepared data'!N794</f>
        <v/>
      </c>
      <c r="P801" s="7">
        <f>'1 prepared data'!O794</f>
        <v/>
      </c>
      <c r="Q801" s="7">
        <f>'1 prepared data'!P794</f>
        <v/>
      </c>
      <c r="R801" s="7">
        <f>'1 prepared data'!Q794</f>
        <v/>
      </c>
      <c r="S801" s="7">
        <f>'1 prepared data'!R794</f>
        <v/>
      </c>
      <c r="T801" s="7">
        <f>'1 prepared data'!S794</f>
        <v/>
      </c>
      <c r="U801" s="7">
        <f>'1 prepared data'!T794</f>
        <v/>
      </c>
      <c r="V801" s="8">
        <f>$AC$12+D801*$AC$13+E801*$AC$14+F801*$AC$15+G801*$AC$16+H801*$AC$17+I801*$AC$18+J801*$AC$19+K801*$AC$20+L801*$AC$21+M801*$AC$22+N801*$AC$23+O801*$AC$24+P801*$AC$25+Q801*$AC$26+R801*$AC$27+S801*$AC$28+T801*$AC$29+U801*$AC$30</f>
        <v/>
      </c>
      <c r="W801" s="8">
        <f>1/(1+EXP(-V801))</f>
        <v/>
      </c>
      <c r="X801" s="9">
        <f>-IF(C801=1,LN(W801),LN(1-W801))</f>
        <v/>
      </c>
      <c r="Y801" s="10">
        <f>IF(W801&gt;$AC$33,1,0)</f>
        <v/>
      </c>
      <c r="Z801">
        <f>IF(Y801=C801,1,0)</f>
        <v/>
      </c>
    </row>
    <row r="802">
      <c r="A802">
        <f>'1 prepared data'!A795</f>
        <v/>
      </c>
      <c r="B802" s="5">
        <f>'1 prepared data'!U795</f>
        <v/>
      </c>
      <c r="C802">
        <f>'1 prepared data'!B795</f>
        <v/>
      </c>
      <c r="D802" s="7">
        <f>'1 prepared data'!C795</f>
        <v/>
      </c>
      <c r="E802" s="7">
        <f>'1 prepared data'!D795</f>
        <v/>
      </c>
      <c r="F802" s="7">
        <f>'1 prepared data'!E795</f>
        <v/>
      </c>
      <c r="G802" s="7">
        <f>'1 prepared data'!F795</f>
        <v/>
      </c>
      <c r="H802" s="7">
        <f>'1 prepared data'!G795</f>
        <v/>
      </c>
      <c r="I802" s="7">
        <f>'1 prepared data'!H795</f>
        <v/>
      </c>
      <c r="J802" s="7">
        <f>'1 prepared data'!I795</f>
        <v/>
      </c>
      <c r="K802" s="7">
        <f>'1 prepared data'!J795</f>
        <v/>
      </c>
      <c r="L802" s="7">
        <f>'1 prepared data'!K795</f>
        <v/>
      </c>
      <c r="M802" s="7">
        <f>'1 prepared data'!L795</f>
        <v/>
      </c>
      <c r="N802" s="7">
        <f>'1 prepared data'!M795</f>
        <v/>
      </c>
      <c r="O802" s="7">
        <f>'1 prepared data'!N795</f>
        <v/>
      </c>
      <c r="P802" s="7">
        <f>'1 prepared data'!O795</f>
        <v/>
      </c>
      <c r="Q802" s="7">
        <f>'1 prepared data'!P795</f>
        <v/>
      </c>
      <c r="R802" s="7">
        <f>'1 prepared data'!Q795</f>
        <v/>
      </c>
      <c r="S802" s="7">
        <f>'1 prepared data'!R795</f>
        <v/>
      </c>
      <c r="T802" s="7">
        <f>'1 prepared data'!S795</f>
        <v/>
      </c>
      <c r="U802" s="7">
        <f>'1 prepared data'!T795</f>
        <v/>
      </c>
      <c r="V802" s="8">
        <f>$AC$12+D802*$AC$13+E802*$AC$14+F802*$AC$15+G802*$AC$16+H802*$AC$17+I802*$AC$18+J802*$AC$19+K802*$AC$20+L802*$AC$21+M802*$AC$22+N802*$AC$23+O802*$AC$24+P802*$AC$25+Q802*$AC$26+R802*$AC$27+S802*$AC$28+T802*$AC$29+U802*$AC$30</f>
        <v/>
      </c>
      <c r="W802" s="8">
        <f>1/(1+EXP(-V802))</f>
        <v/>
      </c>
      <c r="X802" s="9">
        <f>-IF(C802=1,LN(W802),LN(1-W802))</f>
        <v/>
      </c>
      <c r="Y802" s="10">
        <f>IF(W802&gt;$AC$33,1,0)</f>
        <v/>
      </c>
      <c r="Z802">
        <f>IF(Y802=C802,1,0)</f>
        <v/>
      </c>
    </row>
    <row r="803">
      <c r="A803">
        <f>'1 prepared data'!A796</f>
        <v/>
      </c>
      <c r="B803" s="5">
        <f>'1 prepared data'!U796</f>
        <v/>
      </c>
      <c r="C803">
        <f>'1 prepared data'!B796</f>
        <v/>
      </c>
      <c r="D803" s="7">
        <f>'1 prepared data'!C796</f>
        <v/>
      </c>
      <c r="E803" s="7">
        <f>'1 prepared data'!D796</f>
        <v/>
      </c>
      <c r="F803" s="7">
        <f>'1 prepared data'!E796</f>
        <v/>
      </c>
      <c r="G803" s="7">
        <f>'1 prepared data'!F796</f>
        <v/>
      </c>
      <c r="H803" s="7">
        <f>'1 prepared data'!G796</f>
        <v/>
      </c>
      <c r="I803" s="7">
        <f>'1 prepared data'!H796</f>
        <v/>
      </c>
      <c r="J803" s="7">
        <f>'1 prepared data'!I796</f>
        <v/>
      </c>
      <c r="K803" s="7">
        <f>'1 prepared data'!J796</f>
        <v/>
      </c>
      <c r="L803" s="7">
        <f>'1 prepared data'!K796</f>
        <v/>
      </c>
      <c r="M803" s="7">
        <f>'1 prepared data'!L796</f>
        <v/>
      </c>
      <c r="N803" s="7">
        <f>'1 prepared data'!M796</f>
        <v/>
      </c>
      <c r="O803" s="7">
        <f>'1 prepared data'!N796</f>
        <v/>
      </c>
      <c r="P803" s="7">
        <f>'1 prepared data'!O796</f>
        <v/>
      </c>
      <c r="Q803" s="7">
        <f>'1 prepared data'!P796</f>
        <v/>
      </c>
      <c r="R803" s="7">
        <f>'1 prepared data'!Q796</f>
        <v/>
      </c>
      <c r="S803" s="7">
        <f>'1 prepared data'!R796</f>
        <v/>
      </c>
      <c r="T803" s="7">
        <f>'1 prepared data'!S796</f>
        <v/>
      </c>
      <c r="U803" s="7">
        <f>'1 prepared data'!T796</f>
        <v/>
      </c>
      <c r="V803" s="8">
        <f>$AC$12+D803*$AC$13+E803*$AC$14+F803*$AC$15+G803*$AC$16+H803*$AC$17+I803*$AC$18+J803*$AC$19+K803*$AC$20+L803*$AC$21+M803*$AC$22+N803*$AC$23+O803*$AC$24+P803*$AC$25+Q803*$AC$26+R803*$AC$27+S803*$AC$28+T803*$AC$29+U803*$AC$30</f>
        <v/>
      </c>
      <c r="W803" s="8">
        <f>1/(1+EXP(-V803))</f>
        <v/>
      </c>
      <c r="X803" s="9">
        <f>-IF(C803=1,LN(W803),LN(1-W803))</f>
        <v/>
      </c>
      <c r="Y803" s="10">
        <f>IF(W803&gt;$AC$33,1,0)</f>
        <v/>
      </c>
      <c r="Z803">
        <f>IF(Y803=C803,1,0)</f>
        <v/>
      </c>
    </row>
    <row r="804">
      <c r="A804">
        <f>'1 prepared data'!A797</f>
        <v/>
      </c>
      <c r="B804" s="5">
        <f>'1 prepared data'!U797</f>
        <v/>
      </c>
      <c r="C804">
        <f>'1 prepared data'!B797</f>
        <v/>
      </c>
      <c r="D804" s="7">
        <f>'1 prepared data'!C797</f>
        <v/>
      </c>
      <c r="E804" s="7">
        <f>'1 prepared data'!D797</f>
        <v/>
      </c>
      <c r="F804" s="7">
        <f>'1 prepared data'!E797</f>
        <v/>
      </c>
      <c r="G804" s="7">
        <f>'1 prepared data'!F797</f>
        <v/>
      </c>
      <c r="H804" s="7">
        <f>'1 prepared data'!G797</f>
        <v/>
      </c>
      <c r="I804" s="7">
        <f>'1 prepared data'!H797</f>
        <v/>
      </c>
      <c r="J804" s="7">
        <f>'1 prepared data'!I797</f>
        <v/>
      </c>
      <c r="K804" s="7">
        <f>'1 prepared data'!J797</f>
        <v/>
      </c>
      <c r="L804" s="7">
        <f>'1 prepared data'!K797</f>
        <v/>
      </c>
      <c r="M804" s="7">
        <f>'1 prepared data'!L797</f>
        <v/>
      </c>
      <c r="N804" s="7">
        <f>'1 prepared data'!M797</f>
        <v/>
      </c>
      <c r="O804" s="7">
        <f>'1 prepared data'!N797</f>
        <v/>
      </c>
      <c r="P804" s="7">
        <f>'1 prepared data'!O797</f>
        <v/>
      </c>
      <c r="Q804" s="7">
        <f>'1 prepared data'!P797</f>
        <v/>
      </c>
      <c r="R804" s="7">
        <f>'1 prepared data'!Q797</f>
        <v/>
      </c>
      <c r="S804" s="7">
        <f>'1 prepared data'!R797</f>
        <v/>
      </c>
      <c r="T804" s="7">
        <f>'1 prepared data'!S797</f>
        <v/>
      </c>
      <c r="U804" s="7">
        <f>'1 prepared data'!T797</f>
        <v/>
      </c>
      <c r="V804" s="8">
        <f>$AC$12+D804*$AC$13+E804*$AC$14+F804*$AC$15+G804*$AC$16+H804*$AC$17+I804*$AC$18+J804*$AC$19+K804*$AC$20+L804*$AC$21+M804*$AC$22+N804*$AC$23+O804*$AC$24+P804*$AC$25+Q804*$AC$26+R804*$AC$27+S804*$AC$28+T804*$AC$29+U804*$AC$30</f>
        <v/>
      </c>
      <c r="W804" s="8">
        <f>1/(1+EXP(-V804))</f>
        <v/>
      </c>
      <c r="X804" s="9">
        <f>-IF(C804=1,LN(W804),LN(1-W804))</f>
        <v/>
      </c>
      <c r="Y804" s="10">
        <f>IF(W804&gt;$AC$33,1,0)</f>
        <v/>
      </c>
      <c r="Z804">
        <f>IF(Y804=C804,1,0)</f>
        <v/>
      </c>
    </row>
    <row r="805">
      <c r="A805">
        <f>'1 prepared data'!A798</f>
        <v/>
      </c>
      <c r="B805" s="5">
        <f>'1 prepared data'!U798</f>
        <v/>
      </c>
      <c r="C805">
        <f>'1 prepared data'!B798</f>
        <v/>
      </c>
      <c r="D805" s="7">
        <f>'1 prepared data'!C798</f>
        <v/>
      </c>
      <c r="E805" s="7">
        <f>'1 prepared data'!D798</f>
        <v/>
      </c>
      <c r="F805" s="7">
        <f>'1 prepared data'!E798</f>
        <v/>
      </c>
      <c r="G805" s="7">
        <f>'1 prepared data'!F798</f>
        <v/>
      </c>
      <c r="H805" s="7">
        <f>'1 prepared data'!G798</f>
        <v/>
      </c>
      <c r="I805" s="7">
        <f>'1 prepared data'!H798</f>
        <v/>
      </c>
      <c r="J805" s="7">
        <f>'1 prepared data'!I798</f>
        <v/>
      </c>
      <c r="K805" s="7">
        <f>'1 prepared data'!J798</f>
        <v/>
      </c>
      <c r="L805" s="7">
        <f>'1 prepared data'!K798</f>
        <v/>
      </c>
      <c r="M805" s="7">
        <f>'1 prepared data'!L798</f>
        <v/>
      </c>
      <c r="N805" s="7">
        <f>'1 prepared data'!M798</f>
        <v/>
      </c>
      <c r="O805" s="7">
        <f>'1 prepared data'!N798</f>
        <v/>
      </c>
      <c r="P805" s="7">
        <f>'1 prepared data'!O798</f>
        <v/>
      </c>
      <c r="Q805" s="7">
        <f>'1 prepared data'!P798</f>
        <v/>
      </c>
      <c r="R805" s="7">
        <f>'1 prepared data'!Q798</f>
        <v/>
      </c>
      <c r="S805" s="7">
        <f>'1 prepared data'!R798</f>
        <v/>
      </c>
      <c r="T805" s="7">
        <f>'1 prepared data'!S798</f>
        <v/>
      </c>
      <c r="U805" s="7">
        <f>'1 prepared data'!T798</f>
        <v/>
      </c>
      <c r="V805" s="8">
        <f>$AC$12+D805*$AC$13+E805*$AC$14+F805*$AC$15+G805*$AC$16+H805*$AC$17+I805*$AC$18+J805*$AC$19+K805*$AC$20+L805*$AC$21+M805*$AC$22+N805*$AC$23+O805*$AC$24+P805*$AC$25+Q805*$AC$26+R805*$AC$27+S805*$AC$28+T805*$AC$29+U805*$AC$30</f>
        <v/>
      </c>
      <c r="W805" s="8">
        <f>1/(1+EXP(-V805))</f>
        <v/>
      </c>
      <c r="X805" s="9">
        <f>-IF(C805=1,LN(W805),LN(1-W805))</f>
        <v/>
      </c>
      <c r="Y805" s="10">
        <f>IF(W805&gt;$AC$33,1,0)</f>
        <v/>
      </c>
      <c r="Z805">
        <f>IF(Y805=C805,1,0)</f>
        <v/>
      </c>
    </row>
    <row r="806">
      <c r="A806">
        <f>'1 prepared data'!A799</f>
        <v/>
      </c>
      <c r="B806" s="5">
        <f>'1 prepared data'!U799</f>
        <v/>
      </c>
      <c r="C806">
        <f>'1 prepared data'!B799</f>
        <v/>
      </c>
      <c r="D806" s="7">
        <f>'1 prepared data'!C799</f>
        <v/>
      </c>
      <c r="E806" s="7">
        <f>'1 prepared data'!D799</f>
        <v/>
      </c>
      <c r="F806" s="7">
        <f>'1 prepared data'!E799</f>
        <v/>
      </c>
      <c r="G806" s="7">
        <f>'1 prepared data'!F799</f>
        <v/>
      </c>
      <c r="H806" s="7">
        <f>'1 prepared data'!G799</f>
        <v/>
      </c>
      <c r="I806" s="7">
        <f>'1 prepared data'!H799</f>
        <v/>
      </c>
      <c r="J806" s="7">
        <f>'1 prepared data'!I799</f>
        <v/>
      </c>
      <c r="K806" s="7">
        <f>'1 prepared data'!J799</f>
        <v/>
      </c>
      <c r="L806" s="7">
        <f>'1 prepared data'!K799</f>
        <v/>
      </c>
      <c r="M806" s="7">
        <f>'1 prepared data'!L799</f>
        <v/>
      </c>
      <c r="N806" s="7">
        <f>'1 prepared data'!M799</f>
        <v/>
      </c>
      <c r="O806" s="7">
        <f>'1 prepared data'!N799</f>
        <v/>
      </c>
      <c r="P806" s="7">
        <f>'1 prepared data'!O799</f>
        <v/>
      </c>
      <c r="Q806" s="7">
        <f>'1 prepared data'!P799</f>
        <v/>
      </c>
      <c r="R806" s="7">
        <f>'1 prepared data'!Q799</f>
        <v/>
      </c>
      <c r="S806" s="7">
        <f>'1 prepared data'!R799</f>
        <v/>
      </c>
      <c r="T806" s="7">
        <f>'1 prepared data'!S799</f>
        <v/>
      </c>
      <c r="U806" s="7">
        <f>'1 prepared data'!T799</f>
        <v/>
      </c>
      <c r="V806" s="8">
        <f>$AC$12+D806*$AC$13+E806*$AC$14+F806*$AC$15+G806*$AC$16+H806*$AC$17+I806*$AC$18+J806*$AC$19+K806*$AC$20+L806*$AC$21+M806*$AC$22+N806*$AC$23+O806*$AC$24+P806*$AC$25+Q806*$AC$26+R806*$AC$27+S806*$AC$28+T806*$AC$29+U806*$AC$30</f>
        <v/>
      </c>
      <c r="W806" s="8">
        <f>1/(1+EXP(-V806))</f>
        <v/>
      </c>
      <c r="X806" s="9">
        <f>-IF(C806=1,LN(W806),LN(1-W806))</f>
        <v/>
      </c>
      <c r="Y806" s="10">
        <f>IF(W806&gt;$AC$33,1,0)</f>
        <v/>
      </c>
      <c r="Z806">
        <f>IF(Y806=C806,1,0)</f>
        <v/>
      </c>
    </row>
    <row r="807">
      <c r="A807">
        <f>'1 prepared data'!A800</f>
        <v/>
      </c>
      <c r="B807" s="5">
        <f>'1 prepared data'!U800</f>
        <v/>
      </c>
      <c r="C807">
        <f>'1 prepared data'!B800</f>
        <v/>
      </c>
      <c r="D807" s="7">
        <f>'1 prepared data'!C800</f>
        <v/>
      </c>
      <c r="E807" s="7">
        <f>'1 prepared data'!D800</f>
        <v/>
      </c>
      <c r="F807" s="7">
        <f>'1 prepared data'!E800</f>
        <v/>
      </c>
      <c r="G807" s="7">
        <f>'1 prepared data'!F800</f>
        <v/>
      </c>
      <c r="H807" s="7">
        <f>'1 prepared data'!G800</f>
        <v/>
      </c>
      <c r="I807" s="7">
        <f>'1 prepared data'!H800</f>
        <v/>
      </c>
      <c r="J807" s="7">
        <f>'1 prepared data'!I800</f>
        <v/>
      </c>
      <c r="K807" s="7">
        <f>'1 prepared data'!J800</f>
        <v/>
      </c>
      <c r="L807" s="7">
        <f>'1 prepared data'!K800</f>
        <v/>
      </c>
      <c r="M807" s="7">
        <f>'1 prepared data'!L800</f>
        <v/>
      </c>
      <c r="N807" s="7">
        <f>'1 prepared data'!M800</f>
        <v/>
      </c>
      <c r="O807" s="7">
        <f>'1 prepared data'!N800</f>
        <v/>
      </c>
      <c r="P807" s="7">
        <f>'1 prepared data'!O800</f>
        <v/>
      </c>
      <c r="Q807" s="7">
        <f>'1 prepared data'!P800</f>
        <v/>
      </c>
      <c r="R807" s="7">
        <f>'1 prepared data'!Q800</f>
        <v/>
      </c>
      <c r="S807" s="7">
        <f>'1 prepared data'!R800</f>
        <v/>
      </c>
      <c r="T807" s="7">
        <f>'1 prepared data'!S800</f>
        <v/>
      </c>
      <c r="U807" s="7">
        <f>'1 prepared data'!T800</f>
        <v/>
      </c>
      <c r="V807" s="8">
        <f>$AC$12+D807*$AC$13+E807*$AC$14+F807*$AC$15+G807*$AC$16+H807*$AC$17+I807*$AC$18+J807*$AC$19+K807*$AC$20+L807*$AC$21+M807*$AC$22+N807*$AC$23+O807*$AC$24+P807*$AC$25+Q807*$AC$26+R807*$AC$27+S807*$AC$28+T807*$AC$29+U807*$AC$30</f>
        <v/>
      </c>
      <c r="W807" s="8">
        <f>1/(1+EXP(-V807))</f>
        <v/>
      </c>
      <c r="X807" s="9">
        <f>-IF(C807=1,LN(W807),LN(1-W807))</f>
        <v/>
      </c>
      <c r="Y807" s="10">
        <f>IF(W807&gt;$AC$33,1,0)</f>
        <v/>
      </c>
      <c r="Z807">
        <f>IF(Y807=C807,1,0)</f>
        <v/>
      </c>
    </row>
    <row r="808">
      <c r="A808">
        <f>'1 prepared data'!A801</f>
        <v/>
      </c>
      <c r="B808" s="5">
        <f>'1 prepared data'!U801</f>
        <v/>
      </c>
      <c r="C808">
        <f>'1 prepared data'!B801</f>
        <v/>
      </c>
      <c r="D808" s="7">
        <f>'1 prepared data'!C801</f>
        <v/>
      </c>
      <c r="E808" s="7">
        <f>'1 prepared data'!D801</f>
        <v/>
      </c>
      <c r="F808" s="7">
        <f>'1 prepared data'!E801</f>
        <v/>
      </c>
      <c r="G808" s="7">
        <f>'1 prepared data'!F801</f>
        <v/>
      </c>
      <c r="H808" s="7">
        <f>'1 prepared data'!G801</f>
        <v/>
      </c>
      <c r="I808" s="7">
        <f>'1 prepared data'!H801</f>
        <v/>
      </c>
      <c r="J808" s="7">
        <f>'1 prepared data'!I801</f>
        <v/>
      </c>
      <c r="K808" s="7">
        <f>'1 prepared data'!J801</f>
        <v/>
      </c>
      <c r="L808" s="7">
        <f>'1 prepared data'!K801</f>
        <v/>
      </c>
      <c r="M808" s="7">
        <f>'1 prepared data'!L801</f>
        <v/>
      </c>
      <c r="N808" s="7">
        <f>'1 prepared data'!M801</f>
        <v/>
      </c>
      <c r="O808" s="7">
        <f>'1 prepared data'!N801</f>
        <v/>
      </c>
      <c r="P808" s="7">
        <f>'1 prepared data'!O801</f>
        <v/>
      </c>
      <c r="Q808" s="7">
        <f>'1 prepared data'!P801</f>
        <v/>
      </c>
      <c r="R808" s="7">
        <f>'1 prepared data'!Q801</f>
        <v/>
      </c>
      <c r="S808" s="7">
        <f>'1 prepared data'!R801</f>
        <v/>
      </c>
      <c r="T808" s="7">
        <f>'1 prepared data'!S801</f>
        <v/>
      </c>
      <c r="U808" s="7">
        <f>'1 prepared data'!T801</f>
        <v/>
      </c>
      <c r="V808" s="8">
        <f>$AC$12+D808*$AC$13+E808*$AC$14+F808*$AC$15+G808*$AC$16+H808*$AC$17+I808*$AC$18+J808*$AC$19+K808*$AC$20+L808*$AC$21+M808*$AC$22+N808*$AC$23+O808*$AC$24+P808*$AC$25+Q808*$AC$26+R808*$AC$27+S808*$AC$28+T808*$AC$29+U808*$AC$30</f>
        <v/>
      </c>
      <c r="W808" s="8">
        <f>1/(1+EXP(-V808))</f>
        <v/>
      </c>
      <c r="X808" s="9">
        <f>-IF(C808=1,LN(W808),LN(1-W808))</f>
        <v/>
      </c>
      <c r="Y808" s="10">
        <f>IF(W808&gt;$AC$33,1,0)</f>
        <v/>
      </c>
      <c r="Z808">
        <f>IF(Y808=C808,1,0)</f>
        <v/>
      </c>
    </row>
    <row r="809">
      <c r="A809">
        <f>'1 prepared data'!A802</f>
        <v/>
      </c>
      <c r="B809" s="5">
        <f>'1 prepared data'!U802</f>
        <v/>
      </c>
      <c r="C809">
        <f>'1 prepared data'!B802</f>
        <v/>
      </c>
      <c r="D809" s="7">
        <f>'1 prepared data'!C802</f>
        <v/>
      </c>
      <c r="E809" s="7">
        <f>'1 prepared data'!D802</f>
        <v/>
      </c>
      <c r="F809" s="7">
        <f>'1 prepared data'!E802</f>
        <v/>
      </c>
      <c r="G809" s="7">
        <f>'1 prepared data'!F802</f>
        <v/>
      </c>
      <c r="H809" s="7">
        <f>'1 prepared data'!G802</f>
        <v/>
      </c>
      <c r="I809" s="7">
        <f>'1 prepared data'!H802</f>
        <v/>
      </c>
      <c r="J809" s="7">
        <f>'1 prepared data'!I802</f>
        <v/>
      </c>
      <c r="K809" s="7">
        <f>'1 prepared data'!J802</f>
        <v/>
      </c>
      <c r="L809" s="7">
        <f>'1 prepared data'!K802</f>
        <v/>
      </c>
      <c r="M809" s="7">
        <f>'1 prepared data'!L802</f>
        <v/>
      </c>
      <c r="N809" s="7">
        <f>'1 prepared data'!M802</f>
        <v/>
      </c>
      <c r="O809" s="7">
        <f>'1 prepared data'!N802</f>
        <v/>
      </c>
      <c r="P809" s="7">
        <f>'1 prepared data'!O802</f>
        <v/>
      </c>
      <c r="Q809" s="7">
        <f>'1 prepared data'!P802</f>
        <v/>
      </c>
      <c r="R809" s="7">
        <f>'1 prepared data'!Q802</f>
        <v/>
      </c>
      <c r="S809" s="7">
        <f>'1 prepared data'!R802</f>
        <v/>
      </c>
      <c r="T809" s="7">
        <f>'1 prepared data'!S802</f>
        <v/>
      </c>
      <c r="U809" s="7">
        <f>'1 prepared data'!T802</f>
        <v/>
      </c>
      <c r="V809" s="8">
        <f>$AC$12+D809*$AC$13+E809*$AC$14+F809*$AC$15+G809*$AC$16+H809*$AC$17+I809*$AC$18+J809*$AC$19+K809*$AC$20+L809*$AC$21+M809*$AC$22+N809*$AC$23+O809*$AC$24+P809*$AC$25+Q809*$AC$26+R809*$AC$27+S809*$AC$28+T809*$AC$29+U809*$AC$30</f>
        <v/>
      </c>
      <c r="W809" s="8">
        <f>1/(1+EXP(-V809))</f>
        <v/>
      </c>
      <c r="X809" s="9">
        <f>-IF(C809=1,LN(W809),LN(1-W809))</f>
        <v/>
      </c>
      <c r="Y809" s="10">
        <f>IF(W809&gt;$AC$33,1,0)</f>
        <v/>
      </c>
      <c r="Z809">
        <f>IF(Y809=C809,1,0)</f>
        <v/>
      </c>
    </row>
    <row r="810">
      <c r="A810">
        <f>'1 prepared data'!A803</f>
        <v/>
      </c>
      <c r="B810" s="5">
        <f>'1 prepared data'!U803</f>
        <v/>
      </c>
      <c r="C810">
        <f>'1 prepared data'!B803</f>
        <v/>
      </c>
      <c r="D810" s="7">
        <f>'1 prepared data'!C803</f>
        <v/>
      </c>
      <c r="E810" s="7">
        <f>'1 prepared data'!D803</f>
        <v/>
      </c>
      <c r="F810" s="7">
        <f>'1 prepared data'!E803</f>
        <v/>
      </c>
      <c r="G810" s="7">
        <f>'1 prepared data'!F803</f>
        <v/>
      </c>
      <c r="H810" s="7">
        <f>'1 prepared data'!G803</f>
        <v/>
      </c>
      <c r="I810" s="7">
        <f>'1 prepared data'!H803</f>
        <v/>
      </c>
      <c r="J810" s="7">
        <f>'1 prepared data'!I803</f>
        <v/>
      </c>
      <c r="K810" s="7">
        <f>'1 prepared data'!J803</f>
        <v/>
      </c>
      <c r="L810" s="7">
        <f>'1 prepared data'!K803</f>
        <v/>
      </c>
      <c r="M810" s="7">
        <f>'1 prepared data'!L803</f>
        <v/>
      </c>
      <c r="N810" s="7">
        <f>'1 prepared data'!M803</f>
        <v/>
      </c>
      <c r="O810" s="7">
        <f>'1 prepared data'!N803</f>
        <v/>
      </c>
      <c r="P810" s="7">
        <f>'1 prepared data'!O803</f>
        <v/>
      </c>
      <c r="Q810" s="7">
        <f>'1 prepared data'!P803</f>
        <v/>
      </c>
      <c r="R810" s="7">
        <f>'1 prepared data'!Q803</f>
        <v/>
      </c>
      <c r="S810" s="7">
        <f>'1 prepared data'!R803</f>
        <v/>
      </c>
      <c r="T810" s="7">
        <f>'1 prepared data'!S803</f>
        <v/>
      </c>
      <c r="U810" s="7">
        <f>'1 prepared data'!T803</f>
        <v/>
      </c>
      <c r="V810" s="8">
        <f>$AC$12+D810*$AC$13+E810*$AC$14+F810*$AC$15+G810*$AC$16+H810*$AC$17+I810*$AC$18+J810*$AC$19+K810*$AC$20+L810*$AC$21+M810*$AC$22+N810*$AC$23+O810*$AC$24+P810*$AC$25+Q810*$AC$26+R810*$AC$27+S810*$AC$28+T810*$AC$29+U810*$AC$30</f>
        <v/>
      </c>
      <c r="W810" s="8">
        <f>1/(1+EXP(-V810))</f>
        <v/>
      </c>
      <c r="X810" s="9">
        <f>-IF(C810=1,LN(W810),LN(1-W810))</f>
        <v/>
      </c>
      <c r="Y810" s="10">
        <f>IF(W810&gt;$AC$33,1,0)</f>
        <v/>
      </c>
      <c r="Z810">
        <f>IF(Y810=C810,1,0)</f>
        <v/>
      </c>
    </row>
    <row r="811">
      <c r="A811">
        <f>'1 prepared data'!A804</f>
        <v/>
      </c>
      <c r="B811" s="5">
        <f>'1 prepared data'!U804</f>
        <v/>
      </c>
      <c r="C811">
        <f>'1 prepared data'!B804</f>
        <v/>
      </c>
      <c r="D811" s="7">
        <f>'1 prepared data'!C804</f>
        <v/>
      </c>
      <c r="E811" s="7">
        <f>'1 prepared data'!D804</f>
        <v/>
      </c>
      <c r="F811" s="7">
        <f>'1 prepared data'!E804</f>
        <v/>
      </c>
      <c r="G811" s="7">
        <f>'1 prepared data'!F804</f>
        <v/>
      </c>
      <c r="H811" s="7">
        <f>'1 prepared data'!G804</f>
        <v/>
      </c>
      <c r="I811" s="7">
        <f>'1 prepared data'!H804</f>
        <v/>
      </c>
      <c r="J811" s="7">
        <f>'1 prepared data'!I804</f>
        <v/>
      </c>
      <c r="K811" s="7">
        <f>'1 prepared data'!J804</f>
        <v/>
      </c>
      <c r="L811" s="7">
        <f>'1 prepared data'!K804</f>
        <v/>
      </c>
      <c r="M811" s="7">
        <f>'1 prepared data'!L804</f>
        <v/>
      </c>
      <c r="N811" s="7">
        <f>'1 prepared data'!M804</f>
        <v/>
      </c>
      <c r="O811" s="7">
        <f>'1 prepared data'!N804</f>
        <v/>
      </c>
      <c r="P811" s="7">
        <f>'1 prepared data'!O804</f>
        <v/>
      </c>
      <c r="Q811" s="7">
        <f>'1 prepared data'!P804</f>
        <v/>
      </c>
      <c r="R811" s="7">
        <f>'1 prepared data'!Q804</f>
        <v/>
      </c>
      <c r="S811" s="7">
        <f>'1 prepared data'!R804</f>
        <v/>
      </c>
      <c r="T811" s="7">
        <f>'1 prepared data'!S804</f>
        <v/>
      </c>
      <c r="U811" s="7">
        <f>'1 prepared data'!T804</f>
        <v/>
      </c>
      <c r="V811" s="8">
        <f>$AC$12+D811*$AC$13+E811*$AC$14+F811*$AC$15+G811*$AC$16+H811*$AC$17+I811*$AC$18+J811*$AC$19+K811*$AC$20+L811*$AC$21+M811*$AC$22+N811*$AC$23+O811*$AC$24+P811*$AC$25+Q811*$AC$26+R811*$AC$27+S811*$AC$28+T811*$AC$29+U811*$AC$30</f>
        <v/>
      </c>
      <c r="W811" s="8">
        <f>1/(1+EXP(-V811))</f>
        <v/>
      </c>
      <c r="X811" s="9">
        <f>-IF(C811=1,LN(W811),LN(1-W811))</f>
        <v/>
      </c>
      <c r="Y811" s="10">
        <f>IF(W811&gt;$AC$33,1,0)</f>
        <v/>
      </c>
      <c r="Z811">
        <f>IF(Y811=C811,1,0)</f>
        <v/>
      </c>
    </row>
    <row r="812">
      <c r="A812">
        <f>'1 prepared data'!A805</f>
        <v/>
      </c>
      <c r="B812" s="5">
        <f>'1 prepared data'!U805</f>
        <v/>
      </c>
      <c r="C812">
        <f>'1 prepared data'!B805</f>
        <v/>
      </c>
      <c r="D812" s="7">
        <f>'1 prepared data'!C805</f>
        <v/>
      </c>
      <c r="E812" s="7">
        <f>'1 prepared data'!D805</f>
        <v/>
      </c>
      <c r="F812" s="7">
        <f>'1 prepared data'!E805</f>
        <v/>
      </c>
      <c r="G812" s="7">
        <f>'1 prepared data'!F805</f>
        <v/>
      </c>
      <c r="H812" s="7">
        <f>'1 prepared data'!G805</f>
        <v/>
      </c>
      <c r="I812" s="7">
        <f>'1 prepared data'!H805</f>
        <v/>
      </c>
      <c r="J812" s="7">
        <f>'1 prepared data'!I805</f>
        <v/>
      </c>
      <c r="K812" s="7">
        <f>'1 prepared data'!J805</f>
        <v/>
      </c>
      <c r="L812" s="7">
        <f>'1 prepared data'!K805</f>
        <v/>
      </c>
      <c r="M812" s="7">
        <f>'1 prepared data'!L805</f>
        <v/>
      </c>
      <c r="N812" s="7">
        <f>'1 prepared data'!M805</f>
        <v/>
      </c>
      <c r="O812" s="7">
        <f>'1 prepared data'!N805</f>
        <v/>
      </c>
      <c r="P812" s="7">
        <f>'1 prepared data'!O805</f>
        <v/>
      </c>
      <c r="Q812" s="7">
        <f>'1 prepared data'!P805</f>
        <v/>
      </c>
      <c r="R812" s="7">
        <f>'1 prepared data'!Q805</f>
        <v/>
      </c>
      <c r="S812" s="7">
        <f>'1 prepared data'!R805</f>
        <v/>
      </c>
      <c r="T812" s="7">
        <f>'1 prepared data'!S805</f>
        <v/>
      </c>
      <c r="U812" s="7">
        <f>'1 prepared data'!T805</f>
        <v/>
      </c>
      <c r="V812" s="8">
        <f>$AC$12+D812*$AC$13+E812*$AC$14+F812*$AC$15+G812*$AC$16+H812*$AC$17+I812*$AC$18+J812*$AC$19+K812*$AC$20+L812*$AC$21+M812*$AC$22+N812*$AC$23+O812*$AC$24+P812*$AC$25+Q812*$AC$26+R812*$AC$27+S812*$AC$28+T812*$AC$29+U812*$AC$30</f>
        <v/>
      </c>
      <c r="W812" s="8">
        <f>1/(1+EXP(-V812))</f>
        <v/>
      </c>
      <c r="X812" s="9">
        <f>-IF(C812=1,LN(W812),LN(1-W812))</f>
        <v/>
      </c>
      <c r="Y812" s="10">
        <f>IF(W812&gt;$AC$33,1,0)</f>
        <v/>
      </c>
      <c r="Z812">
        <f>IF(Y812=C812,1,0)</f>
        <v/>
      </c>
    </row>
    <row r="813">
      <c r="A813">
        <f>'1 prepared data'!A806</f>
        <v/>
      </c>
      <c r="B813" s="5">
        <f>'1 prepared data'!U806</f>
        <v/>
      </c>
      <c r="C813">
        <f>'1 prepared data'!B806</f>
        <v/>
      </c>
      <c r="D813" s="7">
        <f>'1 prepared data'!C806</f>
        <v/>
      </c>
      <c r="E813" s="7">
        <f>'1 prepared data'!D806</f>
        <v/>
      </c>
      <c r="F813" s="7">
        <f>'1 prepared data'!E806</f>
        <v/>
      </c>
      <c r="G813" s="7">
        <f>'1 prepared data'!F806</f>
        <v/>
      </c>
      <c r="H813" s="7">
        <f>'1 prepared data'!G806</f>
        <v/>
      </c>
      <c r="I813" s="7">
        <f>'1 prepared data'!H806</f>
        <v/>
      </c>
      <c r="J813" s="7">
        <f>'1 prepared data'!I806</f>
        <v/>
      </c>
      <c r="K813" s="7">
        <f>'1 prepared data'!J806</f>
        <v/>
      </c>
      <c r="L813" s="7">
        <f>'1 prepared data'!K806</f>
        <v/>
      </c>
      <c r="M813" s="7">
        <f>'1 prepared data'!L806</f>
        <v/>
      </c>
      <c r="N813" s="7">
        <f>'1 prepared data'!M806</f>
        <v/>
      </c>
      <c r="O813" s="7">
        <f>'1 prepared data'!N806</f>
        <v/>
      </c>
      <c r="P813" s="7">
        <f>'1 prepared data'!O806</f>
        <v/>
      </c>
      <c r="Q813" s="7">
        <f>'1 prepared data'!P806</f>
        <v/>
      </c>
      <c r="R813" s="7">
        <f>'1 prepared data'!Q806</f>
        <v/>
      </c>
      <c r="S813" s="7">
        <f>'1 prepared data'!R806</f>
        <v/>
      </c>
      <c r="T813" s="7">
        <f>'1 prepared data'!S806</f>
        <v/>
      </c>
      <c r="U813" s="7">
        <f>'1 prepared data'!T806</f>
        <v/>
      </c>
      <c r="V813" s="8">
        <f>$AC$12+D813*$AC$13+E813*$AC$14+F813*$AC$15+G813*$AC$16+H813*$AC$17+I813*$AC$18+J813*$AC$19+K813*$AC$20+L813*$AC$21+M813*$AC$22+N813*$AC$23+O813*$AC$24+P813*$AC$25+Q813*$AC$26+R813*$AC$27+S813*$AC$28+T813*$AC$29+U813*$AC$30</f>
        <v/>
      </c>
      <c r="W813" s="8">
        <f>1/(1+EXP(-V813))</f>
        <v/>
      </c>
      <c r="X813" s="9">
        <f>-IF(C813=1,LN(W813),LN(1-W813))</f>
        <v/>
      </c>
      <c r="Y813" s="10">
        <f>IF(W813&gt;$AC$33,1,0)</f>
        <v/>
      </c>
      <c r="Z813">
        <f>IF(Y813=C813,1,0)</f>
        <v/>
      </c>
    </row>
    <row r="814">
      <c r="A814">
        <f>'1 prepared data'!A807</f>
        <v/>
      </c>
      <c r="B814" s="5">
        <f>'1 prepared data'!U807</f>
        <v/>
      </c>
      <c r="C814">
        <f>'1 prepared data'!B807</f>
        <v/>
      </c>
      <c r="D814" s="7">
        <f>'1 prepared data'!C807</f>
        <v/>
      </c>
      <c r="E814" s="7">
        <f>'1 prepared data'!D807</f>
        <v/>
      </c>
      <c r="F814" s="7">
        <f>'1 prepared data'!E807</f>
        <v/>
      </c>
      <c r="G814" s="7">
        <f>'1 prepared data'!F807</f>
        <v/>
      </c>
      <c r="H814" s="7">
        <f>'1 prepared data'!G807</f>
        <v/>
      </c>
      <c r="I814" s="7">
        <f>'1 prepared data'!H807</f>
        <v/>
      </c>
      <c r="J814" s="7">
        <f>'1 prepared data'!I807</f>
        <v/>
      </c>
      <c r="K814" s="7">
        <f>'1 prepared data'!J807</f>
        <v/>
      </c>
      <c r="L814" s="7">
        <f>'1 prepared data'!K807</f>
        <v/>
      </c>
      <c r="M814" s="7">
        <f>'1 prepared data'!L807</f>
        <v/>
      </c>
      <c r="N814" s="7">
        <f>'1 prepared data'!M807</f>
        <v/>
      </c>
      <c r="O814" s="7">
        <f>'1 prepared data'!N807</f>
        <v/>
      </c>
      <c r="P814" s="7">
        <f>'1 prepared data'!O807</f>
        <v/>
      </c>
      <c r="Q814" s="7">
        <f>'1 prepared data'!P807</f>
        <v/>
      </c>
      <c r="R814" s="7">
        <f>'1 prepared data'!Q807</f>
        <v/>
      </c>
      <c r="S814" s="7">
        <f>'1 prepared data'!R807</f>
        <v/>
      </c>
      <c r="T814" s="7">
        <f>'1 prepared data'!S807</f>
        <v/>
      </c>
      <c r="U814" s="7">
        <f>'1 prepared data'!T807</f>
        <v/>
      </c>
      <c r="V814" s="8">
        <f>$AC$12+D814*$AC$13+E814*$AC$14+F814*$AC$15+G814*$AC$16+H814*$AC$17+I814*$AC$18+J814*$AC$19+K814*$AC$20+L814*$AC$21+M814*$AC$22+N814*$AC$23+O814*$AC$24+P814*$AC$25+Q814*$AC$26+R814*$AC$27+S814*$AC$28+T814*$AC$29+U814*$AC$30</f>
        <v/>
      </c>
      <c r="W814" s="8">
        <f>1/(1+EXP(-V814))</f>
        <v/>
      </c>
      <c r="X814" s="9">
        <f>-IF(C814=1,LN(W814),LN(1-W814))</f>
        <v/>
      </c>
      <c r="Y814" s="10">
        <f>IF(W814&gt;$AC$33,1,0)</f>
        <v/>
      </c>
      <c r="Z814">
        <f>IF(Y814=C814,1,0)</f>
        <v/>
      </c>
    </row>
    <row r="815">
      <c r="A815">
        <f>'1 prepared data'!A808</f>
        <v/>
      </c>
      <c r="B815" s="5">
        <f>'1 prepared data'!U808</f>
        <v/>
      </c>
      <c r="C815">
        <f>'1 prepared data'!B808</f>
        <v/>
      </c>
      <c r="D815" s="7">
        <f>'1 prepared data'!C808</f>
        <v/>
      </c>
      <c r="E815" s="7">
        <f>'1 prepared data'!D808</f>
        <v/>
      </c>
      <c r="F815" s="7">
        <f>'1 prepared data'!E808</f>
        <v/>
      </c>
      <c r="G815" s="7">
        <f>'1 prepared data'!F808</f>
        <v/>
      </c>
      <c r="H815" s="7">
        <f>'1 prepared data'!G808</f>
        <v/>
      </c>
      <c r="I815" s="7">
        <f>'1 prepared data'!H808</f>
        <v/>
      </c>
      <c r="J815" s="7">
        <f>'1 prepared data'!I808</f>
        <v/>
      </c>
      <c r="K815" s="7">
        <f>'1 prepared data'!J808</f>
        <v/>
      </c>
      <c r="L815" s="7">
        <f>'1 prepared data'!K808</f>
        <v/>
      </c>
      <c r="M815" s="7">
        <f>'1 prepared data'!L808</f>
        <v/>
      </c>
      <c r="N815" s="7">
        <f>'1 prepared data'!M808</f>
        <v/>
      </c>
      <c r="O815" s="7">
        <f>'1 prepared data'!N808</f>
        <v/>
      </c>
      <c r="P815" s="7">
        <f>'1 prepared data'!O808</f>
        <v/>
      </c>
      <c r="Q815" s="7">
        <f>'1 prepared data'!P808</f>
        <v/>
      </c>
      <c r="R815" s="7">
        <f>'1 prepared data'!Q808</f>
        <v/>
      </c>
      <c r="S815" s="7">
        <f>'1 prepared data'!R808</f>
        <v/>
      </c>
      <c r="T815" s="7">
        <f>'1 prepared data'!S808</f>
        <v/>
      </c>
      <c r="U815" s="7">
        <f>'1 prepared data'!T808</f>
        <v/>
      </c>
      <c r="V815" s="8">
        <f>$AC$12+D815*$AC$13+E815*$AC$14+F815*$AC$15+G815*$AC$16+H815*$AC$17+I815*$AC$18+J815*$AC$19+K815*$AC$20+L815*$AC$21+M815*$AC$22+N815*$AC$23+O815*$AC$24+P815*$AC$25+Q815*$AC$26+R815*$AC$27+S815*$AC$28+T815*$AC$29+U815*$AC$30</f>
        <v/>
      </c>
      <c r="W815" s="8">
        <f>1/(1+EXP(-V815))</f>
        <v/>
      </c>
      <c r="X815" s="9">
        <f>-IF(C815=1,LN(W815),LN(1-W815))</f>
        <v/>
      </c>
      <c r="Y815" s="10">
        <f>IF(W815&gt;$AC$33,1,0)</f>
        <v/>
      </c>
      <c r="Z815">
        <f>IF(Y815=C815,1,0)</f>
        <v/>
      </c>
    </row>
    <row r="816">
      <c r="A816">
        <f>'1 prepared data'!A809</f>
        <v/>
      </c>
      <c r="B816" s="5">
        <f>'1 prepared data'!U809</f>
        <v/>
      </c>
      <c r="C816">
        <f>'1 prepared data'!B809</f>
        <v/>
      </c>
      <c r="D816" s="7">
        <f>'1 prepared data'!C809</f>
        <v/>
      </c>
      <c r="E816" s="7">
        <f>'1 prepared data'!D809</f>
        <v/>
      </c>
      <c r="F816" s="7">
        <f>'1 prepared data'!E809</f>
        <v/>
      </c>
      <c r="G816" s="7">
        <f>'1 prepared data'!F809</f>
        <v/>
      </c>
      <c r="H816" s="7">
        <f>'1 prepared data'!G809</f>
        <v/>
      </c>
      <c r="I816" s="7">
        <f>'1 prepared data'!H809</f>
        <v/>
      </c>
      <c r="J816" s="7">
        <f>'1 prepared data'!I809</f>
        <v/>
      </c>
      <c r="K816" s="7">
        <f>'1 prepared data'!J809</f>
        <v/>
      </c>
      <c r="L816" s="7">
        <f>'1 prepared data'!K809</f>
        <v/>
      </c>
      <c r="M816" s="7">
        <f>'1 prepared data'!L809</f>
        <v/>
      </c>
      <c r="N816" s="7">
        <f>'1 prepared data'!M809</f>
        <v/>
      </c>
      <c r="O816" s="7">
        <f>'1 prepared data'!N809</f>
        <v/>
      </c>
      <c r="P816" s="7">
        <f>'1 prepared data'!O809</f>
        <v/>
      </c>
      <c r="Q816" s="7">
        <f>'1 prepared data'!P809</f>
        <v/>
      </c>
      <c r="R816" s="7">
        <f>'1 prepared data'!Q809</f>
        <v/>
      </c>
      <c r="S816" s="7">
        <f>'1 prepared data'!R809</f>
        <v/>
      </c>
      <c r="T816" s="7">
        <f>'1 prepared data'!S809</f>
        <v/>
      </c>
      <c r="U816" s="7">
        <f>'1 prepared data'!T809</f>
        <v/>
      </c>
      <c r="V816" s="8">
        <f>$AC$12+D816*$AC$13+E816*$AC$14+F816*$AC$15+G816*$AC$16+H816*$AC$17+I816*$AC$18+J816*$AC$19+K816*$AC$20+L816*$AC$21+M816*$AC$22+N816*$AC$23+O816*$AC$24+P816*$AC$25+Q816*$AC$26+R816*$AC$27+S816*$AC$28+T816*$AC$29+U816*$AC$30</f>
        <v/>
      </c>
      <c r="W816" s="8">
        <f>1/(1+EXP(-V816))</f>
        <v/>
      </c>
      <c r="X816" s="9">
        <f>-IF(C816=1,LN(W816),LN(1-W816))</f>
        <v/>
      </c>
      <c r="Y816" s="10">
        <f>IF(W816&gt;$AC$33,1,0)</f>
        <v/>
      </c>
      <c r="Z816">
        <f>IF(Y816=C816,1,0)</f>
        <v/>
      </c>
    </row>
    <row r="817">
      <c r="A817">
        <f>'1 prepared data'!A810</f>
        <v/>
      </c>
      <c r="B817" s="5">
        <f>'1 prepared data'!U810</f>
        <v/>
      </c>
      <c r="C817">
        <f>'1 prepared data'!B810</f>
        <v/>
      </c>
      <c r="D817" s="7">
        <f>'1 prepared data'!C810</f>
        <v/>
      </c>
      <c r="E817" s="7">
        <f>'1 prepared data'!D810</f>
        <v/>
      </c>
      <c r="F817" s="7">
        <f>'1 prepared data'!E810</f>
        <v/>
      </c>
      <c r="G817" s="7">
        <f>'1 prepared data'!F810</f>
        <v/>
      </c>
      <c r="H817" s="7">
        <f>'1 prepared data'!G810</f>
        <v/>
      </c>
      <c r="I817" s="7">
        <f>'1 prepared data'!H810</f>
        <v/>
      </c>
      <c r="J817" s="7">
        <f>'1 prepared data'!I810</f>
        <v/>
      </c>
      <c r="K817" s="7">
        <f>'1 prepared data'!J810</f>
        <v/>
      </c>
      <c r="L817" s="7">
        <f>'1 prepared data'!K810</f>
        <v/>
      </c>
      <c r="M817" s="7">
        <f>'1 prepared data'!L810</f>
        <v/>
      </c>
      <c r="N817" s="7">
        <f>'1 prepared data'!M810</f>
        <v/>
      </c>
      <c r="O817" s="7">
        <f>'1 prepared data'!N810</f>
        <v/>
      </c>
      <c r="P817" s="7">
        <f>'1 prepared data'!O810</f>
        <v/>
      </c>
      <c r="Q817" s="7">
        <f>'1 prepared data'!P810</f>
        <v/>
      </c>
      <c r="R817" s="7">
        <f>'1 prepared data'!Q810</f>
        <v/>
      </c>
      <c r="S817" s="7">
        <f>'1 prepared data'!R810</f>
        <v/>
      </c>
      <c r="T817" s="7">
        <f>'1 prepared data'!S810</f>
        <v/>
      </c>
      <c r="U817" s="7">
        <f>'1 prepared data'!T810</f>
        <v/>
      </c>
      <c r="V817" s="8">
        <f>$AC$12+D817*$AC$13+E817*$AC$14+F817*$AC$15+G817*$AC$16+H817*$AC$17+I817*$AC$18+J817*$AC$19+K817*$AC$20+L817*$AC$21+M817*$AC$22+N817*$AC$23+O817*$AC$24+P817*$AC$25+Q817*$AC$26+R817*$AC$27+S817*$AC$28+T817*$AC$29+U817*$AC$30</f>
        <v/>
      </c>
      <c r="W817" s="8">
        <f>1/(1+EXP(-V817))</f>
        <v/>
      </c>
      <c r="X817" s="9">
        <f>-IF(C817=1,LN(W817),LN(1-W817))</f>
        <v/>
      </c>
      <c r="Y817" s="10">
        <f>IF(W817&gt;$AC$33,1,0)</f>
        <v/>
      </c>
      <c r="Z817">
        <f>IF(Y817=C817,1,0)</f>
        <v/>
      </c>
    </row>
    <row r="818">
      <c r="A818">
        <f>'1 prepared data'!A811</f>
        <v/>
      </c>
      <c r="B818" s="5">
        <f>'1 prepared data'!U811</f>
        <v/>
      </c>
      <c r="C818">
        <f>'1 prepared data'!B811</f>
        <v/>
      </c>
      <c r="D818" s="7">
        <f>'1 prepared data'!C811</f>
        <v/>
      </c>
      <c r="E818" s="7">
        <f>'1 prepared data'!D811</f>
        <v/>
      </c>
      <c r="F818" s="7">
        <f>'1 prepared data'!E811</f>
        <v/>
      </c>
      <c r="G818" s="7">
        <f>'1 prepared data'!F811</f>
        <v/>
      </c>
      <c r="H818" s="7">
        <f>'1 prepared data'!G811</f>
        <v/>
      </c>
      <c r="I818" s="7">
        <f>'1 prepared data'!H811</f>
        <v/>
      </c>
      <c r="J818" s="7">
        <f>'1 prepared data'!I811</f>
        <v/>
      </c>
      <c r="K818" s="7">
        <f>'1 prepared data'!J811</f>
        <v/>
      </c>
      <c r="L818" s="7">
        <f>'1 prepared data'!K811</f>
        <v/>
      </c>
      <c r="M818" s="7">
        <f>'1 prepared data'!L811</f>
        <v/>
      </c>
      <c r="N818" s="7">
        <f>'1 prepared data'!M811</f>
        <v/>
      </c>
      <c r="O818" s="7">
        <f>'1 prepared data'!N811</f>
        <v/>
      </c>
      <c r="P818" s="7">
        <f>'1 prepared data'!O811</f>
        <v/>
      </c>
      <c r="Q818" s="7">
        <f>'1 prepared data'!P811</f>
        <v/>
      </c>
      <c r="R818" s="7">
        <f>'1 prepared data'!Q811</f>
        <v/>
      </c>
      <c r="S818" s="7">
        <f>'1 prepared data'!R811</f>
        <v/>
      </c>
      <c r="T818" s="7">
        <f>'1 prepared data'!S811</f>
        <v/>
      </c>
      <c r="U818" s="7">
        <f>'1 prepared data'!T811</f>
        <v/>
      </c>
      <c r="V818" s="8">
        <f>$AC$12+D818*$AC$13+E818*$AC$14+F818*$AC$15+G818*$AC$16+H818*$AC$17+I818*$AC$18+J818*$AC$19+K818*$AC$20+L818*$AC$21+M818*$AC$22+N818*$AC$23+O818*$AC$24+P818*$AC$25+Q818*$AC$26+R818*$AC$27+S818*$AC$28+T818*$AC$29+U818*$AC$30</f>
        <v/>
      </c>
      <c r="W818" s="8">
        <f>1/(1+EXP(-V818))</f>
        <v/>
      </c>
      <c r="X818" s="9">
        <f>-IF(C818=1,LN(W818),LN(1-W818))</f>
        <v/>
      </c>
      <c r="Y818" s="10">
        <f>IF(W818&gt;$AC$33,1,0)</f>
        <v/>
      </c>
      <c r="Z818">
        <f>IF(Y818=C818,1,0)</f>
        <v/>
      </c>
    </row>
    <row r="819">
      <c r="A819">
        <f>'1 prepared data'!A812</f>
        <v/>
      </c>
      <c r="B819" s="5">
        <f>'1 prepared data'!U812</f>
        <v/>
      </c>
      <c r="C819">
        <f>'1 prepared data'!B812</f>
        <v/>
      </c>
      <c r="D819" s="7">
        <f>'1 prepared data'!C812</f>
        <v/>
      </c>
      <c r="E819" s="7">
        <f>'1 prepared data'!D812</f>
        <v/>
      </c>
      <c r="F819" s="7">
        <f>'1 prepared data'!E812</f>
        <v/>
      </c>
      <c r="G819" s="7">
        <f>'1 prepared data'!F812</f>
        <v/>
      </c>
      <c r="H819" s="7">
        <f>'1 prepared data'!G812</f>
        <v/>
      </c>
      <c r="I819" s="7">
        <f>'1 prepared data'!H812</f>
        <v/>
      </c>
      <c r="J819" s="7">
        <f>'1 prepared data'!I812</f>
        <v/>
      </c>
      <c r="K819" s="7">
        <f>'1 prepared data'!J812</f>
        <v/>
      </c>
      <c r="L819" s="7">
        <f>'1 prepared data'!K812</f>
        <v/>
      </c>
      <c r="M819" s="7">
        <f>'1 prepared data'!L812</f>
        <v/>
      </c>
      <c r="N819" s="7">
        <f>'1 prepared data'!M812</f>
        <v/>
      </c>
      <c r="O819" s="7">
        <f>'1 prepared data'!N812</f>
        <v/>
      </c>
      <c r="P819" s="7">
        <f>'1 prepared data'!O812</f>
        <v/>
      </c>
      <c r="Q819" s="7">
        <f>'1 prepared data'!P812</f>
        <v/>
      </c>
      <c r="R819" s="7">
        <f>'1 prepared data'!Q812</f>
        <v/>
      </c>
      <c r="S819" s="7">
        <f>'1 prepared data'!R812</f>
        <v/>
      </c>
      <c r="T819" s="7">
        <f>'1 prepared data'!S812</f>
        <v/>
      </c>
      <c r="U819" s="7">
        <f>'1 prepared data'!T812</f>
        <v/>
      </c>
      <c r="V819" s="8">
        <f>$AC$12+D819*$AC$13+E819*$AC$14+F819*$AC$15+G819*$AC$16+H819*$AC$17+I819*$AC$18+J819*$AC$19+K819*$AC$20+L819*$AC$21+M819*$AC$22+N819*$AC$23+O819*$AC$24+P819*$AC$25+Q819*$AC$26+R819*$AC$27+S819*$AC$28+T819*$AC$29+U819*$AC$30</f>
        <v/>
      </c>
      <c r="W819" s="8">
        <f>1/(1+EXP(-V819))</f>
        <v/>
      </c>
      <c r="X819" s="9">
        <f>-IF(C819=1,LN(W819),LN(1-W819))</f>
        <v/>
      </c>
      <c r="Y819" s="10">
        <f>IF(W819&gt;$AC$33,1,0)</f>
        <v/>
      </c>
      <c r="Z819">
        <f>IF(Y819=C819,1,0)</f>
        <v/>
      </c>
    </row>
    <row r="820">
      <c r="A820">
        <f>'1 prepared data'!A813</f>
        <v/>
      </c>
      <c r="B820" s="5">
        <f>'1 prepared data'!U813</f>
        <v/>
      </c>
      <c r="C820">
        <f>'1 prepared data'!B813</f>
        <v/>
      </c>
      <c r="D820" s="7">
        <f>'1 prepared data'!C813</f>
        <v/>
      </c>
      <c r="E820" s="7">
        <f>'1 prepared data'!D813</f>
        <v/>
      </c>
      <c r="F820" s="7">
        <f>'1 prepared data'!E813</f>
        <v/>
      </c>
      <c r="G820" s="7">
        <f>'1 prepared data'!F813</f>
        <v/>
      </c>
      <c r="H820" s="7">
        <f>'1 prepared data'!G813</f>
        <v/>
      </c>
      <c r="I820" s="7">
        <f>'1 prepared data'!H813</f>
        <v/>
      </c>
      <c r="J820" s="7">
        <f>'1 prepared data'!I813</f>
        <v/>
      </c>
      <c r="K820" s="7">
        <f>'1 prepared data'!J813</f>
        <v/>
      </c>
      <c r="L820" s="7">
        <f>'1 prepared data'!K813</f>
        <v/>
      </c>
      <c r="M820" s="7">
        <f>'1 prepared data'!L813</f>
        <v/>
      </c>
      <c r="N820" s="7">
        <f>'1 prepared data'!M813</f>
        <v/>
      </c>
      <c r="O820" s="7">
        <f>'1 prepared data'!N813</f>
        <v/>
      </c>
      <c r="P820" s="7">
        <f>'1 prepared data'!O813</f>
        <v/>
      </c>
      <c r="Q820" s="7">
        <f>'1 prepared data'!P813</f>
        <v/>
      </c>
      <c r="R820" s="7">
        <f>'1 prepared data'!Q813</f>
        <v/>
      </c>
      <c r="S820" s="7">
        <f>'1 prepared data'!R813</f>
        <v/>
      </c>
      <c r="T820" s="7">
        <f>'1 prepared data'!S813</f>
        <v/>
      </c>
      <c r="U820" s="7">
        <f>'1 prepared data'!T813</f>
        <v/>
      </c>
      <c r="V820" s="8">
        <f>$AC$12+D820*$AC$13+E820*$AC$14+F820*$AC$15+G820*$AC$16+H820*$AC$17+I820*$AC$18+J820*$AC$19+K820*$AC$20+L820*$AC$21+M820*$AC$22+N820*$AC$23+O820*$AC$24+P820*$AC$25+Q820*$AC$26+R820*$AC$27+S820*$AC$28+T820*$AC$29+U820*$AC$30</f>
        <v/>
      </c>
      <c r="W820" s="8">
        <f>1/(1+EXP(-V820))</f>
        <v/>
      </c>
      <c r="X820" s="9">
        <f>-IF(C820=1,LN(W820),LN(1-W820))</f>
        <v/>
      </c>
      <c r="Y820" s="10">
        <f>IF(W820&gt;$AC$33,1,0)</f>
        <v/>
      </c>
      <c r="Z820">
        <f>IF(Y820=C820,1,0)</f>
        <v/>
      </c>
    </row>
    <row r="821">
      <c r="A821">
        <f>'1 prepared data'!A814</f>
        <v/>
      </c>
      <c r="B821" s="5">
        <f>'1 prepared data'!U814</f>
        <v/>
      </c>
      <c r="C821">
        <f>'1 prepared data'!B814</f>
        <v/>
      </c>
      <c r="D821" s="7">
        <f>'1 prepared data'!C814</f>
        <v/>
      </c>
      <c r="E821" s="7">
        <f>'1 prepared data'!D814</f>
        <v/>
      </c>
      <c r="F821" s="7">
        <f>'1 prepared data'!E814</f>
        <v/>
      </c>
      <c r="G821" s="7">
        <f>'1 prepared data'!F814</f>
        <v/>
      </c>
      <c r="H821" s="7">
        <f>'1 prepared data'!G814</f>
        <v/>
      </c>
      <c r="I821" s="7">
        <f>'1 prepared data'!H814</f>
        <v/>
      </c>
      <c r="J821" s="7">
        <f>'1 prepared data'!I814</f>
        <v/>
      </c>
      <c r="K821" s="7">
        <f>'1 prepared data'!J814</f>
        <v/>
      </c>
      <c r="L821" s="7">
        <f>'1 prepared data'!K814</f>
        <v/>
      </c>
      <c r="M821" s="7">
        <f>'1 prepared data'!L814</f>
        <v/>
      </c>
      <c r="N821" s="7">
        <f>'1 prepared data'!M814</f>
        <v/>
      </c>
      <c r="O821" s="7">
        <f>'1 prepared data'!N814</f>
        <v/>
      </c>
      <c r="P821" s="7">
        <f>'1 prepared data'!O814</f>
        <v/>
      </c>
      <c r="Q821" s="7">
        <f>'1 prepared data'!P814</f>
        <v/>
      </c>
      <c r="R821" s="7">
        <f>'1 prepared data'!Q814</f>
        <v/>
      </c>
      <c r="S821" s="7">
        <f>'1 prepared data'!R814</f>
        <v/>
      </c>
      <c r="T821" s="7">
        <f>'1 prepared data'!S814</f>
        <v/>
      </c>
      <c r="U821" s="7">
        <f>'1 prepared data'!T814</f>
        <v/>
      </c>
      <c r="V821" s="8">
        <f>$AC$12+D821*$AC$13+E821*$AC$14+F821*$AC$15+G821*$AC$16+H821*$AC$17+I821*$AC$18+J821*$AC$19+K821*$AC$20+L821*$AC$21+M821*$AC$22+N821*$AC$23+O821*$AC$24+P821*$AC$25+Q821*$AC$26+R821*$AC$27+S821*$AC$28+T821*$AC$29+U821*$AC$30</f>
        <v/>
      </c>
      <c r="W821" s="8">
        <f>1/(1+EXP(-V821))</f>
        <v/>
      </c>
      <c r="X821" s="9">
        <f>-IF(C821=1,LN(W821),LN(1-W821))</f>
        <v/>
      </c>
      <c r="Y821" s="10">
        <f>IF(W821&gt;$AC$33,1,0)</f>
        <v/>
      </c>
      <c r="Z821">
        <f>IF(Y821=C821,1,0)</f>
        <v/>
      </c>
    </row>
    <row r="822">
      <c r="A822">
        <f>'1 prepared data'!A815</f>
        <v/>
      </c>
      <c r="B822" s="5">
        <f>'1 prepared data'!U815</f>
        <v/>
      </c>
      <c r="C822">
        <f>'1 prepared data'!B815</f>
        <v/>
      </c>
      <c r="D822" s="7">
        <f>'1 prepared data'!C815</f>
        <v/>
      </c>
      <c r="E822" s="7">
        <f>'1 prepared data'!D815</f>
        <v/>
      </c>
      <c r="F822" s="7">
        <f>'1 prepared data'!E815</f>
        <v/>
      </c>
      <c r="G822" s="7">
        <f>'1 prepared data'!F815</f>
        <v/>
      </c>
      <c r="H822" s="7">
        <f>'1 prepared data'!G815</f>
        <v/>
      </c>
      <c r="I822" s="7">
        <f>'1 prepared data'!H815</f>
        <v/>
      </c>
      <c r="J822" s="7">
        <f>'1 prepared data'!I815</f>
        <v/>
      </c>
      <c r="K822" s="7">
        <f>'1 prepared data'!J815</f>
        <v/>
      </c>
      <c r="L822" s="7">
        <f>'1 prepared data'!K815</f>
        <v/>
      </c>
      <c r="M822" s="7">
        <f>'1 prepared data'!L815</f>
        <v/>
      </c>
      <c r="N822" s="7">
        <f>'1 prepared data'!M815</f>
        <v/>
      </c>
      <c r="O822" s="7">
        <f>'1 prepared data'!N815</f>
        <v/>
      </c>
      <c r="P822" s="7">
        <f>'1 prepared data'!O815</f>
        <v/>
      </c>
      <c r="Q822" s="7">
        <f>'1 prepared data'!P815</f>
        <v/>
      </c>
      <c r="R822" s="7">
        <f>'1 prepared data'!Q815</f>
        <v/>
      </c>
      <c r="S822" s="7">
        <f>'1 prepared data'!R815</f>
        <v/>
      </c>
      <c r="T822" s="7">
        <f>'1 prepared data'!S815</f>
        <v/>
      </c>
      <c r="U822" s="7">
        <f>'1 prepared data'!T815</f>
        <v/>
      </c>
      <c r="V822" s="8">
        <f>$AC$12+D822*$AC$13+E822*$AC$14+F822*$AC$15+G822*$AC$16+H822*$AC$17+I822*$AC$18+J822*$AC$19+K822*$AC$20+L822*$AC$21+M822*$AC$22+N822*$AC$23+O822*$AC$24+P822*$AC$25+Q822*$AC$26+R822*$AC$27+S822*$AC$28+T822*$AC$29+U822*$AC$30</f>
        <v/>
      </c>
      <c r="W822" s="8">
        <f>1/(1+EXP(-V822))</f>
        <v/>
      </c>
      <c r="X822" s="9">
        <f>-IF(C822=1,LN(W822),LN(1-W822))</f>
        <v/>
      </c>
      <c r="Y822" s="10">
        <f>IF(W822&gt;$AC$33,1,0)</f>
        <v/>
      </c>
      <c r="Z822">
        <f>IF(Y822=C822,1,0)</f>
        <v/>
      </c>
    </row>
    <row r="823">
      <c r="A823">
        <f>'1 prepared data'!A816</f>
        <v/>
      </c>
      <c r="B823" s="5">
        <f>'1 prepared data'!U816</f>
        <v/>
      </c>
      <c r="C823">
        <f>'1 prepared data'!B816</f>
        <v/>
      </c>
      <c r="D823" s="7">
        <f>'1 prepared data'!C816</f>
        <v/>
      </c>
      <c r="E823" s="7">
        <f>'1 prepared data'!D816</f>
        <v/>
      </c>
      <c r="F823" s="7">
        <f>'1 prepared data'!E816</f>
        <v/>
      </c>
      <c r="G823" s="7">
        <f>'1 prepared data'!F816</f>
        <v/>
      </c>
      <c r="H823" s="7">
        <f>'1 prepared data'!G816</f>
        <v/>
      </c>
      <c r="I823" s="7">
        <f>'1 prepared data'!H816</f>
        <v/>
      </c>
      <c r="J823" s="7">
        <f>'1 prepared data'!I816</f>
        <v/>
      </c>
      <c r="K823" s="7">
        <f>'1 prepared data'!J816</f>
        <v/>
      </c>
      <c r="L823" s="7">
        <f>'1 prepared data'!K816</f>
        <v/>
      </c>
      <c r="M823" s="7">
        <f>'1 prepared data'!L816</f>
        <v/>
      </c>
      <c r="N823" s="7">
        <f>'1 prepared data'!M816</f>
        <v/>
      </c>
      <c r="O823" s="7">
        <f>'1 prepared data'!N816</f>
        <v/>
      </c>
      <c r="P823" s="7">
        <f>'1 prepared data'!O816</f>
        <v/>
      </c>
      <c r="Q823" s="7">
        <f>'1 prepared data'!P816</f>
        <v/>
      </c>
      <c r="R823" s="7">
        <f>'1 prepared data'!Q816</f>
        <v/>
      </c>
      <c r="S823" s="7">
        <f>'1 prepared data'!R816</f>
        <v/>
      </c>
      <c r="T823" s="7">
        <f>'1 prepared data'!S816</f>
        <v/>
      </c>
      <c r="U823" s="7">
        <f>'1 prepared data'!T816</f>
        <v/>
      </c>
      <c r="V823" s="8">
        <f>$AC$12+D823*$AC$13+E823*$AC$14+F823*$AC$15+G823*$AC$16+H823*$AC$17+I823*$AC$18+J823*$AC$19+K823*$AC$20+L823*$AC$21+M823*$AC$22+N823*$AC$23+O823*$AC$24+P823*$AC$25+Q823*$AC$26+R823*$AC$27+S823*$AC$28+T823*$AC$29+U823*$AC$30</f>
        <v/>
      </c>
      <c r="W823" s="8">
        <f>1/(1+EXP(-V823))</f>
        <v/>
      </c>
      <c r="X823" s="9">
        <f>-IF(C823=1,LN(W823),LN(1-W823))</f>
        <v/>
      </c>
      <c r="Y823" s="10">
        <f>IF(W823&gt;$AC$33,1,0)</f>
        <v/>
      </c>
      <c r="Z823">
        <f>IF(Y823=C823,1,0)</f>
        <v/>
      </c>
    </row>
    <row r="824">
      <c r="A824">
        <f>'1 prepared data'!A817</f>
        <v/>
      </c>
      <c r="B824" s="5">
        <f>'1 prepared data'!U817</f>
        <v/>
      </c>
      <c r="C824">
        <f>'1 prepared data'!B817</f>
        <v/>
      </c>
      <c r="D824" s="7">
        <f>'1 prepared data'!C817</f>
        <v/>
      </c>
      <c r="E824" s="7">
        <f>'1 prepared data'!D817</f>
        <v/>
      </c>
      <c r="F824" s="7">
        <f>'1 prepared data'!E817</f>
        <v/>
      </c>
      <c r="G824" s="7">
        <f>'1 prepared data'!F817</f>
        <v/>
      </c>
      <c r="H824" s="7">
        <f>'1 prepared data'!G817</f>
        <v/>
      </c>
      <c r="I824" s="7">
        <f>'1 prepared data'!H817</f>
        <v/>
      </c>
      <c r="J824" s="7">
        <f>'1 prepared data'!I817</f>
        <v/>
      </c>
      <c r="K824" s="7">
        <f>'1 prepared data'!J817</f>
        <v/>
      </c>
      <c r="L824" s="7">
        <f>'1 prepared data'!K817</f>
        <v/>
      </c>
      <c r="M824" s="7">
        <f>'1 prepared data'!L817</f>
        <v/>
      </c>
      <c r="N824" s="7">
        <f>'1 prepared data'!M817</f>
        <v/>
      </c>
      <c r="O824" s="7">
        <f>'1 prepared data'!N817</f>
        <v/>
      </c>
      <c r="P824" s="7">
        <f>'1 prepared data'!O817</f>
        <v/>
      </c>
      <c r="Q824" s="7">
        <f>'1 prepared data'!P817</f>
        <v/>
      </c>
      <c r="R824" s="7">
        <f>'1 prepared data'!Q817</f>
        <v/>
      </c>
      <c r="S824" s="7">
        <f>'1 prepared data'!R817</f>
        <v/>
      </c>
      <c r="T824" s="7">
        <f>'1 prepared data'!S817</f>
        <v/>
      </c>
      <c r="U824" s="7">
        <f>'1 prepared data'!T817</f>
        <v/>
      </c>
      <c r="V824" s="8">
        <f>$AC$12+D824*$AC$13+E824*$AC$14+F824*$AC$15+G824*$AC$16+H824*$AC$17+I824*$AC$18+J824*$AC$19+K824*$AC$20+L824*$AC$21+M824*$AC$22+N824*$AC$23+O824*$AC$24+P824*$AC$25+Q824*$AC$26+R824*$AC$27+S824*$AC$28+T824*$AC$29+U824*$AC$30</f>
        <v/>
      </c>
      <c r="W824" s="8">
        <f>1/(1+EXP(-V824))</f>
        <v/>
      </c>
      <c r="X824" s="9">
        <f>-IF(C824=1,LN(W824),LN(1-W824))</f>
        <v/>
      </c>
      <c r="Y824" s="10">
        <f>IF(W824&gt;$AC$33,1,0)</f>
        <v/>
      </c>
      <c r="Z824">
        <f>IF(Y824=C824,1,0)</f>
        <v/>
      </c>
    </row>
    <row r="825">
      <c r="A825">
        <f>'1 prepared data'!A818</f>
        <v/>
      </c>
      <c r="B825" s="5">
        <f>'1 prepared data'!U818</f>
        <v/>
      </c>
      <c r="C825">
        <f>'1 prepared data'!B818</f>
        <v/>
      </c>
      <c r="D825" s="7">
        <f>'1 prepared data'!C818</f>
        <v/>
      </c>
      <c r="E825" s="7">
        <f>'1 prepared data'!D818</f>
        <v/>
      </c>
      <c r="F825" s="7">
        <f>'1 prepared data'!E818</f>
        <v/>
      </c>
      <c r="G825" s="7">
        <f>'1 prepared data'!F818</f>
        <v/>
      </c>
      <c r="H825" s="7">
        <f>'1 prepared data'!G818</f>
        <v/>
      </c>
      <c r="I825" s="7">
        <f>'1 prepared data'!H818</f>
        <v/>
      </c>
      <c r="J825" s="7">
        <f>'1 prepared data'!I818</f>
        <v/>
      </c>
      <c r="K825" s="7">
        <f>'1 prepared data'!J818</f>
        <v/>
      </c>
      <c r="L825" s="7">
        <f>'1 prepared data'!K818</f>
        <v/>
      </c>
      <c r="M825" s="7">
        <f>'1 prepared data'!L818</f>
        <v/>
      </c>
      <c r="N825" s="7">
        <f>'1 prepared data'!M818</f>
        <v/>
      </c>
      <c r="O825" s="7">
        <f>'1 prepared data'!N818</f>
        <v/>
      </c>
      <c r="P825" s="7">
        <f>'1 prepared data'!O818</f>
        <v/>
      </c>
      <c r="Q825" s="7">
        <f>'1 prepared data'!P818</f>
        <v/>
      </c>
      <c r="R825" s="7">
        <f>'1 prepared data'!Q818</f>
        <v/>
      </c>
      <c r="S825" s="7">
        <f>'1 prepared data'!R818</f>
        <v/>
      </c>
      <c r="T825" s="7">
        <f>'1 prepared data'!S818</f>
        <v/>
      </c>
      <c r="U825" s="7">
        <f>'1 prepared data'!T818</f>
        <v/>
      </c>
      <c r="V825" s="8">
        <f>$AC$12+D825*$AC$13+E825*$AC$14+F825*$AC$15+G825*$AC$16+H825*$AC$17+I825*$AC$18+J825*$AC$19+K825*$AC$20+L825*$AC$21+M825*$AC$22+N825*$AC$23+O825*$AC$24+P825*$AC$25+Q825*$AC$26+R825*$AC$27+S825*$AC$28+T825*$AC$29+U825*$AC$30</f>
        <v/>
      </c>
      <c r="W825" s="8">
        <f>1/(1+EXP(-V825))</f>
        <v/>
      </c>
      <c r="X825" s="9">
        <f>-IF(C825=1,LN(W825),LN(1-W825))</f>
        <v/>
      </c>
      <c r="Y825" s="10">
        <f>IF(W825&gt;$AC$33,1,0)</f>
        <v/>
      </c>
      <c r="Z825">
        <f>IF(Y825=C825,1,0)</f>
        <v/>
      </c>
    </row>
    <row r="826">
      <c r="A826">
        <f>'1 prepared data'!A819</f>
        <v/>
      </c>
      <c r="B826" s="5">
        <f>'1 prepared data'!U819</f>
        <v/>
      </c>
      <c r="C826">
        <f>'1 prepared data'!B819</f>
        <v/>
      </c>
      <c r="D826" s="7">
        <f>'1 prepared data'!C819</f>
        <v/>
      </c>
      <c r="E826" s="7">
        <f>'1 prepared data'!D819</f>
        <v/>
      </c>
      <c r="F826" s="7">
        <f>'1 prepared data'!E819</f>
        <v/>
      </c>
      <c r="G826" s="7">
        <f>'1 prepared data'!F819</f>
        <v/>
      </c>
      <c r="H826" s="7">
        <f>'1 prepared data'!G819</f>
        <v/>
      </c>
      <c r="I826" s="7">
        <f>'1 prepared data'!H819</f>
        <v/>
      </c>
      <c r="J826" s="7">
        <f>'1 prepared data'!I819</f>
        <v/>
      </c>
      <c r="K826" s="7">
        <f>'1 prepared data'!J819</f>
        <v/>
      </c>
      <c r="L826" s="7">
        <f>'1 prepared data'!K819</f>
        <v/>
      </c>
      <c r="M826" s="7">
        <f>'1 prepared data'!L819</f>
        <v/>
      </c>
      <c r="N826" s="7">
        <f>'1 prepared data'!M819</f>
        <v/>
      </c>
      <c r="O826" s="7">
        <f>'1 prepared data'!N819</f>
        <v/>
      </c>
      <c r="P826" s="7">
        <f>'1 prepared data'!O819</f>
        <v/>
      </c>
      <c r="Q826" s="7">
        <f>'1 prepared data'!P819</f>
        <v/>
      </c>
      <c r="R826" s="7">
        <f>'1 prepared data'!Q819</f>
        <v/>
      </c>
      <c r="S826" s="7">
        <f>'1 prepared data'!R819</f>
        <v/>
      </c>
      <c r="T826" s="7">
        <f>'1 prepared data'!S819</f>
        <v/>
      </c>
      <c r="U826" s="7">
        <f>'1 prepared data'!T819</f>
        <v/>
      </c>
      <c r="V826" s="8">
        <f>$AC$12+D826*$AC$13+E826*$AC$14+F826*$AC$15+G826*$AC$16+H826*$AC$17+I826*$AC$18+J826*$AC$19+K826*$AC$20+L826*$AC$21+M826*$AC$22+N826*$AC$23+O826*$AC$24+P826*$AC$25+Q826*$AC$26+R826*$AC$27+S826*$AC$28+T826*$AC$29+U826*$AC$30</f>
        <v/>
      </c>
      <c r="W826" s="8">
        <f>1/(1+EXP(-V826))</f>
        <v/>
      </c>
      <c r="X826" s="9">
        <f>-IF(C826=1,LN(W826),LN(1-W826))</f>
        <v/>
      </c>
      <c r="Y826" s="10">
        <f>IF(W826&gt;$AC$33,1,0)</f>
        <v/>
      </c>
      <c r="Z826">
        <f>IF(Y826=C826,1,0)</f>
        <v/>
      </c>
    </row>
    <row r="827">
      <c r="A827">
        <f>'1 prepared data'!A820</f>
        <v/>
      </c>
      <c r="B827" s="5">
        <f>'1 prepared data'!U820</f>
        <v/>
      </c>
      <c r="C827">
        <f>'1 prepared data'!B820</f>
        <v/>
      </c>
      <c r="D827" s="7">
        <f>'1 prepared data'!C820</f>
        <v/>
      </c>
      <c r="E827" s="7">
        <f>'1 prepared data'!D820</f>
        <v/>
      </c>
      <c r="F827" s="7">
        <f>'1 prepared data'!E820</f>
        <v/>
      </c>
      <c r="G827" s="7">
        <f>'1 prepared data'!F820</f>
        <v/>
      </c>
      <c r="H827" s="7">
        <f>'1 prepared data'!G820</f>
        <v/>
      </c>
      <c r="I827" s="7">
        <f>'1 prepared data'!H820</f>
        <v/>
      </c>
      <c r="J827" s="7">
        <f>'1 prepared data'!I820</f>
        <v/>
      </c>
      <c r="K827" s="7">
        <f>'1 prepared data'!J820</f>
        <v/>
      </c>
      <c r="L827" s="7">
        <f>'1 prepared data'!K820</f>
        <v/>
      </c>
      <c r="M827" s="7">
        <f>'1 prepared data'!L820</f>
        <v/>
      </c>
      <c r="N827" s="7">
        <f>'1 prepared data'!M820</f>
        <v/>
      </c>
      <c r="O827" s="7">
        <f>'1 prepared data'!N820</f>
        <v/>
      </c>
      <c r="P827" s="7">
        <f>'1 prepared data'!O820</f>
        <v/>
      </c>
      <c r="Q827" s="7">
        <f>'1 prepared data'!P820</f>
        <v/>
      </c>
      <c r="R827" s="7">
        <f>'1 prepared data'!Q820</f>
        <v/>
      </c>
      <c r="S827" s="7">
        <f>'1 prepared data'!R820</f>
        <v/>
      </c>
      <c r="T827" s="7">
        <f>'1 prepared data'!S820</f>
        <v/>
      </c>
      <c r="U827" s="7">
        <f>'1 prepared data'!T820</f>
        <v/>
      </c>
      <c r="V827" s="8">
        <f>$AC$12+D827*$AC$13+E827*$AC$14+F827*$AC$15+G827*$AC$16+H827*$AC$17+I827*$AC$18+J827*$AC$19+K827*$AC$20+L827*$AC$21+M827*$AC$22+N827*$AC$23+O827*$AC$24+P827*$AC$25+Q827*$AC$26+R827*$AC$27+S827*$AC$28+T827*$AC$29+U827*$AC$30</f>
        <v/>
      </c>
      <c r="W827" s="8">
        <f>1/(1+EXP(-V827))</f>
        <v/>
      </c>
      <c r="X827" s="9">
        <f>-IF(C827=1,LN(W827),LN(1-W827))</f>
        <v/>
      </c>
      <c r="Y827" s="10">
        <f>IF(W827&gt;$AC$33,1,0)</f>
        <v/>
      </c>
      <c r="Z827">
        <f>IF(Y827=C827,1,0)</f>
        <v/>
      </c>
    </row>
    <row r="828">
      <c r="A828">
        <f>'1 prepared data'!A821</f>
        <v/>
      </c>
      <c r="B828" s="5">
        <f>'1 prepared data'!U821</f>
        <v/>
      </c>
      <c r="C828">
        <f>'1 prepared data'!B821</f>
        <v/>
      </c>
      <c r="D828" s="7">
        <f>'1 prepared data'!C821</f>
        <v/>
      </c>
      <c r="E828" s="7">
        <f>'1 prepared data'!D821</f>
        <v/>
      </c>
      <c r="F828" s="7">
        <f>'1 prepared data'!E821</f>
        <v/>
      </c>
      <c r="G828" s="7">
        <f>'1 prepared data'!F821</f>
        <v/>
      </c>
      <c r="H828" s="7">
        <f>'1 prepared data'!G821</f>
        <v/>
      </c>
      <c r="I828" s="7">
        <f>'1 prepared data'!H821</f>
        <v/>
      </c>
      <c r="J828" s="7">
        <f>'1 prepared data'!I821</f>
        <v/>
      </c>
      <c r="K828" s="7">
        <f>'1 prepared data'!J821</f>
        <v/>
      </c>
      <c r="L828" s="7">
        <f>'1 prepared data'!K821</f>
        <v/>
      </c>
      <c r="M828" s="7">
        <f>'1 prepared data'!L821</f>
        <v/>
      </c>
      <c r="N828" s="7">
        <f>'1 prepared data'!M821</f>
        <v/>
      </c>
      <c r="O828" s="7">
        <f>'1 prepared data'!N821</f>
        <v/>
      </c>
      <c r="P828" s="7">
        <f>'1 prepared data'!O821</f>
        <v/>
      </c>
      <c r="Q828" s="7">
        <f>'1 prepared data'!P821</f>
        <v/>
      </c>
      <c r="R828" s="7">
        <f>'1 prepared data'!Q821</f>
        <v/>
      </c>
      <c r="S828" s="7">
        <f>'1 prepared data'!R821</f>
        <v/>
      </c>
      <c r="T828" s="7">
        <f>'1 prepared data'!S821</f>
        <v/>
      </c>
      <c r="U828" s="7">
        <f>'1 prepared data'!T821</f>
        <v/>
      </c>
      <c r="V828" s="8">
        <f>$AC$12+D828*$AC$13+E828*$AC$14+F828*$AC$15+G828*$AC$16+H828*$AC$17+I828*$AC$18+J828*$AC$19+K828*$AC$20+L828*$AC$21+M828*$AC$22+N828*$AC$23+O828*$AC$24+P828*$AC$25+Q828*$AC$26+R828*$AC$27+S828*$AC$28+T828*$AC$29+U828*$AC$30</f>
        <v/>
      </c>
      <c r="W828" s="8">
        <f>1/(1+EXP(-V828))</f>
        <v/>
      </c>
      <c r="X828" s="9">
        <f>-IF(C828=1,LN(W828),LN(1-W828))</f>
        <v/>
      </c>
      <c r="Y828" s="10">
        <f>IF(W828&gt;$AC$33,1,0)</f>
        <v/>
      </c>
      <c r="Z828">
        <f>IF(Y828=C828,1,0)</f>
        <v/>
      </c>
    </row>
    <row r="829">
      <c r="A829">
        <f>'1 prepared data'!A822</f>
        <v/>
      </c>
      <c r="B829" s="5">
        <f>'1 prepared data'!U822</f>
        <v/>
      </c>
      <c r="C829">
        <f>'1 prepared data'!B822</f>
        <v/>
      </c>
      <c r="D829" s="7">
        <f>'1 prepared data'!C822</f>
        <v/>
      </c>
      <c r="E829" s="7">
        <f>'1 prepared data'!D822</f>
        <v/>
      </c>
      <c r="F829" s="7">
        <f>'1 prepared data'!E822</f>
        <v/>
      </c>
      <c r="G829" s="7">
        <f>'1 prepared data'!F822</f>
        <v/>
      </c>
      <c r="H829" s="7">
        <f>'1 prepared data'!G822</f>
        <v/>
      </c>
      <c r="I829" s="7">
        <f>'1 prepared data'!H822</f>
        <v/>
      </c>
      <c r="J829" s="7">
        <f>'1 prepared data'!I822</f>
        <v/>
      </c>
      <c r="K829" s="7">
        <f>'1 prepared data'!J822</f>
        <v/>
      </c>
      <c r="L829" s="7">
        <f>'1 prepared data'!K822</f>
        <v/>
      </c>
      <c r="M829" s="7">
        <f>'1 prepared data'!L822</f>
        <v/>
      </c>
      <c r="N829" s="7">
        <f>'1 prepared data'!M822</f>
        <v/>
      </c>
      <c r="O829" s="7">
        <f>'1 prepared data'!N822</f>
        <v/>
      </c>
      <c r="P829" s="7">
        <f>'1 prepared data'!O822</f>
        <v/>
      </c>
      <c r="Q829" s="7">
        <f>'1 prepared data'!P822</f>
        <v/>
      </c>
      <c r="R829" s="7">
        <f>'1 prepared data'!Q822</f>
        <v/>
      </c>
      <c r="S829" s="7">
        <f>'1 prepared data'!R822</f>
        <v/>
      </c>
      <c r="T829" s="7">
        <f>'1 prepared data'!S822</f>
        <v/>
      </c>
      <c r="U829" s="7">
        <f>'1 prepared data'!T822</f>
        <v/>
      </c>
      <c r="V829" s="8">
        <f>$AC$12+D829*$AC$13+E829*$AC$14+F829*$AC$15+G829*$AC$16+H829*$AC$17+I829*$AC$18+J829*$AC$19+K829*$AC$20+L829*$AC$21+M829*$AC$22+N829*$AC$23+O829*$AC$24+P829*$AC$25+Q829*$AC$26+R829*$AC$27+S829*$AC$28+T829*$AC$29+U829*$AC$30</f>
        <v/>
      </c>
      <c r="W829" s="8">
        <f>1/(1+EXP(-V829))</f>
        <v/>
      </c>
      <c r="X829" s="9">
        <f>-IF(C829=1,LN(W829),LN(1-W829))</f>
        <v/>
      </c>
      <c r="Y829" s="10">
        <f>IF(W829&gt;$AC$33,1,0)</f>
        <v/>
      </c>
      <c r="Z829">
        <f>IF(Y829=C829,1,0)</f>
        <v/>
      </c>
    </row>
    <row r="830">
      <c r="A830">
        <f>'1 prepared data'!A823</f>
        <v/>
      </c>
      <c r="B830" s="5">
        <f>'1 prepared data'!U823</f>
        <v/>
      </c>
      <c r="C830">
        <f>'1 prepared data'!B823</f>
        <v/>
      </c>
      <c r="D830" s="7">
        <f>'1 prepared data'!C823</f>
        <v/>
      </c>
      <c r="E830" s="7">
        <f>'1 prepared data'!D823</f>
        <v/>
      </c>
      <c r="F830" s="7">
        <f>'1 prepared data'!E823</f>
        <v/>
      </c>
      <c r="G830" s="7">
        <f>'1 prepared data'!F823</f>
        <v/>
      </c>
      <c r="H830" s="7">
        <f>'1 prepared data'!G823</f>
        <v/>
      </c>
      <c r="I830" s="7">
        <f>'1 prepared data'!H823</f>
        <v/>
      </c>
      <c r="J830" s="7">
        <f>'1 prepared data'!I823</f>
        <v/>
      </c>
      <c r="K830" s="7">
        <f>'1 prepared data'!J823</f>
        <v/>
      </c>
      <c r="L830" s="7">
        <f>'1 prepared data'!K823</f>
        <v/>
      </c>
      <c r="M830" s="7">
        <f>'1 prepared data'!L823</f>
        <v/>
      </c>
      <c r="N830" s="7">
        <f>'1 prepared data'!M823</f>
        <v/>
      </c>
      <c r="O830" s="7">
        <f>'1 prepared data'!N823</f>
        <v/>
      </c>
      <c r="P830" s="7">
        <f>'1 prepared data'!O823</f>
        <v/>
      </c>
      <c r="Q830" s="7">
        <f>'1 prepared data'!P823</f>
        <v/>
      </c>
      <c r="R830" s="7">
        <f>'1 prepared data'!Q823</f>
        <v/>
      </c>
      <c r="S830" s="7">
        <f>'1 prepared data'!R823</f>
        <v/>
      </c>
      <c r="T830" s="7">
        <f>'1 prepared data'!S823</f>
        <v/>
      </c>
      <c r="U830" s="7">
        <f>'1 prepared data'!T823</f>
        <v/>
      </c>
      <c r="V830" s="8">
        <f>$AC$12+D830*$AC$13+E830*$AC$14+F830*$AC$15+G830*$AC$16+H830*$AC$17+I830*$AC$18+J830*$AC$19+K830*$AC$20+L830*$AC$21+M830*$AC$22+N830*$AC$23+O830*$AC$24+P830*$AC$25+Q830*$AC$26+R830*$AC$27+S830*$AC$28+T830*$AC$29+U830*$AC$30</f>
        <v/>
      </c>
      <c r="W830" s="8">
        <f>1/(1+EXP(-V830))</f>
        <v/>
      </c>
      <c r="X830" s="9">
        <f>-IF(C830=1,LN(W830),LN(1-W830))</f>
        <v/>
      </c>
      <c r="Y830" s="10">
        <f>IF(W830&gt;$AC$33,1,0)</f>
        <v/>
      </c>
      <c r="Z830">
        <f>IF(Y830=C830,1,0)</f>
        <v/>
      </c>
    </row>
    <row r="831">
      <c r="A831">
        <f>'1 prepared data'!A824</f>
        <v/>
      </c>
      <c r="B831" s="5">
        <f>'1 prepared data'!U824</f>
        <v/>
      </c>
      <c r="C831">
        <f>'1 prepared data'!B824</f>
        <v/>
      </c>
      <c r="D831" s="7">
        <f>'1 prepared data'!C824</f>
        <v/>
      </c>
      <c r="E831" s="7">
        <f>'1 prepared data'!D824</f>
        <v/>
      </c>
      <c r="F831" s="7">
        <f>'1 prepared data'!E824</f>
        <v/>
      </c>
      <c r="G831" s="7">
        <f>'1 prepared data'!F824</f>
        <v/>
      </c>
      <c r="H831" s="7">
        <f>'1 prepared data'!G824</f>
        <v/>
      </c>
      <c r="I831" s="7">
        <f>'1 prepared data'!H824</f>
        <v/>
      </c>
      <c r="J831" s="7">
        <f>'1 prepared data'!I824</f>
        <v/>
      </c>
      <c r="K831" s="7">
        <f>'1 prepared data'!J824</f>
        <v/>
      </c>
      <c r="L831" s="7">
        <f>'1 prepared data'!K824</f>
        <v/>
      </c>
      <c r="M831" s="7">
        <f>'1 prepared data'!L824</f>
        <v/>
      </c>
      <c r="N831" s="7">
        <f>'1 prepared data'!M824</f>
        <v/>
      </c>
      <c r="O831" s="7">
        <f>'1 prepared data'!N824</f>
        <v/>
      </c>
      <c r="P831" s="7">
        <f>'1 prepared data'!O824</f>
        <v/>
      </c>
      <c r="Q831" s="7">
        <f>'1 prepared data'!P824</f>
        <v/>
      </c>
      <c r="R831" s="7">
        <f>'1 prepared data'!Q824</f>
        <v/>
      </c>
      <c r="S831" s="7">
        <f>'1 prepared data'!R824</f>
        <v/>
      </c>
      <c r="T831" s="7">
        <f>'1 prepared data'!S824</f>
        <v/>
      </c>
      <c r="U831" s="7">
        <f>'1 prepared data'!T824</f>
        <v/>
      </c>
      <c r="V831" s="8">
        <f>$AC$12+D831*$AC$13+E831*$AC$14+F831*$AC$15+G831*$AC$16+H831*$AC$17+I831*$AC$18+J831*$AC$19+K831*$AC$20+L831*$AC$21+M831*$AC$22+N831*$AC$23+O831*$AC$24+P831*$AC$25+Q831*$AC$26+R831*$AC$27+S831*$AC$28+T831*$AC$29+U831*$AC$30</f>
        <v/>
      </c>
      <c r="W831" s="8">
        <f>1/(1+EXP(-V831))</f>
        <v/>
      </c>
      <c r="X831" s="9">
        <f>-IF(C831=1,LN(W831),LN(1-W831))</f>
        <v/>
      </c>
      <c r="Y831" s="10">
        <f>IF(W831&gt;$AC$33,1,0)</f>
        <v/>
      </c>
      <c r="Z831">
        <f>IF(Y831=C831,1,0)</f>
        <v/>
      </c>
    </row>
    <row r="832">
      <c r="A832">
        <f>'1 prepared data'!A825</f>
        <v/>
      </c>
      <c r="B832" s="5">
        <f>'1 prepared data'!U825</f>
        <v/>
      </c>
      <c r="C832">
        <f>'1 prepared data'!B825</f>
        <v/>
      </c>
      <c r="D832" s="7">
        <f>'1 prepared data'!C825</f>
        <v/>
      </c>
      <c r="E832" s="7">
        <f>'1 prepared data'!D825</f>
        <v/>
      </c>
      <c r="F832" s="7">
        <f>'1 prepared data'!E825</f>
        <v/>
      </c>
      <c r="G832" s="7">
        <f>'1 prepared data'!F825</f>
        <v/>
      </c>
      <c r="H832" s="7">
        <f>'1 prepared data'!G825</f>
        <v/>
      </c>
      <c r="I832" s="7">
        <f>'1 prepared data'!H825</f>
        <v/>
      </c>
      <c r="J832" s="7">
        <f>'1 prepared data'!I825</f>
        <v/>
      </c>
      <c r="K832" s="7">
        <f>'1 prepared data'!J825</f>
        <v/>
      </c>
      <c r="L832" s="7">
        <f>'1 prepared data'!K825</f>
        <v/>
      </c>
      <c r="M832" s="7">
        <f>'1 prepared data'!L825</f>
        <v/>
      </c>
      <c r="N832" s="7">
        <f>'1 prepared data'!M825</f>
        <v/>
      </c>
      <c r="O832" s="7">
        <f>'1 prepared data'!N825</f>
        <v/>
      </c>
      <c r="P832" s="7">
        <f>'1 prepared data'!O825</f>
        <v/>
      </c>
      <c r="Q832" s="7">
        <f>'1 prepared data'!P825</f>
        <v/>
      </c>
      <c r="R832" s="7">
        <f>'1 prepared data'!Q825</f>
        <v/>
      </c>
      <c r="S832" s="7">
        <f>'1 prepared data'!R825</f>
        <v/>
      </c>
      <c r="T832" s="7">
        <f>'1 prepared data'!S825</f>
        <v/>
      </c>
      <c r="U832" s="7">
        <f>'1 prepared data'!T825</f>
        <v/>
      </c>
      <c r="V832" s="8">
        <f>$AC$12+D832*$AC$13+E832*$AC$14+F832*$AC$15+G832*$AC$16+H832*$AC$17+I832*$AC$18+J832*$AC$19+K832*$AC$20+L832*$AC$21+M832*$AC$22+N832*$AC$23+O832*$AC$24+P832*$AC$25+Q832*$AC$26+R832*$AC$27+S832*$AC$28+T832*$AC$29+U832*$AC$30</f>
        <v/>
      </c>
      <c r="W832" s="8">
        <f>1/(1+EXP(-V832))</f>
        <v/>
      </c>
      <c r="X832" s="9">
        <f>-IF(C832=1,LN(W832),LN(1-W832))</f>
        <v/>
      </c>
      <c r="Y832" s="10">
        <f>IF(W832&gt;$AC$33,1,0)</f>
        <v/>
      </c>
      <c r="Z832">
        <f>IF(Y832=C832,1,0)</f>
        <v/>
      </c>
    </row>
    <row r="833">
      <c r="A833">
        <f>'1 prepared data'!A826</f>
        <v/>
      </c>
      <c r="B833" s="5">
        <f>'1 prepared data'!U826</f>
        <v/>
      </c>
      <c r="C833">
        <f>'1 prepared data'!B826</f>
        <v/>
      </c>
      <c r="D833" s="7">
        <f>'1 prepared data'!C826</f>
        <v/>
      </c>
      <c r="E833" s="7">
        <f>'1 prepared data'!D826</f>
        <v/>
      </c>
      <c r="F833" s="7">
        <f>'1 prepared data'!E826</f>
        <v/>
      </c>
      <c r="G833" s="7">
        <f>'1 prepared data'!F826</f>
        <v/>
      </c>
      <c r="H833" s="7">
        <f>'1 prepared data'!G826</f>
        <v/>
      </c>
      <c r="I833" s="7">
        <f>'1 prepared data'!H826</f>
        <v/>
      </c>
      <c r="J833" s="7">
        <f>'1 prepared data'!I826</f>
        <v/>
      </c>
      <c r="K833" s="7">
        <f>'1 prepared data'!J826</f>
        <v/>
      </c>
      <c r="L833" s="7">
        <f>'1 prepared data'!K826</f>
        <v/>
      </c>
      <c r="M833" s="7">
        <f>'1 prepared data'!L826</f>
        <v/>
      </c>
      <c r="N833" s="7">
        <f>'1 prepared data'!M826</f>
        <v/>
      </c>
      <c r="O833" s="7">
        <f>'1 prepared data'!N826</f>
        <v/>
      </c>
      <c r="P833" s="7">
        <f>'1 prepared data'!O826</f>
        <v/>
      </c>
      <c r="Q833" s="7">
        <f>'1 prepared data'!P826</f>
        <v/>
      </c>
      <c r="R833" s="7">
        <f>'1 prepared data'!Q826</f>
        <v/>
      </c>
      <c r="S833" s="7">
        <f>'1 prepared data'!R826</f>
        <v/>
      </c>
      <c r="T833" s="7">
        <f>'1 prepared data'!S826</f>
        <v/>
      </c>
      <c r="U833" s="7">
        <f>'1 prepared data'!T826</f>
        <v/>
      </c>
      <c r="V833" s="8">
        <f>$AC$12+D833*$AC$13+E833*$AC$14+F833*$AC$15+G833*$AC$16+H833*$AC$17+I833*$AC$18+J833*$AC$19+K833*$AC$20+L833*$AC$21+M833*$AC$22+N833*$AC$23+O833*$AC$24+P833*$AC$25+Q833*$AC$26+R833*$AC$27+S833*$AC$28+T833*$AC$29+U833*$AC$30</f>
        <v/>
      </c>
      <c r="W833" s="8">
        <f>1/(1+EXP(-V833))</f>
        <v/>
      </c>
      <c r="X833" s="9">
        <f>-IF(C833=1,LN(W833),LN(1-W833))</f>
        <v/>
      </c>
      <c r="Y833" s="10">
        <f>IF(W833&gt;$AC$33,1,0)</f>
        <v/>
      </c>
      <c r="Z833">
        <f>IF(Y833=C833,1,0)</f>
        <v/>
      </c>
    </row>
    <row r="834">
      <c r="A834">
        <f>'1 prepared data'!A827</f>
        <v/>
      </c>
      <c r="B834" s="5">
        <f>'1 prepared data'!U827</f>
        <v/>
      </c>
      <c r="C834">
        <f>'1 prepared data'!B827</f>
        <v/>
      </c>
      <c r="D834" s="7">
        <f>'1 prepared data'!C827</f>
        <v/>
      </c>
      <c r="E834" s="7">
        <f>'1 prepared data'!D827</f>
        <v/>
      </c>
      <c r="F834" s="7">
        <f>'1 prepared data'!E827</f>
        <v/>
      </c>
      <c r="G834" s="7">
        <f>'1 prepared data'!F827</f>
        <v/>
      </c>
      <c r="H834" s="7">
        <f>'1 prepared data'!G827</f>
        <v/>
      </c>
      <c r="I834" s="7">
        <f>'1 prepared data'!H827</f>
        <v/>
      </c>
      <c r="J834" s="7">
        <f>'1 prepared data'!I827</f>
        <v/>
      </c>
      <c r="K834" s="7">
        <f>'1 prepared data'!J827</f>
        <v/>
      </c>
      <c r="L834" s="7">
        <f>'1 prepared data'!K827</f>
        <v/>
      </c>
      <c r="M834" s="7">
        <f>'1 prepared data'!L827</f>
        <v/>
      </c>
      <c r="N834" s="7">
        <f>'1 prepared data'!M827</f>
        <v/>
      </c>
      <c r="O834" s="7">
        <f>'1 prepared data'!N827</f>
        <v/>
      </c>
      <c r="P834" s="7">
        <f>'1 prepared data'!O827</f>
        <v/>
      </c>
      <c r="Q834" s="7">
        <f>'1 prepared data'!P827</f>
        <v/>
      </c>
      <c r="R834" s="7">
        <f>'1 prepared data'!Q827</f>
        <v/>
      </c>
      <c r="S834" s="7">
        <f>'1 prepared data'!R827</f>
        <v/>
      </c>
      <c r="T834" s="7">
        <f>'1 prepared data'!S827</f>
        <v/>
      </c>
      <c r="U834" s="7">
        <f>'1 prepared data'!T827</f>
        <v/>
      </c>
      <c r="V834" s="8">
        <f>$AC$12+D834*$AC$13+E834*$AC$14+F834*$AC$15+G834*$AC$16+H834*$AC$17+I834*$AC$18+J834*$AC$19+K834*$AC$20+L834*$AC$21+M834*$AC$22+N834*$AC$23+O834*$AC$24+P834*$AC$25+Q834*$AC$26+R834*$AC$27+S834*$AC$28+T834*$AC$29+U834*$AC$30</f>
        <v/>
      </c>
      <c r="W834" s="8">
        <f>1/(1+EXP(-V834))</f>
        <v/>
      </c>
      <c r="X834" s="9">
        <f>-IF(C834=1,LN(W834),LN(1-W834))</f>
        <v/>
      </c>
      <c r="Y834" s="10">
        <f>IF(W834&gt;$AC$33,1,0)</f>
        <v/>
      </c>
      <c r="Z834">
        <f>IF(Y834=C834,1,0)</f>
        <v/>
      </c>
    </row>
    <row r="835">
      <c r="A835">
        <f>'1 prepared data'!A828</f>
        <v/>
      </c>
      <c r="B835" s="5">
        <f>'1 prepared data'!U828</f>
        <v/>
      </c>
      <c r="C835">
        <f>'1 prepared data'!B828</f>
        <v/>
      </c>
      <c r="D835" s="7">
        <f>'1 prepared data'!C828</f>
        <v/>
      </c>
      <c r="E835" s="7">
        <f>'1 prepared data'!D828</f>
        <v/>
      </c>
      <c r="F835" s="7">
        <f>'1 prepared data'!E828</f>
        <v/>
      </c>
      <c r="G835" s="7">
        <f>'1 prepared data'!F828</f>
        <v/>
      </c>
      <c r="H835" s="7">
        <f>'1 prepared data'!G828</f>
        <v/>
      </c>
      <c r="I835" s="7">
        <f>'1 prepared data'!H828</f>
        <v/>
      </c>
      <c r="J835" s="7">
        <f>'1 prepared data'!I828</f>
        <v/>
      </c>
      <c r="K835" s="7">
        <f>'1 prepared data'!J828</f>
        <v/>
      </c>
      <c r="L835" s="7">
        <f>'1 prepared data'!K828</f>
        <v/>
      </c>
      <c r="M835" s="7">
        <f>'1 prepared data'!L828</f>
        <v/>
      </c>
      <c r="N835" s="7">
        <f>'1 prepared data'!M828</f>
        <v/>
      </c>
      <c r="O835" s="7">
        <f>'1 prepared data'!N828</f>
        <v/>
      </c>
      <c r="P835" s="7">
        <f>'1 prepared data'!O828</f>
        <v/>
      </c>
      <c r="Q835" s="7">
        <f>'1 prepared data'!P828</f>
        <v/>
      </c>
      <c r="R835" s="7">
        <f>'1 prepared data'!Q828</f>
        <v/>
      </c>
      <c r="S835" s="7">
        <f>'1 prepared data'!R828</f>
        <v/>
      </c>
      <c r="T835" s="7">
        <f>'1 prepared data'!S828</f>
        <v/>
      </c>
      <c r="U835" s="7">
        <f>'1 prepared data'!T828</f>
        <v/>
      </c>
      <c r="V835" s="8">
        <f>$AC$12+D835*$AC$13+E835*$AC$14+F835*$AC$15+G835*$AC$16+H835*$AC$17+I835*$AC$18+J835*$AC$19+K835*$AC$20+L835*$AC$21+M835*$AC$22+N835*$AC$23+O835*$AC$24+P835*$AC$25+Q835*$AC$26+R835*$AC$27+S835*$AC$28+T835*$AC$29+U835*$AC$30</f>
        <v/>
      </c>
      <c r="W835" s="8">
        <f>1/(1+EXP(-V835))</f>
        <v/>
      </c>
      <c r="X835" s="9">
        <f>-IF(C835=1,LN(W835),LN(1-W835))</f>
        <v/>
      </c>
      <c r="Y835" s="10">
        <f>IF(W835&gt;$AC$33,1,0)</f>
        <v/>
      </c>
      <c r="Z835">
        <f>IF(Y835=C835,1,0)</f>
        <v/>
      </c>
    </row>
    <row r="836">
      <c r="A836">
        <f>'1 prepared data'!A829</f>
        <v/>
      </c>
      <c r="B836" s="5">
        <f>'1 prepared data'!U829</f>
        <v/>
      </c>
      <c r="C836">
        <f>'1 prepared data'!B829</f>
        <v/>
      </c>
      <c r="D836" s="7">
        <f>'1 prepared data'!C829</f>
        <v/>
      </c>
      <c r="E836" s="7">
        <f>'1 prepared data'!D829</f>
        <v/>
      </c>
      <c r="F836" s="7">
        <f>'1 prepared data'!E829</f>
        <v/>
      </c>
      <c r="G836" s="7">
        <f>'1 prepared data'!F829</f>
        <v/>
      </c>
      <c r="H836" s="7">
        <f>'1 prepared data'!G829</f>
        <v/>
      </c>
      <c r="I836" s="7">
        <f>'1 prepared data'!H829</f>
        <v/>
      </c>
      <c r="J836" s="7">
        <f>'1 prepared data'!I829</f>
        <v/>
      </c>
      <c r="K836" s="7">
        <f>'1 prepared data'!J829</f>
        <v/>
      </c>
      <c r="L836" s="7">
        <f>'1 prepared data'!K829</f>
        <v/>
      </c>
      <c r="M836" s="7">
        <f>'1 prepared data'!L829</f>
        <v/>
      </c>
      <c r="N836" s="7">
        <f>'1 prepared data'!M829</f>
        <v/>
      </c>
      <c r="O836" s="7">
        <f>'1 prepared data'!N829</f>
        <v/>
      </c>
      <c r="P836" s="7">
        <f>'1 prepared data'!O829</f>
        <v/>
      </c>
      <c r="Q836" s="7">
        <f>'1 prepared data'!P829</f>
        <v/>
      </c>
      <c r="R836" s="7">
        <f>'1 prepared data'!Q829</f>
        <v/>
      </c>
      <c r="S836" s="7">
        <f>'1 prepared data'!R829</f>
        <v/>
      </c>
      <c r="T836" s="7">
        <f>'1 prepared data'!S829</f>
        <v/>
      </c>
      <c r="U836" s="7">
        <f>'1 prepared data'!T829</f>
        <v/>
      </c>
      <c r="V836" s="8">
        <f>$AC$12+D836*$AC$13+E836*$AC$14+F836*$AC$15+G836*$AC$16+H836*$AC$17+I836*$AC$18+J836*$AC$19+K836*$AC$20+L836*$AC$21+M836*$AC$22+N836*$AC$23+O836*$AC$24+P836*$AC$25+Q836*$AC$26+R836*$AC$27+S836*$AC$28+T836*$AC$29+U836*$AC$30</f>
        <v/>
      </c>
      <c r="W836" s="8">
        <f>1/(1+EXP(-V836))</f>
        <v/>
      </c>
      <c r="X836" s="9">
        <f>-IF(C836=1,LN(W836),LN(1-W836))</f>
        <v/>
      </c>
      <c r="Y836" s="10">
        <f>IF(W836&gt;$AC$33,1,0)</f>
        <v/>
      </c>
      <c r="Z836">
        <f>IF(Y836=C836,1,0)</f>
        <v/>
      </c>
    </row>
    <row r="837">
      <c r="A837">
        <f>'1 prepared data'!A830</f>
        <v/>
      </c>
      <c r="B837" s="5">
        <f>'1 prepared data'!U830</f>
        <v/>
      </c>
      <c r="C837">
        <f>'1 prepared data'!B830</f>
        <v/>
      </c>
      <c r="D837" s="7">
        <f>'1 prepared data'!C830</f>
        <v/>
      </c>
      <c r="E837" s="7">
        <f>'1 prepared data'!D830</f>
        <v/>
      </c>
      <c r="F837" s="7">
        <f>'1 prepared data'!E830</f>
        <v/>
      </c>
      <c r="G837" s="7">
        <f>'1 prepared data'!F830</f>
        <v/>
      </c>
      <c r="H837" s="7">
        <f>'1 prepared data'!G830</f>
        <v/>
      </c>
      <c r="I837" s="7">
        <f>'1 prepared data'!H830</f>
        <v/>
      </c>
      <c r="J837" s="7">
        <f>'1 prepared data'!I830</f>
        <v/>
      </c>
      <c r="K837" s="7">
        <f>'1 prepared data'!J830</f>
        <v/>
      </c>
      <c r="L837" s="7">
        <f>'1 prepared data'!K830</f>
        <v/>
      </c>
      <c r="M837" s="7">
        <f>'1 prepared data'!L830</f>
        <v/>
      </c>
      <c r="N837" s="7">
        <f>'1 prepared data'!M830</f>
        <v/>
      </c>
      <c r="O837" s="7">
        <f>'1 prepared data'!N830</f>
        <v/>
      </c>
      <c r="P837" s="7">
        <f>'1 prepared data'!O830</f>
        <v/>
      </c>
      <c r="Q837" s="7">
        <f>'1 prepared data'!P830</f>
        <v/>
      </c>
      <c r="R837" s="7">
        <f>'1 prepared data'!Q830</f>
        <v/>
      </c>
      <c r="S837" s="7">
        <f>'1 prepared data'!R830</f>
        <v/>
      </c>
      <c r="T837" s="7">
        <f>'1 prepared data'!S830</f>
        <v/>
      </c>
      <c r="U837" s="7">
        <f>'1 prepared data'!T830</f>
        <v/>
      </c>
      <c r="V837" s="8">
        <f>$AC$12+D837*$AC$13+E837*$AC$14+F837*$AC$15+G837*$AC$16+H837*$AC$17+I837*$AC$18+J837*$AC$19+K837*$AC$20+L837*$AC$21+M837*$AC$22+N837*$AC$23+O837*$AC$24+P837*$AC$25+Q837*$AC$26+R837*$AC$27+S837*$AC$28+T837*$AC$29+U837*$AC$30</f>
        <v/>
      </c>
      <c r="W837" s="8">
        <f>1/(1+EXP(-V837))</f>
        <v/>
      </c>
      <c r="X837" s="9">
        <f>-IF(C837=1,LN(W837),LN(1-W837))</f>
        <v/>
      </c>
      <c r="Y837" s="10">
        <f>IF(W837&gt;$AC$33,1,0)</f>
        <v/>
      </c>
      <c r="Z837">
        <f>IF(Y837=C837,1,0)</f>
        <v/>
      </c>
    </row>
    <row r="838">
      <c r="A838">
        <f>'1 prepared data'!A831</f>
        <v/>
      </c>
      <c r="B838" s="5">
        <f>'1 prepared data'!U831</f>
        <v/>
      </c>
      <c r="C838">
        <f>'1 prepared data'!B831</f>
        <v/>
      </c>
      <c r="D838" s="7">
        <f>'1 prepared data'!C831</f>
        <v/>
      </c>
      <c r="E838" s="7">
        <f>'1 prepared data'!D831</f>
        <v/>
      </c>
      <c r="F838" s="7">
        <f>'1 prepared data'!E831</f>
        <v/>
      </c>
      <c r="G838" s="7">
        <f>'1 prepared data'!F831</f>
        <v/>
      </c>
      <c r="H838" s="7">
        <f>'1 prepared data'!G831</f>
        <v/>
      </c>
      <c r="I838" s="7">
        <f>'1 prepared data'!H831</f>
        <v/>
      </c>
      <c r="J838" s="7">
        <f>'1 prepared data'!I831</f>
        <v/>
      </c>
      <c r="K838" s="7">
        <f>'1 prepared data'!J831</f>
        <v/>
      </c>
      <c r="L838" s="7">
        <f>'1 prepared data'!K831</f>
        <v/>
      </c>
      <c r="M838" s="7">
        <f>'1 prepared data'!L831</f>
        <v/>
      </c>
      <c r="N838" s="7">
        <f>'1 prepared data'!M831</f>
        <v/>
      </c>
      <c r="O838" s="7">
        <f>'1 prepared data'!N831</f>
        <v/>
      </c>
      <c r="P838" s="7">
        <f>'1 prepared data'!O831</f>
        <v/>
      </c>
      <c r="Q838" s="7">
        <f>'1 prepared data'!P831</f>
        <v/>
      </c>
      <c r="R838" s="7">
        <f>'1 prepared data'!Q831</f>
        <v/>
      </c>
      <c r="S838" s="7">
        <f>'1 prepared data'!R831</f>
        <v/>
      </c>
      <c r="T838" s="7">
        <f>'1 prepared data'!S831</f>
        <v/>
      </c>
      <c r="U838" s="7">
        <f>'1 prepared data'!T831</f>
        <v/>
      </c>
      <c r="V838" s="8">
        <f>$AC$12+D838*$AC$13+E838*$AC$14+F838*$AC$15+G838*$AC$16+H838*$AC$17+I838*$AC$18+J838*$AC$19+K838*$AC$20+L838*$AC$21+M838*$AC$22+N838*$AC$23+O838*$AC$24+P838*$AC$25+Q838*$AC$26+R838*$AC$27+S838*$AC$28+T838*$AC$29+U838*$AC$30</f>
        <v/>
      </c>
      <c r="W838" s="8">
        <f>1/(1+EXP(-V838))</f>
        <v/>
      </c>
      <c r="X838" s="9">
        <f>-IF(C838=1,LN(W838),LN(1-W838))</f>
        <v/>
      </c>
      <c r="Y838" s="10">
        <f>IF(W838&gt;$AC$33,1,0)</f>
        <v/>
      </c>
      <c r="Z838">
        <f>IF(Y838=C838,1,0)</f>
        <v/>
      </c>
    </row>
    <row r="839">
      <c r="A839">
        <f>'1 prepared data'!A832</f>
        <v/>
      </c>
      <c r="B839" s="5">
        <f>'1 prepared data'!U832</f>
        <v/>
      </c>
      <c r="C839">
        <f>'1 prepared data'!B832</f>
        <v/>
      </c>
      <c r="D839" s="7">
        <f>'1 prepared data'!C832</f>
        <v/>
      </c>
      <c r="E839" s="7">
        <f>'1 prepared data'!D832</f>
        <v/>
      </c>
      <c r="F839" s="7">
        <f>'1 prepared data'!E832</f>
        <v/>
      </c>
      <c r="G839" s="7">
        <f>'1 prepared data'!F832</f>
        <v/>
      </c>
      <c r="H839" s="7">
        <f>'1 prepared data'!G832</f>
        <v/>
      </c>
      <c r="I839" s="7">
        <f>'1 prepared data'!H832</f>
        <v/>
      </c>
      <c r="J839" s="7">
        <f>'1 prepared data'!I832</f>
        <v/>
      </c>
      <c r="K839" s="7">
        <f>'1 prepared data'!J832</f>
        <v/>
      </c>
      <c r="L839" s="7">
        <f>'1 prepared data'!K832</f>
        <v/>
      </c>
      <c r="M839" s="7">
        <f>'1 prepared data'!L832</f>
        <v/>
      </c>
      <c r="N839" s="7">
        <f>'1 prepared data'!M832</f>
        <v/>
      </c>
      <c r="O839" s="7">
        <f>'1 prepared data'!N832</f>
        <v/>
      </c>
      <c r="P839" s="7">
        <f>'1 prepared data'!O832</f>
        <v/>
      </c>
      <c r="Q839" s="7">
        <f>'1 prepared data'!P832</f>
        <v/>
      </c>
      <c r="R839" s="7">
        <f>'1 prepared data'!Q832</f>
        <v/>
      </c>
      <c r="S839" s="7">
        <f>'1 prepared data'!R832</f>
        <v/>
      </c>
      <c r="T839" s="7">
        <f>'1 prepared data'!S832</f>
        <v/>
      </c>
      <c r="U839" s="7">
        <f>'1 prepared data'!T832</f>
        <v/>
      </c>
      <c r="V839" s="8">
        <f>$AC$12+D839*$AC$13+E839*$AC$14+F839*$AC$15+G839*$AC$16+H839*$AC$17+I839*$AC$18+J839*$AC$19+K839*$AC$20+L839*$AC$21+M839*$AC$22+N839*$AC$23+O839*$AC$24+P839*$AC$25+Q839*$AC$26+R839*$AC$27+S839*$AC$28+T839*$AC$29+U839*$AC$30</f>
        <v/>
      </c>
      <c r="W839" s="8">
        <f>1/(1+EXP(-V839))</f>
        <v/>
      </c>
      <c r="X839" s="9">
        <f>-IF(C839=1,LN(W839),LN(1-W839))</f>
        <v/>
      </c>
      <c r="Y839" s="10">
        <f>IF(W839&gt;$AC$33,1,0)</f>
        <v/>
      </c>
      <c r="Z839">
        <f>IF(Y839=C839,1,0)</f>
        <v/>
      </c>
    </row>
    <row r="840">
      <c r="A840">
        <f>'1 prepared data'!A833</f>
        <v/>
      </c>
      <c r="B840" s="5">
        <f>'1 prepared data'!U833</f>
        <v/>
      </c>
      <c r="C840">
        <f>'1 prepared data'!B833</f>
        <v/>
      </c>
      <c r="D840" s="7">
        <f>'1 prepared data'!C833</f>
        <v/>
      </c>
      <c r="E840" s="7">
        <f>'1 prepared data'!D833</f>
        <v/>
      </c>
      <c r="F840" s="7">
        <f>'1 prepared data'!E833</f>
        <v/>
      </c>
      <c r="G840" s="7">
        <f>'1 prepared data'!F833</f>
        <v/>
      </c>
      <c r="H840" s="7">
        <f>'1 prepared data'!G833</f>
        <v/>
      </c>
      <c r="I840" s="7">
        <f>'1 prepared data'!H833</f>
        <v/>
      </c>
      <c r="J840" s="7">
        <f>'1 prepared data'!I833</f>
        <v/>
      </c>
      <c r="K840" s="7">
        <f>'1 prepared data'!J833</f>
        <v/>
      </c>
      <c r="L840" s="7">
        <f>'1 prepared data'!K833</f>
        <v/>
      </c>
      <c r="M840" s="7">
        <f>'1 prepared data'!L833</f>
        <v/>
      </c>
      <c r="N840" s="7">
        <f>'1 prepared data'!M833</f>
        <v/>
      </c>
      <c r="O840" s="7">
        <f>'1 prepared data'!N833</f>
        <v/>
      </c>
      <c r="P840" s="7">
        <f>'1 prepared data'!O833</f>
        <v/>
      </c>
      <c r="Q840" s="7">
        <f>'1 prepared data'!P833</f>
        <v/>
      </c>
      <c r="R840" s="7">
        <f>'1 prepared data'!Q833</f>
        <v/>
      </c>
      <c r="S840" s="7">
        <f>'1 prepared data'!R833</f>
        <v/>
      </c>
      <c r="T840" s="7">
        <f>'1 prepared data'!S833</f>
        <v/>
      </c>
      <c r="U840" s="7">
        <f>'1 prepared data'!T833</f>
        <v/>
      </c>
      <c r="V840" s="8">
        <f>$AC$12+D840*$AC$13+E840*$AC$14+F840*$AC$15+G840*$AC$16+H840*$AC$17+I840*$AC$18+J840*$AC$19+K840*$AC$20+L840*$AC$21+M840*$AC$22+N840*$AC$23+O840*$AC$24+P840*$AC$25+Q840*$AC$26+R840*$AC$27+S840*$AC$28+T840*$AC$29+U840*$AC$30</f>
        <v/>
      </c>
      <c r="W840" s="8">
        <f>1/(1+EXP(-V840))</f>
        <v/>
      </c>
      <c r="X840" s="9">
        <f>-IF(C840=1,LN(W840),LN(1-W840))</f>
        <v/>
      </c>
      <c r="Y840" s="10">
        <f>IF(W840&gt;$AC$33,1,0)</f>
        <v/>
      </c>
      <c r="Z840">
        <f>IF(Y840=C840,1,0)</f>
        <v/>
      </c>
    </row>
    <row r="841">
      <c r="A841">
        <f>'1 prepared data'!A834</f>
        <v/>
      </c>
      <c r="B841" s="5">
        <f>'1 prepared data'!U834</f>
        <v/>
      </c>
      <c r="C841">
        <f>'1 prepared data'!B834</f>
        <v/>
      </c>
      <c r="D841" s="7">
        <f>'1 prepared data'!C834</f>
        <v/>
      </c>
      <c r="E841" s="7">
        <f>'1 prepared data'!D834</f>
        <v/>
      </c>
      <c r="F841" s="7">
        <f>'1 prepared data'!E834</f>
        <v/>
      </c>
      <c r="G841" s="7">
        <f>'1 prepared data'!F834</f>
        <v/>
      </c>
      <c r="H841" s="7">
        <f>'1 prepared data'!G834</f>
        <v/>
      </c>
      <c r="I841" s="7">
        <f>'1 prepared data'!H834</f>
        <v/>
      </c>
      <c r="J841" s="7">
        <f>'1 prepared data'!I834</f>
        <v/>
      </c>
      <c r="K841" s="7">
        <f>'1 prepared data'!J834</f>
        <v/>
      </c>
      <c r="L841" s="7">
        <f>'1 prepared data'!K834</f>
        <v/>
      </c>
      <c r="M841" s="7">
        <f>'1 prepared data'!L834</f>
        <v/>
      </c>
      <c r="N841" s="7">
        <f>'1 prepared data'!M834</f>
        <v/>
      </c>
      <c r="O841" s="7">
        <f>'1 prepared data'!N834</f>
        <v/>
      </c>
      <c r="P841" s="7">
        <f>'1 prepared data'!O834</f>
        <v/>
      </c>
      <c r="Q841" s="7">
        <f>'1 prepared data'!P834</f>
        <v/>
      </c>
      <c r="R841" s="7">
        <f>'1 prepared data'!Q834</f>
        <v/>
      </c>
      <c r="S841" s="7">
        <f>'1 prepared data'!R834</f>
        <v/>
      </c>
      <c r="T841" s="7">
        <f>'1 prepared data'!S834</f>
        <v/>
      </c>
      <c r="U841" s="7">
        <f>'1 prepared data'!T834</f>
        <v/>
      </c>
      <c r="V841" s="8">
        <f>$AC$12+D841*$AC$13+E841*$AC$14+F841*$AC$15+G841*$AC$16+H841*$AC$17+I841*$AC$18+J841*$AC$19+K841*$AC$20+L841*$AC$21+M841*$AC$22+N841*$AC$23+O841*$AC$24+P841*$AC$25+Q841*$AC$26+R841*$AC$27+S841*$AC$28+T841*$AC$29+U841*$AC$30</f>
        <v/>
      </c>
      <c r="W841" s="8">
        <f>1/(1+EXP(-V841))</f>
        <v/>
      </c>
      <c r="X841" s="9">
        <f>-IF(C841=1,LN(W841),LN(1-W841))</f>
        <v/>
      </c>
      <c r="Y841" s="10">
        <f>IF(W841&gt;$AC$33,1,0)</f>
        <v/>
      </c>
      <c r="Z841">
        <f>IF(Y841=C841,1,0)</f>
        <v/>
      </c>
    </row>
    <row r="842">
      <c r="A842">
        <f>'1 prepared data'!A835</f>
        <v/>
      </c>
      <c r="B842" s="5">
        <f>'1 prepared data'!U835</f>
        <v/>
      </c>
      <c r="C842">
        <f>'1 prepared data'!B835</f>
        <v/>
      </c>
      <c r="D842" s="7">
        <f>'1 prepared data'!C835</f>
        <v/>
      </c>
      <c r="E842" s="7">
        <f>'1 prepared data'!D835</f>
        <v/>
      </c>
      <c r="F842" s="7">
        <f>'1 prepared data'!E835</f>
        <v/>
      </c>
      <c r="G842" s="7">
        <f>'1 prepared data'!F835</f>
        <v/>
      </c>
      <c r="H842" s="7">
        <f>'1 prepared data'!G835</f>
        <v/>
      </c>
      <c r="I842" s="7">
        <f>'1 prepared data'!H835</f>
        <v/>
      </c>
      <c r="J842" s="7">
        <f>'1 prepared data'!I835</f>
        <v/>
      </c>
      <c r="K842" s="7">
        <f>'1 prepared data'!J835</f>
        <v/>
      </c>
      <c r="L842" s="7">
        <f>'1 prepared data'!K835</f>
        <v/>
      </c>
      <c r="M842" s="7">
        <f>'1 prepared data'!L835</f>
        <v/>
      </c>
      <c r="N842" s="7">
        <f>'1 prepared data'!M835</f>
        <v/>
      </c>
      <c r="O842" s="7">
        <f>'1 prepared data'!N835</f>
        <v/>
      </c>
      <c r="P842" s="7">
        <f>'1 prepared data'!O835</f>
        <v/>
      </c>
      <c r="Q842" s="7">
        <f>'1 prepared data'!P835</f>
        <v/>
      </c>
      <c r="R842" s="7">
        <f>'1 prepared data'!Q835</f>
        <v/>
      </c>
      <c r="S842" s="7">
        <f>'1 prepared data'!R835</f>
        <v/>
      </c>
      <c r="T842" s="7">
        <f>'1 prepared data'!S835</f>
        <v/>
      </c>
      <c r="U842" s="7">
        <f>'1 prepared data'!T835</f>
        <v/>
      </c>
      <c r="V842" s="8">
        <f>$AC$12+D842*$AC$13+E842*$AC$14+F842*$AC$15+G842*$AC$16+H842*$AC$17+I842*$AC$18+J842*$AC$19+K842*$AC$20+L842*$AC$21+M842*$AC$22+N842*$AC$23+O842*$AC$24+P842*$AC$25+Q842*$AC$26+R842*$AC$27+S842*$AC$28+T842*$AC$29+U842*$AC$30</f>
        <v/>
      </c>
      <c r="W842" s="8">
        <f>1/(1+EXP(-V842))</f>
        <v/>
      </c>
      <c r="X842" s="9">
        <f>-IF(C842=1,LN(W842),LN(1-W842))</f>
        <v/>
      </c>
      <c r="Y842" s="10">
        <f>IF(W842&gt;$AC$33,1,0)</f>
        <v/>
      </c>
      <c r="Z842">
        <f>IF(Y842=C842,1,0)</f>
        <v/>
      </c>
    </row>
    <row r="843">
      <c r="A843">
        <f>'1 prepared data'!A836</f>
        <v/>
      </c>
      <c r="B843" s="5">
        <f>'1 prepared data'!U836</f>
        <v/>
      </c>
      <c r="C843">
        <f>'1 prepared data'!B836</f>
        <v/>
      </c>
      <c r="D843" s="7">
        <f>'1 prepared data'!C836</f>
        <v/>
      </c>
      <c r="E843" s="7">
        <f>'1 prepared data'!D836</f>
        <v/>
      </c>
      <c r="F843" s="7">
        <f>'1 prepared data'!E836</f>
        <v/>
      </c>
      <c r="G843" s="7">
        <f>'1 prepared data'!F836</f>
        <v/>
      </c>
      <c r="H843" s="7">
        <f>'1 prepared data'!G836</f>
        <v/>
      </c>
      <c r="I843" s="7">
        <f>'1 prepared data'!H836</f>
        <v/>
      </c>
      <c r="J843" s="7">
        <f>'1 prepared data'!I836</f>
        <v/>
      </c>
      <c r="K843" s="7">
        <f>'1 prepared data'!J836</f>
        <v/>
      </c>
      <c r="L843" s="7">
        <f>'1 prepared data'!K836</f>
        <v/>
      </c>
      <c r="M843" s="7">
        <f>'1 prepared data'!L836</f>
        <v/>
      </c>
      <c r="N843" s="7">
        <f>'1 prepared data'!M836</f>
        <v/>
      </c>
      <c r="O843" s="7">
        <f>'1 prepared data'!N836</f>
        <v/>
      </c>
      <c r="P843" s="7">
        <f>'1 prepared data'!O836</f>
        <v/>
      </c>
      <c r="Q843" s="7">
        <f>'1 prepared data'!P836</f>
        <v/>
      </c>
      <c r="R843" s="7">
        <f>'1 prepared data'!Q836</f>
        <v/>
      </c>
      <c r="S843" s="7">
        <f>'1 prepared data'!R836</f>
        <v/>
      </c>
      <c r="T843" s="7">
        <f>'1 prepared data'!S836</f>
        <v/>
      </c>
      <c r="U843" s="7">
        <f>'1 prepared data'!T836</f>
        <v/>
      </c>
      <c r="V843" s="8">
        <f>$AC$12+D843*$AC$13+E843*$AC$14+F843*$AC$15+G843*$AC$16+H843*$AC$17+I843*$AC$18+J843*$AC$19+K843*$AC$20+L843*$AC$21+M843*$AC$22+N843*$AC$23+O843*$AC$24+P843*$AC$25+Q843*$AC$26+R843*$AC$27+S843*$AC$28+T843*$AC$29+U843*$AC$30</f>
        <v/>
      </c>
      <c r="W843" s="8">
        <f>1/(1+EXP(-V843))</f>
        <v/>
      </c>
      <c r="X843" s="9">
        <f>-IF(C843=1,LN(W843),LN(1-W843))</f>
        <v/>
      </c>
      <c r="Y843" s="10">
        <f>IF(W843&gt;$AC$33,1,0)</f>
        <v/>
      </c>
      <c r="Z843">
        <f>IF(Y843=C843,1,0)</f>
        <v/>
      </c>
    </row>
    <row r="844">
      <c r="A844">
        <f>'1 prepared data'!A837</f>
        <v/>
      </c>
      <c r="B844" s="5">
        <f>'1 prepared data'!U837</f>
        <v/>
      </c>
      <c r="C844">
        <f>'1 prepared data'!B837</f>
        <v/>
      </c>
      <c r="D844" s="7">
        <f>'1 prepared data'!C837</f>
        <v/>
      </c>
      <c r="E844" s="7">
        <f>'1 prepared data'!D837</f>
        <v/>
      </c>
      <c r="F844" s="7">
        <f>'1 prepared data'!E837</f>
        <v/>
      </c>
      <c r="G844" s="7">
        <f>'1 prepared data'!F837</f>
        <v/>
      </c>
      <c r="H844" s="7">
        <f>'1 prepared data'!G837</f>
        <v/>
      </c>
      <c r="I844" s="7">
        <f>'1 prepared data'!H837</f>
        <v/>
      </c>
      <c r="J844" s="7">
        <f>'1 prepared data'!I837</f>
        <v/>
      </c>
      <c r="K844" s="7">
        <f>'1 prepared data'!J837</f>
        <v/>
      </c>
      <c r="L844" s="7">
        <f>'1 prepared data'!K837</f>
        <v/>
      </c>
      <c r="M844" s="7">
        <f>'1 prepared data'!L837</f>
        <v/>
      </c>
      <c r="N844" s="7">
        <f>'1 prepared data'!M837</f>
        <v/>
      </c>
      <c r="O844" s="7">
        <f>'1 prepared data'!N837</f>
        <v/>
      </c>
      <c r="P844" s="7">
        <f>'1 prepared data'!O837</f>
        <v/>
      </c>
      <c r="Q844" s="7">
        <f>'1 prepared data'!P837</f>
        <v/>
      </c>
      <c r="R844" s="7">
        <f>'1 prepared data'!Q837</f>
        <v/>
      </c>
      <c r="S844" s="7">
        <f>'1 prepared data'!R837</f>
        <v/>
      </c>
      <c r="T844" s="7">
        <f>'1 prepared data'!S837</f>
        <v/>
      </c>
      <c r="U844" s="7">
        <f>'1 prepared data'!T837</f>
        <v/>
      </c>
      <c r="V844" s="8">
        <f>$AC$12+D844*$AC$13+E844*$AC$14+F844*$AC$15+G844*$AC$16+H844*$AC$17+I844*$AC$18+J844*$AC$19+K844*$AC$20+L844*$AC$21+M844*$AC$22+N844*$AC$23+O844*$AC$24+P844*$AC$25+Q844*$AC$26+R844*$AC$27+S844*$AC$28+T844*$AC$29+U844*$AC$30</f>
        <v/>
      </c>
      <c r="W844" s="8">
        <f>1/(1+EXP(-V844))</f>
        <v/>
      </c>
      <c r="X844" s="9">
        <f>-IF(C844=1,LN(W844),LN(1-W844))</f>
        <v/>
      </c>
      <c r="Y844" s="10">
        <f>IF(W844&gt;$AC$33,1,0)</f>
        <v/>
      </c>
      <c r="Z844">
        <f>IF(Y844=C844,1,0)</f>
        <v/>
      </c>
    </row>
    <row r="845">
      <c r="A845">
        <f>'1 prepared data'!A838</f>
        <v/>
      </c>
      <c r="B845" s="5">
        <f>'1 prepared data'!U838</f>
        <v/>
      </c>
      <c r="C845">
        <f>'1 prepared data'!B838</f>
        <v/>
      </c>
      <c r="D845" s="7">
        <f>'1 prepared data'!C838</f>
        <v/>
      </c>
      <c r="E845" s="7">
        <f>'1 prepared data'!D838</f>
        <v/>
      </c>
      <c r="F845" s="7">
        <f>'1 prepared data'!E838</f>
        <v/>
      </c>
      <c r="G845" s="7">
        <f>'1 prepared data'!F838</f>
        <v/>
      </c>
      <c r="H845" s="7">
        <f>'1 prepared data'!G838</f>
        <v/>
      </c>
      <c r="I845" s="7">
        <f>'1 prepared data'!H838</f>
        <v/>
      </c>
      <c r="J845" s="7">
        <f>'1 prepared data'!I838</f>
        <v/>
      </c>
      <c r="K845" s="7">
        <f>'1 prepared data'!J838</f>
        <v/>
      </c>
      <c r="L845" s="7">
        <f>'1 prepared data'!K838</f>
        <v/>
      </c>
      <c r="M845" s="7">
        <f>'1 prepared data'!L838</f>
        <v/>
      </c>
      <c r="N845" s="7">
        <f>'1 prepared data'!M838</f>
        <v/>
      </c>
      <c r="O845" s="7">
        <f>'1 prepared data'!N838</f>
        <v/>
      </c>
      <c r="P845" s="7">
        <f>'1 prepared data'!O838</f>
        <v/>
      </c>
      <c r="Q845" s="7">
        <f>'1 prepared data'!P838</f>
        <v/>
      </c>
      <c r="R845" s="7">
        <f>'1 prepared data'!Q838</f>
        <v/>
      </c>
      <c r="S845" s="7">
        <f>'1 prepared data'!R838</f>
        <v/>
      </c>
      <c r="T845" s="7">
        <f>'1 prepared data'!S838</f>
        <v/>
      </c>
      <c r="U845" s="7">
        <f>'1 prepared data'!T838</f>
        <v/>
      </c>
      <c r="V845" s="8">
        <f>$AC$12+D845*$AC$13+E845*$AC$14+F845*$AC$15+G845*$AC$16+H845*$AC$17+I845*$AC$18+J845*$AC$19+K845*$AC$20+L845*$AC$21+M845*$AC$22+N845*$AC$23+O845*$AC$24+P845*$AC$25+Q845*$AC$26+R845*$AC$27+S845*$AC$28+T845*$AC$29+U845*$AC$30</f>
        <v/>
      </c>
      <c r="W845" s="8">
        <f>1/(1+EXP(-V845))</f>
        <v/>
      </c>
      <c r="X845" s="9">
        <f>-IF(C845=1,LN(W845),LN(1-W845))</f>
        <v/>
      </c>
      <c r="Y845" s="10">
        <f>IF(W845&gt;$AC$33,1,0)</f>
        <v/>
      </c>
      <c r="Z845">
        <f>IF(Y845=C845,1,0)</f>
        <v/>
      </c>
    </row>
    <row r="846">
      <c r="A846">
        <f>'1 prepared data'!A839</f>
        <v/>
      </c>
      <c r="B846" s="5">
        <f>'1 prepared data'!U839</f>
        <v/>
      </c>
      <c r="C846">
        <f>'1 prepared data'!B839</f>
        <v/>
      </c>
      <c r="D846" s="7">
        <f>'1 prepared data'!C839</f>
        <v/>
      </c>
      <c r="E846" s="7">
        <f>'1 prepared data'!D839</f>
        <v/>
      </c>
      <c r="F846" s="7">
        <f>'1 prepared data'!E839</f>
        <v/>
      </c>
      <c r="G846" s="7">
        <f>'1 prepared data'!F839</f>
        <v/>
      </c>
      <c r="H846" s="7">
        <f>'1 prepared data'!G839</f>
        <v/>
      </c>
      <c r="I846" s="7">
        <f>'1 prepared data'!H839</f>
        <v/>
      </c>
      <c r="J846" s="7">
        <f>'1 prepared data'!I839</f>
        <v/>
      </c>
      <c r="K846" s="7">
        <f>'1 prepared data'!J839</f>
        <v/>
      </c>
      <c r="L846" s="7">
        <f>'1 prepared data'!K839</f>
        <v/>
      </c>
      <c r="M846" s="7">
        <f>'1 prepared data'!L839</f>
        <v/>
      </c>
      <c r="N846" s="7">
        <f>'1 prepared data'!M839</f>
        <v/>
      </c>
      <c r="O846" s="7">
        <f>'1 prepared data'!N839</f>
        <v/>
      </c>
      <c r="P846" s="7">
        <f>'1 prepared data'!O839</f>
        <v/>
      </c>
      <c r="Q846" s="7">
        <f>'1 prepared data'!P839</f>
        <v/>
      </c>
      <c r="R846" s="7">
        <f>'1 prepared data'!Q839</f>
        <v/>
      </c>
      <c r="S846" s="7">
        <f>'1 prepared data'!R839</f>
        <v/>
      </c>
      <c r="T846" s="7">
        <f>'1 prepared data'!S839</f>
        <v/>
      </c>
      <c r="U846" s="7">
        <f>'1 prepared data'!T839</f>
        <v/>
      </c>
      <c r="V846" s="8">
        <f>$AC$12+D846*$AC$13+E846*$AC$14+F846*$AC$15+G846*$AC$16+H846*$AC$17+I846*$AC$18+J846*$AC$19+K846*$AC$20+L846*$AC$21+M846*$AC$22+N846*$AC$23+O846*$AC$24+P846*$AC$25+Q846*$AC$26+R846*$AC$27+S846*$AC$28+T846*$AC$29+U846*$AC$30</f>
        <v/>
      </c>
      <c r="W846" s="8">
        <f>1/(1+EXP(-V846))</f>
        <v/>
      </c>
      <c r="X846" s="9">
        <f>-IF(C846=1,LN(W846),LN(1-W846))</f>
        <v/>
      </c>
      <c r="Y846" s="10">
        <f>IF(W846&gt;$AC$33,1,0)</f>
        <v/>
      </c>
      <c r="Z846">
        <f>IF(Y846=C846,1,0)</f>
        <v/>
      </c>
    </row>
    <row r="847">
      <c r="A847">
        <f>'1 prepared data'!A840</f>
        <v/>
      </c>
      <c r="B847" s="5">
        <f>'1 prepared data'!U840</f>
        <v/>
      </c>
      <c r="C847">
        <f>'1 prepared data'!B840</f>
        <v/>
      </c>
      <c r="D847" s="7">
        <f>'1 prepared data'!C840</f>
        <v/>
      </c>
      <c r="E847" s="7">
        <f>'1 prepared data'!D840</f>
        <v/>
      </c>
      <c r="F847" s="7">
        <f>'1 prepared data'!E840</f>
        <v/>
      </c>
      <c r="G847" s="7">
        <f>'1 prepared data'!F840</f>
        <v/>
      </c>
      <c r="H847" s="7">
        <f>'1 prepared data'!G840</f>
        <v/>
      </c>
      <c r="I847" s="7">
        <f>'1 prepared data'!H840</f>
        <v/>
      </c>
      <c r="J847" s="7">
        <f>'1 prepared data'!I840</f>
        <v/>
      </c>
      <c r="K847" s="7">
        <f>'1 prepared data'!J840</f>
        <v/>
      </c>
      <c r="L847" s="7">
        <f>'1 prepared data'!K840</f>
        <v/>
      </c>
      <c r="M847" s="7">
        <f>'1 prepared data'!L840</f>
        <v/>
      </c>
      <c r="N847" s="7">
        <f>'1 prepared data'!M840</f>
        <v/>
      </c>
      <c r="O847" s="7">
        <f>'1 prepared data'!N840</f>
        <v/>
      </c>
      <c r="P847" s="7">
        <f>'1 prepared data'!O840</f>
        <v/>
      </c>
      <c r="Q847" s="7">
        <f>'1 prepared data'!P840</f>
        <v/>
      </c>
      <c r="R847" s="7">
        <f>'1 prepared data'!Q840</f>
        <v/>
      </c>
      <c r="S847" s="7">
        <f>'1 prepared data'!R840</f>
        <v/>
      </c>
      <c r="T847" s="7">
        <f>'1 prepared data'!S840</f>
        <v/>
      </c>
      <c r="U847" s="7">
        <f>'1 prepared data'!T840</f>
        <v/>
      </c>
      <c r="V847" s="8">
        <f>$AC$12+D847*$AC$13+E847*$AC$14+F847*$AC$15+G847*$AC$16+H847*$AC$17+I847*$AC$18+J847*$AC$19+K847*$AC$20+L847*$AC$21+M847*$AC$22+N847*$AC$23+O847*$AC$24+P847*$AC$25+Q847*$AC$26+R847*$AC$27+S847*$AC$28+T847*$AC$29+U847*$AC$30</f>
        <v/>
      </c>
      <c r="W847" s="8">
        <f>1/(1+EXP(-V847))</f>
        <v/>
      </c>
      <c r="X847" s="9">
        <f>-IF(C847=1,LN(W847),LN(1-W847))</f>
        <v/>
      </c>
      <c r="Y847" s="10">
        <f>IF(W847&gt;$AC$33,1,0)</f>
        <v/>
      </c>
      <c r="Z847">
        <f>IF(Y847=C847,1,0)</f>
        <v/>
      </c>
    </row>
    <row r="848">
      <c r="A848">
        <f>'1 prepared data'!A841</f>
        <v/>
      </c>
      <c r="B848" s="5">
        <f>'1 prepared data'!U841</f>
        <v/>
      </c>
      <c r="C848">
        <f>'1 prepared data'!B841</f>
        <v/>
      </c>
      <c r="D848" s="7">
        <f>'1 prepared data'!C841</f>
        <v/>
      </c>
      <c r="E848" s="7">
        <f>'1 prepared data'!D841</f>
        <v/>
      </c>
      <c r="F848" s="7">
        <f>'1 prepared data'!E841</f>
        <v/>
      </c>
      <c r="G848" s="7">
        <f>'1 prepared data'!F841</f>
        <v/>
      </c>
      <c r="H848" s="7">
        <f>'1 prepared data'!G841</f>
        <v/>
      </c>
      <c r="I848" s="7">
        <f>'1 prepared data'!H841</f>
        <v/>
      </c>
      <c r="J848" s="7">
        <f>'1 prepared data'!I841</f>
        <v/>
      </c>
      <c r="K848" s="7">
        <f>'1 prepared data'!J841</f>
        <v/>
      </c>
      <c r="L848" s="7">
        <f>'1 prepared data'!K841</f>
        <v/>
      </c>
      <c r="M848" s="7">
        <f>'1 prepared data'!L841</f>
        <v/>
      </c>
      <c r="N848" s="7">
        <f>'1 prepared data'!M841</f>
        <v/>
      </c>
      <c r="O848" s="7">
        <f>'1 prepared data'!N841</f>
        <v/>
      </c>
      <c r="P848" s="7">
        <f>'1 prepared data'!O841</f>
        <v/>
      </c>
      <c r="Q848" s="7">
        <f>'1 prepared data'!P841</f>
        <v/>
      </c>
      <c r="R848" s="7">
        <f>'1 prepared data'!Q841</f>
        <v/>
      </c>
      <c r="S848" s="7">
        <f>'1 prepared data'!R841</f>
        <v/>
      </c>
      <c r="T848" s="7">
        <f>'1 prepared data'!S841</f>
        <v/>
      </c>
      <c r="U848" s="7">
        <f>'1 prepared data'!T841</f>
        <v/>
      </c>
      <c r="V848" s="8">
        <f>$AC$12+D848*$AC$13+E848*$AC$14+F848*$AC$15+G848*$AC$16+H848*$AC$17+I848*$AC$18+J848*$AC$19+K848*$AC$20+L848*$AC$21+M848*$AC$22+N848*$AC$23+O848*$AC$24+P848*$AC$25+Q848*$AC$26+R848*$AC$27+S848*$AC$28+T848*$AC$29+U848*$AC$30</f>
        <v/>
      </c>
      <c r="W848" s="8">
        <f>1/(1+EXP(-V848))</f>
        <v/>
      </c>
      <c r="X848" s="9">
        <f>-IF(C848=1,LN(W848),LN(1-W848))</f>
        <v/>
      </c>
      <c r="Y848" s="10">
        <f>IF(W848&gt;$AC$33,1,0)</f>
        <v/>
      </c>
      <c r="Z848">
        <f>IF(Y848=C848,1,0)</f>
        <v/>
      </c>
    </row>
    <row r="849">
      <c r="A849">
        <f>'1 prepared data'!A842</f>
        <v/>
      </c>
      <c r="B849" s="5">
        <f>'1 prepared data'!U842</f>
        <v/>
      </c>
      <c r="C849">
        <f>'1 prepared data'!B842</f>
        <v/>
      </c>
      <c r="D849" s="7">
        <f>'1 prepared data'!C842</f>
        <v/>
      </c>
      <c r="E849" s="7">
        <f>'1 prepared data'!D842</f>
        <v/>
      </c>
      <c r="F849" s="7">
        <f>'1 prepared data'!E842</f>
        <v/>
      </c>
      <c r="G849" s="7">
        <f>'1 prepared data'!F842</f>
        <v/>
      </c>
      <c r="H849" s="7">
        <f>'1 prepared data'!G842</f>
        <v/>
      </c>
      <c r="I849" s="7">
        <f>'1 prepared data'!H842</f>
        <v/>
      </c>
      <c r="J849" s="7">
        <f>'1 prepared data'!I842</f>
        <v/>
      </c>
      <c r="K849" s="7">
        <f>'1 prepared data'!J842</f>
        <v/>
      </c>
      <c r="L849" s="7">
        <f>'1 prepared data'!K842</f>
        <v/>
      </c>
      <c r="M849" s="7">
        <f>'1 prepared data'!L842</f>
        <v/>
      </c>
      <c r="N849" s="7">
        <f>'1 prepared data'!M842</f>
        <v/>
      </c>
      <c r="O849" s="7">
        <f>'1 prepared data'!N842</f>
        <v/>
      </c>
      <c r="P849" s="7">
        <f>'1 prepared data'!O842</f>
        <v/>
      </c>
      <c r="Q849" s="7">
        <f>'1 prepared data'!P842</f>
        <v/>
      </c>
      <c r="R849" s="7">
        <f>'1 prepared data'!Q842</f>
        <v/>
      </c>
      <c r="S849" s="7">
        <f>'1 prepared data'!R842</f>
        <v/>
      </c>
      <c r="T849" s="7">
        <f>'1 prepared data'!S842</f>
        <v/>
      </c>
      <c r="U849" s="7">
        <f>'1 prepared data'!T842</f>
        <v/>
      </c>
      <c r="V849" s="8">
        <f>$AC$12+D849*$AC$13+E849*$AC$14+F849*$AC$15+G849*$AC$16+H849*$AC$17+I849*$AC$18+J849*$AC$19+K849*$AC$20+L849*$AC$21+M849*$AC$22+N849*$AC$23+O849*$AC$24+P849*$AC$25+Q849*$AC$26+R849*$AC$27+S849*$AC$28+T849*$AC$29+U849*$AC$30</f>
        <v/>
      </c>
      <c r="W849" s="8">
        <f>1/(1+EXP(-V849))</f>
        <v/>
      </c>
      <c r="X849" s="9">
        <f>-IF(C849=1,LN(W849),LN(1-W849))</f>
        <v/>
      </c>
      <c r="Y849" s="10">
        <f>IF(W849&gt;$AC$33,1,0)</f>
        <v/>
      </c>
      <c r="Z849">
        <f>IF(Y849=C849,1,0)</f>
        <v/>
      </c>
    </row>
    <row r="850">
      <c r="A850">
        <f>'1 prepared data'!A843</f>
        <v/>
      </c>
      <c r="B850" s="5">
        <f>'1 prepared data'!U843</f>
        <v/>
      </c>
      <c r="C850">
        <f>'1 prepared data'!B843</f>
        <v/>
      </c>
      <c r="D850" s="7">
        <f>'1 prepared data'!C843</f>
        <v/>
      </c>
      <c r="E850" s="7">
        <f>'1 prepared data'!D843</f>
        <v/>
      </c>
      <c r="F850" s="7">
        <f>'1 prepared data'!E843</f>
        <v/>
      </c>
      <c r="G850" s="7">
        <f>'1 prepared data'!F843</f>
        <v/>
      </c>
      <c r="H850" s="7">
        <f>'1 prepared data'!G843</f>
        <v/>
      </c>
      <c r="I850" s="7">
        <f>'1 prepared data'!H843</f>
        <v/>
      </c>
      <c r="J850" s="7">
        <f>'1 prepared data'!I843</f>
        <v/>
      </c>
      <c r="K850" s="7">
        <f>'1 prepared data'!J843</f>
        <v/>
      </c>
      <c r="L850" s="7">
        <f>'1 prepared data'!K843</f>
        <v/>
      </c>
      <c r="M850" s="7">
        <f>'1 prepared data'!L843</f>
        <v/>
      </c>
      <c r="N850" s="7">
        <f>'1 prepared data'!M843</f>
        <v/>
      </c>
      <c r="O850" s="7">
        <f>'1 prepared data'!N843</f>
        <v/>
      </c>
      <c r="P850" s="7">
        <f>'1 prepared data'!O843</f>
        <v/>
      </c>
      <c r="Q850" s="7">
        <f>'1 prepared data'!P843</f>
        <v/>
      </c>
      <c r="R850" s="7">
        <f>'1 prepared data'!Q843</f>
        <v/>
      </c>
      <c r="S850" s="7">
        <f>'1 prepared data'!R843</f>
        <v/>
      </c>
      <c r="T850" s="7">
        <f>'1 prepared data'!S843</f>
        <v/>
      </c>
      <c r="U850" s="7">
        <f>'1 prepared data'!T843</f>
        <v/>
      </c>
      <c r="V850" s="8">
        <f>$AC$12+D850*$AC$13+E850*$AC$14+F850*$AC$15+G850*$AC$16+H850*$AC$17+I850*$AC$18+J850*$AC$19+K850*$AC$20+L850*$AC$21+M850*$AC$22+N850*$AC$23+O850*$AC$24+P850*$AC$25+Q850*$AC$26+R850*$AC$27+S850*$AC$28+T850*$AC$29+U850*$AC$30</f>
        <v/>
      </c>
      <c r="W850" s="8">
        <f>1/(1+EXP(-V850))</f>
        <v/>
      </c>
      <c r="X850" s="9">
        <f>-IF(C850=1,LN(W850),LN(1-W850))</f>
        <v/>
      </c>
      <c r="Y850" s="10">
        <f>IF(W850&gt;$AC$33,1,0)</f>
        <v/>
      </c>
      <c r="Z850">
        <f>IF(Y850=C850,1,0)</f>
        <v/>
      </c>
    </row>
    <row r="851">
      <c r="A851">
        <f>'1 prepared data'!A844</f>
        <v/>
      </c>
      <c r="B851" s="5">
        <f>'1 prepared data'!U844</f>
        <v/>
      </c>
      <c r="C851">
        <f>'1 prepared data'!B844</f>
        <v/>
      </c>
      <c r="D851" s="7">
        <f>'1 prepared data'!C844</f>
        <v/>
      </c>
      <c r="E851" s="7">
        <f>'1 prepared data'!D844</f>
        <v/>
      </c>
      <c r="F851" s="7">
        <f>'1 prepared data'!E844</f>
        <v/>
      </c>
      <c r="G851" s="7">
        <f>'1 prepared data'!F844</f>
        <v/>
      </c>
      <c r="H851" s="7">
        <f>'1 prepared data'!G844</f>
        <v/>
      </c>
      <c r="I851" s="7">
        <f>'1 prepared data'!H844</f>
        <v/>
      </c>
      <c r="J851" s="7">
        <f>'1 prepared data'!I844</f>
        <v/>
      </c>
      <c r="K851" s="7">
        <f>'1 prepared data'!J844</f>
        <v/>
      </c>
      <c r="L851" s="7">
        <f>'1 prepared data'!K844</f>
        <v/>
      </c>
      <c r="M851" s="7">
        <f>'1 prepared data'!L844</f>
        <v/>
      </c>
      <c r="N851" s="7">
        <f>'1 prepared data'!M844</f>
        <v/>
      </c>
      <c r="O851" s="7">
        <f>'1 prepared data'!N844</f>
        <v/>
      </c>
      <c r="P851" s="7">
        <f>'1 prepared data'!O844</f>
        <v/>
      </c>
      <c r="Q851" s="7">
        <f>'1 prepared data'!P844</f>
        <v/>
      </c>
      <c r="R851" s="7">
        <f>'1 prepared data'!Q844</f>
        <v/>
      </c>
      <c r="S851" s="7">
        <f>'1 prepared data'!R844</f>
        <v/>
      </c>
      <c r="T851" s="7">
        <f>'1 prepared data'!S844</f>
        <v/>
      </c>
      <c r="U851" s="7">
        <f>'1 prepared data'!T844</f>
        <v/>
      </c>
      <c r="V851" s="8">
        <f>$AC$12+D851*$AC$13+E851*$AC$14+F851*$AC$15+G851*$AC$16+H851*$AC$17+I851*$AC$18+J851*$AC$19+K851*$AC$20+L851*$AC$21+M851*$AC$22+N851*$AC$23+O851*$AC$24+P851*$AC$25+Q851*$AC$26+R851*$AC$27+S851*$AC$28+T851*$AC$29+U851*$AC$30</f>
        <v/>
      </c>
      <c r="W851" s="8">
        <f>1/(1+EXP(-V851))</f>
        <v/>
      </c>
      <c r="X851" s="9">
        <f>-IF(C851=1,LN(W851),LN(1-W851))</f>
        <v/>
      </c>
      <c r="Y851" s="10">
        <f>IF(W851&gt;$AC$33,1,0)</f>
        <v/>
      </c>
      <c r="Z851">
        <f>IF(Y851=C851,1,0)</f>
        <v/>
      </c>
    </row>
    <row r="852">
      <c r="A852">
        <f>'1 prepared data'!A845</f>
        <v/>
      </c>
      <c r="B852" s="5">
        <f>'1 prepared data'!U845</f>
        <v/>
      </c>
      <c r="C852">
        <f>'1 prepared data'!B845</f>
        <v/>
      </c>
      <c r="D852" s="7">
        <f>'1 prepared data'!C845</f>
        <v/>
      </c>
      <c r="E852" s="7">
        <f>'1 prepared data'!D845</f>
        <v/>
      </c>
      <c r="F852" s="7">
        <f>'1 prepared data'!E845</f>
        <v/>
      </c>
      <c r="G852" s="7">
        <f>'1 prepared data'!F845</f>
        <v/>
      </c>
      <c r="H852" s="7">
        <f>'1 prepared data'!G845</f>
        <v/>
      </c>
      <c r="I852" s="7">
        <f>'1 prepared data'!H845</f>
        <v/>
      </c>
      <c r="J852" s="7">
        <f>'1 prepared data'!I845</f>
        <v/>
      </c>
      <c r="K852" s="7">
        <f>'1 prepared data'!J845</f>
        <v/>
      </c>
      <c r="L852" s="7">
        <f>'1 prepared data'!K845</f>
        <v/>
      </c>
      <c r="M852" s="7">
        <f>'1 prepared data'!L845</f>
        <v/>
      </c>
      <c r="N852" s="7">
        <f>'1 prepared data'!M845</f>
        <v/>
      </c>
      <c r="O852" s="7">
        <f>'1 prepared data'!N845</f>
        <v/>
      </c>
      <c r="P852" s="7">
        <f>'1 prepared data'!O845</f>
        <v/>
      </c>
      <c r="Q852" s="7">
        <f>'1 prepared data'!P845</f>
        <v/>
      </c>
      <c r="R852" s="7">
        <f>'1 prepared data'!Q845</f>
        <v/>
      </c>
      <c r="S852" s="7">
        <f>'1 prepared data'!R845</f>
        <v/>
      </c>
      <c r="T852" s="7">
        <f>'1 prepared data'!S845</f>
        <v/>
      </c>
      <c r="U852" s="7">
        <f>'1 prepared data'!T845</f>
        <v/>
      </c>
      <c r="V852" s="8">
        <f>$AC$12+D852*$AC$13+E852*$AC$14+F852*$AC$15+G852*$AC$16+H852*$AC$17+I852*$AC$18+J852*$AC$19+K852*$AC$20+L852*$AC$21+M852*$AC$22+N852*$AC$23+O852*$AC$24+P852*$AC$25+Q852*$AC$26+R852*$AC$27+S852*$AC$28+T852*$AC$29+U852*$AC$30</f>
        <v/>
      </c>
      <c r="W852" s="8">
        <f>1/(1+EXP(-V852))</f>
        <v/>
      </c>
      <c r="X852" s="9">
        <f>-IF(C852=1,LN(W852),LN(1-W852))</f>
        <v/>
      </c>
      <c r="Y852" s="10">
        <f>IF(W852&gt;$AC$33,1,0)</f>
        <v/>
      </c>
      <c r="Z852">
        <f>IF(Y852=C852,1,0)</f>
        <v/>
      </c>
    </row>
    <row r="853">
      <c r="A853">
        <f>'1 prepared data'!A846</f>
        <v/>
      </c>
      <c r="B853" s="5">
        <f>'1 prepared data'!U846</f>
        <v/>
      </c>
      <c r="C853">
        <f>'1 prepared data'!B846</f>
        <v/>
      </c>
      <c r="D853" s="7">
        <f>'1 prepared data'!C846</f>
        <v/>
      </c>
      <c r="E853" s="7">
        <f>'1 prepared data'!D846</f>
        <v/>
      </c>
      <c r="F853" s="7">
        <f>'1 prepared data'!E846</f>
        <v/>
      </c>
      <c r="G853" s="7">
        <f>'1 prepared data'!F846</f>
        <v/>
      </c>
      <c r="H853" s="7">
        <f>'1 prepared data'!G846</f>
        <v/>
      </c>
      <c r="I853" s="7">
        <f>'1 prepared data'!H846</f>
        <v/>
      </c>
      <c r="J853" s="7">
        <f>'1 prepared data'!I846</f>
        <v/>
      </c>
      <c r="K853" s="7">
        <f>'1 prepared data'!J846</f>
        <v/>
      </c>
      <c r="L853" s="7">
        <f>'1 prepared data'!K846</f>
        <v/>
      </c>
      <c r="M853" s="7">
        <f>'1 prepared data'!L846</f>
        <v/>
      </c>
      <c r="N853" s="7">
        <f>'1 prepared data'!M846</f>
        <v/>
      </c>
      <c r="O853" s="7">
        <f>'1 prepared data'!N846</f>
        <v/>
      </c>
      <c r="P853" s="7">
        <f>'1 prepared data'!O846</f>
        <v/>
      </c>
      <c r="Q853" s="7">
        <f>'1 prepared data'!P846</f>
        <v/>
      </c>
      <c r="R853" s="7">
        <f>'1 prepared data'!Q846</f>
        <v/>
      </c>
      <c r="S853" s="7">
        <f>'1 prepared data'!R846</f>
        <v/>
      </c>
      <c r="T853" s="7">
        <f>'1 prepared data'!S846</f>
        <v/>
      </c>
      <c r="U853" s="7">
        <f>'1 prepared data'!T846</f>
        <v/>
      </c>
      <c r="V853" s="8">
        <f>$AC$12+D853*$AC$13+E853*$AC$14+F853*$AC$15+G853*$AC$16+H853*$AC$17+I853*$AC$18+J853*$AC$19+K853*$AC$20+L853*$AC$21+M853*$AC$22+N853*$AC$23+O853*$AC$24+P853*$AC$25+Q853*$AC$26+R853*$AC$27+S853*$AC$28+T853*$AC$29+U853*$AC$30</f>
        <v/>
      </c>
      <c r="W853" s="8">
        <f>1/(1+EXP(-V853))</f>
        <v/>
      </c>
      <c r="X853" s="9">
        <f>-IF(C853=1,LN(W853),LN(1-W853))</f>
        <v/>
      </c>
      <c r="Y853" s="10">
        <f>IF(W853&gt;$AC$33,1,0)</f>
        <v/>
      </c>
      <c r="Z853">
        <f>IF(Y853=C853,1,0)</f>
        <v/>
      </c>
    </row>
    <row r="854">
      <c r="A854">
        <f>'1 prepared data'!A847</f>
        <v/>
      </c>
      <c r="B854" s="5">
        <f>'1 prepared data'!U847</f>
        <v/>
      </c>
      <c r="C854">
        <f>'1 prepared data'!B847</f>
        <v/>
      </c>
      <c r="D854" s="7">
        <f>'1 prepared data'!C847</f>
        <v/>
      </c>
      <c r="E854" s="7">
        <f>'1 prepared data'!D847</f>
        <v/>
      </c>
      <c r="F854" s="7">
        <f>'1 prepared data'!E847</f>
        <v/>
      </c>
      <c r="G854" s="7">
        <f>'1 prepared data'!F847</f>
        <v/>
      </c>
      <c r="H854" s="7">
        <f>'1 prepared data'!G847</f>
        <v/>
      </c>
      <c r="I854" s="7">
        <f>'1 prepared data'!H847</f>
        <v/>
      </c>
      <c r="J854" s="7">
        <f>'1 prepared data'!I847</f>
        <v/>
      </c>
      <c r="K854" s="7">
        <f>'1 prepared data'!J847</f>
        <v/>
      </c>
      <c r="L854" s="7">
        <f>'1 prepared data'!K847</f>
        <v/>
      </c>
      <c r="M854" s="7">
        <f>'1 prepared data'!L847</f>
        <v/>
      </c>
      <c r="N854" s="7">
        <f>'1 prepared data'!M847</f>
        <v/>
      </c>
      <c r="O854" s="7">
        <f>'1 prepared data'!N847</f>
        <v/>
      </c>
      <c r="P854" s="7">
        <f>'1 prepared data'!O847</f>
        <v/>
      </c>
      <c r="Q854" s="7">
        <f>'1 prepared data'!P847</f>
        <v/>
      </c>
      <c r="R854" s="7">
        <f>'1 prepared data'!Q847</f>
        <v/>
      </c>
      <c r="S854" s="7">
        <f>'1 prepared data'!R847</f>
        <v/>
      </c>
      <c r="T854" s="7">
        <f>'1 prepared data'!S847</f>
        <v/>
      </c>
      <c r="U854" s="7">
        <f>'1 prepared data'!T847</f>
        <v/>
      </c>
      <c r="V854" s="8">
        <f>$AC$12+D854*$AC$13+E854*$AC$14+F854*$AC$15+G854*$AC$16+H854*$AC$17+I854*$AC$18+J854*$AC$19+K854*$AC$20+L854*$AC$21+M854*$AC$22+N854*$AC$23+O854*$AC$24+P854*$AC$25+Q854*$AC$26+R854*$AC$27+S854*$AC$28+T854*$AC$29+U854*$AC$30</f>
        <v/>
      </c>
      <c r="W854" s="8">
        <f>1/(1+EXP(-V854))</f>
        <v/>
      </c>
      <c r="X854" s="9">
        <f>-IF(C854=1,LN(W854),LN(1-W854))</f>
        <v/>
      </c>
      <c r="Y854" s="10">
        <f>IF(W854&gt;$AC$33,1,0)</f>
        <v/>
      </c>
      <c r="Z854">
        <f>IF(Y854=C854,1,0)</f>
        <v/>
      </c>
    </row>
    <row r="855">
      <c r="A855">
        <f>'1 prepared data'!A848</f>
        <v/>
      </c>
      <c r="B855" s="5">
        <f>'1 prepared data'!U848</f>
        <v/>
      </c>
      <c r="C855">
        <f>'1 prepared data'!B848</f>
        <v/>
      </c>
      <c r="D855" s="7">
        <f>'1 prepared data'!C848</f>
        <v/>
      </c>
      <c r="E855" s="7">
        <f>'1 prepared data'!D848</f>
        <v/>
      </c>
      <c r="F855" s="7">
        <f>'1 prepared data'!E848</f>
        <v/>
      </c>
      <c r="G855" s="7">
        <f>'1 prepared data'!F848</f>
        <v/>
      </c>
      <c r="H855" s="7">
        <f>'1 prepared data'!G848</f>
        <v/>
      </c>
      <c r="I855" s="7">
        <f>'1 prepared data'!H848</f>
        <v/>
      </c>
      <c r="J855" s="7">
        <f>'1 prepared data'!I848</f>
        <v/>
      </c>
      <c r="K855" s="7">
        <f>'1 prepared data'!J848</f>
        <v/>
      </c>
      <c r="L855" s="7">
        <f>'1 prepared data'!K848</f>
        <v/>
      </c>
      <c r="M855" s="7">
        <f>'1 prepared data'!L848</f>
        <v/>
      </c>
      <c r="N855" s="7">
        <f>'1 prepared data'!M848</f>
        <v/>
      </c>
      <c r="O855" s="7">
        <f>'1 prepared data'!N848</f>
        <v/>
      </c>
      <c r="P855" s="7">
        <f>'1 prepared data'!O848</f>
        <v/>
      </c>
      <c r="Q855" s="7">
        <f>'1 prepared data'!P848</f>
        <v/>
      </c>
      <c r="R855" s="7">
        <f>'1 prepared data'!Q848</f>
        <v/>
      </c>
      <c r="S855" s="7">
        <f>'1 prepared data'!R848</f>
        <v/>
      </c>
      <c r="T855" s="7">
        <f>'1 prepared data'!S848</f>
        <v/>
      </c>
      <c r="U855" s="7">
        <f>'1 prepared data'!T848</f>
        <v/>
      </c>
      <c r="V855" s="8">
        <f>$AC$12+D855*$AC$13+E855*$AC$14+F855*$AC$15+G855*$AC$16+H855*$AC$17+I855*$AC$18+J855*$AC$19+K855*$AC$20+L855*$AC$21+M855*$AC$22+N855*$AC$23+O855*$AC$24+P855*$AC$25+Q855*$AC$26+R855*$AC$27+S855*$AC$28+T855*$AC$29+U855*$AC$30</f>
        <v/>
      </c>
      <c r="W855" s="8">
        <f>1/(1+EXP(-V855))</f>
        <v/>
      </c>
      <c r="X855" s="9">
        <f>-IF(C855=1,LN(W855),LN(1-W855))</f>
        <v/>
      </c>
      <c r="Y855" s="10">
        <f>IF(W855&gt;$AC$33,1,0)</f>
        <v/>
      </c>
      <c r="Z855">
        <f>IF(Y855=C855,1,0)</f>
        <v/>
      </c>
    </row>
    <row r="856">
      <c r="A856">
        <f>'1 prepared data'!A849</f>
        <v/>
      </c>
      <c r="B856" s="5">
        <f>'1 prepared data'!U849</f>
        <v/>
      </c>
      <c r="C856">
        <f>'1 prepared data'!B849</f>
        <v/>
      </c>
      <c r="D856" s="7">
        <f>'1 prepared data'!C849</f>
        <v/>
      </c>
      <c r="E856" s="7">
        <f>'1 prepared data'!D849</f>
        <v/>
      </c>
      <c r="F856" s="7">
        <f>'1 prepared data'!E849</f>
        <v/>
      </c>
      <c r="G856" s="7">
        <f>'1 prepared data'!F849</f>
        <v/>
      </c>
      <c r="H856" s="7">
        <f>'1 prepared data'!G849</f>
        <v/>
      </c>
      <c r="I856" s="7">
        <f>'1 prepared data'!H849</f>
        <v/>
      </c>
      <c r="J856" s="7">
        <f>'1 prepared data'!I849</f>
        <v/>
      </c>
      <c r="K856" s="7">
        <f>'1 prepared data'!J849</f>
        <v/>
      </c>
      <c r="L856" s="7">
        <f>'1 prepared data'!K849</f>
        <v/>
      </c>
      <c r="M856" s="7">
        <f>'1 prepared data'!L849</f>
        <v/>
      </c>
      <c r="N856" s="7">
        <f>'1 prepared data'!M849</f>
        <v/>
      </c>
      <c r="O856" s="7">
        <f>'1 prepared data'!N849</f>
        <v/>
      </c>
      <c r="P856" s="7">
        <f>'1 prepared data'!O849</f>
        <v/>
      </c>
      <c r="Q856" s="7">
        <f>'1 prepared data'!P849</f>
        <v/>
      </c>
      <c r="R856" s="7">
        <f>'1 prepared data'!Q849</f>
        <v/>
      </c>
      <c r="S856" s="7">
        <f>'1 prepared data'!R849</f>
        <v/>
      </c>
      <c r="T856" s="7">
        <f>'1 prepared data'!S849</f>
        <v/>
      </c>
      <c r="U856" s="7">
        <f>'1 prepared data'!T849</f>
        <v/>
      </c>
      <c r="V856" s="8">
        <f>$AC$12+D856*$AC$13+E856*$AC$14+F856*$AC$15+G856*$AC$16+H856*$AC$17+I856*$AC$18+J856*$AC$19+K856*$AC$20+L856*$AC$21+M856*$AC$22+N856*$AC$23+O856*$AC$24+P856*$AC$25+Q856*$AC$26+R856*$AC$27+S856*$AC$28+T856*$AC$29+U856*$AC$30</f>
        <v/>
      </c>
      <c r="W856" s="8">
        <f>1/(1+EXP(-V856))</f>
        <v/>
      </c>
      <c r="X856" s="9">
        <f>-IF(C856=1,LN(W856),LN(1-W856))</f>
        <v/>
      </c>
      <c r="Y856" s="10">
        <f>IF(W856&gt;$AC$33,1,0)</f>
        <v/>
      </c>
      <c r="Z856">
        <f>IF(Y856=C856,1,0)</f>
        <v/>
      </c>
    </row>
    <row r="857">
      <c r="A857">
        <f>'1 prepared data'!A850</f>
        <v/>
      </c>
      <c r="B857" s="5">
        <f>'1 prepared data'!U850</f>
        <v/>
      </c>
      <c r="C857">
        <f>'1 prepared data'!B850</f>
        <v/>
      </c>
      <c r="D857" s="7">
        <f>'1 prepared data'!C850</f>
        <v/>
      </c>
      <c r="E857" s="7">
        <f>'1 prepared data'!D850</f>
        <v/>
      </c>
      <c r="F857" s="7">
        <f>'1 prepared data'!E850</f>
        <v/>
      </c>
      <c r="G857" s="7">
        <f>'1 prepared data'!F850</f>
        <v/>
      </c>
      <c r="H857" s="7">
        <f>'1 prepared data'!G850</f>
        <v/>
      </c>
      <c r="I857" s="7">
        <f>'1 prepared data'!H850</f>
        <v/>
      </c>
      <c r="J857" s="7">
        <f>'1 prepared data'!I850</f>
        <v/>
      </c>
      <c r="K857" s="7">
        <f>'1 prepared data'!J850</f>
        <v/>
      </c>
      <c r="L857" s="7">
        <f>'1 prepared data'!K850</f>
        <v/>
      </c>
      <c r="M857" s="7">
        <f>'1 prepared data'!L850</f>
        <v/>
      </c>
      <c r="N857" s="7">
        <f>'1 prepared data'!M850</f>
        <v/>
      </c>
      <c r="O857" s="7">
        <f>'1 prepared data'!N850</f>
        <v/>
      </c>
      <c r="P857" s="7">
        <f>'1 prepared data'!O850</f>
        <v/>
      </c>
      <c r="Q857" s="7">
        <f>'1 prepared data'!P850</f>
        <v/>
      </c>
      <c r="R857" s="7">
        <f>'1 prepared data'!Q850</f>
        <v/>
      </c>
      <c r="S857" s="7">
        <f>'1 prepared data'!R850</f>
        <v/>
      </c>
      <c r="T857" s="7">
        <f>'1 prepared data'!S850</f>
        <v/>
      </c>
      <c r="U857" s="7">
        <f>'1 prepared data'!T850</f>
        <v/>
      </c>
      <c r="V857" s="8">
        <f>$AC$12+D857*$AC$13+E857*$AC$14+F857*$AC$15+G857*$AC$16+H857*$AC$17+I857*$AC$18+J857*$AC$19+K857*$AC$20+L857*$AC$21+M857*$AC$22+N857*$AC$23+O857*$AC$24+P857*$AC$25+Q857*$AC$26+R857*$AC$27+S857*$AC$28+T857*$AC$29+U857*$AC$30</f>
        <v/>
      </c>
      <c r="W857" s="8">
        <f>1/(1+EXP(-V857))</f>
        <v/>
      </c>
      <c r="X857" s="9">
        <f>-IF(C857=1,LN(W857),LN(1-W857))</f>
        <v/>
      </c>
      <c r="Y857" s="10">
        <f>IF(W857&gt;$AC$33,1,0)</f>
        <v/>
      </c>
      <c r="Z857">
        <f>IF(Y857=C857,1,0)</f>
        <v/>
      </c>
    </row>
    <row r="858">
      <c r="A858">
        <f>'1 prepared data'!A851</f>
        <v/>
      </c>
      <c r="B858" s="5">
        <f>'1 prepared data'!U851</f>
        <v/>
      </c>
      <c r="C858">
        <f>'1 prepared data'!B851</f>
        <v/>
      </c>
      <c r="D858" s="7">
        <f>'1 prepared data'!C851</f>
        <v/>
      </c>
      <c r="E858" s="7">
        <f>'1 prepared data'!D851</f>
        <v/>
      </c>
      <c r="F858" s="7">
        <f>'1 prepared data'!E851</f>
        <v/>
      </c>
      <c r="G858" s="7">
        <f>'1 prepared data'!F851</f>
        <v/>
      </c>
      <c r="H858" s="7">
        <f>'1 prepared data'!G851</f>
        <v/>
      </c>
      <c r="I858" s="7">
        <f>'1 prepared data'!H851</f>
        <v/>
      </c>
      <c r="J858" s="7">
        <f>'1 prepared data'!I851</f>
        <v/>
      </c>
      <c r="K858" s="7">
        <f>'1 prepared data'!J851</f>
        <v/>
      </c>
      <c r="L858" s="7">
        <f>'1 prepared data'!K851</f>
        <v/>
      </c>
      <c r="M858" s="7">
        <f>'1 prepared data'!L851</f>
        <v/>
      </c>
      <c r="N858" s="7">
        <f>'1 prepared data'!M851</f>
        <v/>
      </c>
      <c r="O858" s="7">
        <f>'1 prepared data'!N851</f>
        <v/>
      </c>
      <c r="P858" s="7">
        <f>'1 prepared data'!O851</f>
        <v/>
      </c>
      <c r="Q858" s="7">
        <f>'1 prepared data'!P851</f>
        <v/>
      </c>
      <c r="R858" s="7">
        <f>'1 prepared data'!Q851</f>
        <v/>
      </c>
      <c r="S858" s="7">
        <f>'1 prepared data'!R851</f>
        <v/>
      </c>
      <c r="T858" s="7">
        <f>'1 prepared data'!S851</f>
        <v/>
      </c>
      <c r="U858" s="7">
        <f>'1 prepared data'!T851</f>
        <v/>
      </c>
      <c r="V858" s="8">
        <f>$AC$12+D858*$AC$13+E858*$AC$14+F858*$AC$15+G858*$AC$16+H858*$AC$17+I858*$AC$18+J858*$AC$19+K858*$AC$20+L858*$AC$21+M858*$AC$22+N858*$AC$23+O858*$AC$24+P858*$AC$25+Q858*$AC$26+R858*$AC$27+S858*$AC$28+T858*$AC$29+U858*$AC$30</f>
        <v/>
      </c>
      <c r="W858" s="8">
        <f>1/(1+EXP(-V858))</f>
        <v/>
      </c>
      <c r="X858" s="9">
        <f>-IF(C858=1,LN(W858),LN(1-W858))</f>
        <v/>
      </c>
      <c r="Y858" s="10">
        <f>IF(W858&gt;$AC$33,1,0)</f>
        <v/>
      </c>
      <c r="Z858">
        <f>IF(Y858=C858,1,0)</f>
        <v/>
      </c>
    </row>
    <row r="859">
      <c r="A859">
        <f>'1 prepared data'!A852</f>
        <v/>
      </c>
      <c r="B859" s="5">
        <f>'1 prepared data'!U852</f>
        <v/>
      </c>
      <c r="C859">
        <f>'1 prepared data'!B852</f>
        <v/>
      </c>
      <c r="D859" s="7">
        <f>'1 prepared data'!C852</f>
        <v/>
      </c>
      <c r="E859" s="7">
        <f>'1 prepared data'!D852</f>
        <v/>
      </c>
      <c r="F859" s="7">
        <f>'1 prepared data'!E852</f>
        <v/>
      </c>
      <c r="G859" s="7">
        <f>'1 prepared data'!F852</f>
        <v/>
      </c>
      <c r="H859" s="7">
        <f>'1 prepared data'!G852</f>
        <v/>
      </c>
      <c r="I859" s="7">
        <f>'1 prepared data'!H852</f>
        <v/>
      </c>
      <c r="J859" s="7">
        <f>'1 prepared data'!I852</f>
        <v/>
      </c>
      <c r="K859" s="7">
        <f>'1 prepared data'!J852</f>
        <v/>
      </c>
      <c r="L859" s="7">
        <f>'1 prepared data'!K852</f>
        <v/>
      </c>
      <c r="M859" s="7">
        <f>'1 prepared data'!L852</f>
        <v/>
      </c>
      <c r="N859" s="7">
        <f>'1 prepared data'!M852</f>
        <v/>
      </c>
      <c r="O859" s="7">
        <f>'1 prepared data'!N852</f>
        <v/>
      </c>
      <c r="P859" s="7">
        <f>'1 prepared data'!O852</f>
        <v/>
      </c>
      <c r="Q859" s="7">
        <f>'1 prepared data'!P852</f>
        <v/>
      </c>
      <c r="R859" s="7">
        <f>'1 prepared data'!Q852</f>
        <v/>
      </c>
      <c r="S859" s="7">
        <f>'1 prepared data'!R852</f>
        <v/>
      </c>
      <c r="T859" s="7">
        <f>'1 prepared data'!S852</f>
        <v/>
      </c>
      <c r="U859" s="7">
        <f>'1 prepared data'!T852</f>
        <v/>
      </c>
      <c r="V859" s="8">
        <f>$AC$12+D859*$AC$13+E859*$AC$14+F859*$AC$15+G859*$AC$16+H859*$AC$17+I859*$AC$18+J859*$AC$19+K859*$AC$20+L859*$AC$21+M859*$AC$22+N859*$AC$23+O859*$AC$24+P859*$AC$25+Q859*$AC$26+R859*$AC$27+S859*$AC$28+T859*$AC$29+U859*$AC$30</f>
        <v/>
      </c>
      <c r="W859" s="8">
        <f>1/(1+EXP(-V859))</f>
        <v/>
      </c>
      <c r="X859" s="9">
        <f>-IF(C859=1,LN(W859),LN(1-W859))</f>
        <v/>
      </c>
      <c r="Y859" s="10">
        <f>IF(W859&gt;$AC$33,1,0)</f>
        <v/>
      </c>
      <c r="Z859">
        <f>IF(Y859=C859,1,0)</f>
        <v/>
      </c>
    </row>
    <row r="860">
      <c r="A860">
        <f>'1 prepared data'!A853</f>
        <v/>
      </c>
      <c r="B860" s="5">
        <f>'1 prepared data'!U853</f>
        <v/>
      </c>
      <c r="C860">
        <f>'1 prepared data'!B853</f>
        <v/>
      </c>
      <c r="D860" s="7">
        <f>'1 prepared data'!C853</f>
        <v/>
      </c>
      <c r="E860" s="7">
        <f>'1 prepared data'!D853</f>
        <v/>
      </c>
      <c r="F860" s="7">
        <f>'1 prepared data'!E853</f>
        <v/>
      </c>
      <c r="G860" s="7">
        <f>'1 prepared data'!F853</f>
        <v/>
      </c>
      <c r="H860" s="7">
        <f>'1 prepared data'!G853</f>
        <v/>
      </c>
      <c r="I860" s="7">
        <f>'1 prepared data'!H853</f>
        <v/>
      </c>
      <c r="J860" s="7">
        <f>'1 prepared data'!I853</f>
        <v/>
      </c>
      <c r="K860" s="7">
        <f>'1 prepared data'!J853</f>
        <v/>
      </c>
      <c r="L860" s="7">
        <f>'1 prepared data'!K853</f>
        <v/>
      </c>
      <c r="M860" s="7">
        <f>'1 prepared data'!L853</f>
        <v/>
      </c>
      <c r="N860" s="7">
        <f>'1 prepared data'!M853</f>
        <v/>
      </c>
      <c r="O860" s="7">
        <f>'1 prepared data'!N853</f>
        <v/>
      </c>
      <c r="P860" s="7">
        <f>'1 prepared data'!O853</f>
        <v/>
      </c>
      <c r="Q860" s="7">
        <f>'1 prepared data'!P853</f>
        <v/>
      </c>
      <c r="R860" s="7">
        <f>'1 prepared data'!Q853</f>
        <v/>
      </c>
      <c r="S860" s="7">
        <f>'1 prepared data'!R853</f>
        <v/>
      </c>
      <c r="T860" s="7">
        <f>'1 prepared data'!S853</f>
        <v/>
      </c>
      <c r="U860" s="7">
        <f>'1 prepared data'!T853</f>
        <v/>
      </c>
      <c r="V860" s="8">
        <f>$AC$12+D860*$AC$13+E860*$AC$14+F860*$AC$15+G860*$AC$16+H860*$AC$17+I860*$AC$18+J860*$AC$19+K860*$AC$20+L860*$AC$21+M860*$AC$22+N860*$AC$23+O860*$AC$24+P860*$AC$25+Q860*$AC$26+R860*$AC$27+S860*$AC$28+T860*$AC$29+U860*$AC$30</f>
        <v/>
      </c>
      <c r="W860" s="8">
        <f>1/(1+EXP(-V860))</f>
        <v/>
      </c>
      <c r="X860" s="9">
        <f>-IF(C860=1,LN(W860),LN(1-W860))</f>
        <v/>
      </c>
      <c r="Y860" s="10">
        <f>IF(W860&gt;$AC$33,1,0)</f>
        <v/>
      </c>
      <c r="Z860">
        <f>IF(Y860=C860,1,0)</f>
        <v/>
      </c>
    </row>
    <row r="861">
      <c r="A861">
        <f>'1 prepared data'!A854</f>
        <v/>
      </c>
      <c r="B861" s="5">
        <f>'1 prepared data'!U854</f>
        <v/>
      </c>
      <c r="C861">
        <f>'1 prepared data'!B854</f>
        <v/>
      </c>
      <c r="D861" s="7">
        <f>'1 prepared data'!C854</f>
        <v/>
      </c>
      <c r="E861" s="7">
        <f>'1 prepared data'!D854</f>
        <v/>
      </c>
      <c r="F861" s="7">
        <f>'1 prepared data'!E854</f>
        <v/>
      </c>
      <c r="G861" s="7">
        <f>'1 prepared data'!F854</f>
        <v/>
      </c>
      <c r="H861" s="7">
        <f>'1 prepared data'!G854</f>
        <v/>
      </c>
      <c r="I861" s="7">
        <f>'1 prepared data'!H854</f>
        <v/>
      </c>
      <c r="J861" s="7">
        <f>'1 prepared data'!I854</f>
        <v/>
      </c>
      <c r="K861" s="7">
        <f>'1 prepared data'!J854</f>
        <v/>
      </c>
      <c r="L861" s="7">
        <f>'1 prepared data'!K854</f>
        <v/>
      </c>
      <c r="M861" s="7">
        <f>'1 prepared data'!L854</f>
        <v/>
      </c>
      <c r="N861" s="7">
        <f>'1 prepared data'!M854</f>
        <v/>
      </c>
      <c r="O861" s="7">
        <f>'1 prepared data'!N854</f>
        <v/>
      </c>
      <c r="P861" s="7">
        <f>'1 prepared data'!O854</f>
        <v/>
      </c>
      <c r="Q861" s="7">
        <f>'1 prepared data'!P854</f>
        <v/>
      </c>
      <c r="R861" s="7">
        <f>'1 prepared data'!Q854</f>
        <v/>
      </c>
      <c r="S861" s="7">
        <f>'1 prepared data'!R854</f>
        <v/>
      </c>
      <c r="T861" s="7">
        <f>'1 prepared data'!S854</f>
        <v/>
      </c>
      <c r="U861" s="7">
        <f>'1 prepared data'!T854</f>
        <v/>
      </c>
      <c r="V861" s="8">
        <f>$AC$12+D861*$AC$13+E861*$AC$14+F861*$AC$15+G861*$AC$16+H861*$AC$17+I861*$AC$18+J861*$AC$19+K861*$AC$20+L861*$AC$21+M861*$AC$22+N861*$AC$23+O861*$AC$24+P861*$AC$25+Q861*$AC$26+R861*$AC$27+S861*$AC$28+T861*$AC$29+U861*$AC$30</f>
        <v/>
      </c>
      <c r="W861" s="8">
        <f>1/(1+EXP(-V861))</f>
        <v/>
      </c>
      <c r="X861" s="9">
        <f>-IF(C861=1,LN(W861),LN(1-W861))</f>
        <v/>
      </c>
      <c r="Y861" s="10">
        <f>IF(W861&gt;$AC$33,1,0)</f>
        <v/>
      </c>
      <c r="Z861">
        <f>IF(Y861=C861,1,0)</f>
        <v/>
      </c>
    </row>
    <row r="862">
      <c r="A862">
        <f>'1 prepared data'!A855</f>
        <v/>
      </c>
      <c r="B862" s="5">
        <f>'1 prepared data'!U855</f>
        <v/>
      </c>
      <c r="C862">
        <f>'1 prepared data'!B855</f>
        <v/>
      </c>
      <c r="D862" s="7">
        <f>'1 prepared data'!C855</f>
        <v/>
      </c>
      <c r="E862" s="7">
        <f>'1 prepared data'!D855</f>
        <v/>
      </c>
      <c r="F862" s="7">
        <f>'1 prepared data'!E855</f>
        <v/>
      </c>
      <c r="G862" s="7">
        <f>'1 prepared data'!F855</f>
        <v/>
      </c>
      <c r="H862" s="7">
        <f>'1 prepared data'!G855</f>
        <v/>
      </c>
      <c r="I862" s="7">
        <f>'1 prepared data'!H855</f>
        <v/>
      </c>
      <c r="J862" s="7">
        <f>'1 prepared data'!I855</f>
        <v/>
      </c>
      <c r="K862" s="7">
        <f>'1 prepared data'!J855</f>
        <v/>
      </c>
      <c r="L862" s="7">
        <f>'1 prepared data'!K855</f>
        <v/>
      </c>
      <c r="M862" s="7">
        <f>'1 prepared data'!L855</f>
        <v/>
      </c>
      <c r="N862" s="7">
        <f>'1 prepared data'!M855</f>
        <v/>
      </c>
      <c r="O862" s="7">
        <f>'1 prepared data'!N855</f>
        <v/>
      </c>
      <c r="P862" s="7">
        <f>'1 prepared data'!O855</f>
        <v/>
      </c>
      <c r="Q862" s="7">
        <f>'1 prepared data'!P855</f>
        <v/>
      </c>
      <c r="R862" s="7">
        <f>'1 prepared data'!Q855</f>
        <v/>
      </c>
      <c r="S862" s="7">
        <f>'1 prepared data'!R855</f>
        <v/>
      </c>
      <c r="T862" s="7">
        <f>'1 prepared data'!S855</f>
        <v/>
      </c>
      <c r="U862" s="7">
        <f>'1 prepared data'!T855</f>
        <v/>
      </c>
      <c r="V862" s="8">
        <f>$AC$12+D862*$AC$13+E862*$AC$14+F862*$AC$15+G862*$AC$16+H862*$AC$17+I862*$AC$18+J862*$AC$19+K862*$AC$20+L862*$AC$21+M862*$AC$22+N862*$AC$23+O862*$AC$24+P862*$AC$25+Q862*$AC$26+R862*$AC$27+S862*$AC$28+T862*$AC$29+U862*$AC$30</f>
        <v/>
      </c>
      <c r="W862" s="8">
        <f>1/(1+EXP(-V862))</f>
        <v/>
      </c>
      <c r="X862" s="9">
        <f>-IF(C862=1,LN(W862),LN(1-W862))</f>
        <v/>
      </c>
      <c r="Y862" s="10">
        <f>IF(W862&gt;$AC$33,1,0)</f>
        <v/>
      </c>
      <c r="Z862">
        <f>IF(Y862=C862,1,0)</f>
        <v/>
      </c>
    </row>
    <row r="863">
      <c r="A863">
        <f>'1 prepared data'!A856</f>
        <v/>
      </c>
      <c r="B863" s="5">
        <f>'1 prepared data'!U856</f>
        <v/>
      </c>
      <c r="C863">
        <f>'1 prepared data'!B856</f>
        <v/>
      </c>
      <c r="D863" s="7">
        <f>'1 prepared data'!C856</f>
        <v/>
      </c>
      <c r="E863" s="7">
        <f>'1 prepared data'!D856</f>
        <v/>
      </c>
      <c r="F863" s="7">
        <f>'1 prepared data'!E856</f>
        <v/>
      </c>
      <c r="G863" s="7">
        <f>'1 prepared data'!F856</f>
        <v/>
      </c>
      <c r="H863" s="7">
        <f>'1 prepared data'!G856</f>
        <v/>
      </c>
      <c r="I863" s="7">
        <f>'1 prepared data'!H856</f>
        <v/>
      </c>
      <c r="J863" s="7">
        <f>'1 prepared data'!I856</f>
        <v/>
      </c>
      <c r="K863" s="7">
        <f>'1 prepared data'!J856</f>
        <v/>
      </c>
      <c r="L863" s="7">
        <f>'1 prepared data'!K856</f>
        <v/>
      </c>
      <c r="M863" s="7">
        <f>'1 prepared data'!L856</f>
        <v/>
      </c>
      <c r="N863" s="7">
        <f>'1 prepared data'!M856</f>
        <v/>
      </c>
      <c r="O863" s="7">
        <f>'1 prepared data'!N856</f>
        <v/>
      </c>
      <c r="P863" s="7">
        <f>'1 prepared data'!O856</f>
        <v/>
      </c>
      <c r="Q863" s="7">
        <f>'1 prepared data'!P856</f>
        <v/>
      </c>
      <c r="R863" s="7">
        <f>'1 prepared data'!Q856</f>
        <v/>
      </c>
      <c r="S863" s="7">
        <f>'1 prepared data'!R856</f>
        <v/>
      </c>
      <c r="T863" s="7">
        <f>'1 prepared data'!S856</f>
        <v/>
      </c>
      <c r="U863" s="7">
        <f>'1 prepared data'!T856</f>
        <v/>
      </c>
      <c r="V863" s="8">
        <f>$AC$12+D863*$AC$13+E863*$AC$14+F863*$AC$15+G863*$AC$16+H863*$AC$17+I863*$AC$18+J863*$AC$19+K863*$AC$20+L863*$AC$21+M863*$AC$22+N863*$AC$23+O863*$AC$24+P863*$AC$25+Q863*$AC$26+R863*$AC$27+S863*$AC$28+T863*$AC$29+U863*$AC$30</f>
        <v/>
      </c>
      <c r="W863" s="8">
        <f>1/(1+EXP(-V863))</f>
        <v/>
      </c>
      <c r="X863" s="9">
        <f>-IF(C863=1,LN(W863),LN(1-W863))</f>
        <v/>
      </c>
      <c r="Y863" s="10">
        <f>IF(W863&gt;$AC$33,1,0)</f>
        <v/>
      </c>
      <c r="Z863">
        <f>IF(Y863=C863,1,0)</f>
        <v/>
      </c>
    </row>
    <row r="864">
      <c r="A864">
        <f>'1 prepared data'!A857</f>
        <v/>
      </c>
      <c r="B864" s="5">
        <f>'1 prepared data'!U857</f>
        <v/>
      </c>
      <c r="C864">
        <f>'1 prepared data'!B857</f>
        <v/>
      </c>
      <c r="D864" s="7">
        <f>'1 prepared data'!C857</f>
        <v/>
      </c>
      <c r="E864" s="7">
        <f>'1 prepared data'!D857</f>
        <v/>
      </c>
      <c r="F864" s="7">
        <f>'1 prepared data'!E857</f>
        <v/>
      </c>
      <c r="G864" s="7">
        <f>'1 prepared data'!F857</f>
        <v/>
      </c>
      <c r="H864" s="7">
        <f>'1 prepared data'!G857</f>
        <v/>
      </c>
      <c r="I864" s="7">
        <f>'1 prepared data'!H857</f>
        <v/>
      </c>
      <c r="J864" s="7">
        <f>'1 prepared data'!I857</f>
        <v/>
      </c>
      <c r="K864" s="7">
        <f>'1 prepared data'!J857</f>
        <v/>
      </c>
      <c r="L864" s="7">
        <f>'1 prepared data'!K857</f>
        <v/>
      </c>
      <c r="M864" s="7">
        <f>'1 prepared data'!L857</f>
        <v/>
      </c>
      <c r="N864" s="7">
        <f>'1 prepared data'!M857</f>
        <v/>
      </c>
      <c r="O864" s="7">
        <f>'1 prepared data'!N857</f>
        <v/>
      </c>
      <c r="P864" s="7">
        <f>'1 prepared data'!O857</f>
        <v/>
      </c>
      <c r="Q864" s="7">
        <f>'1 prepared data'!P857</f>
        <v/>
      </c>
      <c r="R864" s="7">
        <f>'1 prepared data'!Q857</f>
        <v/>
      </c>
      <c r="S864" s="7">
        <f>'1 prepared data'!R857</f>
        <v/>
      </c>
      <c r="T864" s="7">
        <f>'1 prepared data'!S857</f>
        <v/>
      </c>
      <c r="U864" s="7">
        <f>'1 prepared data'!T857</f>
        <v/>
      </c>
      <c r="V864" s="8">
        <f>$AC$12+D864*$AC$13+E864*$AC$14+F864*$AC$15+G864*$AC$16+H864*$AC$17+I864*$AC$18+J864*$AC$19+K864*$AC$20+L864*$AC$21+M864*$AC$22+N864*$AC$23+O864*$AC$24+P864*$AC$25+Q864*$AC$26+R864*$AC$27+S864*$AC$28+T864*$AC$29+U864*$AC$30</f>
        <v/>
      </c>
      <c r="W864" s="8">
        <f>1/(1+EXP(-V864))</f>
        <v/>
      </c>
      <c r="X864" s="9">
        <f>-IF(C864=1,LN(W864),LN(1-W864))</f>
        <v/>
      </c>
      <c r="Y864" s="10">
        <f>IF(W864&gt;$AC$33,1,0)</f>
        <v/>
      </c>
      <c r="Z864">
        <f>IF(Y864=C864,1,0)</f>
        <v/>
      </c>
    </row>
    <row r="865">
      <c r="A865">
        <f>'1 prepared data'!A858</f>
        <v/>
      </c>
      <c r="B865" s="5">
        <f>'1 prepared data'!U858</f>
        <v/>
      </c>
      <c r="C865">
        <f>'1 prepared data'!B858</f>
        <v/>
      </c>
      <c r="D865" s="7">
        <f>'1 prepared data'!C858</f>
        <v/>
      </c>
      <c r="E865" s="7">
        <f>'1 prepared data'!D858</f>
        <v/>
      </c>
      <c r="F865" s="7">
        <f>'1 prepared data'!E858</f>
        <v/>
      </c>
      <c r="G865" s="7">
        <f>'1 prepared data'!F858</f>
        <v/>
      </c>
      <c r="H865" s="7">
        <f>'1 prepared data'!G858</f>
        <v/>
      </c>
      <c r="I865" s="7">
        <f>'1 prepared data'!H858</f>
        <v/>
      </c>
      <c r="J865" s="7">
        <f>'1 prepared data'!I858</f>
        <v/>
      </c>
      <c r="K865" s="7">
        <f>'1 prepared data'!J858</f>
        <v/>
      </c>
      <c r="L865" s="7">
        <f>'1 prepared data'!K858</f>
        <v/>
      </c>
      <c r="M865" s="7">
        <f>'1 prepared data'!L858</f>
        <v/>
      </c>
      <c r="N865" s="7">
        <f>'1 prepared data'!M858</f>
        <v/>
      </c>
      <c r="O865" s="7">
        <f>'1 prepared data'!N858</f>
        <v/>
      </c>
      <c r="P865" s="7">
        <f>'1 prepared data'!O858</f>
        <v/>
      </c>
      <c r="Q865" s="7">
        <f>'1 prepared data'!P858</f>
        <v/>
      </c>
      <c r="R865" s="7">
        <f>'1 prepared data'!Q858</f>
        <v/>
      </c>
      <c r="S865" s="7">
        <f>'1 prepared data'!R858</f>
        <v/>
      </c>
      <c r="T865" s="7">
        <f>'1 prepared data'!S858</f>
        <v/>
      </c>
      <c r="U865" s="7">
        <f>'1 prepared data'!T858</f>
        <v/>
      </c>
      <c r="V865" s="8">
        <f>$AC$12+D865*$AC$13+E865*$AC$14+F865*$AC$15+G865*$AC$16+H865*$AC$17+I865*$AC$18+J865*$AC$19+K865*$AC$20+L865*$AC$21+M865*$AC$22+N865*$AC$23+O865*$AC$24+P865*$AC$25+Q865*$AC$26+R865*$AC$27+S865*$AC$28+T865*$AC$29+U865*$AC$30</f>
        <v/>
      </c>
      <c r="W865" s="8">
        <f>1/(1+EXP(-V865))</f>
        <v/>
      </c>
      <c r="X865" s="9">
        <f>-IF(C865=1,LN(W865),LN(1-W865))</f>
        <v/>
      </c>
      <c r="Y865" s="10">
        <f>IF(W865&gt;$AC$33,1,0)</f>
        <v/>
      </c>
      <c r="Z865">
        <f>IF(Y865=C865,1,0)</f>
        <v/>
      </c>
    </row>
    <row r="866">
      <c r="A866">
        <f>'1 prepared data'!A859</f>
        <v/>
      </c>
      <c r="B866" s="5">
        <f>'1 prepared data'!U859</f>
        <v/>
      </c>
      <c r="C866">
        <f>'1 prepared data'!B859</f>
        <v/>
      </c>
      <c r="D866" s="7">
        <f>'1 prepared data'!C859</f>
        <v/>
      </c>
      <c r="E866" s="7">
        <f>'1 prepared data'!D859</f>
        <v/>
      </c>
      <c r="F866" s="7">
        <f>'1 prepared data'!E859</f>
        <v/>
      </c>
      <c r="G866" s="7">
        <f>'1 prepared data'!F859</f>
        <v/>
      </c>
      <c r="H866" s="7">
        <f>'1 prepared data'!G859</f>
        <v/>
      </c>
      <c r="I866" s="7">
        <f>'1 prepared data'!H859</f>
        <v/>
      </c>
      <c r="J866" s="7">
        <f>'1 prepared data'!I859</f>
        <v/>
      </c>
      <c r="K866" s="7">
        <f>'1 prepared data'!J859</f>
        <v/>
      </c>
      <c r="L866" s="7">
        <f>'1 prepared data'!K859</f>
        <v/>
      </c>
      <c r="M866" s="7">
        <f>'1 prepared data'!L859</f>
        <v/>
      </c>
      <c r="N866" s="7">
        <f>'1 prepared data'!M859</f>
        <v/>
      </c>
      <c r="O866" s="7">
        <f>'1 prepared data'!N859</f>
        <v/>
      </c>
      <c r="P866" s="7">
        <f>'1 prepared data'!O859</f>
        <v/>
      </c>
      <c r="Q866" s="7">
        <f>'1 prepared data'!P859</f>
        <v/>
      </c>
      <c r="R866" s="7">
        <f>'1 prepared data'!Q859</f>
        <v/>
      </c>
      <c r="S866" s="7">
        <f>'1 prepared data'!R859</f>
        <v/>
      </c>
      <c r="T866" s="7">
        <f>'1 prepared data'!S859</f>
        <v/>
      </c>
      <c r="U866" s="7">
        <f>'1 prepared data'!T859</f>
        <v/>
      </c>
      <c r="V866" s="8">
        <f>$AC$12+D866*$AC$13+E866*$AC$14+F866*$AC$15+G866*$AC$16+H866*$AC$17+I866*$AC$18+J866*$AC$19+K866*$AC$20+L866*$AC$21+M866*$AC$22+N866*$AC$23+O866*$AC$24+P866*$AC$25+Q866*$AC$26+R866*$AC$27+S866*$AC$28+T866*$AC$29+U866*$AC$30</f>
        <v/>
      </c>
      <c r="W866" s="8">
        <f>1/(1+EXP(-V866))</f>
        <v/>
      </c>
      <c r="X866" s="9">
        <f>-IF(C866=1,LN(W866),LN(1-W866))</f>
        <v/>
      </c>
      <c r="Y866" s="10">
        <f>IF(W866&gt;$AC$33,1,0)</f>
        <v/>
      </c>
      <c r="Z866">
        <f>IF(Y866=C866,1,0)</f>
        <v/>
      </c>
    </row>
    <row r="867">
      <c r="A867">
        <f>'1 prepared data'!A860</f>
        <v/>
      </c>
      <c r="B867" s="5">
        <f>'1 prepared data'!U860</f>
        <v/>
      </c>
      <c r="C867">
        <f>'1 prepared data'!B860</f>
        <v/>
      </c>
      <c r="D867" s="7">
        <f>'1 prepared data'!C860</f>
        <v/>
      </c>
      <c r="E867" s="7">
        <f>'1 prepared data'!D860</f>
        <v/>
      </c>
      <c r="F867" s="7">
        <f>'1 prepared data'!E860</f>
        <v/>
      </c>
      <c r="G867" s="7">
        <f>'1 prepared data'!F860</f>
        <v/>
      </c>
      <c r="H867" s="7">
        <f>'1 prepared data'!G860</f>
        <v/>
      </c>
      <c r="I867" s="7">
        <f>'1 prepared data'!H860</f>
        <v/>
      </c>
      <c r="J867" s="7">
        <f>'1 prepared data'!I860</f>
        <v/>
      </c>
      <c r="K867" s="7">
        <f>'1 prepared data'!J860</f>
        <v/>
      </c>
      <c r="L867" s="7">
        <f>'1 prepared data'!K860</f>
        <v/>
      </c>
      <c r="M867" s="7">
        <f>'1 prepared data'!L860</f>
        <v/>
      </c>
      <c r="N867" s="7">
        <f>'1 prepared data'!M860</f>
        <v/>
      </c>
      <c r="O867" s="7">
        <f>'1 prepared data'!N860</f>
        <v/>
      </c>
      <c r="P867" s="7">
        <f>'1 prepared data'!O860</f>
        <v/>
      </c>
      <c r="Q867" s="7">
        <f>'1 prepared data'!P860</f>
        <v/>
      </c>
      <c r="R867" s="7">
        <f>'1 prepared data'!Q860</f>
        <v/>
      </c>
      <c r="S867" s="7">
        <f>'1 prepared data'!R860</f>
        <v/>
      </c>
      <c r="T867" s="7">
        <f>'1 prepared data'!S860</f>
        <v/>
      </c>
      <c r="U867" s="7">
        <f>'1 prepared data'!T860</f>
        <v/>
      </c>
      <c r="V867" s="8">
        <f>$AC$12+D867*$AC$13+E867*$AC$14+F867*$AC$15+G867*$AC$16+H867*$AC$17+I867*$AC$18+J867*$AC$19+K867*$AC$20+L867*$AC$21+M867*$AC$22+N867*$AC$23+O867*$AC$24+P867*$AC$25+Q867*$AC$26+R867*$AC$27+S867*$AC$28+T867*$AC$29+U867*$AC$30</f>
        <v/>
      </c>
      <c r="W867" s="8">
        <f>1/(1+EXP(-V867))</f>
        <v/>
      </c>
      <c r="X867" s="9">
        <f>-IF(C867=1,LN(W867),LN(1-W867))</f>
        <v/>
      </c>
      <c r="Y867" s="10">
        <f>IF(W867&gt;$AC$33,1,0)</f>
        <v/>
      </c>
      <c r="Z867">
        <f>IF(Y867=C867,1,0)</f>
        <v/>
      </c>
    </row>
    <row r="868">
      <c r="A868">
        <f>'1 prepared data'!A861</f>
        <v/>
      </c>
      <c r="B868" s="5">
        <f>'1 prepared data'!U861</f>
        <v/>
      </c>
      <c r="C868">
        <f>'1 prepared data'!B861</f>
        <v/>
      </c>
      <c r="D868" s="7">
        <f>'1 prepared data'!C861</f>
        <v/>
      </c>
      <c r="E868" s="7">
        <f>'1 prepared data'!D861</f>
        <v/>
      </c>
      <c r="F868" s="7">
        <f>'1 prepared data'!E861</f>
        <v/>
      </c>
      <c r="G868" s="7">
        <f>'1 prepared data'!F861</f>
        <v/>
      </c>
      <c r="H868" s="7">
        <f>'1 prepared data'!G861</f>
        <v/>
      </c>
      <c r="I868" s="7">
        <f>'1 prepared data'!H861</f>
        <v/>
      </c>
      <c r="J868" s="7">
        <f>'1 prepared data'!I861</f>
        <v/>
      </c>
      <c r="K868" s="7">
        <f>'1 prepared data'!J861</f>
        <v/>
      </c>
      <c r="L868" s="7">
        <f>'1 prepared data'!K861</f>
        <v/>
      </c>
      <c r="M868" s="7">
        <f>'1 prepared data'!L861</f>
        <v/>
      </c>
      <c r="N868" s="7">
        <f>'1 prepared data'!M861</f>
        <v/>
      </c>
      <c r="O868" s="7">
        <f>'1 prepared data'!N861</f>
        <v/>
      </c>
      <c r="P868" s="7">
        <f>'1 prepared data'!O861</f>
        <v/>
      </c>
      <c r="Q868" s="7">
        <f>'1 prepared data'!P861</f>
        <v/>
      </c>
      <c r="R868" s="7">
        <f>'1 prepared data'!Q861</f>
        <v/>
      </c>
      <c r="S868" s="7">
        <f>'1 prepared data'!R861</f>
        <v/>
      </c>
      <c r="T868" s="7">
        <f>'1 prepared data'!S861</f>
        <v/>
      </c>
      <c r="U868" s="7">
        <f>'1 prepared data'!T861</f>
        <v/>
      </c>
      <c r="V868" s="8">
        <f>$AC$12+D868*$AC$13+E868*$AC$14+F868*$AC$15+G868*$AC$16+H868*$AC$17+I868*$AC$18+J868*$AC$19+K868*$AC$20+L868*$AC$21+M868*$AC$22+N868*$AC$23+O868*$AC$24+P868*$AC$25+Q868*$AC$26+R868*$AC$27+S868*$AC$28+T868*$AC$29+U868*$AC$30</f>
        <v/>
      </c>
      <c r="W868" s="8">
        <f>1/(1+EXP(-V868))</f>
        <v/>
      </c>
      <c r="X868" s="9">
        <f>-IF(C868=1,LN(W868),LN(1-W868))</f>
        <v/>
      </c>
      <c r="Y868" s="10">
        <f>IF(W868&gt;$AC$33,1,0)</f>
        <v/>
      </c>
      <c r="Z868">
        <f>IF(Y868=C868,1,0)</f>
        <v/>
      </c>
    </row>
    <row r="869">
      <c r="A869">
        <f>'1 prepared data'!A862</f>
        <v/>
      </c>
      <c r="B869" s="5">
        <f>'1 prepared data'!U862</f>
        <v/>
      </c>
      <c r="C869">
        <f>'1 prepared data'!B862</f>
        <v/>
      </c>
      <c r="D869" s="7">
        <f>'1 prepared data'!C862</f>
        <v/>
      </c>
      <c r="E869" s="7">
        <f>'1 prepared data'!D862</f>
        <v/>
      </c>
      <c r="F869" s="7">
        <f>'1 prepared data'!E862</f>
        <v/>
      </c>
      <c r="G869" s="7">
        <f>'1 prepared data'!F862</f>
        <v/>
      </c>
      <c r="H869" s="7">
        <f>'1 prepared data'!G862</f>
        <v/>
      </c>
      <c r="I869" s="7">
        <f>'1 prepared data'!H862</f>
        <v/>
      </c>
      <c r="J869" s="7">
        <f>'1 prepared data'!I862</f>
        <v/>
      </c>
      <c r="K869" s="7">
        <f>'1 prepared data'!J862</f>
        <v/>
      </c>
      <c r="L869" s="7">
        <f>'1 prepared data'!K862</f>
        <v/>
      </c>
      <c r="M869" s="7">
        <f>'1 prepared data'!L862</f>
        <v/>
      </c>
      <c r="N869" s="7">
        <f>'1 prepared data'!M862</f>
        <v/>
      </c>
      <c r="O869" s="7">
        <f>'1 prepared data'!N862</f>
        <v/>
      </c>
      <c r="P869" s="7">
        <f>'1 prepared data'!O862</f>
        <v/>
      </c>
      <c r="Q869" s="7">
        <f>'1 prepared data'!P862</f>
        <v/>
      </c>
      <c r="R869" s="7">
        <f>'1 prepared data'!Q862</f>
        <v/>
      </c>
      <c r="S869" s="7">
        <f>'1 prepared data'!R862</f>
        <v/>
      </c>
      <c r="T869" s="7">
        <f>'1 prepared data'!S862</f>
        <v/>
      </c>
      <c r="U869" s="7">
        <f>'1 prepared data'!T862</f>
        <v/>
      </c>
      <c r="V869" s="8">
        <f>$AC$12+D869*$AC$13+E869*$AC$14+F869*$AC$15+G869*$AC$16+H869*$AC$17+I869*$AC$18+J869*$AC$19+K869*$AC$20+L869*$AC$21+M869*$AC$22+N869*$AC$23+O869*$AC$24+P869*$AC$25+Q869*$AC$26+R869*$AC$27+S869*$AC$28+T869*$AC$29+U869*$AC$30</f>
        <v/>
      </c>
      <c r="W869" s="8">
        <f>1/(1+EXP(-V869))</f>
        <v/>
      </c>
      <c r="X869" s="9">
        <f>-IF(C869=1,LN(W869),LN(1-W869))</f>
        <v/>
      </c>
      <c r="Y869" s="10">
        <f>IF(W869&gt;$AC$33,1,0)</f>
        <v/>
      </c>
      <c r="Z869">
        <f>IF(Y869=C869,1,0)</f>
        <v/>
      </c>
    </row>
    <row r="870">
      <c r="A870">
        <f>'1 prepared data'!A863</f>
        <v/>
      </c>
      <c r="B870" s="5">
        <f>'1 prepared data'!U863</f>
        <v/>
      </c>
      <c r="C870">
        <f>'1 prepared data'!B863</f>
        <v/>
      </c>
      <c r="D870" s="7">
        <f>'1 prepared data'!C863</f>
        <v/>
      </c>
      <c r="E870" s="7">
        <f>'1 prepared data'!D863</f>
        <v/>
      </c>
      <c r="F870" s="7">
        <f>'1 prepared data'!E863</f>
        <v/>
      </c>
      <c r="G870" s="7">
        <f>'1 prepared data'!F863</f>
        <v/>
      </c>
      <c r="H870" s="7">
        <f>'1 prepared data'!G863</f>
        <v/>
      </c>
      <c r="I870" s="7">
        <f>'1 prepared data'!H863</f>
        <v/>
      </c>
      <c r="J870" s="7">
        <f>'1 prepared data'!I863</f>
        <v/>
      </c>
      <c r="K870" s="7">
        <f>'1 prepared data'!J863</f>
        <v/>
      </c>
      <c r="L870" s="7">
        <f>'1 prepared data'!K863</f>
        <v/>
      </c>
      <c r="M870" s="7">
        <f>'1 prepared data'!L863</f>
        <v/>
      </c>
      <c r="N870" s="7">
        <f>'1 prepared data'!M863</f>
        <v/>
      </c>
      <c r="O870" s="7">
        <f>'1 prepared data'!N863</f>
        <v/>
      </c>
      <c r="P870" s="7">
        <f>'1 prepared data'!O863</f>
        <v/>
      </c>
      <c r="Q870" s="7">
        <f>'1 prepared data'!P863</f>
        <v/>
      </c>
      <c r="R870" s="7">
        <f>'1 prepared data'!Q863</f>
        <v/>
      </c>
      <c r="S870" s="7">
        <f>'1 prepared data'!R863</f>
        <v/>
      </c>
      <c r="T870" s="7">
        <f>'1 prepared data'!S863</f>
        <v/>
      </c>
      <c r="U870" s="7">
        <f>'1 prepared data'!T863</f>
        <v/>
      </c>
      <c r="V870" s="8">
        <f>$AC$12+D870*$AC$13+E870*$AC$14+F870*$AC$15+G870*$AC$16+H870*$AC$17+I870*$AC$18+J870*$AC$19+K870*$AC$20+L870*$AC$21+M870*$AC$22+N870*$AC$23+O870*$AC$24+P870*$AC$25+Q870*$AC$26+R870*$AC$27+S870*$AC$28+T870*$AC$29+U870*$AC$30</f>
        <v/>
      </c>
      <c r="W870" s="8">
        <f>1/(1+EXP(-V870))</f>
        <v/>
      </c>
      <c r="X870" s="9">
        <f>-IF(C870=1,LN(W870),LN(1-W870))</f>
        <v/>
      </c>
      <c r="Y870" s="10">
        <f>IF(W870&gt;$AC$33,1,0)</f>
        <v/>
      </c>
      <c r="Z870">
        <f>IF(Y870=C870,1,0)</f>
        <v/>
      </c>
    </row>
    <row r="871">
      <c r="A871">
        <f>'1 prepared data'!A864</f>
        <v/>
      </c>
      <c r="B871" s="5">
        <f>'1 prepared data'!U864</f>
        <v/>
      </c>
      <c r="C871">
        <f>'1 prepared data'!B864</f>
        <v/>
      </c>
      <c r="D871" s="7">
        <f>'1 prepared data'!C864</f>
        <v/>
      </c>
      <c r="E871" s="7">
        <f>'1 prepared data'!D864</f>
        <v/>
      </c>
      <c r="F871" s="7">
        <f>'1 prepared data'!E864</f>
        <v/>
      </c>
      <c r="G871" s="7">
        <f>'1 prepared data'!F864</f>
        <v/>
      </c>
      <c r="H871" s="7">
        <f>'1 prepared data'!G864</f>
        <v/>
      </c>
      <c r="I871" s="7">
        <f>'1 prepared data'!H864</f>
        <v/>
      </c>
      <c r="J871" s="7">
        <f>'1 prepared data'!I864</f>
        <v/>
      </c>
      <c r="K871" s="7">
        <f>'1 prepared data'!J864</f>
        <v/>
      </c>
      <c r="L871" s="7">
        <f>'1 prepared data'!K864</f>
        <v/>
      </c>
      <c r="M871" s="7">
        <f>'1 prepared data'!L864</f>
        <v/>
      </c>
      <c r="N871" s="7">
        <f>'1 prepared data'!M864</f>
        <v/>
      </c>
      <c r="O871" s="7">
        <f>'1 prepared data'!N864</f>
        <v/>
      </c>
      <c r="P871" s="7">
        <f>'1 prepared data'!O864</f>
        <v/>
      </c>
      <c r="Q871" s="7">
        <f>'1 prepared data'!P864</f>
        <v/>
      </c>
      <c r="R871" s="7">
        <f>'1 prepared data'!Q864</f>
        <v/>
      </c>
      <c r="S871" s="7">
        <f>'1 prepared data'!R864</f>
        <v/>
      </c>
      <c r="T871" s="7">
        <f>'1 prepared data'!S864</f>
        <v/>
      </c>
      <c r="U871" s="7">
        <f>'1 prepared data'!T864</f>
        <v/>
      </c>
      <c r="V871" s="8">
        <f>$AC$12+D871*$AC$13+E871*$AC$14+F871*$AC$15+G871*$AC$16+H871*$AC$17+I871*$AC$18+J871*$AC$19+K871*$AC$20+L871*$AC$21+M871*$AC$22+N871*$AC$23+O871*$AC$24+P871*$AC$25+Q871*$AC$26+R871*$AC$27+S871*$AC$28+T871*$AC$29+U871*$AC$30</f>
        <v/>
      </c>
      <c r="W871" s="8">
        <f>1/(1+EXP(-V871))</f>
        <v/>
      </c>
      <c r="X871" s="9">
        <f>-IF(C871=1,LN(W871),LN(1-W871))</f>
        <v/>
      </c>
      <c r="Y871" s="10">
        <f>IF(W871&gt;$AC$33,1,0)</f>
        <v/>
      </c>
      <c r="Z871">
        <f>IF(Y871=C871,1,0)</f>
        <v/>
      </c>
    </row>
    <row r="872">
      <c r="A872">
        <f>'1 prepared data'!A865</f>
        <v/>
      </c>
      <c r="B872" s="5">
        <f>'1 prepared data'!U865</f>
        <v/>
      </c>
      <c r="C872">
        <f>'1 prepared data'!B865</f>
        <v/>
      </c>
      <c r="D872" s="7">
        <f>'1 prepared data'!C865</f>
        <v/>
      </c>
      <c r="E872" s="7">
        <f>'1 prepared data'!D865</f>
        <v/>
      </c>
      <c r="F872" s="7">
        <f>'1 prepared data'!E865</f>
        <v/>
      </c>
      <c r="G872" s="7">
        <f>'1 prepared data'!F865</f>
        <v/>
      </c>
      <c r="H872" s="7">
        <f>'1 prepared data'!G865</f>
        <v/>
      </c>
      <c r="I872" s="7">
        <f>'1 prepared data'!H865</f>
        <v/>
      </c>
      <c r="J872" s="7">
        <f>'1 prepared data'!I865</f>
        <v/>
      </c>
      <c r="K872" s="7">
        <f>'1 prepared data'!J865</f>
        <v/>
      </c>
      <c r="L872" s="7">
        <f>'1 prepared data'!K865</f>
        <v/>
      </c>
      <c r="M872" s="7">
        <f>'1 prepared data'!L865</f>
        <v/>
      </c>
      <c r="N872" s="7">
        <f>'1 prepared data'!M865</f>
        <v/>
      </c>
      <c r="O872" s="7">
        <f>'1 prepared data'!N865</f>
        <v/>
      </c>
      <c r="P872" s="7">
        <f>'1 prepared data'!O865</f>
        <v/>
      </c>
      <c r="Q872" s="7">
        <f>'1 prepared data'!P865</f>
        <v/>
      </c>
      <c r="R872" s="7">
        <f>'1 prepared data'!Q865</f>
        <v/>
      </c>
      <c r="S872" s="7">
        <f>'1 prepared data'!R865</f>
        <v/>
      </c>
      <c r="T872" s="7">
        <f>'1 prepared data'!S865</f>
        <v/>
      </c>
      <c r="U872" s="7">
        <f>'1 prepared data'!T865</f>
        <v/>
      </c>
      <c r="V872" s="8">
        <f>$AC$12+D872*$AC$13+E872*$AC$14+F872*$AC$15+G872*$AC$16+H872*$AC$17+I872*$AC$18+J872*$AC$19+K872*$AC$20+L872*$AC$21+M872*$AC$22+N872*$AC$23+O872*$AC$24+P872*$AC$25+Q872*$AC$26+R872*$AC$27+S872*$AC$28+T872*$AC$29+U872*$AC$30</f>
        <v/>
      </c>
      <c r="W872" s="8">
        <f>1/(1+EXP(-V872))</f>
        <v/>
      </c>
      <c r="X872" s="9">
        <f>-IF(C872=1,LN(W872),LN(1-W872))</f>
        <v/>
      </c>
      <c r="Y872" s="10">
        <f>IF(W872&gt;$AC$33,1,0)</f>
        <v/>
      </c>
      <c r="Z872">
        <f>IF(Y872=C872,1,0)</f>
        <v/>
      </c>
    </row>
    <row r="873">
      <c r="A873">
        <f>'1 prepared data'!A866</f>
        <v/>
      </c>
      <c r="B873" s="5">
        <f>'1 prepared data'!U866</f>
        <v/>
      </c>
      <c r="C873">
        <f>'1 prepared data'!B866</f>
        <v/>
      </c>
      <c r="D873" s="7">
        <f>'1 prepared data'!C866</f>
        <v/>
      </c>
      <c r="E873" s="7">
        <f>'1 prepared data'!D866</f>
        <v/>
      </c>
      <c r="F873" s="7">
        <f>'1 prepared data'!E866</f>
        <v/>
      </c>
      <c r="G873" s="7">
        <f>'1 prepared data'!F866</f>
        <v/>
      </c>
      <c r="H873" s="7">
        <f>'1 prepared data'!G866</f>
        <v/>
      </c>
      <c r="I873" s="7">
        <f>'1 prepared data'!H866</f>
        <v/>
      </c>
      <c r="J873" s="7">
        <f>'1 prepared data'!I866</f>
        <v/>
      </c>
      <c r="K873" s="7">
        <f>'1 prepared data'!J866</f>
        <v/>
      </c>
      <c r="L873" s="7">
        <f>'1 prepared data'!K866</f>
        <v/>
      </c>
      <c r="M873" s="7">
        <f>'1 prepared data'!L866</f>
        <v/>
      </c>
      <c r="N873" s="7">
        <f>'1 prepared data'!M866</f>
        <v/>
      </c>
      <c r="O873" s="7">
        <f>'1 prepared data'!N866</f>
        <v/>
      </c>
      <c r="P873" s="7">
        <f>'1 prepared data'!O866</f>
        <v/>
      </c>
      <c r="Q873" s="7">
        <f>'1 prepared data'!P866</f>
        <v/>
      </c>
      <c r="R873" s="7">
        <f>'1 prepared data'!Q866</f>
        <v/>
      </c>
      <c r="S873" s="7">
        <f>'1 prepared data'!R866</f>
        <v/>
      </c>
      <c r="T873" s="7">
        <f>'1 prepared data'!S866</f>
        <v/>
      </c>
      <c r="U873" s="7">
        <f>'1 prepared data'!T866</f>
        <v/>
      </c>
      <c r="V873" s="8">
        <f>$AC$12+D873*$AC$13+E873*$AC$14+F873*$AC$15+G873*$AC$16+H873*$AC$17+I873*$AC$18+J873*$AC$19+K873*$AC$20+L873*$AC$21+M873*$AC$22+N873*$AC$23+O873*$AC$24+P873*$AC$25+Q873*$AC$26+R873*$AC$27+S873*$AC$28+T873*$AC$29+U873*$AC$30</f>
        <v/>
      </c>
      <c r="W873" s="8">
        <f>1/(1+EXP(-V873))</f>
        <v/>
      </c>
      <c r="X873" s="9">
        <f>-IF(C873=1,LN(W873),LN(1-W873))</f>
        <v/>
      </c>
      <c r="Y873" s="10">
        <f>IF(W873&gt;$AC$33,1,0)</f>
        <v/>
      </c>
      <c r="Z873">
        <f>IF(Y873=C873,1,0)</f>
        <v/>
      </c>
    </row>
    <row r="874">
      <c r="A874">
        <f>'1 prepared data'!A867</f>
        <v/>
      </c>
      <c r="B874" s="5">
        <f>'1 prepared data'!U867</f>
        <v/>
      </c>
      <c r="C874">
        <f>'1 prepared data'!B867</f>
        <v/>
      </c>
      <c r="D874" s="7">
        <f>'1 prepared data'!C867</f>
        <v/>
      </c>
      <c r="E874" s="7">
        <f>'1 prepared data'!D867</f>
        <v/>
      </c>
      <c r="F874" s="7">
        <f>'1 prepared data'!E867</f>
        <v/>
      </c>
      <c r="G874" s="7">
        <f>'1 prepared data'!F867</f>
        <v/>
      </c>
      <c r="H874" s="7">
        <f>'1 prepared data'!G867</f>
        <v/>
      </c>
      <c r="I874" s="7">
        <f>'1 prepared data'!H867</f>
        <v/>
      </c>
      <c r="J874" s="7">
        <f>'1 prepared data'!I867</f>
        <v/>
      </c>
      <c r="K874" s="7">
        <f>'1 prepared data'!J867</f>
        <v/>
      </c>
      <c r="L874" s="7">
        <f>'1 prepared data'!K867</f>
        <v/>
      </c>
      <c r="M874" s="7">
        <f>'1 prepared data'!L867</f>
        <v/>
      </c>
      <c r="N874" s="7">
        <f>'1 prepared data'!M867</f>
        <v/>
      </c>
      <c r="O874" s="7">
        <f>'1 prepared data'!N867</f>
        <v/>
      </c>
      <c r="P874" s="7">
        <f>'1 prepared data'!O867</f>
        <v/>
      </c>
      <c r="Q874" s="7">
        <f>'1 prepared data'!P867</f>
        <v/>
      </c>
      <c r="R874" s="7">
        <f>'1 prepared data'!Q867</f>
        <v/>
      </c>
      <c r="S874" s="7">
        <f>'1 prepared data'!R867</f>
        <v/>
      </c>
      <c r="T874" s="7">
        <f>'1 prepared data'!S867</f>
        <v/>
      </c>
      <c r="U874" s="7">
        <f>'1 prepared data'!T867</f>
        <v/>
      </c>
      <c r="V874" s="8">
        <f>$AC$12+D874*$AC$13+E874*$AC$14+F874*$AC$15+G874*$AC$16+H874*$AC$17+I874*$AC$18+J874*$AC$19+K874*$AC$20+L874*$AC$21+M874*$AC$22+N874*$AC$23+O874*$AC$24+P874*$AC$25+Q874*$AC$26+R874*$AC$27+S874*$AC$28+T874*$AC$29+U874*$AC$30</f>
        <v/>
      </c>
      <c r="W874" s="8">
        <f>1/(1+EXP(-V874))</f>
        <v/>
      </c>
      <c r="X874" s="9">
        <f>-IF(C874=1,LN(W874),LN(1-W874))</f>
        <v/>
      </c>
      <c r="Y874" s="10">
        <f>IF(W874&gt;$AC$33,1,0)</f>
        <v/>
      </c>
      <c r="Z874">
        <f>IF(Y874=C874,1,0)</f>
        <v/>
      </c>
    </row>
    <row r="875">
      <c r="A875">
        <f>'1 prepared data'!A868</f>
        <v/>
      </c>
      <c r="B875" s="5">
        <f>'1 prepared data'!U868</f>
        <v/>
      </c>
      <c r="C875">
        <f>'1 prepared data'!B868</f>
        <v/>
      </c>
      <c r="D875" s="7">
        <f>'1 prepared data'!C868</f>
        <v/>
      </c>
      <c r="E875" s="7">
        <f>'1 prepared data'!D868</f>
        <v/>
      </c>
      <c r="F875" s="7">
        <f>'1 prepared data'!E868</f>
        <v/>
      </c>
      <c r="G875" s="7">
        <f>'1 prepared data'!F868</f>
        <v/>
      </c>
      <c r="H875" s="7">
        <f>'1 prepared data'!G868</f>
        <v/>
      </c>
      <c r="I875" s="7">
        <f>'1 prepared data'!H868</f>
        <v/>
      </c>
      <c r="J875" s="7">
        <f>'1 prepared data'!I868</f>
        <v/>
      </c>
      <c r="K875" s="7">
        <f>'1 prepared data'!J868</f>
        <v/>
      </c>
      <c r="L875" s="7">
        <f>'1 prepared data'!K868</f>
        <v/>
      </c>
      <c r="M875" s="7">
        <f>'1 prepared data'!L868</f>
        <v/>
      </c>
      <c r="N875" s="7">
        <f>'1 prepared data'!M868</f>
        <v/>
      </c>
      <c r="O875" s="7">
        <f>'1 prepared data'!N868</f>
        <v/>
      </c>
      <c r="P875" s="7">
        <f>'1 prepared data'!O868</f>
        <v/>
      </c>
      <c r="Q875" s="7">
        <f>'1 prepared data'!P868</f>
        <v/>
      </c>
      <c r="R875" s="7">
        <f>'1 prepared data'!Q868</f>
        <v/>
      </c>
      <c r="S875" s="7">
        <f>'1 prepared data'!R868</f>
        <v/>
      </c>
      <c r="T875" s="7">
        <f>'1 prepared data'!S868</f>
        <v/>
      </c>
      <c r="U875" s="7">
        <f>'1 prepared data'!T868</f>
        <v/>
      </c>
      <c r="V875" s="8">
        <f>$AC$12+D875*$AC$13+E875*$AC$14+F875*$AC$15+G875*$AC$16+H875*$AC$17+I875*$AC$18+J875*$AC$19+K875*$AC$20+L875*$AC$21+M875*$AC$22+N875*$AC$23+O875*$AC$24+P875*$AC$25+Q875*$AC$26+R875*$AC$27+S875*$AC$28+T875*$AC$29+U875*$AC$30</f>
        <v/>
      </c>
      <c r="W875" s="8">
        <f>1/(1+EXP(-V875))</f>
        <v/>
      </c>
      <c r="X875" s="9">
        <f>-IF(C875=1,LN(W875),LN(1-W875))</f>
        <v/>
      </c>
      <c r="Y875" s="10">
        <f>IF(W875&gt;$AC$33,1,0)</f>
        <v/>
      </c>
      <c r="Z875">
        <f>IF(Y875=C875,1,0)</f>
        <v/>
      </c>
    </row>
    <row r="876">
      <c r="A876">
        <f>'1 prepared data'!A869</f>
        <v/>
      </c>
      <c r="B876" s="5">
        <f>'1 prepared data'!U869</f>
        <v/>
      </c>
      <c r="C876">
        <f>'1 prepared data'!B869</f>
        <v/>
      </c>
      <c r="D876" s="7">
        <f>'1 prepared data'!C869</f>
        <v/>
      </c>
      <c r="E876" s="7">
        <f>'1 prepared data'!D869</f>
        <v/>
      </c>
      <c r="F876" s="7">
        <f>'1 prepared data'!E869</f>
        <v/>
      </c>
      <c r="G876" s="7">
        <f>'1 prepared data'!F869</f>
        <v/>
      </c>
      <c r="H876" s="7">
        <f>'1 prepared data'!G869</f>
        <v/>
      </c>
      <c r="I876" s="7">
        <f>'1 prepared data'!H869</f>
        <v/>
      </c>
      <c r="J876" s="7">
        <f>'1 prepared data'!I869</f>
        <v/>
      </c>
      <c r="K876" s="7">
        <f>'1 prepared data'!J869</f>
        <v/>
      </c>
      <c r="L876" s="7">
        <f>'1 prepared data'!K869</f>
        <v/>
      </c>
      <c r="M876" s="7">
        <f>'1 prepared data'!L869</f>
        <v/>
      </c>
      <c r="N876" s="7">
        <f>'1 prepared data'!M869</f>
        <v/>
      </c>
      <c r="O876" s="7">
        <f>'1 prepared data'!N869</f>
        <v/>
      </c>
      <c r="P876" s="7">
        <f>'1 prepared data'!O869</f>
        <v/>
      </c>
      <c r="Q876" s="7">
        <f>'1 prepared data'!P869</f>
        <v/>
      </c>
      <c r="R876" s="7">
        <f>'1 prepared data'!Q869</f>
        <v/>
      </c>
      <c r="S876" s="7">
        <f>'1 prepared data'!R869</f>
        <v/>
      </c>
      <c r="T876" s="7">
        <f>'1 prepared data'!S869</f>
        <v/>
      </c>
      <c r="U876" s="7">
        <f>'1 prepared data'!T869</f>
        <v/>
      </c>
      <c r="V876" s="8">
        <f>$AC$12+D876*$AC$13+E876*$AC$14+F876*$AC$15+G876*$AC$16+H876*$AC$17+I876*$AC$18+J876*$AC$19+K876*$AC$20+L876*$AC$21+M876*$AC$22+N876*$AC$23+O876*$AC$24+P876*$AC$25+Q876*$AC$26+R876*$AC$27+S876*$AC$28+T876*$AC$29+U876*$AC$30</f>
        <v/>
      </c>
      <c r="W876" s="8">
        <f>1/(1+EXP(-V876))</f>
        <v/>
      </c>
      <c r="X876" s="9">
        <f>-IF(C876=1,LN(W876),LN(1-W876))</f>
        <v/>
      </c>
      <c r="Y876" s="10">
        <f>IF(W876&gt;$AC$33,1,0)</f>
        <v/>
      </c>
      <c r="Z876">
        <f>IF(Y876=C876,1,0)</f>
        <v/>
      </c>
    </row>
    <row r="877">
      <c r="A877">
        <f>'1 prepared data'!A870</f>
        <v/>
      </c>
      <c r="B877" s="5">
        <f>'1 prepared data'!U870</f>
        <v/>
      </c>
      <c r="C877">
        <f>'1 prepared data'!B870</f>
        <v/>
      </c>
      <c r="D877" s="7">
        <f>'1 prepared data'!C870</f>
        <v/>
      </c>
      <c r="E877" s="7">
        <f>'1 prepared data'!D870</f>
        <v/>
      </c>
      <c r="F877" s="7">
        <f>'1 prepared data'!E870</f>
        <v/>
      </c>
      <c r="G877" s="7">
        <f>'1 prepared data'!F870</f>
        <v/>
      </c>
      <c r="H877" s="7">
        <f>'1 prepared data'!G870</f>
        <v/>
      </c>
      <c r="I877" s="7">
        <f>'1 prepared data'!H870</f>
        <v/>
      </c>
      <c r="J877" s="7">
        <f>'1 prepared data'!I870</f>
        <v/>
      </c>
      <c r="K877" s="7">
        <f>'1 prepared data'!J870</f>
        <v/>
      </c>
      <c r="L877" s="7">
        <f>'1 prepared data'!K870</f>
        <v/>
      </c>
      <c r="M877" s="7">
        <f>'1 prepared data'!L870</f>
        <v/>
      </c>
      <c r="N877" s="7">
        <f>'1 prepared data'!M870</f>
        <v/>
      </c>
      <c r="O877" s="7">
        <f>'1 prepared data'!N870</f>
        <v/>
      </c>
      <c r="P877" s="7">
        <f>'1 prepared data'!O870</f>
        <v/>
      </c>
      <c r="Q877" s="7">
        <f>'1 prepared data'!P870</f>
        <v/>
      </c>
      <c r="R877" s="7">
        <f>'1 prepared data'!Q870</f>
        <v/>
      </c>
      <c r="S877" s="7">
        <f>'1 prepared data'!R870</f>
        <v/>
      </c>
      <c r="T877" s="7">
        <f>'1 prepared data'!S870</f>
        <v/>
      </c>
      <c r="U877" s="7">
        <f>'1 prepared data'!T870</f>
        <v/>
      </c>
      <c r="V877" s="8">
        <f>$AC$12+D877*$AC$13+E877*$AC$14+F877*$AC$15+G877*$AC$16+H877*$AC$17+I877*$AC$18+J877*$AC$19+K877*$AC$20+L877*$AC$21+M877*$AC$22+N877*$AC$23+O877*$AC$24+P877*$AC$25+Q877*$AC$26+R877*$AC$27+S877*$AC$28+T877*$AC$29+U877*$AC$30</f>
        <v/>
      </c>
      <c r="W877" s="8">
        <f>1/(1+EXP(-V877))</f>
        <v/>
      </c>
      <c r="X877" s="9">
        <f>-IF(C877=1,LN(W877),LN(1-W877))</f>
        <v/>
      </c>
      <c r="Y877" s="10">
        <f>IF(W877&gt;$AC$33,1,0)</f>
        <v/>
      </c>
      <c r="Z877">
        <f>IF(Y877=C877,1,0)</f>
        <v/>
      </c>
    </row>
    <row r="878">
      <c r="A878">
        <f>'1 prepared data'!A871</f>
        <v/>
      </c>
      <c r="B878" s="5">
        <f>'1 prepared data'!U871</f>
        <v/>
      </c>
      <c r="C878">
        <f>'1 prepared data'!B871</f>
        <v/>
      </c>
      <c r="D878" s="7">
        <f>'1 prepared data'!C871</f>
        <v/>
      </c>
      <c r="E878" s="7">
        <f>'1 prepared data'!D871</f>
        <v/>
      </c>
      <c r="F878" s="7">
        <f>'1 prepared data'!E871</f>
        <v/>
      </c>
      <c r="G878" s="7">
        <f>'1 prepared data'!F871</f>
        <v/>
      </c>
      <c r="H878" s="7">
        <f>'1 prepared data'!G871</f>
        <v/>
      </c>
      <c r="I878" s="7">
        <f>'1 prepared data'!H871</f>
        <v/>
      </c>
      <c r="J878" s="7">
        <f>'1 prepared data'!I871</f>
        <v/>
      </c>
      <c r="K878" s="7">
        <f>'1 prepared data'!J871</f>
        <v/>
      </c>
      <c r="L878" s="7">
        <f>'1 prepared data'!K871</f>
        <v/>
      </c>
      <c r="M878" s="7">
        <f>'1 prepared data'!L871</f>
        <v/>
      </c>
      <c r="N878" s="7">
        <f>'1 prepared data'!M871</f>
        <v/>
      </c>
      <c r="O878" s="7">
        <f>'1 prepared data'!N871</f>
        <v/>
      </c>
      <c r="P878" s="7">
        <f>'1 prepared data'!O871</f>
        <v/>
      </c>
      <c r="Q878" s="7">
        <f>'1 prepared data'!P871</f>
        <v/>
      </c>
      <c r="R878" s="7">
        <f>'1 prepared data'!Q871</f>
        <v/>
      </c>
      <c r="S878" s="7">
        <f>'1 prepared data'!R871</f>
        <v/>
      </c>
      <c r="T878" s="7">
        <f>'1 prepared data'!S871</f>
        <v/>
      </c>
      <c r="U878" s="7">
        <f>'1 prepared data'!T871</f>
        <v/>
      </c>
      <c r="V878" s="8">
        <f>$AC$12+D878*$AC$13+E878*$AC$14+F878*$AC$15+G878*$AC$16+H878*$AC$17+I878*$AC$18+J878*$AC$19+K878*$AC$20+L878*$AC$21+M878*$AC$22+N878*$AC$23+O878*$AC$24+P878*$AC$25+Q878*$AC$26+R878*$AC$27+S878*$AC$28+T878*$AC$29+U878*$AC$30</f>
        <v/>
      </c>
      <c r="W878" s="8">
        <f>1/(1+EXP(-V878))</f>
        <v/>
      </c>
      <c r="X878" s="9">
        <f>-IF(C878=1,LN(W878),LN(1-W878))</f>
        <v/>
      </c>
      <c r="Y878" s="10">
        <f>IF(W878&gt;$AC$33,1,0)</f>
        <v/>
      </c>
      <c r="Z878">
        <f>IF(Y878=C878,1,0)</f>
        <v/>
      </c>
    </row>
    <row r="879">
      <c r="A879">
        <f>'1 prepared data'!A872</f>
        <v/>
      </c>
      <c r="B879" s="5">
        <f>'1 prepared data'!U872</f>
        <v/>
      </c>
      <c r="C879">
        <f>'1 prepared data'!B872</f>
        <v/>
      </c>
      <c r="D879" s="7">
        <f>'1 prepared data'!C872</f>
        <v/>
      </c>
      <c r="E879" s="7">
        <f>'1 prepared data'!D872</f>
        <v/>
      </c>
      <c r="F879" s="7">
        <f>'1 prepared data'!E872</f>
        <v/>
      </c>
      <c r="G879" s="7">
        <f>'1 prepared data'!F872</f>
        <v/>
      </c>
      <c r="H879" s="7">
        <f>'1 prepared data'!G872</f>
        <v/>
      </c>
      <c r="I879" s="7">
        <f>'1 prepared data'!H872</f>
        <v/>
      </c>
      <c r="J879" s="7">
        <f>'1 prepared data'!I872</f>
        <v/>
      </c>
      <c r="K879" s="7">
        <f>'1 prepared data'!J872</f>
        <v/>
      </c>
      <c r="L879" s="7">
        <f>'1 prepared data'!K872</f>
        <v/>
      </c>
      <c r="M879" s="7">
        <f>'1 prepared data'!L872</f>
        <v/>
      </c>
      <c r="N879" s="7">
        <f>'1 prepared data'!M872</f>
        <v/>
      </c>
      <c r="O879" s="7">
        <f>'1 prepared data'!N872</f>
        <v/>
      </c>
      <c r="P879" s="7">
        <f>'1 prepared data'!O872</f>
        <v/>
      </c>
      <c r="Q879" s="7">
        <f>'1 prepared data'!P872</f>
        <v/>
      </c>
      <c r="R879" s="7">
        <f>'1 prepared data'!Q872</f>
        <v/>
      </c>
      <c r="S879" s="7">
        <f>'1 prepared data'!R872</f>
        <v/>
      </c>
      <c r="T879" s="7">
        <f>'1 prepared data'!S872</f>
        <v/>
      </c>
      <c r="U879" s="7">
        <f>'1 prepared data'!T872</f>
        <v/>
      </c>
      <c r="V879" s="8">
        <f>$AC$12+D879*$AC$13+E879*$AC$14+F879*$AC$15+G879*$AC$16+H879*$AC$17+I879*$AC$18+J879*$AC$19+K879*$AC$20+L879*$AC$21+M879*$AC$22+N879*$AC$23+O879*$AC$24+P879*$AC$25+Q879*$AC$26+R879*$AC$27+S879*$AC$28+T879*$AC$29+U879*$AC$30</f>
        <v/>
      </c>
      <c r="W879" s="8">
        <f>1/(1+EXP(-V879))</f>
        <v/>
      </c>
      <c r="X879" s="9">
        <f>-IF(C879=1,LN(W879),LN(1-W879))</f>
        <v/>
      </c>
      <c r="Y879" s="10">
        <f>IF(W879&gt;$AC$33,1,0)</f>
        <v/>
      </c>
      <c r="Z879">
        <f>IF(Y879=C879,1,0)</f>
        <v/>
      </c>
    </row>
    <row r="880">
      <c r="A880">
        <f>'1 prepared data'!A873</f>
        <v/>
      </c>
      <c r="B880" s="5">
        <f>'1 prepared data'!U873</f>
        <v/>
      </c>
      <c r="C880">
        <f>'1 prepared data'!B873</f>
        <v/>
      </c>
      <c r="D880" s="7">
        <f>'1 prepared data'!C873</f>
        <v/>
      </c>
      <c r="E880" s="7">
        <f>'1 prepared data'!D873</f>
        <v/>
      </c>
      <c r="F880" s="7">
        <f>'1 prepared data'!E873</f>
        <v/>
      </c>
      <c r="G880" s="7">
        <f>'1 prepared data'!F873</f>
        <v/>
      </c>
      <c r="H880" s="7">
        <f>'1 prepared data'!G873</f>
        <v/>
      </c>
      <c r="I880" s="7">
        <f>'1 prepared data'!H873</f>
        <v/>
      </c>
      <c r="J880" s="7">
        <f>'1 prepared data'!I873</f>
        <v/>
      </c>
      <c r="K880" s="7">
        <f>'1 prepared data'!J873</f>
        <v/>
      </c>
      <c r="L880" s="7">
        <f>'1 prepared data'!K873</f>
        <v/>
      </c>
      <c r="M880" s="7">
        <f>'1 prepared data'!L873</f>
        <v/>
      </c>
      <c r="N880" s="7">
        <f>'1 prepared data'!M873</f>
        <v/>
      </c>
      <c r="O880" s="7">
        <f>'1 prepared data'!N873</f>
        <v/>
      </c>
      <c r="P880" s="7">
        <f>'1 prepared data'!O873</f>
        <v/>
      </c>
      <c r="Q880" s="7">
        <f>'1 prepared data'!P873</f>
        <v/>
      </c>
      <c r="R880" s="7">
        <f>'1 prepared data'!Q873</f>
        <v/>
      </c>
      <c r="S880" s="7">
        <f>'1 prepared data'!R873</f>
        <v/>
      </c>
      <c r="T880" s="7">
        <f>'1 prepared data'!S873</f>
        <v/>
      </c>
      <c r="U880" s="7">
        <f>'1 prepared data'!T873</f>
        <v/>
      </c>
      <c r="V880" s="8">
        <f>$AC$12+D880*$AC$13+E880*$AC$14+F880*$AC$15+G880*$AC$16+H880*$AC$17+I880*$AC$18+J880*$AC$19+K880*$AC$20+L880*$AC$21+M880*$AC$22+N880*$AC$23+O880*$AC$24+P880*$AC$25+Q880*$AC$26+R880*$AC$27+S880*$AC$28+T880*$AC$29+U880*$AC$30</f>
        <v/>
      </c>
      <c r="W880" s="8">
        <f>1/(1+EXP(-V880))</f>
        <v/>
      </c>
      <c r="X880" s="9">
        <f>-IF(C880=1,LN(W880),LN(1-W880))</f>
        <v/>
      </c>
      <c r="Y880" s="10">
        <f>IF(W880&gt;$AC$33,1,0)</f>
        <v/>
      </c>
      <c r="Z880">
        <f>IF(Y880=C880,1,0)</f>
        <v/>
      </c>
    </row>
    <row r="881">
      <c r="A881">
        <f>'1 prepared data'!A874</f>
        <v/>
      </c>
      <c r="B881" s="5">
        <f>'1 prepared data'!U874</f>
        <v/>
      </c>
      <c r="C881">
        <f>'1 prepared data'!B874</f>
        <v/>
      </c>
      <c r="D881" s="7">
        <f>'1 prepared data'!C874</f>
        <v/>
      </c>
      <c r="E881" s="7">
        <f>'1 prepared data'!D874</f>
        <v/>
      </c>
      <c r="F881" s="7">
        <f>'1 prepared data'!E874</f>
        <v/>
      </c>
      <c r="G881" s="7">
        <f>'1 prepared data'!F874</f>
        <v/>
      </c>
      <c r="H881" s="7">
        <f>'1 prepared data'!G874</f>
        <v/>
      </c>
      <c r="I881" s="7">
        <f>'1 prepared data'!H874</f>
        <v/>
      </c>
      <c r="J881" s="7">
        <f>'1 prepared data'!I874</f>
        <v/>
      </c>
      <c r="K881" s="7">
        <f>'1 prepared data'!J874</f>
        <v/>
      </c>
      <c r="L881" s="7">
        <f>'1 prepared data'!K874</f>
        <v/>
      </c>
      <c r="M881" s="7">
        <f>'1 prepared data'!L874</f>
        <v/>
      </c>
      <c r="N881" s="7">
        <f>'1 prepared data'!M874</f>
        <v/>
      </c>
      <c r="O881" s="7">
        <f>'1 prepared data'!N874</f>
        <v/>
      </c>
      <c r="P881" s="7">
        <f>'1 prepared data'!O874</f>
        <v/>
      </c>
      <c r="Q881" s="7">
        <f>'1 prepared data'!P874</f>
        <v/>
      </c>
      <c r="R881" s="7">
        <f>'1 prepared data'!Q874</f>
        <v/>
      </c>
      <c r="S881" s="7">
        <f>'1 prepared data'!R874</f>
        <v/>
      </c>
      <c r="T881" s="7">
        <f>'1 prepared data'!S874</f>
        <v/>
      </c>
      <c r="U881" s="7">
        <f>'1 prepared data'!T874</f>
        <v/>
      </c>
      <c r="V881" s="8">
        <f>$AC$12+D881*$AC$13+E881*$AC$14+F881*$AC$15+G881*$AC$16+H881*$AC$17+I881*$AC$18+J881*$AC$19+K881*$AC$20+L881*$AC$21+M881*$AC$22+N881*$AC$23+O881*$AC$24+P881*$AC$25+Q881*$AC$26+R881*$AC$27+S881*$AC$28+T881*$AC$29+U881*$AC$30</f>
        <v/>
      </c>
      <c r="W881" s="8">
        <f>1/(1+EXP(-V881))</f>
        <v/>
      </c>
      <c r="X881" s="9">
        <f>-IF(C881=1,LN(W881),LN(1-W881))</f>
        <v/>
      </c>
      <c r="Y881" s="10">
        <f>IF(W881&gt;$AC$33,1,0)</f>
        <v/>
      </c>
      <c r="Z881">
        <f>IF(Y881=C881,1,0)</f>
        <v/>
      </c>
    </row>
    <row r="882">
      <c r="A882">
        <f>'1 prepared data'!A875</f>
        <v/>
      </c>
      <c r="B882" s="5">
        <f>'1 prepared data'!U875</f>
        <v/>
      </c>
      <c r="C882">
        <f>'1 prepared data'!B875</f>
        <v/>
      </c>
      <c r="D882" s="7">
        <f>'1 prepared data'!C875</f>
        <v/>
      </c>
      <c r="E882" s="7">
        <f>'1 prepared data'!D875</f>
        <v/>
      </c>
      <c r="F882" s="7">
        <f>'1 prepared data'!E875</f>
        <v/>
      </c>
      <c r="G882" s="7">
        <f>'1 prepared data'!F875</f>
        <v/>
      </c>
      <c r="H882" s="7">
        <f>'1 prepared data'!G875</f>
        <v/>
      </c>
      <c r="I882" s="7">
        <f>'1 prepared data'!H875</f>
        <v/>
      </c>
      <c r="J882" s="7">
        <f>'1 prepared data'!I875</f>
        <v/>
      </c>
      <c r="K882" s="7">
        <f>'1 prepared data'!J875</f>
        <v/>
      </c>
      <c r="L882" s="7">
        <f>'1 prepared data'!K875</f>
        <v/>
      </c>
      <c r="M882" s="7">
        <f>'1 prepared data'!L875</f>
        <v/>
      </c>
      <c r="N882" s="7">
        <f>'1 prepared data'!M875</f>
        <v/>
      </c>
      <c r="O882" s="7">
        <f>'1 prepared data'!N875</f>
        <v/>
      </c>
      <c r="P882" s="7">
        <f>'1 prepared data'!O875</f>
        <v/>
      </c>
      <c r="Q882" s="7">
        <f>'1 prepared data'!P875</f>
        <v/>
      </c>
      <c r="R882" s="7">
        <f>'1 prepared data'!Q875</f>
        <v/>
      </c>
      <c r="S882" s="7">
        <f>'1 prepared data'!R875</f>
        <v/>
      </c>
      <c r="T882" s="7">
        <f>'1 prepared data'!S875</f>
        <v/>
      </c>
      <c r="U882" s="7">
        <f>'1 prepared data'!T875</f>
        <v/>
      </c>
      <c r="V882" s="8">
        <f>$AC$12+D882*$AC$13+E882*$AC$14+F882*$AC$15+G882*$AC$16+H882*$AC$17+I882*$AC$18+J882*$AC$19+K882*$AC$20+L882*$AC$21+M882*$AC$22+N882*$AC$23+O882*$AC$24+P882*$AC$25+Q882*$AC$26+R882*$AC$27+S882*$AC$28+T882*$AC$29+U882*$AC$30</f>
        <v/>
      </c>
      <c r="W882" s="8">
        <f>1/(1+EXP(-V882))</f>
        <v/>
      </c>
      <c r="X882" s="9">
        <f>-IF(C882=1,LN(W882),LN(1-W882))</f>
        <v/>
      </c>
      <c r="Y882" s="10">
        <f>IF(W882&gt;$AC$33,1,0)</f>
        <v/>
      </c>
      <c r="Z882">
        <f>IF(Y882=C882,1,0)</f>
        <v/>
      </c>
    </row>
    <row r="883">
      <c r="A883">
        <f>'1 prepared data'!A876</f>
        <v/>
      </c>
      <c r="B883" s="5">
        <f>'1 prepared data'!U876</f>
        <v/>
      </c>
      <c r="C883">
        <f>'1 prepared data'!B876</f>
        <v/>
      </c>
      <c r="D883" s="7">
        <f>'1 prepared data'!C876</f>
        <v/>
      </c>
      <c r="E883" s="7">
        <f>'1 prepared data'!D876</f>
        <v/>
      </c>
      <c r="F883" s="7">
        <f>'1 prepared data'!E876</f>
        <v/>
      </c>
      <c r="G883" s="7">
        <f>'1 prepared data'!F876</f>
        <v/>
      </c>
      <c r="H883" s="7">
        <f>'1 prepared data'!G876</f>
        <v/>
      </c>
      <c r="I883" s="7">
        <f>'1 prepared data'!H876</f>
        <v/>
      </c>
      <c r="J883" s="7">
        <f>'1 prepared data'!I876</f>
        <v/>
      </c>
      <c r="K883" s="7">
        <f>'1 prepared data'!J876</f>
        <v/>
      </c>
      <c r="L883" s="7">
        <f>'1 prepared data'!K876</f>
        <v/>
      </c>
      <c r="M883" s="7">
        <f>'1 prepared data'!L876</f>
        <v/>
      </c>
      <c r="N883" s="7">
        <f>'1 prepared data'!M876</f>
        <v/>
      </c>
      <c r="O883" s="7">
        <f>'1 prepared data'!N876</f>
        <v/>
      </c>
      <c r="P883" s="7">
        <f>'1 prepared data'!O876</f>
        <v/>
      </c>
      <c r="Q883" s="7">
        <f>'1 prepared data'!P876</f>
        <v/>
      </c>
      <c r="R883" s="7">
        <f>'1 prepared data'!Q876</f>
        <v/>
      </c>
      <c r="S883" s="7">
        <f>'1 prepared data'!R876</f>
        <v/>
      </c>
      <c r="T883" s="7">
        <f>'1 prepared data'!S876</f>
        <v/>
      </c>
      <c r="U883" s="7">
        <f>'1 prepared data'!T876</f>
        <v/>
      </c>
      <c r="V883" s="8">
        <f>$AC$12+D883*$AC$13+E883*$AC$14+F883*$AC$15+G883*$AC$16+H883*$AC$17+I883*$AC$18+J883*$AC$19+K883*$AC$20+L883*$AC$21+M883*$AC$22+N883*$AC$23+O883*$AC$24+P883*$AC$25+Q883*$AC$26+R883*$AC$27+S883*$AC$28+T883*$AC$29+U883*$AC$30</f>
        <v/>
      </c>
      <c r="W883" s="8">
        <f>1/(1+EXP(-V883))</f>
        <v/>
      </c>
      <c r="X883" s="9">
        <f>-IF(C883=1,LN(W883),LN(1-W883))</f>
        <v/>
      </c>
      <c r="Y883" s="10">
        <f>IF(W883&gt;$AC$33,1,0)</f>
        <v/>
      </c>
      <c r="Z883">
        <f>IF(Y883=C883,1,0)</f>
        <v/>
      </c>
    </row>
    <row r="884">
      <c r="A884">
        <f>'1 prepared data'!A877</f>
        <v/>
      </c>
      <c r="B884" s="5">
        <f>'1 prepared data'!U877</f>
        <v/>
      </c>
      <c r="C884">
        <f>'1 prepared data'!B877</f>
        <v/>
      </c>
      <c r="D884" s="7">
        <f>'1 prepared data'!C877</f>
        <v/>
      </c>
      <c r="E884" s="7">
        <f>'1 prepared data'!D877</f>
        <v/>
      </c>
      <c r="F884" s="7">
        <f>'1 prepared data'!E877</f>
        <v/>
      </c>
      <c r="G884" s="7">
        <f>'1 prepared data'!F877</f>
        <v/>
      </c>
      <c r="H884" s="7">
        <f>'1 prepared data'!G877</f>
        <v/>
      </c>
      <c r="I884" s="7">
        <f>'1 prepared data'!H877</f>
        <v/>
      </c>
      <c r="J884" s="7">
        <f>'1 prepared data'!I877</f>
        <v/>
      </c>
      <c r="K884" s="7">
        <f>'1 prepared data'!J877</f>
        <v/>
      </c>
      <c r="L884" s="7">
        <f>'1 prepared data'!K877</f>
        <v/>
      </c>
      <c r="M884" s="7">
        <f>'1 prepared data'!L877</f>
        <v/>
      </c>
      <c r="N884" s="7">
        <f>'1 prepared data'!M877</f>
        <v/>
      </c>
      <c r="O884" s="7">
        <f>'1 prepared data'!N877</f>
        <v/>
      </c>
      <c r="P884" s="7">
        <f>'1 prepared data'!O877</f>
        <v/>
      </c>
      <c r="Q884" s="7">
        <f>'1 prepared data'!P877</f>
        <v/>
      </c>
      <c r="R884" s="7">
        <f>'1 prepared data'!Q877</f>
        <v/>
      </c>
      <c r="S884" s="7">
        <f>'1 prepared data'!R877</f>
        <v/>
      </c>
      <c r="T884" s="7">
        <f>'1 prepared data'!S877</f>
        <v/>
      </c>
      <c r="U884" s="7">
        <f>'1 prepared data'!T877</f>
        <v/>
      </c>
      <c r="V884" s="8">
        <f>$AC$12+D884*$AC$13+E884*$AC$14+F884*$AC$15+G884*$AC$16+H884*$AC$17+I884*$AC$18+J884*$AC$19+K884*$AC$20+L884*$AC$21+M884*$AC$22+N884*$AC$23+O884*$AC$24+P884*$AC$25+Q884*$AC$26+R884*$AC$27+S884*$AC$28+T884*$AC$29+U884*$AC$30</f>
        <v/>
      </c>
      <c r="W884" s="8">
        <f>1/(1+EXP(-V884))</f>
        <v/>
      </c>
      <c r="X884" s="9">
        <f>-IF(C884=1,LN(W884),LN(1-W884))</f>
        <v/>
      </c>
      <c r="Y884" s="10">
        <f>IF(W884&gt;$AC$33,1,0)</f>
        <v/>
      </c>
      <c r="Z884">
        <f>IF(Y884=C884,1,0)</f>
        <v/>
      </c>
    </row>
    <row r="885">
      <c r="A885">
        <f>'1 prepared data'!A878</f>
        <v/>
      </c>
      <c r="B885" s="5">
        <f>'1 prepared data'!U878</f>
        <v/>
      </c>
      <c r="C885">
        <f>'1 prepared data'!B878</f>
        <v/>
      </c>
      <c r="D885" s="7">
        <f>'1 prepared data'!C878</f>
        <v/>
      </c>
      <c r="E885" s="7">
        <f>'1 prepared data'!D878</f>
        <v/>
      </c>
      <c r="F885" s="7">
        <f>'1 prepared data'!E878</f>
        <v/>
      </c>
      <c r="G885" s="7">
        <f>'1 prepared data'!F878</f>
        <v/>
      </c>
      <c r="H885" s="7">
        <f>'1 prepared data'!G878</f>
        <v/>
      </c>
      <c r="I885" s="7">
        <f>'1 prepared data'!H878</f>
        <v/>
      </c>
      <c r="J885" s="7">
        <f>'1 prepared data'!I878</f>
        <v/>
      </c>
      <c r="K885" s="7">
        <f>'1 prepared data'!J878</f>
        <v/>
      </c>
      <c r="L885" s="7">
        <f>'1 prepared data'!K878</f>
        <v/>
      </c>
      <c r="M885" s="7">
        <f>'1 prepared data'!L878</f>
        <v/>
      </c>
      <c r="N885" s="7">
        <f>'1 prepared data'!M878</f>
        <v/>
      </c>
      <c r="O885" s="7">
        <f>'1 prepared data'!N878</f>
        <v/>
      </c>
      <c r="P885" s="7">
        <f>'1 prepared data'!O878</f>
        <v/>
      </c>
      <c r="Q885" s="7">
        <f>'1 prepared data'!P878</f>
        <v/>
      </c>
      <c r="R885" s="7">
        <f>'1 prepared data'!Q878</f>
        <v/>
      </c>
      <c r="S885" s="7">
        <f>'1 prepared data'!R878</f>
        <v/>
      </c>
      <c r="T885" s="7">
        <f>'1 prepared data'!S878</f>
        <v/>
      </c>
      <c r="U885" s="7">
        <f>'1 prepared data'!T878</f>
        <v/>
      </c>
      <c r="V885" s="8">
        <f>$AC$12+D885*$AC$13+E885*$AC$14+F885*$AC$15+G885*$AC$16+H885*$AC$17+I885*$AC$18+J885*$AC$19+K885*$AC$20+L885*$AC$21+M885*$AC$22+N885*$AC$23+O885*$AC$24+P885*$AC$25+Q885*$AC$26+R885*$AC$27+S885*$AC$28+T885*$AC$29+U885*$AC$30</f>
        <v/>
      </c>
      <c r="W885" s="8">
        <f>1/(1+EXP(-V885))</f>
        <v/>
      </c>
      <c r="X885" s="9">
        <f>-IF(C885=1,LN(W885),LN(1-W885))</f>
        <v/>
      </c>
      <c r="Y885" s="10">
        <f>IF(W885&gt;$AC$33,1,0)</f>
        <v/>
      </c>
      <c r="Z885">
        <f>IF(Y885=C885,1,0)</f>
        <v/>
      </c>
    </row>
    <row r="886">
      <c r="A886">
        <f>'1 prepared data'!A879</f>
        <v/>
      </c>
      <c r="B886" s="5">
        <f>'1 prepared data'!U879</f>
        <v/>
      </c>
      <c r="C886">
        <f>'1 prepared data'!B879</f>
        <v/>
      </c>
      <c r="D886" s="7">
        <f>'1 prepared data'!C879</f>
        <v/>
      </c>
      <c r="E886" s="7">
        <f>'1 prepared data'!D879</f>
        <v/>
      </c>
      <c r="F886" s="7">
        <f>'1 prepared data'!E879</f>
        <v/>
      </c>
      <c r="G886" s="7">
        <f>'1 prepared data'!F879</f>
        <v/>
      </c>
      <c r="H886" s="7">
        <f>'1 prepared data'!G879</f>
        <v/>
      </c>
      <c r="I886" s="7">
        <f>'1 prepared data'!H879</f>
        <v/>
      </c>
      <c r="J886" s="7">
        <f>'1 prepared data'!I879</f>
        <v/>
      </c>
      <c r="K886" s="7">
        <f>'1 prepared data'!J879</f>
        <v/>
      </c>
      <c r="L886" s="7">
        <f>'1 prepared data'!K879</f>
        <v/>
      </c>
      <c r="M886" s="7">
        <f>'1 prepared data'!L879</f>
        <v/>
      </c>
      <c r="N886" s="7">
        <f>'1 prepared data'!M879</f>
        <v/>
      </c>
      <c r="O886" s="7">
        <f>'1 prepared data'!N879</f>
        <v/>
      </c>
      <c r="P886" s="7">
        <f>'1 prepared data'!O879</f>
        <v/>
      </c>
      <c r="Q886" s="7">
        <f>'1 prepared data'!P879</f>
        <v/>
      </c>
      <c r="R886" s="7">
        <f>'1 prepared data'!Q879</f>
        <v/>
      </c>
      <c r="S886" s="7">
        <f>'1 prepared data'!R879</f>
        <v/>
      </c>
      <c r="T886" s="7">
        <f>'1 prepared data'!S879</f>
        <v/>
      </c>
      <c r="U886" s="7">
        <f>'1 prepared data'!T879</f>
        <v/>
      </c>
      <c r="V886" s="8">
        <f>$AC$12+D886*$AC$13+E886*$AC$14+F886*$AC$15+G886*$AC$16+H886*$AC$17+I886*$AC$18+J886*$AC$19+K886*$AC$20+L886*$AC$21+M886*$AC$22+N886*$AC$23+O886*$AC$24+P886*$AC$25+Q886*$AC$26+R886*$AC$27+S886*$AC$28+T886*$AC$29+U886*$AC$30</f>
        <v/>
      </c>
      <c r="W886" s="8">
        <f>1/(1+EXP(-V886))</f>
        <v/>
      </c>
      <c r="X886" s="9">
        <f>-IF(C886=1,LN(W886),LN(1-W886))</f>
        <v/>
      </c>
      <c r="Y886" s="10">
        <f>IF(W886&gt;$AC$33,1,0)</f>
        <v/>
      </c>
      <c r="Z886">
        <f>IF(Y886=C886,1,0)</f>
        <v/>
      </c>
    </row>
    <row r="887">
      <c r="A887">
        <f>'1 prepared data'!A880</f>
        <v/>
      </c>
      <c r="B887" s="5">
        <f>'1 prepared data'!U880</f>
        <v/>
      </c>
      <c r="C887">
        <f>'1 prepared data'!B880</f>
        <v/>
      </c>
      <c r="D887" s="7">
        <f>'1 prepared data'!C880</f>
        <v/>
      </c>
      <c r="E887" s="7">
        <f>'1 prepared data'!D880</f>
        <v/>
      </c>
      <c r="F887" s="7">
        <f>'1 prepared data'!E880</f>
        <v/>
      </c>
      <c r="G887" s="7">
        <f>'1 prepared data'!F880</f>
        <v/>
      </c>
      <c r="H887" s="7">
        <f>'1 prepared data'!G880</f>
        <v/>
      </c>
      <c r="I887" s="7">
        <f>'1 prepared data'!H880</f>
        <v/>
      </c>
      <c r="J887" s="7">
        <f>'1 prepared data'!I880</f>
        <v/>
      </c>
      <c r="K887" s="7">
        <f>'1 prepared data'!J880</f>
        <v/>
      </c>
      <c r="L887" s="7">
        <f>'1 prepared data'!K880</f>
        <v/>
      </c>
      <c r="M887" s="7">
        <f>'1 prepared data'!L880</f>
        <v/>
      </c>
      <c r="N887" s="7">
        <f>'1 prepared data'!M880</f>
        <v/>
      </c>
      <c r="O887" s="7">
        <f>'1 prepared data'!N880</f>
        <v/>
      </c>
      <c r="P887" s="7">
        <f>'1 prepared data'!O880</f>
        <v/>
      </c>
      <c r="Q887" s="7">
        <f>'1 prepared data'!P880</f>
        <v/>
      </c>
      <c r="R887" s="7">
        <f>'1 prepared data'!Q880</f>
        <v/>
      </c>
      <c r="S887" s="7">
        <f>'1 prepared data'!R880</f>
        <v/>
      </c>
      <c r="T887" s="7">
        <f>'1 prepared data'!S880</f>
        <v/>
      </c>
      <c r="U887" s="7">
        <f>'1 prepared data'!T880</f>
        <v/>
      </c>
      <c r="V887" s="8">
        <f>$AC$12+D887*$AC$13+E887*$AC$14+F887*$AC$15+G887*$AC$16+H887*$AC$17+I887*$AC$18+J887*$AC$19+K887*$AC$20+L887*$AC$21+M887*$AC$22+N887*$AC$23+O887*$AC$24+P887*$AC$25+Q887*$AC$26+R887*$AC$27+S887*$AC$28+T887*$AC$29+U887*$AC$30</f>
        <v/>
      </c>
      <c r="W887" s="8">
        <f>1/(1+EXP(-V887))</f>
        <v/>
      </c>
      <c r="X887" s="9">
        <f>-IF(C887=1,LN(W887),LN(1-W887))</f>
        <v/>
      </c>
      <c r="Y887" s="10">
        <f>IF(W887&gt;$AC$33,1,0)</f>
        <v/>
      </c>
      <c r="Z887">
        <f>IF(Y887=C887,1,0)</f>
        <v/>
      </c>
    </row>
    <row r="888">
      <c r="A888">
        <f>'1 prepared data'!A881</f>
        <v/>
      </c>
      <c r="B888" s="5">
        <f>'1 prepared data'!U881</f>
        <v/>
      </c>
      <c r="C888">
        <f>'1 prepared data'!B881</f>
        <v/>
      </c>
      <c r="D888" s="7">
        <f>'1 prepared data'!C881</f>
        <v/>
      </c>
      <c r="E888" s="7">
        <f>'1 prepared data'!D881</f>
        <v/>
      </c>
      <c r="F888" s="7">
        <f>'1 prepared data'!E881</f>
        <v/>
      </c>
      <c r="G888" s="7">
        <f>'1 prepared data'!F881</f>
        <v/>
      </c>
      <c r="H888" s="7">
        <f>'1 prepared data'!G881</f>
        <v/>
      </c>
      <c r="I888" s="7">
        <f>'1 prepared data'!H881</f>
        <v/>
      </c>
      <c r="J888" s="7">
        <f>'1 prepared data'!I881</f>
        <v/>
      </c>
      <c r="K888" s="7">
        <f>'1 prepared data'!J881</f>
        <v/>
      </c>
      <c r="L888" s="7">
        <f>'1 prepared data'!K881</f>
        <v/>
      </c>
      <c r="M888" s="7">
        <f>'1 prepared data'!L881</f>
        <v/>
      </c>
      <c r="N888" s="7">
        <f>'1 prepared data'!M881</f>
        <v/>
      </c>
      <c r="O888" s="7">
        <f>'1 prepared data'!N881</f>
        <v/>
      </c>
      <c r="P888" s="7">
        <f>'1 prepared data'!O881</f>
        <v/>
      </c>
      <c r="Q888" s="7">
        <f>'1 prepared data'!P881</f>
        <v/>
      </c>
      <c r="R888" s="7">
        <f>'1 prepared data'!Q881</f>
        <v/>
      </c>
      <c r="S888" s="7">
        <f>'1 prepared data'!R881</f>
        <v/>
      </c>
      <c r="T888" s="7">
        <f>'1 prepared data'!S881</f>
        <v/>
      </c>
      <c r="U888" s="7">
        <f>'1 prepared data'!T881</f>
        <v/>
      </c>
      <c r="V888" s="8">
        <f>$AC$12+D888*$AC$13+E888*$AC$14+F888*$AC$15+G888*$AC$16+H888*$AC$17+I888*$AC$18+J888*$AC$19+K888*$AC$20+L888*$AC$21+M888*$AC$22+N888*$AC$23+O888*$AC$24+P888*$AC$25+Q888*$AC$26+R888*$AC$27+S888*$AC$28+T888*$AC$29+U888*$AC$30</f>
        <v/>
      </c>
      <c r="W888" s="8">
        <f>1/(1+EXP(-V888))</f>
        <v/>
      </c>
      <c r="X888" s="9">
        <f>-IF(C888=1,LN(W888),LN(1-W888))</f>
        <v/>
      </c>
      <c r="Y888" s="10">
        <f>IF(W888&gt;$AC$33,1,0)</f>
        <v/>
      </c>
      <c r="Z888">
        <f>IF(Y888=C888,1,0)</f>
        <v/>
      </c>
    </row>
    <row r="889">
      <c r="A889">
        <f>'1 prepared data'!A882</f>
        <v/>
      </c>
      <c r="B889" s="5">
        <f>'1 prepared data'!U882</f>
        <v/>
      </c>
      <c r="C889">
        <f>'1 prepared data'!B882</f>
        <v/>
      </c>
      <c r="D889" s="7">
        <f>'1 prepared data'!C882</f>
        <v/>
      </c>
      <c r="E889" s="7">
        <f>'1 prepared data'!D882</f>
        <v/>
      </c>
      <c r="F889" s="7">
        <f>'1 prepared data'!E882</f>
        <v/>
      </c>
      <c r="G889" s="7">
        <f>'1 prepared data'!F882</f>
        <v/>
      </c>
      <c r="H889" s="7">
        <f>'1 prepared data'!G882</f>
        <v/>
      </c>
      <c r="I889" s="7">
        <f>'1 prepared data'!H882</f>
        <v/>
      </c>
      <c r="J889" s="7">
        <f>'1 prepared data'!I882</f>
        <v/>
      </c>
      <c r="K889" s="7">
        <f>'1 prepared data'!J882</f>
        <v/>
      </c>
      <c r="L889" s="7">
        <f>'1 prepared data'!K882</f>
        <v/>
      </c>
      <c r="M889" s="7">
        <f>'1 prepared data'!L882</f>
        <v/>
      </c>
      <c r="N889" s="7">
        <f>'1 prepared data'!M882</f>
        <v/>
      </c>
      <c r="O889" s="7">
        <f>'1 prepared data'!N882</f>
        <v/>
      </c>
      <c r="P889" s="7">
        <f>'1 prepared data'!O882</f>
        <v/>
      </c>
      <c r="Q889" s="7">
        <f>'1 prepared data'!P882</f>
        <v/>
      </c>
      <c r="R889" s="7">
        <f>'1 prepared data'!Q882</f>
        <v/>
      </c>
      <c r="S889" s="7">
        <f>'1 prepared data'!R882</f>
        <v/>
      </c>
      <c r="T889" s="7">
        <f>'1 prepared data'!S882</f>
        <v/>
      </c>
      <c r="U889" s="7">
        <f>'1 prepared data'!T882</f>
        <v/>
      </c>
      <c r="V889" s="8">
        <f>$AC$12+D889*$AC$13+E889*$AC$14+F889*$AC$15+G889*$AC$16+H889*$AC$17+I889*$AC$18+J889*$AC$19+K889*$AC$20+L889*$AC$21+M889*$AC$22+N889*$AC$23+O889*$AC$24+P889*$AC$25+Q889*$AC$26+R889*$AC$27+S889*$AC$28+T889*$AC$29+U889*$AC$30</f>
        <v/>
      </c>
      <c r="W889" s="8">
        <f>1/(1+EXP(-V889))</f>
        <v/>
      </c>
      <c r="X889" s="9">
        <f>-IF(C889=1,LN(W889),LN(1-W889))</f>
        <v/>
      </c>
      <c r="Y889" s="10">
        <f>IF(W889&gt;$AC$33,1,0)</f>
        <v/>
      </c>
      <c r="Z889">
        <f>IF(Y889=C889,1,0)</f>
        <v/>
      </c>
    </row>
    <row r="890">
      <c r="A890">
        <f>'1 prepared data'!A883</f>
        <v/>
      </c>
      <c r="B890" s="5">
        <f>'1 prepared data'!U883</f>
        <v/>
      </c>
      <c r="C890">
        <f>'1 prepared data'!B883</f>
        <v/>
      </c>
      <c r="D890" s="7">
        <f>'1 prepared data'!C883</f>
        <v/>
      </c>
      <c r="E890" s="7">
        <f>'1 prepared data'!D883</f>
        <v/>
      </c>
      <c r="F890" s="7">
        <f>'1 prepared data'!E883</f>
        <v/>
      </c>
      <c r="G890" s="7">
        <f>'1 prepared data'!F883</f>
        <v/>
      </c>
      <c r="H890" s="7">
        <f>'1 prepared data'!G883</f>
        <v/>
      </c>
      <c r="I890" s="7">
        <f>'1 prepared data'!H883</f>
        <v/>
      </c>
      <c r="J890" s="7">
        <f>'1 prepared data'!I883</f>
        <v/>
      </c>
      <c r="K890" s="7">
        <f>'1 prepared data'!J883</f>
        <v/>
      </c>
      <c r="L890" s="7">
        <f>'1 prepared data'!K883</f>
        <v/>
      </c>
      <c r="M890" s="7">
        <f>'1 prepared data'!L883</f>
        <v/>
      </c>
      <c r="N890" s="7">
        <f>'1 prepared data'!M883</f>
        <v/>
      </c>
      <c r="O890" s="7">
        <f>'1 prepared data'!N883</f>
        <v/>
      </c>
      <c r="P890" s="7">
        <f>'1 prepared data'!O883</f>
        <v/>
      </c>
      <c r="Q890" s="7">
        <f>'1 prepared data'!P883</f>
        <v/>
      </c>
      <c r="R890" s="7">
        <f>'1 prepared data'!Q883</f>
        <v/>
      </c>
      <c r="S890" s="7">
        <f>'1 prepared data'!R883</f>
        <v/>
      </c>
      <c r="T890" s="7">
        <f>'1 prepared data'!S883</f>
        <v/>
      </c>
      <c r="U890" s="7">
        <f>'1 prepared data'!T883</f>
        <v/>
      </c>
      <c r="V890" s="8">
        <f>$AC$12+D890*$AC$13+E890*$AC$14+F890*$AC$15+G890*$AC$16+H890*$AC$17+I890*$AC$18+J890*$AC$19+K890*$AC$20+L890*$AC$21+M890*$AC$22+N890*$AC$23+O890*$AC$24+P890*$AC$25+Q890*$AC$26+R890*$AC$27+S890*$AC$28+T890*$AC$29+U890*$AC$30</f>
        <v/>
      </c>
      <c r="W890" s="8">
        <f>1/(1+EXP(-V890))</f>
        <v/>
      </c>
      <c r="X890" s="9">
        <f>-IF(C890=1,LN(W890),LN(1-W890))</f>
        <v/>
      </c>
      <c r="Y890" s="10">
        <f>IF(W890&gt;$AC$33,1,0)</f>
        <v/>
      </c>
      <c r="Z890">
        <f>IF(Y890=C890,1,0)</f>
        <v/>
      </c>
    </row>
    <row r="891">
      <c r="A891">
        <f>'1 prepared data'!A884</f>
        <v/>
      </c>
      <c r="B891" s="5">
        <f>'1 prepared data'!U884</f>
        <v/>
      </c>
      <c r="C891">
        <f>'1 prepared data'!B884</f>
        <v/>
      </c>
      <c r="D891" s="7">
        <f>'1 prepared data'!C884</f>
        <v/>
      </c>
      <c r="E891" s="7">
        <f>'1 prepared data'!D884</f>
        <v/>
      </c>
      <c r="F891" s="7">
        <f>'1 prepared data'!E884</f>
        <v/>
      </c>
      <c r="G891" s="7">
        <f>'1 prepared data'!F884</f>
        <v/>
      </c>
      <c r="H891" s="7">
        <f>'1 prepared data'!G884</f>
        <v/>
      </c>
      <c r="I891" s="7">
        <f>'1 prepared data'!H884</f>
        <v/>
      </c>
      <c r="J891" s="7">
        <f>'1 prepared data'!I884</f>
        <v/>
      </c>
      <c r="K891" s="7">
        <f>'1 prepared data'!J884</f>
        <v/>
      </c>
      <c r="L891" s="7">
        <f>'1 prepared data'!K884</f>
        <v/>
      </c>
      <c r="M891" s="7">
        <f>'1 prepared data'!L884</f>
        <v/>
      </c>
      <c r="N891" s="7">
        <f>'1 prepared data'!M884</f>
        <v/>
      </c>
      <c r="O891" s="7">
        <f>'1 prepared data'!N884</f>
        <v/>
      </c>
      <c r="P891" s="7">
        <f>'1 prepared data'!O884</f>
        <v/>
      </c>
      <c r="Q891" s="7">
        <f>'1 prepared data'!P884</f>
        <v/>
      </c>
      <c r="R891" s="7">
        <f>'1 prepared data'!Q884</f>
        <v/>
      </c>
      <c r="S891" s="7">
        <f>'1 prepared data'!R884</f>
        <v/>
      </c>
      <c r="T891" s="7">
        <f>'1 prepared data'!S884</f>
        <v/>
      </c>
      <c r="U891" s="7">
        <f>'1 prepared data'!T884</f>
        <v/>
      </c>
      <c r="V891" s="8">
        <f>$AC$12+D891*$AC$13+E891*$AC$14+F891*$AC$15+G891*$AC$16+H891*$AC$17+I891*$AC$18+J891*$AC$19+K891*$AC$20+L891*$AC$21+M891*$AC$22+N891*$AC$23+O891*$AC$24+P891*$AC$25+Q891*$AC$26+R891*$AC$27+S891*$AC$28+T891*$AC$29+U891*$AC$30</f>
        <v/>
      </c>
      <c r="W891" s="8">
        <f>1/(1+EXP(-V891))</f>
        <v/>
      </c>
      <c r="X891" s="9">
        <f>-IF(C891=1,LN(W891),LN(1-W891))</f>
        <v/>
      </c>
      <c r="Y891" s="10">
        <f>IF(W891&gt;$AC$33,1,0)</f>
        <v/>
      </c>
      <c r="Z891">
        <f>IF(Y891=C891,1,0)</f>
        <v/>
      </c>
    </row>
    <row r="892">
      <c r="A892">
        <f>'1 prepared data'!A885</f>
        <v/>
      </c>
      <c r="B892" s="5">
        <f>'1 prepared data'!U885</f>
        <v/>
      </c>
      <c r="C892">
        <f>'1 prepared data'!B885</f>
        <v/>
      </c>
      <c r="D892" s="7">
        <f>'1 prepared data'!C885</f>
        <v/>
      </c>
      <c r="E892" s="7">
        <f>'1 prepared data'!D885</f>
        <v/>
      </c>
      <c r="F892" s="7">
        <f>'1 prepared data'!E885</f>
        <v/>
      </c>
      <c r="G892" s="7">
        <f>'1 prepared data'!F885</f>
        <v/>
      </c>
      <c r="H892" s="7">
        <f>'1 prepared data'!G885</f>
        <v/>
      </c>
      <c r="I892" s="7">
        <f>'1 prepared data'!H885</f>
        <v/>
      </c>
      <c r="J892" s="7">
        <f>'1 prepared data'!I885</f>
        <v/>
      </c>
      <c r="K892" s="7">
        <f>'1 prepared data'!J885</f>
        <v/>
      </c>
      <c r="L892" s="7">
        <f>'1 prepared data'!K885</f>
        <v/>
      </c>
      <c r="M892" s="7">
        <f>'1 prepared data'!L885</f>
        <v/>
      </c>
      <c r="N892" s="7">
        <f>'1 prepared data'!M885</f>
        <v/>
      </c>
      <c r="O892" s="7">
        <f>'1 prepared data'!N885</f>
        <v/>
      </c>
      <c r="P892" s="7">
        <f>'1 prepared data'!O885</f>
        <v/>
      </c>
      <c r="Q892" s="7">
        <f>'1 prepared data'!P885</f>
        <v/>
      </c>
      <c r="R892" s="7">
        <f>'1 prepared data'!Q885</f>
        <v/>
      </c>
      <c r="S892" s="7">
        <f>'1 prepared data'!R885</f>
        <v/>
      </c>
      <c r="T892" s="7">
        <f>'1 prepared data'!S885</f>
        <v/>
      </c>
      <c r="U892" s="7">
        <f>'1 prepared data'!T885</f>
        <v/>
      </c>
      <c r="V892" s="8">
        <f>$AC$12+D892*$AC$13+E892*$AC$14+F892*$AC$15+G892*$AC$16+H892*$AC$17+I892*$AC$18+J892*$AC$19+K892*$AC$20+L892*$AC$21+M892*$AC$22+N892*$AC$23+O892*$AC$24+P892*$AC$25+Q892*$AC$26+R892*$AC$27+S892*$AC$28+T892*$AC$29+U892*$AC$30</f>
        <v/>
      </c>
      <c r="W892" s="8">
        <f>1/(1+EXP(-V892))</f>
        <v/>
      </c>
      <c r="X892" s="9">
        <f>-IF(C892=1,LN(W892),LN(1-W892))</f>
        <v/>
      </c>
      <c r="Y892" s="10">
        <f>IF(W892&gt;$AC$33,1,0)</f>
        <v/>
      </c>
      <c r="Z892">
        <f>IF(Y892=C892,1,0)</f>
        <v/>
      </c>
    </row>
    <row r="893">
      <c r="A893">
        <f>'1 prepared data'!A886</f>
        <v/>
      </c>
      <c r="B893" s="5">
        <f>'1 prepared data'!U886</f>
        <v/>
      </c>
      <c r="C893">
        <f>'1 prepared data'!B886</f>
        <v/>
      </c>
      <c r="D893" s="7">
        <f>'1 prepared data'!C886</f>
        <v/>
      </c>
      <c r="E893" s="7">
        <f>'1 prepared data'!D886</f>
        <v/>
      </c>
      <c r="F893" s="7">
        <f>'1 prepared data'!E886</f>
        <v/>
      </c>
      <c r="G893" s="7">
        <f>'1 prepared data'!F886</f>
        <v/>
      </c>
      <c r="H893" s="7">
        <f>'1 prepared data'!G886</f>
        <v/>
      </c>
      <c r="I893" s="7">
        <f>'1 prepared data'!H886</f>
        <v/>
      </c>
      <c r="J893" s="7">
        <f>'1 prepared data'!I886</f>
        <v/>
      </c>
      <c r="K893" s="7">
        <f>'1 prepared data'!J886</f>
        <v/>
      </c>
      <c r="L893" s="7">
        <f>'1 prepared data'!K886</f>
        <v/>
      </c>
      <c r="M893" s="7">
        <f>'1 prepared data'!L886</f>
        <v/>
      </c>
      <c r="N893" s="7">
        <f>'1 prepared data'!M886</f>
        <v/>
      </c>
      <c r="O893" s="7">
        <f>'1 prepared data'!N886</f>
        <v/>
      </c>
      <c r="P893" s="7">
        <f>'1 prepared data'!O886</f>
        <v/>
      </c>
      <c r="Q893" s="7">
        <f>'1 prepared data'!P886</f>
        <v/>
      </c>
      <c r="R893" s="7">
        <f>'1 prepared data'!Q886</f>
        <v/>
      </c>
      <c r="S893" s="7">
        <f>'1 prepared data'!R886</f>
        <v/>
      </c>
      <c r="T893" s="7">
        <f>'1 prepared data'!S886</f>
        <v/>
      </c>
      <c r="U893" s="7">
        <f>'1 prepared data'!T886</f>
        <v/>
      </c>
      <c r="V893" s="8">
        <f>$AC$12+D893*$AC$13+E893*$AC$14+F893*$AC$15+G893*$AC$16+H893*$AC$17+I893*$AC$18+J893*$AC$19+K893*$AC$20+L893*$AC$21+M893*$AC$22+N893*$AC$23+O893*$AC$24+P893*$AC$25+Q893*$AC$26+R893*$AC$27+S893*$AC$28+T893*$AC$29+U893*$AC$30</f>
        <v/>
      </c>
      <c r="W893" s="8">
        <f>1/(1+EXP(-V893))</f>
        <v/>
      </c>
      <c r="X893" s="9">
        <f>-IF(C893=1,LN(W893),LN(1-W893))</f>
        <v/>
      </c>
      <c r="Y893" s="10">
        <f>IF(W893&gt;$AC$33,1,0)</f>
        <v/>
      </c>
      <c r="Z893">
        <f>IF(Y893=C893,1,0)</f>
        <v/>
      </c>
    </row>
    <row r="894">
      <c r="A894">
        <f>'1 prepared data'!A887</f>
        <v/>
      </c>
      <c r="B894" s="5">
        <f>'1 prepared data'!U887</f>
        <v/>
      </c>
      <c r="C894">
        <f>'1 prepared data'!B887</f>
        <v/>
      </c>
      <c r="D894" s="7">
        <f>'1 prepared data'!C887</f>
        <v/>
      </c>
      <c r="E894" s="7">
        <f>'1 prepared data'!D887</f>
        <v/>
      </c>
      <c r="F894" s="7">
        <f>'1 prepared data'!E887</f>
        <v/>
      </c>
      <c r="G894" s="7">
        <f>'1 prepared data'!F887</f>
        <v/>
      </c>
      <c r="H894" s="7">
        <f>'1 prepared data'!G887</f>
        <v/>
      </c>
      <c r="I894" s="7">
        <f>'1 prepared data'!H887</f>
        <v/>
      </c>
      <c r="J894" s="7">
        <f>'1 prepared data'!I887</f>
        <v/>
      </c>
      <c r="K894" s="7">
        <f>'1 prepared data'!J887</f>
        <v/>
      </c>
      <c r="L894" s="7">
        <f>'1 prepared data'!K887</f>
        <v/>
      </c>
      <c r="M894" s="7">
        <f>'1 prepared data'!L887</f>
        <v/>
      </c>
      <c r="N894" s="7">
        <f>'1 prepared data'!M887</f>
        <v/>
      </c>
      <c r="O894" s="7">
        <f>'1 prepared data'!N887</f>
        <v/>
      </c>
      <c r="P894" s="7">
        <f>'1 prepared data'!O887</f>
        <v/>
      </c>
      <c r="Q894" s="7">
        <f>'1 prepared data'!P887</f>
        <v/>
      </c>
      <c r="R894" s="7">
        <f>'1 prepared data'!Q887</f>
        <v/>
      </c>
      <c r="S894" s="7">
        <f>'1 prepared data'!R887</f>
        <v/>
      </c>
      <c r="T894" s="7">
        <f>'1 prepared data'!S887</f>
        <v/>
      </c>
      <c r="U894" s="7">
        <f>'1 prepared data'!T887</f>
        <v/>
      </c>
      <c r="V894" s="8">
        <f>$AC$12+D894*$AC$13+E894*$AC$14+F894*$AC$15+G894*$AC$16+H894*$AC$17+I894*$AC$18+J894*$AC$19+K894*$AC$20+L894*$AC$21+M894*$AC$22+N894*$AC$23+O894*$AC$24+P894*$AC$25+Q894*$AC$26+R894*$AC$27+S894*$AC$28+T894*$AC$29+U894*$AC$30</f>
        <v/>
      </c>
      <c r="W894" s="8">
        <f>1/(1+EXP(-V894))</f>
        <v/>
      </c>
      <c r="X894" s="9">
        <f>-IF(C894=1,LN(W894),LN(1-W894))</f>
        <v/>
      </c>
      <c r="Y894" s="10">
        <f>IF(W894&gt;$AC$33,1,0)</f>
        <v/>
      </c>
      <c r="Z894">
        <f>IF(Y894=C894,1,0)</f>
        <v/>
      </c>
    </row>
    <row r="895">
      <c r="A895">
        <f>'1 prepared data'!A888</f>
        <v/>
      </c>
      <c r="B895" s="5">
        <f>'1 prepared data'!U888</f>
        <v/>
      </c>
      <c r="C895">
        <f>'1 prepared data'!B888</f>
        <v/>
      </c>
      <c r="D895" s="7">
        <f>'1 prepared data'!C888</f>
        <v/>
      </c>
      <c r="E895" s="7">
        <f>'1 prepared data'!D888</f>
        <v/>
      </c>
      <c r="F895" s="7">
        <f>'1 prepared data'!E888</f>
        <v/>
      </c>
      <c r="G895" s="7">
        <f>'1 prepared data'!F888</f>
        <v/>
      </c>
      <c r="H895" s="7">
        <f>'1 prepared data'!G888</f>
        <v/>
      </c>
      <c r="I895" s="7">
        <f>'1 prepared data'!H888</f>
        <v/>
      </c>
      <c r="J895" s="7">
        <f>'1 prepared data'!I888</f>
        <v/>
      </c>
      <c r="K895" s="7">
        <f>'1 prepared data'!J888</f>
        <v/>
      </c>
      <c r="L895" s="7">
        <f>'1 prepared data'!K888</f>
        <v/>
      </c>
      <c r="M895" s="7">
        <f>'1 prepared data'!L888</f>
        <v/>
      </c>
      <c r="N895" s="7">
        <f>'1 prepared data'!M888</f>
        <v/>
      </c>
      <c r="O895" s="7">
        <f>'1 prepared data'!N888</f>
        <v/>
      </c>
      <c r="P895" s="7">
        <f>'1 prepared data'!O888</f>
        <v/>
      </c>
      <c r="Q895" s="7">
        <f>'1 prepared data'!P888</f>
        <v/>
      </c>
      <c r="R895" s="7">
        <f>'1 prepared data'!Q888</f>
        <v/>
      </c>
      <c r="S895" s="7">
        <f>'1 prepared data'!R888</f>
        <v/>
      </c>
      <c r="T895" s="7">
        <f>'1 prepared data'!S888</f>
        <v/>
      </c>
      <c r="U895" s="7">
        <f>'1 prepared data'!T888</f>
        <v/>
      </c>
      <c r="V895" s="8">
        <f>$AC$12+D895*$AC$13+E895*$AC$14+F895*$AC$15+G895*$AC$16+H895*$AC$17+I895*$AC$18+J895*$AC$19+K895*$AC$20+L895*$AC$21+M895*$AC$22+N895*$AC$23+O895*$AC$24+P895*$AC$25+Q895*$AC$26+R895*$AC$27+S895*$AC$28+T895*$AC$29+U895*$AC$30</f>
        <v/>
      </c>
      <c r="W895" s="8">
        <f>1/(1+EXP(-V895))</f>
        <v/>
      </c>
      <c r="X895" s="9">
        <f>-IF(C895=1,LN(W895),LN(1-W895))</f>
        <v/>
      </c>
      <c r="Y895" s="10">
        <f>IF(W895&gt;$AC$33,1,0)</f>
        <v/>
      </c>
      <c r="Z895">
        <f>IF(Y895=C895,1,0)</f>
        <v/>
      </c>
    </row>
    <row r="896">
      <c r="A896">
        <f>'1 prepared data'!A889</f>
        <v/>
      </c>
      <c r="B896" s="5">
        <f>'1 prepared data'!U889</f>
        <v/>
      </c>
      <c r="C896">
        <f>'1 prepared data'!B889</f>
        <v/>
      </c>
      <c r="D896" s="7">
        <f>'1 prepared data'!C889</f>
        <v/>
      </c>
      <c r="E896" s="7">
        <f>'1 prepared data'!D889</f>
        <v/>
      </c>
      <c r="F896" s="7">
        <f>'1 prepared data'!E889</f>
        <v/>
      </c>
      <c r="G896" s="7">
        <f>'1 prepared data'!F889</f>
        <v/>
      </c>
      <c r="H896" s="7">
        <f>'1 prepared data'!G889</f>
        <v/>
      </c>
      <c r="I896" s="7">
        <f>'1 prepared data'!H889</f>
        <v/>
      </c>
      <c r="J896" s="7">
        <f>'1 prepared data'!I889</f>
        <v/>
      </c>
      <c r="K896" s="7">
        <f>'1 prepared data'!J889</f>
        <v/>
      </c>
      <c r="L896" s="7">
        <f>'1 prepared data'!K889</f>
        <v/>
      </c>
      <c r="M896" s="7">
        <f>'1 prepared data'!L889</f>
        <v/>
      </c>
      <c r="N896" s="7">
        <f>'1 prepared data'!M889</f>
        <v/>
      </c>
      <c r="O896" s="7">
        <f>'1 prepared data'!N889</f>
        <v/>
      </c>
      <c r="P896" s="7">
        <f>'1 prepared data'!O889</f>
        <v/>
      </c>
      <c r="Q896" s="7">
        <f>'1 prepared data'!P889</f>
        <v/>
      </c>
      <c r="R896" s="7">
        <f>'1 prepared data'!Q889</f>
        <v/>
      </c>
      <c r="S896" s="7">
        <f>'1 prepared data'!R889</f>
        <v/>
      </c>
      <c r="T896" s="7">
        <f>'1 prepared data'!S889</f>
        <v/>
      </c>
      <c r="U896" s="7">
        <f>'1 prepared data'!T889</f>
        <v/>
      </c>
      <c r="V896" s="8">
        <f>$AC$12+D896*$AC$13+E896*$AC$14+F896*$AC$15+G896*$AC$16+H896*$AC$17+I896*$AC$18+J896*$AC$19+K896*$AC$20+L896*$AC$21+M896*$AC$22+N896*$AC$23+O896*$AC$24+P896*$AC$25+Q896*$AC$26+R896*$AC$27+S896*$AC$28+T896*$AC$29+U896*$AC$30</f>
        <v/>
      </c>
      <c r="W896" s="8">
        <f>1/(1+EXP(-V896))</f>
        <v/>
      </c>
      <c r="X896" s="9">
        <f>-IF(C896=1,LN(W896),LN(1-W896))</f>
        <v/>
      </c>
      <c r="Y896" s="10">
        <f>IF(W896&gt;$AC$33,1,0)</f>
        <v/>
      </c>
      <c r="Z896">
        <f>IF(Y896=C896,1,0)</f>
        <v/>
      </c>
    </row>
    <row r="897">
      <c r="A897">
        <f>'1 prepared data'!A890</f>
        <v/>
      </c>
      <c r="B897" s="5">
        <f>'1 prepared data'!U890</f>
        <v/>
      </c>
      <c r="C897">
        <f>'1 prepared data'!B890</f>
        <v/>
      </c>
      <c r="D897" s="7">
        <f>'1 prepared data'!C890</f>
        <v/>
      </c>
      <c r="E897" s="7">
        <f>'1 prepared data'!D890</f>
        <v/>
      </c>
      <c r="F897" s="7">
        <f>'1 prepared data'!E890</f>
        <v/>
      </c>
      <c r="G897" s="7">
        <f>'1 prepared data'!F890</f>
        <v/>
      </c>
      <c r="H897" s="7">
        <f>'1 prepared data'!G890</f>
        <v/>
      </c>
      <c r="I897" s="7">
        <f>'1 prepared data'!H890</f>
        <v/>
      </c>
      <c r="J897" s="7">
        <f>'1 prepared data'!I890</f>
        <v/>
      </c>
      <c r="K897" s="7">
        <f>'1 prepared data'!J890</f>
        <v/>
      </c>
      <c r="L897" s="7">
        <f>'1 prepared data'!K890</f>
        <v/>
      </c>
      <c r="M897" s="7">
        <f>'1 prepared data'!L890</f>
        <v/>
      </c>
      <c r="N897" s="7">
        <f>'1 prepared data'!M890</f>
        <v/>
      </c>
      <c r="O897" s="7">
        <f>'1 prepared data'!N890</f>
        <v/>
      </c>
      <c r="P897" s="7">
        <f>'1 prepared data'!O890</f>
        <v/>
      </c>
      <c r="Q897" s="7">
        <f>'1 prepared data'!P890</f>
        <v/>
      </c>
      <c r="R897" s="7">
        <f>'1 prepared data'!Q890</f>
        <v/>
      </c>
      <c r="S897" s="7">
        <f>'1 prepared data'!R890</f>
        <v/>
      </c>
      <c r="T897" s="7">
        <f>'1 prepared data'!S890</f>
        <v/>
      </c>
      <c r="U897" s="7">
        <f>'1 prepared data'!T890</f>
        <v/>
      </c>
      <c r="V897" s="8">
        <f>$AC$12+D897*$AC$13+E897*$AC$14+F897*$AC$15+G897*$AC$16+H897*$AC$17+I897*$AC$18+J897*$AC$19+K897*$AC$20+L897*$AC$21+M897*$AC$22+N897*$AC$23+O897*$AC$24+P897*$AC$25+Q897*$AC$26+R897*$AC$27+S897*$AC$28+T897*$AC$29+U897*$AC$30</f>
        <v/>
      </c>
      <c r="W897" s="8">
        <f>1/(1+EXP(-V897))</f>
        <v/>
      </c>
      <c r="X897" s="9">
        <f>-IF(C897=1,LN(W897),LN(1-W897))</f>
        <v/>
      </c>
      <c r="Y897" s="10">
        <f>IF(W897&gt;$AC$33,1,0)</f>
        <v/>
      </c>
      <c r="Z897">
        <f>IF(Y897=C897,1,0)</f>
        <v/>
      </c>
    </row>
    <row r="898">
      <c r="A898">
        <f>'1 prepared data'!A891</f>
        <v/>
      </c>
      <c r="B898" s="5">
        <f>'1 prepared data'!U891</f>
        <v/>
      </c>
      <c r="C898">
        <f>'1 prepared data'!B891</f>
        <v/>
      </c>
      <c r="D898" s="7">
        <f>'1 prepared data'!C891</f>
        <v/>
      </c>
      <c r="E898" s="7">
        <f>'1 prepared data'!D891</f>
        <v/>
      </c>
      <c r="F898" s="7">
        <f>'1 prepared data'!E891</f>
        <v/>
      </c>
      <c r="G898" s="7">
        <f>'1 prepared data'!F891</f>
        <v/>
      </c>
      <c r="H898" s="7">
        <f>'1 prepared data'!G891</f>
        <v/>
      </c>
      <c r="I898" s="7">
        <f>'1 prepared data'!H891</f>
        <v/>
      </c>
      <c r="J898" s="7">
        <f>'1 prepared data'!I891</f>
        <v/>
      </c>
      <c r="K898" s="7">
        <f>'1 prepared data'!J891</f>
        <v/>
      </c>
      <c r="L898" s="7">
        <f>'1 prepared data'!K891</f>
        <v/>
      </c>
      <c r="M898" s="7">
        <f>'1 prepared data'!L891</f>
        <v/>
      </c>
      <c r="N898" s="7">
        <f>'1 prepared data'!M891</f>
        <v/>
      </c>
      <c r="O898" s="7">
        <f>'1 prepared data'!N891</f>
        <v/>
      </c>
      <c r="P898" s="7">
        <f>'1 prepared data'!O891</f>
        <v/>
      </c>
      <c r="Q898" s="7">
        <f>'1 prepared data'!P891</f>
        <v/>
      </c>
      <c r="R898" s="7">
        <f>'1 prepared data'!Q891</f>
        <v/>
      </c>
      <c r="S898" s="7">
        <f>'1 prepared data'!R891</f>
        <v/>
      </c>
      <c r="T898" s="7">
        <f>'1 prepared data'!S891</f>
        <v/>
      </c>
      <c r="U898" s="7">
        <f>'1 prepared data'!T891</f>
        <v/>
      </c>
      <c r="V898" s="8">
        <f>$AC$12+D898*$AC$13+E898*$AC$14+F898*$AC$15+G898*$AC$16+H898*$AC$17+I898*$AC$18+J898*$AC$19+K898*$AC$20+L898*$AC$21+M898*$AC$22+N898*$AC$23+O898*$AC$24+P898*$AC$25+Q898*$AC$26+R898*$AC$27+S898*$AC$28+T898*$AC$29+U898*$AC$30</f>
        <v/>
      </c>
      <c r="W898" s="8">
        <f>1/(1+EXP(-V898))</f>
        <v/>
      </c>
      <c r="X898" s="9">
        <f>-IF(C898=1,LN(W898),LN(1-W898))</f>
        <v/>
      </c>
      <c r="Y898" s="10">
        <f>IF(W898&gt;$AC$33,1,0)</f>
        <v/>
      </c>
      <c r="Z898">
        <f>IF(Y898=C898,1,0)</f>
        <v/>
      </c>
    </row>
    <row r="899">
      <c r="A899">
        <f>'1 prepared data'!A892</f>
        <v/>
      </c>
      <c r="B899" s="5">
        <f>'1 prepared data'!U892</f>
        <v/>
      </c>
      <c r="C899">
        <f>'1 prepared data'!B892</f>
        <v/>
      </c>
      <c r="D899" s="7">
        <f>'1 prepared data'!C892</f>
        <v/>
      </c>
      <c r="E899" s="7">
        <f>'1 prepared data'!D892</f>
        <v/>
      </c>
      <c r="F899" s="7">
        <f>'1 prepared data'!E892</f>
        <v/>
      </c>
      <c r="G899" s="7">
        <f>'1 prepared data'!F892</f>
        <v/>
      </c>
      <c r="H899" s="7">
        <f>'1 prepared data'!G892</f>
        <v/>
      </c>
      <c r="I899" s="7">
        <f>'1 prepared data'!H892</f>
        <v/>
      </c>
      <c r="J899" s="7">
        <f>'1 prepared data'!I892</f>
        <v/>
      </c>
      <c r="K899" s="7">
        <f>'1 prepared data'!J892</f>
        <v/>
      </c>
      <c r="L899" s="7">
        <f>'1 prepared data'!K892</f>
        <v/>
      </c>
      <c r="M899" s="7">
        <f>'1 prepared data'!L892</f>
        <v/>
      </c>
      <c r="N899" s="7">
        <f>'1 prepared data'!M892</f>
        <v/>
      </c>
      <c r="O899" s="7">
        <f>'1 prepared data'!N892</f>
        <v/>
      </c>
      <c r="P899" s="7">
        <f>'1 prepared data'!O892</f>
        <v/>
      </c>
      <c r="Q899" s="7">
        <f>'1 prepared data'!P892</f>
        <v/>
      </c>
      <c r="R899" s="7">
        <f>'1 prepared data'!Q892</f>
        <v/>
      </c>
      <c r="S899" s="7">
        <f>'1 prepared data'!R892</f>
        <v/>
      </c>
      <c r="T899" s="7">
        <f>'1 prepared data'!S892</f>
        <v/>
      </c>
      <c r="U899" s="7">
        <f>'1 prepared data'!T892</f>
        <v/>
      </c>
      <c r="V899" s="8">
        <f>$AC$12+D899*$AC$13+E899*$AC$14+F899*$AC$15+G899*$AC$16+H899*$AC$17+I899*$AC$18+J899*$AC$19+K899*$AC$20+L899*$AC$21+M899*$AC$22+N899*$AC$23+O899*$AC$24+P899*$AC$25+Q899*$AC$26+R899*$AC$27+S899*$AC$28+T899*$AC$29+U899*$AC$30</f>
        <v/>
      </c>
      <c r="W899" s="8">
        <f>1/(1+EXP(-V899))</f>
        <v/>
      </c>
      <c r="X899" s="9">
        <f>-IF(C899=1,LN(W899),LN(1-W899))</f>
        <v/>
      </c>
      <c r="Y899" s="10">
        <f>IF(W899&gt;$AC$33,1,0)</f>
        <v/>
      </c>
      <c r="Z899">
        <f>IF(Y899=C899,1,0)</f>
        <v/>
      </c>
    </row>
    <row r="900">
      <c r="A900">
        <f>'1 prepared data'!A893</f>
        <v/>
      </c>
      <c r="B900" s="5">
        <f>'1 prepared data'!U893</f>
        <v/>
      </c>
      <c r="C900">
        <f>'1 prepared data'!B893</f>
        <v/>
      </c>
      <c r="D900" s="7">
        <f>'1 prepared data'!C893</f>
        <v/>
      </c>
      <c r="E900" s="7">
        <f>'1 prepared data'!D893</f>
        <v/>
      </c>
      <c r="F900" s="7">
        <f>'1 prepared data'!E893</f>
        <v/>
      </c>
      <c r="G900" s="7">
        <f>'1 prepared data'!F893</f>
        <v/>
      </c>
      <c r="H900" s="7">
        <f>'1 prepared data'!G893</f>
        <v/>
      </c>
      <c r="I900" s="7">
        <f>'1 prepared data'!H893</f>
        <v/>
      </c>
      <c r="J900" s="7">
        <f>'1 prepared data'!I893</f>
        <v/>
      </c>
      <c r="K900" s="7">
        <f>'1 prepared data'!J893</f>
        <v/>
      </c>
      <c r="L900" s="7">
        <f>'1 prepared data'!K893</f>
        <v/>
      </c>
      <c r="M900" s="7">
        <f>'1 prepared data'!L893</f>
        <v/>
      </c>
      <c r="N900" s="7">
        <f>'1 prepared data'!M893</f>
        <v/>
      </c>
      <c r="O900" s="7">
        <f>'1 prepared data'!N893</f>
        <v/>
      </c>
      <c r="P900" s="7">
        <f>'1 prepared data'!O893</f>
        <v/>
      </c>
      <c r="Q900" s="7">
        <f>'1 prepared data'!P893</f>
        <v/>
      </c>
      <c r="R900" s="7">
        <f>'1 prepared data'!Q893</f>
        <v/>
      </c>
      <c r="S900" s="7">
        <f>'1 prepared data'!R893</f>
        <v/>
      </c>
      <c r="T900" s="7">
        <f>'1 prepared data'!S893</f>
        <v/>
      </c>
      <c r="U900" s="7">
        <f>'1 prepared data'!T893</f>
        <v/>
      </c>
      <c r="V900" s="8">
        <f>$AC$12+D900*$AC$13+E900*$AC$14+F900*$AC$15+G900*$AC$16+H900*$AC$17+I900*$AC$18+J900*$AC$19+K900*$AC$20+L900*$AC$21+M900*$AC$22+N900*$AC$23+O900*$AC$24+P900*$AC$25+Q900*$AC$26+R900*$AC$27+S900*$AC$28+T900*$AC$29+U900*$AC$30</f>
        <v/>
      </c>
      <c r="W900" s="8">
        <f>1/(1+EXP(-V900))</f>
        <v/>
      </c>
      <c r="X900" s="9">
        <f>-IF(C900=1,LN(W900),LN(1-W900))</f>
        <v/>
      </c>
      <c r="Y900" s="10">
        <f>IF(W900&gt;$AC$33,1,0)</f>
        <v/>
      </c>
      <c r="Z900">
        <f>IF(Y900=C900,1,0)</f>
        <v/>
      </c>
    </row>
    <row r="901">
      <c r="A901">
        <f>'1 prepared data'!A894</f>
        <v/>
      </c>
      <c r="B901" s="5">
        <f>'1 prepared data'!U894</f>
        <v/>
      </c>
      <c r="C901">
        <f>'1 prepared data'!B894</f>
        <v/>
      </c>
      <c r="D901" s="7">
        <f>'1 prepared data'!C894</f>
        <v/>
      </c>
      <c r="E901" s="7">
        <f>'1 prepared data'!D894</f>
        <v/>
      </c>
      <c r="F901" s="7">
        <f>'1 prepared data'!E894</f>
        <v/>
      </c>
      <c r="G901" s="7">
        <f>'1 prepared data'!F894</f>
        <v/>
      </c>
      <c r="H901" s="7">
        <f>'1 prepared data'!G894</f>
        <v/>
      </c>
      <c r="I901" s="7">
        <f>'1 prepared data'!H894</f>
        <v/>
      </c>
      <c r="J901" s="7">
        <f>'1 prepared data'!I894</f>
        <v/>
      </c>
      <c r="K901" s="7">
        <f>'1 prepared data'!J894</f>
        <v/>
      </c>
      <c r="L901" s="7">
        <f>'1 prepared data'!K894</f>
        <v/>
      </c>
      <c r="M901" s="7">
        <f>'1 prepared data'!L894</f>
        <v/>
      </c>
      <c r="N901" s="7">
        <f>'1 prepared data'!M894</f>
        <v/>
      </c>
      <c r="O901" s="7">
        <f>'1 prepared data'!N894</f>
        <v/>
      </c>
      <c r="P901" s="7">
        <f>'1 prepared data'!O894</f>
        <v/>
      </c>
      <c r="Q901" s="7">
        <f>'1 prepared data'!P894</f>
        <v/>
      </c>
      <c r="R901" s="7">
        <f>'1 prepared data'!Q894</f>
        <v/>
      </c>
      <c r="S901" s="7">
        <f>'1 prepared data'!R894</f>
        <v/>
      </c>
      <c r="T901" s="7">
        <f>'1 prepared data'!S894</f>
        <v/>
      </c>
      <c r="U901" s="7">
        <f>'1 prepared data'!T894</f>
        <v/>
      </c>
      <c r="V901" s="8">
        <f>$AC$12+D901*$AC$13+E901*$AC$14+F901*$AC$15+G901*$AC$16+H901*$AC$17+I901*$AC$18+J901*$AC$19+K901*$AC$20+L901*$AC$21+M901*$AC$22+N901*$AC$23+O901*$AC$24+P901*$AC$25+Q901*$AC$26+R901*$AC$27+S901*$AC$28+T901*$AC$29+U901*$AC$30</f>
        <v/>
      </c>
      <c r="W901" s="8">
        <f>1/(1+EXP(-V901))</f>
        <v/>
      </c>
      <c r="X901" s="9">
        <f>-IF(C901=1,LN(W901),LN(1-W901))</f>
        <v/>
      </c>
      <c r="Y901" s="10">
        <f>IF(W901&gt;$AC$33,1,0)</f>
        <v/>
      </c>
      <c r="Z901">
        <f>IF(Y901=C901,1,0)</f>
        <v/>
      </c>
    </row>
    <row r="902">
      <c r="A902">
        <f>'1 prepared data'!A895</f>
        <v/>
      </c>
      <c r="B902" s="5">
        <f>'1 prepared data'!U895</f>
        <v/>
      </c>
      <c r="C902">
        <f>'1 prepared data'!B895</f>
        <v/>
      </c>
      <c r="D902" s="7">
        <f>'1 prepared data'!C895</f>
        <v/>
      </c>
      <c r="E902" s="7">
        <f>'1 prepared data'!D895</f>
        <v/>
      </c>
      <c r="F902" s="7">
        <f>'1 prepared data'!E895</f>
        <v/>
      </c>
      <c r="G902" s="7">
        <f>'1 prepared data'!F895</f>
        <v/>
      </c>
      <c r="H902" s="7">
        <f>'1 prepared data'!G895</f>
        <v/>
      </c>
      <c r="I902" s="7">
        <f>'1 prepared data'!H895</f>
        <v/>
      </c>
      <c r="J902" s="7">
        <f>'1 prepared data'!I895</f>
        <v/>
      </c>
      <c r="K902" s="7">
        <f>'1 prepared data'!J895</f>
        <v/>
      </c>
      <c r="L902" s="7">
        <f>'1 prepared data'!K895</f>
        <v/>
      </c>
      <c r="M902" s="7">
        <f>'1 prepared data'!L895</f>
        <v/>
      </c>
      <c r="N902" s="7">
        <f>'1 prepared data'!M895</f>
        <v/>
      </c>
      <c r="O902" s="7">
        <f>'1 prepared data'!N895</f>
        <v/>
      </c>
      <c r="P902" s="7">
        <f>'1 prepared data'!O895</f>
        <v/>
      </c>
      <c r="Q902" s="7">
        <f>'1 prepared data'!P895</f>
        <v/>
      </c>
      <c r="R902" s="7">
        <f>'1 prepared data'!Q895</f>
        <v/>
      </c>
      <c r="S902" s="7">
        <f>'1 prepared data'!R895</f>
        <v/>
      </c>
      <c r="T902" s="7">
        <f>'1 prepared data'!S895</f>
        <v/>
      </c>
      <c r="U902" s="7">
        <f>'1 prepared data'!T895</f>
        <v/>
      </c>
      <c r="V902" s="8">
        <f>$AC$12+D902*$AC$13+E902*$AC$14+F902*$AC$15+G902*$AC$16+H902*$AC$17+I902*$AC$18+J902*$AC$19+K902*$AC$20+L902*$AC$21+M902*$AC$22+N902*$AC$23+O902*$AC$24+P902*$AC$25+Q902*$AC$26+R902*$AC$27+S902*$AC$28+T902*$AC$29+U902*$AC$30</f>
        <v/>
      </c>
      <c r="W902" s="8">
        <f>1/(1+EXP(-V902))</f>
        <v/>
      </c>
      <c r="X902" s="9">
        <f>-IF(C902=1,LN(W902),LN(1-W902))</f>
        <v/>
      </c>
      <c r="Y902" s="10">
        <f>IF(W902&gt;$AC$33,1,0)</f>
        <v/>
      </c>
      <c r="Z902">
        <f>IF(Y902=C902,1,0)</f>
        <v/>
      </c>
    </row>
    <row r="903">
      <c r="A903">
        <f>'1 prepared data'!A896</f>
        <v/>
      </c>
      <c r="B903" s="5">
        <f>'1 prepared data'!U896</f>
        <v/>
      </c>
      <c r="C903">
        <f>'1 prepared data'!B896</f>
        <v/>
      </c>
      <c r="D903" s="7">
        <f>'1 prepared data'!C896</f>
        <v/>
      </c>
      <c r="E903" s="7">
        <f>'1 prepared data'!D896</f>
        <v/>
      </c>
      <c r="F903" s="7">
        <f>'1 prepared data'!E896</f>
        <v/>
      </c>
      <c r="G903" s="7">
        <f>'1 prepared data'!F896</f>
        <v/>
      </c>
      <c r="H903" s="7">
        <f>'1 prepared data'!G896</f>
        <v/>
      </c>
      <c r="I903" s="7">
        <f>'1 prepared data'!H896</f>
        <v/>
      </c>
      <c r="J903" s="7">
        <f>'1 prepared data'!I896</f>
        <v/>
      </c>
      <c r="K903" s="7">
        <f>'1 prepared data'!J896</f>
        <v/>
      </c>
      <c r="L903" s="7">
        <f>'1 prepared data'!K896</f>
        <v/>
      </c>
      <c r="M903" s="7">
        <f>'1 prepared data'!L896</f>
        <v/>
      </c>
      <c r="N903" s="7">
        <f>'1 prepared data'!M896</f>
        <v/>
      </c>
      <c r="O903" s="7">
        <f>'1 prepared data'!N896</f>
        <v/>
      </c>
      <c r="P903" s="7">
        <f>'1 prepared data'!O896</f>
        <v/>
      </c>
      <c r="Q903" s="7">
        <f>'1 prepared data'!P896</f>
        <v/>
      </c>
      <c r="R903" s="7">
        <f>'1 prepared data'!Q896</f>
        <v/>
      </c>
      <c r="S903" s="7">
        <f>'1 prepared data'!R896</f>
        <v/>
      </c>
      <c r="T903" s="7">
        <f>'1 prepared data'!S896</f>
        <v/>
      </c>
      <c r="U903" s="7">
        <f>'1 prepared data'!T896</f>
        <v/>
      </c>
      <c r="V903" s="8">
        <f>$AC$12+D903*$AC$13+E903*$AC$14+F903*$AC$15+G903*$AC$16+H903*$AC$17+I903*$AC$18+J903*$AC$19+K903*$AC$20+L903*$AC$21+M903*$AC$22+N903*$AC$23+O903*$AC$24+P903*$AC$25+Q903*$AC$26+R903*$AC$27+S903*$AC$28+T903*$AC$29+U903*$AC$30</f>
        <v/>
      </c>
      <c r="W903" s="8">
        <f>1/(1+EXP(-V903))</f>
        <v/>
      </c>
      <c r="X903" s="9">
        <f>-IF(C903=1,LN(W903),LN(1-W903))</f>
        <v/>
      </c>
      <c r="Y903" s="10">
        <f>IF(W903&gt;$AC$33,1,0)</f>
        <v/>
      </c>
      <c r="Z903">
        <f>IF(Y903=C903,1,0)</f>
        <v/>
      </c>
    </row>
    <row r="904">
      <c r="A904">
        <f>'1 prepared data'!A897</f>
        <v/>
      </c>
      <c r="B904" s="5">
        <f>'1 prepared data'!U897</f>
        <v/>
      </c>
      <c r="C904">
        <f>'1 prepared data'!B897</f>
        <v/>
      </c>
      <c r="D904" s="7">
        <f>'1 prepared data'!C897</f>
        <v/>
      </c>
      <c r="E904" s="7">
        <f>'1 prepared data'!D897</f>
        <v/>
      </c>
      <c r="F904" s="7">
        <f>'1 prepared data'!E897</f>
        <v/>
      </c>
      <c r="G904" s="7">
        <f>'1 prepared data'!F897</f>
        <v/>
      </c>
      <c r="H904" s="7">
        <f>'1 prepared data'!G897</f>
        <v/>
      </c>
      <c r="I904" s="7">
        <f>'1 prepared data'!H897</f>
        <v/>
      </c>
      <c r="J904" s="7">
        <f>'1 prepared data'!I897</f>
        <v/>
      </c>
      <c r="K904" s="7">
        <f>'1 prepared data'!J897</f>
        <v/>
      </c>
      <c r="L904" s="7">
        <f>'1 prepared data'!K897</f>
        <v/>
      </c>
      <c r="M904" s="7">
        <f>'1 prepared data'!L897</f>
        <v/>
      </c>
      <c r="N904" s="7">
        <f>'1 prepared data'!M897</f>
        <v/>
      </c>
      <c r="O904" s="7">
        <f>'1 prepared data'!N897</f>
        <v/>
      </c>
      <c r="P904" s="7">
        <f>'1 prepared data'!O897</f>
        <v/>
      </c>
      <c r="Q904" s="7">
        <f>'1 prepared data'!P897</f>
        <v/>
      </c>
      <c r="R904" s="7">
        <f>'1 prepared data'!Q897</f>
        <v/>
      </c>
      <c r="S904" s="7">
        <f>'1 prepared data'!R897</f>
        <v/>
      </c>
      <c r="T904" s="7">
        <f>'1 prepared data'!S897</f>
        <v/>
      </c>
      <c r="U904" s="7">
        <f>'1 prepared data'!T897</f>
        <v/>
      </c>
      <c r="V904" s="8">
        <f>$AC$12+D904*$AC$13+E904*$AC$14+F904*$AC$15+G904*$AC$16+H904*$AC$17+I904*$AC$18+J904*$AC$19+K904*$AC$20+L904*$AC$21+M904*$AC$22+N904*$AC$23+O904*$AC$24+P904*$AC$25+Q904*$AC$26+R904*$AC$27+S904*$AC$28+T904*$AC$29+U904*$AC$30</f>
        <v/>
      </c>
      <c r="W904" s="8">
        <f>1/(1+EXP(-V904))</f>
        <v/>
      </c>
      <c r="X904" s="9">
        <f>-IF(C904=1,LN(W904),LN(1-W904))</f>
        <v/>
      </c>
      <c r="Y904" s="10">
        <f>IF(W904&gt;$AC$33,1,0)</f>
        <v/>
      </c>
      <c r="Z904">
        <f>IF(Y904=C904,1,0)</f>
        <v/>
      </c>
    </row>
    <row r="905">
      <c r="A905">
        <f>'1 prepared data'!A898</f>
        <v/>
      </c>
      <c r="B905" s="5">
        <f>'1 prepared data'!U898</f>
        <v/>
      </c>
      <c r="C905">
        <f>'1 prepared data'!B898</f>
        <v/>
      </c>
      <c r="D905" s="7">
        <f>'1 prepared data'!C898</f>
        <v/>
      </c>
      <c r="E905" s="7">
        <f>'1 prepared data'!D898</f>
        <v/>
      </c>
      <c r="F905" s="7">
        <f>'1 prepared data'!E898</f>
        <v/>
      </c>
      <c r="G905" s="7">
        <f>'1 prepared data'!F898</f>
        <v/>
      </c>
      <c r="H905" s="7">
        <f>'1 prepared data'!G898</f>
        <v/>
      </c>
      <c r="I905" s="7">
        <f>'1 prepared data'!H898</f>
        <v/>
      </c>
      <c r="J905" s="7">
        <f>'1 prepared data'!I898</f>
        <v/>
      </c>
      <c r="K905" s="7">
        <f>'1 prepared data'!J898</f>
        <v/>
      </c>
      <c r="L905" s="7">
        <f>'1 prepared data'!K898</f>
        <v/>
      </c>
      <c r="M905" s="7">
        <f>'1 prepared data'!L898</f>
        <v/>
      </c>
      <c r="N905" s="7">
        <f>'1 prepared data'!M898</f>
        <v/>
      </c>
      <c r="O905" s="7">
        <f>'1 prepared data'!N898</f>
        <v/>
      </c>
      <c r="P905" s="7">
        <f>'1 prepared data'!O898</f>
        <v/>
      </c>
      <c r="Q905" s="7">
        <f>'1 prepared data'!P898</f>
        <v/>
      </c>
      <c r="R905" s="7">
        <f>'1 prepared data'!Q898</f>
        <v/>
      </c>
      <c r="S905" s="7">
        <f>'1 prepared data'!R898</f>
        <v/>
      </c>
      <c r="T905" s="7">
        <f>'1 prepared data'!S898</f>
        <v/>
      </c>
      <c r="U905" s="7">
        <f>'1 prepared data'!T898</f>
        <v/>
      </c>
      <c r="V905" s="8">
        <f>$AC$12+D905*$AC$13+E905*$AC$14+F905*$AC$15+G905*$AC$16+H905*$AC$17+I905*$AC$18+J905*$AC$19+K905*$AC$20+L905*$AC$21+M905*$AC$22+N905*$AC$23+O905*$AC$24+P905*$AC$25+Q905*$AC$26+R905*$AC$27+S905*$AC$28+T905*$AC$29+U905*$AC$30</f>
        <v/>
      </c>
      <c r="W905" s="8">
        <f>1/(1+EXP(-V905))</f>
        <v/>
      </c>
      <c r="X905" s="9">
        <f>-IF(C905=1,LN(W905),LN(1-W905))</f>
        <v/>
      </c>
      <c r="Y905" s="10">
        <f>IF(W905&gt;$AC$33,1,0)</f>
        <v/>
      </c>
      <c r="Z905">
        <f>IF(Y905=C905,1,0)</f>
        <v/>
      </c>
    </row>
    <row r="906">
      <c r="A906">
        <f>'1 prepared data'!A899</f>
        <v/>
      </c>
      <c r="B906" s="5">
        <f>'1 prepared data'!U899</f>
        <v/>
      </c>
      <c r="C906">
        <f>'1 prepared data'!B899</f>
        <v/>
      </c>
      <c r="D906" s="7">
        <f>'1 prepared data'!C899</f>
        <v/>
      </c>
      <c r="E906" s="7">
        <f>'1 prepared data'!D899</f>
        <v/>
      </c>
      <c r="F906" s="7">
        <f>'1 prepared data'!E899</f>
        <v/>
      </c>
      <c r="G906" s="7">
        <f>'1 prepared data'!F899</f>
        <v/>
      </c>
      <c r="H906" s="7">
        <f>'1 prepared data'!G899</f>
        <v/>
      </c>
      <c r="I906" s="7">
        <f>'1 prepared data'!H899</f>
        <v/>
      </c>
      <c r="J906" s="7">
        <f>'1 prepared data'!I899</f>
        <v/>
      </c>
      <c r="K906" s="7">
        <f>'1 prepared data'!J899</f>
        <v/>
      </c>
      <c r="L906" s="7">
        <f>'1 prepared data'!K899</f>
        <v/>
      </c>
      <c r="M906" s="7">
        <f>'1 prepared data'!L899</f>
        <v/>
      </c>
      <c r="N906" s="7">
        <f>'1 prepared data'!M899</f>
        <v/>
      </c>
      <c r="O906" s="7">
        <f>'1 prepared data'!N899</f>
        <v/>
      </c>
      <c r="P906" s="7">
        <f>'1 prepared data'!O899</f>
        <v/>
      </c>
      <c r="Q906" s="7">
        <f>'1 prepared data'!P899</f>
        <v/>
      </c>
      <c r="R906" s="7">
        <f>'1 prepared data'!Q899</f>
        <v/>
      </c>
      <c r="S906" s="7">
        <f>'1 prepared data'!R899</f>
        <v/>
      </c>
      <c r="T906" s="7">
        <f>'1 prepared data'!S899</f>
        <v/>
      </c>
      <c r="U906" s="7">
        <f>'1 prepared data'!T899</f>
        <v/>
      </c>
      <c r="V906" s="8">
        <f>$AC$12+D906*$AC$13+E906*$AC$14+F906*$AC$15+G906*$AC$16+H906*$AC$17+I906*$AC$18+J906*$AC$19+K906*$AC$20+L906*$AC$21+M906*$AC$22+N906*$AC$23+O906*$AC$24+P906*$AC$25+Q906*$AC$26+R906*$AC$27+S906*$AC$28+T906*$AC$29+U906*$AC$30</f>
        <v/>
      </c>
      <c r="W906" s="8">
        <f>1/(1+EXP(-V906))</f>
        <v/>
      </c>
      <c r="X906" s="9">
        <f>-IF(C906=1,LN(W906),LN(1-W906))</f>
        <v/>
      </c>
      <c r="Y906" s="10">
        <f>IF(W906&gt;$AC$33,1,0)</f>
        <v/>
      </c>
      <c r="Z906">
        <f>IF(Y906=C906,1,0)</f>
        <v/>
      </c>
    </row>
    <row r="907">
      <c r="A907">
        <f>'1 prepared data'!A900</f>
        <v/>
      </c>
      <c r="B907" s="5">
        <f>'1 prepared data'!U900</f>
        <v/>
      </c>
      <c r="C907">
        <f>'1 prepared data'!B900</f>
        <v/>
      </c>
      <c r="D907" s="7">
        <f>'1 prepared data'!C900</f>
        <v/>
      </c>
      <c r="E907" s="7">
        <f>'1 prepared data'!D900</f>
        <v/>
      </c>
      <c r="F907" s="7">
        <f>'1 prepared data'!E900</f>
        <v/>
      </c>
      <c r="G907" s="7">
        <f>'1 prepared data'!F900</f>
        <v/>
      </c>
      <c r="H907" s="7">
        <f>'1 prepared data'!G900</f>
        <v/>
      </c>
      <c r="I907" s="7">
        <f>'1 prepared data'!H900</f>
        <v/>
      </c>
      <c r="J907" s="7">
        <f>'1 prepared data'!I900</f>
        <v/>
      </c>
      <c r="K907" s="7">
        <f>'1 prepared data'!J900</f>
        <v/>
      </c>
      <c r="L907" s="7">
        <f>'1 prepared data'!K900</f>
        <v/>
      </c>
      <c r="M907" s="7">
        <f>'1 prepared data'!L900</f>
        <v/>
      </c>
      <c r="N907" s="7">
        <f>'1 prepared data'!M900</f>
        <v/>
      </c>
      <c r="O907" s="7">
        <f>'1 prepared data'!N900</f>
        <v/>
      </c>
      <c r="P907" s="7">
        <f>'1 prepared data'!O900</f>
        <v/>
      </c>
      <c r="Q907" s="7">
        <f>'1 prepared data'!P900</f>
        <v/>
      </c>
      <c r="R907" s="7">
        <f>'1 prepared data'!Q900</f>
        <v/>
      </c>
      <c r="S907" s="7">
        <f>'1 prepared data'!R900</f>
        <v/>
      </c>
      <c r="T907" s="7">
        <f>'1 prepared data'!S900</f>
        <v/>
      </c>
      <c r="U907" s="7">
        <f>'1 prepared data'!T900</f>
        <v/>
      </c>
      <c r="V907" s="8">
        <f>$AC$12+D907*$AC$13+E907*$AC$14+F907*$AC$15+G907*$AC$16+H907*$AC$17+I907*$AC$18+J907*$AC$19+K907*$AC$20+L907*$AC$21+M907*$AC$22+N907*$AC$23+O907*$AC$24+P907*$AC$25+Q907*$AC$26+R907*$AC$27+S907*$AC$28+T907*$AC$29+U907*$AC$30</f>
        <v/>
      </c>
      <c r="W907" s="8">
        <f>1/(1+EXP(-V907))</f>
        <v/>
      </c>
      <c r="X907" s="9">
        <f>-IF(C907=1,LN(W907),LN(1-W907))</f>
        <v/>
      </c>
      <c r="Y907" s="10">
        <f>IF(W907&gt;$AC$33,1,0)</f>
        <v/>
      </c>
      <c r="Z907">
        <f>IF(Y907=C907,1,0)</f>
        <v/>
      </c>
    </row>
    <row r="908">
      <c r="A908">
        <f>'1 prepared data'!A901</f>
        <v/>
      </c>
      <c r="B908" s="5">
        <f>'1 prepared data'!U901</f>
        <v/>
      </c>
      <c r="C908">
        <f>'1 prepared data'!B901</f>
        <v/>
      </c>
      <c r="D908" s="7">
        <f>'1 prepared data'!C901</f>
        <v/>
      </c>
      <c r="E908" s="7">
        <f>'1 prepared data'!D901</f>
        <v/>
      </c>
      <c r="F908" s="7">
        <f>'1 prepared data'!E901</f>
        <v/>
      </c>
      <c r="G908" s="7">
        <f>'1 prepared data'!F901</f>
        <v/>
      </c>
      <c r="H908" s="7">
        <f>'1 prepared data'!G901</f>
        <v/>
      </c>
      <c r="I908" s="7">
        <f>'1 prepared data'!H901</f>
        <v/>
      </c>
      <c r="J908" s="7">
        <f>'1 prepared data'!I901</f>
        <v/>
      </c>
      <c r="K908" s="7">
        <f>'1 prepared data'!J901</f>
        <v/>
      </c>
      <c r="L908" s="7">
        <f>'1 prepared data'!K901</f>
        <v/>
      </c>
      <c r="M908" s="7">
        <f>'1 prepared data'!L901</f>
        <v/>
      </c>
      <c r="N908" s="7">
        <f>'1 prepared data'!M901</f>
        <v/>
      </c>
      <c r="O908" s="7">
        <f>'1 prepared data'!N901</f>
        <v/>
      </c>
      <c r="P908" s="7">
        <f>'1 prepared data'!O901</f>
        <v/>
      </c>
      <c r="Q908" s="7">
        <f>'1 prepared data'!P901</f>
        <v/>
      </c>
      <c r="R908" s="7">
        <f>'1 prepared data'!Q901</f>
        <v/>
      </c>
      <c r="S908" s="7">
        <f>'1 prepared data'!R901</f>
        <v/>
      </c>
      <c r="T908" s="7">
        <f>'1 prepared data'!S901</f>
        <v/>
      </c>
      <c r="U908" s="7">
        <f>'1 prepared data'!T901</f>
        <v/>
      </c>
      <c r="V908" s="8">
        <f>$AC$12+D908*$AC$13+E908*$AC$14+F908*$AC$15+G908*$AC$16+H908*$AC$17+I908*$AC$18+J908*$AC$19+K908*$AC$20+L908*$AC$21+M908*$AC$22+N908*$AC$23+O908*$AC$24+P908*$AC$25+Q908*$AC$26+R908*$AC$27+S908*$AC$28+T908*$AC$29+U908*$AC$30</f>
        <v/>
      </c>
      <c r="W908" s="8">
        <f>1/(1+EXP(-V908))</f>
        <v/>
      </c>
      <c r="X908" s="9">
        <f>-IF(C908=1,LN(W908),LN(1-W908))</f>
        <v/>
      </c>
      <c r="Y908" s="10">
        <f>IF(W908&gt;$AC$33,1,0)</f>
        <v/>
      </c>
      <c r="Z908">
        <f>IF(Y908=C908,1,0)</f>
        <v/>
      </c>
    </row>
    <row r="909">
      <c r="A909">
        <f>'1 prepared data'!A902</f>
        <v/>
      </c>
      <c r="B909" s="5">
        <f>'1 prepared data'!U902</f>
        <v/>
      </c>
      <c r="C909">
        <f>'1 prepared data'!B902</f>
        <v/>
      </c>
      <c r="D909" s="7">
        <f>'1 prepared data'!C902</f>
        <v/>
      </c>
      <c r="E909" s="7">
        <f>'1 prepared data'!D902</f>
        <v/>
      </c>
      <c r="F909" s="7">
        <f>'1 prepared data'!E902</f>
        <v/>
      </c>
      <c r="G909" s="7">
        <f>'1 prepared data'!F902</f>
        <v/>
      </c>
      <c r="H909" s="7">
        <f>'1 prepared data'!G902</f>
        <v/>
      </c>
      <c r="I909" s="7">
        <f>'1 prepared data'!H902</f>
        <v/>
      </c>
      <c r="J909" s="7">
        <f>'1 prepared data'!I902</f>
        <v/>
      </c>
      <c r="K909" s="7">
        <f>'1 prepared data'!J902</f>
        <v/>
      </c>
      <c r="L909" s="7">
        <f>'1 prepared data'!K902</f>
        <v/>
      </c>
      <c r="M909" s="7">
        <f>'1 prepared data'!L902</f>
        <v/>
      </c>
      <c r="N909" s="7">
        <f>'1 prepared data'!M902</f>
        <v/>
      </c>
      <c r="O909" s="7">
        <f>'1 prepared data'!N902</f>
        <v/>
      </c>
      <c r="P909" s="7">
        <f>'1 prepared data'!O902</f>
        <v/>
      </c>
      <c r="Q909" s="7">
        <f>'1 prepared data'!P902</f>
        <v/>
      </c>
      <c r="R909" s="7">
        <f>'1 prepared data'!Q902</f>
        <v/>
      </c>
      <c r="S909" s="7">
        <f>'1 prepared data'!R902</f>
        <v/>
      </c>
      <c r="T909" s="7">
        <f>'1 prepared data'!S902</f>
        <v/>
      </c>
      <c r="U909" s="7">
        <f>'1 prepared data'!T902</f>
        <v/>
      </c>
      <c r="V909" s="8">
        <f>$AC$12+D909*$AC$13+E909*$AC$14+F909*$AC$15+G909*$AC$16+H909*$AC$17+I909*$AC$18+J909*$AC$19+K909*$AC$20+L909*$AC$21+M909*$AC$22+N909*$AC$23+O909*$AC$24+P909*$AC$25+Q909*$AC$26+R909*$AC$27+S909*$AC$28+T909*$AC$29+U909*$AC$30</f>
        <v/>
      </c>
      <c r="W909" s="8">
        <f>1/(1+EXP(-V909))</f>
        <v/>
      </c>
      <c r="X909" s="9">
        <f>-IF(C909=1,LN(W909),LN(1-W909))</f>
        <v/>
      </c>
      <c r="Y909" s="10">
        <f>IF(W909&gt;$AC$33,1,0)</f>
        <v/>
      </c>
      <c r="Z909">
        <f>IF(Y909=C909,1,0)</f>
        <v/>
      </c>
    </row>
    <row r="910">
      <c r="A910">
        <f>'1 prepared data'!A903</f>
        <v/>
      </c>
      <c r="B910" s="5">
        <f>'1 prepared data'!U903</f>
        <v/>
      </c>
      <c r="C910">
        <f>'1 prepared data'!B903</f>
        <v/>
      </c>
      <c r="D910" s="7">
        <f>'1 prepared data'!C903</f>
        <v/>
      </c>
      <c r="E910" s="7">
        <f>'1 prepared data'!D903</f>
        <v/>
      </c>
      <c r="F910" s="7">
        <f>'1 prepared data'!E903</f>
        <v/>
      </c>
      <c r="G910" s="7">
        <f>'1 prepared data'!F903</f>
        <v/>
      </c>
      <c r="H910" s="7">
        <f>'1 prepared data'!G903</f>
        <v/>
      </c>
      <c r="I910" s="7">
        <f>'1 prepared data'!H903</f>
        <v/>
      </c>
      <c r="J910" s="7">
        <f>'1 prepared data'!I903</f>
        <v/>
      </c>
      <c r="K910" s="7">
        <f>'1 prepared data'!J903</f>
        <v/>
      </c>
      <c r="L910" s="7">
        <f>'1 prepared data'!K903</f>
        <v/>
      </c>
      <c r="M910" s="7">
        <f>'1 prepared data'!L903</f>
        <v/>
      </c>
      <c r="N910" s="7">
        <f>'1 prepared data'!M903</f>
        <v/>
      </c>
      <c r="O910" s="7">
        <f>'1 prepared data'!N903</f>
        <v/>
      </c>
      <c r="P910" s="7">
        <f>'1 prepared data'!O903</f>
        <v/>
      </c>
      <c r="Q910" s="7">
        <f>'1 prepared data'!P903</f>
        <v/>
      </c>
      <c r="R910" s="7">
        <f>'1 prepared data'!Q903</f>
        <v/>
      </c>
      <c r="S910" s="7">
        <f>'1 prepared data'!R903</f>
        <v/>
      </c>
      <c r="T910" s="7">
        <f>'1 prepared data'!S903</f>
        <v/>
      </c>
      <c r="U910" s="7">
        <f>'1 prepared data'!T903</f>
        <v/>
      </c>
      <c r="V910" s="8">
        <f>$AC$12+D910*$AC$13+E910*$AC$14+F910*$AC$15+G910*$AC$16+H910*$AC$17+I910*$AC$18+J910*$AC$19+K910*$AC$20+L910*$AC$21+M910*$AC$22+N910*$AC$23+O910*$AC$24+P910*$AC$25+Q910*$AC$26+R910*$AC$27+S910*$AC$28+T910*$AC$29+U910*$AC$30</f>
        <v/>
      </c>
      <c r="W910" s="8">
        <f>1/(1+EXP(-V910))</f>
        <v/>
      </c>
      <c r="X910" s="9">
        <f>-IF(C910=1,LN(W910),LN(1-W910))</f>
        <v/>
      </c>
      <c r="Y910" s="10">
        <f>IF(W910&gt;$AC$33,1,0)</f>
        <v/>
      </c>
      <c r="Z910">
        <f>IF(Y910=C910,1,0)</f>
        <v/>
      </c>
    </row>
    <row r="911">
      <c r="A911">
        <f>'1 prepared data'!A904</f>
        <v/>
      </c>
      <c r="B911" s="5">
        <f>'1 prepared data'!U904</f>
        <v/>
      </c>
      <c r="C911">
        <f>'1 prepared data'!B904</f>
        <v/>
      </c>
      <c r="D911" s="7">
        <f>'1 prepared data'!C904</f>
        <v/>
      </c>
      <c r="E911" s="7">
        <f>'1 prepared data'!D904</f>
        <v/>
      </c>
      <c r="F911" s="7">
        <f>'1 prepared data'!E904</f>
        <v/>
      </c>
      <c r="G911" s="7">
        <f>'1 prepared data'!F904</f>
        <v/>
      </c>
      <c r="H911" s="7">
        <f>'1 prepared data'!G904</f>
        <v/>
      </c>
      <c r="I911" s="7">
        <f>'1 prepared data'!H904</f>
        <v/>
      </c>
      <c r="J911" s="7">
        <f>'1 prepared data'!I904</f>
        <v/>
      </c>
      <c r="K911" s="7">
        <f>'1 prepared data'!J904</f>
        <v/>
      </c>
      <c r="L911" s="7">
        <f>'1 prepared data'!K904</f>
        <v/>
      </c>
      <c r="M911" s="7">
        <f>'1 prepared data'!L904</f>
        <v/>
      </c>
      <c r="N911" s="7">
        <f>'1 prepared data'!M904</f>
        <v/>
      </c>
      <c r="O911" s="7">
        <f>'1 prepared data'!N904</f>
        <v/>
      </c>
      <c r="P911" s="7">
        <f>'1 prepared data'!O904</f>
        <v/>
      </c>
      <c r="Q911" s="7">
        <f>'1 prepared data'!P904</f>
        <v/>
      </c>
      <c r="R911" s="7">
        <f>'1 prepared data'!Q904</f>
        <v/>
      </c>
      <c r="S911" s="7">
        <f>'1 prepared data'!R904</f>
        <v/>
      </c>
      <c r="T911" s="7">
        <f>'1 prepared data'!S904</f>
        <v/>
      </c>
      <c r="U911" s="7">
        <f>'1 prepared data'!T904</f>
        <v/>
      </c>
      <c r="V911" s="8">
        <f>$AC$12+D911*$AC$13+E911*$AC$14+F911*$AC$15+G911*$AC$16+H911*$AC$17+I911*$AC$18+J911*$AC$19+K911*$AC$20+L911*$AC$21+M911*$AC$22+N911*$AC$23+O911*$AC$24+P911*$AC$25+Q911*$AC$26+R911*$AC$27+S911*$AC$28+T911*$AC$29+U911*$AC$30</f>
        <v/>
      </c>
      <c r="W911" s="8">
        <f>1/(1+EXP(-V911))</f>
        <v/>
      </c>
      <c r="X911" s="9">
        <f>-IF(C911=1,LN(W911),LN(1-W911))</f>
        <v/>
      </c>
      <c r="Y911" s="10">
        <f>IF(W911&gt;$AC$33,1,0)</f>
        <v/>
      </c>
      <c r="Z911">
        <f>IF(Y911=C911,1,0)</f>
        <v/>
      </c>
    </row>
    <row r="912">
      <c r="A912">
        <f>'1 prepared data'!A905</f>
        <v/>
      </c>
      <c r="B912" s="5">
        <f>'1 prepared data'!U905</f>
        <v/>
      </c>
      <c r="C912">
        <f>'1 prepared data'!B905</f>
        <v/>
      </c>
      <c r="D912" s="7">
        <f>'1 prepared data'!C905</f>
        <v/>
      </c>
      <c r="E912" s="7">
        <f>'1 prepared data'!D905</f>
        <v/>
      </c>
      <c r="F912" s="7">
        <f>'1 prepared data'!E905</f>
        <v/>
      </c>
      <c r="G912" s="7">
        <f>'1 prepared data'!F905</f>
        <v/>
      </c>
      <c r="H912" s="7">
        <f>'1 prepared data'!G905</f>
        <v/>
      </c>
      <c r="I912" s="7">
        <f>'1 prepared data'!H905</f>
        <v/>
      </c>
      <c r="J912" s="7">
        <f>'1 prepared data'!I905</f>
        <v/>
      </c>
      <c r="K912" s="7">
        <f>'1 prepared data'!J905</f>
        <v/>
      </c>
      <c r="L912" s="7">
        <f>'1 prepared data'!K905</f>
        <v/>
      </c>
      <c r="M912" s="7">
        <f>'1 prepared data'!L905</f>
        <v/>
      </c>
      <c r="N912" s="7">
        <f>'1 prepared data'!M905</f>
        <v/>
      </c>
      <c r="O912" s="7">
        <f>'1 prepared data'!N905</f>
        <v/>
      </c>
      <c r="P912" s="7">
        <f>'1 prepared data'!O905</f>
        <v/>
      </c>
      <c r="Q912" s="7">
        <f>'1 prepared data'!P905</f>
        <v/>
      </c>
      <c r="R912" s="7">
        <f>'1 prepared data'!Q905</f>
        <v/>
      </c>
      <c r="S912" s="7">
        <f>'1 prepared data'!R905</f>
        <v/>
      </c>
      <c r="T912" s="7">
        <f>'1 prepared data'!S905</f>
        <v/>
      </c>
      <c r="U912" s="7">
        <f>'1 prepared data'!T905</f>
        <v/>
      </c>
      <c r="V912" s="8">
        <f>$AC$12+D912*$AC$13+E912*$AC$14+F912*$AC$15+G912*$AC$16+H912*$AC$17+I912*$AC$18+J912*$AC$19+K912*$AC$20+L912*$AC$21+M912*$AC$22+N912*$AC$23+O912*$AC$24+P912*$AC$25+Q912*$AC$26+R912*$AC$27+S912*$AC$28+T912*$AC$29+U912*$AC$30</f>
        <v/>
      </c>
      <c r="W912" s="8">
        <f>1/(1+EXP(-V912))</f>
        <v/>
      </c>
      <c r="X912" s="9">
        <f>-IF(C912=1,LN(W912),LN(1-W912))</f>
        <v/>
      </c>
      <c r="Y912" s="10">
        <f>IF(W912&gt;$AC$33,1,0)</f>
        <v/>
      </c>
      <c r="Z912">
        <f>IF(Y912=C912,1,0)</f>
        <v/>
      </c>
    </row>
    <row r="913">
      <c r="A913">
        <f>'1 prepared data'!A906</f>
        <v/>
      </c>
      <c r="B913" s="5">
        <f>'1 prepared data'!U906</f>
        <v/>
      </c>
      <c r="C913">
        <f>'1 prepared data'!B906</f>
        <v/>
      </c>
      <c r="D913" s="7">
        <f>'1 prepared data'!C906</f>
        <v/>
      </c>
      <c r="E913" s="7">
        <f>'1 prepared data'!D906</f>
        <v/>
      </c>
      <c r="F913" s="7">
        <f>'1 prepared data'!E906</f>
        <v/>
      </c>
      <c r="G913" s="7">
        <f>'1 prepared data'!F906</f>
        <v/>
      </c>
      <c r="H913" s="7">
        <f>'1 prepared data'!G906</f>
        <v/>
      </c>
      <c r="I913" s="7">
        <f>'1 prepared data'!H906</f>
        <v/>
      </c>
      <c r="J913" s="7">
        <f>'1 prepared data'!I906</f>
        <v/>
      </c>
      <c r="K913" s="7">
        <f>'1 prepared data'!J906</f>
        <v/>
      </c>
      <c r="L913" s="7">
        <f>'1 prepared data'!K906</f>
        <v/>
      </c>
      <c r="M913" s="7">
        <f>'1 prepared data'!L906</f>
        <v/>
      </c>
      <c r="N913" s="7">
        <f>'1 prepared data'!M906</f>
        <v/>
      </c>
      <c r="O913" s="7">
        <f>'1 prepared data'!N906</f>
        <v/>
      </c>
      <c r="P913" s="7">
        <f>'1 prepared data'!O906</f>
        <v/>
      </c>
      <c r="Q913" s="7">
        <f>'1 prepared data'!P906</f>
        <v/>
      </c>
      <c r="R913" s="7">
        <f>'1 prepared data'!Q906</f>
        <v/>
      </c>
      <c r="S913" s="7">
        <f>'1 prepared data'!R906</f>
        <v/>
      </c>
      <c r="T913" s="7">
        <f>'1 prepared data'!S906</f>
        <v/>
      </c>
      <c r="U913" s="7">
        <f>'1 prepared data'!T906</f>
        <v/>
      </c>
      <c r="V913" s="8">
        <f>$AC$12+D913*$AC$13+E913*$AC$14+F913*$AC$15+G913*$AC$16+H913*$AC$17+I913*$AC$18+J913*$AC$19+K913*$AC$20+L913*$AC$21+M913*$AC$22+N913*$AC$23+O913*$AC$24+P913*$AC$25+Q913*$AC$26+R913*$AC$27+S913*$AC$28+T913*$AC$29+U913*$AC$30</f>
        <v/>
      </c>
      <c r="W913" s="8">
        <f>1/(1+EXP(-V913))</f>
        <v/>
      </c>
      <c r="X913" s="9">
        <f>-IF(C913=1,LN(W913),LN(1-W913))</f>
        <v/>
      </c>
      <c r="Y913" s="10">
        <f>IF(W913&gt;$AC$33,1,0)</f>
        <v/>
      </c>
      <c r="Z913">
        <f>IF(Y913=C913,1,0)</f>
        <v/>
      </c>
    </row>
    <row r="914">
      <c r="A914">
        <f>'1 prepared data'!A907</f>
        <v/>
      </c>
      <c r="B914" s="5">
        <f>'1 prepared data'!U907</f>
        <v/>
      </c>
      <c r="C914">
        <f>'1 prepared data'!B907</f>
        <v/>
      </c>
      <c r="D914" s="7">
        <f>'1 prepared data'!C907</f>
        <v/>
      </c>
      <c r="E914" s="7">
        <f>'1 prepared data'!D907</f>
        <v/>
      </c>
      <c r="F914" s="7">
        <f>'1 prepared data'!E907</f>
        <v/>
      </c>
      <c r="G914" s="7">
        <f>'1 prepared data'!F907</f>
        <v/>
      </c>
      <c r="H914" s="7">
        <f>'1 prepared data'!G907</f>
        <v/>
      </c>
      <c r="I914" s="7">
        <f>'1 prepared data'!H907</f>
        <v/>
      </c>
      <c r="J914" s="7">
        <f>'1 prepared data'!I907</f>
        <v/>
      </c>
      <c r="K914" s="7">
        <f>'1 prepared data'!J907</f>
        <v/>
      </c>
      <c r="L914" s="7">
        <f>'1 prepared data'!K907</f>
        <v/>
      </c>
      <c r="M914" s="7">
        <f>'1 prepared data'!L907</f>
        <v/>
      </c>
      <c r="N914" s="7">
        <f>'1 prepared data'!M907</f>
        <v/>
      </c>
      <c r="O914" s="7">
        <f>'1 prepared data'!N907</f>
        <v/>
      </c>
      <c r="P914" s="7">
        <f>'1 prepared data'!O907</f>
        <v/>
      </c>
      <c r="Q914" s="7">
        <f>'1 prepared data'!P907</f>
        <v/>
      </c>
      <c r="R914" s="7">
        <f>'1 prepared data'!Q907</f>
        <v/>
      </c>
      <c r="S914" s="7">
        <f>'1 prepared data'!R907</f>
        <v/>
      </c>
      <c r="T914" s="7">
        <f>'1 prepared data'!S907</f>
        <v/>
      </c>
      <c r="U914" s="7">
        <f>'1 prepared data'!T907</f>
        <v/>
      </c>
      <c r="V914" s="8">
        <f>$AC$12+D914*$AC$13+E914*$AC$14+F914*$AC$15+G914*$AC$16+H914*$AC$17+I914*$AC$18+J914*$AC$19+K914*$AC$20+L914*$AC$21+M914*$AC$22+N914*$AC$23+O914*$AC$24+P914*$AC$25+Q914*$AC$26+R914*$AC$27+S914*$AC$28+T914*$AC$29+U914*$AC$30</f>
        <v/>
      </c>
      <c r="W914" s="8">
        <f>1/(1+EXP(-V914))</f>
        <v/>
      </c>
      <c r="X914" s="9">
        <f>-IF(C914=1,LN(W914),LN(1-W914))</f>
        <v/>
      </c>
      <c r="Y914" s="10">
        <f>IF(W914&gt;$AC$33,1,0)</f>
        <v/>
      </c>
      <c r="Z914">
        <f>IF(Y914=C914,1,0)</f>
        <v/>
      </c>
    </row>
    <row r="915">
      <c r="A915">
        <f>'1 prepared data'!A908</f>
        <v/>
      </c>
      <c r="B915" s="5">
        <f>'1 prepared data'!U908</f>
        <v/>
      </c>
      <c r="C915">
        <f>'1 prepared data'!B908</f>
        <v/>
      </c>
      <c r="D915" s="7">
        <f>'1 prepared data'!C908</f>
        <v/>
      </c>
      <c r="E915" s="7">
        <f>'1 prepared data'!D908</f>
        <v/>
      </c>
      <c r="F915" s="7">
        <f>'1 prepared data'!E908</f>
        <v/>
      </c>
      <c r="G915" s="7">
        <f>'1 prepared data'!F908</f>
        <v/>
      </c>
      <c r="H915" s="7">
        <f>'1 prepared data'!G908</f>
        <v/>
      </c>
      <c r="I915" s="7">
        <f>'1 prepared data'!H908</f>
        <v/>
      </c>
      <c r="J915" s="7">
        <f>'1 prepared data'!I908</f>
        <v/>
      </c>
      <c r="K915" s="7">
        <f>'1 prepared data'!J908</f>
        <v/>
      </c>
      <c r="L915" s="7">
        <f>'1 prepared data'!K908</f>
        <v/>
      </c>
      <c r="M915" s="7">
        <f>'1 prepared data'!L908</f>
        <v/>
      </c>
      <c r="N915" s="7">
        <f>'1 prepared data'!M908</f>
        <v/>
      </c>
      <c r="O915" s="7">
        <f>'1 prepared data'!N908</f>
        <v/>
      </c>
      <c r="P915" s="7">
        <f>'1 prepared data'!O908</f>
        <v/>
      </c>
      <c r="Q915" s="7">
        <f>'1 prepared data'!P908</f>
        <v/>
      </c>
      <c r="R915" s="7">
        <f>'1 prepared data'!Q908</f>
        <v/>
      </c>
      <c r="S915" s="7">
        <f>'1 prepared data'!R908</f>
        <v/>
      </c>
      <c r="T915" s="7">
        <f>'1 prepared data'!S908</f>
        <v/>
      </c>
      <c r="U915" s="7">
        <f>'1 prepared data'!T908</f>
        <v/>
      </c>
      <c r="V915" s="8">
        <f>$AC$12+D915*$AC$13+E915*$AC$14+F915*$AC$15+G915*$AC$16+H915*$AC$17+I915*$AC$18+J915*$AC$19+K915*$AC$20+L915*$AC$21+M915*$AC$22+N915*$AC$23+O915*$AC$24+P915*$AC$25+Q915*$AC$26+R915*$AC$27+S915*$AC$28+T915*$AC$29+U915*$AC$30</f>
        <v/>
      </c>
      <c r="W915" s="8">
        <f>1/(1+EXP(-V915))</f>
        <v/>
      </c>
      <c r="X915" s="9">
        <f>-IF(C915=1,LN(W915),LN(1-W915))</f>
        <v/>
      </c>
      <c r="Y915" s="10">
        <f>IF(W915&gt;$AC$33,1,0)</f>
        <v/>
      </c>
      <c r="Z915">
        <f>IF(Y915=C915,1,0)</f>
        <v/>
      </c>
    </row>
    <row r="916">
      <c r="A916">
        <f>'1 prepared data'!A909</f>
        <v/>
      </c>
      <c r="B916" s="5">
        <f>'1 prepared data'!U909</f>
        <v/>
      </c>
      <c r="C916">
        <f>'1 prepared data'!B909</f>
        <v/>
      </c>
      <c r="D916" s="7">
        <f>'1 prepared data'!C909</f>
        <v/>
      </c>
      <c r="E916" s="7">
        <f>'1 prepared data'!D909</f>
        <v/>
      </c>
      <c r="F916" s="7">
        <f>'1 prepared data'!E909</f>
        <v/>
      </c>
      <c r="G916" s="7">
        <f>'1 prepared data'!F909</f>
        <v/>
      </c>
      <c r="H916" s="7">
        <f>'1 prepared data'!G909</f>
        <v/>
      </c>
      <c r="I916" s="7">
        <f>'1 prepared data'!H909</f>
        <v/>
      </c>
      <c r="J916" s="7">
        <f>'1 prepared data'!I909</f>
        <v/>
      </c>
      <c r="K916" s="7">
        <f>'1 prepared data'!J909</f>
        <v/>
      </c>
      <c r="L916" s="7">
        <f>'1 prepared data'!K909</f>
        <v/>
      </c>
      <c r="M916" s="7">
        <f>'1 prepared data'!L909</f>
        <v/>
      </c>
      <c r="N916" s="7">
        <f>'1 prepared data'!M909</f>
        <v/>
      </c>
      <c r="O916" s="7">
        <f>'1 prepared data'!N909</f>
        <v/>
      </c>
      <c r="P916" s="7">
        <f>'1 prepared data'!O909</f>
        <v/>
      </c>
      <c r="Q916" s="7">
        <f>'1 prepared data'!P909</f>
        <v/>
      </c>
      <c r="R916" s="7">
        <f>'1 prepared data'!Q909</f>
        <v/>
      </c>
      <c r="S916" s="7">
        <f>'1 prepared data'!R909</f>
        <v/>
      </c>
      <c r="T916" s="7">
        <f>'1 prepared data'!S909</f>
        <v/>
      </c>
      <c r="U916" s="7">
        <f>'1 prepared data'!T909</f>
        <v/>
      </c>
      <c r="V916" s="8">
        <f>$AC$12+D916*$AC$13+E916*$AC$14+F916*$AC$15+G916*$AC$16+H916*$AC$17+I916*$AC$18+J916*$AC$19+K916*$AC$20+L916*$AC$21+M916*$AC$22+N916*$AC$23+O916*$AC$24+P916*$AC$25+Q916*$AC$26+R916*$AC$27+S916*$AC$28+T916*$AC$29+U916*$AC$30</f>
        <v/>
      </c>
      <c r="W916" s="8">
        <f>1/(1+EXP(-V916))</f>
        <v/>
      </c>
      <c r="X916" s="9">
        <f>-IF(C916=1,LN(W916),LN(1-W916))</f>
        <v/>
      </c>
      <c r="Y916" s="10">
        <f>IF(W916&gt;$AC$33,1,0)</f>
        <v/>
      </c>
      <c r="Z916">
        <f>IF(Y916=C916,1,0)</f>
        <v/>
      </c>
    </row>
    <row r="917">
      <c r="A917">
        <f>'1 prepared data'!A910</f>
        <v/>
      </c>
      <c r="B917" s="5">
        <f>'1 prepared data'!U910</f>
        <v/>
      </c>
      <c r="C917">
        <f>'1 prepared data'!B910</f>
        <v/>
      </c>
      <c r="D917" s="7">
        <f>'1 prepared data'!C910</f>
        <v/>
      </c>
      <c r="E917" s="7">
        <f>'1 prepared data'!D910</f>
        <v/>
      </c>
      <c r="F917" s="7">
        <f>'1 prepared data'!E910</f>
        <v/>
      </c>
      <c r="G917" s="7">
        <f>'1 prepared data'!F910</f>
        <v/>
      </c>
      <c r="H917" s="7">
        <f>'1 prepared data'!G910</f>
        <v/>
      </c>
      <c r="I917" s="7">
        <f>'1 prepared data'!H910</f>
        <v/>
      </c>
      <c r="J917" s="7">
        <f>'1 prepared data'!I910</f>
        <v/>
      </c>
      <c r="K917" s="7">
        <f>'1 prepared data'!J910</f>
        <v/>
      </c>
      <c r="L917" s="7">
        <f>'1 prepared data'!K910</f>
        <v/>
      </c>
      <c r="M917" s="7">
        <f>'1 prepared data'!L910</f>
        <v/>
      </c>
      <c r="N917" s="7">
        <f>'1 prepared data'!M910</f>
        <v/>
      </c>
      <c r="O917" s="7">
        <f>'1 prepared data'!N910</f>
        <v/>
      </c>
      <c r="P917" s="7">
        <f>'1 prepared data'!O910</f>
        <v/>
      </c>
      <c r="Q917" s="7">
        <f>'1 prepared data'!P910</f>
        <v/>
      </c>
      <c r="R917" s="7">
        <f>'1 prepared data'!Q910</f>
        <v/>
      </c>
      <c r="S917" s="7">
        <f>'1 prepared data'!R910</f>
        <v/>
      </c>
      <c r="T917" s="7">
        <f>'1 prepared data'!S910</f>
        <v/>
      </c>
      <c r="U917" s="7">
        <f>'1 prepared data'!T910</f>
        <v/>
      </c>
      <c r="V917" s="8">
        <f>$AC$12+D917*$AC$13+E917*$AC$14+F917*$AC$15+G917*$AC$16+H917*$AC$17+I917*$AC$18+J917*$AC$19+K917*$AC$20+L917*$AC$21+M917*$AC$22+N917*$AC$23+O917*$AC$24+P917*$AC$25+Q917*$AC$26+R917*$AC$27+S917*$AC$28+T917*$AC$29+U917*$AC$30</f>
        <v/>
      </c>
      <c r="W917" s="8">
        <f>1/(1+EXP(-V917))</f>
        <v/>
      </c>
      <c r="X917" s="9">
        <f>-IF(C917=1,LN(W917),LN(1-W917))</f>
        <v/>
      </c>
      <c r="Y917" s="10">
        <f>IF(W917&gt;$AC$33,1,0)</f>
        <v/>
      </c>
      <c r="Z917">
        <f>IF(Y917=C917,1,0)</f>
        <v/>
      </c>
    </row>
    <row r="918">
      <c r="A918">
        <f>'1 prepared data'!A911</f>
        <v/>
      </c>
      <c r="B918" s="5">
        <f>'1 prepared data'!U911</f>
        <v/>
      </c>
      <c r="C918">
        <f>'1 prepared data'!B911</f>
        <v/>
      </c>
      <c r="D918" s="7">
        <f>'1 prepared data'!C911</f>
        <v/>
      </c>
      <c r="E918" s="7">
        <f>'1 prepared data'!D911</f>
        <v/>
      </c>
      <c r="F918" s="7">
        <f>'1 prepared data'!E911</f>
        <v/>
      </c>
      <c r="G918" s="7">
        <f>'1 prepared data'!F911</f>
        <v/>
      </c>
      <c r="H918" s="7">
        <f>'1 prepared data'!G911</f>
        <v/>
      </c>
      <c r="I918" s="7">
        <f>'1 prepared data'!H911</f>
        <v/>
      </c>
      <c r="J918" s="7">
        <f>'1 prepared data'!I911</f>
        <v/>
      </c>
      <c r="K918" s="7">
        <f>'1 prepared data'!J911</f>
        <v/>
      </c>
      <c r="L918" s="7">
        <f>'1 prepared data'!K911</f>
        <v/>
      </c>
      <c r="M918" s="7">
        <f>'1 prepared data'!L911</f>
        <v/>
      </c>
      <c r="N918" s="7">
        <f>'1 prepared data'!M911</f>
        <v/>
      </c>
      <c r="O918" s="7">
        <f>'1 prepared data'!N911</f>
        <v/>
      </c>
      <c r="P918" s="7">
        <f>'1 prepared data'!O911</f>
        <v/>
      </c>
      <c r="Q918" s="7">
        <f>'1 prepared data'!P911</f>
        <v/>
      </c>
      <c r="R918" s="7">
        <f>'1 prepared data'!Q911</f>
        <v/>
      </c>
      <c r="S918" s="7">
        <f>'1 prepared data'!R911</f>
        <v/>
      </c>
      <c r="T918" s="7">
        <f>'1 prepared data'!S911</f>
        <v/>
      </c>
      <c r="U918" s="7">
        <f>'1 prepared data'!T911</f>
        <v/>
      </c>
      <c r="V918" s="8">
        <f>$AC$12+D918*$AC$13+E918*$AC$14+F918*$AC$15+G918*$AC$16+H918*$AC$17+I918*$AC$18+J918*$AC$19+K918*$AC$20+L918*$AC$21+M918*$AC$22+N918*$AC$23+O918*$AC$24+P918*$AC$25+Q918*$AC$26+R918*$AC$27+S918*$AC$28+T918*$AC$29+U918*$AC$30</f>
        <v/>
      </c>
      <c r="W918" s="8">
        <f>1/(1+EXP(-V918))</f>
        <v/>
      </c>
      <c r="X918" s="9">
        <f>-IF(C918=1,LN(W918),LN(1-W918))</f>
        <v/>
      </c>
      <c r="Y918" s="10">
        <f>IF(W918&gt;$AC$33,1,0)</f>
        <v/>
      </c>
      <c r="Z918">
        <f>IF(Y918=C918,1,0)</f>
        <v/>
      </c>
    </row>
    <row r="919">
      <c r="A919">
        <f>'1 prepared data'!A912</f>
        <v/>
      </c>
      <c r="B919" s="5">
        <f>'1 prepared data'!U912</f>
        <v/>
      </c>
      <c r="C919">
        <f>'1 prepared data'!B912</f>
        <v/>
      </c>
      <c r="D919" s="7">
        <f>'1 prepared data'!C912</f>
        <v/>
      </c>
      <c r="E919" s="7">
        <f>'1 prepared data'!D912</f>
        <v/>
      </c>
      <c r="F919" s="7">
        <f>'1 prepared data'!E912</f>
        <v/>
      </c>
      <c r="G919" s="7">
        <f>'1 prepared data'!F912</f>
        <v/>
      </c>
      <c r="H919" s="7">
        <f>'1 prepared data'!G912</f>
        <v/>
      </c>
      <c r="I919" s="7">
        <f>'1 prepared data'!H912</f>
        <v/>
      </c>
      <c r="J919" s="7">
        <f>'1 prepared data'!I912</f>
        <v/>
      </c>
      <c r="K919" s="7">
        <f>'1 prepared data'!J912</f>
        <v/>
      </c>
      <c r="L919" s="7">
        <f>'1 prepared data'!K912</f>
        <v/>
      </c>
      <c r="M919" s="7">
        <f>'1 prepared data'!L912</f>
        <v/>
      </c>
      <c r="N919" s="7">
        <f>'1 prepared data'!M912</f>
        <v/>
      </c>
      <c r="O919" s="7">
        <f>'1 prepared data'!N912</f>
        <v/>
      </c>
      <c r="P919" s="7">
        <f>'1 prepared data'!O912</f>
        <v/>
      </c>
      <c r="Q919" s="7">
        <f>'1 prepared data'!P912</f>
        <v/>
      </c>
      <c r="R919" s="7">
        <f>'1 prepared data'!Q912</f>
        <v/>
      </c>
      <c r="S919" s="7">
        <f>'1 prepared data'!R912</f>
        <v/>
      </c>
      <c r="T919" s="7">
        <f>'1 prepared data'!S912</f>
        <v/>
      </c>
      <c r="U919" s="7">
        <f>'1 prepared data'!T912</f>
        <v/>
      </c>
      <c r="V919" s="8">
        <f>$AC$12+D919*$AC$13+E919*$AC$14+F919*$AC$15+G919*$AC$16+H919*$AC$17+I919*$AC$18+J919*$AC$19+K919*$AC$20+L919*$AC$21+M919*$AC$22+N919*$AC$23+O919*$AC$24+P919*$AC$25+Q919*$AC$26+R919*$AC$27+S919*$AC$28+T919*$AC$29+U919*$AC$30</f>
        <v/>
      </c>
      <c r="W919" s="8">
        <f>1/(1+EXP(-V919))</f>
        <v/>
      </c>
      <c r="X919" s="9">
        <f>-IF(C919=1,LN(W919),LN(1-W919))</f>
        <v/>
      </c>
      <c r="Y919" s="10">
        <f>IF(W919&gt;$AC$33,1,0)</f>
        <v/>
      </c>
      <c r="Z919">
        <f>IF(Y919=C919,1,0)</f>
        <v/>
      </c>
    </row>
    <row r="920">
      <c r="A920">
        <f>'1 prepared data'!A913</f>
        <v/>
      </c>
      <c r="B920" s="5">
        <f>'1 prepared data'!U913</f>
        <v/>
      </c>
      <c r="C920">
        <f>'1 prepared data'!B913</f>
        <v/>
      </c>
      <c r="D920" s="7">
        <f>'1 prepared data'!C913</f>
        <v/>
      </c>
      <c r="E920" s="7">
        <f>'1 prepared data'!D913</f>
        <v/>
      </c>
      <c r="F920" s="7">
        <f>'1 prepared data'!E913</f>
        <v/>
      </c>
      <c r="G920" s="7">
        <f>'1 prepared data'!F913</f>
        <v/>
      </c>
      <c r="H920" s="7">
        <f>'1 prepared data'!G913</f>
        <v/>
      </c>
      <c r="I920" s="7">
        <f>'1 prepared data'!H913</f>
        <v/>
      </c>
      <c r="J920" s="7">
        <f>'1 prepared data'!I913</f>
        <v/>
      </c>
      <c r="K920" s="7">
        <f>'1 prepared data'!J913</f>
        <v/>
      </c>
      <c r="L920" s="7">
        <f>'1 prepared data'!K913</f>
        <v/>
      </c>
      <c r="M920" s="7">
        <f>'1 prepared data'!L913</f>
        <v/>
      </c>
      <c r="N920" s="7">
        <f>'1 prepared data'!M913</f>
        <v/>
      </c>
      <c r="O920" s="7">
        <f>'1 prepared data'!N913</f>
        <v/>
      </c>
      <c r="P920" s="7">
        <f>'1 prepared data'!O913</f>
        <v/>
      </c>
      <c r="Q920" s="7">
        <f>'1 prepared data'!P913</f>
        <v/>
      </c>
      <c r="R920" s="7">
        <f>'1 prepared data'!Q913</f>
        <v/>
      </c>
      <c r="S920" s="7">
        <f>'1 prepared data'!R913</f>
        <v/>
      </c>
      <c r="T920" s="7">
        <f>'1 prepared data'!S913</f>
        <v/>
      </c>
      <c r="U920" s="7">
        <f>'1 prepared data'!T913</f>
        <v/>
      </c>
      <c r="V920" s="8">
        <f>$AC$12+D920*$AC$13+E920*$AC$14+F920*$AC$15+G920*$AC$16+H920*$AC$17+I920*$AC$18+J920*$AC$19+K920*$AC$20+L920*$AC$21+M920*$AC$22+N920*$AC$23+O920*$AC$24+P920*$AC$25+Q920*$AC$26+R920*$AC$27+S920*$AC$28+T920*$AC$29+U920*$AC$30</f>
        <v/>
      </c>
      <c r="W920" s="8">
        <f>1/(1+EXP(-V920))</f>
        <v/>
      </c>
      <c r="X920" s="9">
        <f>-IF(C920=1,LN(W920),LN(1-W920))</f>
        <v/>
      </c>
      <c r="Y920" s="10">
        <f>IF(W920&gt;$AC$33,1,0)</f>
        <v/>
      </c>
      <c r="Z920">
        <f>IF(Y920=C920,1,0)</f>
        <v/>
      </c>
    </row>
    <row r="921">
      <c r="A921">
        <f>'1 prepared data'!A914</f>
        <v/>
      </c>
      <c r="B921" s="5">
        <f>'1 prepared data'!U914</f>
        <v/>
      </c>
      <c r="C921">
        <f>'1 prepared data'!B914</f>
        <v/>
      </c>
      <c r="D921" s="7">
        <f>'1 prepared data'!C914</f>
        <v/>
      </c>
      <c r="E921" s="7">
        <f>'1 prepared data'!D914</f>
        <v/>
      </c>
      <c r="F921" s="7">
        <f>'1 prepared data'!E914</f>
        <v/>
      </c>
      <c r="G921" s="7">
        <f>'1 prepared data'!F914</f>
        <v/>
      </c>
      <c r="H921" s="7">
        <f>'1 prepared data'!G914</f>
        <v/>
      </c>
      <c r="I921" s="7">
        <f>'1 prepared data'!H914</f>
        <v/>
      </c>
      <c r="J921" s="7">
        <f>'1 prepared data'!I914</f>
        <v/>
      </c>
      <c r="K921" s="7">
        <f>'1 prepared data'!J914</f>
        <v/>
      </c>
      <c r="L921" s="7">
        <f>'1 prepared data'!K914</f>
        <v/>
      </c>
      <c r="M921" s="7">
        <f>'1 prepared data'!L914</f>
        <v/>
      </c>
      <c r="N921" s="7">
        <f>'1 prepared data'!M914</f>
        <v/>
      </c>
      <c r="O921" s="7">
        <f>'1 prepared data'!N914</f>
        <v/>
      </c>
      <c r="P921" s="7">
        <f>'1 prepared data'!O914</f>
        <v/>
      </c>
      <c r="Q921" s="7">
        <f>'1 prepared data'!P914</f>
        <v/>
      </c>
      <c r="R921" s="7">
        <f>'1 prepared data'!Q914</f>
        <v/>
      </c>
      <c r="S921" s="7">
        <f>'1 prepared data'!R914</f>
        <v/>
      </c>
      <c r="T921" s="7">
        <f>'1 prepared data'!S914</f>
        <v/>
      </c>
      <c r="U921" s="7">
        <f>'1 prepared data'!T914</f>
        <v/>
      </c>
      <c r="V921" s="8">
        <f>$AC$12+D921*$AC$13+E921*$AC$14+F921*$AC$15+G921*$AC$16+H921*$AC$17+I921*$AC$18+J921*$AC$19+K921*$AC$20+L921*$AC$21+M921*$AC$22+N921*$AC$23+O921*$AC$24+P921*$AC$25+Q921*$AC$26+R921*$AC$27+S921*$AC$28+T921*$AC$29+U921*$AC$30</f>
        <v/>
      </c>
      <c r="W921" s="8">
        <f>1/(1+EXP(-V921))</f>
        <v/>
      </c>
      <c r="X921" s="9">
        <f>-IF(C921=1,LN(W921),LN(1-W921))</f>
        <v/>
      </c>
      <c r="Y921" s="10">
        <f>IF(W921&gt;$AC$33,1,0)</f>
        <v/>
      </c>
      <c r="Z921">
        <f>IF(Y921=C921,1,0)</f>
        <v/>
      </c>
    </row>
    <row r="922">
      <c r="A922">
        <f>'1 prepared data'!A915</f>
        <v/>
      </c>
      <c r="B922" s="5">
        <f>'1 prepared data'!U915</f>
        <v/>
      </c>
      <c r="C922">
        <f>'1 prepared data'!B915</f>
        <v/>
      </c>
      <c r="D922" s="7">
        <f>'1 prepared data'!C915</f>
        <v/>
      </c>
      <c r="E922" s="7">
        <f>'1 prepared data'!D915</f>
        <v/>
      </c>
      <c r="F922" s="7">
        <f>'1 prepared data'!E915</f>
        <v/>
      </c>
      <c r="G922" s="7">
        <f>'1 prepared data'!F915</f>
        <v/>
      </c>
      <c r="H922" s="7">
        <f>'1 prepared data'!G915</f>
        <v/>
      </c>
      <c r="I922" s="7">
        <f>'1 prepared data'!H915</f>
        <v/>
      </c>
      <c r="J922" s="7">
        <f>'1 prepared data'!I915</f>
        <v/>
      </c>
      <c r="K922" s="7">
        <f>'1 prepared data'!J915</f>
        <v/>
      </c>
      <c r="L922" s="7">
        <f>'1 prepared data'!K915</f>
        <v/>
      </c>
      <c r="M922" s="7">
        <f>'1 prepared data'!L915</f>
        <v/>
      </c>
      <c r="N922" s="7">
        <f>'1 prepared data'!M915</f>
        <v/>
      </c>
      <c r="O922" s="7">
        <f>'1 prepared data'!N915</f>
        <v/>
      </c>
      <c r="P922" s="7">
        <f>'1 prepared data'!O915</f>
        <v/>
      </c>
      <c r="Q922" s="7">
        <f>'1 prepared data'!P915</f>
        <v/>
      </c>
      <c r="R922" s="7">
        <f>'1 prepared data'!Q915</f>
        <v/>
      </c>
      <c r="S922" s="7">
        <f>'1 prepared data'!R915</f>
        <v/>
      </c>
      <c r="T922" s="7">
        <f>'1 prepared data'!S915</f>
        <v/>
      </c>
      <c r="U922" s="7">
        <f>'1 prepared data'!T915</f>
        <v/>
      </c>
      <c r="V922" s="8">
        <f>$AC$12+D922*$AC$13+E922*$AC$14+F922*$AC$15+G922*$AC$16+H922*$AC$17+I922*$AC$18+J922*$AC$19+K922*$AC$20+L922*$AC$21+M922*$AC$22+N922*$AC$23+O922*$AC$24+P922*$AC$25+Q922*$AC$26+R922*$AC$27+S922*$AC$28+T922*$AC$29+U922*$AC$30</f>
        <v/>
      </c>
      <c r="W922" s="8">
        <f>1/(1+EXP(-V922))</f>
        <v/>
      </c>
      <c r="X922" s="9">
        <f>-IF(C922=1,LN(W922),LN(1-W922))</f>
        <v/>
      </c>
      <c r="Y922" s="10">
        <f>IF(W922&gt;$AC$33,1,0)</f>
        <v/>
      </c>
      <c r="Z922">
        <f>IF(Y922=C922,1,0)</f>
        <v/>
      </c>
    </row>
    <row r="923">
      <c r="A923">
        <f>'1 prepared data'!A916</f>
        <v/>
      </c>
      <c r="B923" s="5">
        <f>'1 prepared data'!U916</f>
        <v/>
      </c>
      <c r="C923">
        <f>'1 prepared data'!B916</f>
        <v/>
      </c>
      <c r="D923" s="7">
        <f>'1 prepared data'!C916</f>
        <v/>
      </c>
      <c r="E923" s="7">
        <f>'1 prepared data'!D916</f>
        <v/>
      </c>
      <c r="F923" s="7">
        <f>'1 prepared data'!E916</f>
        <v/>
      </c>
      <c r="G923" s="7">
        <f>'1 prepared data'!F916</f>
        <v/>
      </c>
      <c r="H923" s="7">
        <f>'1 prepared data'!G916</f>
        <v/>
      </c>
      <c r="I923" s="7">
        <f>'1 prepared data'!H916</f>
        <v/>
      </c>
      <c r="J923" s="7">
        <f>'1 prepared data'!I916</f>
        <v/>
      </c>
      <c r="K923" s="7">
        <f>'1 prepared data'!J916</f>
        <v/>
      </c>
      <c r="L923" s="7">
        <f>'1 prepared data'!K916</f>
        <v/>
      </c>
      <c r="M923" s="7">
        <f>'1 prepared data'!L916</f>
        <v/>
      </c>
      <c r="N923" s="7">
        <f>'1 prepared data'!M916</f>
        <v/>
      </c>
      <c r="O923" s="7">
        <f>'1 prepared data'!N916</f>
        <v/>
      </c>
      <c r="P923" s="7">
        <f>'1 prepared data'!O916</f>
        <v/>
      </c>
      <c r="Q923" s="7">
        <f>'1 prepared data'!P916</f>
        <v/>
      </c>
      <c r="R923" s="7">
        <f>'1 prepared data'!Q916</f>
        <v/>
      </c>
      <c r="S923" s="7">
        <f>'1 prepared data'!R916</f>
        <v/>
      </c>
      <c r="T923" s="7">
        <f>'1 prepared data'!S916</f>
        <v/>
      </c>
      <c r="U923" s="7">
        <f>'1 prepared data'!T916</f>
        <v/>
      </c>
      <c r="V923" s="8">
        <f>$AC$12+D923*$AC$13+E923*$AC$14+F923*$AC$15+G923*$AC$16+H923*$AC$17+I923*$AC$18+J923*$AC$19+K923*$AC$20+L923*$AC$21+M923*$AC$22+N923*$AC$23+O923*$AC$24+P923*$AC$25+Q923*$AC$26+R923*$AC$27+S923*$AC$28+T923*$AC$29+U923*$AC$30</f>
        <v/>
      </c>
      <c r="W923" s="8">
        <f>1/(1+EXP(-V923))</f>
        <v/>
      </c>
      <c r="X923" s="9">
        <f>-IF(C923=1,LN(W923),LN(1-W923))</f>
        <v/>
      </c>
      <c r="Y923" s="10">
        <f>IF(W923&gt;$AC$33,1,0)</f>
        <v/>
      </c>
      <c r="Z923">
        <f>IF(Y923=C923,1,0)</f>
        <v/>
      </c>
    </row>
    <row r="924">
      <c r="A924">
        <f>'1 prepared data'!A917</f>
        <v/>
      </c>
      <c r="B924" s="5">
        <f>'1 prepared data'!U917</f>
        <v/>
      </c>
      <c r="C924">
        <f>'1 prepared data'!B917</f>
        <v/>
      </c>
      <c r="D924" s="7">
        <f>'1 prepared data'!C917</f>
        <v/>
      </c>
      <c r="E924" s="7">
        <f>'1 prepared data'!D917</f>
        <v/>
      </c>
      <c r="F924" s="7">
        <f>'1 prepared data'!E917</f>
        <v/>
      </c>
      <c r="G924" s="7">
        <f>'1 prepared data'!F917</f>
        <v/>
      </c>
      <c r="H924" s="7">
        <f>'1 prepared data'!G917</f>
        <v/>
      </c>
      <c r="I924" s="7">
        <f>'1 prepared data'!H917</f>
        <v/>
      </c>
      <c r="J924" s="7">
        <f>'1 prepared data'!I917</f>
        <v/>
      </c>
      <c r="K924" s="7">
        <f>'1 prepared data'!J917</f>
        <v/>
      </c>
      <c r="L924" s="7">
        <f>'1 prepared data'!K917</f>
        <v/>
      </c>
      <c r="M924" s="7">
        <f>'1 prepared data'!L917</f>
        <v/>
      </c>
      <c r="N924" s="7">
        <f>'1 prepared data'!M917</f>
        <v/>
      </c>
      <c r="O924" s="7">
        <f>'1 prepared data'!N917</f>
        <v/>
      </c>
      <c r="P924" s="7">
        <f>'1 prepared data'!O917</f>
        <v/>
      </c>
      <c r="Q924" s="7">
        <f>'1 prepared data'!P917</f>
        <v/>
      </c>
      <c r="R924" s="7">
        <f>'1 prepared data'!Q917</f>
        <v/>
      </c>
      <c r="S924" s="7">
        <f>'1 prepared data'!R917</f>
        <v/>
      </c>
      <c r="T924" s="7">
        <f>'1 prepared data'!S917</f>
        <v/>
      </c>
      <c r="U924" s="7">
        <f>'1 prepared data'!T917</f>
        <v/>
      </c>
      <c r="V924" s="8">
        <f>$AC$12+D924*$AC$13+E924*$AC$14+F924*$AC$15+G924*$AC$16+H924*$AC$17+I924*$AC$18+J924*$AC$19+K924*$AC$20+L924*$AC$21+M924*$AC$22+N924*$AC$23+O924*$AC$24+P924*$AC$25+Q924*$AC$26+R924*$AC$27+S924*$AC$28+T924*$AC$29+U924*$AC$30</f>
        <v/>
      </c>
      <c r="W924" s="8">
        <f>1/(1+EXP(-V924))</f>
        <v/>
      </c>
      <c r="X924" s="9">
        <f>-IF(C924=1,LN(W924),LN(1-W924))</f>
        <v/>
      </c>
      <c r="Y924" s="10">
        <f>IF(W924&gt;$AC$33,1,0)</f>
        <v/>
      </c>
      <c r="Z924">
        <f>IF(Y924=C924,1,0)</f>
        <v/>
      </c>
    </row>
    <row r="925">
      <c r="A925">
        <f>'1 prepared data'!A918</f>
        <v/>
      </c>
      <c r="B925" s="5">
        <f>'1 prepared data'!U918</f>
        <v/>
      </c>
      <c r="C925">
        <f>'1 prepared data'!B918</f>
        <v/>
      </c>
      <c r="D925" s="7">
        <f>'1 prepared data'!C918</f>
        <v/>
      </c>
      <c r="E925" s="7">
        <f>'1 prepared data'!D918</f>
        <v/>
      </c>
      <c r="F925" s="7">
        <f>'1 prepared data'!E918</f>
        <v/>
      </c>
      <c r="G925" s="7">
        <f>'1 prepared data'!F918</f>
        <v/>
      </c>
      <c r="H925" s="7">
        <f>'1 prepared data'!G918</f>
        <v/>
      </c>
      <c r="I925" s="7">
        <f>'1 prepared data'!H918</f>
        <v/>
      </c>
      <c r="J925" s="7">
        <f>'1 prepared data'!I918</f>
        <v/>
      </c>
      <c r="K925" s="7">
        <f>'1 prepared data'!J918</f>
        <v/>
      </c>
      <c r="L925" s="7">
        <f>'1 prepared data'!K918</f>
        <v/>
      </c>
      <c r="M925" s="7">
        <f>'1 prepared data'!L918</f>
        <v/>
      </c>
      <c r="N925" s="7">
        <f>'1 prepared data'!M918</f>
        <v/>
      </c>
      <c r="O925" s="7">
        <f>'1 prepared data'!N918</f>
        <v/>
      </c>
      <c r="P925" s="7">
        <f>'1 prepared data'!O918</f>
        <v/>
      </c>
      <c r="Q925" s="7">
        <f>'1 prepared data'!P918</f>
        <v/>
      </c>
      <c r="R925" s="7">
        <f>'1 prepared data'!Q918</f>
        <v/>
      </c>
      <c r="S925" s="7">
        <f>'1 prepared data'!R918</f>
        <v/>
      </c>
      <c r="T925" s="7">
        <f>'1 prepared data'!S918</f>
        <v/>
      </c>
      <c r="U925" s="7">
        <f>'1 prepared data'!T918</f>
        <v/>
      </c>
      <c r="V925" s="8">
        <f>$AC$12+D925*$AC$13+E925*$AC$14+F925*$AC$15+G925*$AC$16+H925*$AC$17+I925*$AC$18+J925*$AC$19+K925*$AC$20+L925*$AC$21+M925*$AC$22+N925*$AC$23+O925*$AC$24+P925*$AC$25+Q925*$AC$26+R925*$AC$27+S925*$AC$28+T925*$AC$29+U925*$AC$30</f>
        <v/>
      </c>
      <c r="W925" s="8">
        <f>1/(1+EXP(-V925))</f>
        <v/>
      </c>
      <c r="X925" s="9">
        <f>-IF(C925=1,LN(W925),LN(1-W925))</f>
        <v/>
      </c>
      <c r="Y925" s="10">
        <f>IF(W925&gt;$AC$33,1,0)</f>
        <v/>
      </c>
      <c r="Z925">
        <f>IF(Y925=C925,1,0)</f>
        <v/>
      </c>
    </row>
    <row r="926">
      <c r="A926">
        <f>'1 prepared data'!A919</f>
        <v/>
      </c>
      <c r="B926" s="5">
        <f>'1 prepared data'!U919</f>
        <v/>
      </c>
      <c r="C926">
        <f>'1 prepared data'!B919</f>
        <v/>
      </c>
      <c r="D926" s="7">
        <f>'1 prepared data'!C919</f>
        <v/>
      </c>
      <c r="E926" s="7">
        <f>'1 prepared data'!D919</f>
        <v/>
      </c>
      <c r="F926" s="7">
        <f>'1 prepared data'!E919</f>
        <v/>
      </c>
      <c r="G926" s="7">
        <f>'1 prepared data'!F919</f>
        <v/>
      </c>
      <c r="H926" s="7">
        <f>'1 prepared data'!G919</f>
        <v/>
      </c>
      <c r="I926" s="7">
        <f>'1 prepared data'!H919</f>
        <v/>
      </c>
      <c r="J926" s="7">
        <f>'1 prepared data'!I919</f>
        <v/>
      </c>
      <c r="K926" s="7">
        <f>'1 prepared data'!J919</f>
        <v/>
      </c>
      <c r="L926" s="7">
        <f>'1 prepared data'!K919</f>
        <v/>
      </c>
      <c r="M926" s="7">
        <f>'1 prepared data'!L919</f>
        <v/>
      </c>
      <c r="N926" s="7">
        <f>'1 prepared data'!M919</f>
        <v/>
      </c>
      <c r="O926" s="7">
        <f>'1 prepared data'!N919</f>
        <v/>
      </c>
      <c r="P926" s="7">
        <f>'1 prepared data'!O919</f>
        <v/>
      </c>
      <c r="Q926" s="7">
        <f>'1 prepared data'!P919</f>
        <v/>
      </c>
      <c r="R926" s="7">
        <f>'1 prepared data'!Q919</f>
        <v/>
      </c>
      <c r="S926" s="7">
        <f>'1 prepared data'!R919</f>
        <v/>
      </c>
      <c r="T926" s="7">
        <f>'1 prepared data'!S919</f>
        <v/>
      </c>
      <c r="U926" s="7">
        <f>'1 prepared data'!T919</f>
        <v/>
      </c>
      <c r="V926" s="8">
        <f>$AC$12+D926*$AC$13+E926*$AC$14+F926*$AC$15+G926*$AC$16+H926*$AC$17+I926*$AC$18+J926*$AC$19+K926*$AC$20+L926*$AC$21+M926*$AC$22+N926*$AC$23+O926*$AC$24+P926*$AC$25+Q926*$AC$26+R926*$AC$27+S926*$AC$28+T926*$AC$29+U926*$AC$30</f>
        <v/>
      </c>
      <c r="W926" s="8">
        <f>1/(1+EXP(-V926))</f>
        <v/>
      </c>
      <c r="X926" s="9">
        <f>-IF(C926=1,LN(W926),LN(1-W926))</f>
        <v/>
      </c>
      <c r="Y926" s="10">
        <f>IF(W926&gt;$AC$33,1,0)</f>
        <v/>
      </c>
      <c r="Z926">
        <f>IF(Y926=C926,1,0)</f>
        <v/>
      </c>
    </row>
    <row r="927">
      <c r="A927">
        <f>'1 prepared data'!A920</f>
        <v/>
      </c>
      <c r="B927" s="5">
        <f>'1 prepared data'!U920</f>
        <v/>
      </c>
      <c r="C927">
        <f>'1 prepared data'!B920</f>
        <v/>
      </c>
      <c r="D927" s="7">
        <f>'1 prepared data'!C920</f>
        <v/>
      </c>
      <c r="E927" s="7">
        <f>'1 prepared data'!D920</f>
        <v/>
      </c>
      <c r="F927" s="7">
        <f>'1 prepared data'!E920</f>
        <v/>
      </c>
      <c r="G927" s="7">
        <f>'1 prepared data'!F920</f>
        <v/>
      </c>
      <c r="H927" s="7">
        <f>'1 prepared data'!G920</f>
        <v/>
      </c>
      <c r="I927" s="7">
        <f>'1 prepared data'!H920</f>
        <v/>
      </c>
      <c r="J927" s="7">
        <f>'1 prepared data'!I920</f>
        <v/>
      </c>
      <c r="K927" s="7">
        <f>'1 prepared data'!J920</f>
        <v/>
      </c>
      <c r="L927" s="7">
        <f>'1 prepared data'!K920</f>
        <v/>
      </c>
      <c r="M927" s="7">
        <f>'1 prepared data'!L920</f>
        <v/>
      </c>
      <c r="N927" s="7">
        <f>'1 prepared data'!M920</f>
        <v/>
      </c>
      <c r="O927" s="7">
        <f>'1 prepared data'!N920</f>
        <v/>
      </c>
      <c r="P927" s="7">
        <f>'1 prepared data'!O920</f>
        <v/>
      </c>
      <c r="Q927" s="7">
        <f>'1 prepared data'!P920</f>
        <v/>
      </c>
      <c r="R927" s="7">
        <f>'1 prepared data'!Q920</f>
        <v/>
      </c>
      <c r="S927" s="7">
        <f>'1 prepared data'!R920</f>
        <v/>
      </c>
      <c r="T927" s="7">
        <f>'1 prepared data'!S920</f>
        <v/>
      </c>
      <c r="U927" s="7">
        <f>'1 prepared data'!T920</f>
        <v/>
      </c>
      <c r="V927" s="8">
        <f>$AC$12+D927*$AC$13+E927*$AC$14+F927*$AC$15+G927*$AC$16+H927*$AC$17+I927*$AC$18+J927*$AC$19+K927*$AC$20+L927*$AC$21+M927*$AC$22+N927*$AC$23+O927*$AC$24+P927*$AC$25+Q927*$AC$26+R927*$AC$27+S927*$AC$28+T927*$AC$29+U927*$AC$30</f>
        <v/>
      </c>
      <c r="W927" s="8">
        <f>1/(1+EXP(-V927))</f>
        <v/>
      </c>
      <c r="X927" s="9">
        <f>-IF(C927=1,LN(W927),LN(1-W927))</f>
        <v/>
      </c>
      <c r="Y927" s="10">
        <f>IF(W927&gt;$AC$33,1,0)</f>
        <v/>
      </c>
      <c r="Z927">
        <f>IF(Y927=C927,1,0)</f>
        <v/>
      </c>
    </row>
    <row r="928">
      <c r="A928">
        <f>'1 prepared data'!A921</f>
        <v/>
      </c>
      <c r="B928" s="5">
        <f>'1 prepared data'!U921</f>
        <v/>
      </c>
      <c r="C928">
        <f>'1 prepared data'!B921</f>
        <v/>
      </c>
      <c r="D928" s="7">
        <f>'1 prepared data'!C921</f>
        <v/>
      </c>
      <c r="E928" s="7">
        <f>'1 prepared data'!D921</f>
        <v/>
      </c>
      <c r="F928" s="7">
        <f>'1 prepared data'!E921</f>
        <v/>
      </c>
      <c r="G928" s="7">
        <f>'1 prepared data'!F921</f>
        <v/>
      </c>
      <c r="H928" s="7">
        <f>'1 prepared data'!G921</f>
        <v/>
      </c>
      <c r="I928" s="7">
        <f>'1 prepared data'!H921</f>
        <v/>
      </c>
      <c r="J928" s="7">
        <f>'1 prepared data'!I921</f>
        <v/>
      </c>
      <c r="K928" s="7">
        <f>'1 prepared data'!J921</f>
        <v/>
      </c>
      <c r="L928" s="7">
        <f>'1 prepared data'!K921</f>
        <v/>
      </c>
      <c r="M928" s="7">
        <f>'1 prepared data'!L921</f>
        <v/>
      </c>
      <c r="N928" s="7">
        <f>'1 prepared data'!M921</f>
        <v/>
      </c>
      <c r="O928" s="7">
        <f>'1 prepared data'!N921</f>
        <v/>
      </c>
      <c r="P928" s="7">
        <f>'1 prepared data'!O921</f>
        <v/>
      </c>
      <c r="Q928" s="7">
        <f>'1 prepared data'!P921</f>
        <v/>
      </c>
      <c r="R928" s="7">
        <f>'1 prepared data'!Q921</f>
        <v/>
      </c>
      <c r="S928" s="7">
        <f>'1 prepared data'!R921</f>
        <v/>
      </c>
      <c r="T928" s="7">
        <f>'1 prepared data'!S921</f>
        <v/>
      </c>
      <c r="U928" s="7">
        <f>'1 prepared data'!T921</f>
        <v/>
      </c>
      <c r="V928" s="8">
        <f>$AC$12+D928*$AC$13+E928*$AC$14+F928*$AC$15+G928*$AC$16+H928*$AC$17+I928*$AC$18+J928*$AC$19+K928*$AC$20+L928*$AC$21+M928*$AC$22+N928*$AC$23+O928*$AC$24+P928*$AC$25+Q928*$AC$26+R928*$AC$27+S928*$AC$28+T928*$AC$29+U928*$AC$30</f>
        <v/>
      </c>
      <c r="W928" s="8">
        <f>1/(1+EXP(-V928))</f>
        <v/>
      </c>
      <c r="X928" s="9">
        <f>-IF(C928=1,LN(W928),LN(1-W928))</f>
        <v/>
      </c>
      <c r="Y928" s="10">
        <f>IF(W928&gt;$AC$33,1,0)</f>
        <v/>
      </c>
      <c r="Z928">
        <f>IF(Y928=C928,1,0)</f>
        <v/>
      </c>
    </row>
    <row r="929">
      <c r="A929">
        <f>'1 prepared data'!A922</f>
        <v/>
      </c>
      <c r="B929" s="5">
        <f>'1 prepared data'!U922</f>
        <v/>
      </c>
      <c r="C929">
        <f>'1 prepared data'!B922</f>
        <v/>
      </c>
      <c r="D929" s="7">
        <f>'1 prepared data'!C922</f>
        <v/>
      </c>
      <c r="E929" s="7">
        <f>'1 prepared data'!D922</f>
        <v/>
      </c>
      <c r="F929" s="7">
        <f>'1 prepared data'!E922</f>
        <v/>
      </c>
      <c r="G929" s="7">
        <f>'1 prepared data'!F922</f>
        <v/>
      </c>
      <c r="H929" s="7">
        <f>'1 prepared data'!G922</f>
        <v/>
      </c>
      <c r="I929" s="7">
        <f>'1 prepared data'!H922</f>
        <v/>
      </c>
      <c r="J929" s="7">
        <f>'1 prepared data'!I922</f>
        <v/>
      </c>
      <c r="K929" s="7">
        <f>'1 prepared data'!J922</f>
        <v/>
      </c>
      <c r="L929" s="7">
        <f>'1 prepared data'!K922</f>
        <v/>
      </c>
      <c r="M929" s="7">
        <f>'1 prepared data'!L922</f>
        <v/>
      </c>
      <c r="N929" s="7">
        <f>'1 prepared data'!M922</f>
        <v/>
      </c>
      <c r="O929" s="7">
        <f>'1 prepared data'!N922</f>
        <v/>
      </c>
      <c r="P929" s="7">
        <f>'1 prepared data'!O922</f>
        <v/>
      </c>
      <c r="Q929" s="7">
        <f>'1 prepared data'!P922</f>
        <v/>
      </c>
      <c r="R929" s="7">
        <f>'1 prepared data'!Q922</f>
        <v/>
      </c>
      <c r="S929" s="7">
        <f>'1 prepared data'!R922</f>
        <v/>
      </c>
      <c r="T929" s="7">
        <f>'1 prepared data'!S922</f>
        <v/>
      </c>
      <c r="U929" s="7">
        <f>'1 prepared data'!T922</f>
        <v/>
      </c>
      <c r="V929" s="8">
        <f>$AC$12+D929*$AC$13+E929*$AC$14+F929*$AC$15+G929*$AC$16+H929*$AC$17+I929*$AC$18+J929*$AC$19+K929*$AC$20+L929*$AC$21+M929*$AC$22+N929*$AC$23+O929*$AC$24+P929*$AC$25+Q929*$AC$26+R929*$AC$27+S929*$AC$28+T929*$AC$29+U929*$AC$30</f>
        <v/>
      </c>
      <c r="W929" s="8">
        <f>1/(1+EXP(-V929))</f>
        <v/>
      </c>
      <c r="X929" s="9">
        <f>-IF(C929=1,LN(W929),LN(1-W929))</f>
        <v/>
      </c>
      <c r="Y929" s="10">
        <f>IF(W929&gt;$AC$33,1,0)</f>
        <v/>
      </c>
      <c r="Z929">
        <f>IF(Y929=C929,1,0)</f>
        <v/>
      </c>
    </row>
    <row r="930">
      <c r="A930">
        <f>'1 prepared data'!A923</f>
        <v/>
      </c>
      <c r="B930" s="5">
        <f>'1 prepared data'!U923</f>
        <v/>
      </c>
      <c r="C930">
        <f>'1 prepared data'!B923</f>
        <v/>
      </c>
      <c r="D930" s="7">
        <f>'1 prepared data'!C923</f>
        <v/>
      </c>
      <c r="E930" s="7">
        <f>'1 prepared data'!D923</f>
        <v/>
      </c>
      <c r="F930" s="7">
        <f>'1 prepared data'!E923</f>
        <v/>
      </c>
      <c r="G930" s="7">
        <f>'1 prepared data'!F923</f>
        <v/>
      </c>
      <c r="H930" s="7">
        <f>'1 prepared data'!G923</f>
        <v/>
      </c>
      <c r="I930" s="7">
        <f>'1 prepared data'!H923</f>
        <v/>
      </c>
      <c r="J930" s="7">
        <f>'1 prepared data'!I923</f>
        <v/>
      </c>
      <c r="K930" s="7">
        <f>'1 prepared data'!J923</f>
        <v/>
      </c>
      <c r="L930" s="7">
        <f>'1 prepared data'!K923</f>
        <v/>
      </c>
      <c r="M930" s="7">
        <f>'1 prepared data'!L923</f>
        <v/>
      </c>
      <c r="N930" s="7">
        <f>'1 prepared data'!M923</f>
        <v/>
      </c>
      <c r="O930" s="7">
        <f>'1 prepared data'!N923</f>
        <v/>
      </c>
      <c r="P930" s="7">
        <f>'1 prepared data'!O923</f>
        <v/>
      </c>
      <c r="Q930" s="7">
        <f>'1 prepared data'!P923</f>
        <v/>
      </c>
      <c r="R930" s="7">
        <f>'1 prepared data'!Q923</f>
        <v/>
      </c>
      <c r="S930" s="7">
        <f>'1 prepared data'!R923</f>
        <v/>
      </c>
      <c r="T930" s="7">
        <f>'1 prepared data'!S923</f>
        <v/>
      </c>
      <c r="U930" s="7">
        <f>'1 prepared data'!T923</f>
        <v/>
      </c>
      <c r="V930" s="8">
        <f>$AC$12+D930*$AC$13+E930*$AC$14+F930*$AC$15+G930*$AC$16+H930*$AC$17+I930*$AC$18+J930*$AC$19+K930*$AC$20+L930*$AC$21+M930*$AC$22+N930*$AC$23+O930*$AC$24+P930*$AC$25+Q930*$AC$26+R930*$AC$27+S930*$AC$28+T930*$AC$29+U930*$AC$30</f>
        <v/>
      </c>
      <c r="W930" s="8">
        <f>1/(1+EXP(-V930))</f>
        <v/>
      </c>
      <c r="X930" s="9">
        <f>-IF(C930=1,LN(W930),LN(1-W930))</f>
        <v/>
      </c>
      <c r="Y930" s="10">
        <f>IF(W930&gt;$AC$33,1,0)</f>
        <v/>
      </c>
      <c r="Z930">
        <f>IF(Y930=C930,1,0)</f>
        <v/>
      </c>
    </row>
    <row r="931">
      <c r="A931">
        <f>'1 prepared data'!A924</f>
        <v/>
      </c>
      <c r="B931" s="5">
        <f>'1 prepared data'!U924</f>
        <v/>
      </c>
      <c r="C931">
        <f>'1 prepared data'!B924</f>
        <v/>
      </c>
      <c r="D931" s="7">
        <f>'1 prepared data'!C924</f>
        <v/>
      </c>
      <c r="E931" s="7">
        <f>'1 prepared data'!D924</f>
        <v/>
      </c>
      <c r="F931" s="7">
        <f>'1 prepared data'!E924</f>
        <v/>
      </c>
      <c r="G931" s="7">
        <f>'1 prepared data'!F924</f>
        <v/>
      </c>
      <c r="H931" s="7">
        <f>'1 prepared data'!G924</f>
        <v/>
      </c>
      <c r="I931" s="7">
        <f>'1 prepared data'!H924</f>
        <v/>
      </c>
      <c r="J931" s="7">
        <f>'1 prepared data'!I924</f>
        <v/>
      </c>
      <c r="K931" s="7">
        <f>'1 prepared data'!J924</f>
        <v/>
      </c>
      <c r="L931" s="7">
        <f>'1 prepared data'!K924</f>
        <v/>
      </c>
      <c r="M931" s="7">
        <f>'1 prepared data'!L924</f>
        <v/>
      </c>
      <c r="N931" s="7">
        <f>'1 prepared data'!M924</f>
        <v/>
      </c>
      <c r="O931" s="7">
        <f>'1 prepared data'!N924</f>
        <v/>
      </c>
      <c r="P931" s="7">
        <f>'1 prepared data'!O924</f>
        <v/>
      </c>
      <c r="Q931" s="7">
        <f>'1 prepared data'!P924</f>
        <v/>
      </c>
      <c r="R931" s="7">
        <f>'1 prepared data'!Q924</f>
        <v/>
      </c>
      <c r="S931" s="7">
        <f>'1 prepared data'!R924</f>
        <v/>
      </c>
      <c r="T931" s="7">
        <f>'1 prepared data'!S924</f>
        <v/>
      </c>
      <c r="U931" s="7">
        <f>'1 prepared data'!T924</f>
        <v/>
      </c>
      <c r="V931" s="8">
        <f>$AC$12+D931*$AC$13+E931*$AC$14+F931*$AC$15+G931*$AC$16+H931*$AC$17+I931*$AC$18+J931*$AC$19+K931*$AC$20+L931*$AC$21+M931*$AC$22+N931*$AC$23+O931*$AC$24+P931*$AC$25+Q931*$AC$26+R931*$AC$27+S931*$AC$28+T931*$AC$29+U931*$AC$30</f>
        <v/>
      </c>
      <c r="W931" s="8">
        <f>1/(1+EXP(-V931))</f>
        <v/>
      </c>
      <c r="X931" s="9">
        <f>-IF(C931=1,LN(W931),LN(1-W931))</f>
        <v/>
      </c>
      <c r="Y931" s="10">
        <f>IF(W931&gt;$AC$33,1,0)</f>
        <v/>
      </c>
      <c r="Z931">
        <f>IF(Y931=C931,1,0)</f>
        <v/>
      </c>
    </row>
    <row r="932">
      <c r="A932">
        <f>'1 prepared data'!A925</f>
        <v/>
      </c>
      <c r="B932" s="5">
        <f>'1 prepared data'!U925</f>
        <v/>
      </c>
      <c r="C932">
        <f>'1 prepared data'!B925</f>
        <v/>
      </c>
      <c r="D932" s="7">
        <f>'1 prepared data'!C925</f>
        <v/>
      </c>
      <c r="E932" s="7">
        <f>'1 prepared data'!D925</f>
        <v/>
      </c>
      <c r="F932" s="7">
        <f>'1 prepared data'!E925</f>
        <v/>
      </c>
      <c r="G932" s="7">
        <f>'1 prepared data'!F925</f>
        <v/>
      </c>
      <c r="H932" s="7">
        <f>'1 prepared data'!G925</f>
        <v/>
      </c>
      <c r="I932" s="7">
        <f>'1 prepared data'!H925</f>
        <v/>
      </c>
      <c r="J932" s="7">
        <f>'1 prepared data'!I925</f>
        <v/>
      </c>
      <c r="K932" s="7">
        <f>'1 prepared data'!J925</f>
        <v/>
      </c>
      <c r="L932" s="7">
        <f>'1 prepared data'!K925</f>
        <v/>
      </c>
      <c r="M932" s="7">
        <f>'1 prepared data'!L925</f>
        <v/>
      </c>
      <c r="N932" s="7">
        <f>'1 prepared data'!M925</f>
        <v/>
      </c>
      <c r="O932" s="7">
        <f>'1 prepared data'!N925</f>
        <v/>
      </c>
      <c r="P932" s="7">
        <f>'1 prepared data'!O925</f>
        <v/>
      </c>
      <c r="Q932" s="7">
        <f>'1 prepared data'!P925</f>
        <v/>
      </c>
      <c r="R932" s="7">
        <f>'1 prepared data'!Q925</f>
        <v/>
      </c>
      <c r="S932" s="7">
        <f>'1 prepared data'!R925</f>
        <v/>
      </c>
      <c r="T932" s="7">
        <f>'1 prepared data'!S925</f>
        <v/>
      </c>
      <c r="U932" s="7">
        <f>'1 prepared data'!T925</f>
        <v/>
      </c>
      <c r="V932" s="8">
        <f>$AC$12+D932*$AC$13+E932*$AC$14+F932*$AC$15+G932*$AC$16+H932*$AC$17+I932*$AC$18+J932*$AC$19+K932*$AC$20+L932*$AC$21+M932*$AC$22+N932*$AC$23+O932*$AC$24+P932*$AC$25+Q932*$AC$26+R932*$AC$27+S932*$AC$28+T932*$AC$29+U932*$AC$30</f>
        <v/>
      </c>
      <c r="W932" s="8">
        <f>1/(1+EXP(-V932))</f>
        <v/>
      </c>
      <c r="X932" s="9">
        <f>-IF(C932=1,LN(W932),LN(1-W932))</f>
        <v/>
      </c>
      <c r="Y932" s="10">
        <f>IF(W932&gt;$AC$33,1,0)</f>
        <v/>
      </c>
      <c r="Z932">
        <f>IF(Y932=C932,1,0)</f>
        <v/>
      </c>
    </row>
    <row r="933">
      <c r="A933">
        <f>'1 prepared data'!A926</f>
        <v/>
      </c>
      <c r="B933" s="5">
        <f>'1 prepared data'!U926</f>
        <v/>
      </c>
      <c r="C933">
        <f>'1 prepared data'!B926</f>
        <v/>
      </c>
      <c r="D933" s="7">
        <f>'1 prepared data'!C926</f>
        <v/>
      </c>
      <c r="E933" s="7">
        <f>'1 prepared data'!D926</f>
        <v/>
      </c>
      <c r="F933" s="7">
        <f>'1 prepared data'!E926</f>
        <v/>
      </c>
      <c r="G933" s="7">
        <f>'1 prepared data'!F926</f>
        <v/>
      </c>
      <c r="H933" s="7">
        <f>'1 prepared data'!G926</f>
        <v/>
      </c>
      <c r="I933" s="7">
        <f>'1 prepared data'!H926</f>
        <v/>
      </c>
      <c r="J933" s="7">
        <f>'1 prepared data'!I926</f>
        <v/>
      </c>
      <c r="K933" s="7">
        <f>'1 prepared data'!J926</f>
        <v/>
      </c>
      <c r="L933" s="7">
        <f>'1 prepared data'!K926</f>
        <v/>
      </c>
      <c r="M933" s="7">
        <f>'1 prepared data'!L926</f>
        <v/>
      </c>
      <c r="N933" s="7">
        <f>'1 prepared data'!M926</f>
        <v/>
      </c>
      <c r="O933" s="7">
        <f>'1 prepared data'!N926</f>
        <v/>
      </c>
      <c r="P933" s="7">
        <f>'1 prepared data'!O926</f>
        <v/>
      </c>
      <c r="Q933" s="7">
        <f>'1 prepared data'!P926</f>
        <v/>
      </c>
      <c r="R933" s="7">
        <f>'1 prepared data'!Q926</f>
        <v/>
      </c>
      <c r="S933" s="7">
        <f>'1 prepared data'!R926</f>
        <v/>
      </c>
      <c r="T933" s="7">
        <f>'1 prepared data'!S926</f>
        <v/>
      </c>
      <c r="U933" s="7">
        <f>'1 prepared data'!T926</f>
        <v/>
      </c>
      <c r="V933" s="8">
        <f>$AC$12+D933*$AC$13+E933*$AC$14+F933*$AC$15+G933*$AC$16+H933*$AC$17+I933*$AC$18+J933*$AC$19+K933*$AC$20+L933*$AC$21+M933*$AC$22+N933*$AC$23+O933*$AC$24+P933*$AC$25+Q933*$AC$26+R933*$AC$27+S933*$AC$28+T933*$AC$29+U933*$AC$30</f>
        <v/>
      </c>
      <c r="W933" s="8">
        <f>1/(1+EXP(-V933))</f>
        <v/>
      </c>
      <c r="X933" s="9">
        <f>-IF(C933=1,LN(W933),LN(1-W933))</f>
        <v/>
      </c>
      <c r="Y933" s="10">
        <f>IF(W933&gt;$AC$33,1,0)</f>
        <v/>
      </c>
      <c r="Z933">
        <f>IF(Y933=C933,1,0)</f>
        <v/>
      </c>
    </row>
    <row r="934">
      <c r="A934">
        <f>'1 prepared data'!A927</f>
        <v/>
      </c>
      <c r="B934" s="5">
        <f>'1 prepared data'!U927</f>
        <v/>
      </c>
      <c r="C934">
        <f>'1 prepared data'!B927</f>
        <v/>
      </c>
      <c r="D934" s="7">
        <f>'1 prepared data'!C927</f>
        <v/>
      </c>
      <c r="E934" s="7">
        <f>'1 prepared data'!D927</f>
        <v/>
      </c>
      <c r="F934" s="7">
        <f>'1 prepared data'!E927</f>
        <v/>
      </c>
      <c r="G934" s="7">
        <f>'1 prepared data'!F927</f>
        <v/>
      </c>
      <c r="H934" s="7">
        <f>'1 prepared data'!G927</f>
        <v/>
      </c>
      <c r="I934" s="7">
        <f>'1 prepared data'!H927</f>
        <v/>
      </c>
      <c r="J934" s="7">
        <f>'1 prepared data'!I927</f>
        <v/>
      </c>
      <c r="K934" s="7">
        <f>'1 prepared data'!J927</f>
        <v/>
      </c>
      <c r="L934" s="7">
        <f>'1 prepared data'!K927</f>
        <v/>
      </c>
      <c r="M934" s="7">
        <f>'1 prepared data'!L927</f>
        <v/>
      </c>
      <c r="N934" s="7">
        <f>'1 prepared data'!M927</f>
        <v/>
      </c>
      <c r="O934" s="7">
        <f>'1 prepared data'!N927</f>
        <v/>
      </c>
      <c r="P934" s="7">
        <f>'1 prepared data'!O927</f>
        <v/>
      </c>
      <c r="Q934" s="7">
        <f>'1 prepared data'!P927</f>
        <v/>
      </c>
      <c r="R934" s="7">
        <f>'1 prepared data'!Q927</f>
        <v/>
      </c>
      <c r="S934" s="7">
        <f>'1 prepared data'!R927</f>
        <v/>
      </c>
      <c r="T934" s="7">
        <f>'1 prepared data'!S927</f>
        <v/>
      </c>
      <c r="U934" s="7">
        <f>'1 prepared data'!T927</f>
        <v/>
      </c>
      <c r="V934" s="8">
        <f>$AC$12+D934*$AC$13+E934*$AC$14+F934*$AC$15+G934*$AC$16+H934*$AC$17+I934*$AC$18+J934*$AC$19+K934*$AC$20+L934*$AC$21+M934*$AC$22+N934*$AC$23+O934*$AC$24+P934*$AC$25+Q934*$AC$26+R934*$AC$27+S934*$AC$28+T934*$AC$29+U934*$AC$30</f>
        <v/>
      </c>
      <c r="W934" s="8">
        <f>1/(1+EXP(-V934))</f>
        <v/>
      </c>
      <c r="X934" s="9">
        <f>-IF(C934=1,LN(W934),LN(1-W934))</f>
        <v/>
      </c>
      <c r="Y934" s="10">
        <f>IF(W934&gt;$AC$33,1,0)</f>
        <v/>
      </c>
      <c r="Z934">
        <f>IF(Y934=C934,1,0)</f>
        <v/>
      </c>
    </row>
    <row r="935">
      <c r="A935">
        <f>'1 prepared data'!A928</f>
        <v/>
      </c>
      <c r="B935" s="5">
        <f>'1 prepared data'!U928</f>
        <v/>
      </c>
      <c r="C935">
        <f>'1 prepared data'!B928</f>
        <v/>
      </c>
      <c r="D935" s="7">
        <f>'1 prepared data'!C928</f>
        <v/>
      </c>
      <c r="E935" s="7">
        <f>'1 prepared data'!D928</f>
        <v/>
      </c>
      <c r="F935" s="7">
        <f>'1 prepared data'!E928</f>
        <v/>
      </c>
      <c r="G935" s="7">
        <f>'1 prepared data'!F928</f>
        <v/>
      </c>
      <c r="H935" s="7">
        <f>'1 prepared data'!G928</f>
        <v/>
      </c>
      <c r="I935" s="7">
        <f>'1 prepared data'!H928</f>
        <v/>
      </c>
      <c r="J935" s="7">
        <f>'1 prepared data'!I928</f>
        <v/>
      </c>
      <c r="K935" s="7">
        <f>'1 prepared data'!J928</f>
        <v/>
      </c>
      <c r="L935" s="7">
        <f>'1 prepared data'!K928</f>
        <v/>
      </c>
      <c r="M935" s="7">
        <f>'1 prepared data'!L928</f>
        <v/>
      </c>
      <c r="N935" s="7">
        <f>'1 prepared data'!M928</f>
        <v/>
      </c>
      <c r="O935" s="7">
        <f>'1 prepared data'!N928</f>
        <v/>
      </c>
      <c r="P935" s="7">
        <f>'1 prepared data'!O928</f>
        <v/>
      </c>
      <c r="Q935" s="7">
        <f>'1 prepared data'!P928</f>
        <v/>
      </c>
      <c r="R935" s="7">
        <f>'1 prepared data'!Q928</f>
        <v/>
      </c>
      <c r="S935" s="7">
        <f>'1 prepared data'!R928</f>
        <v/>
      </c>
      <c r="T935" s="7">
        <f>'1 prepared data'!S928</f>
        <v/>
      </c>
      <c r="U935" s="7">
        <f>'1 prepared data'!T928</f>
        <v/>
      </c>
      <c r="V935" s="8">
        <f>$AC$12+D935*$AC$13+E935*$AC$14+F935*$AC$15+G935*$AC$16+H935*$AC$17+I935*$AC$18+J935*$AC$19+K935*$AC$20+L935*$AC$21+M935*$AC$22+N935*$AC$23+O935*$AC$24+P935*$AC$25+Q935*$AC$26+R935*$AC$27+S935*$AC$28+T935*$AC$29+U935*$AC$30</f>
        <v/>
      </c>
      <c r="W935" s="8">
        <f>1/(1+EXP(-V935))</f>
        <v/>
      </c>
      <c r="X935" s="9">
        <f>-IF(C935=1,LN(W935),LN(1-W935))</f>
        <v/>
      </c>
      <c r="Y935" s="10">
        <f>IF(W935&gt;$AC$33,1,0)</f>
        <v/>
      </c>
      <c r="Z935">
        <f>IF(Y935=C935,1,0)</f>
        <v/>
      </c>
    </row>
    <row r="936">
      <c r="A936">
        <f>'1 prepared data'!A929</f>
        <v/>
      </c>
      <c r="B936" s="5">
        <f>'1 prepared data'!U929</f>
        <v/>
      </c>
      <c r="C936">
        <f>'1 prepared data'!B929</f>
        <v/>
      </c>
      <c r="D936" s="7">
        <f>'1 prepared data'!C929</f>
        <v/>
      </c>
      <c r="E936" s="7">
        <f>'1 prepared data'!D929</f>
        <v/>
      </c>
      <c r="F936" s="7">
        <f>'1 prepared data'!E929</f>
        <v/>
      </c>
      <c r="G936" s="7">
        <f>'1 prepared data'!F929</f>
        <v/>
      </c>
      <c r="H936" s="7">
        <f>'1 prepared data'!G929</f>
        <v/>
      </c>
      <c r="I936" s="7">
        <f>'1 prepared data'!H929</f>
        <v/>
      </c>
      <c r="J936" s="7">
        <f>'1 prepared data'!I929</f>
        <v/>
      </c>
      <c r="K936" s="7">
        <f>'1 prepared data'!J929</f>
        <v/>
      </c>
      <c r="L936" s="7">
        <f>'1 prepared data'!K929</f>
        <v/>
      </c>
      <c r="M936" s="7">
        <f>'1 prepared data'!L929</f>
        <v/>
      </c>
      <c r="N936" s="7">
        <f>'1 prepared data'!M929</f>
        <v/>
      </c>
      <c r="O936" s="7">
        <f>'1 prepared data'!N929</f>
        <v/>
      </c>
      <c r="P936" s="7">
        <f>'1 prepared data'!O929</f>
        <v/>
      </c>
      <c r="Q936" s="7">
        <f>'1 prepared data'!P929</f>
        <v/>
      </c>
      <c r="R936" s="7">
        <f>'1 prepared data'!Q929</f>
        <v/>
      </c>
      <c r="S936" s="7">
        <f>'1 prepared data'!R929</f>
        <v/>
      </c>
      <c r="T936" s="7">
        <f>'1 prepared data'!S929</f>
        <v/>
      </c>
      <c r="U936" s="7">
        <f>'1 prepared data'!T929</f>
        <v/>
      </c>
      <c r="V936" s="8">
        <f>$AC$12+D936*$AC$13+E936*$AC$14+F936*$AC$15+G936*$AC$16+H936*$AC$17+I936*$AC$18+J936*$AC$19+K936*$AC$20+L936*$AC$21+M936*$AC$22+N936*$AC$23+O936*$AC$24+P936*$AC$25+Q936*$AC$26+R936*$AC$27+S936*$AC$28+T936*$AC$29+U936*$AC$30</f>
        <v/>
      </c>
      <c r="W936" s="8">
        <f>1/(1+EXP(-V936))</f>
        <v/>
      </c>
      <c r="X936" s="9">
        <f>-IF(C936=1,LN(W936),LN(1-W936))</f>
        <v/>
      </c>
      <c r="Y936" s="10">
        <f>IF(W936&gt;$AC$33,1,0)</f>
        <v/>
      </c>
      <c r="Z936">
        <f>IF(Y936=C936,1,0)</f>
        <v/>
      </c>
    </row>
    <row r="937">
      <c r="A937">
        <f>'1 prepared data'!A930</f>
        <v/>
      </c>
      <c r="B937" s="5">
        <f>'1 prepared data'!U930</f>
        <v/>
      </c>
      <c r="C937">
        <f>'1 prepared data'!B930</f>
        <v/>
      </c>
      <c r="D937" s="7">
        <f>'1 prepared data'!C930</f>
        <v/>
      </c>
      <c r="E937" s="7">
        <f>'1 prepared data'!D930</f>
        <v/>
      </c>
      <c r="F937" s="7">
        <f>'1 prepared data'!E930</f>
        <v/>
      </c>
      <c r="G937" s="7">
        <f>'1 prepared data'!F930</f>
        <v/>
      </c>
      <c r="H937" s="7">
        <f>'1 prepared data'!G930</f>
        <v/>
      </c>
      <c r="I937" s="7">
        <f>'1 prepared data'!H930</f>
        <v/>
      </c>
      <c r="J937" s="7">
        <f>'1 prepared data'!I930</f>
        <v/>
      </c>
      <c r="K937" s="7">
        <f>'1 prepared data'!J930</f>
        <v/>
      </c>
      <c r="L937" s="7">
        <f>'1 prepared data'!K930</f>
        <v/>
      </c>
      <c r="M937" s="7">
        <f>'1 prepared data'!L930</f>
        <v/>
      </c>
      <c r="N937" s="7">
        <f>'1 prepared data'!M930</f>
        <v/>
      </c>
      <c r="O937" s="7">
        <f>'1 prepared data'!N930</f>
        <v/>
      </c>
      <c r="P937" s="7">
        <f>'1 prepared data'!O930</f>
        <v/>
      </c>
      <c r="Q937" s="7">
        <f>'1 prepared data'!P930</f>
        <v/>
      </c>
      <c r="R937" s="7">
        <f>'1 prepared data'!Q930</f>
        <v/>
      </c>
      <c r="S937" s="7">
        <f>'1 prepared data'!R930</f>
        <v/>
      </c>
      <c r="T937" s="7">
        <f>'1 prepared data'!S930</f>
        <v/>
      </c>
      <c r="U937" s="7">
        <f>'1 prepared data'!T930</f>
        <v/>
      </c>
      <c r="V937" s="8">
        <f>$AC$12+D937*$AC$13+E937*$AC$14+F937*$AC$15+G937*$AC$16+H937*$AC$17+I937*$AC$18+J937*$AC$19+K937*$AC$20+L937*$AC$21+M937*$AC$22+N937*$AC$23+O937*$AC$24+P937*$AC$25+Q937*$AC$26+R937*$AC$27+S937*$AC$28+T937*$AC$29+U937*$AC$30</f>
        <v/>
      </c>
      <c r="W937" s="8">
        <f>1/(1+EXP(-V937))</f>
        <v/>
      </c>
      <c r="X937" s="9">
        <f>-IF(C937=1,LN(W937),LN(1-W937))</f>
        <v/>
      </c>
      <c r="Y937" s="10">
        <f>IF(W937&gt;$AC$33,1,0)</f>
        <v/>
      </c>
      <c r="Z937">
        <f>IF(Y937=C937,1,0)</f>
        <v/>
      </c>
    </row>
    <row r="938">
      <c r="A938">
        <f>'1 prepared data'!A931</f>
        <v/>
      </c>
      <c r="B938" s="5">
        <f>'1 prepared data'!U931</f>
        <v/>
      </c>
      <c r="C938">
        <f>'1 prepared data'!B931</f>
        <v/>
      </c>
      <c r="D938" s="7">
        <f>'1 prepared data'!C931</f>
        <v/>
      </c>
      <c r="E938" s="7">
        <f>'1 prepared data'!D931</f>
        <v/>
      </c>
      <c r="F938" s="7">
        <f>'1 prepared data'!E931</f>
        <v/>
      </c>
      <c r="G938" s="7">
        <f>'1 prepared data'!F931</f>
        <v/>
      </c>
      <c r="H938" s="7">
        <f>'1 prepared data'!G931</f>
        <v/>
      </c>
      <c r="I938" s="7">
        <f>'1 prepared data'!H931</f>
        <v/>
      </c>
      <c r="J938" s="7">
        <f>'1 prepared data'!I931</f>
        <v/>
      </c>
      <c r="K938" s="7">
        <f>'1 prepared data'!J931</f>
        <v/>
      </c>
      <c r="L938" s="7">
        <f>'1 prepared data'!K931</f>
        <v/>
      </c>
      <c r="M938" s="7">
        <f>'1 prepared data'!L931</f>
        <v/>
      </c>
      <c r="N938" s="7">
        <f>'1 prepared data'!M931</f>
        <v/>
      </c>
      <c r="O938" s="7">
        <f>'1 prepared data'!N931</f>
        <v/>
      </c>
      <c r="P938" s="7">
        <f>'1 prepared data'!O931</f>
        <v/>
      </c>
      <c r="Q938" s="7">
        <f>'1 prepared data'!P931</f>
        <v/>
      </c>
      <c r="R938" s="7">
        <f>'1 prepared data'!Q931</f>
        <v/>
      </c>
      <c r="S938" s="7">
        <f>'1 prepared data'!R931</f>
        <v/>
      </c>
      <c r="T938" s="7">
        <f>'1 prepared data'!S931</f>
        <v/>
      </c>
      <c r="U938" s="7">
        <f>'1 prepared data'!T931</f>
        <v/>
      </c>
      <c r="V938" s="8">
        <f>$AC$12+D938*$AC$13+E938*$AC$14+F938*$AC$15+G938*$AC$16+H938*$AC$17+I938*$AC$18+J938*$AC$19+K938*$AC$20+L938*$AC$21+M938*$AC$22+N938*$AC$23+O938*$AC$24+P938*$AC$25+Q938*$AC$26+R938*$AC$27+S938*$AC$28+T938*$AC$29+U938*$AC$30</f>
        <v/>
      </c>
      <c r="W938" s="8">
        <f>1/(1+EXP(-V938))</f>
        <v/>
      </c>
      <c r="X938" s="9">
        <f>-IF(C938=1,LN(W938),LN(1-W938))</f>
        <v/>
      </c>
      <c r="Y938" s="10">
        <f>IF(W938&gt;$AC$33,1,0)</f>
        <v/>
      </c>
      <c r="Z938">
        <f>IF(Y938=C938,1,0)</f>
        <v/>
      </c>
    </row>
    <row r="939">
      <c r="A939">
        <f>'1 prepared data'!A932</f>
        <v/>
      </c>
      <c r="B939" s="5">
        <f>'1 prepared data'!U932</f>
        <v/>
      </c>
      <c r="C939">
        <f>'1 prepared data'!B932</f>
        <v/>
      </c>
      <c r="D939" s="7">
        <f>'1 prepared data'!C932</f>
        <v/>
      </c>
      <c r="E939" s="7">
        <f>'1 prepared data'!D932</f>
        <v/>
      </c>
      <c r="F939" s="7">
        <f>'1 prepared data'!E932</f>
        <v/>
      </c>
      <c r="G939" s="7">
        <f>'1 prepared data'!F932</f>
        <v/>
      </c>
      <c r="H939" s="7">
        <f>'1 prepared data'!G932</f>
        <v/>
      </c>
      <c r="I939" s="7">
        <f>'1 prepared data'!H932</f>
        <v/>
      </c>
      <c r="J939" s="7">
        <f>'1 prepared data'!I932</f>
        <v/>
      </c>
      <c r="K939" s="7">
        <f>'1 prepared data'!J932</f>
        <v/>
      </c>
      <c r="L939" s="7">
        <f>'1 prepared data'!K932</f>
        <v/>
      </c>
      <c r="M939" s="7">
        <f>'1 prepared data'!L932</f>
        <v/>
      </c>
      <c r="N939" s="7">
        <f>'1 prepared data'!M932</f>
        <v/>
      </c>
      <c r="O939" s="7">
        <f>'1 prepared data'!N932</f>
        <v/>
      </c>
      <c r="P939" s="7">
        <f>'1 prepared data'!O932</f>
        <v/>
      </c>
      <c r="Q939" s="7">
        <f>'1 prepared data'!P932</f>
        <v/>
      </c>
      <c r="R939" s="7">
        <f>'1 prepared data'!Q932</f>
        <v/>
      </c>
      <c r="S939" s="7">
        <f>'1 prepared data'!R932</f>
        <v/>
      </c>
      <c r="T939" s="7">
        <f>'1 prepared data'!S932</f>
        <v/>
      </c>
      <c r="U939" s="7">
        <f>'1 prepared data'!T932</f>
        <v/>
      </c>
      <c r="V939" s="8">
        <f>$AC$12+D939*$AC$13+E939*$AC$14+F939*$AC$15+G939*$AC$16+H939*$AC$17+I939*$AC$18+J939*$AC$19+K939*$AC$20+L939*$AC$21+M939*$AC$22+N939*$AC$23+O939*$AC$24+P939*$AC$25+Q939*$AC$26+R939*$AC$27+S939*$AC$28+T939*$AC$29+U939*$AC$30</f>
        <v/>
      </c>
      <c r="W939" s="8">
        <f>1/(1+EXP(-V939))</f>
        <v/>
      </c>
      <c r="X939" s="9">
        <f>-IF(C939=1,LN(W939),LN(1-W939))</f>
        <v/>
      </c>
      <c r="Y939" s="10">
        <f>IF(W939&gt;$AC$33,1,0)</f>
        <v/>
      </c>
      <c r="Z939">
        <f>IF(Y939=C939,1,0)</f>
        <v/>
      </c>
    </row>
    <row r="940">
      <c r="A940">
        <f>'1 prepared data'!A933</f>
        <v/>
      </c>
      <c r="B940" s="5">
        <f>'1 prepared data'!U933</f>
        <v/>
      </c>
      <c r="C940">
        <f>'1 prepared data'!B933</f>
        <v/>
      </c>
      <c r="D940" s="7">
        <f>'1 prepared data'!C933</f>
        <v/>
      </c>
      <c r="E940" s="7">
        <f>'1 prepared data'!D933</f>
        <v/>
      </c>
      <c r="F940" s="7">
        <f>'1 prepared data'!E933</f>
        <v/>
      </c>
      <c r="G940" s="7">
        <f>'1 prepared data'!F933</f>
        <v/>
      </c>
      <c r="H940" s="7">
        <f>'1 prepared data'!G933</f>
        <v/>
      </c>
      <c r="I940" s="7">
        <f>'1 prepared data'!H933</f>
        <v/>
      </c>
      <c r="J940" s="7">
        <f>'1 prepared data'!I933</f>
        <v/>
      </c>
      <c r="K940" s="7">
        <f>'1 prepared data'!J933</f>
        <v/>
      </c>
      <c r="L940" s="7">
        <f>'1 prepared data'!K933</f>
        <v/>
      </c>
      <c r="M940" s="7">
        <f>'1 prepared data'!L933</f>
        <v/>
      </c>
      <c r="N940" s="7">
        <f>'1 prepared data'!M933</f>
        <v/>
      </c>
      <c r="O940" s="7">
        <f>'1 prepared data'!N933</f>
        <v/>
      </c>
      <c r="P940" s="7">
        <f>'1 prepared data'!O933</f>
        <v/>
      </c>
      <c r="Q940" s="7">
        <f>'1 prepared data'!P933</f>
        <v/>
      </c>
      <c r="R940" s="7">
        <f>'1 prepared data'!Q933</f>
        <v/>
      </c>
      <c r="S940" s="7">
        <f>'1 prepared data'!R933</f>
        <v/>
      </c>
      <c r="T940" s="7">
        <f>'1 prepared data'!S933</f>
        <v/>
      </c>
      <c r="U940" s="7">
        <f>'1 prepared data'!T933</f>
        <v/>
      </c>
      <c r="V940" s="8">
        <f>$AC$12+D940*$AC$13+E940*$AC$14+F940*$AC$15+G940*$AC$16+H940*$AC$17+I940*$AC$18+J940*$AC$19+K940*$AC$20+L940*$AC$21+M940*$AC$22+N940*$AC$23+O940*$AC$24+P940*$AC$25+Q940*$AC$26+R940*$AC$27+S940*$AC$28+T940*$AC$29+U940*$AC$30</f>
        <v/>
      </c>
      <c r="W940" s="8">
        <f>1/(1+EXP(-V940))</f>
        <v/>
      </c>
      <c r="X940" s="9">
        <f>-IF(C940=1,LN(W940),LN(1-W940))</f>
        <v/>
      </c>
      <c r="Y940" s="10">
        <f>IF(W940&gt;$AC$33,1,0)</f>
        <v/>
      </c>
      <c r="Z940">
        <f>IF(Y940=C940,1,0)</f>
        <v/>
      </c>
    </row>
    <row r="941">
      <c r="A941">
        <f>'1 prepared data'!A934</f>
        <v/>
      </c>
      <c r="B941" s="5">
        <f>'1 prepared data'!U934</f>
        <v/>
      </c>
      <c r="C941">
        <f>'1 prepared data'!B934</f>
        <v/>
      </c>
      <c r="D941" s="7">
        <f>'1 prepared data'!C934</f>
        <v/>
      </c>
      <c r="E941" s="7">
        <f>'1 prepared data'!D934</f>
        <v/>
      </c>
      <c r="F941" s="7">
        <f>'1 prepared data'!E934</f>
        <v/>
      </c>
      <c r="G941" s="7">
        <f>'1 prepared data'!F934</f>
        <v/>
      </c>
      <c r="H941" s="7">
        <f>'1 prepared data'!G934</f>
        <v/>
      </c>
      <c r="I941" s="7">
        <f>'1 prepared data'!H934</f>
        <v/>
      </c>
      <c r="J941" s="7">
        <f>'1 prepared data'!I934</f>
        <v/>
      </c>
      <c r="K941" s="7">
        <f>'1 prepared data'!J934</f>
        <v/>
      </c>
      <c r="L941" s="7">
        <f>'1 prepared data'!K934</f>
        <v/>
      </c>
      <c r="M941" s="7">
        <f>'1 prepared data'!L934</f>
        <v/>
      </c>
      <c r="N941" s="7">
        <f>'1 prepared data'!M934</f>
        <v/>
      </c>
      <c r="O941" s="7">
        <f>'1 prepared data'!N934</f>
        <v/>
      </c>
      <c r="P941" s="7">
        <f>'1 prepared data'!O934</f>
        <v/>
      </c>
      <c r="Q941" s="7">
        <f>'1 prepared data'!P934</f>
        <v/>
      </c>
      <c r="R941" s="7">
        <f>'1 prepared data'!Q934</f>
        <v/>
      </c>
      <c r="S941" s="7">
        <f>'1 prepared data'!R934</f>
        <v/>
      </c>
      <c r="T941" s="7">
        <f>'1 prepared data'!S934</f>
        <v/>
      </c>
      <c r="U941" s="7">
        <f>'1 prepared data'!T934</f>
        <v/>
      </c>
      <c r="V941" s="8">
        <f>$AC$12+D941*$AC$13+E941*$AC$14+F941*$AC$15+G941*$AC$16+H941*$AC$17+I941*$AC$18+J941*$AC$19+K941*$AC$20+L941*$AC$21+M941*$AC$22+N941*$AC$23+O941*$AC$24+P941*$AC$25+Q941*$AC$26+R941*$AC$27+S941*$AC$28+T941*$AC$29+U941*$AC$30</f>
        <v/>
      </c>
      <c r="W941" s="8">
        <f>1/(1+EXP(-V941))</f>
        <v/>
      </c>
      <c r="X941" s="9">
        <f>-IF(C941=1,LN(W941),LN(1-W941))</f>
        <v/>
      </c>
      <c r="Y941" s="10">
        <f>IF(W941&gt;$AC$33,1,0)</f>
        <v/>
      </c>
      <c r="Z941">
        <f>IF(Y941=C941,1,0)</f>
        <v/>
      </c>
    </row>
    <row r="942">
      <c r="A942">
        <f>'1 prepared data'!A935</f>
        <v/>
      </c>
      <c r="B942" s="5">
        <f>'1 prepared data'!U935</f>
        <v/>
      </c>
      <c r="C942">
        <f>'1 prepared data'!B935</f>
        <v/>
      </c>
      <c r="D942" s="7">
        <f>'1 prepared data'!C935</f>
        <v/>
      </c>
      <c r="E942" s="7">
        <f>'1 prepared data'!D935</f>
        <v/>
      </c>
      <c r="F942" s="7">
        <f>'1 prepared data'!E935</f>
        <v/>
      </c>
      <c r="G942" s="7">
        <f>'1 prepared data'!F935</f>
        <v/>
      </c>
      <c r="H942" s="7">
        <f>'1 prepared data'!G935</f>
        <v/>
      </c>
      <c r="I942" s="7">
        <f>'1 prepared data'!H935</f>
        <v/>
      </c>
      <c r="J942" s="7">
        <f>'1 prepared data'!I935</f>
        <v/>
      </c>
      <c r="K942" s="7">
        <f>'1 prepared data'!J935</f>
        <v/>
      </c>
      <c r="L942" s="7">
        <f>'1 prepared data'!K935</f>
        <v/>
      </c>
      <c r="M942" s="7">
        <f>'1 prepared data'!L935</f>
        <v/>
      </c>
      <c r="N942" s="7">
        <f>'1 prepared data'!M935</f>
        <v/>
      </c>
      <c r="O942" s="7">
        <f>'1 prepared data'!N935</f>
        <v/>
      </c>
      <c r="P942" s="7">
        <f>'1 prepared data'!O935</f>
        <v/>
      </c>
      <c r="Q942" s="7">
        <f>'1 prepared data'!P935</f>
        <v/>
      </c>
      <c r="R942" s="7">
        <f>'1 prepared data'!Q935</f>
        <v/>
      </c>
      <c r="S942" s="7">
        <f>'1 prepared data'!R935</f>
        <v/>
      </c>
      <c r="T942" s="7">
        <f>'1 prepared data'!S935</f>
        <v/>
      </c>
      <c r="U942" s="7">
        <f>'1 prepared data'!T935</f>
        <v/>
      </c>
      <c r="V942" s="8">
        <f>$AC$12+D942*$AC$13+E942*$AC$14+F942*$AC$15+G942*$AC$16+H942*$AC$17+I942*$AC$18+J942*$AC$19+K942*$AC$20+L942*$AC$21+M942*$AC$22+N942*$AC$23+O942*$AC$24+P942*$AC$25+Q942*$AC$26+R942*$AC$27+S942*$AC$28+T942*$AC$29+U942*$AC$30</f>
        <v/>
      </c>
      <c r="W942" s="8">
        <f>1/(1+EXP(-V942))</f>
        <v/>
      </c>
      <c r="X942" s="9">
        <f>-IF(C942=1,LN(W942),LN(1-W942))</f>
        <v/>
      </c>
      <c r="Y942" s="10">
        <f>IF(W942&gt;$AC$33,1,0)</f>
        <v/>
      </c>
      <c r="Z942">
        <f>IF(Y942=C942,1,0)</f>
        <v/>
      </c>
    </row>
    <row r="943">
      <c r="A943">
        <f>'1 prepared data'!A936</f>
        <v/>
      </c>
      <c r="B943" s="5">
        <f>'1 prepared data'!U936</f>
        <v/>
      </c>
      <c r="C943">
        <f>'1 prepared data'!B936</f>
        <v/>
      </c>
      <c r="D943" s="7">
        <f>'1 prepared data'!C936</f>
        <v/>
      </c>
      <c r="E943" s="7">
        <f>'1 prepared data'!D936</f>
        <v/>
      </c>
      <c r="F943" s="7">
        <f>'1 prepared data'!E936</f>
        <v/>
      </c>
      <c r="G943" s="7">
        <f>'1 prepared data'!F936</f>
        <v/>
      </c>
      <c r="H943" s="7">
        <f>'1 prepared data'!G936</f>
        <v/>
      </c>
      <c r="I943" s="7">
        <f>'1 prepared data'!H936</f>
        <v/>
      </c>
      <c r="J943" s="7">
        <f>'1 prepared data'!I936</f>
        <v/>
      </c>
      <c r="K943" s="7">
        <f>'1 prepared data'!J936</f>
        <v/>
      </c>
      <c r="L943" s="7">
        <f>'1 prepared data'!K936</f>
        <v/>
      </c>
      <c r="M943" s="7">
        <f>'1 prepared data'!L936</f>
        <v/>
      </c>
      <c r="N943" s="7">
        <f>'1 prepared data'!M936</f>
        <v/>
      </c>
      <c r="O943" s="7">
        <f>'1 prepared data'!N936</f>
        <v/>
      </c>
      <c r="P943" s="7">
        <f>'1 prepared data'!O936</f>
        <v/>
      </c>
      <c r="Q943" s="7">
        <f>'1 prepared data'!P936</f>
        <v/>
      </c>
      <c r="R943" s="7">
        <f>'1 prepared data'!Q936</f>
        <v/>
      </c>
      <c r="S943" s="7">
        <f>'1 prepared data'!R936</f>
        <v/>
      </c>
      <c r="T943" s="7">
        <f>'1 prepared data'!S936</f>
        <v/>
      </c>
      <c r="U943" s="7">
        <f>'1 prepared data'!T936</f>
        <v/>
      </c>
      <c r="V943" s="8">
        <f>$AC$12+D943*$AC$13+E943*$AC$14+F943*$AC$15+G943*$AC$16+H943*$AC$17+I943*$AC$18+J943*$AC$19+K943*$AC$20+L943*$AC$21+M943*$AC$22+N943*$AC$23+O943*$AC$24+P943*$AC$25+Q943*$AC$26+R943*$AC$27+S943*$AC$28+T943*$AC$29+U943*$AC$30</f>
        <v/>
      </c>
      <c r="W943" s="8">
        <f>1/(1+EXP(-V943))</f>
        <v/>
      </c>
      <c r="X943" s="9">
        <f>-IF(C943=1,LN(W943),LN(1-W943))</f>
        <v/>
      </c>
      <c r="Y943" s="10">
        <f>IF(W943&gt;$AC$33,1,0)</f>
        <v/>
      </c>
      <c r="Z943">
        <f>IF(Y943=C943,1,0)</f>
        <v/>
      </c>
    </row>
    <row r="944">
      <c r="A944">
        <f>'1 prepared data'!A937</f>
        <v/>
      </c>
      <c r="B944" s="5">
        <f>'1 prepared data'!U937</f>
        <v/>
      </c>
      <c r="C944">
        <f>'1 prepared data'!B937</f>
        <v/>
      </c>
      <c r="D944" s="7">
        <f>'1 prepared data'!C937</f>
        <v/>
      </c>
      <c r="E944" s="7">
        <f>'1 prepared data'!D937</f>
        <v/>
      </c>
      <c r="F944" s="7">
        <f>'1 prepared data'!E937</f>
        <v/>
      </c>
      <c r="G944" s="7">
        <f>'1 prepared data'!F937</f>
        <v/>
      </c>
      <c r="H944" s="7">
        <f>'1 prepared data'!G937</f>
        <v/>
      </c>
      <c r="I944" s="7">
        <f>'1 prepared data'!H937</f>
        <v/>
      </c>
      <c r="J944" s="7">
        <f>'1 prepared data'!I937</f>
        <v/>
      </c>
      <c r="K944" s="7">
        <f>'1 prepared data'!J937</f>
        <v/>
      </c>
      <c r="L944" s="7">
        <f>'1 prepared data'!K937</f>
        <v/>
      </c>
      <c r="M944" s="7">
        <f>'1 prepared data'!L937</f>
        <v/>
      </c>
      <c r="N944" s="7">
        <f>'1 prepared data'!M937</f>
        <v/>
      </c>
      <c r="O944" s="7">
        <f>'1 prepared data'!N937</f>
        <v/>
      </c>
      <c r="P944" s="7">
        <f>'1 prepared data'!O937</f>
        <v/>
      </c>
      <c r="Q944" s="7">
        <f>'1 prepared data'!P937</f>
        <v/>
      </c>
      <c r="R944" s="7">
        <f>'1 prepared data'!Q937</f>
        <v/>
      </c>
      <c r="S944" s="7">
        <f>'1 prepared data'!R937</f>
        <v/>
      </c>
      <c r="T944" s="7">
        <f>'1 prepared data'!S937</f>
        <v/>
      </c>
      <c r="U944" s="7">
        <f>'1 prepared data'!T937</f>
        <v/>
      </c>
      <c r="V944" s="8">
        <f>$AC$12+D944*$AC$13+E944*$AC$14+F944*$AC$15+G944*$AC$16+H944*$AC$17+I944*$AC$18+J944*$AC$19+K944*$AC$20+L944*$AC$21+M944*$AC$22+N944*$AC$23+O944*$AC$24+P944*$AC$25+Q944*$AC$26+R944*$AC$27+S944*$AC$28+T944*$AC$29+U944*$AC$30</f>
        <v/>
      </c>
      <c r="W944" s="8">
        <f>1/(1+EXP(-V944))</f>
        <v/>
      </c>
      <c r="X944" s="9">
        <f>-IF(C944=1,LN(W944),LN(1-W944))</f>
        <v/>
      </c>
      <c r="Y944" s="10">
        <f>IF(W944&gt;$AC$33,1,0)</f>
        <v/>
      </c>
      <c r="Z944">
        <f>IF(Y944=C944,1,0)</f>
        <v/>
      </c>
    </row>
    <row r="945">
      <c r="A945">
        <f>'1 prepared data'!A938</f>
        <v/>
      </c>
      <c r="B945" s="5">
        <f>'1 prepared data'!U938</f>
        <v/>
      </c>
      <c r="C945">
        <f>'1 prepared data'!B938</f>
        <v/>
      </c>
      <c r="D945" s="7">
        <f>'1 prepared data'!C938</f>
        <v/>
      </c>
      <c r="E945" s="7">
        <f>'1 prepared data'!D938</f>
        <v/>
      </c>
      <c r="F945" s="7">
        <f>'1 prepared data'!E938</f>
        <v/>
      </c>
      <c r="G945" s="7">
        <f>'1 prepared data'!F938</f>
        <v/>
      </c>
      <c r="H945" s="7">
        <f>'1 prepared data'!G938</f>
        <v/>
      </c>
      <c r="I945" s="7">
        <f>'1 prepared data'!H938</f>
        <v/>
      </c>
      <c r="J945" s="7">
        <f>'1 prepared data'!I938</f>
        <v/>
      </c>
      <c r="K945" s="7">
        <f>'1 prepared data'!J938</f>
        <v/>
      </c>
      <c r="L945" s="7">
        <f>'1 prepared data'!K938</f>
        <v/>
      </c>
      <c r="M945" s="7">
        <f>'1 prepared data'!L938</f>
        <v/>
      </c>
      <c r="N945" s="7">
        <f>'1 prepared data'!M938</f>
        <v/>
      </c>
      <c r="O945" s="7">
        <f>'1 prepared data'!N938</f>
        <v/>
      </c>
      <c r="P945" s="7">
        <f>'1 prepared data'!O938</f>
        <v/>
      </c>
      <c r="Q945" s="7">
        <f>'1 prepared data'!P938</f>
        <v/>
      </c>
      <c r="R945" s="7">
        <f>'1 prepared data'!Q938</f>
        <v/>
      </c>
      <c r="S945" s="7">
        <f>'1 prepared data'!R938</f>
        <v/>
      </c>
      <c r="T945" s="7">
        <f>'1 prepared data'!S938</f>
        <v/>
      </c>
      <c r="U945" s="7">
        <f>'1 prepared data'!T938</f>
        <v/>
      </c>
      <c r="V945" s="8">
        <f>$AC$12+D945*$AC$13+E945*$AC$14+F945*$AC$15+G945*$AC$16+H945*$AC$17+I945*$AC$18+J945*$AC$19+K945*$AC$20+L945*$AC$21+M945*$AC$22+N945*$AC$23+O945*$AC$24+P945*$AC$25+Q945*$AC$26+R945*$AC$27+S945*$AC$28+T945*$AC$29+U945*$AC$30</f>
        <v/>
      </c>
      <c r="W945" s="8">
        <f>1/(1+EXP(-V945))</f>
        <v/>
      </c>
      <c r="X945" s="9">
        <f>-IF(C945=1,LN(W945),LN(1-W945))</f>
        <v/>
      </c>
      <c r="Y945" s="10">
        <f>IF(W945&gt;$AC$33,1,0)</f>
        <v/>
      </c>
      <c r="Z945">
        <f>IF(Y945=C945,1,0)</f>
        <v/>
      </c>
    </row>
    <row r="946">
      <c r="A946">
        <f>'1 prepared data'!A939</f>
        <v/>
      </c>
      <c r="B946" s="5">
        <f>'1 prepared data'!U939</f>
        <v/>
      </c>
      <c r="C946">
        <f>'1 prepared data'!B939</f>
        <v/>
      </c>
      <c r="D946" s="7">
        <f>'1 prepared data'!C939</f>
        <v/>
      </c>
      <c r="E946" s="7">
        <f>'1 prepared data'!D939</f>
        <v/>
      </c>
      <c r="F946" s="7">
        <f>'1 prepared data'!E939</f>
        <v/>
      </c>
      <c r="G946" s="7">
        <f>'1 prepared data'!F939</f>
        <v/>
      </c>
      <c r="H946" s="7">
        <f>'1 prepared data'!G939</f>
        <v/>
      </c>
      <c r="I946" s="7">
        <f>'1 prepared data'!H939</f>
        <v/>
      </c>
      <c r="J946" s="7">
        <f>'1 prepared data'!I939</f>
        <v/>
      </c>
      <c r="K946" s="7">
        <f>'1 prepared data'!J939</f>
        <v/>
      </c>
      <c r="L946" s="7">
        <f>'1 prepared data'!K939</f>
        <v/>
      </c>
      <c r="M946" s="7">
        <f>'1 prepared data'!L939</f>
        <v/>
      </c>
      <c r="N946" s="7">
        <f>'1 prepared data'!M939</f>
        <v/>
      </c>
      <c r="O946" s="7">
        <f>'1 prepared data'!N939</f>
        <v/>
      </c>
      <c r="P946" s="7">
        <f>'1 prepared data'!O939</f>
        <v/>
      </c>
      <c r="Q946" s="7">
        <f>'1 prepared data'!P939</f>
        <v/>
      </c>
      <c r="R946" s="7">
        <f>'1 prepared data'!Q939</f>
        <v/>
      </c>
      <c r="S946" s="7">
        <f>'1 prepared data'!R939</f>
        <v/>
      </c>
      <c r="T946" s="7">
        <f>'1 prepared data'!S939</f>
        <v/>
      </c>
      <c r="U946" s="7">
        <f>'1 prepared data'!T939</f>
        <v/>
      </c>
      <c r="V946" s="8">
        <f>$AC$12+D946*$AC$13+E946*$AC$14+F946*$AC$15+G946*$AC$16+H946*$AC$17+I946*$AC$18+J946*$AC$19+K946*$AC$20+L946*$AC$21+M946*$AC$22+N946*$AC$23+O946*$AC$24+P946*$AC$25+Q946*$AC$26+R946*$AC$27+S946*$AC$28+T946*$AC$29+U946*$AC$30</f>
        <v/>
      </c>
      <c r="W946" s="8">
        <f>1/(1+EXP(-V946))</f>
        <v/>
      </c>
      <c r="X946" s="9">
        <f>-IF(C946=1,LN(W946),LN(1-W946))</f>
        <v/>
      </c>
      <c r="Y946" s="10">
        <f>IF(W946&gt;$AC$33,1,0)</f>
        <v/>
      </c>
      <c r="Z946">
        <f>IF(Y946=C946,1,0)</f>
        <v/>
      </c>
    </row>
    <row r="947">
      <c r="A947">
        <f>'1 prepared data'!A940</f>
        <v/>
      </c>
      <c r="B947" s="5">
        <f>'1 prepared data'!U940</f>
        <v/>
      </c>
      <c r="C947">
        <f>'1 prepared data'!B940</f>
        <v/>
      </c>
      <c r="D947" s="7">
        <f>'1 prepared data'!C940</f>
        <v/>
      </c>
      <c r="E947" s="7">
        <f>'1 prepared data'!D940</f>
        <v/>
      </c>
      <c r="F947" s="7">
        <f>'1 prepared data'!E940</f>
        <v/>
      </c>
      <c r="G947" s="7">
        <f>'1 prepared data'!F940</f>
        <v/>
      </c>
      <c r="H947" s="7">
        <f>'1 prepared data'!G940</f>
        <v/>
      </c>
      <c r="I947" s="7">
        <f>'1 prepared data'!H940</f>
        <v/>
      </c>
      <c r="J947" s="7">
        <f>'1 prepared data'!I940</f>
        <v/>
      </c>
      <c r="K947" s="7">
        <f>'1 prepared data'!J940</f>
        <v/>
      </c>
      <c r="L947" s="7">
        <f>'1 prepared data'!K940</f>
        <v/>
      </c>
      <c r="M947" s="7">
        <f>'1 prepared data'!L940</f>
        <v/>
      </c>
      <c r="N947" s="7">
        <f>'1 prepared data'!M940</f>
        <v/>
      </c>
      <c r="O947" s="7">
        <f>'1 prepared data'!N940</f>
        <v/>
      </c>
      <c r="P947" s="7">
        <f>'1 prepared data'!O940</f>
        <v/>
      </c>
      <c r="Q947" s="7">
        <f>'1 prepared data'!P940</f>
        <v/>
      </c>
      <c r="R947" s="7">
        <f>'1 prepared data'!Q940</f>
        <v/>
      </c>
      <c r="S947" s="7">
        <f>'1 prepared data'!R940</f>
        <v/>
      </c>
      <c r="T947" s="7">
        <f>'1 prepared data'!S940</f>
        <v/>
      </c>
      <c r="U947" s="7">
        <f>'1 prepared data'!T940</f>
        <v/>
      </c>
      <c r="V947" s="8">
        <f>$AC$12+D947*$AC$13+E947*$AC$14+F947*$AC$15+G947*$AC$16+H947*$AC$17+I947*$AC$18+J947*$AC$19+K947*$AC$20+L947*$AC$21+M947*$AC$22+N947*$AC$23+O947*$AC$24+P947*$AC$25+Q947*$AC$26+R947*$AC$27+S947*$AC$28+T947*$AC$29+U947*$AC$30</f>
        <v/>
      </c>
      <c r="W947" s="8">
        <f>1/(1+EXP(-V947))</f>
        <v/>
      </c>
      <c r="X947" s="9">
        <f>-IF(C947=1,LN(W947),LN(1-W947))</f>
        <v/>
      </c>
      <c r="Y947" s="10">
        <f>IF(W947&gt;$AC$33,1,0)</f>
        <v/>
      </c>
      <c r="Z947">
        <f>IF(Y947=C947,1,0)</f>
        <v/>
      </c>
    </row>
    <row r="948">
      <c r="A948">
        <f>'1 prepared data'!A941</f>
        <v/>
      </c>
      <c r="B948" s="5">
        <f>'1 prepared data'!U941</f>
        <v/>
      </c>
      <c r="C948">
        <f>'1 prepared data'!B941</f>
        <v/>
      </c>
      <c r="D948" s="7">
        <f>'1 prepared data'!C941</f>
        <v/>
      </c>
      <c r="E948" s="7">
        <f>'1 prepared data'!D941</f>
        <v/>
      </c>
      <c r="F948" s="7">
        <f>'1 prepared data'!E941</f>
        <v/>
      </c>
      <c r="G948" s="7">
        <f>'1 prepared data'!F941</f>
        <v/>
      </c>
      <c r="H948" s="7">
        <f>'1 prepared data'!G941</f>
        <v/>
      </c>
      <c r="I948" s="7">
        <f>'1 prepared data'!H941</f>
        <v/>
      </c>
      <c r="J948" s="7">
        <f>'1 prepared data'!I941</f>
        <v/>
      </c>
      <c r="K948" s="7">
        <f>'1 prepared data'!J941</f>
        <v/>
      </c>
      <c r="L948" s="7">
        <f>'1 prepared data'!K941</f>
        <v/>
      </c>
      <c r="M948" s="7">
        <f>'1 prepared data'!L941</f>
        <v/>
      </c>
      <c r="N948" s="7">
        <f>'1 prepared data'!M941</f>
        <v/>
      </c>
      <c r="O948" s="7">
        <f>'1 prepared data'!N941</f>
        <v/>
      </c>
      <c r="P948" s="7">
        <f>'1 prepared data'!O941</f>
        <v/>
      </c>
      <c r="Q948" s="7">
        <f>'1 prepared data'!P941</f>
        <v/>
      </c>
      <c r="R948" s="7">
        <f>'1 prepared data'!Q941</f>
        <v/>
      </c>
      <c r="S948" s="7">
        <f>'1 prepared data'!R941</f>
        <v/>
      </c>
      <c r="T948" s="7">
        <f>'1 prepared data'!S941</f>
        <v/>
      </c>
      <c r="U948" s="7">
        <f>'1 prepared data'!T941</f>
        <v/>
      </c>
      <c r="V948" s="8">
        <f>$AC$12+D948*$AC$13+E948*$AC$14+F948*$AC$15+G948*$AC$16+H948*$AC$17+I948*$AC$18+J948*$AC$19+K948*$AC$20+L948*$AC$21+M948*$AC$22+N948*$AC$23+O948*$AC$24+P948*$AC$25+Q948*$AC$26+R948*$AC$27+S948*$AC$28+T948*$AC$29+U948*$AC$30</f>
        <v/>
      </c>
      <c r="W948" s="8">
        <f>1/(1+EXP(-V948))</f>
        <v/>
      </c>
      <c r="X948" s="9">
        <f>-IF(C948=1,LN(W948),LN(1-W948))</f>
        <v/>
      </c>
      <c r="Y948" s="10">
        <f>IF(W948&gt;$AC$33,1,0)</f>
        <v/>
      </c>
      <c r="Z948">
        <f>IF(Y948=C948,1,0)</f>
        <v/>
      </c>
    </row>
    <row r="949">
      <c r="A949">
        <f>'1 prepared data'!A942</f>
        <v/>
      </c>
      <c r="B949" s="5">
        <f>'1 prepared data'!U942</f>
        <v/>
      </c>
      <c r="C949">
        <f>'1 prepared data'!B942</f>
        <v/>
      </c>
      <c r="D949" s="7">
        <f>'1 prepared data'!C942</f>
        <v/>
      </c>
      <c r="E949" s="7">
        <f>'1 prepared data'!D942</f>
        <v/>
      </c>
      <c r="F949" s="7">
        <f>'1 prepared data'!E942</f>
        <v/>
      </c>
      <c r="G949" s="7">
        <f>'1 prepared data'!F942</f>
        <v/>
      </c>
      <c r="H949" s="7">
        <f>'1 prepared data'!G942</f>
        <v/>
      </c>
      <c r="I949" s="7">
        <f>'1 prepared data'!H942</f>
        <v/>
      </c>
      <c r="J949" s="7">
        <f>'1 prepared data'!I942</f>
        <v/>
      </c>
      <c r="K949" s="7">
        <f>'1 prepared data'!J942</f>
        <v/>
      </c>
      <c r="L949" s="7">
        <f>'1 prepared data'!K942</f>
        <v/>
      </c>
      <c r="M949" s="7">
        <f>'1 prepared data'!L942</f>
        <v/>
      </c>
      <c r="N949" s="7">
        <f>'1 prepared data'!M942</f>
        <v/>
      </c>
      <c r="O949" s="7">
        <f>'1 prepared data'!N942</f>
        <v/>
      </c>
      <c r="P949" s="7">
        <f>'1 prepared data'!O942</f>
        <v/>
      </c>
      <c r="Q949" s="7">
        <f>'1 prepared data'!P942</f>
        <v/>
      </c>
      <c r="R949" s="7">
        <f>'1 prepared data'!Q942</f>
        <v/>
      </c>
      <c r="S949" s="7">
        <f>'1 prepared data'!R942</f>
        <v/>
      </c>
      <c r="T949" s="7">
        <f>'1 prepared data'!S942</f>
        <v/>
      </c>
      <c r="U949" s="7">
        <f>'1 prepared data'!T942</f>
        <v/>
      </c>
      <c r="V949" s="8">
        <f>$AC$12+D949*$AC$13+E949*$AC$14+F949*$AC$15+G949*$AC$16+H949*$AC$17+I949*$AC$18+J949*$AC$19+K949*$AC$20+L949*$AC$21+M949*$AC$22+N949*$AC$23+O949*$AC$24+P949*$AC$25+Q949*$AC$26+R949*$AC$27+S949*$AC$28+T949*$AC$29+U949*$AC$30</f>
        <v/>
      </c>
      <c r="W949" s="8">
        <f>1/(1+EXP(-V949))</f>
        <v/>
      </c>
      <c r="X949" s="9">
        <f>-IF(C949=1,LN(W949),LN(1-W949))</f>
        <v/>
      </c>
      <c r="Y949" s="10">
        <f>IF(W949&gt;$AC$33,1,0)</f>
        <v/>
      </c>
      <c r="Z949">
        <f>IF(Y949=C949,1,0)</f>
        <v/>
      </c>
    </row>
    <row r="950">
      <c r="A950">
        <f>'1 prepared data'!A943</f>
        <v/>
      </c>
      <c r="B950" s="5">
        <f>'1 prepared data'!U943</f>
        <v/>
      </c>
      <c r="C950">
        <f>'1 prepared data'!B943</f>
        <v/>
      </c>
      <c r="D950" s="7">
        <f>'1 prepared data'!C943</f>
        <v/>
      </c>
      <c r="E950" s="7">
        <f>'1 prepared data'!D943</f>
        <v/>
      </c>
      <c r="F950" s="7">
        <f>'1 prepared data'!E943</f>
        <v/>
      </c>
      <c r="G950" s="7">
        <f>'1 prepared data'!F943</f>
        <v/>
      </c>
      <c r="H950" s="7">
        <f>'1 prepared data'!G943</f>
        <v/>
      </c>
      <c r="I950" s="7">
        <f>'1 prepared data'!H943</f>
        <v/>
      </c>
      <c r="J950" s="7">
        <f>'1 prepared data'!I943</f>
        <v/>
      </c>
      <c r="K950" s="7">
        <f>'1 prepared data'!J943</f>
        <v/>
      </c>
      <c r="L950" s="7">
        <f>'1 prepared data'!K943</f>
        <v/>
      </c>
      <c r="M950" s="7">
        <f>'1 prepared data'!L943</f>
        <v/>
      </c>
      <c r="N950" s="7">
        <f>'1 prepared data'!M943</f>
        <v/>
      </c>
      <c r="O950" s="7">
        <f>'1 prepared data'!N943</f>
        <v/>
      </c>
      <c r="P950" s="7">
        <f>'1 prepared data'!O943</f>
        <v/>
      </c>
      <c r="Q950" s="7">
        <f>'1 prepared data'!P943</f>
        <v/>
      </c>
      <c r="R950" s="7">
        <f>'1 prepared data'!Q943</f>
        <v/>
      </c>
      <c r="S950" s="7">
        <f>'1 prepared data'!R943</f>
        <v/>
      </c>
      <c r="T950" s="7">
        <f>'1 prepared data'!S943</f>
        <v/>
      </c>
      <c r="U950" s="7">
        <f>'1 prepared data'!T943</f>
        <v/>
      </c>
      <c r="V950" s="8">
        <f>$AC$12+D950*$AC$13+E950*$AC$14+F950*$AC$15+G950*$AC$16+H950*$AC$17+I950*$AC$18+J950*$AC$19+K950*$AC$20+L950*$AC$21+M950*$AC$22+N950*$AC$23+O950*$AC$24+P950*$AC$25+Q950*$AC$26+R950*$AC$27+S950*$AC$28+T950*$AC$29+U950*$AC$30</f>
        <v/>
      </c>
      <c r="W950" s="8">
        <f>1/(1+EXP(-V950))</f>
        <v/>
      </c>
      <c r="X950" s="9">
        <f>-IF(C950=1,LN(W950),LN(1-W950))</f>
        <v/>
      </c>
      <c r="Y950" s="10">
        <f>IF(W950&gt;$AC$33,1,0)</f>
        <v/>
      </c>
      <c r="Z950">
        <f>IF(Y950=C950,1,0)</f>
        <v/>
      </c>
    </row>
    <row r="951">
      <c r="A951">
        <f>'1 prepared data'!A944</f>
        <v/>
      </c>
      <c r="B951" s="5">
        <f>'1 prepared data'!U944</f>
        <v/>
      </c>
      <c r="C951">
        <f>'1 prepared data'!B944</f>
        <v/>
      </c>
      <c r="D951" s="7">
        <f>'1 prepared data'!C944</f>
        <v/>
      </c>
      <c r="E951" s="7">
        <f>'1 prepared data'!D944</f>
        <v/>
      </c>
      <c r="F951" s="7">
        <f>'1 prepared data'!E944</f>
        <v/>
      </c>
      <c r="G951" s="7">
        <f>'1 prepared data'!F944</f>
        <v/>
      </c>
      <c r="H951" s="7">
        <f>'1 prepared data'!G944</f>
        <v/>
      </c>
      <c r="I951" s="7">
        <f>'1 prepared data'!H944</f>
        <v/>
      </c>
      <c r="J951" s="7">
        <f>'1 prepared data'!I944</f>
        <v/>
      </c>
      <c r="K951" s="7">
        <f>'1 prepared data'!J944</f>
        <v/>
      </c>
      <c r="L951" s="7">
        <f>'1 prepared data'!K944</f>
        <v/>
      </c>
      <c r="M951" s="7">
        <f>'1 prepared data'!L944</f>
        <v/>
      </c>
      <c r="N951" s="7">
        <f>'1 prepared data'!M944</f>
        <v/>
      </c>
      <c r="O951" s="7">
        <f>'1 prepared data'!N944</f>
        <v/>
      </c>
      <c r="P951" s="7">
        <f>'1 prepared data'!O944</f>
        <v/>
      </c>
      <c r="Q951" s="7">
        <f>'1 prepared data'!P944</f>
        <v/>
      </c>
      <c r="R951" s="7">
        <f>'1 prepared data'!Q944</f>
        <v/>
      </c>
      <c r="S951" s="7">
        <f>'1 prepared data'!R944</f>
        <v/>
      </c>
      <c r="T951" s="7">
        <f>'1 prepared data'!S944</f>
        <v/>
      </c>
      <c r="U951" s="7">
        <f>'1 prepared data'!T944</f>
        <v/>
      </c>
      <c r="V951" s="8">
        <f>$AC$12+D951*$AC$13+E951*$AC$14+F951*$AC$15+G951*$AC$16+H951*$AC$17+I951*$AC$18+J951*$AC$19+K951*$AC$20+L951*$AC$21+M951*$AC$22+N951*$AC$23+O951*$AC$24+P951*$AC$25+Q951*$AC$26+R951*$AC$27+S951*$AC$28+T951*$AC$29+U951*$AC$30</f>
        <v/>
      </c>
      <c r="W951" s="8">
        <f>1/(1+EXP(-V951))</f>
        <v/>
      </c>
      <c r="X951" s="9">
        <f>-IF(C951=1,LN(W951),LN(1-W951))</f>
        <v/>
      </c>
      <c r="Y951" s="10">
        <f>IF(W951&gt;$AC$33,1,0)</f>
        <v/>
      </c>
      <c r="Z951">
        <f>IF(Y951=C951,1,0)</f>
        <v/>
      </c>
    </row>
    <row r="952">
      <c r="A952">
        <f>'1 prepared data'!A945</f>
        <v/>
      </c>
      <c r="B952" s="5">
        <f>'1 prepared data'!U945</f>
        <v/>
      </c>
      <c r="C952">
        <f>'1 prepared data'!B945</f>
        <v/>
      </c>
      <c r="D952" s="7">
        <f>'1 prepared data'!C945</f>
        <v/>
      </c>
      <c r="E952" s="7">
        <f>'1 prepared data'!D945</f>
        <v/>
      </c>
      <c r="F952" s="7">
        <f>'1 prepared data'!E945</f>
        <v/>
      </c>
      <c r="G952" s="7">
        <f>'1 prepared data'!F945</f>
        <v/>
      </c>
      <c r="H952" s="7">
        <f>'1 prepared data'!G945</f>
        <v/>
      </c>
      <c r="I952" s="7">
        <f>'1 prepared data'!H945</f>
        <v/>
      </c>
      <c r="J952" s="7">
        <f>'1 prepared data'!I945</f>
        <v/>
      </c>
      <c r="K952" s="7">
        <f>'1 prepared data'!J945</f>
        <v/>
      </c>
      <c r="L952" s="7">
        <f>'1 prepared data'!K945</f>
        <v/>
      </c>
      <c r="M952" s="7">
        <f>'1 prepared data'!L945</f>
        <v/>
      </c>
      <c r="N952" s="7">
        <f>'1 prepared data'!M945</f>
        <v/>
      </c>
      <c r="O952" s="7">
        <f>'1 prepared data'!N945</f>
        <v/>
      </c>
      <c r="P952" s="7">
        <f>'1 prepared data'!O945</f>
        <v/>
      </c>
      <c r="Q952" s="7">
        <f>'1 prepared data'!P945</f>
        <v/>
      </c>
      <c r="R952" s="7">
        <f>'1 prepared data'!Q945</f>
        <v/>
      </c>
      <c r="S952" s="7">
        <f>'1 prepared data'!R945</f>
        <v/>
      </c>
      <c r="T952" s="7">
        <f>'1 prepared data'!S945</f>
        <v/>
      </c>
      <c r="U952" s="7">
        <f>'1 prepared data'!T945</f>
        <v/>
      </c>
      <c r="V952" s="8">
        <f>$AC$12+D952*$AC$13+E952*$AC$14+F952*$AC$15+G952*$AC$16+H952*$AC$17+I952*$AC$18+J952*$AC$19+K952*$AC$20+L952*$AC$21+M952*$AC$22+N952*$AC$23+O952*$AC$24+P952*$AC$25+Q952*$AC$26+R952*$AC$27+S952*$AC$28+T952*$AC$29+U952*$AC$30</f>
        <v/>
      </c>
      <c r="W952" s="8">
        <f>1/(1+EXP(-V952))</f>
        <v/>
      </c>
      <c r="X952" s="9">
        <f>-IF(C952=1,LN(W952),LN(1-W952))</f>
        <v/>
      </c>
      <c r="Y952" s="10">
        <f>IF(W952&gt;$AC$33,1,0)</f>
        <v/>
      </c>
      <c r="Z952">
        <f>IF(Y952=C952,1,0)</f>
        <v/>
      </c>
    </row>
    <row r="953">
      <c r="A953">
        <f>'1 prepared data'!A946</f>
        <v/>
      </c>
      <c r="B953" s="5">
        <f>'1 prepared data'!U946</f>
        <v/>
      </c>
      <c r="C953">
        <f>'1 prepared data'!B946</f>
        <v/>
      </c>
      <c r="D953" s="7">
        <f>'1 prepared data'!C946</f>
        <v/>
      </c>
      <c r="E953" s="7">
        <f>'1 prepared data'!D946</f>
        <v/>
      </c>
      <c r="F953" s="7">
        <f>'1 prepared data'!E946</f>
        <v/>
      </c>
      <c r="G953" s="7">
        <f>'1 prepared data'!F946</f>
        <v/>
      </c>
      <c r="H953" s="7">
        <f>'1 prepared data'!G946</f>
        <v/>
      </c>
      <c r="I953" s="7">
        <f>'1 prepared data'!H946</f>
        <v/>
      </c>
      <c r="J953" s="7">
        <f>'1 prepared data'!I946</f>
        <v/>
      </c>
      <c r="K953" s="7">
        <f>'1 prepared data'!J946</f>
        <v/>
      </c>
      <c r="L953" s="7">
        <f>'1 prepared data'!K946</f>
        <v/>
      </c>
      <c r="M953" s="7">
        <f>'1 prepared data'!L946</f>
        <v/>
      </c>
      <c r="N953" s="7">
        <f>'1 prepared data'!M946</f>
        <v/>
      </c>
      <c r="O953" s="7">
        <f>'1 prepared data'!N946</f>
        <v/>
      </c>
      <c r="P953" s="7">
        <f>'1 prepared data'!O946</f>
        <v/>
      </c>
      <c r="Q953" s="7">
        <f>'1 prepared data'!P946</f>
        <v/>
      </c>
      <c r="R953" s="7">
        <f>'1 prepared data'!Q946</f>
        <v/>
      </c>
      <c r="S953" s="7">
        <f>'1 prepared data'!R946</f>
        <v/>
      </c>
      <c r="T953" s="7">
        <f>'1 prepared data'!S946</f>
        <v/>
      </c>
      <c r="U953" s="7">
        <f>'1 prepared data'!T946</f>
        <v/>
      </c>
      <c r="V953" s="8">
        <f>$AC$12+D953*$AC$13+E953*$AC$14+F953*$AC$15+G953*$AC$16+H953*$AC$17+I953*$AC$18+J953*$AC$19+K953*$AC$20+L953*$AC$21+M953*$AC$22+N953*$AC$23+O953*$AC$24+P953*$AC$25+Q953*$AC$26+R953*$AC$27+S953*$AC$28+T953*$AC$29+U953*$AC$30</f>
        <v/>
      </c>
      <c r="W953" s="8">
        <f>1/(1+EXP(-V953))</f>
        <v/>
      </c>
      <c r="X953" s="9">
        <f>-IF(C953=1,LN(W953),LN(1-W953))</f>
        <v/>
      </c>
      <c r="Y953" s="10">
        <f>IF(W953&gt;$AC$33,1,0)</f>
        <v/>
      </c>
      <c r="Z953">
        <f>IF(Y953=C953,1,0)</f>
        <v/>
      </c>
    </row>
    <row r="954">
      <c r="A954">
        <f>'1 prepared data'!A947</f>
        <v/>
      </c>
      <c r="B954" s="5">
        <f>'1 prepared data'!U947</f>
        <v/>
      </c>
      <c r="C954">
        <f>'1 prepared data'!B947</f>
        <v/>
      </c>
      <c r="D954" s="7">
        <f>'1 prepared data'!C947</f>
        <v/>
      </c>
      <c r="E954" s="7">
        <f>'1 prepared data'!D947</f>
        <v/>
      </c>
      <c r="F954" s="7">
        <f>'1 prepared data'!E947</f>
        <v/>
      </c>
      <c r="G954" s="7">
        <f>'1 prepared data'!F947</f>
        <v/>
      </c>
      <c r="H954" s="7">
        <f>'1 prepared data'!G947</f>
        <v/>
      </c>
      <c r="I954" s="7">
        <f>'1 prepared data'!H947</f>
        <v/>
      </c>
      <c r="J954" s="7">
        <f>'1 prepared data'!I947</f>
        <v/>
      </c>
      <c r="K954" s="7">
        <f>'1 prepared data'!J947</f>
        <v/>
      </c>
      <c r="L954" s="7">
        <f>'1 prepared data'!K947</f>
        <v/>
      </c>
      <c r="M954" s="7">
        <f>'1 prepared data'!L947</f>
        <v/>
      </c>
      <c r="N954" s="7">
        <f>'1 prepared data'!M947</f>
        <v/>
      </c>
      <c r="O954" s="7">
        <f>'1 prepared data'!N947</f>
        <v/>
      </c>
      <c r="P954" s="7">
        <f>'1 prepared data'!O947</f>
        <v/>
      </c>
      <c r="Q954" s="7">
        <f>'1 prepared data'!P947</f>
        <v/>
      </c>
      <c r="R954" s="7">
        <f>'1 prepared data'!Q947</f>
        <v/>
      </c>
      <c r="S954" s="7">
        <f>'1 prepared data'!R947</f>
        <v/>
      </c>
      <c r="T954" s="7">
        <f>'1 prepared data'!S947</f>
        <v/>
      </c>
      <c r="U954" s="7">
        <f>'1 prepared data'!T947</f>
        <v/>
      </c>
      <c r="V954" s="8">
        <f>$AC$12+D954*$AC$13+E954*$AC$14+F954*$AC$15+G954*$AC$16+H954*$AC$17+I954*$AC$18+J954*$AC$19+K954*$AC$20+L954*$AC$21+M954*$AC$22+N954*$AC$23+O954*$AC$24+P954*$AC$25+Q954*$AC$26+R954*$AC$27+S954*$AC$28+T954*$AC$29+U954*$AC$30</f>
        <v/>
      </c>
      <c r="W954" s="8">
        <f>1/(1+EXP(-V954))</f>
        <v/>
      </c>
      <c r="X954" s="9">
        <f>-IF(C954=1,LN(W954),LN(1-W954))</f>
        <v/>
      </c>
      <c r="Y954" s="10">
        <f>IF(W954&gt;$AC$33,1,0)</f>
        <v/>
      </c>
      <c r="Z954">
        <f>IF(Y954=C954,1,0)</f>
        <v/>
      </c>
    </row>
    <row r="955">
      <c r="A955">
        <f>'1 prepared data'!A948</f>
        <v/>
      </c>
      <c r="B955" s="5">
        <f>'1 prepared data'!U948</f>
        <v/>
      </c>
      <c r="C955">
        <f>'1 prepared data'!B948</f>
        <v/>
      </c>
      <c r="D955" s="7">
        <f>'1 prepared data'!C948</f>
        <v/>
      </c>
      <c r="E955" s="7">
        <f>'1 prepared data'!D948</f>
        <v/>
      </c>
      <c r="F955" s="7">
        <f>'1 prepared data'!E948</f>
        <v/>
      </c>
      <c r="G955" s="7">
        <f>'1 prepared data'!F948</f>
        <v/>
      </c>
      <c r="H955" s="7">
        <f>'1 prepared data'!G948</f>
        <v/>
      </c>
      <c r="I955" s="7">
        <f>'1 prepared data'!H948</f>
        <v/>
      </c>
      <c r="J955" s="7">
        <f>'1 prepared data'!I948</f>
        <v/>
      </c>
      <c r="K955" s="7">
        <f>'1 prepared data'!J948</f>
        <v/>
      </c>
      <c r="L955" s="7">
        <f>'1 prepared data'!K948</f>
        <v/>
      </c>
      <c r="M955" s="7">
        <f>'1 prepared data'!L948</f>
        <v/>
      </c>
      <c r="N955" s="7">
        <f>'1 prepared data'!M948</f>
        <v/>
      </c>
      <c r="O955" s="7">
        <f>'1 prepared data'!N948</f>
        <v/>
      </c>
      <c r="P955" s="7">
        <f>'1 prepared data'!O948</f>
        <v/>
      </c>
      <c r="Q955" s="7">
        <f>'1 prepared data'!P948</f>
        <v/>
      </c>
      <c r="R955" s="7">
        <f>'1 prepared data'!Q948</f>
        <v/>
      </c>
      <c r="S955" s="7">
        <f>'1 prepared data'!R948</f>
        <v/>
      </c>
      <c r="T955" s="7">
        <f>'1 prepared data'!S948</f>
        <v/>
      </c>
      <c r="U955" s="7">
        <f>'1 prepared data'!T948</f>
        <v/>
      </c>
      <c r="V955" s="8">
        <f>$AC$12+D955*$AC$13+E955*$AC$14+F955*$AC$15+G955*$AC$16+H955*$AC$17+I955*$AC$18+J955*$AC$19+K955*$AC$20+L955*$AC$21+M955*$AC$22+N955*$AC$23+O955*$AC$24+P955*$AC$25+Q955*$AC$26+R955*$AC$27+S955*$AC$28+T955*$AC$29+U955*$AC$30</f>
        <v/>
      </c>
      <c r="W955" s="8">
        <f>1/(1+EXP(-V955))</f>
        <v/>
      </c>
      <c r="X955" s="9">
        <f>-IF(C955=1,LN(W955),LN(1-W955))</f>
        <v/>
      </c>
      <c r="Y955" s="10">
        <f>IF(W955&gt;$AC$33,1,0)</f>
        <v/>
      </c>
      <c r="Z955">
        <f>IF(Y955=C955,1,0)</f>
        <v/>
      </c>
    </row>
    <row r="956">
      <c r="A956">
        <f>'1 prepared data'!A949</f>
        <v/>
      </c>
      <c r="B956" s="5">
        <f>'1 prepared data'!U949</f>
        <v/>
      </c>
      <c r="C956">
        <f>'1 prepared data'!B949</f>
        <v/>
      </c>
      <c r="D956" s="7">
        <f>'1 prepared data'!C949</f>
        <v/>
      </c>
      <c r="E956" s="7">
        <f>'1 prepared data'!D949</f>
        <v/>
      </c>
      <c r="F956" s="7">
        <f>'1 prepared data'!E949</f>
        <v/>
      </c>
      <c r="G956" s="7">
        <f>'1 prepared data'!F949</f>
        <v/>
      </c>
      <c r="H956" s="7">
        <f>'1 prepared data'!G949</f>
        <v/>
      </c>
      <c r="I956" s="7">
        <f>'1 prepared data'!H949</f>
        <v/>
      </c>
      <c r="J956" s="7">
        <f>'1 prepared data'!I949</f>
        <v/>
      </c>
      <c r="K956" s="7">
        <f>'1 prepared data'!J949</f>
        <v/>
      </c>
      <c r="L956" s="7">
        <f>'1 prepared data'!K949</f>
        <v/>
      </c>
      <c r="M956" s="7">
        <f>'1 prepared data'!L949</f>
        <v/>
      </c>
      <c r="N956" s="7">
        <f>'1 prepared data'!M949</f>
        <v/>
      </c>
      <c r="O956" s="7">
        <f>'1 prepared data'!N949</f>
        <v/>
      </c>
      <c r="P956" s="7">
        <f>'1 prepared data'!O949</f>
        <v/>
      </c>
      <c r="Q956" s="7">
        <f>'1 prepared data'!P949</f>
        <v/>
      </c>
      <c r="R956" s="7">
        <f>'1 prepared data'!Q949</f>
        <v/>
      </c>
      <c r="S956" s="7">
        <f>'1 prepared data'!R949</f>
        <v/>
      </c>
      <c r="T956" s="7">
        <f>'1 prepared data'!S949</f>
        <v/>
      </c>
      <c r="U956" s="7">
        <f>'1 prepared data'!T949</f>
        <v/>
      </c>
      <c r="V956" s="8">
        <f>$AC$12+D956*$AC$13+E956*$AC$14+F956*$AC$15+G956*$AC$16+H956*$AC$17+I956*$AC$18+J956*$AC$19+K956*$AC$20+L956*$AC$21+M956*$AC$22+N956*$AC$23+O956*$AC$24+P956*$AC$25+Q956*$AC$26+R956*$AC$27+S956*$AC$28+T956*$AC$29+U956*$AC$30</f>
        <v/>
      </c>
      <c r="W956" s="8">
        <f>1/(1+EXP(-V956))</f>
        <v/>
      </c>
      <c r="X956" s="9">
        <f>-IF(C956=1,LN(W956),LN(1-W956))</f>
        <v/>
      </c>
      <c r="Y956" s="10">
        <f>IF(W956&gt;$AC$33,1,0)</f>
        <v/>
      </c>
      <c r="Z956">
        <f>IF(Y956=C956,1,0)</f>
        <v/>
      </c>
    </row>
    <row r="957">
      <c r="A957">
        <f>'1 prepared data'!A950</f>
        <v/>
      </c>
      <c r="B957" s="5">
        <f>'1 prepared data'!U950</f>
        <v/>
      </c>
      <c r="C957">
        <f>'1 prepared data'!B950</f>
        <v/>
      </c>
      <c r="D957" s="7">
        <f>'1 prepared data'!C950</f>
        <v/>
      </c>
      <c r="E957" s="7">
        <f>'1 prepared data'!D950</f>
        <v/>
      </c>
      <c r="F957" s="7">
        <f>'1 prepared data'!E950</f>
        <v/>
      </c>
      <c r="G957" s="7">
        <f>'1 prepared data'!F950</f>
        <v/>
      </c>
      <c r="H957" s="7">
        <f>'1 prepared data'!G950</f>
        <v/>
      </c>
      <c r="I957" s="7">
        <f>'1 prepared data'!H950</f>
        <v/>
      </c>
      <c r="J957" s="7">
        <f>'1 prepared data'!I950</f>
        <v/>
      </c>
      <c r="K957" s="7">
        <f>'1 prepared data'!J950</f>
        <v/>
      </c>
      <c r="L957" s="7">
        <f>'1 prepared data'!K950</f>
        <v/>
      </c>
      <c r="M957" s="7">
        <f>'1 prepared data'!L950</f>
        <v/>
      </c>
      <c r="N957" s="7">
        <f>'1 prepared data'!M950</f>
        <v/>
      </c>
      <c r="O957" s="7">
        <f>'1 prepared data'!N950</f>
        <v/>
      </c>
      <c r="P957" s="7">
        <f>'1 prepared data'!O950</f>
        <v/>
      </c>
      <c r="Q957" s="7">
        <f>'1 prepared data'!P950</f>
        <v/>
      </c>
      <c r="R957" s="7">
        <f>'1 prepared data'!Q950</f>
        <v/>
      </c>
      <c r="S957" s="7">
        <f>'1 prepared data'!R950</f>
        <v/>
      </c>
      <c r="T957" s="7">
        <f>'1 prepared data'!S950</f>
        <v/>
      </c>
      <c r="U957" s="7">
        <f>'1 prepared data'!T950</f>
        <v/>
      </c>
      <c r="V957" s="8">
        <f>$AC$12+D957*$AC$13+E957*$AC$14+F957*$AC$15+G957*$AC$16+H957*$AC$17+I957*$AC$18+J957*$AC$19+K957*$AC$20+L957*$AC$21+M957*$AC$22+N957*$AC$23+O957*$AC$24+P957*$AC$25+Q957*$AC$26+R957*$AC$27+S957*$AC$28+T957*$AC$29+U957*$AC$30</f>
        <v/>
      </c>
      <c r="W957" s="8">
        <f>1/(1+EXP(-V957))</f>
        <v/>
      </c>
      <c r="X957" s="9">
        <f>-IF(C957=1,LN(W957),LN(1-W957))</f>
        <v/>
      </c>
      <c r="Y957" s="10">
        <f>IF(W957&gt;$AC$33,1,0)</f>
        <v/>
      </c>
      <c r="Z957">
        <f>IF(Y957=C957,1,0)</f>
        <v/>
      </c>
    </row>
    <row r="958">
      <c r="A958">
        <f>'1 prepared data'!A951</f>
        <v/>
      </c>
      <c r="B958" s="5">
        <f>'1 prepared data'!U951</f>
        <v/>
      </c>
      <c r="C958">
        <f>'1 prepared data'!B951</f>
        <v/>
      </c>
      <c r="D958" s="7">
        <f>'1 prepared data'!C951</f>
        <v/>
      </c>
      <c r="E958" s="7">
        <f>'1 prepared data'!D951</f>
        <v/>
      </c>
      <c r="F958" s="7">
        <f>'1 prepared data'!E951</f>
        <v/>
      </c>
      <c r="G958" s="7">
        <f>'1 prepared data'!F951</f>
        <v/>
      </c>
      <c r="H958" s="7">
        <f>'1 prepared data'!G951</f>
        <v/>
      </c>
      <c r="I958" s="7">
        <f>'1 prepared data'!H951</f>
        <v/>
      </c>
      <c r="J958" s="7">
        <f>'1 prepared data'!I951</f>
        <v/>
      </c>
      <c r="K958" s="7">
        <f>'1 prepared data'!J951</f>
        <v/>
      </c>
      <c r="L958" s="7">
        <f>'1 prepared data'!K951</f>
        <v/>
      </c>
      <c r="M958" s="7">
        <f>'1 prepared data'!L951</f>
        <v/>
      </c>
      <c r="N958" s="7">
        <f>'1 prepared data'!M951</f>
        <v/>
      </c>
      <c r="O958" s="7">
        <f>'1 prepared data'!N951</f>
        <v/>
      </c>
      <c r="P958" s="7">
        <f>'1 prepared data'!O951</f>
        <v/>
      </c>
      <c r="Q958" s="7">
        <f>'1 prepared data'!P951</f>
        <v/>
      </c>
      <c r="R958" s="7">
        <f>'1 prepared data'!Q951</f>
        <v/>
      </c>
      <c r="S958" s="7">
        <f>'1 prepared data'!R951</f>
        <v/>
      </c>
      <c r="T958" s="7">
        <f>'1 prepared data'!S951</f>
        <v/>
      </c>
      <c r="U958" s="7">
        <f>'1 prepared data'!T951</f>
        <v/>
      </c>
      <c r="V958" s="8">
        <f>$AC$12+D958*$AC$13+E958*$AC$14+F958*$AC$15+G958*$AC$16+H958*$AC$17+I958*$AC$18+J958*$AC$19+K958*$AC$20+L958*$AC$21+M958*$AC$22+N958*$AC$23+O958*$AC$24+P958*$AC$25+Q958*$AC$26+R958*$AC$27+S958*$AC$28+T958*$AC$29+U958*$AC$30</f>
        <v/>
      </c>
      <c r="W958" s="8">
        <f>1/(1+EXP(-V958))</f>
        <v/>
      </c>
      <c r="X958" s="9">
        <f>-IF(C958=1,LN(W958),LN(1-W958))</f>
        <v/>
      </c>
      <c r="Y958" s="10">
        <f>IF(W958&gt;$AC$33,1,0)</f>
        <v/>
      </c>
      <c r="Z958">
        <f>IF(Y958=C958,1,0)</f>
        <v/>
      </c>
    </row>
    <row r="959">
      <c r="A959">
        <f>'1 prepared data'!A952</f>
        <v/>
      </c>
      <c r="B959" s="5">
        <f>'1 prepared data'!U952</f>
        <v/>
      </c>
      <c r="C959">
        <f>'1 prepared data'!B952</f>
        <v/>
      </c>
      <c r="D959" s="7">
        <f>'1 prepared data'!C952</f>
        <v/>
      </c>
      <c r="E959" s="7">
        <f>'1 prepared data'!D952</f>
        <v/>
      </c>
      <c r="F959" s="7">
        <f>'1 prepared data'!E952</f>
        <v/>
      </c>
      <c r="G959" s="7">
        <f>'1 prepared data'!F952</f>
        <v/>
      </c>
      <c r="H959" s="7">
        <f>'1 prepared data'!G952</f>
        <v/>
      </c>
      <c r="I959" s="7">
        <f>'1 prepared data'!H952</f>
        <v/>
      </c>
      <c r="J959" s="7">
        <f>'1 prepared data'!I952</f>
        <v/>
      </c>
      <c r="K959" s="7">
        <f>'1 prepared data'!J952</f>
        <v/>
      </c>
      <c r="L959" s="7">
        <f>'1 prepared data'!K952</f>
        <v/>
      </c>
      <c r="M959" s="7">
        <f>'1 prepared data'!L952</f>
        <v/>
      </c>
      <c r="N959" s="7">
        <f>'1 prepared data'!M952</f>
        <v/>
      </c>
      <c r="O959" s="7">
        <f>'1 prepared data'!N952</f>
        <v/>
      </c>
      <c r="P959" s="7">
        <f>'1 prepared data'!O952</f>
        <v/>
      </c>
      <c r="Q959" s="7">
        <f>'1 prepared data'!P952</f>
        <v/>
      </c>
      <c r="R959" s="7">
        <f>'1 prepared data'!Q952</f>
        <v/>
      </c>
      <c r="S959" s="7">
        <f>'1 prepared data'!R952</f>
        <v/>
      </c>
      <c r="T959" s="7">
        <f>'1 prepared data'!S952</f>
        <v/>
      </c>
      <c r="U959" s="7">
        <f>'1 prepared data'!T952</f>
        <v/>
      </c>
      <c r="V959" s="8">
        <f>$AC$12+D959*$AC$13+E959*$AC$14+F959*$AC$15+G959*$AC$16+H959*$AC$17+I959*$AC$18+J959*$AC$19+K959*$AC$20+L959*$AC$21+M959*$AC$22+N959*$AC$23+O959*$AC$24+P959*$AC$25+Q959*$AC$26+R959*$AC$27+S959*$AC$28+T959*$AC$29+U959*$AC$30</f>
        <v/>
      </c>
      <c r="W959" s="8">
        <f>1/(1+EXP(-V959))</f>
        <v/>
      </c>
      <c r="X959" s="9">
        <f>-IF(C959=1,LN(W959),LN(1-W959))</f>
        <v/>
      </c>
      <c r="Y959" s="10">
        <f>IF(W959&gt;$AC$33,1,0)</f>
        <v/>
      </c>
      <c r="Z959">
        <f>IF(Y959=C959,1,0)</f>
        <v/>
      </c>
    </row>
    <row r="960">
      <c r="A960">
        <f>'1 prepared data'!A953</f>
        <v/>
      </c>
      <c r="B960" s="5">
        <f>'1 prepared data'!U953</f>
        <v/>
      </c>
      <c r="C960">
        <f>'1 prepared data'!B953</f>
        <v/>
      </c>
      <c r="D960" s="7">
        <f>'1 prepared data'!C953</f>
        <v/>
      </c>
      <c r="E960" s="7">
        <f>'1 prepared data'!D953</f>
        <v/>
      </c>
      <c r="F960" s="7">
        <f>'1 prepared data'!E953</f>
        <v/>
      </c>
      <c r="G960" s="7">
        <f>'1 prepared data'!F953</f>
        <v/>
      </c>
      <c r="H960" s="7">
        <f>'1 prepared data'!G953</f>
        <v/>
      </c>
      <c r="I960" s="7">
        <f>'1 prepared data'!H953</f>
        <v/>
      </c>
      <c r="J960" s="7">
        <f>'1 prepared data'!I953</f>
        <v/>
      </c>
      <c r="K960" s="7">
        <f>'1 prepared data'!J953</f>
        <v/>
      </c>
      <c r="L960" s="7">
        <f>'1 prepared data'!K953</f>
        <v/>
      </c>
      <c r="M960" s="7">
        <f>'1 prepared data'!L953</f>
        <v/>
      </c>
      <c r="N960" s="7">
        <f>'1 prepared data'!M953</f>
        <v/>
      </c>
      <c r="O960" s="7">
        <f>'1 prepared data'!N953</f>
        <v/>
      </c>
      <c r="P960" s="7">
        <f>'1 prepared data'!O953</f>
        <v/>
      </c>
      <c r="Q960" s="7">
        <f>'1 prepared data'!P953</f>
        <v/>
      </c>
      <c r="R960" s="7">
        <f>'1 prepared data'!Q953</f>
        <v/>
      </c>
      <c r="S960" s="7">
        <f>'1 prepared data'!R953</f>
        <v/>
      </c>
      <c r="T960" s="7">
        <f>'1 prepared data'!S953</f>
        <v/>
      </c>
      <c r="U960" s="7">
        <f>'1 prepared data'!T953</f>
        <v/>
      </c>
      <c r="V960" s="8">
        <f>$AC$12+D960*$AC$13+E960*$AC$14+F960*$AC$15+G960*$AC$16+H960*$AC$17+I960*$AC$18+J960*$AC$19+K960*$AC$20+L960*$AC$21+M960*$AC$22+N960*$AC$23+O960*$AC$24+P960*$AC$25+Q960*$AC$26+R960*$AC$27+S960*$AC$28+T960*$AC$29+U960*$AC$30</f>
        <v/>
      </c>
      <c r="W960" s="8">
        <f>1/(1+EXP(-V960))</f>
        <v/>
      </c>
      <c r="X960" s="9">
        <f>-IF(C960=1,LN(W960),LN(1-W960))</f>
        <v/>
      </c>
      <c r="Y960" s="10">
        <f>IF(W960&gt;$AC$33,1,0)</f>
        <v/>
      </c>
      <c r="Z960">
        <f>IF(Y960=C960,1,0)</f>
        <v/>
      </c>
    </row>
    <row r="961">
      <c r="A961">
        <f>'1 prepared data'!A954</f>
        <v/>
      </c>
      <c r="B961" s="5">
        <f>'1 prepared data'!U954</f>
        <v/>
      </c>
      <c r="C961">
        <f>'1 prepared data'!B954</f>
        <v/>
      </c>
      <c r="D961" s="7">
        <f>'1 prepared data'!C954</f>
        <v/>
      </c>
      <c r="E961" s="7">
        <f>'1 prepared data'!D954</f>
        <v/>
      </c>
      <c r="F961" s="7">
        <f>'1 prepared data'!E954</f>
        <v/>
      </c>
      <c r="G961" s="7">
        <f>'1 prepared data'!F954</f>
        <v/>
      </c>
      <c r="H961" s="7">
        <f>'1 prepared data'!G954</f>
        <v/>
      </c>
      <c r="I961" s="7">
        <f>'1 prepared data'!H954</f>
        <v/>
      </c>
      <c r="J961" s="7">
        <f>'1 prepared data'!I954</f>
        <v/>
      </c>
      <c r="K961" s="7">
        <f>'1 prepared data'!J954</f>
        <v/>
      </c>
      <c r="L961" s="7">
        <f>'1 prepared data'!K954</f>
        <v/>
      </c>
      <c r="M961" s="7">
        <f>'1 prepared data'!L954</f>
        <v/>
      </c>
      <c r="N961" s="7">
        <f>'1 prepared data'!M954</f>
        <v/>
      </c>
      <c r="O961" s="7">
        <f>'1 prepared data'!N954</f>
        <v/>
      </c>
      <c r="P961" s="7">
        <f>'1 prepared data'!O954</f>
        <v/>
      </c>
      <c r="Q961" s="7">
        <f>'1 prepared data'!P954</f>
        <v/>
      </c>
      <c r="R961" s="7">
        <f>'1 prepared data'!Q954</f>
        <v/>
      </c>
      <c r="S961" s="7">
        <f>'1 prepared data'!R954</f>
        <v/>
      </c>
      <c r="T961" s="7">
        <f>'1 prepared data'!S954</f>
        <v/>
      </c>
      <c r="U961" s="7">
        <f>'1 prepared data'!T954</f>
        <v/>
      </c>
      <c r="V961" s="8">
        <f>$AC$12+D961*$AC$13+E961*$AC$14+F961*$AC$15+G961*$AC$16+H961*$AC$17+I961*$AC$18+J961*$AC$19+K961*$AC$20+L961*$AC$21+M961*$AC$22+N961*$AC$23+O961*$AC$24+P961*$AC$25+Q961*$AC$26+R961*$AC$27+S961*$AC$28+T961*$AC$29+U961*$AC$30</f>
        <v/>
      </c>
      <c r="W961" s="8">
        <f>1/(1+EXP(-V961))</f>
        <v/>
      </c>
      <c r="X961" s="9">
        <f>-IF(C961=1,LN(W961),LN(1-W961))</f>
        <v/>
      </c>
      <c r="Y961" s="10">
        <f>IF(W961&gt;$AC$33,1,0)</f>
        <v/>
      </c>
      <c r="Z961">
        <f>IF(Y961=C961,1,0)</f>
        <v/>
      </c>
    </row>
    <row r="962">
      <c r="A962">
        <f>'1 prepared data'!A955</f>
        <v/>
      </c>
      <c r="B962" s="5">
        <f>'1 prepared data'!U955</f>
        <v/>
      </c>
      <c r="C962">
        <f>'1 prepared data'!B955</f>
        <v/>
      </c>
      <c r="D962" s="7">
        <f>'1 prepared data'!C955</f>
        <v/>
      </c>
      <c r="E962" s="7">
        <f>'1 prepared data'!D955</f>
        <v/>
      </c>
      <c r="F962" s="7">
        <f>'1 prepared data'!E955</f>
        <v/>
      </c>
      <c r="G962" s="7">
        <f>'1 prepared data'!F955</f>
        <v/>
      </c>
      <c r="H962" s="7">
        <f>'1 prepared data'!G955</f>
        <v/>
      </c>
      <c r="I962" s="7">
        <f>'1 prepared data'!H955</f>
        <v/>
      </c>
      <c r="J962" s="7">
        <f>'1 prepared data'!I955</f>
        <v/>
      </c>
      <c r="K962" s="7">
        <f>'1 prepared data'!J955</f>
        <v/>
      </c>
      <c r="L962" s="7">
        <f>'1 prepared data'!K955</f>
        <v/>
      </c>
      <c r="M962" s="7">
        <f>'1 prepared data'!L955</f>
        <v/>
      </c>
      <c r="N962" s="7">
        <f>'1 prepared data'!M955</f>
        <v/>
      </c>
      <c r="O962" s="7">
        <f>'1 prepared data'!N955</f>
        <v/>
      </c>
      <c r="P962" s="7">
        <f>'1 prepared data'!O955</f>
        <v/>
      </c>
      <c r="Q962" s="7">
        <f>'1 prepared data'!P955</f>
        <v/>
      </c>
      <c r="R962" s="7">
        <f>'1 prepared data'!Q955</f>
        <v/>
      </c>
      <c r="S962" s="7">
        <f>'1 prepared data'!R955</f>
        <v/>
      </c>
      <c r="T962" s="7">
        <f>'1 prepared data'!S955</f>
        <v/>
      </c>
      <c r="U962" s="7">
        <f>'1 prepared data'!T955</f>
        <v/>
      </c>
      <c r="V962" s="8">
        <f>$AC$12+D962*$AC$13+E962*$AC$14+F962*$AC$15+G962*$AC$16+H962*$AC$17+I962*$AC$18+J962*$AC$19+K962*$AC$20+L962*$AC$21+M962*$AC$22+N962*$AC$23+O962*$AC$24+P962*$AC$25+Q962*$AC$26+R962*$AC$27+S962*$AC$28+T962*$AC$29+U962*$AC$30</f>
        <v/>
      </c>
      <c r="W962" s="8">
        <f>1/(1+EXP(-V962))</f>
        <v/>
      </c>
      <c r="X962" s="9">
        <f>-IF(C962=1,LN(W962),LN(1-W962))</f>
        <v/>
      </c>
      <c r="Y962" s="10">
        <f>IF(W962&gt;$AC$33,1,0)</f>
        <v/>
      </c>
      <c r="Z962">
        <f>IF(Y962=C962,1,0)</f>
        <v/>
      </c>
    </row>
    <row r="963">
      <c r="A963">
        <f>'1 prepared data'!A956</f>
        <v/>
      </c>
      <c r="B963" s="5">
        <f>'1 prepared data'!U956</f>
        <v/>
      </c>
      <c r="C963">
        <f>'1 prepared data'!B956</f>
        <v/>
      </c>
      <c r="D963" s="7">
        <f>'1 prepared data'!C956</f>
        <v/>
      </c>
      <c r="E963" s="7">
        <f>'1 prepared data'!D956</f>
        <v/>
      </c>
      <c r="F963" s="7">
        <f>'1 prepared data'!E956</f>
        <v/>
      </c>
      <c r="G963" s="7">
        <f>'1 prepared data'!F956</f>
        <v/>
      </c>
      <c r="H963" s="7">
        <f>'1 prepared data'!G956</f>
        <v/>
      </c>
      <c r="I963" s="7">
        <f>'1 prepared data'!H956</f>
        <v/>
      </c>
      <c r="J963" s="7">
        <f>'1 prepared data'!I956</f>
        <v/>
      </c>
      <c r="K963" s="7">
        <f>'1 prepared data'!J956</f>
        <v/>
      </c>
      <c r="L963" s="7">
        <f>'1 prepared data'!K956</f>
        <v/>
      </c>
      <c r="M963" s="7">
        <f>'1 prepared data'!L956</f>
        <v/>
      </c>
      <c r="N963" s="7">
        <f>'1 prepared data'!M956</f>
        <v/>
      </c>
      <c r="O963" s="7">
        <f>'1 prepared data'!N956</f>
        <v/>
      </c>
      <c r="P963" s="7">
        <f>'1 prepared data'!O956</f>
        <v/>
      </c>
      <c r="Q963" s="7">
        <f>'1 prepared data'!P956</f>
        <v/>
      </c>
      <c r="R963" s="7">
        <f>'1 prepared data'!Q956</f>
        <v/>
      </c>
      <c r="S963" s="7">
        <f>'1 prepared data'!R956</f>
        <v/>
      </c>
      <c r="T963" s="7">
        <f>'1 prepared data'!S956</f>
        <v/>
      </c>
      <c r="U963" s="7">
        <f>'1 prepared data'!T956</f>
        <v/>
      </c>
      <c r="V963" s="8">
        <f>$AC$12+D963*$AC$13+E963*$AC$14+F963*$AC$15+G963*$AC$16+H963*$AC$17+I963*$AC$18+J963*$AC$19+K963*$AC$20+L963*$AC$21+M963*$AC$22+N963*$AC$23+O963*$AC$24+P963*$AC$25+Q963*$AC$26+R963*$AC$27+S963*$AC$28+T963*$AC$29+U963*$AC$30</f>
        <v/>
      </c>
      <c r="W963" s="8">
        <f>1/(1+EXP(-V963))</f>
        <v/>
      </c>
      <c r="X963" s="9">
        <f>-IF(C963=1,LN(W963),LN(1-W963))</f>
        <v/>
      </c>
      <c r="Y963" s="10">
        <f>IF(W963&gt;$AC$33,1,0)</f>
        <v/>
      </c>
      <c r="Z963">
        <f>IF(Y963=C963,1,0)</f>
        <v/>
      </c>
    </row>
    <row r="964">
      <c r="A964">
        <f>'1 prepared data'!A957</f>
        <v/>
      </c>
      <c r="B964" s="5">
        <f>'1 prepared data'!U957</f>
        <v/>
      </c>
      <c r="C964">
        <f>'1 prepared data'!B957</f>
        <v/>
      </c>
      <c r="D964" s="7">
        <f>'1 prepared data'!C957</f>
        <v/>
      </c>
      <c r="E964" s="7">
        <f>'1 prepared data'!D957</f>
        <v/>
      </c>
      <c r="F964" s="7">
        <f>'1 prepared data'!E957</f>
        <v/>
      </c>
      <c r="G964" s="7">
        <f>'1 prepared data'!F957</f>
        <v/>
      </c>
      <c r="H964" s="7">
        <f>'1 prepared data'!G957</f>
        <v/>
      </c>
      <c r="I964" s="7">
        <f>'1 prepared data'!H957</f>
        <v/>
      </c>
      <c r="J964" s="7">
        <f>'1 prepared data'!I957</f>
        <v/>
      </c>
      <c r="K964" s="7">
        <f>'1 prepared data'!J957</f>
        <v/>
      </c>
      <c r="L964" s="7">
        <f>'1 prepared data'!K957</f>
        <v/>
      </c>
      <c r="M964" s="7">
        <f>'1 prepared data'!L957</f>
        <v/>
      </c>
      <c r="N964" s="7">
        <f>'1 prepared data'!M957</f>
        <v/>
      </c>
      <c r="O964" s="7">
        <f>'1 prepared data'!N957</f>
        <v/>
      </c>
      <c r="P964" s="7">
        <f>'1 prepared data'!O957</f>
        <v/>
      </c>
      <c r="Q964" s="7">
        <f>'1 prepared data'!P957</f>
        <v/>
      </c>
      <c r="R964" s="7">
        <f>'1 prepared data'!Q957</f>
        <v/>
      </c>
      <c r="S964" s="7">
        <f>'1 prepared data'!R957</f>
        <v/>
      </c>
      <c r="T964" s="7">
        <f>'1 prepared data'!S957</f>
        <v/>
      </c>
      <c r="U964" s="7">
        <f>'1 prepared data'!T957</f>
        <v/>
      </c>
      <c r="V964" s="8">
        <f>$AC$12+D964*$AC$13+E964*$AC$14+F964*$AC$15+G964*$AC$16+H964*$AC$17+I964*$AC$18+J964*$AC$19+K964*$AC$20+L964*$AC$21+M964*$AC$22+N964*$AC$23+O964*$AC$24+P964*$AC$25+Q964*$AC$26+R964*$AC$27+S964*$AC$28+T964*$AC$29+U964*$AC$30</f>
        <v/>
      </c>
      <c r="W964" s="8">
        <f>1/(1+EXP(-V964))</f>
        <v/>
      </c>
      <c r="X964" s="9">
        <f>-IF(C964=1,LN(W964),LN(1-W964))</f>
        <v/>
      </c>
      <c r="Y964" s="10">
        <f>IF(W964&gt;$AC$33,1,0)</f>
        <v/>
      </c>
      <c r="Z964">
        <f>IF(Y964=C964,1,0)</f>
        <v/>
      </c>
    </row>
    <row r="965">
      <c r="A965">
        <f>'1 prepared data'!A958</f>
        <v/>
      </c>
      <c r="B965" s="5">
        <f>'1 prepared data'!U958</f>
        <v/>
      </c>
      <c r="C965">
        <f>'1 prepared data'!B958</f>
        <v/>
      </c>
      <c r="D965" s="7">
        <f>'1 prepared data'!C958</f>
        <v/>
      </c>
      <c r="E965" s="7">
        <f>'1 prepared data'!D958</f>
        <v/>
      </c>
      <c r="F965" s="7">
        <f>'1 prepared data'!E958</f>
        <v/>
      </c>
      <c r="G965" s="7">
        <f>'1 prepared data'!F958</f>
        <v/>
      </c>
      <c r="H965" s="7">
        <f>'1 prepared data'!G958</f>
        <v/>
      </c>
      <c r="I965" s="7">
        <f>'1 prepared data'!H958</f>
        <v/>
      </c>
      <c r="J965" s="7">
        <f>'1 prepared data'!I958</f>
        <v/>
      </c>
      <c r="K965" s="7">
        <f>'1 prepared data'!J958</f>
        <v/>
      </c>
      <c r="L965" s="7">
        <f>'1 prepared data'!K958</f>
        <v/>
      </c>
      <c r="M965" s="7">
        <f>'1 prepared data'!L958</f>
        <v/>
      </c>
      <c r="N965" s="7">
        <f>'1 prepared data'!M958</f>
        <v/>
      </c>
      <c r="O965" s="7">
        <f>'1 prepared data'!N958</f>
        <v/>
      </c>
      <c r="P965" s="7">
        <f>'1 prepared data'!O958</f>
        <v/>
      </c>
      <c r="Q965" s="7">
        <f>'1 prepared data'!P958</f>
        <v/>
      </c>
      <c r="R965" s="7">
        <f>'1 prepared data'!Q958</f>
        <v/>
      </c>
      <c r="S965" s="7">
        <f>'1 prepared data'!R958</f>
        <v/>
      </c>
      <c r="T965" s="7">
        <f>'1 prepared data'!S958</f>
        <v/>
      </c>
      <c r="U965" s="7">
        <f>'1 prepared data'!T958</f>
        <v/>
      </c>
      <c r="V965" s="8">
        <f>$AC$12+D965*$AC$13+E965*$AC$14+F965*$AC$15+G965*$AC$16+H965*$AC$17+I965*$AC$18+J965*$AC$19+K965*$AC$20+L965*$AC$21+M965*$AC$22+N965*$AC$23+O965*$AC$24+P965*$AC$25+Q965*$AC$26+R965*$AC$27+S965*$AC$28+T965*$AC$29+U965*$AC$30</f>
        <v/>
      </c>
      <c r="W965" s="8">
        <f>1/(1+EXP(-V965))</f>
        <v/>
      </c>
      <c r="X965" s="9">
        <f>-IF(C965=1,LN(W965),LN(1-W965))</f>
        <v/>
      </c>
      <c r="Y965" s="10">
        <f>IF(W965&gt;$AC$33,1,0)</f>
        <v/>
      </c>
      <c r="Z965">
        <f>IF(Y965=C965,1,0)</f>
        <v/>
      </c>
    </row>
    <row r="966">
      <c r="A966">
        <f>'1 prepared data'!A959</f>
        <v/>
      </c>
      <c r="B966" s="5">
        <f>'1 prepared data'!U959</f>
        <v/>
      </c>
      <c r="C966">
        <f>'1 prepared data'!B959</f>
        <v/>
      </c>
      <c r="D966" s="7">
        <f>'1 prepared data'!C959</f>
        <v/>
      </c>
      <c r="E966" s="7">
        <f>'1 prepared data'!D959</f>
        <v/>
      </c>
      <c r="F966" s="7">
        <f>'1 prepared data'!E959</f>
        <v/>
      </c>
      <c r="G966" s="7">
        <f>'1 prepared data'!F959</f>
        <v/>
      </c>
      <c r="H966" s="7">
        <f>'1 prepared data'!G959</f>
        <v/>
      </c>
      <c r="I966" s="7">
        <f>'1 prepared data'!H959</f>
        <v/>
      </c>
      <c r="J966" s="7">
        <f>'1 prepared data'!I959</f>
        <v/>
      </c>
      <c r="K966" s="7">
        <f>'1 prepared data'!J959</f>
        <v/>
      </c>
      <c r="L966" s="7">
        <f>'1 prepared data'!K959</f>
        <v/>
      </c>
      <c r="M966" s="7">
        <f>'1 prepared data'!L959</f>
        <v/>
      </c>
      <c r="N966" s="7">
        <f>'1 prepared data'!M959</f>
        <v/>
      </c>
      <c r="O966" s="7">
        <f>'1 prepared data'!N959</f>
        <v/>
      </c>
      <c r="P966" s="7">
        <f>'1 prepared data'!O959</f>
        <v/>
      </c>
      <c r="Q966" s="7">
        <f>'1 prepared data'!P959</f>
        <v/>
      </c>
      <c r="R966" s="7">
        <f>'1 prepared data'!Q959</f>
        <v/>
      </c>
      <c r="S966" s="7">
        <f>'1 prepared data'!R959</f>
        <v/>
      </c>
      <c r="T966" s="7">
        <f>'1 prepared data'!S959</f>
        <v/>
      </c>
      <c r="U966" s="7">
        <f>'1 prepared data'!T959</f>
        <v/>
      </c>
      <c r="V966" s="8">
        <f>$AC$12+D966*$AC$13+E966*$AC$14+F966*$AC$15+G966*$AC$16+H966*$AC$17+I966*$AC$18+J966*$AC$19+K966*$AC$20+L966*$AC$21+M966*$AC$22+N966*$AC$23+O966*$AC$24+P966*$AC$25+Q966*$AC$26+R966*$AC$27+S966*$AC$28+T966*$AC$29+U966*$AC$30</f>
        <v/>
      </c>
      <c r="W966" s="8">
        <f>1/(1+EXP(-V966))</f>
        <v/>
      </c>
      <c r="X966" s="9">
        <f>-IF(C966=1,LN(W966),LN(1-W966))</f>
        <v/>
      </c>
      <c r="Y966" s="10">
        <f>IF(W966&gt;$AC$33,1,0)</f>
        <v/>
      </c>
      <c r="Z966">
        <f>IF(Y966=C966,1,0)</f>
        <v/>
      </c>
    </row>
    <row r="967">
      <c r="A967">
        <f>'1 prepared data'!A960</f>
        <v/>
      </c>
      <c r="B967" s="5">
        <f>'1 prepared data'!U960</f>
        <v/>
      </c>
      <c r="C967">
        <f>'1 prepared data'!B960</f>
        <v/>
      </c>
      <c r="D967" s="7">
        <f>'1 prepared data'!C960</f>
        <v/>
      </c>
      <c r="E967" s="7">
        <f>'1 prepared data'!D960</f>
        <v/>
      </c>
      <c r="F967" s="7">
        <f>'1 prepared data'!E960</f>
        <v/>
      </c>
      <c r="G967" s="7">
        <f>'1 prepared data'!F960</f>
        <v/>
      </c>
      <c r="H967" s="7">
        <f>'1 prepared data'!G960</f>
        <v/>
      </c>
      <c r="I967" s="7">
        <f>'1 prepared data'!H960</f>
        <v/>
      </c>
      <c r="J967" s="7">
        <f>'1 prepared data'!I960</f>
        <v/>
      </c>
      <c r="K967" s="7">
        <f>'1 prepared data'!J960</f>
        <v/>
      </c>
      <c r="L967" s="7">
        <f>'1 prepared data'!K960</f>
        <v/>
      </c>
      <c r="M967" s="7">
        <f>'1 prepared data'!L960</f>
        <v/>
      </c>
      <c r="N967" s="7">
        <f>'1 prepared data'!M960</f>
        <v/>
      </c>
      <c r="O967" s="7">
        <f>'1 prepared data'!N960</f>
        <v/>
      </c>
      <c r="P967" s="7">
        <f>'1 prepared data'!O960</f>
        <v/>
      </c>
      <c r="Q967" s="7">
        <f>'1 prepared data'!P960</f>
        <v/>
      </c>
      <c r="R967" s="7">
        <f>'1 prepared data'!Q960</f>
        <v/>
      </c>
      <c r="S967" s="7">
        <f>'1 prepared data'!R960</f>
        <v/>
      </c>
      <c r="T967" s="7">
        <f>'1 prepared data'!S960</f>
        <v/>
      </c>
      <c r="U967" s="7">
        <f>'1 prepared data'!T960</f>
        <v/>
      </c>
      <c r="V967" s="8">
        <f>$AC$12+D967*$AC$13+E967*$AC$14+F967*$AC$15+G967*$AC$16+H967*$AC$17+I967*$AC$18+J967*$AC$19+K967*$AC$20+L967*$AC$21+M967*$AC$22+N967*$AC$23+O967*$AC$24+P967*$AC$25+Q967*$AC$26+R967*$AC$27+S967*$AC$28+T967*$AC$29+U967*$AC$30</f>
        <v/>
      </c>
      <c r="W967" s="8">
        <f>1/(1+EXP(-V967))</f>
        <v/>
      </c>
      <c r="X967" s="9">
        <f>-IF(C967=1,LN(W967),LN(1-W967))</f>
        <v/>
      </c>
      <c r="Y967" s="10">
        <f>IF(W967&gt;$AC$33,1,0)</f>
        <v/>
      </c>
      <c r="Z967">
        <f>IF(Y967=C967,1,0)</f>
        <v/>
      </c>
    </row>
    <row r="968">
      <c r="A968">
        <f>'1 prepared data'!A961</f>
        <v/>
      </c>
      <c r="B968" s="5">
        <f>'1 prepared data'!U961</f>
        <v/>
      </c>
      <c r="C968">
        <f>'1 prepared data'!B961</f>
        <v/>
      </c>
      <c r="D968" s="7">
        <f>'1 prepared data'!C961</f>
        <v/>
      </c>
      <c r="E968" s="7">
        <f>'1 prepared data'!D961</f>
        <v/>
      </c>
      <c r="F968" s="7">
        <f>'1 prepared data'!E961</f>
        <v/>
      </c>
      <c r="G968" s="7">
        <f>'1 prepared data'!F961</f>
        <v/>
      </c>
      <c r="H968" s="7">
        <f>'1 prepared data'!G961</f>
        <v/>
      </c>
      <c r="I968" s="7">
        <f>'1 prepared data'!H961</f>
        <v/>
      </c>
      <c r="J968" s="7">
        <f>'1 prepared data'!I961</f>
        <v/>
      </c>
      <c r="K968" s="7">
        <f>'1 prepared data'!J961</f>
        <v/>
      </c>
      <c r="L968" s="7">
        <f>'1 prepared data'!K961</f>
        <v/>
      </c>
      <c r="M968" s="7">
        <f>'1 prepared data'!L961</f>
        <v/>
      </c>
      <c r="N968" s="7">
        <f>'1 prepared data'!M961</f>
        <v/>
      </c>
      <c r="O968" s="7">
        <f>'1 prepared data'!N961</f>
        <v/>
      </c>
      <c r="P968" s="7">
        <f>'1 prepared data'!O961</f>
        <v/>
      </c>
      <c r="Q968" s="7">
        <f>'1 prepared data'!P961</f>
        <v/>
      </c>
      <c r="R968" s="7">
        <f>'1 prepared data'!Q961</f>
        <v/>
      </c>
      <c r="S968" s="7">
        <f>'1 prepared data'!R961</f>
        <v/>
      </c>
      <c r="T968" s="7">
        <f>'1 prepared data'!S961</f>
        <v/>
      </c>
      <c r="U968" s="7">
        <f>'1 prepared data'!T961</f>
        <v/>
      </c>
      <c r="V968" s="8">
        <f>$AC$12+D968*$AC$13+E968*$AC$14+F968*$AC$15+G968*$AC$16+H968*$AC$17+I968*$AC$18+J968*$AC$19+K968*$AC$20+L968*$AC$21+M968*$AC$22+N968*$AC$23+O968*$AC$24+P968*$AC$25+Q968*$AC$26+R968*$AC$27+S968*$AC$28+T968*$AC$29+U968*$AC$30</f>
        <v/>
      </c>
      <c r="W968" s="8">
        <f>1/(1+EXP(-V968))</f>
        <v/>
      </c>
      <c r="X968" s="9">
        <f>-IF(C968=1,LN(W968),LN(1-W968))</f>
        <v/>
      </c>
      <c r="Y968" s="10">
        <f>IF(W968&gt;$AC$33,1,0)</f>
        <v/>
      </c>
      <c r="Z968">
        <f>IF(Y968=C968,1,0)</f>
        <v/>
      </c>
    </row>
    <row r="969">
      <c r="A969">
        <f>'1 prepared data'!A962</f>
        <v/>
      </c>
      <c r="B969" s="5">
        <f>'1 prepared data'!U962</f>
        <v/>
      </c>
      <c r="C969">
        <f>'1 prepared data'!B962</f>
        <v/>
      </c>
      <c r="D969" s="7">
        <f>'1 prepared data'!C962</f>
        <v/>
      </c>
      <c r="E969" s="7">
        <f>'1 prepared data'!D962</f>
        <v/>
      </c>
      <c r="F969" s="7">
        <f>'1 prepared data'!E962</f>
        <v/>
      </c>
      <c r="G969" s="7">
        <f>'1 prepared data'!F962</f>
        <v/>
      </c>
      <c r="H969" s="7">
        <f>'1 prepared data'!G962</f>
        <v/>
      </c>
      <c r="I969" s="7">
        <f>'1 prepared data'!H962</f>
        <v/>
      </c>
      <c r="J969" s="7">
        <f>'1 prepared data'!I962</f>
        <v/>
      </c>
      <c r="K969" s="7">
        <f>'1 prepared data'!J962</f>
        <v/>
      </c>
      <c r="L969" s="7">
        <f>'1 prepared data'!K962</f>
        <v/>
      </c>
      <c r="M969" s="7">
        <f>'1 prepared data'!L962</f>
        <v/>
      </c>
      <c r="N969" s="7">
        <f>'1 prepared data'!M962</f>
        <v/>
      </c>
      <c r="O969" s="7">
        <f>'1 prepared data'!N962</f>
        <v/>
      </c>
      <c r="P969" s="7">
        <f>'1 prepared data'!O962</f>
        <v/>
      </c>
      <c r="Q969" s="7">
        <f>'1 prepared data'!P962</f>
        <v/>
      </c>
      <c r="R969" s="7">
        <f>'1 prepared data'!Q962</f>
        <v/>
      </c>
      <c r="S969" s="7">
        <f>'1 prepared data'!R962</f>
        <v/>
      </c>
      <c r="T969" s="7">
        <f>'1 prepared data'!S962</f>
        <v/>
      </c>
      <c r="U969" s="7">
        <f>'1 prepared data'!T962</f>
        <v/>
      </c>
      <c r="V969" s="8">
        <f>$AC$12+D969*$AC$13+E969*$AC$14+F969*$AC$15+G969*$AC$16+H969*$AC$17+I969*$AC$18+J969*$AC$19+K969*$AC$20+L969*$AC$21+M969*$AC$22+N969*$AC$23+O969*$AC$24+P969*$AC$25+Q969*$AC$26+R969*$AC$27+S969*$AC$28+T969*$AC$29+U969*$AC$30</f>
        <v/>
      </c>
      <c r="W969" s="8">
        <f>1/(1+EXP(-V969))</f>
        <v/>
      </c>
      <c r="X969" s="9">
        <f>-IF(C969=1,LN(W969),LN(1-W969))</f>
        <v/>
      </c>
      <c r="Y969" s="10">
        <f>IF(W969&gt;$AC$33,1,0)</f>
        <v/>
      </c>
      <c r="Z969">
        <f>IF(Y969=C969,1,0)</f>
        <v/>
      </c>
    </row>
    <row r="970">
      <c r="A970">
        <f>'1 prepared data'!A963</f>
        <v/>
      </c>
      <c r="B970" s="5">
        <f>'1 prepared data'!U963</f>
        <v/>
      </c>
      <c r="C970">
        <f>'1 prepared data'!B963</f>
        <v/>
      </c>
      <c r="D970" s="7">
        <f>'1 prepared data'!C963</f>
        <v/>
      </c>
      <c r="E970" s="7">
        <f>'1 prepared data'!D963</f>
        <v/>
      </c>
      <c r="F970" s="7">
        <f>'1 prepared data'!E963</f>
        <v/>
      </c>
      <c r="G970" s="7">
        <f>'1 prepared data'!F963</f>
        <v/>
      </c>
      <c r="H970" s="7">
        <f>'1 prepared data'!G963</f>
        <v/>
      </c>
      <c r="I970" s="7">
        <f>'1 prepared data'!H963</f>
        <v/>
      </c>
      <c r="J970" s="7">
        <f>'1 prepared data'!I963</f>
        <v/>
      </c>
      <c r="K970" s="7">
        <f>'1 prepared data'!J963</f>
        <v/>
      </c>
      <c r="L970" s="7">
        <f>'1 prepared data'!K963</f>
        <v/>
      </c>
      <c r="M970" s="7">
        <f>'1 prepared data'!L963</f>
        <v/>
      </c>
      <c r="N970" s="7">
        <f>'1 prepared data'!M963</f>
        <v/>
      </c>
      <c r="O970" s="7">
        <f>'1 prepared data'!N963</f>
        <v/>
      </c>
      <c r="P970" s="7">
        <f>'1 prepared data'!O963</f>
        <v/>
      </c>
      <c r="Q970" s="7">
        <f>'1 prepared data'!P963</f>
        <v/>
      </c>
      <c r="R970" s="7">
        <f>'1 prepared data'!Q963</f>
        <v/>
      </c>
      <c r="S970" s="7">
        <f>'1 prepared data'!R963</f>
        <v/>
      </c>
      <c r="T970" s="7">
        <f>'1 prepared data'!S963</f>
        <v/>
      </c>
      <c r="U970" s="7">
        <f>'1 prepared data'!T963</f>
        <v/>
      </c>
      <c r="V970" s="8">
        <f>$AC$12+D970*$AC$13+E970*$AC$14+F970*$AC$15+G970*$AC$16+H970*$AC$17+I970*$AC$18+J970*$AC$19+K970*$AC$20+L970*$AC$21+M970*$AC$22+N970*$AC$23+O970*$AC$24+P970*$AC$25+Q970*$AC$26+R970*$AC$27+S970*$AC$28+T970*$AC$29+U970*$AC$30</f>
        <v/>
      </c>
      <c r="W970" s="8">
        <f>1/(1+EXP(-V970))</f>
        <v/>
      </c>
      <c r="X970" s="9">
        <f>-IF(C970=1,LN(W970),LN(1-W970))</f>
        <v/>
      </c>
      <c r="Y970" s="10">
        <f>IF(W970&gt;$AC$33,1,0)</f>
        <v/>
      </c>
      <c r="Z970">
        <f>IF(Y970=C970,1,0)</f>
        <v/>
      </c>
    </row>
    <row r="971">
      <c r="A971">
        <f>'1 prepared data'!A964</f>
        <v/>
      </c>
      <c r="B971" s="5">
        <f>'1 prepared data'!U964</f>
        <v/>
      </c>
      <c r="C971">
        <f>'1 prepared data'!B964</f>
        <v/>
      </c>
      <c r="D971" s="7">
        <f>'1 prepared data'!C964</f>
        <v/>
      </c>
      <c r="E971" s="7">
        <f>'1 prepared data'!D964</f>
        <v/>
      </c>
      <c r="F971" s="7">
        <f>'1 prepared data'!E964</f>
        <v/>
      </c>
      <c r="G971" s="7">
        <f>'1 prepared data'!F964</f>
        <v/>
      </c>
      <c r="H971" s="7">
        <f>'1 prepared data'!G964</f>
        <v/>
      </c>
      <c r="I971" s="7">
        <f>'1 prepared data'!H964</f>
        <v/>
      </c>
      <c r="J971" s="7">
        <f>'1 prepared data'!I964</f>
        <v/>
      </c>
      <c r="K971" s="7">
        <f>'1 prepared data'!J964</f>
        <v/>
      </c>
      <c r="L971" s="7">
        <f>'1 prepared data'!K964</f>
        <v/>
      </c>
      <c r="M971" s="7">
        <f>'1 prepared data'!L964</f>
        <v/>
      </c>
      <c r="N971" s="7">
        <f>'1 prepared data'!M964</f>
        <v/>
      </c>
      <c r="O971" s="7">
        <f>'1 prepared data'!N964</f>
        <v/>
      </c>
      <c r="P971" s="7">
        <f>'1 prepared data'!O964</f>
        <v/>
      </c>
      <c r="Q971" s="7">
        <f>'1 prepared data'!P964</f>
        <v/>
      </c>
      <c r="R971" s="7">
        <f>'1 prepared data'!Q964</f>
        <v/>
      </c>
      <c r="S971" s="7">
        <f>'1 prepared data'!R964</f>
        <v/>
      </c>
      <c r="T971" s="7">
        <f>'1 prepared data'!S964</f>
        <v/>
      </c>
      <c r="U971" s="7">
        <f>'1 prepared data'!T964</f>
        <v/>
      </c>
      <c r="V971" s="8">
        <f>$AC$12+D971*$AC$13+E971*$AC$14+F971*$AC$15+G971*$AC$16+H971*$AC$17+I971*$AC$18+J971*$AC$19+K971*$AC$20+L971*$AC$21+M971*$AC$22+N971*$AC$23+O971*$AC$24+P971*$AC$25+Q971*$AC$26+R971*$AC$27+S971*$AC$28+T971*$AC$29+U971*$AC$30</f>
        <v/>
      </c>
      <c r="W971" s="8">
        <f>1/(1+EXP(-V971))</f>
        <v/>
      </c>
      <c r="X971" s="9">
        <f>-IF(C971=1,LN(W971),LN(1-W971))</f>
        <v/>
      </c>
      <c r="Y971" s="10">
        <f>IF(W971&gt;$AC$33,1,0)</f>
        <v/>
      </c>
      <c r="Z971">
        <f>IF(Y971=C971,1,0)</f>
        <v/>
      </c>
    </row>
    <row r="972">
      <c r="A972">
        <f>'1 prepared data'!A965</f>
        <v/>
      </c>
      <c r="B972" s="5">
        <f>'1 prepared data'!U965</f>
        <v/>
      </c>
      <c r="C972">
        <f>'1 prepared data'!B965</f>
        <v/>
      </c>
      <c r="D972" s="7">
        <f>'1 prepared data'!C965</f>
        <v/>
      </c>
      <c r="E972" s="7">
        <f>'1 prepared data'!D965</f>
        <v/>
      </c>
      <c r="F972" s="7">
        <f>'1 prepared data'!E965</f>
        <v/>
      </c>
      <c r="G972" s="7">
        <f>'1 prepared data'!F965</f>
        <v/>
      </c>
      <c r="H972" s="7">
        <f>'1 prepared data'!G965</f>
        <v/>
      </c>
      <c r="I972" s="7">
        <f>'1 prepared data'!H965</f>
        <v/>
      </c>
      <c r="J972" s="7">
        <f>'1 prepared data'!I965</f>
        <v/>
      </c>
      <c r="K972" s="7">
        <f>'1 prepared data'!J965</f>
        <v/>
      </c>
      <c r="L972" s="7">
        <f>'1 prepared data'!K965</f>
        <v/>
      </c>
      <c r="M972" s="7">
        <f>'1 prepared data'!L965</f>
        <v/>
      </c>
      <c r="N972" s="7">
        <f>'1 prepared data'!M965</f>
        <v/>
      </c>
      <c r="O972" s="7">
        <f>'1 prepared data'!N965</f>
        <v/>
      </c>
      <c r="P972" s="7">
        <f>'1 prepared data'!O965</f>
        <v/>
      </c>
      <c r="Q972" s="7">
        <f>'1 prepared data'!P965</f>
        <v/>
      </c>
      <c r="R972" s="7">
        <f>'1 prepared data'!Q965</f>
        <v/>
      </c>
      <c r="S972" s="7">
        <f>'1 prepared data'!R965</f>
        <v/>
      </c>
      <c r="T972" s="7">
        <f>'1 prepared data'!S965</f>
        <v/>
      </c>
      <c r="U972" s="7">
        <f>'1 prepared data'!T965</f>
        <v/>
      </c>
      <c r="V972" s="8">
        <f>$AC$12+D972*$AC$13+E972*$AC$14+F972*$AC$15+G972*$AC$16+H972*$AC$17+I972*$AC$18+J972*$AC$19+K972*$AC$20+L972*$AC$21+M972*$AC$22+N972*$AC$23+O972*$AC$24+P972*$AC$25+Q972*$AC$26+R972*$AC$27+S972*$AC$28+T972*$AC$29+U972*$AC$30</f>
        <v/>
      </c>
      <c r="W972" s="8">
        <f>1/(1+EXP(-V972))</f>
        <v/>
      </c>
      <c r="X972" s="9">
        <f>-IF(C972=1,LN(W972),LN(1-W972))</f>
        <v/>
      </c>
      <c r="Y972" s="10">
        <f>IF(W972&gt;$AC$33,1,0)</f>
        <v/>
      </c>
      <c r="Z972">
        <f>IF(Y972=C972,1,0)</f>
        <v/>
      </c>
    </row>
    <row r="973">
      <c r="A973">
        <f>'1 prepared data'!A966</f>
        <v/>
      </c>
      <c r="B973" s="5">
        <f>'1 prepared data'!U966</f>
        <v/>
      </c>
      <c r="C973">
        <f>'1 prepared data'!B966</f>
        <v/>
      </c>
      <c r="D973" s="7">
        <f>'1 prepared data'!C966</f>
        <v/>
      </c>
      <c r="E973" s="7">
        <f>'1 prepared data'!D966</f>
        <v/>
      </c>
      <c r="F973" s="7">
        <f>'1 prepared data'!E966</f>
        <v/>
      </c>
      <c r="G973" s="7">
        <f>'1 prepared data'!F966</f>
        <v/>
      </c>
      <c r="H973" s="7">
        <f>'1 prepared data'!G966</f>
        <v/>
      </c>
      <c r="I973" s="7">
        <f>'1 prepared data'!H966</f>
        <v/>
      </c>
      <c r="J973" s="7">
        <f>'1 prepared data'!I966</f>
        <v/>
      </c>
      <c r="K973" s="7">
        <f>'1 prepared data'!J966</f>
        <v/>
      </c>
      <c r="L973" s="7">
        <f>'1 prepared data'!K966</f>
        <v/>
      </c>
      <c r="M973" s="7">
        <f>'1 prepared data'!L966</f>
        <v/>
      </c>
      <c r="N973" s="7">
        <f>'1 prepared data'!M966</f>
        <v/>
      </c>
      <c r="O973" s="7">
        <f>'1 prepared data'!N966</f>
        <v/>
      </c>
      <c r="P973" s="7">
        <f>'1 prepared data'!O966</f>
        <v/>
      </c>
      <c r="Q973" s="7">
        <f>'1 prepared data'!P966</f>
        <v/>
      </c>
      <c r="R973" s="7">
        <f>'1 prepared data'!Q966</f>
        <v/>
      </c>
      <c r="S973" s="7">
        <f>'1 prepared data'!R966</f>
        <v/>
      </c>
      <c r="T973" s="7">
        <f>'1 prepared data'!S966</f>
        <v/>
      </c>
      <c r="U973" s="7">
        <f>'1 prepared data'!T966</f>
        <v/>
      </c>
      <c r="V973" s="8">
        <f>$AC$12+D973*$AC$13+E973*$AC$14+F973*$AC$15+G973*$AC$16+H973*$AC$17+I973*$AC$18+J973*$AC$19+K973*$AC$20+L973*$AC$21+M973*$AC$22+N973*$AC$23+O973*$AC$24+P973*$AC$25+Q973*$AC$26+R973*$AC$27+S973*$AC$28+T973*$AC$29+U973*$AC$30</f>
        <v/>
      </c>
      <c r="W973" s="8">
        <f>1/(1+EXP(-V973))</f>
        <v/>
      </c>
      <c r="X973" s="9">
        <f>-IF(C973=1,LN(W973),LN(1-W973))</f>
        <v/>
      </c>
      <c r="Y973" s="10">
        <f>IF(W973&gt;$AC$33,1,0)</f>
        <v/>
      </c>
      <c r="Z973">
        <f>IF(Y973=C973,1,0)</f>
        <v/>
      </c>
    </row>
    <row r="974">
      <c r="A974">
        <f>'1 prepared data'!A967</f>
        <v/>
      </c>
      <c r="B974" s="5">
        <f>'1 prepared data'!U967</f>
        <v/>
      </c>
      <c r="C974">
        <f>'1 prepared data'!B967</f>
        <v/>
      </c>
      <c r="D974" s="7">
        <f>'1 prepared data'!C967</f>
        <v/>
      </c>
      <c r="E974" s="7">
        <f>'1 prepared data'!D967</f>
        <v/>
      </c>
      <c r="F974" s="7">
        <f>'1 prepared data'!E967</f>
        <v/>
      </c>
      <c r="G974" s="7">
        <f>'1 prepared data'!F967</f>
        <v/>
      </c>
      <c r="H974" s="7">
        <f>'1 prepared data'!G967</f>
        <v/>
      </c>
      <c r="I974" s="7">
        <f>'1 prepared data'!H967</f>
        <v/>
      </c>
      <c r="J974" s="7">
        <f>'1 prepared data'!I967</f>
        <v/>
      </c>
      <c r="K974" s="7">
        <f>'1 prepared data'!J967</f>
        <v/>
      </c>
      <c r="L974" s="7">
        <f>'1 prepared data'!K967</f>
        <v/>
      </c>
      <c r="M974" s="7">
        <f>'1 prepared data'!L967</f>
        <v/>
      </c>
      <c r="N974" s="7">
        <f>'1 prepared data'!M967</f>
        <v/>
      </c>
      <c r="O974" s="7">
        <f>'1 prepared data'!N967</f>
        <v/>
      </c>
      <c r="P974" s="7">
        <f>'1 prepared data'!O967</f>
        <v/>
      </c>
      <c r="Q974" s="7">
        <f>'1 prepared data'!P967</f>
        <v/>
      </c>
      <c r="R974" s="7">
        <f>'1 prepared data'!Q967</f>
        <v/>
      </c>
      <c r="S974" s="7">
        <f>'1 prepared data'!R967</f>
        <v/>
      </c>
      <c r="T974" s="7">
        <f>'1 prepared data'!S967</f>
        <v/>
      </c>
      <c r="U974" s="7">
        <f>'1 prepared data'!T967</f>
        <v/>
      </c>
      <c r="V974" s="8">
        <f>$AC$12+D974*$AC$13+E974*$AC$14+F974*$AC$15+G974*$AC$16+H974*$AC$17+I974*$AC$18+J974*$AC$19+K974*$AC$20+L974*$AC$21+M974*$AC$22+N974*$AC$23+O974*$AC$24+P974*$AC$25+Q974*$AC$26+R974*$AC$27+S974*$AC$28+T974*$AC$29+U974*$AC$30</f>
        <v/>
      </c>
      <c r="W974" s="8">
        <f>1/(1+EXP(-V974))</f>
        <v/>
      </c>
      <c r="X974" s="9">
        <f>-IF(C974=1,LN(W974),LN(1-W974))</f>
        <v/>
      </c>
      <c r="Y974" s="10">
        <f>IF(W974&gt;$AC$33,1,0)</f>
        <v/>
      </c>
      <c r="Z974">
        <f>IF(Y974=C974,1,0)</f>
        <v/>
      </c>
    </row>
    <row r="975">
      <c r="A975">
        <f>'1 prepared data'!A968</f>
        <v/>
      </c>
      <c r="B975" s="5">
        <f>'1 prepared data'!U968</f>
        <v/>
      </c>
      <c r="C975">
        <f>'1 prepared data'!B968</f>
        <v/>
      </c>
      <c r="D975" s="7">
        <f>'1 prepared data'!C968</f>
        <v/>
      </c>
      <c r="E975" s="7">
        <f>'1 prepared data'!D968</f>
        <v/>
      </c>
      <c r="F975" s="7">
        <f>'1 prepared data'!E968</f>
        <v/>
      </c>
      <c r="G975" s="7">
        <f>'1 prepared data'!F968</f>
        <v/>
      </c>
      <c r="H975" s="7">
        <f>'1 prepared data'!G968</f>
        <v/>
      </c>
      <c r="I975" s="7">
        <f>'1 prepared data'!H968</f>
        <v/>
      </c>
      <c r="J975" s="7">
        <f>'1 prepared data'!I968</f>
        <v/>
      </c>
      <c r="K975" s="7">
        <f>'1 prepared data'!J968</f>
        <v/>
      </c>
      <c r="L975" s="7">
        <f>'1 prepared data'!K968</f>
        <v/>
      </c>
      <c r="M975" s="7">
        <f>'1 prepared data'!L968</f>
        <v/>
      </c>
      <c r="N975" s="7">
        <f>'1 prepared data'!M968</f>
        <v/>
      </c>
      <c r="O975" s="7">
        <f>'1 prepared data'!N968</f>
        <v/>
      </c>
      <c r="P975" s="7">
        <f>'1 prepared data'!O968</f>
        <v/>
      </c>
      <c r="Q975" s="7">
        <f>'1 prepared data'!P968</f>
        <v/>
      </c>
      <c r="R975" s="7">
        <f>'1 prepared data'!Q968</f>
        <v/>
      </c>
      <c r="S975" s="7">
        <f>'1 prepared data'!R968</f>
        <v/>
      </c>
      <c r="T975" s="7">
        <f>'1 prepared data'!S968</f>
        <v/>
      </c>
      <c r="U975" s="7">
        <f>'1 prepared data'!T968</f>
        <v/>
      </c>
      <c r="V975" s="8">
        <f>$AC$12+D975*$AC$13+E975*$AC$14+F975*$AC$15+G975*$AC$16+H975*$AC$17+I975*$AC$18+J975*$AC$19+K975*$AC$20+L975*$AC$21+M975*$AC$22+N975*$AC$23+O975*$AC$24+P975*$AC$25+Q975*$AC$26+R975*$AC$27+S975*$AC$28+T975*$AC$29+U975*$AC$30</f>
        <v/>
      </c>
      <c r="W975" s="8">
        <f>1/(1+EXP(-V975))</f>
        <v/>
      </c>
      <c r="X975" s="9">
        <f>-IF(C975=1,LN(W975),LN(1-W975))</f>
        <v/>
      </c>
      <c r="Y975" s="10">
        <f>IF(W975&gt;$AC$33,1,0)</f>
        <v/>
      </c>
      <c r="Z975">
        <f>IF(Y975=C975,1,0)</f>
        <v/>
      </c>
    </row>
    <row r="976">
      <c r="A976">
        <f>'1 prepared data'!A969</f>
        <v/>
      </c>
      <c r="B976" s="5">
        <f>'1 prepared data'!U969</f>
        <v/>
      </c>
      <c r="C976">
        <f>'1 prepared data'!B969</f>
        <v/>
      </c>
      <c r="D976" s="7">
        <f>'1 prepared data'!C969</f>
        <v/>
      </c>
      <c r="E976" s="7">
        <f>'1 prepared data'!D969</f>
        <v/>
      </c>
      <c r="F976" s="7">
        <f>'1 prepared data'!E969</f>
        <v/>
      </c>
      <c r="G976" s="7">
        <f>'1 prepared data'!F969</f>
        <v/>
      </c>
      <c r="H976" s="7">
        <f>'1 prepared data'!G969</f>
        <v/>
      </c>
      <c r="I976" s="7">
        <f>'1 prepared data'!H969</f>
        <v/>
      </c>
      <c r="J976" s="7">
        <f>'1 prepared data'!I969</f>
        <v/>
      </c>
      <c r="K976" s="7">
        <f>'1 prepared data'!J969</f>
        <v/>
      </c>
      <c r="L976" s="7">
        <f>'1 prepared data'!K969</f>
        <v/>
      </c>
      <c r="M976" s="7">
        <f>'1 prepared data'!L969</f>
        <v/>
      </c>
      <c r="N976" s="7">
        <f>'1 prepared data'!M969</f>
        <v/>
      </c>
      <c r="O976" s="7">
        <f>'1 prepared data'!N969</f>
        <v/>
      </c>
      <c r="P976" s="7">
        <f>'1 prepared data'!O969</f>
        <v/>
      </c>
      <c r="Q976" s="7">
        <f>'1 prepared data'!P969</f>
        <v/>
      </c>
      <c r="R976" s="7">
        <f>'1 prepared data'!Q969</f>
        <v/>
      </c>
      <c r="S976" s="7">
        <f>'1 prepared data'!R969</f>
        <v/>
      </c>
      <c r="T976" s="7">
        <f>'1 prepared data'!S969</f>
        <v/>
      </c>
      <c r="U976" s="7">
        <f>'1 prepared data'!T969</f>
        <v/>
      </c>
      <c r="V976" s="8">
        <f>$AC$12+D976*$AC$13+E976*$AC$14+F976*$AC$15+G976*$AC$16+H976*$AC$17+I976*$AC$18+J976*$AC$19+K976*$AC$20+L976*$AC$21+M976*$AC$22+N976*$AC$23+O976*$AC$24+P976*$AC$25+Q976*$AC$26+R976*$AC$27+S976*$AC$28+T976*$AC$29+U976*$AC$30</f>
        <v/>
      </c>
      <c r="W976" s="8">
        <f>1/(1+EXP(-V976))</f>
        <v/>
      </c>
      <c r="X976" s="9">
        <f>-IF(C976=1,LN(W976),LN(1-W976))</f>
        <v/>
      </c>
      <c r="Y976" s="10">
        <f>IF(W976&gt;$AC$33,1,0)</f>
        <v/>
      </c>
      <c r="Z976">
        <f>IF(Y976=C976,1,0)</f>
        <v/>
      </c>
    </row>
    <row r="977">
      <c r="A977">
        <f>'1 prepared data'!A970</f>
        <v/>
      </c>
      <c r="B977" s="5">
        <f>'1 prepared data'!U970</f>
        <v/>
      </c>
      <c r="C977">
        <f>'1 prepared data'!B970</f>
        <v/>
      </c>
      <c r="D977" s="7">
        <f>'1 prepared data'!C970</f>
        <v/>
      </c>
      <c r="E977" s="7">
        <f>'1 prepared data'!D970</f>
        <v/>
      </c>
      <c r="F977" s="7">
        <f>'1 prepared data'!E970</f>
        <v/>
      </c>
      <c r="G977" s="7">
        <f>'1 prepared data'!F970</f>
        <v/>
      </c>
      <c r="H977" s="7">
        <f>'1 prepared data'!G970</f>
        <v/>
      </c>
      <c r="I977" s="7">
        <f>'1 prepared data'!H970</f>
        <v/>
      </c>
      <c r="J977" s="7">
        <f>'1 prepared data'!I970</f>
        <v/>
      </c>
      <c r="K977" s="7">
        <f>'1 prepared data'!J970</f>
        <v/>
      </c>
      <c r="L977" s="7">
        <f>'1 prepared data'!K970</f>
        <v/>
      </c>
      <c r="M977" s="7">
        <f>'1 prepared data'!L970</f>
        <v/>
      </c>
      <c r="N977" s="7">
        <f>'1 prepared data'!M970</f>
        <v/>
      </c>
      <c r="O977" s="7">
        <f>'1 prepared data'!N970</f>
        <v/>
      </c>
      <c r="P977" s="7">
        <f>'1 prepared data'!O970</f>
        <v/>
      </c>
      <c r="Q977" s="7">
        <f>'1 prepared data'!P970</f>
        <v/>
      </c>
      <c r="R977" s="7">
        <f>'1 prepared data'!Q970</f>
        <v/>
      </c>
      <c r="S977" s="7">
        <f>'1 prepared data'!R970</f>
        <v/>
      </c>
      <c r="T977" s="7">
        <f>'1 prepared data'!S970</f>
        <v/>
      </c>
      <c r="U977" s="7">
        <f>'1 prepared data'!T970</f>
        <v/>
      </c>
      <c r="V977" s="8">
        <f>$AC$12+D977*$AC$13+E977*$AC$14+F977*$AC$15+G977*$AC$16+H977*$AC$17+I977*$AC$18+J977*$AC$19+K977*$AC$20+L977*$AC$21+M977*$AC$22+N977*$AC$23+O977*$AC$24+P977*$AC$25+Q977*$AC$26+R977*$AC$27+S977*$AC$28+T977*$AC$29+U977*$AC$30</f>
        <v/>
      </c>
      <c r="W977" s="8">
        <f>1/(1+EXP(-V977))</f>
        <v/>
      </c>
      <c r="X977" s="9">
        <f>-IF(C977=1,LN(W977),LN(1-W977))</f>
        <v/>
      </c>
      <c r="Y977" s="10">
        <f>IF(W977&gt;$AC$33,1,0)</f>
        <v/>
      </c>
      <c r="Z977">
        <f>IF(Y977=C977,1,0)</f>
        <v/>
      </c>
    </row>
    <row r="978">
      <c r="A978">
        <f>'1 prepared data'!A971</f>
        <v/>
      </c>
      <c r="B978" s="5">
        <f>'1 prepared data'!U971</f>
        <v/>
      </c>
      <c r="C978">
        <f>'1 prepared data'!B971</f>
        <v/>
      </c>
      <c r="D978" s="7">
        <f>'1 prepared data'!C971</f>
        <v/>
      </c>
      <c r="E978" s="7">
        <f>'1 prepared data'!D971</f>
        <v/>
      </c>
      <c r="F978" s="7">
        <f>'1 prepared data'!E971</f>
        <v/>
      </c>
      <c r="G978" s="7">
        <f>'1 prepared data'!F971</f>
        <v/>
      </c>
      <c r="H978" s="7">
        <f>'1 prepared data'!G971</f>
        <v/>
      </c>
      <c r="I978" s="7">
        <f>'1 prepared data'!H971</f>
        <v/>
      </c>
      <c r="J978" s="7">
        <f>'1 prepared data'!I971</f>
        <v/>
      </c>
      <c r="K978" s="7">
        <f>'1 prepared data'!J971</f>
        <v/>
      </c>
      <c r="L978" s="7">
        <f>'1 prepared data'!K971</f>
        <v/>
      </c>
      <c r="M978" s="7">
        <f>'1 prepared data'!L971</f>
        <v/>
      </c>
      <c r="N978" s="7">
        <f>'1 prepared data'!M971</f>
        <v/>
      </c>
      <c r="O978" s="7">
        <f>'1 prepared data'!N971</f>
        <v/>
      </c>
      <c r="P978" s="7">
        <f>'1 prepared data'!O971</f>
        <v/>
      </c>
      <c r="Q978" s="7">
        <f>'1 prepared data'!P971</f>
        <v/>
      </c>
      <c r="R978" s="7">
        <f>'1 prepared data'!Q971</f>
        <v/>
      </c>
      <c r="S978" s="7">
        <f>'1 prepared data'!R971</f>
        <v/>
      </c>
      <c r="T978" s="7">
        <f>'1 prepared data'!S971</f>
        <v/>
      </c>
      <c r="U978" s="7">
        <f>'1 prepared data'!T971</f>
        <v/>
      </c>
      <c r="V978" s="8">
        <f>$AC$12+D978*$AC$13+E978*$AC$14+F978*$AC$15+G978*$AC$16+H978*$AC$17+I978*$AC$18+J978*$AC$19+K978*$AC$20+L978*$AC$21+M978*$AC$22+N978*$AC$23+O978*$AC$24+P978*$AC$25+Q978*$AC$26+R978*$AC$27+S978*$AC$28+T978*$AC$29+U978*$AC$30</f>
        <v/>
      </c>
      <c r="W978" s="8">
        <f>1/(1+EXP(-V978))</f>
        <v/>
      </c>
      <c r="X978" s="9">
        <f>-IF(C978=1,LN(W978),LN(1-W978))</f>
        <v/>
      </c>
      <c r="Y978" s="10">
        <f>IF(W978&gt;$AC$33,1,0)</f>
        <v/>
      </c>
      <c r="Z978">
        <f>IF(Y978=C978,1,0)</f>
        <v/>
      </c>
    </row>
    <row r="979">
      <c r="A979">
        <f>'1 prepared data'!A972</f>
        <v/>
      </c>
      <c r="B979" s="5">
        <f>'1 prepared data'!U972</f>
        <v/>
      </c>
      <c r="C979">
        <f>'1 prepared data'!B972</f>
        <v/>
      </c>
      <c r="D979" s="7">
        <f>'1 prepared data'!C972</f>
        <v/>
      </c>
      <c r="E979" s="7">
        <f>'1 prepared data'!D972</f>
        <v/>
      </c>
      <c r="F979" s="7">
        <f>'1 prepared data'!E972</f>
        <v/>
      </c>
      <c r="G979" s="7">
        <f>'1 prepared data'!F972</f>
        <v/>
      </c>
      <c r="H979" s="7">
        <f>'1 prepared data'!G972</f>
        <v/>
      </c>
      <c r="I979" s="7">
        <f>'1 prepared data'!H972</f>
        <v/>
      </c>
      <c r="J979" s="7">
        <f>'1 prepared data'!I972</f>
        <v/>
      </c>
      <c r="K979" s="7">
        <f>'1 prepared data'!J972</f>
        <v/>
      </c>
      <c r="L979" s="7">
        <f>'1 prepared data'!K972</f>
        <v/>
      </c>
      <c r="M979" s="7">
        <f>'1 prepared data'!L972</f>
        <v/>
      </c>
      <c r="N979" s="7">
        <f>'1 prepared data'!M972</f>
        <v/>
      </c>
      <c r="O979" s="7">
        <f>'1 prepared data'!N972</f>
        <v/>
      </c>
      <c r="P979" s="7">
        <f>'1 prepared data'!O972</f>
        <v/>
      </c>
      <c r="Q979" s="7">
        <f>'1 prepared data'!P972</f>
        <v/>
      </c>
      <c r="R979" s="7">
        <f>'1 prepared data'!Q972</f>
        <v/>
      </c>
      <c r="S979" s="7">
        <f>'1 prepared data'!R972</f>
        <v/>
      </c>
      <c r="T979" s="7">
        <f>'1 prepared data'!S972</f>
        <v/>
      </c>
      <c r="U979" s="7">
        <f>'1 prepared data'!T972</f>
        <v/>
      </c>
      <c r="V979" s="8">
        <f>$AC$12+D979*$AC$13+E979*$AC$14+F979*$AC$15+G979*$AC$16+H979*$AC$17+I979*$AC$18+J979*$AC$19+K979*$AC$20+L979*$AC$21+M979*$AC$22+N979*$AC$23+O979*$AC$24+P979*$AC$25+Q979*$AC$26+R979*$AC$27+S979*$AC$28+T979*$AC$29+U979*$AC$30</f>
        <v/>
      </c>
      <c r="W979" s="8">
        <f>1/(1+EXP(-V979))</f>
        <v/>
      </c>
      <c r="X979" s="9">
        <f>-IF(C979=1,LN(W979),LN(1-W979))</f>
        <v/>
      </c>
      <c r="Y979" s="10">
        <f>IF(W979&gt;$AC$33,1,0)</f>
        <v/>
      </c>
      <c r="Z979">
        <f>IF(Y979=C979,1,0)</f>
        <v/>
      </c>
    </row>
    <row r="980">
      <c r="A980">
        <f>'1 prepared data'!A973</f>
        <v/>
      </c>
      <c r="B980" s="5">
        <f>'1 prepared data'!U973</f>
        <v/>
      </c>
      <c r="C980">
        <f>'1 prepared data'!B973</f>
        <v/>
      </c>
      <c r="D980" s="7">
        <f>'1 prepared data'!C973</f>
        <v/>
      </c>
      <c r="E980" s="7">
        <f>'1 prepared data'!D973</f>
        <v/>
      </c>
      <c r="F980" s="7">
        <f>'1 prepared data'!E973</f>
        <v/>
      </c>
      <c r="G980" s="7">
        <f>'1 prepared data'!F973</f>
        <v/>
      </c>
      <c r="H980" s="7">
        <f>'1 prepared data'!G973</f>
        <v/>
      </c>
      <c r="I980" s="7">
        <f>'1 prepared data'!H973</f>
        <v/>
      </c>
      <c r="J980" s="7">
        <f>'1 prepared data'!I973</f>
        <v/>
      </c>
      <c r="K980" s="7">
        <f>'1 prepared data'!J973</f>
        <v/>
      </c>
      <c r="L980" s="7">
        <f>'1 prepared data'!K973</f>
        <v/>
      </c>
      <c r="M980" s="7">
        <f>'1 prepared data'!L973</f>
        <v/>
      </c>
      <c r="N980" s="7">
        <f>'1 prepared data'!M973</f>
        <v/>
      </c>
      <c r="O980" s="7">
        <f>'1 prepared data'!N973</f>
        <v/>
      </c>
      <c r="P980" s="7">
        <f>'1 prepared data'!O973</f>
        <v/>
      </c>
      <c r="Q980" s="7">
        <f>'1 prepared data'!P973</f>
        <v/>
      </c>
      <c r="R980" s="7">
        <f>'1 prepared data'!Q973</f>
        <v/>
      </c>
      <c r="S980" s="7">
        <f>'1 prepared data'!R973</f>
        <v/>
      </c>
      <c r="T980" s="7">
        <f>'1 prepared data'!S973</f>
        <v/>
      </c>
      <c r="U980" s="7">
        <f>'1 prepared data'!T973</f>
        <v/>
      </c>
      <c r="V980" s="8">
        <f>$AC$12+D980*$AC$13+E980*$AC$14+F980*$AC$15+G980*$AC$16+H980*$AC$17+I980*$AC$18+J980*$AC$19+K980*$AC$20+L980*$AC$21+M980*$AC$22+N980*$AC$23+O980*$AC$24+P980*$AC$25+Q980*$AC$26+R980*$AC$27+S980*$AC$28+T980*$AC$29+U980*$AC$30</f>
        <v/>
      </c>
      <c r="W980" s="8">
        <f>1/(1+EXP(-V980))</f>
        <v/>
      </c>
      <c r="X980" s="9">
        <f>-IF(C980=1,LN(W980),LN(1-W980))</f>
        <v/>
      </c>
      <c r="Y980" s="10">
        <f>IF(W980&gt;$AC$33,1,0)</f>
        <v/>
      </c>
      <c r="Z980">
        <f>IF(Y980=C980,1,0)</f>
        <v/>
      </c>
    </row>
    <row r="981">
      <c r="A981">
        <f>'1 prepared data'!A974</f>
        <v/>
      </c>
      <c r="B981" s="5">
        <f>'1 prepared data'!U974</f>
        <v/>
      </c>
      <c r="C981">
        <f>'1 prepared data'!B974</f>
        <v/>
      </c>
      <c r="D981" s="7">
        <f>'1 prepared data'!C974</f>
        <v/>
      </c>
      <c r="E981" s="7">
        <f>'1 prepared data'!D974</f>
        <v/>
      </c>
      <c r="F981" s="7">
        <f>'1 prepared data'!E974</f>
        <v/>
      </c>
      <c r="G981" s="7">
        <f>'1 prepared data'!F974</f>
        <v/>
      </c>
      <c r="H981" s="7">
        <f>'1 prepared data'!G974</f>
        <v/>
      </c>
      <c r="I981" s="7">
        <f>'1 prepared data'!H974</f>
        <v/>
      </c>
      <c r="J981" s="7">
        <f>'1 prepared data'!I974</f>
        <v/>
      </c>
      <c r="K981" s="7">
        <f>'1 prepared data'!J974</f>
        <v/>
      </c>
      <c r="L981" s="7">
        <f>'1 prepared data'!K974</f>
        <v/>
      </c>
      <c r="M981" s="7">
        <f>'1 prepared data'!L974</f>
        <v/>
      </c>
      <c r="N981" s="7">
        <f>'1 prepared data'!M974</f>
        <v/>
      </c>
      <c r="O981" s="7">
        <f>'1 prepared data'!N974</f>
        <v/>
      </c>
      <c r="P981" s="7">
        <f>'1 prepared data'!O974</f>
        <v/>
      </c>
      <c r="Q981" s="7">
        <f>'1 prepared data'!P974</f>
        <v/>
      </c>
      <c r="R981" s="7">
        <f>'1 prepared data'!Q974</f>
        <v/>
      </c>
      <c r="S981" s="7">
        <f>'1 prepared data'!R974</f>
        <v/>
      </c>
      <c r="T981" s="7">
        <f>'1 prepared data'!S974</f>
        <v/>
      </c>
      <c r="U981" s="7">
        <f>'1 prepared data'!T974</f>
        <v/>
      </c>
      <c r="V981" s="8">
        <f>$AC$12+D981*$AC$13+E981*$AC$14+F981*$AC$15+G981*$AC$16+H981*$AC$17+I981*$AC$18+J981*$AC$19+K981*$AC$20+L981*$AC$21+M981*$AC$22+N981*$AC$23+O981*$AC$24+P981*$AC$25+Q981*$AC$26+R981*$AC$27+S981*$AC$28+T981*$AC$29+U981*$AC$30</f>
        <v/>
      </c>
      <c r="W981" s="8">
        <f>1/(1+EXP(-V981))</f>
        <v/>
      </c>
      <c r="X981" s="9">
        <f>-IF(C981=1,LN(W981),LN(1-W981))</f>
        <v/>
      </c>
      <c r="Y981" s="10">
        <f>IF(W981&gt;$AC$33,1,0)</f>
        <v/>
      </c>
      <c r="Z981">
        <f>IF(Y981=C981,1,0)</f>
        <v/>
      </c>
    </row>
    <row r="982">
      <c r="A982">
        <f>'1 prepared data'!A975</f>
        <v/>
      </c>
      <c r="B982" s="5">
        <f>'1 prepared data'!U975</f>
        <v/>
      </c>
      <c r="C982">
        <f>'1 prepared data'!B975</f>
        <v/>
      </c>
      <c r="D982" s="7">
        <f>'1 prepared data'!C975</f>
        <v/>
      </c>
      <c r="E982" s="7">
        <f>'1 prepared data'!D975</f>
        <v/>
      </c>
      <c r="F982" s="7">
        <f>'1 prepared data'!E975</f>
        <v/>
      </c>
      <c r="G982" s="7">
        <f>'1 prepared data'!F975</f>
        <v/>
      </c>
      <c r="H982" s="7">
        <f>'1 prepared data'!G975</f>
        <v/>
      </c>
      <c r="I982" s="7">
        <f>'1 prepared data'!H975</f>
        <v/>
      </c>
      <c r="J982" s="7">
        <f>'1 prepared data'!I975</f>
        <v/>
      </c>
      <c r="K982" s="7">
        <f>'1 prepared data'!J975</f>
        <v/>
      </c>
      <c r="L982" s="7">
        <f>'1 prepared data'!K975</f>
        <v/>
      </c>
      <c r="M982" s="7">
        <f>'1 prepared data'!L975</f>
        <v/>
      </c>
      <c r="N982" s="7">
        <f>'1 prepared data'!M975</f>
        <v/>
      </c>
      <c r="O982" s="7">
        <f>'1 prepared data'!N975</f>
        <v/>
      </c>
      <c r="P982" s="7">
        <f>'1 prepared data'!O975</f>
        <v/>
      </c>
      <c r="Q982" s="7">
        <f>'1 prepared data'!P975</f>
        <v/>
      </c>
      <c r="R982" s="7">
        <f>'1 prepared data'!Q975</f>
        <v/>
      </c>
      <c r="S982" s="7">
        <f>'1 prepared data'!R975</f>
        <v/>
      </c>
      <c r="T982" s="7">
        <f>'1 prepared data'!S975</f>
        <v/>
      </c>
      <c r="U982" s="7">
        <f>'1 prepared data'!T975</f>
        <v/>
      </c>
      <c r="V982" s="8">
        <f>$AC$12+D982*$AC$13+E982*$AC$14+F982*$AC$15+G982*$AC$16+H982*$AC$17+I982*$AC$18+J982*$AC$19+K982*$AC$20+L982*$AC$21+M982*$AC$22+N982*$AC$23+O982*$AC$24+P982*$AC$25+Q982*$AC$26+R982*$AC$27+S982*$AC$28+T982*$AC$29+U982*$AC$30</f>
        <v/>
      </c>
      <c r="W982" s="8">
        <f>1/(1+EXP(-V982))</f>
        <v/>
      </c>
      <c r="X982" s="9">
        <f>-IF(C982=1,LN(W982),LN(1-W982))</f>
        <v/>
      </c>
      <c r="Y982" s="10">
        <f>IF(W982&gt;$AC$33,1,0)</f>
        <v/>
      </c>
      <c r="Z982">
        <f>IF(Y982=C982,1,0)</f>
        <v/>
      </c>
    </row>
    <row r="983">
      <c r="A983">
        <f>'1 prepared data'!A976</f>
        <v/>
      </c>
      <c r="B983" s="5">
        <f>'1 prepared data'!U976</f>
        <v/>
      </c>
      <c r="C983">
        <f>'1 prepared data'!B976</f>
        <v/>
      </c>
      <c r="D983" s="7">
        <f>'1 prepared data'!C976</f>
        <v/>
      </c>
      <c r="E983" s="7">
        <f>'1 prepared data'!D976</f>
        <v/>
      </c>
      <c r="F983" s="7">
        <f>'1 prepared data'!E976</f>
        <v/>
      </c>
      <c r="G983" s="7">
        <f>'1 prepared data'!F976</f>
        <v/>
      </c>
      <c r="H983" s="7">
        <f>'1 prepared data'!G976</f>
        <v/>
      </c>
      <c r="I983" s="7">
        <f>'1 prepared data'!H976</f>
        <v/>
      </c>
      <c r="J983" s="7">
        <f>'1 prepared data'!I976</f>
        <v/>
      </c>
      <c r="K983" s="7">
        <f>'1 prepared data'!J976</f>
        <v/>
      </c>
      <c r="L983" s="7">
        <f>'1 prepared data'!K976</f>
        <v/>
      </c>
      <c r="M983" s="7">
        <f>'1 prepared data'!L976</f>
        <v/>
      </c>
      <c r="N983" s="7">
        <f>'1 prepared data'!M976</f>
        <v/>
      </c>
      <c r="O983" s="7">
        <f>'1 prepared data'!N976</f>
        <v/>
      </c>
      <c r="P983" s="7">
        <f>'1 prepared data'!O976</f>
        <v/>
      </c>
      <c r="Q983" s="7">
        <f>'1 prepared data'!P976</f>
        <v/>
      </c>
      <c r="R983" s="7">
        <f>'1 prepared data'!Q976</f>
        <v/>
      </c>
      <c r="S983" s="7">
        <f>'1 prepared data'!R976</f>
        <v/>
      </c>
      <c r="T983" s="7">
        <f>'1 prepared data'!S976</f>
        <v/>
      </c>
      <c r="U983" s="7">
        <f>'1 prepared data'!T976</f>
        <v/>
      </c>
      <c r="V983" s="8">
        <f>$AC$12+D983*$AC$13+E983*$AC$14+F983*$AC$15+G983*$AC$16+H983*$AC$17+I983*$AC$18+J983*$AC$19+K983*$AC$20+L983*$AC$21+M983*$AC$22+N983*$AC$23+O983*$AC$24+P983*$AC$25+Q983*$AC$26+R983*$AC$27+S983*$AC$28+T983*$AC$29+U983*$AC$30</f>
        <v/>
      </c>
      <c r="W983" s="8">
        <f>1/(1+EXP(-V983))</f>
        <v/>
      </c>
      <c r="X983" s="9">
        <f>-IF(C983=1,LN(W983),LN(1-W983))</f>
        <v/>
      </c>
      <c r="Y983" s="10">
        <f>IF(W983&gt;$AC$33,1,0)</f>
        <v/>
      </c>
      <c r="Z983">
        <f>IF(Y983=C983,1,0)</f>
        <v/>
      </c>
    </row>
    <row r="984">
      <c r="A984">
        <f>'1 prepared data'!A977</f>
        <v/>
      </c>
      <c r="B984" s="5">
        <f>'1 prepared data'!U977</f>
        <v/>
      </c>
      <c r="C984">
        <f>'1 prepared data'!B977</f>
        <v/>
      </c>
      <c r="D984" s="7">
        <f>'1 prepared data'!C977</f>
        <v/>
      </c>
      <c r="E984" s="7">
        <f>'1 prepared data'!D977</f>
        <v/>
      </c>
      <c r="F984" s="7">
        <f>'1 prepared data'!E977</f>
        <v/>
      </c>
      <c r="G984" s="7">
        <f>'1 prepared data'!F977</f>
        <v/>
      </c>
      <c r="H984" s="7">
        <f>'1 prepared data'!G977</f>
        <v/>
      </c>
      <c r="I984" s="7">
        <f>'1 prepared data'!H977</f>
        <v/>
      </c>
      <c r="J984" s="7">
        <f>'1 prepared data'!I977</f>
        <v/>
      </c>
      <c r="K984" s="7">
        <f>'1 prepared data'!J977</f>
        <v/>
      </c>
      <c r="L984" s="7">
        <f>'1 prepared data'!K977</f>
        <v/>
      </c>
      <c r="M984" s="7">
        <f>'1 prepared data'!L977</f>
        <v/>
      </c>
      <c r="N984" s="7">
        <f>'1 prepared data'!M977</f>
        <v/>
      </c>
      <c r="O984" s="7">
        <f>'1 prepared data'!N977</f>
        <v/>
      </c>
      <c r="P984" s="7">
        <f>'1 prepared data'!O977</f>
        <v/>
      </c>
      <c r="Q984" s="7">
        <f>'1 prepared data'!P977</f>
        <v/>
      </c>
      <c r="R984" s="7">
        <f>'1 prepared data'!Q977</f>
        <v/>
      </c>
      <c r="S984" s="7">
        <f>'1 prepared data'!R977</f>
        <v/>
      </c>
      <c r="T984" s="7">
        <f>'1 prepared data'!S977</f>
        <v/>
      </c>
      <c r="U984" s="7">
        <f>'1 prepared data'!T977</f>
        <v/>
      </c>
      <c r="V984" s="8">
        <f>$AC$12+D984*$AC$13+E984*$AC$14+F984*$AC$15+G984*$AC$16+H984*$AC$17+I984*$AC$18+J984*$AC$19+K984*$AC$20+L984*$AC$21+M984*$AC$22+N984*$AC$23+O984*$AC$24+P984*$AC$25+Q984*$AC$26+R984*$AC$27+S984*$AC$28+T984*$AC$29+U984*$AC$30</f>
        <v/>
      </c>
      <c r="W984" s="8">
        <f>1/(1+EXP(-V984))</f>
        <v/>
      </c>
      <c r="X984" s="9">
        <f>-IF(C984=1,LN(W984),LN(1-W984))</f>
        <v/>
      </c>
      <c r="Y984" s="10">
        <f>IF(W984&gt;$AC$33,1,0)</f>
        <v/>
      </c>
      <c r="Z984">
        <f>IF(Y984=C984,1,0)</f>
        <v/>
      </c>
    </row>
    <row r="985">
      <c r="A985">
        <f>'1 prepared data'!A978</f>
        <v/>
      </c>
      <c r="B985" s="5">
        <f>'1 prepared data'!U978</f>
        <v/>
      </c>
      <c r="C985">
        <f>'1 prepared data'!B978</f>
        <v/>
      </c>
      <c r="D985" s="7">
        <f>'1 prepared data'!C978</f>
        <v/>
      </c>
      <c r="E985" s="7">
        <f>'1 prepared data'!D978</f>
        <v/>
      </c>
      <c r="F985" s="7">
        <f>'1 prepared data'!E978</f>
        <v/>
      </c>
      <c r="G985" s="7">
        <f>'1 prepared data'!F978</f>
        <v/>
      </c>
      <c r="H985" s="7">
        <f>'1 prepared data'!G978</f>
        <v/>
      </c>
      <c r="I985" s="7">
        <f>'1 prepared data'!H978</f>
        <v/>
      </c>
      <c r="J985" s="7">
        <f>'1 prepared data'!I978</f>
        <v/>
      </c>
      <c r="K985" s="7">
        <f>'1 prepared data'!J978</f>
        <v/>
      </c>
      <c r="L985" s="7">
        <f>'1 prepared data'!K978</f>
        <v/>
      </c>
      <c r="M985" s="7">
        <f>'1 prepared data'!L978</f>
        <v/>
      </c>
      <c r="N985" s="7">
        <f>'1 prepared data'!M978</f>
        <v/>
      </c>
      <c r="O985" s="7">
        <f>'1 prepared data'!N978</f>
        <v/>
      </c>
      <c r="P985" s="7">
        <f>'1 prepared data'!O978</f>
        <v/>
      </c>
      <c r="Q985" s="7">
        <f>'1 prepared data'!P978</f>
        <v/>
      </c>
      <c r="R985" s="7">
        <f>'1 prepared data'!Q978</f>
        <v/>
      </c>
      <c r="S985" s="7">
        <f>'1 prepared data'!R978</f>
        <v/>
      </c>
      <c r="T985" s="7">
        <f>'1 prepared data'!S978</f>
        <v/>
      </c>
      <c r="U985" s="7">
        <f>'1 prepared data'!T978</f>
        <v/>
      </c>
      <c r="V985" s="8">
        <f>$AC$12+D985*$AC$13+E985*$AC$14+F985*$AC$15+G985*$AC$16+H985*$AC$17+I985*$AC$18+J985*$AC$19+K985*$AC$20+L985*$AC$21+M985*$AC$22+N985*$AC$23+O985*$AC$24+P985*$AC$25+Q985*$AC$26+R985*$AC$27+S985*$AC$28+T985*$AC$29+U985*$AC$30</f>
        <v/>
      </c>
      <c r="W985" s="8">
        <f>1/(1+EXP(-V985))</f>
        <v/>
      </c>
      <c r="X985" s="9">
        <f>-IF(C985=1,LN(W985),LN(1-W985))</f>
        <v/>
      </c>
      <c r="Y985" s="10">
        <f>IF(W985&gt;$AC$33,1,0)</f>
        <v/>
      </c>
      <c r="Z985">
        <f>IF(Y985=C985,1,0)</f>
        <v/>
      </c>
    </row>
    <row r="986">
      <c r="A986">
        <f>'1 prepared data'!A979</f>
        <v/>
      </c>
      <c r="B986" s="5">
        <f>'1 prepared data'!U979</f>
        <v/>
      </c>
      <c r="C986">
        <f>'1 prepared data'!B979</f>
        <v/>
      </c>
      <c r="D986" s="7">
        <f>'1 prepared data'!C979</f>
        <v/>
      </c>
      <c r="E986" s="7">
        <f>'1 prepared data'!D979</f>
        <v/>
      </c>
      <c r="F986" s="7">
        <f>'1 prepared data'!E979</f>
        <v/>
      </c>
      <c r="G986" s="7">
        <f>'1 prepared data'!F979</f>
        <v/>
      </c>
      <c r="H986" s="7">
        <f>'1 prepared data'!G979</f>
        <v/>
      </c>
      <c r="I986" s="7">
        <f>'1 prepared data'!H979</f>
        <v/>
      </c>
      <c r="J986" s="7">
        <f>'1 prepared data'!I979</f>
        <v/>
      </c>
      <c r="K986" s="7">
        <f>'1 prepared data'!J979</f>
        <v/>
      </c>
      <c r="L986" s="7">
        <f>'1 prepared data'!K979</f>
        <v/>
      </c>
      <c r="M986" s="7">
        <f>'1 prepared data'!L979</f>
        <v/>
      </c>
      <c r="N986" s="7">
        <f>'1 prepared data'!M979</f>
        <v/>
      </c>
      <c r="O986" s="7">
        <f>'1 prepared data'!N979</f>
        <v/>
      </c>
      <c r="P986" s="7">
        <f>'1 prepared data'!O979</f>
        <v/>
      </c>
      <c r="Q986" s="7">
        <f>'1 prepared data'!P979</f>
        <v/>
      </c>
      <c r="R986" s="7">
        <f>'1 prepared data'!Q979</f>
        <v/>
      </c>
      <c r="S986" s="7">
        <f>'1 prepared data'!R979</f>
        <v/>
      </c>
      <c r="T986" s="7">
        <f>'1 prepared data'!S979</f>
        <v/>
      </c>
      <c r="U986" s="7">
        <f>'1 prepared data'!T979</f>
        <v/>
      </c>
      <c r="V986" s="8">
        <f>$AC$12+D986*$AC$13+E986*$AC$14+F986*$AC$15+G986*$AC$16+H986*$AC$17+I986*$AC$18+J986*$AC$19+K986*$AC$20+L986*$AC$21+M986*$AC$22+N986*$AC$23+O986*$AC$24+P986*$AC$25+Q986*$AC$26+R986*$AC$27+S986*$AC$28+T986*$AC$29+U986*$AC$30</f>
        <v/>
      </c>
      <c r="W986" s="8">
        <f>1/(1+EXP(-V986))</f>
        <v/>
      </c>
      <c r="X986" s="9">
        <f>-IF(C986=1,LN(W986),LN(1-W986))</f>
        <v/>
      </c>
      <c r="Y986" s="10">
        <f>IF(W986&gt;$AC$33,1,0)</f>
        <v/>
      </c>
      <c r="Z986">
        <f>IF(Y986=C986,1,0)</f>
        <v/>
      </c>
    </row>
    <row r="987">
      <c r="A987">
        <f>'1 prepared data'!A980</f>
        <v/>
      </c>
      <c r="B987" s="5">
        <f>'1 prepared data'!U980</f>
        <v/>
      </c>
      <c r="C987">
        <f>'1 prepared data'!B980</f>
        <v/>
      </c>
      <c r="D987" s="7">
        <f>'1 prepared data'!C980</f>
        <v/>
      </c>
      <c r="E987" s="7">
        <f>'1 prepared data'!D980</f>
        <v/>
      </c>
      <c r="F987" s="7">
        <f>'1 prepared data'!E980</f>
        <v/>
      </c>
      <c r="G987" s="7">
        <f>'1 prepared data'!F980</f>
        <v/>
      </c>
      <c r="H987" s="7">
        <f>'1 prepared data'!G980</f>
        <v/>
      </c>
      <c r="I987" s="7">
        <f>'1 prepared data'!H980</f>
        <v/>
      </c>
      <c r="J987" s="7">
        <f>'1 prepared data'!I980</f>
        <v/>
      </c>
      <c r="K987" s="7">
        <f>'1 prepared data'!J980</f>
        <v/>
      </c>
      <c r="L987" s="7">
        <f>'1 prepared data'!K980</f>
        <v/>
      </c>
      <c r="M987" s="7">
        <f>'1 prepared data'!L980</f>
        <v/>
      </c>
      <c r="N987" s="7">
        <f>'1 prepared data'!M980</f>
        <v/>
      </c>
      <c r="O987" s="7">
        <f>'1 prepared data'!N980</f>
        <v/>
      </c>
      <c r="P987" s="7">
        <f>'1 prepared data'!O980</f>
        <v/>
      </c>
      <c r="Q987" s="7">
        <f>'1 prepared data'!P980</f>
        <v/>
      </c>
      <c r="R987" s="7">
        <f>'1 prepared data'!Q980</f>
        <v/>
      </c>
      <c r="S987" s="7">
        <f>'1 prepared data'!R980</f>
        <v/>
      </c>
      <c r="T987" s="7">
        <f>'1 prepared data'!S980</f>
        <v/>
      </c>
      <c r="U987" s="7">
        <f>'1 prepared data'!T980</f>
        <v/>
      </c>
      <c r="V987" s="8">
        <f>$AC$12+D987*$AC$13+E987*$AC$14+F987*$AC$15+G987*$AC$16+H987*$AC$17+I987*$AC$18+J987*$AC$19+K987*$AC$20+L987*$AC$21+M987*$AC$22+N987*$AC$23+O987*$AC$24+P987*$AC$25+Q987*$AC$26+R987*$AC$27+S987*$AC$28+T987*$AC$29+U987*$AC$30</f>
        <v/>
      </c>
      <c r="W987" s="8">
        <f>1/(1+EXP(-V987))</f>
        <v/>
      </c>
      <c r="X987" s="9">
        <f>-IF(C987=1,LN(W987),LN(1-W987))</f>
        <v/>
      </c>
      <c r="Y987" s="10">
        <f>IF(W987&gt;$AC$33,1,0)</f>
        <v/>
      </c>
      <c r="Z987">
        <f>IF(Y987=C987,1,0)</f>
        <v/>
      </c>
    </row>
    <row r="988">
      <c r="A988">
        <f>'1 prepared data'!A981</f>
        <v/>
      </c>
      <c r="B988" s="5">
        <f>'1 prepared data'!U981</f>
        <v/>
      </c>
      <c r="C988">
        <f>'1 prepared data'!B981</f>
        <v/>
      </c>
      <c r="D988" s="7">
        <f>'1 prepared data'!C981</f>
        <v/>
      </c>
      <c r="E988" s="7">
        <f>'1 prepared data'!D981</f>
        <v/>
      </c>
      <c r="F988" s="7">
        <f>'1 prepared data'!E981</f>
        <v/>
      </c>
      <c r="G988" s="7">
        <f>'1 prepared data'!F981</f>
        <v/>
      </c>
      <c r="H988" s="7">
        <f>'1 prepared data'!G981</f>
        <v/>
      </c>
      <c r="I988" s="7">
        <f>'1 prepared data'!H981</f>
        <v/>
      </c>
      <c r="J988" s="7">
        <f>'1 prepared data'!I981</f>
        <v/>
      </c>
      <c r="K988" s="7">
        <f>'1 prepared data'!J981</f>
        <v/>
      </c>
      <c r="L988" s="7">
        <f>'1 prepared data'!K981</f>
        <v/>
      </c>
      <c r="M988" s="7">
        <f>'1 prepared data'!L981</f>
        <v/>
      </c>
      <c r="N988" s="7">
        <f>'1 prepared data'!M981</f>
        <v/>
      </c>
      <c r="O988" s="7">
        <f>'1 prepared data'!N981</f>
        <v/>
      </c>
      <c r="P988" s="7">
        <f>'1 prepared data'!O981</f>
        <v/>
      </c>
      <c r="Q988" s="7">
        <f>'1 prepared data'!P981</f>
        <v/>
      </c>
      <c r="R988" s="7">
        <f>'1 prepared data'!Q981</f>
        <v/>
      </c>
      <c r="S988" s="7">
        <f>'1 prepared data'!R981</f>
        <v/>
      </c>
      <c r="T988" s="7">
        <f>'1 prepared data'!S981</f>
        <v/>
      </c>
      <c r="U988" s="7">
        <f>'1 prepared data'!T981</f>
        <v/>
      </c>
      <c r="V988" s="8">
        <f>$AC$12+D988*$AC$13+E988*$AC$14+F988*$AC$15+G988*$AC$16+H988*$AC$17+I988*$AC$18+J988*$AC$19+K988*$AC$20+L988*$AC$21+M988*$AC$22+N988*$AC$23+O988*$AC$24+P988*$AC$25+Q988*$AC$26+R988*$AC$27+S988*$AC$28+T988*$AC$29+U988*$AC$30</f>
        <v/>
      </c>
      <c r="W988" s="8">
        <f>1/(1+EXP(-V988))</f>
        <v/>
      </c>
      <c r="X988" s="9">
        <f>-IF(C988=1,LN(W988),LN(1-W988))</f>
        <v/>
      </c>
      <c r="Y988" s="10">
        <f>IF(W988&gt;$AC$33,1,0)</f>
        <v/>
      </c>
      <c r="Z988">
        <f>IF(Y988=C988,1,0)</f>
        <v/>
      </c>
    </row>
    <row r="989">
      <c r="A989">
        <f>'1 prepared data'!A982</f>
        <v/>
      </c>
      <c r="B989" s="5">
        <f>'1 prepared data'!U982</f>
        <v/>
      </c>
      <c r="C989">
        <f>'1 prepared data'!B982</f>
        <v/>
      </c>
      <c r="D989" s="7">
        <f>'1 prepared data'!C982</f>
        <v/>
      </c>
      <c r="E989" s="7">
        <f>'1 prepared data'!D982</f>
        <v/>
      </c>
      <c r="F989" s="7">
        <f>'1 prepared data'!E982</f>
        <v/>
      </c>
      <c r="G989" s="7">
        <f>'1 prepared data'!F982</f>
        <v/>
      </c>
      <c r="H989" s="7">
        <f>'1 prepared data'!G982</f>
        <v/>
      </c>
      <c r="I989" s="7">
        <f>'1 prepared data'!H982</f>
        <v/>
      </c>
      <c r="J989" s="7">
        <f>'1 prepared data'!I982</f>
        <v/>
      </c>
      <c r="K989" s="7">
        <f>'1 prepared data'!J982</f>
        <v/>
      </c>
      <c r="L989" s="7">
        <f>'1 prepared data'!K982</f>
        <v/>
      </c>
      <c r="M989" s="7">
        <f>'1 prepared data'!L982</f>
        <v/>
      </c>
      <c r="N989" s="7">
        <f>'1 prepared data'!M982</f>
        <v/>
      </c>
      <c r="O989" s="7">
        <f>'1 prepared data'!N982</f>
        <v/>
      </c>
      <c r="P989" s="7">
        <f>'1 prepared data'!O982</f>
        <v/>
      </c>
      <c r="Q989" s="7">
        <f>'1 prepared data'!P982</f>
        <v/>
      </c>
      <c r="R989" s="7">
        <f>'1 prepared data'!Q982</f>
        <v/>
      </c>
      <c r="S989" s="7">
        <f>'1 prepared data'!R982</f>
        <v/>
      </c>
      <c r="T989" s="7">
        <f>'1 prepared data'!S982</f>
        <v/>
      </c>
      <c r="U989" s="7">
        <f>'1 prepared data'!T982</f>
        <v/>
      </c>
      <c r="V989" s="8">
        <f>$AC$12+D989*$AC$13+E989*$AC$14+F989*$AC$15+G989*$AC$16+H989*$AC$17+I989*$AC$18+J989*$AC$19+K989*$AC$20+L989*$AC$21+M989*$AC$22+N989*$AC$23+O989*$AC$24+P989*$AC$25+Q989*$AC$26+R989*$AC$27+S989*$AC$28+T989*$AC$29+U989*$AC$30</f>
        <v/>
      </c>
      <c r="W989" s="8">
        <f>1/(1+EXP(-V989))</f>
        <v/>
      </c>
      <c r="X989" s="9">
        <f>-IF(C989=1,LN(W989),LN(1-W989))</f>
        <v/>
      </c>
      <c r="Y989" s="10">
        <f>IF(W989&gt;$AC$33,1,0)</f>
        <v/>
      </c>
      <c r="Z989">
        <f>IF(Y989=C989,1,0)</f>
        <v/>
      </c>
    </row>
    <row r="990">
      <c r="A990">
        <f>'1 prepared data'!A983</f>
        <v/>
      </c>
      <c r="B990" s="5">
        <f>'1 prepared data'!U983</f>
        <v/>
      </c>
      <c r="C990">
        <f>'1 prepared data'!B983</f>
        <v/>
      </c>
      <c r="D990" s="7">
        <f>'1 prepared data'!C983</f>
        <v/>
      </c>
      <c r="E990" s="7">
        <f>'1 prepared data'!D983</f>
        <v/>
      </c>
      <c r="F990" s="7">
        <f>'1 prepared data'!E983</f>
        <v/>
      </c>
      <c r="G990" s="7">
        <f>'1 prepared data'!F983</f>
        <v/>
      </c>
      <c r="H990" s="7">
        <f>'1 prepared data'!G983</f>
        <v/>
      </c>
      <c r="I990" s="7">
        <f>'1 prepared data'!H983</f>
        <v/>
      </c>
      <c r="J990" s="7">
        <f>'1 prepared data'!I983</f>
        <v/>
      </c>
      <c r="K990" s="7">
        <f>'1 prepared data'!J983</f>
        <v/>
      </c>
      <c r="L990" s="7">
        <f>'1 prepared data'!K983</f>
        <v/>
      </c>
      <c r="M990" s="7">
        <f>'1 prepared data'!L983</f>
        <v/>
      </c>
      <c r="N990" s="7">
        <f>'1 prepared data'!M983</f>
        <v/>
      </c>
      <c r="O990" s="7">
        <f>'1 prepared data'!N983</f>
        <v/>
      </c>
      <c r="P990" s="7">
        <f>'1 prepared data'!O983</f>
        <v/>
      </c>
      <c r="Q990" s="7">
        <f>'1 prepared data'!P983</f>
        <v/>
      </c>
      <c r="R990" s="7">
        <f>'1 prepared data'!Q983</f>
        <v/>
      </c>
      <c r="S990" s="7">
        <f>'1 prepared data'!R983</f>
        <v/>
      </c>
      <c r="T990" s="7">
        <f>'1 prepared data'!S983</f>
        <v/>
      </c>
      <c r="U990" s="7">
        <f>'1 prepared data'!T983</f>
        <v/>
      </c>
      <c r="V990" s="8">
        <f>$AC$12+D990*$AC$13+E990*$AC$14+F990*$AC$15+G990*$AC$16+H990*$AC$17+I990*$AC$18+J990*$AC$19+K990*$AC$20+L990*$AC$21+M990*$AC$22+N990*$AC$23+O990*$AC$24+P990*$AC$25+Q990*$AC$26+R990*$AC$27+S990*$AC$28+T990*$AC$29+U990*$AC$30</f>
        <v/>
      </c>
      <c r="W990" s="8">
        <f>1/(1+EXP(-V990))</f>
        <v/>
      </c>
      <c r="X990" s="9">
        <f>-IF(C990=1,LN(W990),LN(1-W990))</f>
        <v/>
      </c>
      <c r="Y990" s="10">
        <f>IF(W990&gt;$AC$33,1,0)</f>
        <v/>
      </c>
      <c r="Z990">
        <f>IF(Y990=C990,1,0)</f>
        <v/>
      </c>
    </row>
    <row r="991">
      <c r="A991">
        <f>'1 prepared data'!A984</f>
        <v/>
      </c>
      <c r="B991" s="5">
        <f>'1 prepared data'!U984</f>
        <v/>
      </c>
      <c r="C991">
        <f>'1 prepared data'!B984</f>
        <v/>
      </c>
      <c r="D991" s="7">
        <f>'1 prepared data'!C984</f>
        <v/>
      </c>
      <c r="E991" s="7">
        <f>'1 prepared data'!D984</f>
        <v/>
      </c>
      <c r="F991" s="7">
        <f>'1 prepared data'!E984</f>
        <v/>
      </c>
      <c r="G991" s="7">
        <f>'1 prepared data'!F984</f>
        <v/>
      </c>
      <c r="H991" s="7">
        <f>'1 prepared data'!G984</f>
        <v/>
      </c>
      <c r="I991" s="7">
        <f>'1 prepared data'!H984</f>
        <v/>
      </c>
      <c r="J991" s="7">
        <f>'1 prepared data'!I984</f>
        <v/>
      </c>
      <c r="K991" s="7">
        <f>'1 prepared data'!J984</f>
        <v/>
      </c>
      <c r="L991" s="7">
        <f>'1 prepared data'!K984</f>
        <v/>
      </c>
      <c r="M991" s="7">
        <f>'1 prepared data'!L984</f>
        <v/>
      </c>
      <c r="N991" s="7">
        <f>'1 prepared data'!M984</f>
        <v/>
      </c>
      <c r="O991" s="7">
        <f>'1 prepared data'!N984</f>
        <v/>
      </c>
      <c r="P991" s="7">
        <f>'1 prepared data'!O984</f>
        <v/>
      </c>
      <c r="Q991" s="7">
        <f>'1 prepared data'!P984</f>
        <v/>
      </c>
      <c r="R991" s="7">
        <f>'1 prepared data'!Q984</f>
        <v/>
      </c>
      <c r="S991" s="7">
        <f>'1 prepared data'!R984</f>
        <v/>
      </c>
      <c r="T991" s="7">
        <f>'1 prepared data'!S984</f>
        <v/>
      </c>
      <c r="U991" s="7">
        <f>'1 prepared data'!T984</f>
        <v/>
      </c>
      <c r="V991" s="8">
        <f>$AC$12+D991*$AC$13+E991*$AC$14+F991*$AC$15+G991*$AC$16+H991*$AC$17+I991*$AC$18+J991*$AC$19+K991*$AC$20+L991*$AC$21+M991*$AC$22+N991*$AC$23+O991*$AC$24+P991*$AC$25+Q991*$AC$26+R991*$AC$27+S991*$AC$28+T991*$AC$29+U991*$AC$30</f>
        <v/>
      </c>
      <c r="W991" s="8">
        <f>1/(1+EXP(-V991))</f>
        <v/>
      </c>
      <c r="X991" s="9">
        <f>-IF(C991=1,LN(W991),LN(1-W991))</f>
        <v/>
      </c>
      <c r="Y991" s="10">
        <f>IF(W991&gt;$AC$33,1,0)</f>
        <v/>
      </c>
      <c r="Z991">
        <f>IF(Y991=C991,1,0)</f>
        <v/>
      </c>
    </row>
    <row r="992">
      <c r="A992">
        <f>'1 prepared data'!A985</f>
        <v/>
      </c>
      <c r="B992" s="5">
        <f>'1 prepared data'!U985</f>
        <v/>
      </c>
      <c r="C992">
        <f>'1 prepared data'!B985</f>
        <v/>
      </c>
      <c r="D992" s="7">
        <f>'1 prepared data'!C985</f>
        <v/>
      </c>
      <c r="E992" s="7">
        <f>'1 prepared data'!D985</f>
        <v/>
      </c>
      <c r="F992" s="7">
        <f>'1 prepared data'!E985</f>
        <v/>
      </c>
      <c r="G992" s="7">
        <f>'1 prepared data'!F985</f>
        <v/>
      </c>
      <c r="H992" s="7">
        <f>'1 prepared data'!G985</f>
        <v/>
      </c>
      <c r="I992" s="7">
        <f>'1 prepared data'!H985</f>
        <v/>
      </c>
      <c r="J992" s="7">
        <f>'1 prepared data'!I985</f>
        <v/>
      </c>
      <c r="K992" s="7">
        <f>'1 prepared data'!J985</f>
        <v/>
      </c>
      <c r="L992" s="7">
        <f>'1 prepared data'!K985</f>
        <v/>
      </c>
      <c r="M992" s="7">
        <f>'1 prepared data'!L985</f>
        <v/>
      </c>
      <c r="N992" s="7">
        <f>'1 prepared data'!M985</f>
        <v/>
      </c>
      <c r="O992" s="7">
        <f>'1 prepared data'!N985</f>
        <v/>
      </c>
      <c r="P992" s="7">
        <f>'1 prepared data'!O985</f>
        <v/>
      </c>
      <c r="Q992" s="7">
        <f>'1 prepared data'!P985</f>
        <v/>
      </c>
      <c r="R992" s="7">
        <f>'1 prepared data'!Q985</f>
        <v/>
      </c>
      <c r="S992" s="7">
        <f>'1 prepared data'!R985</f>
        <v/>
      </c>
      <c r="T992" s="7">
        <f>'1 prepared data'!S985</f>
        <v/>
      </c>
      <c r="U992" s="7">
        <f>'1 prepared data'!T985</f>
        <v/>
      </c>
      <c r="V992" s="8">
        <f>$AC$12+D992*$AC$13+E992*$AC$14+F992*$AC$15+G992*$AC$16+H992*$AC$17+I992*$AC$18+J992*$AC$19+K992*$AC$20+L992*$AC$21+M992*$AC$22+N992*$AC$23+O992*$AC$24+P992*$AC$25+Q992*$AC$26+R992*$AC$27+S992*$AC$28+T992*$AC$29+U992*$AC$30</f>
        <v/>
      </c>
      <c r="W992" s="8">
        <f>1/(1+EXP(-V992))</f>
        <v/>
      </c>
      <c r="X992" s="9">
        <f>-IF(C992=1,LN(W992),LN(1-W992))</f>
        <v/>
      </c>
      <c r="Y992" s="10">
        <f>IF(W992&gt;$AC$33,1,0)</f>
        <v/>
      </c>
      <c r="Z992">
        <f>IF(Y992=C992,1,0)</f>
        <v/>
      </c>
    </row>
    <row r="993">
      <c r="A993">
        <f>'1 prepared data'!A986</f>
        <v/>
      </c>
      <c r="B993" s="5">
        <f>'1 prepared data'!U986</f>
        <v/>
      </c>
      <c r="C993">
        <f>'1 prepared data'!B986</f>
        <v/>
      </c>
      <c r="D993" s="7">
        <f>'1 prepared data'!C986</f>
        <v/>
      </c>
      <c r="E993" s="7">
        <f>'1 prepared data'!D986</f>
        <v/>
      </c>
      <c r="F993" s="7">
        <f>'1 prepared data'!E986</f>
        <v/>
      </c>
      <c r="G993" s="7">
        <f>'1 prepared data'!F986</f>
        <v/>
      </c>
      <c r="H993" s="7">
        <f>'1 prepared data'!G986</f>
        <v/>
      </c>
      <c r="I993" s="7">
        <f>'1 prepared data'!H986</f>
        <v/>
      </c>
      <c r="J993" s="7">
        <f>'1 prepared data'!I986</f>
        <v/>
      </c>
      <c r="K993" s="7">
        <f>'1 prepared data'!J986</f>
        <v/>
      </c>
      <c r="L993" s="7">
        <f>'1 prepared data'!K986</f>
        <v/>
      </c>
      <c r="M993" s="7">
        <f>'1 prepared data'!L986</f>
        <v/>
      </c>
      <c r="N993" s="7">
        <f>'1 prepared data'!M986</f>
        <v/>
      </c>
      <c r="O993" s="7">
        <f>'1 prepared data'!N986</f>
        <v/>
      </c>
      <c r="P993" s="7">
        <f>'1 prepared data'!O986</f>
        <v/>
      </c>
      <c r="Q993" s="7">
        <f>'1 prepared data'!P986</f>
        <v/>
      </c>
      <c r="R993" s="7">
        <f>'1 prepared data'!Q986</f>
        <v/>
      </c>
      <c r="S993" s="7">
        <f>'1 prepared data'!R986</f>
        <v/>
      </c>
      <c r="T993" s="7">
        <f>'1 prepared data'!S986</f>
        <v/>
      </c>
      <c r="U993" s="7">
        <f>'1 prepared data'!T986</f>
        <v/>
      </c>
      <c r="V993" s="8">
        <f>$AC$12+D993*$AC$13+E993*$AC$14+F993*$AC$15+G993*$AC$16+H993*$AC$17+I993*$AC$18+J993*$AC$19+K993*$AC$20+L993*$AC$21+M993*$AC$22+N993*$AC$23+O993*$AC$24+P993*$AC$25+Q993*$AC$26+R993*$AC$27+S993*$AC$28+T993*$AC$29+U993*$AC$30</f>
        <v/>
      </c>
      <c r="W993" s="8">
        <f>1/(1+EXP(-V993))</f>
        <v/>
      </c>
      <c r="X993" s="9">
        <f>-IF(C993=1,LN(W993),LN(1-W993))</f>
        <v/>
      </c>
      <c r="Y993" s="10">
        <f>IF(W993&gt;$AC$33,1,0)</f>
        <v/>
      </c>
      <c r="Z993">
        <f>IF(Y993=C993,1,0)</f>
        <v/>
      </c>
    </row>
    <row r="994">
      <c r="A994">
        <f>'1 prepared data'!A987</f>
        <v/>
      </c>
      <c r="B994" s="5">
        <f>'1 prepared data'!U987</f>
        <v/>
      </c>
      <c r="C994">
        <f>'1 prepared data'!B987</f>
        <v/>
      </c>
      <c r="D994" s="7">
        <f>'1 prepared data'!C987</f>
        <v/>
      </c>
      <c r="E994" s="7">
        <f>'1 prepared data'!D987</f>
        <v/>
      </c>
      <c r="F994" s="7">
        <f>'1 prepared data'!E987</f>
        <v/>
      </c>
      <c r="G994" s="7">
        <f>'1 prepared data'!F987</f>
        <v/>
      </c>
      <c r="H994" s="7">
        <f>'1 prepared data'!G987</f>
        <v/>
      </c>
      <c r="I994" s="7">
        <f>'1 prepared data'!H987</f>
        <v/>
      </c>
      <c r="J994" s="7">
        <f>'1 prepared data'!I987</f>
        <v/>
      </c>
      <c r="K994" s="7">
        <f>'1 prepared data'!J987</f>
        <v/>
      </c>
      <c r="L994" s="7">
        <f>'1 prepared data'!K987</f>
        <v/>
      </c>
      <c r="M994" s="7">
        <f>'1 prepared data'!L987</f>
        <v/>
      </c>
      <c r="N994" s="7">
        <f>'1 prepared data'!M987</f>
        <v/>
      </c>
      <c r="O994" s="7">
        <f>'1 prepared data'!N987</f>
        <v/>
      </c>
      <c r="P994" s="7">
        <f>'1 prepared data'!O987</f>
        <v/>
      </c>
      <c r="Q994" s="7">
        <f>'1 prepared data'!P987</f>
        <v/>
      </c>
      <c r="R994" s="7">
        <f>'1 prepared data'!Q987</f>
        <v/>
      </c>
      <c r="S994" s="7">
        <f>'1 prepared data'!R987</f>
        <v/>
      </c>
      <c r="T994" s="7">
        <f>'1 prepared data'!S987</f>
        <v/>
      </c>
      <c r="U994" s="7">
        <f>'1 prepared data'!T987</f>
        <v/>
      </c>
      <c r="V994" s="8">
        <f>$AC$12+D994*$AC$13+E994*$AC$14+F994*$AC$15+G994*$AC$16+H994*$AC$17+I994*$AC$18+J994*$AC$19+K994*$AC$20+L994*$AC$21+M994*$AC$22+N994*$AC$23+O994*$AC$24+P994*$AC$25+Q994*$AC$26+R994*$AC$27+S994*$AC$28+T994*$AC$29+U994*$AC$30</f>
        <v/>
      </c>
      <c r="W994" s="8">
        <f>1/(1+EXP(-V994))</f>
        <v/>
      </c>
      <c r="X994" s="9">
        <f>-IF(C994=1,LN(W994),LN(1-W994))</f>
        <v/>
      </c>
      <c r="Y994" s="10">
        <f>IF(W994&gt;$AC$33,1,0)</f>
        <v/>
      </c>
      <c r="Z994">
        <f>IF(Y994=C994,1,0)</f>
        <v/>
      </c>
    </row>
    <row r="995">
      <c r="A995">
        <f>'1 prepared data'!A988</f>
        <v/>
      </c>
      <c r="B995" s="5">
        <f>'1 prepared data'!U988</f>
        <v/>
      </c>
      <c r="C995">
        <f>'1 prepared data'!B988</f>
        <v/>
      </c>
      <c r="D995" s="7">
        <f>'1 prepared data'!C988</f>
        <v/>
      </c>
      <c r="E995" s="7">
        <f>'1 prepared data'!D988</f>
        <v/>
      </c>
      <c r="F995" s="7">
        <f>'1 prepared data'!E988</f>
        <v/>
      </c>
      <c r="G995" s="7">
        <f>'1 prepared data'!F988</f>
        <v/>
      </c>
      <c r="H995" s="7">
        <f>'1 prepared data'!G988</f>
        <v/>
      </c>
      <c r="I995" s="7">
        <f>'1 prepared data'!H988</f>
        <v/>
      </c>
      <c r="J995" s="7">
        <f>'1 prepared data'!I988</f>
        <v/>
      </c>
      <c r="K995" s="7">
        <f>'1 prepared data'!J988</f>
        <v/>
      </c>
      <c r="L995" s="7">
        <f>'1 prepared data'!K988</f>
        <v/>
      </c>
      <c r="M995" s="7">
        <f>'1 prepared data'!L988</f>
        <v/>
      </c>
      <c r="N995" s="7">
        <f>'1 prepared data'!M988</f>
        <v/>
      </c>
      <c r="O995" s="7">
        <f>'1 prepared data'!N988</f>
        <v/>
      </c>
      <c r="P995" s="7">
        <f>'1 prepared data'!O988</f>
        <v/>
      </c>
      <c r="Q995" s="7">
        <f>'1 prepared data'!P988</f>
        <v/>
      </c>
      <c r="R995" s="7">
        <f>'1 prepared data'!Q988</f>
        <v/>
      </c>
      <c r="S995" s="7">
        <f>'1 prepared data'!R988</f>
        <v/>
      </c>
      <c r="T995" s="7">
        <f>'1 prepared data'!S988</f>
        <v/>
      </c>
      <c r="U995" s="7">
        <f>'1 prepared data'!T988</f>
        <v/>
      </c>
      <c r="V995" s="8">
        <f>$AC$12+D995*$AC$13+E995*$AC$14+F995*$AC$15+G995*$AC$16+H995*$AC$17+I995*$AC$18+J995*$AC$19+K995*$AC$20+L995*$AC$21+M995*$AC$22+N995*$AC$23+O995*$AC$24+P995*$AC$25+Q995*$AC$26+R995*$AC$27+S995*$AC$28+T995*$AC$29+U995*$AC$30</f>
        <v/>
      </c>
      <c r="W995" s="8">
        <f>1/(1+EXP(-V995))</f>
        <v/>
      </c>
      <c r="X995" s="9">
        <f>-IF(C995=1,LN(W995),LN(1-W995))</f>
        <v/>
      </c>
      <c r="Y995" s="10">
        <f>IF(W995&gt;$AC$33,1,0)</f>
        <v/>
      </c>
      <c r="Z995">
        <f>IF(Y995=C995,1,0)</f>
        <v/>
      </c>
    </row>
    <row r="996">
      <c r="A996">
        <f>'1 prepared data'!A989</f>
        <v/>
      </c>
      <c r="B996" s="5">
        <f>'1 prepared data'!U989</f>
        <v/>
      </c>
      <c r="C996">
        <f>'1 prepared data'!B989</f>
        <v/>
      </c>
      <c r="D996" s="7">
        <f>'1 prepared data'!C989</f>
        <v/>
      </c>
      <c r="E996" s="7">
        <f>'1 prepared data'!D989</f>
        <v/>
      </c>
      <c r="F996" s="7">
        <f>'1 prepared data'!E989</f>
        <v/>
      </c>
      <c r="G996" s="7">
        <f>'1 prepared data'!F989</f>
        <v/>
      </c>
      <c r="H996" s="7">
        <f>'1 prepared data'!G989</f>
        <v/>
      </c>
      <c r="I996" s="7">
        <f>'1 prepared data'!H989</f>
        <v/>
      </c>
      <c r="J996" s="7">
        <f>'1 prepared data'!I989</f>
        <v/>
      </c>
      <c r="K996" s="7">
        <f>'1 prepared data'!J989</f>
        <v/>
      </c>
      <c r="L996" s="7">
        <f>'1 prepared data'!K989</f>
        <v/>
      </c>
      <c r="M996" s="7">
        <f>'1 prepared data'!L989</f>
        <v/>
      </c>
      <c r="N996" s="7">
        <f>'1 prepared data'!M989</f>
        <v/>
      </c>
      <c r="O996" s="7">
        <f>'1 prepared data'!N989</f>
        <v/>
      </c>
      <c r="P996" s="7">
        <f>'1 prepared data'!O989</f>
        <v/>
      </c>
      <c r="Q996" s="7">
        <f>'1 prepared data'!P989</f>
        <v/>
      </c>
      <c r="R996" s="7">
        <f>'1 prepared data'!Q989</f>
        <v/>
      </c>
      <c r="S996" s="7">
        <f>'1 prepared data'!R989</f>
        <v/>
      </c>
      <c r="T996" s="7">
        <f>'1 prepared data'!S989</f>
        <v/>
      </c>
      <c r="U996" s="7">
        <f>'1 prepared data'!T989</f>
        <v/>
      </c>
      <c r="V996" s="8">
        <f>$AC$12+D996*$AC$13+E996*$AC$14+F996*$AC$15+G996*$AC$16+H996*$AC$17+I996*$AC$18+J996*$AC$19+K996*$AC$20+L996*$AC$21+M996*$AC$22+N996*$AC$23+O996*$AC$24+P996*$AC$25+Q996*$AC$26+R996*$AC$27+S996*$AC$28+T996*$AC$29+U996*$AC$30</f>
        <v/>
      </c>
      <c r="W996" s="8">
        <f>1/(1+EXP(-V996))</f>
        <v/>
      </c>
      <c r="X996" s="9">
        <f>-IF(C996=1,LN(W996),LN(1-W996))</f>
        <v/>
      </c>
      <c r="Y996" s="10">
        <f>IF(W996&gt;$AC$33,1,0)</f>
        <v/>
      </c>
      <c r="Z996">
        <f>IF(Y996=C996,1,0)</f>
        <v/>
      </c>
    </row>
    <row r="997">
      <c r="A997">
        <f>'1 prepared data'!A990</f>
        <v/>
      </c>
      <c r="B997" s="5">
        <f>'1 prepared data'!U990</f>
        <v/>
      </c>
      <c r="C997">
        <f>'1 prepared data'!B990</f>
        <v/>
      </c>
      <c r="D997" s="7">
        <f>'1 prepared data'!C990</f>
        <v/>
      </c>
      <c r="E997" s="7">
        <f>'1 prepared data'!D990</f>
        <v/>
      </c>
      <c r="F997" s="7">
        <f>'1 prepared data'!E990</f>
        <v/>
      </c>
      <c r="G997" s="7">
        <f>'1 prepared data'!F990</f>
        <v/>
      </c>
      <c r="H997" s="7">
        <f>'1 prepared data'!G990</f>
        <v/>
      </c>
      <c r="I997" s="7">
        <f>'1 prepared data'!H990</f>
        <v/>
      </c>
      <c r="J997" s="7">
        <f>'1 prepared data'!I990</f>
        <v/>
      </c>
      <c r="K997" s="7">
        <f>'1 prepared data'!J990</f>
        <v/>
      </c>
      <c r="L997" s="7">
        <f>'1 prepared data'!K990</f>
        <v/>
      </c>
      <c r="M997" s="7">
        <f>'1 prepared data'!L990</f>
        <v/>
      </c>
      <c r="N997" s="7">
        <f>'1 prepared data'!M990</f>
        <v/>
      </c>
      <c r="O997" s="7">
        <f>'1 prepared data'!N990</f>
        <v/>
      </c>
      <c r="P997" s="7">
        <f>'1 prepared data'!O990</f>
        <v/>
      </c>
      <c r="Q997" s="7">
        <f>'1 prepared data'!P990</f>
        <v/>
      </c>
      <c r="R997" s="7">
        <f>'1 prepared data'!Q990</f>
        <v/>
      </c>
      <c r="S997" s="7">
        <f>'1 prepared data'!R990</f>
        <v/>
      </c>
      <c r="T997" s="7">
        <f>'1 prepared data'!S990</f>
        <v/>
      </c>
      <c r="U997" s="7">
        <f>'1 prepared data'!T990</f>
        <v/>
      </c>
      <c r="V997" s="8">
        <f>$AC$12+D997*$AC$13+E997*$AC$14+F997*$AC$15+G997*$AC$16+H997*$AC$17+I997*$AC$18+J997*$AC$19+K997*$AC$20+L997*$AC$21+M997*$AC$22+N997*$AC$23+O997*$AC$24+P997*$AC$25+Q997*$AC$26+R997*$AC$27+S997*$AC$28+T997*$AC$29+U997*$AC$30</f>
        <v/>
      </c>
      <c r="W997" s="8">
        <f>1/(1+EXP(-V997))</f>
        <v/>
      </c>
      <c r="X997" s="9">
        <f>-IF(C997=1,LN(W997),LN(1-W997))</f>
        <v/>
      </c>
      <c r="Y997" s="10">
        <f>IF(W997&gt;$AC$33,1,0)</f>
        <v/>
      </c>
      <c r="Z997">
        <f>IF(Y997=C997,1,0)</f>
        <v/>
      </c>
    </row>
    <row r="998">
      <c r="A998">
        <f>'1 prepared data'!A991</f>
        <v/>
      </c>
      <c r="B998" s="5">
        <f>'1 prepared data'!U991</f>
        <v/>
      </c>
      <c r="C998">
        <f>'1 prepared data'!B991</f>
        <v/>
      </c>
      <c r="D998" s="7">
        <f>'1 prepared data'!C991</f>
        <v/>
      </c>
      <c r="E998" s="7">
        <f>'1 prepared data'!D991</f>
        <v/>
      </c>
      <c r="F998" s="7">
        <f>'1 prepared data'!E991</f>
        <v/>
      </c>
      <c r="G998" s="7">
        <f>'1 prepared data'!F991</f>
        <v/>
      </c>
      <c r="H998" s="7">
        <f>'1 prepared data'!G991</f>
        <v/>
      </c>
      <c r="I998" s="7">
        <f>'1 prepared data'!H991</f>
        <v/>
      </c>
      <c r="J998" s="7">
        <f>'1 prepared data'!I991</f>
        <v/>
      </c>
      <c r="K998" s="7">
        <f>'1 prepared data'!J991</f>
        <v/>
      </c>
      <c r="L998" s="7">
        <f>'1 prepared data'!K991</f>
        <v/>
      </c>
      <c r="M998" s="7">
        <f>'1 prepared data'!L991</f>
        <v/>
      </c>
      <c r="N998" s="7">
        <f>'1 prepared data'!M991</f>
        <v/>
      </c>
      <c r="O998" s="7">
        <f>'1 prepared data'!N991</f>
        <v/>
      </c>
      <c r="P998" s="7">
        <f>'1 prepared data'!O991</f>
        <v/>
      </c>
      <c r="Q998" s="7">
        <f>'1 prepared data'!P991</f>
        <v/>
      </c>
      <c r="R998" s="7">
        <f>'1 prepared data'!Q991</f>
        <v/>
      </c>
      <c r="S998" s="7">
        <f>'1 prepared data'!R991</f>
        <v/>
      </c>
      <c r="T998" s="7">
        <f>'1 prepared data'!S991</f>
        <v/>
      </c>
      <c r="U998" s="7">
        <f>'1 prepared data'!T991</f>
        <v/>
      </c>
      <c r="V998" s="8">
        <f>$AC$12+D998*$AC$13+E998*$AC$14+F998*$AC$15+G998*$AC$16+H998*$AC$17+I998*$AC$18+J998*$AC$19+K998*$AC$20+L998*$AC$21+M998*$AC$22+N998*$AC$23+O998*$AC$24+P998*$AC$25+Q998*$AC$26+R998*$AC$27+S998*$AC$28+T998*$AC$29+U998*$AC$30</f>
        <v/>
      </c>
      <c r="W998" s="8">
        <f>1/(1+EXP(-V998))</f>
        <v/>
      </c>
      <c r="X998" s="9">
        <f>-IF(C998=1,LN(W998),LN(1-W998))</f>
        <v/>
      </c>
      <c r="Y998" s="10">
        <f>IF(W998&gt;$AC$33,1,0)</f>
        <v/>
      </c>
      <c r="Z998">
        <f>IF(Y998=C998,1,0)</f>
        <v/>
      </c>
    </row>
    <row r="999">
      <c r="A999">
        <f>'1 prepared data'!A992</f>
        <v/>
      </c>
      <c r="B999" s="5">
        <f>'1 prepared data'!U992</f>
        <v/>
      </c>
      <c r="C999">
        <f>'1 prepared data'!B992</f>
        <v/>
      </c>
      <c r="D999" s="7">
        <f>'1 prepared data'!C992</f>
        <v/>
      </c>
      <c r="E999" s="7">
        <f>'1 prepared data'!D992</f>
        <v/>
      </c>
      <c r="F999" s="7">
        <f>'1 prepared data'!E992</f>
        <v/>
      </c>
      <c r="G999" s="7">
        <f>'1 prepared data'!F992</f>
        <v/>
      </c>
      <c r="H999" s="7">
        <f>'1 prepared data'!G992</f>
        <v/>
      </c>
      <c r="I999" s="7">
        <f>'1 prepared data'!H992</f>
        <v/>
      </c>
      <c r="J999" s="7">
        <f>'1 prepared data'!I992</f>
        <v/>
      </c>
      <c r="K999" s="7">
        <f>'1 prepared data'!J992</f>
        <v/>
      </c>
      <c r="L999" s="7">
        <f>'1 prepared data'!K992</f>
        <v/>
      </c>
      <c r="M999" s="7">
        <f>'1 prepared data'!L992</f>
        <v/>
      </c>
      <c r="N999" s="7">
        <f>'1 prepared data'!M992</f>
        <v/>
      </c>
      <c r="O999" s="7">
        <f>'1 prepared data'!N992</f>
        <v/>
      </c>
      <c r="P999" s="7">
        <f>'1 prepared data'!O992</f>
        <v/>
      </c>
      <c r="Q999" s="7">
        <f>'1 prepared data'!P992</f>
        <v/>
      </c>
      <c r="R999" s="7">
        <f>'1 prepared data'!Q992</f>
        <v/>
      </c>
      <c r="S999" s="7">
        <f>'1 prepared data'!R992</f>
        <v/>
      </c>
      <c r="T999" s="7">
        <f>'1 prepared data'!S992</f>
        <v/>
      </c>
      <c r="U999" s="7">
        <f>'1 prepared data'!T992</f>
        <v/>
      </c>
      <c r="V999" s="8">
        <f>$AC$12+D999*$AC$13+E999*$AC$14+F999*$AC$15+G999*$AC$16+H999*$AC$17+I999*$AC$18+J999*$AC$19+K999*$AC$20+L999*$AC$21+M999*$AC$22+N999*$AC$23+O999*$AC$24+P999*$AC$25+Q999*$AC$26+R999*$AC$27+S999*$AC$28+T999*$AC$29+U999*$AC$30</f>
        <v/>
      </c>
      <c r="W999" s="8">
        <f>1/(1+EXP(-V999))</f>
        <v/>
      </c>
      <c r="X999" s="9">
        <f>-IF(C999=1,LN(W999),LN(1-W999))</f>
        <v/>
      </c>
      <c r="Y999" s="10">
        <f>IF(W999&gt;$AC$33,1,0)</f>
        <v/>
      </c>
      <c r="Z999">
        <f>IF(Y999=C999,1,0)</f>
        <v/>
      </c>
    </row>
    <row r="1000">
      <c r="A1000">
        <f>'1 prepared data'!A993</f>
        <v/>
      </c>
      <c r="B1000" s="5">
        <f>'1 prepared data'!U993</f>
        <v/>
      </c>
      <c r="C1000">
        <f>'1 prepared data'!B993</f>
        <v/>
      </c>
      <c r="D1000" s="7">
        <f>'1 prepared data'!C993</f>
        <v/>
      </c>
      <c r="E1000" s="7">
        <f>'1 prepared data'!D993</f>
        <v/>
      </c>
      <c r="F1000" s="7">
        <f>'1 prepared data'!E993</f>
        <v/>
      </c>
      <c r="G1000" s="7">
        <f>'1 prepared data'!F993</f>
        <v/>
      </c>
      <c r="H1000" s="7">
        <f>'1 prepared data'!G993</f>
        <v/>
      </c>
      <c r="I1000" s="7">
        <f>'1 prepared data'!H993</f>
        <v/>
      </c>
      <c r="J1000" s="7">
        <f>'1 prepared data'!I993</f>
        <v/>
      </c>
      <c r="K1000" s="7">
        <f>'1 prepared data'!J993</f>
        <v/>
      </c>
      <c r="L1000" s="7">
        <f>'1 prepared data'!K993</f>
        <v/>
      </c>
      <c r="M1000" s="7">
        <f>'1 prepared data'!L993</f>
        <v/>
      </c>
      <c r="N1000" s="7">
        <f>'1 prepared data'!M993</f>
        <v/>
      </c>
      <c r="O1000" s="7">
        <f>'1 prepared data'!N993</f>
        <v/>
      </c>
      <c r="P1000" s="7">
        <f>'1 prepared data'!O993</f>
        <v/>
      </c>
      <c r="Q1000" s="7">
        <f>'1 prepared data'!P993</f>
        <v/>
      </c>
      <c r="R1000" s="7">
        <f>'1 prepared data'!Q993</f>
        <v/>
      </c>
      <c r="S1000" s="7">
        <f>'1 prepared data'!R993</f>
        <v/>
      </c>
      <c r="T1000" s="7">
        <f>'1 prepared data'!S993</f>
        <v/>
      </c>
      <c r="U1000" s="7">
        <f>'1 prepared data'!T993</f>
        <v/>
      </c>
      <c r="V1000" s="8">
        <f>$AC$12+D1000*$AC$13+E1000*$AC$14+F1000*$AC$15+G1000*$AC$16+H1000*$AC$17+I1000*$AC$18+J1000*$AC$19+K1000*$AC$20+L1000*$AC$21+M1000*$AC$22+N1000*$AC$23+O1000*$AC$24+P1000*$AC$25+Q1000*$AC$26+R1000*$AC$27+S1000*$AC$28+T1000*$AC$29+U1000*$AC$30</f>
        <v/>
      </c>
      <c r="W1000" s="8">
        <f>1/(1+EXP(-V1000))</f>
        <v/>
      </c>
      <c r="X1000" s="9">
        <f>-IF(C1000=1,LN(W1000),LN(1-W1000))</f>
        <v/>
      </c>
      <c r="Y1000" s="10">
        <f>IF(W1000&gt;$AC$33,1,0)</f>
        <v/>
      </c>
      <c r="Z1000">
        <f>IF(Y1000=C1000,1,0)</f>
        <v/>
      </c>
    </row>
    <row r="1001">
      <c r="A1001">
        <f>'1 prepared data'!A994</f>
        <v/>
      </c>
      <c r="B1001" s="5">
        <f>'1 prepared data'!U994</f>
        <v/>
      </c>
      <c r="C1001">
        <f>'1 prepared data'!B994</f>
        <v/>
      </c>
      <c r="D1001" s="7">
        <f>'1 prepared data'!C994</f>
        <v/>
      </c>
      <c r="E1001" s="7">
        <f>'1 prepared data'!D994</f>
        <v/>
      </c>
      <c r="F1001" s="7">
        <f>'1 prepared data'!E994</f>
        <v/>
      </c>
      <c r="G1001" s="7">
        <f>'1 prepared data'!F994</f>
        <v/>
      </c>
      <c r="H1001" s="7">
        <f>'1 prepared data'!G994</f>
        <v/>
      </c>
      <c r="I1001" s="7">
        <f>'1 prepared data'!H994</f>
        <v/>
      </c>
      <c r="J1001" s="7">
        <f>'1 prepared data'!I994</f>
        <v/>
      </c>
      <c r="K1001" s="7">
        <f>'1 prepared data'!J994</f>
        <v/>
      </c>
      <c r="L1001" s="7">
        <f>'1 prepared data'!K994</f>
        <v/>
      </c>
      <c r="M1001" s="7">
        <f>'1 prepared data'!L994</f>
        <v/>
      </c>
      <c r="N1001" s="7">
        <f>'1 prepared data'!M994</f>
        <v/>
      </c>
      <c r="O1001" s="7">
        <f>'1 prepared data'!N994</f>
        <v/>
      </c>
      <c r="P1001" s="7">
        <f>'1 prepared data'!O994</f>
        <v/>
      </c>
      <c r="Q1001" s="7">
        <f>'1 prepared data'!P994</f>
        <v/>
      </c>
      <c r="R1001" s="7">
        <f>'1 prepared data'!Q994</f>
        <v/>
      </c>
      <c r="S1001" s="7">
        <f>'1 prepared data'!R994</f>
        <v/>
      </c>
      <c r="T1001" s="7">
        <f>'1 prepared data'!S994</f>
        <v/>
      </c>
      <c r="U1001" s="7">
        <f>'1 prepared data'!T994</f>
        <v/>
      </c>
      <c r="V1001" s="8">
        <f>$AC$12+D1001*$AC$13+E1001*$AC$14+F1001*$AC$15+G1001*$AC$16+H1001*$AC$17+I1001*$AC$18+J1001*$AC$19+K1001*$AC$20+L1001*$AC$21+M1001*$AC$22+N1001*$AC$23+O1001*$AC$24+P1001*$AC$25+Q1001*$AC$26+R1001*$AC$27+S1001*$AC$28+T1001*$AC$29+U1001*$AC$30</f>
        <v/>
      </c>
      <c r="W1001" s="8">
        <f>1/(1+EXP(-V1001))</f>
        <v/>
      </c>
      <c r="X1001" s="9">
        <f>-IF(C1001=1,LN(W1001),LN(1-W1001))</f>
        <v/>
      </c>
      <c r="Y1001" s="10">
        <f>IF(W1001&gt;$AC$33,1,0)</f>
        <v/>
      </c>
      <c r="Z1001">
        <f>IF(Y1001=C1001,1,0)</f>
        <v/>
      </c>
    </row>
    <row r="1002">
      <c r="A1002">
        <f>'1 prepared data'!A995</f>
        <v/>
      </c>
      <c r="B1002" s="5">
        <f>'1 prepared data'!U995</f>
        <v/>
      </c>
      <c r="C1002">
        <f>'1 prepared data'!B995</f>
        <v/>
      </c>
      <c r="D1002" s="7">
        <f>'1 prepared data'!C995</f>
        <v/>
      </c>
      <c r="E1002" s="7">
        <f>'1 prepared data'!D995</f>
        <v/>
      </c>
      <c r="F1002" s="7">
        <f>'1 prepared data'!E995</f>
        <v/>
      </c>
      <c r="G1002" s="7">
        <f>'1 prepared data'!F995</f>
        <v/>
      </c>
      <c r="H1002" s="7">
        <f>'1 prepared data'!G995</f>
        <v/>
      </c>
      <c r="I1002" s="7">
        <f>'1 prepared data'!H995</f>
        <v/>
      </c>
      <c r="J1002" s="7">
        <f>'1 prepared data'!I995</f>
        <v/>
      </c>
      <c r="K1002" s="7">
        <f>'1 prepared data'!J995</f>
        <v/>
      </c>
      <c r="L1002" s="7">
        <f>'1 prepared data'!K995</f>
        <v/>
      </c>
      <c r="M1002" s="7">
        <f>'1 prepared data'!L995</f>
        <v/>
      </c>
      <c r="N1002" s="7">
        <f>'1 prepared data'!M995</f>
        <v/>
      </c>
      <c r="O1002" s="7">
        <f>'1 prepared data'!N995</f>
        <v/>
      </c>
      <c r="P1002" s="7">
        <f>'1 prepared data'!O995</f>
        <v/>
      </c>
      <c r="Q1002" s="7">
        <f>'1 prepared data'!P995</f>
        <v/>
      </c>
      <c r="R1002" s="7">
        <f>'1 prepared data'!Q995</f>
        <v/>
      </c>
      <c r="S1002" s="7">
        <f>'1 prepared data'!R995</f>
        <v/>
      </c>
      <c r="T1002" s="7">
        <f>'1 prepared data'!S995</f>
        <v/>
      </c>
      <c r="U1002" s="7">
        <f>'1 prepared data'!T995</f>
        <v/>
      </c>
      <c r="V1002" s="8">
        <f>$AC$12+D1002*$AC$13+E1002*$AC$14+F1002*$AC$15+G1002*$AC$16+H1002*$AC$17+I1002*$AC$18+J1002*$AC$19+K1002*$AC$20+L1002*$AC$21+M1002*$AC$22+N1002*$AC$23+O1002*$AC$24+P1002*$AC$25+Q1002*$AC$26+R1002*$AC$27+S1002*$AC$28+T1002*$AC$29+U1002*$AC$30</f>
        <v/>
      </c>
      <c r="W1002" s="8">
        <f>1/(1+EXP(-V1002))</f>
        <v/>
      </c>
      <c r="X1002" s="9">
        <f>-IF(C1002=1,LN(W1002),LN(1-W1002))</f>
        <v/>
      </c>
      <c r="Y1002" s="10">
        <f>IF(W1002&gt;$AC$33,1,0)</f>
        <v/>
      </c>
      <c r="Z1002">
        <f>IF(Y1002=C1002,1,0)</f>
        <v/>
      </c>
    </row>
    <row r="1003">
      <c r="A1003">
        <f>'1 prepared data'!A996</f>
        <v/>
      </c>
      <c r="B1003" s="5">
        <f>'1 prepared data'!U996</f>
        <v/>
      </c>
      <c r="C1003">
        <f>'1 prepared data'!B996</f>
        <v/>
      </c>
      <c r="D1003" s="7">
        <f>'1 prepared data'!C996</f>
        <v/>
      </c>
      <c r="E1003" s="7">
        <f>'1 prepared data'!D996</f>
        <v/>
      </c>
      <c r="F1003" s="7">
        <f>'1 prepared data'!E996</f>
        <v/>
      </c>
      <c r="G1003" s="7">
        <f>'1 prepared data'!F996</f>
        <v/>
      </c>
      <c r="H1003" s="7">
        <f>'1 prepared data'!G996</f>
        <v/>
      </c>
      <c r="I1003" s="7">
        <f>'1 prepared data'!H996</f>
        <v/>
      </c>
      <c r="J1003" s="7">
        <f>'1 prepared data'!I996</f>
        <v/>
      </c>
      <c r="K1003" s="7">
        <f>'1 prepared data'!J996</f>
        <v/>
      </c>
      <c r="L1003" s="7">
        <f>'1 prepared data'!K996</f>
        <v/>
      </c>
      <c r="M1003" s="7">
        <f>'1 prepared data'!L996</f>
        <v/>
      </c>
      <c r="N1003" s="7">
        <f>'1 prepared data'!M996</f>
        <v/>
      </c>
      <c r="O1003" s="7">
        <f>'1 prepared data'!N996</f>
        <v/>
      </c>
      <c r="P1003" s="7">
        <f>'1 prepared data'!O996</f>
        <v/>
      </c>
      <c r="Q1003" s="7">
        <f>'1 prepared data'!P996</f>
        <v/>
      </c>
      <c r="R1003" s="7">
        <f>'1 prepared data'!Q996</f>
        <v/>
      </c>
      <c r="S1003" s="7">
        <f>'1 prepared data'!R996</f>
        <v/>
      </c>
      <c r="T1003" s="7">
        <f>'1 prepared data'!S996</f>
        <v/>
      </c>
      <c r="U1003" s="7">
        <f>'1 prepared data'!T996</f>
        <v/>
      </c>
      <c r="V1003" s="8">
        <f>$AC$12+D1003*$AC$13+E1003*$AC$14+F1003*$AC$15+G1003*$AC$16+H1003*$AC$17+I1003*$AC$18+J1003*$AC$19+K1003*$AC$20+L1003*$AC$21+M1003*$AC$22+N1003*$AC$23+O1003*$AC$24+P1003*$AC$25+Q1003*$AC$26+R1003*$AC$27+S1003*$AC$28+T1003*$AC$29+U1003*$AC$30</f>
        <v/>
      </c>
      <c r="W1003" s="8">
        <f>1/(1+EXP(-V1003))</f>
        <v/>
      </c>
      <c r="X1003" s="9">
        <f>-IF(C1003=1,LN(W1003),LN(1-W1003))</f>
        <v/>
      </c>
      <c r="Y1003" s="10">
        <f>IF(W1003&gt;$AC$33,1,0)</f>
        <v/>
      </c>
      <c r="Z1003">
        <f>IF(Y1003=C1003,1,0)</f>
        <v/>
      </c>
    </row>
    <row r="1004">
      <c r="A1004">
        <f>'1 prepared data'!A997</f>
        <v/>
      </c>
      <c r="B1004" s="5">
        <f>'1 prepared data'!U997</f>
        <v/>
      </c>
      <c r="C1004">
        <f>'1 prepared data'!B997</f>
        <v/>
      </c>
      <c r="D1004" s="7">
        <f>'1 prepared data'!C997</f>
        <v/>
      </c>
      <c r="E1004" s="7">
        <f>'1 prepared data'!D997</f>
        <v/>
      </c>
      <c r="F1004" s="7">
        <f>'1 prepared data'!E997</f>
        <v/>
      </c>
      <c r="G1004" s="7">
        <f>'1 prepared data'!F997</f>
        <v/>
      </c>
      <c r="H1004" s="7">
        <f>'1 prepared data'!G997</f>
        <v/>
      </c>
      <c r="I1004" s="7">
        <f>'1 prepared data'!H997</f>
        <v/>
      </c>
      <c r="J1004" s="7">
        <f>'1 prepared data'!I997</f>
        <v/>
      </c>
      <c r="K1004" s="7">
        <f>'1 prepared data'!J997</f>
        <v/>
      </c>
      <c r="L1004" s="7">
        <f>'1 prepared data'!K997</f>
        <v/>
      </c>
      <c r="M1004" s="7">
        <f>'1 prepared data'!L997</f>
        <v/>
      </c>
      <c r="N1004" s="7">
        <f>'1 prepared data'!M997</f>
        <v/>
      </c>
      <c r="O1004" s="7">
        <f>'1 prepared data'!N997</f>
        <v/>
      </c>
      <c r="P1004" s="7">
        <f>'1 prepared data'!O997</f>
        <v/>
      </c>
      <c r="Q1004" s="7">
        <f>'1 prepared data'!P997</f>
        <v/>
      </c>
      <c r="R1004" s="7">
        <f>'1 prepared data'!Q997</f>
        <v/>
      </c>
      <c r="S1004" s="7">
        <f>'1 prepared data'!R997</f>
        <v/>
      </c>
      <c r="T1004" s="7">
        <f>'1 prepared data'!S997</f>
        <v/>
      </c>
      <c r="U1004" s="7">
        <f>'1 prepared data'!T997</f>
        <v/>
      </c>
      <c r="V1004" s="8">
        <f>$AC$12+D1004*$AC$13+E1004*$AC$14+F1004*$AC$15+G1004*$AC$16+H1004*$AC$17+I1004*$AC$18+J1004*$AC$19+K1004*$AC$20+L1004*$AC$21+M1004*$AC$22+N1004*$AC$23+O1004*$AC$24+P1004*$AC$25+Q1004*$AC$26+R1004*$AC$27+S1004*$AC$28+T1004*$AC$29+U1004*$AC$30</f>
        <v/>
      </c>
      <c r="W1004" s="8">
        <f>1/(1+EXP(-V1004))</f>
        <v/>
      </c>
      <c r="X1004" s="9">
        <f>-IF(C1004=1,LN(W1004),LN(1-W1004))</f>
        <v/>
      </c>
      <c r="Y1004" s="10">
        <f>IF(W1004&gt;$AC$33,1,0)</f>
        <v/>
      </c>
      <c r="Z1004">
        <f>IF(Y1004=C1004,1,0)</f>
        <v/>
      </c>
    </row>
    <row r="1005">
      <c r="A1005">
        <f>'1 prepared data'!A998</f>
        <v/>
      </c>
      <c r="B1005" s="5">
        <f>'1 prepared data'!U998</f>
        <v/>
      </c>
      <c r="C1005">
        <f>'1 prepared data'!B998</f>
        <v/>
      </c>
      <c r="D1005" s="7">
        <f>'1 prepared data'!C998</f>
        <v/>
      </c>
      <c r="E1005" s="7">
        <f>'1 prepared data'!D998</f>
        <v/>
      </c>
      <c r="F1005" s="7">
        <f>'1 prepared data'!E998</f>
        <v/>
      </c>
      <c r="G1005" s="7">
        <f>'1 prepared data'!F998</f>
        <v/>
      </c>
      <c r="H1005" s="7">
        <f>'1 prepared data'!G998</f>
        <v/>
      </c>
      <c r="I1005" s="7">
        <f>'1 prepared data'!H998</f>
        <v/>
      </c>
      <c r="J1005" s="7">
        <f>'1 prepared data'!I998</f>
        <v/>
      </c>
      <c r="K1005" s="7">
        <f>'1 prepared data'!J998</f>
        <v/>
      </c>
      <c r="L1005" s="7">
        <f>'1 prepared data'!K998</f>
        <v/>
      </c>
      <c r="M1005" s="7">
        <f>'1 prepared data'!L998</f>
        <v/>
      </c>
      <c r="N1005" s="7">
        <f>'1 prepared data'!M998</f>
        <v/>
      </c>
      <c r="O1005" s="7">
        <f>'1 prepared data'!N998</f>
        <v/>
      </c>
      <c r="P1005" s="7">
        <f>'1 prepared data'!O998</f>
        <v/>
      </c>
      <c r="Q1005" s="7">
        <f>'1 prepared data'!P998</f>
        <v/>
      </c>
      <c r="R1005" s="7">
        <f>'1 prepared data'!Q998</f>
        <v/>
      </c>
      <c r="S1005" s="7">
        <f>'1 prepared data'!R998</f>
        <v/>
      </c>
      <c r="T1005" s="7">
        <f>'1 prepared data'!S998</f>
        <v/>
      </c>
      <c r="U1005" s="7">
        <f>'1 prepared data'!T998</f>
        <v/>
      </c>
      <c r="V1005" s="8">
        <f>$AC$12+D1005*$AC$13+E1005*$AC$14+F1005*$AC$15+G1005*$AC$16+H1005*$AC$17+I1005*$AC$18+J1005*$AC$19+K1005*$AC$20+L1005*$AC$21+M1005*$AC$22+N1005*$AC$23+O1005*$AC$24+P1005*$AC$25+Q1005*$AC$26+R1005*$AC$27+S1005*$AC$28+T1005*$AC$29+U1005*$AC$30</f>
        <v/>
      </c>
      <c r="W1005" s="8">
        <f>1/(1+EXP(-V1005))</f>
        <v/>
      </c>
      <c r="X1005" s="9">
        <f>-IF(C1005=1,LN(W1005),LN(1-W1005))</f>
        <v/>
      </c>
      <c r="Y1005" s="10">
        <f>IF(W1005&gt;$AC$33,1,0)</f>
        <v/>
      </c>
      <c r="Z1005">
        <f>IF(Y1005=C1005,1,0)</f>
        <v/>
      </c>
    </row>
    <row r="1006">
      <c r="A1006">
        <f>'1 prepared data'!A999</f>
        <v/>
      </c>
      <c r="B1006" s="5">
        <f>'1 prepared data'!U999</f>
        <v/>
      </c>
      <c r="C1006">
        <f>'1 prepared data'!B999</f>
        <v/>
      </c>
      <c r="D1006" s="7">
        <f>'1 prepared data'!C999</f>
        <v/>
      </c>
      <c r="E1006" s="7">
        <f>'1 prepared data'!D999</f>
        <v/>
      </c>
      <c r="F1006" s="7">
        <f>'1 prepared data'!E999</f>
        <v/>
      </c>
      <c r="G1006" s="7">
        <f>'1 prepared data'!F999</f>
        <v/>
      </c>
      <c r="H1006" s="7">
        <f>'1 prepared data'!G999</f>
        <v/>
      </c>
      <c r="I1006" s="7">
        <f>'1 prepared data'!H999</f>
        <v/>
      </c>
      <c r="J1006" s="7">
        <f>'1 prepared data'!I999</f>
        <v/>
      </c>
      <c r="K1006" s="7">
        <f>'1 prepared data'!J999</f>
        <v/>
      </c>
      <c r="L1006" s="7">
        <f>'1 prepared data'!K999</f>
        <v/>
      </c>
      <c r="M1006" s="7">
        <f>'1 prepared data'!L999</f>
        <v/>
      </c>
      <c r="N1006" s="7">
        <f>'1 prepared data'!M999</f>
        <v/>
      </c>
      <c r="O1006" s="7">
        <f>'1 prepared data'!N999</f>
        <v/>
      </c>
      <c r="P1006" s="7">
        <f>'1 prepared data'!O999</f>
        <v/>
      </c>
      <c r="Q1006" s="7">
        <f>'1 prepared data'!P999</f>
        <v/>
      </c>
      <c r="R1006" s="7">
        <f>'1 prepared data'!Q999</f>
        <v/>
      </c>
      <c r="S1006" s="7">
        <f>'1 prepared data'!R999</f>
        <v/>
      </c>
      <c r="T1006" s="7">
        <f>'1 prepared data'!S999</f>
        <v/>
      </c>
      <c r="U1006" s="7">
        <f>'1 prepared data'!T999</f>
        <v/>
      </c>
      <c r="V1006" s="8">
        <f>$AC$12+D1006*$AC$13+E1006*$AC$14+F1006*$AC$15+G1006*$AC$16+H1006*$AC$17+I1006*$AC$18+J1006*$AC$19+K1006*$AC$20+L1006*$AC$21+M1006*$AC$22+N1006*$AC$23+O1006*$AC$24+P1006*$AC$25+Q1006*$AC$26+R1006*$AC$27+S1006*$AC$28+T1006*$AC$29+U1006*$AC$30</f>
        <v/>
      </c>
      <c r="W1006" s="8">
        <f>1/(1+EXP(-V1006))</f>
        <v/>
      </c>
      <c r="X1006" s="9">
        <f>-IF(C1006=1,LN(W1006),LN(1-W1006))</f>
        <v/>
      </c>
      <c r="Y1006" s="10">
        <f>IF(W1006&gt;$AC$33,1,0)</f>
        <v/>
      </c>
      <c r="Z1006">
        <f>IF(Y1006=C1006,1,0)</f>
        <v/>
      </c>
    </row>
    <row r="1007">
      <c r="A1007">
        <f>'1 prepared data'!A1000</f>
        <v/>
      </c>
      <c r="B1007" s="5">
        <f>'1 prepared data'!U1000</f>
        <v/>
      </c>
      <c r="C1007">
        <f>'1 prepared data'!B1000</f>
        <v/>
      </c>
      <c r="D1007" s="7">
        <f>'1 prepared data'!C1000</f>
        <v/>
      </c>
      <c r="E1007" s="7">
        <f>'1 prepared data'!D1000</f>
        <v/>
      </c>
      <c r="F1007" s="7">
        <f>'1 prepared data'!E1000</f>
        <v/>
      </c>
      <c r="G1007" s="7">
        <f>'1 prepared data'!F1000</f>
        <v/>
      </c>
      <c r="H1007" s="7">
        <f>'1 prepared data'!G1000</f>
        <v/>
      </c>
      <c r="I1007" s="7">
        <f>'1 prepared data'!H1000</f>
        <v/>
      </c>
      <c r="J1007" s="7">
        <f>'1 prepared data'!I1000</f>
        <v/>
      </c>
      <c r="K1007" s="7">
        <f>'1 prepared data'!J1000</f>
        <v/>
      </c>
      <c r="L1007" s="7">
        <f>'1 prepared data'!K1000</f>
        <v/>
      </c>
      <c r="M1007" s="7">
        <f>'1 prepared data'!L1000</f>
        <v/>
      </c>
      <c r="N1007" s="7">
        <f>'1 prepared data'!M1000</f>
        <v/>
      </c>
      <c r="O1007" s="7">
        <f>'1 prepared data'!N1000</f>
        <v/>
      </c>
      <c r="P1007" s="7">
        <f>'1 prepared data'!O1000</f>
        <v/>
      </c>
      <c r="Q1007" s="7">
        <f>'1 prepared data'!P1000</f>
        <v/>
      </c>
      <c r="R1007" s="7">
        <f>'1 prepared data'!Q1000</f>
        <v/>
      </c>
      <c r="S1007" s="7">
        <f>'1 prepared data'!R1000</f>
        <v/>
      </c>
      <c r="T1007" s="7">
        <f>'1 prepared data'!S1000</f>
        <v/>
      </c>
      <c r="U1007" s="7">
        <f>'1 prepared data'!T1000</f>
        <v/>
      </c>
      <c r="V1007" s="8">
        <f>$AC$12+D1007*$AC$13+E1007*$AC$14+F1007*$AC$15+G1007*$AC$16+H1007*$AC$17+I1007*$AC$18+J1007*$AC$19+K1007*$AC$20+L1007*$AC$21+M1007*$AC$22+N1007*$AC$23+O1007*$AC$24+P1007*$AC$25+Q1007*$AC$26+R1007*$AC$27+S1007*$AC$28+T1007*$AC$29+U1007*$AC$30</f>
        <v/>
      </c>
      <c r="W1007" s="8">
        <f>1/(1+EXP(-V1007))</f>
        <v/>
      </c>
      <c r="X1007" s="9">
        <f>-IF(C1007=1,LN(W1007),LN(1-W1007))</f>
        <v/>
      </c>
      <c r="Y1007" s="10">
        <f>IF(W1007&gt;$AC$33,1,0)</f>
        <v/>
      </c>
      <c r="Z1007">
        <f>IF(Y1007=C1007,1,0)</f>
        <v/>
      </c>
    </row>
    <row r="1008">
      <c r="A1008">
        <f>'1 prepared data'!A1001</f>
        <v/>
      </c>
      <c r="B1008" s="5">
        <f>'1 prepared data'!U1001</f>
        <v/>
      </c>
      <c r="C1008">
        <f>'1 prepared data'!B1001</f>
        <v/>
      </c>
      <c r="D1008" s="7">
        <f>'1 prepared data'!C1001</f>
        <v/>
      </c>
      <c r="E1008" s="7">
        <f>'1 prepared data'!D1001</f>
        <v/>
      </c>
      <c r="F1008" s="7">
        <f>'1 prepared data'!E1001</f>
        <v/>
      </c>
      <c r="G1008" s="7">
        <f>'1 prepared data'!F1001</f>
        <v/>
      </c>
      <c r="H1008" s="7">
        <f>'1 prepared data'!G1001</f>
        <v/>
      </c>
      <c r="I1008" s="7">
        <f>'1 prepared data'!H1001</f>
        <v/>
      </c>
      <c r="J1008" s="7">
        <f>'1 prepared data'!I1001</f>
        <v/>
      </c>
      <c r="K1008" s="7">
        <f>'1 prepared data'!J1001</f>
        <v/>
      </c>
      <c r="L1008" s="7">
        <f>'1 prepared data'!K1001</f>
        <v/>
      </c>
      <c r="M1008" s="7">
        <f>'1 prepared data'!L1001</f>
        <v/>
      </c>
      <c r="N1008" s="7">
        <f>'1 prepared data'!M1001</f>
        <v/>
      </c>
      <c r="O1008" s="7">
        <f>'1 prepared data'!N1001</f>
        <v/>
      </c>
      <c r="P1008" s="7">
        <f>'1 prepared data'!O1001</f>
        <v/>
      </c>
      <c r="Q1008" s="7">
        <f>'1 prepared data'!P1001</f>
        <v/>
      </c>
      <c r="R1008" s="7">
        <f>'1 prepared data'!Q1001</f>
        <v/>
      </c>
      <c r="S1008" s="7">
        <f>'1 prepared data'!R1001</f>
        <v/>
      </c>
      <c r="T1008" s="7">
        <f>'1 prepared data'!S1001</f>
        <v/>
      </c>
      <c r="U1008" s="7">
        <f>'1 prepared data'!T1001</f>
        <v/>
      </c>
      <c r="V1008" s="8">
        <f>$AC$12+D1008*$AC$13+E1008*$AC$14+F1008*$AC$15+G1008*$AC$16+H1008*$AC$17+I1008*$AC$18+J1008*$AC$19+K1008*$AC$20+L1008*$AC$21+M1008*$AC$22+N1008*$AC$23+O1008*$AC$24+P1008*$AC$25+Q1008*$AC$26+R1008*$AC$27+S1008*$AC$28+T1008*$AC$29+U1008*$AC$30</f>
        <v/>
      </c>
      <c r="W1008" s="8">
        <f>1/(1+EXP(-V1008))</f>
        <v/>
      </c>
      <c r="X1008" s="9">
        <f>-IF(C1008=1,LN(W1008),LN(1-W1008))</f>
        <v/>
      </c>
      <c r="Y1008" s="10">
        <f>IF(W1008&gt;$AC$33,1,0)</f>
        <v/>
      </c>
      <c r="Z1008">
        <f>IF(Y1008=C1008,1,0)</f>
        <v/>
      </c>
    </row>
    <row r="1009">
      <c r="A1009">
        <f>'1 prepared data'!A1002</f>
        <v/>
      </c>
      <c r="B1009" s="5">
        <f>'1 prepared data'!U1002</f>
        <v/>
      </c>
      <c r="C1009">
        <f>'1 prepared data'!B1002</f>
        <v/>
      </c>
      <c r="D1009" s="7">
        <f>'1 prepared data'!C1002</f>
        <v/>
      </c>
      <c r="E1009" s="7">
        <f>'1 prepared data'!D1002</f>
        <v/>
      </c>
      <c r="F1009" s="7">
        <f>'1 prepared data'!E1002</f>
        <v/>
      </c>
      <c r="G1009" s="7">
        <f>'1 prepared data'!F1002</f>
        <v/>
      </c>
      <c r="H1009" s="7">
        <f>'1 prepared data'!G1002</f>
        <v/>
      </c>
      <c r="I1009" s="7">
        <f>'1 prepared data'!H1002</f>
        <v/>
      </c>
      <c r="J1009" s="7">
        <f>'1 prepared data'!I1002</f>
        <v/>
      </c>
      <c r="K1009" s="7">
        <f>'1 prepared data'!J1002</f>
        <v/>
      </c>
      <c r="L1009" s="7">
        <f>'1 prepared data'!K1002</f>
        <v/>
      </c>
      <c r="M1009" s="7">
        <f>'1 prepared data'!L1002</f>
        <v/>
      </c>
      <c r="N1009" s="7">
        <f>'1 prepared data'!M1002</f>
        <v/>
      </c>
      <c r="O1009" s="7">
        <f>'1 prepared data'!N1002</f>
        <v/>
      </c>
      <c r="P1009" s="7">
        <f>'1 prepared data'!O1002</f>
        <v/>
      </c>
      <c r="Q1009" s="7">
        <f>'1 prepared data'!P1002</f>
        <v/>
      </c>
      <c r="R1009" s="7">
        <f>'1 prepared data'!Q1002</f>
        <v/>
      </c>
      <c r="S1009" s="7">
        <f>'1 prepared data'!R1002</f>
        <v/>
      </c>
      <c r="T1009" s="7">
        <f>'1 prepared data'!S1002</f>
        <v/>
      </c>
      <c r="U1009" s="7">
        <f>'1 prepared data'!T1002</f>
        <v/>
      </c>
      <c r="V1009" s="8">
        <f>$AC$12+D1009*$AC$13+E1009*$AC$14+F1009*$AC$15+G1009*$AC$16+H1009*$AC$17+I1009*$AC$18+J1009*$AC$19+K1009*$AC$20+L1009*$AC$21+M1009*$AC$22+N1009*$AC$23+O1009*$AC$24+P1009*$AC$25+Q1009*$AC$26+R1009*$AC$27+S1009*$AC$28+T1009*$AC$29+U1009*$AC$30</f>
        <v/>
      </c>
      <c r="W1009" s="8">
        <f>1/(1+EXP(-V1009))</f>
        <v/>
      </c>
      <c r="X1009" s="9">
        <f>-IF(C1009=1,LN(W1009),LN(1-W1009))</f>
        <v/>
      </c>
      <c r="Y1009" s="10">
        <f>IF(W1009&gt;$AC$33,1,0)</f>
        <v/>
      </c>
      <c r="Z1009">
        <f>IF(Y1009=C1009,1,0)</f>
        <v/>
      </c>
    </row>
    <row r="1010">
      <c r="A1010">
        <f>'1 prepared data'!A1003</f>
        <v/>
      </c>
      <c r="B1010" s="5">
        <f>'1 prepared data'!U1003</f>
        <v/>
      </c>
      <c r="C1010">
        <f>'1 prepared data'!B1003</f>
        <v/>
      </c>
      <c r="D1010" s="7">
        <f>'1 prepared data'!C1003</f>
        <v/>
      </c>
      <c r="E1010" s="7">
        <f>'1 prepared data'!D1003</f>
        <v/>
      </c>
      <c r="F1010" s="7">
        <f>'1 prepared data'!E1003</f>
        <v/>
      </c>
      <c r="G1010" s="7">
        <f>'1 prepared data'!F1003</f>
        <v/>
      </c>
      <c r="H1010" s="7">
        <f>'1 prepared data'!G1003</f>
        <v/>
      </c>
      <c r="I1010" s="7">
        <f>'1 prepared data'!H1003</f>
        <v/>
      </c>
      <c r="J1010" s="7">
        <f>'1 prepared data'!I1003</f>
        <v/>
      </c>
      <c r="K1010" s="7">
        <f>'1 prepared data'!J1003</f>
        <v/>
      </c>
      <c r="L1010" s="7">
        <f>'1 prepared data'!K1003</f>
        <v/>
      </c>
      <c r="M1010" s="7">
        <f>'1 prepared data'!L1003</f>
        <v/>
      </c>
      <c r="N1010" s="7">
        <f>'1 prepared data'!M1003</f>
        <v/>
      </c>
      <c r="O1010" s="7">
        <f>'1 prepared data'!N1003</f>
        <v/>
      </c>
      <c r="P1010" s="7">
        <f>'1 prepared data'!O1003</f>
        <v/>
      </c>
      <c r="Q1010" s="7">
        <f>'1 prepared data'!P1003</f>
        <v/>
      </c>
      <c r="R1010" s="7">
        <f>'1 prepared data'!Q1003</f>
        <v/>
      </c>
      <c r="S1010" s="7">
        <f>'1 prepared data'!R1003</f>
        <v/>
      </c>
      <c r="T1010" s="7">
        <f>'1 prepared data'!S1003</f>
        <v/>
      </c>
      <c r="U1010" s="7">
        <f>'1 prepared data'!T1003</f>
        <v/>
      </c>
      <c r="V1010" s="8">
        <f>$AC$12+D1010*$AC$13+E1010*$AC$14+F1010*$AC$15+G1010*$AC$16+H1010*$AC$17+I1010*$AC$18+J1010*$AC$19+K1010*$AC$20+L1010*$AC$21+M1010*$AC$22+N1010*$AC$23+O1010*$AC$24+P1010*$AC$25+Q1010*$AC$26+R1010*$AC$27+S1010*$AC$28+T1010*$AC$29+U1010*$AC$30</f>
        <v/>
      </c>
      <c r="W1010" s="8">
        <f>1/(1+EXP(-V1010))</f>
        <v/>
      </c>
      <c r="X1010" s="9">
        <f>-IF(C1010=1,LN(W1010),LN(1-W1010))</f>
        <v/>
      </c>
      <c r="Y1010" s="10">
        <f>IF(W1010&gt;$AC$33,1,0)</f>
        <v/>
      </c>
      <c r="Z1010">
        <f>IF(Y1010=C1010,1,0)</f>
        <v/>
      </c>
    </row>
    <row r="1011">
      <c r="A1011">
        <f>'1 prepared data'!A1004</f>
        <v/>
      </c>
      <c r="B1011" s="5">
        <f>'1 prepared data'!U1004</f>
        <v/>
      </c>
      <c r="C1011">
        <f>'1 prepared data'!B1004</f>
        <v/>
      </c>
      <c r="D1011" s="7">
        <f>'1 prepared data'!C1004</f>
        <v/>
      </c>
      <c r="E1011" s="7">
        <f>'1 prepared data'!D1004</f>
        <v/>
      </c>
      <c r="F1011" s="7">
        <f>'1 prepared data'!E1004</f>
        <v/>
      </c>
      <c r="G1011" s="7">
        <f>'1 prepared data'!F1004</f>
        <v/>
      </c>
      <c r="H1011" s="7">
        <f>'1 prepared data'!G1004</f>
        <v/>
      </c>
      <c r="I1011" s="7">
        <f>'1 prepared data'!H1004</f>
        <v/>
      </c>
      <c r="J1011" s="7">
        <f>'1 prepared data'!I1004</f>
        <v/>
      </c>
      <c r="K1011" s="7">
        <f>'1 prepared data'!J1004</f>
        <v/>
      </c>
      <c r="L1011" s="7">
        <f>'1 prepared data'!K1004</f>
        <v/>
      </c>
      <c r="M1011" s="7">
        <f>'1 prepared data'!L1004</f>
        <v/>
      </c>
      <c r="N1011" s="7">
        <f>'1 prepared data'!M1004</f>
        <v/>
      </c>
      <c r="O1011" s="7">
        <f>'1 prepared data'!N1004</f>
        <v/>
      </c>
      <c r="P1011" s="7">
        <f>'1 prepared data'!O1004</f>
        <v/>
      </c>
      <c r="Q1011" s="7">
        <f>'1 prepared data'!P1004</f>
        <v/>
      </c>
      <c r="R1011" s="7">
        <f>'1 prepared data'!Q1004</f>
        <v/>
      </c>
      <c r="S1011" s="7">
        <f>'1 prepared data'!R1004</f>
        <v/>
      </c>
      <c r="T1011" s="7">
        <f>'1 prepared data'!S1004</f>
        <v/>
      </c>
      <c r="U1011" s="7">
        <f>'1 prepared data'!T1004</f>
        <v/>
      </c>
      <c r="V1011" s="8">
        <f>$AC$12+D1011*$AC$13+E1011*$AC$14+F1011*$AC$15+G1011*$AC$16+H1011*$AC$17+I1011*$AC$18+J1011*$AC$19+K1011*$AC$20+L1011*$AC$21+M1011*$AC$22+N1011*$AC$23+O1011*$AC$24+P1011*$AC$25+Q1011*$AC$26+R1011*$AC$27+S1011*$AC$28+T1011*$AC$29+U1011*$AC$30</f>
        <v/>
      </c>
      <c r="W1011" s="8">
        <f>1/(1+EXP(-V1011))</f>
        <v/>
      </c>
      <c r="X1011" s="9">
        <f>-IF(C1011=1,LN(W1011),LN(1-W1011))</f>
        <v/>
      </c>
      <c r="Y1011" s="10">
        <f>IF(W1011&gt;$AC$33,1,0)</f>
        <v/>
      </c>
      <c r="Z1011">
        <f>IF(Y1011=C1011,1,0)</f>
        <v/>
      </c>
    </row>
  </sheetData>
  <mergeCells count="4">
    <mergeCell ref="A3:R3"/>
    <mergeCell ref="A2:R2"/>
    <mergeCell ref="AB49:AE49"/>
    <mergeCell ref="AB48:AE48"/>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1011"/>
  <sheetViews>
    <sheetView workbookViewId="0">
      <pane xSplit="3" ySplit="11" topLeftCell="D12" activePane="bottomRight" state="frozen"/>
      <selection pane="topRight"/>
      <selection pane="bottomLeft"/>
      <selection pane="bottomRight" activeCell="A1" sqref="A1"/>
    </sheetView>
  </sheetViews>
  <sheetFormatPr baseColWidth="8" defaultRowHeight="15"/>
  <cols>
    <col width="27" customWidth="1" min="1" max="1"/>
    <col width="10" customWidth="1" min="2" max="2"/>
    <col width="10" customWidth="1" min="3" max="3"/>
    <col width="10" customWidth="1" min="4" max="4"/>
    <col width="10" customWidth="1" min="5" max="5"/>
    <col width="10" customWidth="1" min="6" max="6"/>
    <col width="23" customWidth="1" min="7" max="7"/>
    <col width="13" customWidth="1" min="8" max="8"/>
    <col width="10" customWidth="1" min="9" max="9"/>
    <col width="13" customWidth="1" min="10" max="10"/>
    <col width="14" customWidth="1" min="11" max="11"/>
    <col width="12" customWidth="1" min="12" max="12"/>
    <col width="16" customWidth="1" min="13" max="13"/>
    <col width="13" customWidth="1" min="14" max="14"/>
    <col width="14" customWidth="1" min="15" max="15"/>
    <col width="12" customWidth="1" min="16" max="16"/>
    <col width="13" customWidth="1" min="17" max="17"/>
    <col width="13" customWidth="1" min="18" max="18"/>
    <col width="12" customWidth="1" min="19" max="19"/>
    <col width="17" customWidth="1" min="20" max="20"/>
    <col width="18" customWidth="1" min="21" max="21"/>
    <col width="10" customWidth="1" min="22" max="22"/>
    <col width="13" customWidth="1" min="23" max="23"/>
    <col width="10" customWidth="1" min="24" max="24"/>
    <col width="11" customWidth="1" min="25" max="25"/>
    <col width="10" customWidth="1" min="26" max="26"/>
    <col width="52" customWidth="1" min="28" max="28"/>
    <col width="21" customWidth="1" min="29" max="29"/>
    <col width="27" customWidth="1" min="30" max="30"/>
    <col width="16" customWidth="1" min="31" max="31"/>
    <col width="10" customWidth="1" min="32" max="32"/>
    <col width="24" customWidth="1" min="34" max="34"/>
    <col width="10" customWidth="1" min="35" max="35"/>
    <col width="12" customWidth="1" min="36" max="36"/>
    <col width="12" customWidth="1" min="37" max="37"/>
    <col width="10" customWidth="1" min="38" max="38"/>
  </cols>
  <sheetData>
    <row r="1">
      <c r="A1" s="3" t="inlineStr">
        <is>
          <t>Elastic net: a mix of the two, with α to split the penalty</t>
        </is>
      </c>
    </row>
    <row r="2" ht="65" customHeight="1">
      <c r="A2" s="2" t="inlineStr">
        <is>
          <t>Elastic net. J = Σ losses + λ · [α Σ|theta| + (1 − α)/2 Σ theta²]: a mix of the two previous ones, where α says what fraction of the penalty is L1. With α = 1 it is lasso, with α = 0 it is ridge; the value 0.5 splits it. Why it exists: lasso, when two variables are highly correlated, tends to keep one and drop the other at random; the L2 piece makes them share the weight. And ridge never eliminates; the L1 piece does. In scikit-learn it is penalty='elasticnet' with l1_ratio = α and C = 1/λ.</t>
        </is>
      </c>
    </row>
    <row r="3" ht="34" customHeight="1">
      <c r="A3" s="2" t="inlineStr">
        <is>
          <t>The yellow columns are |theta| and theta², one for each piece of the penalty. Play with λ and α and watch two things: how many weights go to zero (governed by α) and how much the remaining ones shrink (governed by λ).</t>
        </is>
      </c>
    </row>
    <row r="4"/>
    <row r="5"/>
    <row r="6"/>
    <row r="7"/>
    <row r="8"/>
    <row r="9"/>
    <row r="10">
      <c r="AB10" s="3" t="inlineStr">
        <is>
          <t>Weights (theta): start from the unregularized solution of the base workbook</t>
        </is>
      </c>
      <c r="AH10" s="3" t="inlineStr">
        <is>
          <t>EVALUATION ON TESTING (with the light blue threshold)</t>
        </is>
      </c>
    </row>
    <row r="11">
      <c r="A11" s="4" t="inlineStr">
        <is>
          <t>id</t>
        </is>
      </c>
      <c r="B11" s="4" t="inlineStr">
        <is>
          <t>set</t>
        </is>
      </c>
      <c r="C11" s="4" t="inlineStr">
        <is>
          <t>y</t>
        </is>
      </c>
      <c r="D11" s="4" t="inlineStr">
        <is>
          <t>duration</t>
        </is>
      </c>
      <c r="E11" s="4" t="inlineStr">
        <is>
          <t>amount</t>
        </is>
      </c>
      <c r="F11" s="4" t="inlineStr">
        <is>
          <t>age</t>
        </is>
      </c>
      <c r="G11" s="4" t="inlineStr">
        <is>
          <t>installment_pct_income</t>
        </is>
      </c>
      <c r="H11" s="4" t="inlineStr">
        <is>
          <t>chk_negative</t>
        </is>
      </c>
      <c r="I11" s="4" t="inlineStr">
        <is>
          <t>chk_0_200</t>
        </is>
      </c>
      <c r="J11" s="4" t="inlineStr">
        <is>
          <t>chk_over_200</t>
        </is>
      </c>
      <c r="K11" s="4" t="inlineStr">
        <is>
          <t>hist_critical</t>
        </is>
      </c>
      <c r="L11" s="4" t="inlineStr">
        <is>
          <t>hist_delays</t>
        </is>
      </c>
      <c r="M11" s="4" t="inlineStr">
        <is>
          <t>hist_no_credits</t>
        </is>
      </c>
      <c r="N11" s="4" t="inlineStr">
        <is>
          <t>sav_100_1000</t>
        </is>
      </c>
      <c r="O11" s="4" t="inlineStr">
        <is>
          <t>sav_over_1000</t>
        </is>
      </c>
      <c r="P11" s="4" t="inlineStr">
        <is>
          <t>sav_unknown</t>
        </is>
      </c>
      <c r="Q11" s="4" t="inlineStr">
        <is>
          <t>housing_rent</t>
        </is>
      </c>
      <c r="R11" s="4" t="inlineStr">
        <is>
          <t>housing_free</t>
        </is>
      </c>
      <c r="S11" s="4" t="inlineStr">
        <is>
          <t>purpose_car</t>
        </is>
      </c>
      <c r="T11" s="4" t="inlineStr">
        <is>
          <t>purpose_radio_tv</t>
        </is>
      </c>
      <c r="U11" s="4" t="inlineStr">
        <is>
          <t>purpose_furniture</t>
        </is>
      </c>
      <c r="V11" s="4" t="inlineStr">
        <is>
          <t>Z (line)</t>
        </is>
      </c>
      <c r="W11" s="4" t="inlineStr">
        <is>
          <t>p (logistic)</t>
        </is>
      </c>
      <c r="X11" s="4" t="inlineStr">
        <is>
          <t>loss</t>
        </is>
      </c>
      <c r="Y11" s="4" t="inlineStr">
        <is>
          <t>prediction</t>
        </is>
      </c>
      <c r="Z11" s="4" t="inlineStr">
        <is>
          <t>correct</t>
        </is>
      </c>
      <c r="AB11" s="4" t="inlineStr">
        <is>
          <t>variable</t>
        </is>
      </c>
      <c r="AC11" s="4" t="inlineStr">
        <is>
          <t>theta (light blue)</t>
        </is>
      </c>
      <c r="AD11" s="4" t="inlineStr">
        <is>
          <t>scikit-learn reference, λ = 10</t>
        </is>
      </c>
      <c r="AE11" s="4" t="inlineStr">
        <is>
          <t>|theta|</t>
        </is>
      </c>
      <c r="AF11" s="4" t="inlineStr">
        <is>
          <t>theta²</t>
        </is>
      </c>
    </row>
    <row r="12">
      <c r="A12">
        <f>'1 prepared data'!A5</f>
        <v/>
      </c>
      <c r="B12" s="5">
        <f>'1 prepared data'!U5</f>
        <v/>
      </c>
      <c r="C12">
        <f>'1 prepared data'!B5</f>
        <v/>
      </c>
      <c r="D12" s="7">
        <f>'1 prepared data'!C5</f>
        <v/>
      </c>
      <c r="E12" s="7">
        <f>'1 prepared data'!D5</f>
        <v/>
      </c>
      <c r="F12" s="7">
        <f>'1 prepared data'!E5</f>
        <v/>
      </c>
      <c r="G12" s="7">
        <f>'1 prepared data'!F5</f>
        <v/>
      </c>
      <c r="H12" s="7">
        <f>'1 prepared data'!G5</f>
        <v/>
      </c>
      <c r="I12" s="7">
        <f>'1 prepared data'!H5</f>
        <v/>
      </c>
      <c r="J12" s="7">
        <f>'1 prepared data'!I5</f>
        <v/>
      </c>
      <c r="K12" s="7">
        <f>'1 prepared data'!J5</f>
        <v/>
      </c>
      <c r="L12" s="7">
        <f>'1 prepared data'!K5</f>
        <v/>
      </c>
      <c r="M12" s="7">
        <f>'1 prepared data'!L5</f>
        <v/>
      </c>
      <c r="N12" s="7">
        <f>'1 prepared data'!M5</f>
        <v/>
      </c>
      <c r="O12" s="7">
        <f>'1 prepared data'!N5</f>
        <v/>
      </c>
      <c r="P12" s="7">
        <f>'1 prepared data'!O5</f>
        <v/>
      </c>
      <c r="Q12" s="7">
        <f>'1 prepared data'!P5</f>
        <v/>
      </c>
      <c r="R12" s="7">
        <f>'1 prepared data'!Q5</f>
        <v/>
      </c>
      <c r="S12" s="7">
        <f>'1 prepared data'!R5</f>
        <v/>
      </c>
      <c r="T12" s="7">
        <f>'1 prepared data'!S5</f>
        <v/>
      </c>
      <c r="U12" s="7">
        <f>'1 prepared data'!T5</f>
        <v/>
      </c>
      <c r="V12" s="8">
        <f>$AC$12+D12*$AC$13+E12*$AC$14+F12*$AC$15+G12*$AC$16+H12*$AC$17+I12*$AC$18+J12*$AC$19+K12*$AC$20+L12*$AC$21+M12*$AC$22+N12*$AC$23+O12*$AC$24+P12*$AC$25+Q12*$AC$26+R12*$AC$27+S12*$AC$28+T12*$AC$29+U12*$AC$30</f>
        <v/>
      </c>
      <c r="W12" s="8">
        <f>1/(1+EXP(-V12))</f>
        <v/>
      </c>
      <c r="X12" s="9">
        <f>-IF(C12=1,LN(W12),LN(1-W12))</f>
        <v/>
      </c>
      <c r="Y12" s="10">
        <f>IF(W12&gt;$AC$34,1,0)</f>
        <v/>
      </c>
      <c r="Z12">
        <f>IF(Y12=C12,1,0)</f>
        <v/>
      </c>
      <c r="AB12" t="inlineStr">
        <is>
          <t>intercept</t>
        </is>
      </c>
      <c r="AC12" s="11" t="n">
        <v>-1.341270962110326</v>
      </c>
      <c r="AD12" s="12" t="n">
        <v>-1.164708464587308</v>
      </c>
      <c r="AE12" t="inlineStr">
        <is>
          <t>(not penalized)</t>
        </is>
      </c>
    </row>
    <row r="13">
      <c r="A13">
        <f>'1 prepared data'!A6</f>
        <v/>
      </c>
      <c r="B13" s="5">
        <f>'1 prepared data'!U6</f>
        <v/>
      </c>
      <c r="C13">
        <f>'1 prepared data'!B6</f>
        <v/>
      </c>
      <c r="D13" s="7">
        <f>'1 prepared data'!C6</f>
        <v/>
      </c>
      <c r="E13" s="7">
        <f>'1 prepared data'!D6</f>
        <v/>
      </c>
      <c r="F13" s="7">
        <f>'1 prepared data'!E6</f>
        <v/>
      </c>
      <c r="G13" s="7">
        <f>'1 prepared data'!F6</f>
        <v/>
      </c>
      <c r="H13" s="7">
        <f>'1 prepared data'!G6</f>
        <v/>
      </c>
      <c r="I13" s="7">
        <f>'1 prepared data'!H6</f>
        <v/>
      </c>
      <c r="J13" s="7">
        <f>'1 prepared data'!I6</f>
        <v/>
      </c>
      <c r="K13" s="7">
        <f>'1 prepared data'!J6</f>
        <v/>
      </c>
      <c r="L13" s="7">
        <f>'1 prepared data'!K6</f>
        <v/>
      </c>
      <c r="M13" s="7">
        <f>'1 prepared data'!L6</f>
        <v/>
      </c>
      <c r="N13" s="7">
        <f>'1 prepared data'!M6</f>
        <v/>
      </c>
      <c r="O13" s="7">
        <f>'1 prepared data'!N6</f>
        <v/>
      </c>
      <c r="P13" s="7">
        <f>'1 prepared data'!O6</f>
        <v/>
      </c>
      <c r="Q13" s="7">
        <f>'1 prepared data'!P6</f>
        <v/>
      </c>
      <c r="R13" s="7">
        <f>'1 prepared data'!Q6</f>
        <v/>
      </c>
      <c r="S13" s="7">
        <f>'1 prepared data'!R6</f>
        <v/>
      </c>
      <c r="T13" s="7">
        <f>'1 prepared data'!S6</f>
        <v/>
      </c>
      <c r="U13" s="7">
        <f>'1 prepared data'!T6</f>
        <v/>
      </c>
      <c r="V13" s="8">
        <f>$AC$12+D13*$AC$13+E13*$AC$14+F13*$AC$15+G13*$AC$16+H13*$AC$17+I13*$AC$18+J13*$AC$19+K13*$AC$20+L13*$AC$21+M13*$AC$22+N13*$AC$23+O13*$AC$24+P13*$AC$25+Q13*$AC$26+R13*$AC$27+S13*$AC$28+T13*$AC$29+U13*$AC$30</f>
        <v/>
      </c>
      <c r="W13" s="8">
        <f>1/(1+EXP(-V13))</f>
        <v/>
      </c>
      <c r="X13" s="9">
        <f>-IF(C13=1,LN(W13),LN(1-W13))</f>
        <v/>
      </c>
      <c r="Y13" s="10">
        <f>IF(W13&gt;$AC$34,1,0)</f>
        <v/>
      </c>
      <c r="Z13">
        <f>IF(Y13=C13,1,0)</f>
        <v/>
      </c>
      <c r="AB13" t="inlineStr">
        <is>
          <t>duration</t>
        </is>
      </c>
      <c r="AC13" s="11" t="n">
        <v>0.3247012549391071</v>
      </c>
      <c r="AD13" s="12" t="n">
        <v>0.2883263936988416</v>
      </c>
      <c r="AE13" s="9">
        <f>ABS(AC13)</f>
        <v/>
      </c>
      <c r="AF13" s="9">
        <f>AC13^2</f>
        <v/>
      </c>
      <c r="AJ13" s="3" t="inlineStr">
        <is>
          <t>predicted 0</t>
        </is>
      </c>
      <c r="AK13" s="3" t="inlineStr">
        <is>
          <t>predicted 1</t>
        </is>
      </c>
      <c r="AL13" s="3" t="inlineStr">
        <is>
          <t>total</t>
        </is>
      </c>
    </row>
    <row r="14">
      <c r="A14">
        <f>'1 prepared data'!A7</f>
        <v/>
      </c>
      <c r="B14" s="5">
        <f>'1 prepared data'!U7</f>
        <v/>
      </c>
      <c r="C14">
        <f>'1 prepared data'!B7</f>
        <v/>
      </c>
      <c r="D14" s="7">
        <f>'1 prepared data'!C7</f>
        <v/>
      </c>
      <c r="E14" s="7">
        <f>'1 prepared data'!D7</f>
        <v/>
      </c>
      <c r="F14" s="7">
        <f>'1 prepared data'!E7</f>
        <v/>
      </c>
      <c r="G14" s="7">
        <f>'1 prepared data'!F7</f>
        <v/>
      </c>
      <c r="H14" s="7">
        <f>'1 prepared data'!G7</f>
        <v/>
      </c>
      <c r="I14" s="7">
        <f>'1 prepared data'!H7</f>
        <v/>
      </c>
      <c r="J14" s="7">
        <f>'1 prepared data'!I7</f>
        <v/>
      </c>
      <c r="K14" s="7">
        <f>'1 prepared data'!J7</f>
        <v/>
      </c>
      <c r="L14" s="7">
        <f>'1 prepared data'!K7</f>
        <v/>
      </c>
      <c r="M14" s="7">
        <f>'1 prepared data'!L7</f>
        <v/>
      </c>
      <c r="N14" s="7">
        <f>'1 prepared data'!M7</f>
        <v/>
      </c>
      <c r="O14" s="7">
        <f>'1 prepared data'!N7</f>
        <v/>
      </c>
      <c r="P14" s="7">
        <f>'1 prepared data'!O7</f>
        <v/>
      </c>
      <c r="Q14" s="7">
        <f>'1 prepared data'!P7</f>
        <v/>
      </c>
      <c r="R14" s="7">
        <f>'1 prepared data'!Q7</f>
        <v/>
      </c>
      <c r="S14" s="7">
        <f>'1 prepared data'!R7</f>
        <v/>
      </c>
      <c r="T14" s="7">
        <f>'1 prepared data'!S7</f>
        <v/>
      </c>
      <c r="U14" s="7">
        <f>'1 prepared data'!T7</f>
        <v/>
      </c>
      <c r="V14" s="8">
        <f>$AC$12+D14*$AC$13+E14*$AC$14+F14*$AC$15+G14*$AC$16+H14*$AC$17+I14*$AC$18+J14*$AC$19+K14*$AC$20+L14*$AC$21+M14*$AC$22+N14*$AC$23+O14*$AC$24+P14*$AC$25+Q14*$AC$26+R14*$AC$27+S14*$AC$28+T14*$AC$29+U14*$AC$30</f>
        <v/>
      </c>
      <c r="W14" s="8">
        <f>1/(1+EXP(-V14))</f>
        <v/>
      </c>
      <c r="X14" s="9">
        <f>-IF(C14=1,LN(W14),LN(1-W14))</f>
        <v/>
      </c>
      <c r="Y14" s="10">
        <f>IF(W14&gt;$AC$34,1,0)</f>
        <v/>
      </c>
      <c r="Z14">
        <f>IF(Y14=C14,1,0)</f>
        <v/>
      </c>
      <c r="AB14" t="inlineStr">
        <is>
          <t>amount</t>
        </is>
      </c>
      <c r="AC14" s="11" t="n">
        <v>0.1163535941884676</v>
      </c>
      <c r="AD14" s="12" t="n">
        <v>0.06449985654074139</v>
      </c>
      <c r="AE14" s="9">
        <f>ABS(AC14)</f>
        <v/>
      </c>
      <c r="AF14" s="9">
        <f>AC14^2</f>
        <v/>
      </c>
      <c r="AH14" s="3" t="inlineStr">
        <is>
          <t>actual 0 (good payer)</t>
        </is>
      </c>
      <c r="AI14" t="inlineStr">
        <is>
          <t>TN | FP</t>
        </is>
      </c>
      <c r="AJ14" s="13">
        <f>COUNTIFS($B$12:$B$1011,"testing",$C$12:$C$1011,0,$Y$12:$Y$1011,0)</f>
        <v/>
      </c>
      <c r="AK14" s="13">
        <f>COUNTIFS($B$12:$B$1011,"testing",$C$12:$C$1011,0,$Y$12:$Y$1011,1)</f>
        <v/>
      </c>
      <c r="AL14">
        <f>AJ14+AK14</f>
        <v/>
      </c>
    </row>
    <row r="15">
      <c r="A15">
        <f>'1 prepared data'!A8</f>
        <v/>
      </c>
      <c r="B15" s="5">
        <f>'1 prepared data'!U8</f>
        <v/>
      </c>
      <c r="C15">
        <f>'1 prepared data'!B8</f>
        <v/>
      </c>
      <c r="D15" s="7">
        <f>'1 prepared data'!C8</f>
        <v/>
      </c>
      <c r="E15" s="7">
        <f>'1 prepared data'!D8</f>
        <v/>
      </c>
      <c r="F15" s="7">
        <f>'1 prepared data'!E8</f>
        <v/>
      </c>
      <c r="G15" s="7">
        <f>'1 prepared data'!F8</f>
        <v/>
      </c>
      <c r="H15" s="7">
        <f>'1 prepared data'!G8</f>
        <v/>
      </c>
      <c r="I15" s="7">
        <f>'1 prepared data'!H8</f>
        <v/>
      </c>
      <c r="J15" s="7">
        <f>'1 prepared data'!I8</f>
        <v/>
      </c>
      <c r="K15" s="7">
        <f>'1 prepared data'!J8</f>
        <v/>
      </c>
      <c r="L15" s="7">
        <f>'1 prepared data'!K8</f>
        <v/>
      </c>
      <c r="M15" s="7">
        <f>'1 prepared data'!L8</f>
        <v/>
      </c>
      <c r="N15" s="7">
        <f>'1 prepared data'!M8</f>
        <v/>
      </c>
      <c r="O15" s="7">
        <f>'1 prepared data'!N8</f>
        <v/>
      </c>
      <c r="P15" s="7">
        <f>'1 prepared data'!O8</f>
        <v/>
      </c>
      <c r="Q15" s="7">
        <f>'1 prepared data'!P8</f>
        <v/>
      </c>
      <c r="R15" s="7">
        <f>'1 prepared data'!Q8</f>
        <v/>
      </c>
      <c r="S15" s="7">
        <f>'1 prepared data'!R8</f>
        <v/>
      </c>
      <c r="T15" s="7">
        <f>'1 prepared data'!S8</f>
        <v/>
      </c>
      <c r="U15" s="7">
        <f>'1 prepared data'!T8</f>
        <v/>
      </c>
      <c r="V15" s="8">
        <f>$AC$12+D15*$AC$13+E15*$AC$14+F15*$AC$15+G15*$AC$16+H15*$AC$17+I15*$AC$18+J15*$AC$19+K15*$AC$20+L15*$AC$21+M15*$AC$22+N15*$AC$23+O15*$AC$24+P15*$AC$25+Q15*$AC$26+R15*$AC$27+S15*$AC$28+T15*$AC$29+U15*$AC$30</f>
        <v/>
      </c>
      <c r="W15" s="8">
        <f>1/(1+EXP(-V15))</f>
        <v/>
      </c>
      <c r="X15" s="9">
        <f>-IF(C15=1,LN(W15),LN(1-W15))</f>
        <v/>
      </c>
      <c r="Y15" s="10">
        <f>IF(W15&gt;$AC$34,1,0)</f>
        <v/>
      </c>
      <c r="Z15">
        <f>IF(Y15=C15,1,0)</f>
        <v/>
      </c>
      <c r="AB15" t="inlineStr">
        <is>
          <t>age</t>
        </is>
      </c>
      <c r="AC15" s="11" t="n">
        <v>-0.09914522482627074</v>
      </c>
      <c r="AD15" s="12" t="n">
        <v>-0.07104034045858372</v>
      </c>
      <c r="AE15" s="9">
        <f>ABS(AC15)</f>
        <v/>
      </c>
      <c r="AF15" s="9">
        <f>AC15^2</f>
        <v/>
      </c>
      <c r="AH15" s="3" t="inlineStr">
        <is>
          <t>actual 1 (defaulter)</t>
        </is>
      </c>
      <c r="AI15" t="inlineStr">
        <is>
          <t>FN | TP</t>
        </is>
      </c>
      <c r="AJ15" s="13">
        <f>COUNTIFS($B$12:$B$1011,"testing",$C$12:$C$1011,1,$Y$12:$Y$1011,0)</f>
        <v/>
      </c>
      <c r="AK15" s="13">
        <f>COUNTIFS($B$12:$B$1011,"testing",$C$12:$C$1011,1,$Y$12:$Y$1011,1)</f>
        <v/>
      </c>
      <c r="AL15">
        <f>AJ15+AK15</f>
        <v/>
      </c>
    </row>
    <row r="16">
      <c r="A16">
        <f>'1 prepared data'!A9</f>
        <v/>
      </c>
      <c r="B16" s="5">
        <f>'1 prepared data'!U9</f>
        <v/>
      </c>
      <c r="C16">
        <f>'1 prepared data'!B9</f>
        <v/>
      </c>
      <c r="D16" s="7">
        <f>'1 prepared data'!C9</f>
        <v/>
      </c>
      <c r="E16" s="7">
        <f>'1 prepared data'!D9</f>
        <v/>
      </c>
      <c r="F16" s="7">
        <f>'1 prepared data'!E9</f>
        <v/>
      </c>
      <c r="G16" s="7">
        <f>'1 prepared data'!F9</f>
        <v/>
      </c>
      <c r="H16" s="7">
        <f>'1 prepared data'!G9</f>
        <v/>
      </c>
      <c r="I16" s="7">
        <f>'1 prepared data'!H9</f>
        <v/>
      </c>
      <c r="J16" s="7">
        <f>'1 prepared data'!I9</f>
        <v/>
      </c>
      <c r="K16" s="7">
        <f>'1 prepared data'!J9</f>
        <v/>
      </c>
      <c r="L16" s="7">
        <f>'1 prepared data'!K9</f>
        <v/>
      </c>
      <c r="M16" s="7">
        <f>'1 prepared data'!L9</f>
        <v/>
      </c>
      <c r="N16" s="7">
        <f>'1 prepared data'!M9</f>
        <v/>
      </c>
      <c r="O16" s="7">
        <f>'1 prepared data'!N9</f>
        <v/>
      </c>
      <c r="P16" s="7">
        <f>'1 prepared data'!O9</f>
        <v/>
      </c>
      <c r="Q16" s="7">
        <f>'1 prepared data'!P9</f>
        <v/>
      </c>
      <c r="R16" s="7">
        <f>'1 prepared data'!Q9</f>
        <v/>
      </c>
      <c r="S16" s="7">
        <f>'1 prepared data'!R9</f>
        <v/>
      </c>
      <c r="T16" s="7">
        <f>'1 prepared data'!S9</f>
        <v/>
      </c>
      <c r="U16" s="7">
        <f>'1 prepared data'!T9</f>
        <v/>
      </c>
      <c r="V16" s="8">
        <f>$AC$12+D16*$AC$13+E16*$AC$14+F16*$AC$15+G16*$AC$16+H16*$AC$17+I16*$AC$18+J16*$AC$19+K16*$AC$20+L16*$AC$21+M16*$AC$22+N16*$AC$23+O16*$AC$24+P16*$AC$25+Q16*$AC$26+R16*$AC$27+S16*$AC$28+T16*$AC$29+U16*$AC$30</f>
        <v/>
      </c>
      <c r="W16" s="8">
        <f>1/(1+EXP(-V16))</f>
        <v/>
      </c>
      <c r="X16" s="9">
        <f>-IF(C16=1,LN(W16),LN(1-W16))</f>
        <v/>
      </c>
      <c r="Y16" s="10">
        <f>IF(W16&gt;$AC$34,1,0)</f>
        <v/>
      </c>
      <c r="Z16">
        <f>IF(Y16=C16,1,0)</f>
        <v/>
      </c>
      <c r="AB16" t="inlineStr">
        <is>
          <t>installment_pct_income</t>
        </is>
      </c>
      <c r="AC16" s="11" t="n">
        <v>0.2872157655933926</v>
      </c>
      <c r="AD16" s="12" t="n">
        <v>0.1606240180613443</v>
      </c>
      <c r="AE16" s="9">
        <f>ABS(AC16)</f>
        <v/>
      </c>
      <c r="AF16" s="9">
        <f>AC16^2</f>
        <v/>
      </c>
      <c r="AH16" s="3" t="inlineStr">
        <is>
          <t>total</t>
        </is>
      </c>
      <c r="AJ16">
        <f>AJ14+AJ15</f>
        <v/>
      </c>
      <c r="AK16">
        <f>AK14+AK15</f>
        <v/>
      </c>
      <c r="AL16">
        <f>AL14+AL15</f>
        <v/>
      </c>
    </row>
    <row r="17">
      <c r="A17">
        <f>'1 prepared data'!A10</f>
        <v/>
      </c>
      <c r="B17" s="5">
        <f>'1 prepared data'!U10</f>
        <v/>
      </c>
      <c r="C17">
        <f>'1 prepared data'!B10</f>
        <v/>
      </c>
      <c r="D17" s="7">
        <f>'1 prepared data'!C10</f>
        <v/>
      </c>
      <c r="E17" s="7">
        <f>'1 prepared data'!D10</f>
        <v/>
      </c>
      <c r="F17" s="7">
        <f>'1 prepared data'!E10</f>
        <v/>
      </c>
      <c r="G17" s="7">
        <f>'1 prepared data'!F10</f>
        <v/>
      </c>
      <c r="H17" s="7">
        <f>'1 prepared data'!G10</f>
        <v/>
      </c>
      <c r="I17" s="7">
        <f>'1 prepared data'!H10</f>
        <v/>
      </c>
      <c r="J17" s="7">
        <f>'1 prepared data'!I10</f>
        <v/>
      </c>
      <c r="K17" s="7">
        <f>'1 prepared data'!J10</f>
        <v/>
      </c>
      <c r="L17" s="7">
        <f>'1 prepared data'!K10</f>
        <v/>
      </c>
      <c r="M17" s="7">
        <f>'1 prepared data'!L10</f>
        <v/>
      </c>
      <c r="N17" s="7">
        <f>'1 prepared data'!M10</f>
        <v/>
      </c>
      <c r="O17" s="7">
        <f>'1 prepared data'!N10</f>
        <v/>
      </c>
      <c r="P17" s="7">
        <f>'1 prepared data'!O10</f>
        <v/>
      </c>
      <c r="Q17" s="7">
        <f>'1 prepared data'!P10</f>
        <v/>
      </c>
      <c r="R17" s="7">
        <f>'1 prepared data'!Q10</f>
        <v/>
      </c>
      <c r="S17" s="7">
        <f>'1 prepared data'!R10</f>
        <v/>
      </c>
      <c r="T17" s="7">
        <f>'1 prepared data'!S10</f>
        <v/>
      </c>
      <c r="U17" s="7">
        <f>'1 prepared data'!T10</f>
        <v/>
      </c>
      <c r="V17" s="8">
        <f>$AC$12+D17*$AC$13+E17*$AC$14+F17*$AC$15+G17*$AC$16+H17*$AC$17+I17*$AC$18+J17*$AC$19+K17*$AC$20+L17*$AC$21+M17*$AC$22+N17*$AC$23+O17*$AC$24+P17*$AC$25+Q17*$AC$26+R17*$AC$27+S17*$AC$28+T17*$AC$29+U17*$AC$30</f>
        <v/>
      </c>
      <c r="W17" s="8">
        <f>1/(1+EXP(-V17))</f>
        <v/>
      </c>
      <c r="X17" s="9">
        <f>-IF(C17=1,LN(W17),LN(1-W17))</f>
        <v/>
      </c>
      <c r="Y17" s="10">
        <f>IF(W17&gt;$AC$34,1,0)</f>
        <v/>
      </c>
      <c r="Z17">
        <f>IF(Y17=C17,1,0)</f>
        <v/>
      </c>
      <c r="AB17" t="inlineStr">
        <is>
          <t>chk_negative</t>
        </is>
      </c>
      <c r="AC17" s="11" t="n">
        <v>1.546402670396991</v>
      </c>
      <c r="AD17" s="12" t="n">
        <v>0.9472921583286515</v>
      </c>
      <c r="AE17" s="9">
        <f>ABS(AC17)</f>
        <v/>
      </c>
      <c r="AF17" s="9">
        <f>AC17^2</f>
        <v/>
      </c>
    </row>
    <row r="18">
      <c r="A18">
        <f>'1 prepared data'!A11</f>
        <v/>
      </c>
      <c r="B18" s="5">
        <f>'1 prepared data'!U11</f>
        <v/>
      </c>
      <c r="C18">
        <f>'1 prepared data'!B11</f>
        <v/>
      </c>
      <c r="D18" s="7">
        <f>'1 prepared data'!C11</f>
        <v/>
      </c>
      <c r="E18" s="7">
        <f>'1 prepared data'!D11</f>
        <v/>
      </c>
      <c r="F18" s="7">
        <f>'1 prepared data'!E11</f>
        <v/>
      </c>
      <c r="G18" s="7">
        <f>'1 prepared data'!F11</f>
        <v/>
      </c>
      <c r="H18" s="7">
        <f>'1 prepared data'!G11</f>
        <v/>
      </c>
      <c r="I18" s="7">
        <f>'1 prepared data'!H11</f>
        <v/>
      </c>
      <c r="J18" s="7">
        <f>'1 prepared data'!I11</f>
        <v/>
      </c>
      <c r="K18" s="7">
        <f>'1 prepared data'!J11</f>
        <v/>
      </c>
      <c r="L18" s="7">
        <f>'1 prepared data'!K11</f>
        <v/>
      </c>
      <c r="M18" s="7">
        <f>'1 prepared data'!L11</f>
        <v/>
      </c>
      <c r="N18" s="7">
        <f>'1 prepared data'!M11</f>
        <v/>
      </c>
      <c r="O18" s="7">
        <f>'1 prepared data'!N11</f>
        <v/>
      </c>
      <c r="P18" s="7">
        <f>'1 prepared data'!O11</f>
        <v/>
      </c>
      <c r="Q18" s="7">
        <f>'1 prepared data'!P11</f>
        <v/>
      </c>
      <c r="R18" s="7">
        <f>'1 prepared data'!Q11</f>
        <v/>
      </c>
      <c r="S18" s="7">
        <f>'1 prepared data'!R11</f>
        <v/>
      </c>
      <c r="T18" s="7">
        <f>'1 prepared data'!S11</f>
        <v/>
      </c>
      <c r="U18" s="7">
        <f>'1 prepared data'!T11</f>
        <v/>
      </c>
      <c r="V18" s="8">
        <f>$AC$12+D18*$AC$13+E18*$AC$14+F18*$AC$15+G18*$AC$16+H18*$AC$17+I18*$AC$18+J18*$AC$19+K18*$AC$20+L18*$AC$21+M18*$AC$22+N18*$AC$23+O18*$AC$24+P18*$AC$25+Q18*$AC$26+R18*$AC$27+S18*$AC$28+T18*$AC$29+U18*$AC$30</f>
        <v/>
      </c>
      <c r="W18" s="8">
        <f>1/(1+EXP(-V18))</f>
        <v/>
      </c>
      <c r="X18" s="9">
        <f>-IF(C18=1,LN(W18),LN(1-W18))</f>
        <v/>
      </c>
      <c r="Y18" s="10">
        <f>IF(W18&gt;$AC$34,1,0)</f>
        <v/>
      </c>
      <c r="Z18">
        <f>IF(Y18=C18,1,0)</f>
        <v/>
      </c>
      <c r="AB18" t="inlineStr">
        <is>
          <t>chk_0_200</t>
        </is>
      </c>
      <c r="AC18" s="11" t="n">
        <v>1.294997779791349</v>
      </c>
      <c r="AD18" s="12" t="n">
        <v>0.6456191647824898</v>
      </c>
      <c r="AE18" s="9">
        <f>ABS(AC18)</f>
        <v/>
      </c>
      <c r="AF18" s="9">
        <f>AC18^2</f>
        <v/>
      </c>
      <c r="AH18" s="4" t="inlineStr"/>
      <c r="AI18" s="4" t="inlineStr">
        <is>
          <t>precision</t>
        </is>
      </c>
      <c r="AJ18" s="4" t="inlineStr">
        <is>
          <t>recall</t>
        </is>
      </c>
      <c r="AK18" s="4" t="inlineStr">
        <is>
          <t>f1-score</t>
        </is>
      </c>
      <c r="AL18" s="4" t="inlineStr">
        <is>
          <t>support</t>
        </is>
      </c>
    </row>
    <row r="19">
      <c r="A19">
        <f>'1 prepared data'!A12</f>
        <v/>
      </c>
      <c r="B19" s="5">
        <f>'1 prepared data'!U12</f>
        <v/>
      </c>
      <c r="C19">
        <f>'1 prepared data'!B12</f>
        <v/>
      </c>
      <c r="D19" s="7">
        <f>'1 prepared data'!C12</f>
        <v/>
      </c>
      <c r="E19" s="7">
        <f>'1 prepared data'!D12</f>
        <v/>
      </c>
      <c r="F19" s="7">
        <f>'1 prepared data'!E12</f>
        <v/>
      </c>
      <c r="G19" s="7">
        <f>'1 prepared data'!F12</f>
        <v/>
      </c>
      <c r="H19" s="7">
        <f>'1 prepared data'!G12</f>
        <v/>
      </c>
      <c r="I19" s="7">
        <f>'1 prepared data'!H12</f>
        <v/>
      </c>
      <c r="J19" s="7">
        <f>'1 prepared data'!I12</f>
        <v/>
      </c>
      <c r="K19" s="7">
        <f>'1 prepared data'!J12</f>
        <v/>
      </c>
      <c r="L19" s="7">
        <f>'1 prepared data'!K12</f>
        <v/>
      </c>
      <c r="M19" s="7">
        <f>'1 prepared data'!L12</f>
        <v/>
      </c>
      <c r="N19" s="7">
        <f>'1 prepared data'!M12</f>
        <v/>
      </c>
      <c r="O19" s="7">
        <f>'1 prepared data'!N12</f>
        <v/>
      </c>
      <c r="P19" s="7">
        <f>'1 prepared data'!O12</f>
        <v/>
      </c>
      <c r="Q19" s="7">
        <f>'1 prepared data'!P12</f>
        <v/>
      </c>
      <c r="R19" s="7">
        <f>'1 prepared data'!Q12</f>
        <v/>
      </c>
      <c r="S19" s="7">
        <f>'1 prepared data'!R12</f>
        <v/>
      </c>
      <c r="T19" s="7">
        <f>'1 prepared data'!S12</f>
        <v/>
      </c>
      <c r="U19" s="7">
        <f>'1 prepared data'!T12</f>
        <v/>
      </c>
      <c r="V19" s="8">
        <f>$AC$12+D19*$AC$13+E19*$AC$14+F19*$AC$15+G19*$AC$16+H19*$AC$17+I19*$AC$18+J19*$AC$19+K19*$AC$20+L19*$AC$21+M19*$AC$22+N19*$AC$23+O19*$AC$24+P19*$AC$25+Q19*$AC$26+R19*$AC$27+S19*$AC$28+T19*$AC$29+U19*$AC$30</f>
        <v/>
      </c>
      <c r="W19" s="8">
        <f>1/(1+EXP(-V19))</f>
        <v/>
      </c>
      <c r="X19" s="9">
        <f>-IF(C19=1,LN(W19),LN(1-W19))</f>
        <v/>
      </c>
      <c r="Y19" s="10">
        <f>IF(W19&gt;$AC$34,1,0)</f>
        <v/>
      </c>
      <c r="Z19">
        <f>IF(Y19=C19,1,0)</f>
        <v/>
      </c>
      <c r="AB19" t="inlineStr">
        <is>
          <t>chk_over_200</t>
        </is>
      </c>
      <c r="AC19" s="11" t="n">
        <v>0.6683615861023957</v>
      </c>
      <c r="AD19" s="12" t="n">
        <v>0</v>
      </c>
      <c r="AE19" s="9">
        <f>ABS(AC19)</f>
        <v/>
      </c>
      <c r="AF19" s="9">
        <f>AC19^2</f>
        <v/>
      </c>
      <c r="AH19" s="3" t="inlineStr">
        <is>
          <t>class 0 (pays)</t>
        </is>
      </c>
      <c r="AI19" s="14">
        <f>IF(AJ14+AJ15=0,0,AJ14/(AJ14+AJ15))</f>
        <v/>
      </c>
      <c r="AJ19" s="14">
        <f>IF(AJ14+AK14=0,0,AJ14/(AJ14+AK14))</f>
        <v/>
      </c>
      <c r="AK19" s="14">
        <f>IF(AI19+AJ19=0,0,2*AI19*AJ19/(AI19+AJ19))</f>
        <v/>
      </c>
      <c r="AL19">
        <f>AL14</f>
        <v/>
      </c>
    </row>
    <row r="20">
      <c r="A20">
        <f>'1 prepared data'!A13</f>
        <v/>
      </c>
      <c r="B20" s="5">
        <f>'1 prepared data'!U13</f>
        <v/>
      </c>
      <c r="C20">
        <f>'1 prepared data'!B13</f>
        <v/>
      </c>
      <c r="D20" s="7">
        <f>'1 prepared data'!C13</f>
        <v/>
      </c>
      <c r="E20" s="7">
        <f>'1 prepared data'!D13</f>
        <v/>
      </c>
      <c r="F20" s="7">
        <f>'1 prepared data'!E13</f>
        <v/>
      </c>
      <c r="G20" s="7">
        <f>'1 prepared data'!F13</f>
        <v/>
      </c>
      <c r="H20" s="7">
        <f>'1 prepared data'!G13</f>
        <v/>
      </c>
      <c r="I20" s="7">
        <f>'1 prepared data'!H13</f>
        <v/>
      </c>
      <c r="J20" s="7">
        <f>'1 prepared data'!I13</f>
        <v/>
      </c>
      <c r="K20" s="7">
        <f>'1 prepared data'!J13</f>
        <v/>
      </c>
      <c r="L20" s="7">
        <f>'1 prepared data'!K13</f>
        <v/>
      </c>
      <c r="M20" s="7">
        <f>'1 prepared data'!L13</f>
        <v/>
      </c>
      <c r="N20" s="7">
        <f>'1 prepared data'!M13</f>
        <v/>
      </c>
      <c r="O20" s="7">
        <f>'1 prepared data'!N13</f>
        <v/>
      </c>
      <c r="P20" s="7">
        <f>'1 prepared data'!O13</f>
        <v/>
      </c>
      <c r="Q20" s="7">
        <f>'1 prepared data'!P13</f>
        <v/>
      </c>
      <c r="R20" s="7">
        <f>'1 prepared data'!Q13</f>
        <v/>
      </c>
      <c r="S20" s="7">
        <f>'1 prepared data'!R13</f>
        <v/>
      </c>
      <c r="T20" s="7">
        <f>'1 prepared data'!S13</f>
        <v/>
      </c>
      <c r="U20" s="7">
        <f>'1 prepared data'!T13</f>
        <v/>
      </c>
      <c r="V20" s="8">
        <f>$AC$12+D20*$AC$13+E20*$AC$14+F20*$AC$15+G20*$AC$16+H20*$AC$17+I20*$AC$18+J20*$AC$19+K20*$AC$20+L20*$AC$21+M20*$AC$22+N20*$AC$23+O20*$AC$24+P20*$AC$25+Q20*$AC$26+R20*$AC$27+S20*$AC$28+T20*$AC$29+U20*$AC$30</f>
        <v/>
      </c>
      <c r="W20" s="8">
        <f>1/(1+EXP(-V20))</f>
        <v/>
      </c>
      <c r="X20" s="9">
        <f>-IF(C20=1,LN(W20),LN(1-W20))</f>
        <v/>
      </c>
      <c r="Y20" s="10">
        <f>IF(W20&gt;$AC$34,1,0)</f>
        <v/>
      </c>
      <c r="Z20">
        <f>IF(Y20=C20,1,0)</f>
        <v/>
      </c>
      <c r="AB20" t="inlineStr">
        <is>
          <t>hist_critical</t>
        </is>
      </c>
      <c r="AC20" s="11" t="n">
        <v>-0.6573449373610837</v>
      </c>
      <c r="AD20" s="12" t="n">
        <v>-0.4300165376260652</v>
      </c>
      <c r="AE20" s="9">
        <f>ABS(AC20)</f>
        <v/>
      </c>
      <c r="AF20" s="9">
        <f>AC20^2</f>
        <v/>
      </c>
      <c r="AH20" s="3" t="inlineStr">
        <is>
          <t>class 1 (defaults)</t>
        </is>
      </c>
      <c r="AI20" s="14">
        <f>IF(AK15+AK14=0,0,AK15/(AK15+AK14))</f>
        <v/>
      </c>
      <c r="AJ20" s="14">
        <f>IF(AK15+AJ15=0,0,AK15/(AK15+AJ15))</f>
        <v/>
      </c>
      <c r="AK20" s="14">
        <f>IF(AI20+AJ20=0,0,2*AI20*AJ20/(AI20+AJ20))</f>
        <v/>
      </c>
      <c r="AL20">
        <f>AL15</f>
        <v/>
      </c>
    </row>
    <row r="21">
      <c r="A21">
        <f>'1 prepared data'!A14</f>
        <v/>
      </c>
      <c r="B21" s="5">
        <f>'1 prepared data'!U14</f>
        <v/>
      </c>
      <c r="C21">
        <f>'1 prepared data'!B14</f>
        <v/>
      </c>
      <c r="D21" s="7">
        <f>'1 prepared data'!C14</f>
        <v/>
      </c>
      <c r="E21" s="7">
        <f>'1 prepared data'!D14</f>
        <v/>
      </c>
      <c r="F21" s="7">
        <f>'1 prepared data'!E14</f>
        <v/>
      </c>
      <c r="G21" s="7">
        <f>'1 prepared data'!F14</f>
        <v/>
      </c>
      <c r="H21" s="7">
        <f>'1 prepared data'!G14</f>
        <v/>
      </c>
      <c r="I21" s="7">
        <f>'1 prepared data'!H14</f>
        <v/>
      </c>
      <c r="J21" s="7">
        <f>'1 prepared data'!I14</f>
        <v/>
      </c>
      <c r="K21" s="7">
        <f>'1 prepared data'!J14</f>
        <v/>
      </c>
      <c r="L21" s="7">
        <f>'1 prepared data'!K14</f>
        <v/>
      </c>
      <c r="M21" s="7">
        <f>'1 prepared data'!L14</f>
        <v/>
      </c>
      <c r="N21" s="7">
        <f>'1 prepared data'!M14</f>
        <v/>
      </c>
      <c r="O21" s="7">
        <f>'1 prepared data'!N14</f>
        <v/>
      </c>
      <c r="P21" s="7">
        <f>'1 prepared data'!O14</f>
        <v/>
      </c>
      <c r="Q21" s="7">
        <f>'1 prepared data'!P14</f>
        <v/>
      </c>
      <c r="R21" s="7">
        <f>'1 prepared data'!Q14</f>
        <v/>
      </c>
      <c r="S21" s="7">
        <f>'1 prepared data'!R14</f>
        <v/>
      </c>
      <c r="T21" s="7">
        <f>'1 prepared data'!S14</f>
        <v/>
      </c>
      <c r="U21" s="7">
        <f>'1 prepared data'!T14</f>
        <v/>
      </c>
      <c r="V21" s="8">
        <f>$AC$12+D21*$AC$13+E21*$AC$14+F21*$AC$15+G21*$AC$16+H21*$AC$17+I21*$AC$18+J21*$AC$19+K21*$AC$20+L21*$AC$21+M21*$AC$22+N21*$AC$23+O21*$AC$24+P21*$AC$25+Q21*$AC$26+R21*$AC$27+S21*$AC$28+T21*$AC$29+U21*$AC$30</f>
        <v/>
      </c>
      <c r="W21" s="8">
        <f>1/(1+EXP(-V21))</f>
        <v/>
      </c>
      <c r="X21" s="9">
        <f>-IF(C21=1,LN(W21),LN(1-W21))</f>
        <v/>
      </c>
      <c r="Y21" s="10">
        <f>IF(W21&gt;$AC$34,1,0)</f>
        <v/>
      </c>
      <c r="Z21">
        <f>IF(Y21=C21,1,0)</f>
        <v/>
      </c>
      <c r="AB21" t="inlineStr">
        <is>
          <t>hist_delays</t>
        </is>
      </c>
      <c r="AC21" s="11" t="n">
        <v>-0.04019551911120235</v>
      </c>
      <c r="AD21" s="12" t="n">
        <v>0</v>
      </c>
      <c r="AE21" s="9">
        <f>ABS(AC21)</f>
        <v/>
      </c>
      <c r="AF21" s="9">
        <f>AC21^2</f>
        <v/>
      </c>
      <c r="AH21" s="3" t="inlineStr">
        <is>
          <t>accuracy</t>
        </is>
      </c>
      <c r="AK21" s="14">
        <f>(AK15+AJ14)/AL16</f>
        <v/>
      </c>
    </row>
    <row r="22">
      <c r="A22">
        <f>'1 prepared data'!A15</f>
        <v/>
      </c>
      <c r="B22" s="5">
        <f>'1 prepared data'!U15</f>
        <v/>
      </c>
      <c r="C22">
        <f>'1 prepared data'!B15</f>
        <v/>
      </c>
      <c r="D22" s="7">
        <f>'1 prepared data'!C15</f>
        <v/>
      </c>
      <c r="E22" s="7">
        <f>'1 prepared data'!D15</f>
        <v/>
      </c>
      <c r="F22" s="7">
        <f>'1 prepared data'!E15</f>
        <v/>
      </c>
      <c r="G22" s="7">
        <f>'1 prepared data'!F15</f>
        <v/>
      </c>
      <c r="H22" s="7">
        <f>'1 prepared data'!G15</f>
        <v/>
      </c>
      <c r="I22" s="7">
        <f>'1 prepared data'!H15</f>
        <v/>
      </c>
      <c r="J22" s="7">
        <f>'1 prepared data'!I15</f>
        <v/>
      </c>
      <c r="K22" s="7">
        <f>'1 prepared data'!J15</f>
        <v/>
      </c>
      <c r="L22" s="7">
        <f>'1 prepared data'!K15</f>
        <v/>
      </c>
      <c r="M22" s="7">
        <f>'1 prepared data'!L15</f>
        <v/>
      </c>
      <c r="N22" s="7">
        <f>'1 prepared data'!M15</f>
        <v/>
      </c>
      <c r="O22" s="7">
        <f>'1 prepared data'!N15</f>
        <v/>
      </c>
      <c r="P22" s="7">
        <f>'1 prepared data'!O15</f>
        <v/>
      </c>
      <c r="Q22" s="7">
        <f>'1 prepared data'!P15</f>
        <v/>
      </c>
      <c r="R22" s="7">
        <f>'1 prepared data'!Q15</f>
        <v/>
      </c>
      <c r="S22" s="7">
        <f>'1 prepared data'!R15</f>
        <v/>
      </c>
      <c r="T22" s="7">
        <f>'1 prepared data'!S15</f>
        <v/>
      </c>
      <c r="U22" s="7">
        <f>'1 prepared data'!T15</f>
        <v/>
      </c>
      <c r="V22" s="8">
        <f>$AC$12+D22*$AC$13+E22*$AC$14+F22*$AC$15+G22*$AC$16+H22*$AC$17+I22*$AC$18+J22*$AC$19+K22*$AC$20+L22*$AC$21+M22*$AC$22+N22*$AC$23+O22*$AC$24+P22*$AC$25+Q22*$AC$26+R22*$AC$27+S22*$AC$28+T22*$AC$29+U22*$AC$30</f>
        <v/>
      </c>
      <c r="W22" s="8">
        <f>1/(1+EXP(-V22))</f>
        <v/>
      </c>
      <c r="X22" s="9">
        <f>-IF(C22=1,LN(W22),LN(1-W22))</f>
        <v/>
      </c>
      <c r="Y22" s="10">
        <f>IF(W22&gt;$AC$34,1,0)</f>
        <v/>
      </c>
      <c r="Z22">
        <f>IF(Y22=C22,1,0)</f>
        <v/>
      </c>
      <c r="AB22" t="inlineStr">
        <is>
          <t>hist_no_credits</t>
        </is>
      </c>
      <c r="AC22" s="11" t="n">
        <v>0.6690656278784681</v>
      </c>
      <c r="AD22" s="12" t="n">
        <v>0.3416636970884498</v>
      </c>
      <c r="AE22" s="9">
        <f>ABS(AC22)</f>
        <v/>
      </c>
      <c r="AF22" s="9">
        <f>AC22^2</f>
        <v/>
      </c>
    </row>
    <row r="23">
      <c r="A23">
        <f>'1 prepared data'!A16</f>
        <v/>
      </c>
      <c r="B23" s="5">
        <f>'1 prepared data'!U16</f>
        <v/>
      </c>
      <c r="C23">
        <f>'1 prepared data'!B16</f>
        <v/>
      </c>
      <c r="D23" s="7">
        <f>'1 prepared data'!C16</f>
        <v/>
      </c>
      <c r="E23" s="7">
        <f>'1 prepared data'!D16</f>
        <v/>
      </c>
      <c r="F23" s="7">
        <f>'1 prepared data'!E16</f>
        <v/>
      </c>
      <c r="G23" s="7">
        <f>'1 prepared data'!F16</f>
        <v/>
      </c>
      <c r="H23" s="7">
        <f>'1 prepared data'!G16</f>
        <v/>
      </c>
      <c r="I23" s="7">
        <f>'1 prepared data'!H16</f>
        <v/>
      </c>
      <c r="J23" s="7">
        <f>'1 prepared data'!I16</f>
        <v/>
      </c>
      <c r="K23" s="7">
        <f>'1 prepared data'!J16</f>
        <v/>
      </c>
      <c r="L23" s="7">
        <f>'1 prepared data'!K16</f>
        <v/>
      </c>
      <c r="M23" s="7">
        <f>'1 prepared data'!L16</f>
        <v/>
      </c>
      <c r="N23" s="7">
        <f>'1 prepared data'!M16</f>
        <v/>
      </c>
      <c r="O23" s="7">
        <f>'1 prepared data'!N16</f>
        <v/>
      </c>
      <c r="P23" s="7">
        <f>'1 prepared data'!O16</f>
        <v/>
      </c>
      <c r="Q23" s="7">
        <f>'1 prepared data'!P16</f>
        <v/>
      </c>
      <c r="R23" s="7">
        <f>'1 prepared data'!Q16</f>
        <v/>
      </c>
      <c r="S23" s="7">
        <f>'1 prepared data'!R16</f>
        <v/>
      </c>
      <c r="T23" s="7">
        <f>'1 prepared data'!S16</f>
        <v/>
      </c>
      <c r="U23" s="7">
        <f>'1 prepared data'!T16</f>
        <v/>
      </c>
      <c r="V23" s="8">
        <f>$AC$12+D23*$AC$13+E23*$AC$14+F23*$AC$15+G23*$AC$16+H23*$AC$17+I23*$AC$18+J23*$AC$19+K23*$AC$20+L23*$AC$21+M23*$AC$22+N23*$AC$23+O23*$AC$24+P23*$AC$25+Q23*$AC$26+R23*$AC$27+S23*$AC$28+T23*$AC$29+U23*$AC$30</f>
        <v/>
      </c>
      <c r="W23" s="8">
        <f>1/(1+EXP(-V23))</f>
        <v/>
      </c>
      <c r="X23" s="9">
        <f>-IF(C23=1,LN(W23),LN(1-W23))</f>
        <v/>
      </c>
      <c r="Y23" s="10">
        <f>IF(W23&gt;$AC$34,1,0)</f>
        <v/>
      </c>
      <c r="Z23">
        <f>IF(Y23=C23,1,0)</f>
        <v/>
      </c>
      <c r="AB23" t="inlineStr">
        <is>
          <t>sav_100_1000</t>
        </is>
      </c>
      <c r="AC23" s="11" t="n">
        <v>-0.3895834298458181</v>
      </c>
      <c r="AD23" s="12" t="n">
        <v>0</v>
      </c>
      <c r="AE23" s="9">
        <f>ABS(AC23)</f>
        <v/>
      </c>
      <c r="AF23" s="9">
        <f>AC23^2</f>
        <v/>
      </c>
    </row>
    <row r="24">
      <c r="A24">
        <f>'1 prepared data'!A17</f>
        <v/>
      </c>
      <c r="B24" s="5">
        <f>'1 prepared data'!U17</f>
        <v/>
      </c>
      <c r="C24">
        <f>'1 prepared data'!B17</f>
        <v/>
      </c>
      <c r="D24" s="7">
        <f>'1 prepared data'!C17</f>
        <v/>
      </c>
      <c r="E24" s="7">
        <f>'1 prepared data'!D17</f>
        <v/>
      </c>
      <c r="F24" s="7">
        <f>'1 prepared data'!E17</f>
        <v/>
      </c>
      <c r="G24" s="7">
        <f>'1 prepared data'!F17</f>
        <v/>
      </c>
      <c r="H24" s="7">
        <f>'1 prepared data'!G17</f>
        <v/>
      </c>
      <c r="I24" s="7">
        <f>'1 prepared data'!H17</f>
        <v/>
      </c>
      <c r="J24" s="7">
        <f>'1 prepared data'!I17</f>
        <v/>
      </c>
      <c r="K24" s="7">
        <f>'1 prepared data'!J17</f>
        <v/>
      </c>
      <c r="L24" s="7">
        <f>'1 prepared data'!K17</f>
        <v/>
      </c>
      <c r="M24" s="7">
        <f>'1 prepared data'!L17</f>
        <v/>
      </c>
      <c r="N24" s="7">
        <f>'1 prepared data'!M17</f>
        <v/>
      </c>
      <c r="O24" s="7">
        <f>'1 prepared data'!N17</f>
        <v/>
      </c>
      <c r="P24" s="7">
        <f>'1 prepared data'!O17</f>
        <v/>
      </c>
      <c r="Q24" s="7">
        <f>'1 prepared data'!P17</f>
        <v/>
      </c>
      <c r="R24" s="7">
        <f>'1 prepared data'!Q17</f>
        <v/>
      </c>
      <c r="S24" s="7">
        <f>'1 prepared data'!R17</f>
        <v/>
      </c>
      <c r="T24" s="7">
        <f>'1 prepared data'!S17</f>
        <v/>
      </c>
      <c r="U24" s="7">
        <f>'1 prepared data'!T17</f>
        <v/>
      </c>
      <c r="V24" s="8">
        <f>$AC$12+D24*$AC$13+E24*$AC$14+F24*$AC$15+G24*$AC$16+H24*$AC$17+I24*$AC$18+J24*$AC$19+K24*$AC$20+L24*$AC$21+M24*$AC$22+N24*$AC$23+O24*$AC$24+P24*$AC$25+Q24*$AC$26+R24*$AC$27+S24*$AC$28+T24*$AC$29+U24*$AC$30</f>
        <v/>
      </c>
      <c r="W24" s="8">
        <f>1/(1+EXP(-V24))</f>
        <v/>
      </c>
      <c r="X24" s="9">
        <f>-IF(C24=1,LN(W24),LN(1-W24))</f>
        <v/>
      </c>
      <c r="Y24" s="10">
        <f>IF(W24&gt;$AC$34,1,0)</f>
        <v/>
      </c>
      <c r="Z24">
        <f>IF(Y24=C24,1,0)</f>
        <v/>
      </c>
      <c r="AB24" t="inlineStr">
        <is>
          <t>sav_over_1000</t>
        </is>
      </c>
      <c r="AC24" s="11" t="n">
        <v>-0.8892238593761824</v>
      </c>
      <c r="AD24" s="12" t="n">
        <v>0</v>
      </c>
      <c r="AE24" s="9">
        <f>ABS(AC24)</f>
        <v/>
      </c>
      <c r="AF24" s="9">
        <f>AC24^2</f>
        <v/>
      </c>
    </row>
    <row r="25">
      <c r="A25">
        <f>'1 prepared data'!A18</f>
        <v/>
      </c>
      <c r="B25" s="5">
        <f>'1 prepared data'!U18</f>
        <v/>
      </c>
      <c r="C25">
        <f>'1 prepared data'!B18</f>
        <v/>
      </c>
      <c r="D25" s="7">
        <f>'1 prepared data'!C18</f>
        <v/>
      </c>
      <c r="E25" s="7">
        <f>'1 prepared data'!D18</f>
        <v/>
      </c>
      <c r="F25" s="7">
        <f>'1 prepared data'!E18</f>
        <v/>
      </c>
      <c r="G25" s="7">
        <f>'1 prepared data'!F18</f>
        <v/>
      </c>
      <c r="H25" s="7">
        <f>'1 prepared data'!G18</f>
        <v/>
      </c>
      <c r="I25" s="7">
        <f>'1 prepared data'!H18</f>
        <v/>
      </c>
      <c r="J25" s="7">
        <f>'1 prepared data'!I18</f>
        <v/>
      </c>
      <c r="K25" s="7">
        <f>'1 prepared data'!J18</f>
        <v/>
      </c>
      <c r="L25" s="7">
        <f>'1 prepared data'!K18</f>
        <v/>
      </c>
      <c r="M25" s="7">
        <f>'1 prepared data'!L18</f>
        <v/>
      </c>
      <c r="N25" s="7">
        <f>'1 prepared data'!M18</f>
        <v/>
      </c>
      <c r="O25" s="7">
        <f>'1 prepared data'!N18</f>
        <v/>
      </c>
      <c r="P25" s="7">
        <f>'1 prepared data'!O18</f>
        <v/>
      </c>
      <c r="Q25" s="7">
        <f>'1 prepared data'!P18</f>
        <v/>
      </c>
      <c r="R25" s="7">
        <f>'1 prepared data'!Q18</f>
        <v/>
      </c>
      <c r="S25" s="7">
        <f>'1 prepared data'!R18</f>
        <v/>
      </c>
      <c r="T25" s="7">
        <f>'1 prepared data'!S18</f>
        <v/>
      </c>
      <c r="U25" s="7">
        <f>'1 prepared data'!T18</f>
        <v/>
      </c>
      <c r="V25" s="8">
        <f>$AC$12+D25*$AC$13+E25*$AC$14+F25*$AC$15+G25*$AC$16+H25*$AC$17+I25*$AC$18+J25*$AC$19+K25*$AC$20+L25*$AC$21+M25*$AC$22+N25*$AC$23+O25*$AC$24+P25*$AC$25+Q25*$AC$26+R25*$AC$27+S25*$AC$28+T25*$AC$29+U25*$AC$30</f>
        <v/>
      </c>
      <c r="W25" s="8">
        <f>1/(1+EXP(-V25))</f>
        <v/>
      </c>
      <c r="X25" s="9">
        <f>-IF(C25=1,LN(W25),LN(1-W25))</f>
        <v/>
      </c>
      <c r="Y25" s="10">
        <f>IF(W25&gt;$AC$34,1,0)</f>
        <v/>
      </c>
      <c r="Z25">
        <f>IF(Y25=C25,1,0)</f>
        <v/>
      </c>
      <c r="AB25" t="inlineStr">
        <is>
          <t>sav_unknown</t>
        </is>
      </c>
      <c r="AC25" s="11" t="n">
        <v>-1.076092926242446</v>
      </c>
      <c r="AD25" s="12" t="n">
        <v>-0.42068937052162</v>
      </c>
      <c r="AE25" s="9">
        <f>ABS(AC25)</f>
        <v/>
      </c>
      <c r="AF25" s="9">
        <f>AC25^2</f>
        <v/>
      </c>
    </row>
    <row r="26">
      <c r="A26">
        <f>'1 prepared data'!A19</f>
        <v/>
      </c>
      <c r="B26" s="5">
        <f>'1 prepared data'!U19</f>
        <v/>
      </c>
      <c r="C26">
        <f>'1 prepared data'!B19</f>
        <v/>
      </c>
      <c r="D26" s="7">
        <f>'1 prepared data'!C19</f>
        <v/>
      </c>
      <c r="E26" s="7">
        <f>'1 prepared data'!D19</f>
        <v/>
      </c>
      <c r="F26" s="7">
        <f>'1 prepared data'!E19</f>
        <v/>
      </c>
      <c r="G26" s="7">
        <f>'1 prepared data'!F19</f>
        <v/>
      </c>
      <c r="H26" s="7">
        <f>'1 prepared data'!G19</f>
        <v/>
      </c>
      <c r="I26" s="7">
        <f>'1 prepared data'!H19</f>
        <v/>
      </c>
      <c r="J26" s="7">
        <f>'1 prepared data'!I19</f>
        <v/>
      </c>
      <c r="K26" s="7">
        <f>'1 prepared data'!J19</f>
        <v/>
      </c>
      <c r="L26" s="7">
        <f>'1 prepared data'!K19</f>
        <v/>
      </c>
      <c r="M26" s="7">
        <f>'1 prepared data'!L19</f>
        <v/>
      </c>
      <c r="N26" s="7">
        <f>'1 prepared data'!M19</f>
        <v/>
      </c>
      <c r="O26" s="7">
        <f>'1 prepared data'!N19</f>
        <v/>
      </c>
      <c r="P26" s="7">
        <f>'1 prepared data'!O19</f>
        <v/>
      </c>
      <c r="Q26" s="7">
        <f>'1 prepared data'!P19</f>
        <v/>
      </c>
      <c r="R26" s="7">
        <f>'1 prepared data'!Q19</f>
        <v/>
      </c>
      <c r="S26" s="7">
        <f>'1 prepared data'!R19</f>
        <v/>
      </c>
      <c r="T26" s="7">
        <f>'1 prepared data'!S19</f>
        <v/>
      </c>
      <c r="U26" s="7">
        <f>'1 prepared data'!T19</f>
        <v/>
      </c>
      <c r="V26" s="8">
        <f>$AC$12+D26*$AC$13+E26*$AC$14+F26*$AC$15+G26*$AC$16+H26*$AC$17+I26*$AC$18+J26*$AC$19+K26*$AC$20+L26*$AC$21+M26*$AC$22+N26*$AC$23+O26*$AC$24+P26*$AC$25+Q26*$AC$26+R26*$AC$27+S26*$AC$28+T26*$AC$29+U26*$AC$30</f>
        <v/>
      </c>
      <c r="W26" s="8">
        <f>1/(1+EXP(-V26))</f>
        <v/>
      </c>
      <c r="X26" s="9">
        <f>-IF(C26=1,LN(W26),LN(1-W26))</f>
        <v/>
      </c>
      <c r="Y26" s="10">
        <f>IF(W26&gt;$AC$34,1,0)</f>
        <v/>
      </c>
      <c r="Z26">
        <f>IF(Y26=C26,1,0)</f>
        <v/>
      </c>
      <c r="AB26" t="inlineStr">
        <is>
          <t>housing_rent</t>
        </is>
      </c>
      <c r="AC26" s="11" t="n">
        <v>0.6538371780658356</v>
      </c>
      <c r="AD26" s="12" t="n">
        <v>0.25233396953933</v>
      </c>
      <c r="AE26" s="9">
        <f>ABS(AC26)</f>
        <v/>
      </c>
      <c r="AF26" s="9">
        <f>AC26^2</f>
        <v/>
      </c>
    </row>
    <row r="27">
      <c r="A27">
        <f>'1 prepared data'!A20</f>
        <v/>
      </c>
      <c r="B27" s="5">
        <f>'1 prepared data'!U20</f>
        <v/>
      </c>
      <c r="C27">
        <f>'1 prepared data'!B20</f>
        <v/>
      </c>
      <c r="D27" s="7">
        <f>'1 prepared data'!C20</f>
        <v/>
      </c>
      <c r="E27" s="7">
        <f>'1 prepared data'!D20</f>
        <v/>
      </c>
      <c r="F27" s="7">
        <f>'1 prepared data'!E20</f>
        <v/>
      </c>
      <c r="G27" s="7">
        <f>'1 prepared data'!F20</f>
        <v/>
      </c>
      <c r="H27" s="7">
        <f>'1 prepared data'!G20</f>
        <v/>
      </c>
      <c r="I27" s="7">
        <f>'1 prepared data'!H20</f>
        <v/>
      </c>
      <c r="J27" s="7">
        <f>'1 prepared data'!I20</f>
        <v/>
      </c>
      <c r="K27" s="7">
        <f>'1 prepared data'!J20</f>
        <v/>
      </c>
      <c r="L27" s="7">
        <f>'1 prepared data'!K20</f>
        <v/>
      </c>
      <c r="M27" s="7">
        <f>'1 prepared data'!L20</f>
        <v/>
      </c>
      <c r="N27" s="7">
        <f>'1 prepared data'!M20</f>
        <v/>
      </c>
      <c r="O27" s="7">
        <f>'1 prepared data'!N20</f>
        <v/>
      </c>
      <c r="P27" s="7">
        <f>'1 prepared data'!O20</f>
        <v/>
      </c>
      <c r="Q27" s="7">
        <f>'1 prepared data'!P20</f>
        <v/>
      </c>
      <c r="R27" s="7">
        <f>'1 prepared data'!Q20</f>
        <v/>
      </c>
      <c r="S27" s="7">
        <f>'1 prepared data'!R20</f>
        <v/>
      </c>
      <c r="T27" s="7">
        <f>'1 prepared data'!S20</f>
        <v/>
      </c>
      <c r="U27" s="7">
        <f>'1 prepared data'!T20</f>
        <v/>
      </c>
      <c r="V27" s="8">
        <f>$AC$12+D27*$AC$13+E27*$AC$14+F27*$AC$15+G27*$AC$16+H27*$AC$17+I27*$AC$18+J27*$AC$19+K27*$AC$20+L27*$AC$21+M27*$AC$22+N27*$AC$23+O27*$AC$24+P27*$AC$25+Q27*$AC$26+R27*$AC$27+S27*$AC$28+T27*$AC$29+U27*$AC$30</f>
        <v/>
      </c>
      <c r="W27" s="8">
        <f>1/(1+EXP(-V27))</f>
        <v/>
      </c>
      <c r="X27" s="9">
        <f>-IF(C27=1,LN(W27),LN(1-W27))</f>
        <v/>
      </c>
      <c r="Y27" s="10">
        <f>IF(W27&gt;$AC$34,1,0)</f>
        <v/>
      </c>
      <c r="Z27">
        <f>IF(Y27=C27,1,0)</f>
        <v/>
      </c>
      <c r="AB27" t="inlineStr">
        <is>
          <t>housing_free</t>
        </is>
      </c>
      <c r="AC27" s="11" t="n">
        <v>0.1953653579159878</v>
      </c>
      <c r="AD27" s="12" t="n">
        <v>0</v>
      </c>
      <c r="AE27" s="9">
        <f>ABS(AC27)</f>
        <v/>
      </c>
      <c r="AF27" s="9">
        <f>AC27^2</f>
        <v/>
      </c>
    </row>
    <row r="28">
      <c r="A28">
        <f>'1 prepared data'!A21</f>
        <v/>
      </c>
      <c r="B28" s="5">
        <f>'1 prepared data'!U21</f>
        <v/>
      </c>
      <c r="C28">
        <f>'1 prepared data'!B21</f>
        <v/>
      </c>
      <c r="D28" s="7">
        <f>'1 prepared data'!C21</f>
        <v/>
      </c>
      <c r="E28" s="7">
        <f>'1 prepared data'!D21</f>
        <v/>
      </c>
      <c r="F28" s="7">
        <f>'1 prepared data'!E21</f>
        <v/>
      </c>
      <c r="G28" s="7">
        <f>'1 prepared data'!F21</f>
        <v/>
      </c>
      <c r="H28" s="7">
        <f>'1 prepared data'!G21</f>
        <v/>
      </c>
      <c r="I28" s="7">
        <f>'1 prepared data'!H21</f>
        <v/>
      </c>
      <c r="J28" s="7">
        <f>'1 prepared data'!I21</f>
        <v/>
      </c>
      <c r="K28" s="7">
        <f>'1 prepared data'!J21</f>
        <v/>
      </c>
      <c r="L28" s="7">
        <f>'1 prepared data'!K21</f>
        <v/>
      </c>
      <c r="M28" s="7">
        <f>'1 prepared data'!L21</f>
        <v/>
      </c>
      <c r="N28" s="7">
        <f>'1 prepared data'!M21</f>
        <v/>
      </c>
      <c r="O28" s="7">
        <f>'1 prepared data'!N21</f>
        <v/>
      </c>
      <c r="P28" s="7">
        <f>'1 prepared data'!O21</f>
        <v/>
      </c>
      <c r="Q28" s="7">
        <f>'1 prepared data'!P21</f>
        <v/>
      </c>
      <c r="R28" s="7">
        <f>'1 prepared data'!Q21</f>
        <v/>
      </c>
      <c r="S28" s="7">
        <f>'1 prepared data'!R21</f>
        <v/>
      </c>
      <c r="T28" s="7">
        <f>'1 prepared data'!S21</f>
        <v/>
      </c>
      <c r="U28" s="7">
        <f>'1 prepared data'!T21</f>
        <v/>
      </c>
      <c r="V28" s="8">
        <f>$AC$12+D28*$AC$13+E28*$AC$14+F28*$AC$15+G28*$AC$16+H28*$AC$17+I28*$AC$18+J28*$AC$19+K28*$AC$20+L28*$AC$21+M28*$AC$22+N28*$AC$23+O28*$AC$24+P28*$AC$25+Q28*$AC$26+R28*$AC$27+S28*$AC$28+T28*$AC$29+U28*$AC$30</f>
        <v/>
      </c>
      <c r="W28" s="8">
        <f>1/(1+EXP(-V28))</f>
        <v/>
      </c>
      <c r="X28" s="9">
        <f>-IF(C28=1,LN(W28),LN(1-W28))</f>
        <v/>
      </c>
      <c r="Y28" s="10">
        <f>IF(W28&gt;$AC$34,1,0)</f>
        <v/>
      </c>
      <c r="Z28">
        <f>IF(Y28=C28,1,0)</f>
        <v/>
      </c>
      <c r="AB28" t="inlineStr">
        <is>
          <t>purpose_car</t>
        </is>
      </c>
      <c r="AC28" s="11" t="n">
        <v>-0.08016547581790479</v>
      </c>
      <c r="AD28" s="12" t="n">
        <v>0</v>
      </c>
      <c r="AE28" s="9">
        <f>ABS(AC28)</f>
        <v/>
      </c>
      <c r="AF28" s="9">
        <f>AC28^2</f>
        <v/>
      </c>
    </row>
    <row r="29">
      <c r="A29">
        <f>'1 prepared data'!A22</f>
        <v/>
      </c>
      <c r="B29" s="5">
        <f>'1 prepared data'!U22</f>
        <v/>
      </c>
      <c r="C29">
        <f>'1 prepared data'!B22</f>
        <v/>
      </c>
      <c r="D29" s="7">
        <f>'1 prepared data'!C22</f>
        <v/>
      </c>
      <c r="E29" s="7">
        <f>'1 prepared data'!D22</f>
        <v/>
      </c>
      <c r="F29" s="7">
        <f>'1 prepared data'!E22</f>
        <v/>
      </c>
      <c r="G29" s="7">
        <f>'1 prepared data'!F22</f>
        <v/>
      </c>
      <c r="H29" s="7">
        <f>'1 prepared data'!G22</f>
        <v/>
      </c>
      <c r="I29" s="7">
        <f>'1 prepared data'!H22</f>
        <v/>
      </c>
      <c r="J29" s="7">
        <f>'1 prepared data'!I22</f>
        <v/>
      </c>
      <c r="K29" s="7">
        <f>'1 prepared data'!J22</f>
        <v/>
      </c>
      <c r="L29" s="7">
        <f>'1 prepared data'!K22</f>
        <v/>
      </c>
      <c r="M29" s="7">
        <f>'1 prepared data'!L22</f>
        <v/>
      </c>
      <c r="N29" s="7">
        <f>'1 prepared data'!M22</f>
        <v/>
      </c>
      <c r="O29" s="7">
        <f>'1 prepared data'!N22</f>
        <v/>
      </c>
      <c r="P29" s="7">
        <f>'1 prepared data'!O22</f>
        <v/>
      </c>
      <c r="Q29" s="7">
        <f>'1 prepared data'!P22</f>
        <v/>
      </c>
      <c r="R29" s="7">
        <f>'1 prepared data'!Q22</f>
        <v/>
      </c>
      <c r="S29" s="7">
        <f>'1 prepared data'!R22</f>
        <v/>
      </c>
      <c r="T29" s="7">
        <f>'1 prepared data'!S22</f>
        <v/>
      </c>
      <c r="U29" s="7">
        <f>'1 prepared data'!T22</f>
        <v/>
      </c>
      <c r="V29" s="8">
        <f>$AC$12+D29*$AC$13+E29*$AC$14+F29*$AC$15+G29*$AC$16+H29*$AC$17+I29*$AC$18+J29*$AC$19+K29*$AC$20+L29*$AC$21+M29*$AC$22+N29*$AC$23+O29*$AC$24+P29*$AC$25+Q29*$AC$26+R29*$AC$27+S29*$AC$28+T29*$AC$29+U29*$AC$30</f>
        <v/>
      </c>
      <c r="W29" s="8">
        <f>1/(1+EXP(-V29))</f>
        <v/>
      </c>
      <c r="X29" s="9">
        <f>-IF(C29=1,LN(W29),LN(1-W29))</f>
        <v/>
      </c>
      <c r="Y29" s="10">
        <f>IF(W29&gt;$AC$34,1,0)</f>
        <v/>
      </c>
      <c r="Z29">
        <f>IF(Y29=C29,1,0)</f>
        <v/>
      </c>
      <c r="AB29" t="inlineStr">
        <is>
          <t>purpose_radio_tv</t>
        </is>
      </c>
      <c r="AC29" s="11" t="n">
        <v>-0.5202106472417524</v>
      </c>
      <c r="AD29" s="12" t="n">
        <v>-0.2047431118800908</v>
      </c>
      <c r="AE29" s="9">
        <f>ABS(AC29)</f>
        <v/>
      </c>
      <c r="AF29" s="9">
        <f>AC29^2</f>
        <v/>
      </c>
    </row>
    <row r="30">
      <c r="A30">
        <f>'1 prepared data'!A23</f>
        <v/>
      </c>
      <c r="B30" s="5">
        <f>'1 prepared data'!U23</f>
        <v/>
      </c>
      <c r="C30">
        <f>'1 prepared data'!B23</f>
        <v/>
      </c>
      <c r="D30" s="7">
        <f>'1 prepared data'!C23</f>
        <v/>
      </c>
      <c r="E30" s="7">
        <f>'1 prepared data'!D23</f>
        <v/>
      </c>
      <c r="F30" s="7">
        <f>'1 prepared data'!E23</f>
        <v/>
      </c>
      <c r="G30" s="7">
        <f>'1 prepared data'!F23</f>
        <v/>
      </c>
      <c r="H30" s="7">
        <f>'1 prepared data'!G23</f>
        <v/>
      </c>
      <c r="I30" s="7">
        <f>'1 prepared data'!H23</f>
        <v/>
      </c>
      <c r="J30" s="7">
        <f>'1 prepared data'!I23</f>
        <v/>
      </c>
      <c r="K30" s="7">
        <f>'1 prepared data'!J23</f>
        <v/>
      </c>
      <c r="L30" s="7">
        <f>'1 prepared data'!K23</f>
        <v/>
      </c>
      <c r="M30" s="7">
        <f>'1 prepared data'!L23</f>
        <v/>
      </c>
      <c r="N30" s="7">
        <f>'1 prepared data'!M23</f>
        <v/>
      </c>
      <c r="O30" s="7">
        <f>'1 prepared data'!N23</f>
        <v/>
      </c>
      <c r="P30" s="7">
        <f>'1 prepared data'!O23</f>
        <v/>
      </c>
      <c r="Q30" s="7">
        <f>'1 prepared data'!P23</f>
        <v/>
      </c>
      <c r="R30" s="7">
        <f>'1 prepared data'!Q23</f>
        <v/>
      </c>
      <c r="S30" s="7">
        <f>'1 prepared data'!R23</f>
        <v/>
      </c>
      <c r="T30" s="7">
        <f>'1 prepared data'!S23</f>
        <v/>
      </c>
      <c r="U30" s="7">
        <f>'1 prepared data'!T23</f>
        <v/>
      </c>
      <c r="V30" s="8">
        <f>$AC$12+D30*$AC$13+E30*$AC$14+F30*$AC$15+G30*$AC$16+H30*$AC$17+I30*$AC$18+J30*$AC$19+K30*$AC$20+L30*$AC$21+M30*$AC$22+N30*$AC$23+O30*$AC$24+P30*$AC$25+Q30*$AC$26+R30*$AC$27+S30*$AC$28+T30*$AC$29+U30*$AC$30</f>
        <v/>
      </c>
      <c r="W30" s="8">
        <f>1/(1+EXP(-V30))</f>
        <v/>
      </c>
      <c r="X30" s="9">
        <f>-IF(C30=1,LN(W30),LN(1-W30))</f>
        <v/>
      </c>
      <c r="Y30" s="10">
        <f>IF(W30&gt;$AC$34,1,0)</f>
        <v/>
      </c>
      <c r="Z30">
        <f>IF(Y30=C30,1,0)</f>
        <v/>
      </c>
      <c r="AB30" t="inlineStr">
        <is>
          <t>purpose_furniture</t>
        </is>
      </c>
      <c r="AC30" s="11" t="n">
        <v>-0.2818027438096851</v>
      </c>
      <c r="AD30" s="12" t="n">
        <v>0</v>
      </c>
      <c r="AE30" s="9">
        <f>ABS(AC30)</f>
        <v/>
      </c>
      <c r="AF30" s="9">
        <f>AC30^2</f>
        <v/>
      </c>
    </row>
    <row r="31">
      <c r="A31">
        <f>'1 prepared data'!A24</f>
        <v/>
      </c>
      <c r="B31" s="5">
        <f>'1 prepared data'!U24</f>
        <v/>
      </c>
      <c r="C31">
        <f>'1 prepared data'!B24</f>
        <v/>
      </c>
      <c r="D31" s="7">
        <f>'1 prepared data'!C24</f>
        <v/>
      </c>
      <c r="E31" s="7">
        <f>'1 prepared data'!D24</f>
        <v/>
      </c>
      <c r="F31" s="7">
        <f>'1 prepared data'!E24</f>
        <v/>
      </c>
      <c r="G31" s="7">
        <f>'1 prepared data'!F24</f>
        <v/>
      </c>
      <c r="H31" s="7">
        <f>'1 prepared data'!G24</f>
        <v/>
      </c>
      <c r="I31" s="7">
        <f>'1 prepared data'!H24</f>
        <v/>
      </c>
      <c r="J31" s="7">
        <f>'1 prepared data'!I24</f>
        <v/>
      </c>
      <c r="K31" s="7">
        <f>'1 prepared data'!J24</f>
        <v/>
      </c>
      <c r="L31" s="7">
        <f>'1 prepared data'!K24</f>
        <v/>
      </c>
      <c r="M31" s="7">
        <f>'1 prepared data'!L24</f>
        <v/>
      </c>
      <c r="N31" s="7">
        <f>'1 prepared data'!M24</f>
        <v/>
      </c>
      <c r="O31" s="7">
        <f>'1 prepared data'!N24</f>
        <v/>
      </c>
      <c r="P31" s="7">
        <f>'1 prepared data'!O24</f>
        <v/>
      </c>
      <c r="Q31" s="7">
        <f>'1 prepared data'!P24</f>
        <v/>
      </c>
      <c r="R31" s="7">
        <f>'1 prepared data'!Q24</f>
        <v/>
      </c>
      <c r="S31" s="7">
        <f>'1 prepared data'!R24</f>
        <v/>
      </c>
      <c r="T31" s="7">
        <f>'1 prepared data'!S24</f>
        <v/>
      </c>
      <c r="U31" s="7">
        <f>'1 prepared data'!T24</f>
        <v/>
      </c>
      <c r="V31" s="8">
        <f>$AC$12+D31*$AC$13+E31*$AC$14+F31*$AC$15+G31*$AC$16+H31*$AC$17+I31*$AC$18+J31*$AC$19+K31*$AC$20+L31*$AC$21+M31*$AC$22+N31*$AC$23+O31*$AC$24+P31*$AC$25+Q31*$AC$26+R31*$AC$27+S31*$AC$28+T31*$AC$29+U31*$AC$30</f>
        <v/>
      </c>
      <c r="W31" s="8">
        <f>1/(1+EXP(-V31))</f>
        <v/>
      </c>
      <c r="X31" s="9">
        <f>-IF(C31=1,LN(W31),LN(1-W31))</f>
        <v/>
      </c>
      <c r="Y31" s="10">
        <f>IF(W31&gt;$AC$34,1,0)</f>
        <v/>
      </c>
      <c r="Z31">
        <f>IF(Y31=C31,1,0)</f>
        <v/>
      </c>
    </row>
    <row r="32">
      <c r="A32">
        <f>'1 prepared data'!A25</f>
        <v/>
      </c>
      <c r="B32" s="5">
        <f>'1 prepared data'!U25</f>
        <v/>
      </c>
      <c r="C32">
        <f>'1 prepared data'!B25</f>
        <v/>
      </c>
      <c r="D32" s="7">
        <f>'1 prepared data'!C25</f>
        <v/>
      </c>
      <c r="E32" s="7">
        <f>'1 prepared data'!D25</f>
        <v/>
      </c>
      <c r="F32" s="7">
        <f>'1 prepared data'!E25</f>
        <v/>
      </c>
      <c r="G32" s="7">
        <f>'1 prepared data'!F25</f>
        <v/>
      </c>
      <c r="H32" s="7">
        <f>'1 prepared data'!G25</f>
        <v/>
      </c>
      <c r="I32" s="7">
        <f>'1 prepared data'!H25</f>
        <v/>
      </c>
      <c r="J32" s="7">
        <f>'1 prepared data'!I25</f>
        <v/>
      </c>
      <c r="K32" s="7">
        <f>'1 prepared data'!J25</f>
        <v/>
      </c>
      <c r="L32" s="7">
        <f>'1 prepared data'!K25</f>
        <v/>
      </c>
      <c r="M32" s="7">
        <f>'1 prepared data'!L25</f>
        <v/>
      </c>
      <c r="N32" s="7">
        <f>'1 prepared data'!M25</f>
        <v/>
      </c>
      <c r="O32" s="7">
        <f>'1 prepared data'!N25</f>
        <v/>
      </c>
      <c r="P32" s="7">
        <f>'1 prepared data'!O25</f>
        <v/>
      </c>
      <c r="Q32" s="7">
        <f>'1 prepared data'!P25</f>
        <v/>
      </c>
      <c r="R32" s="7">
        <f>'1 prepared data'!Q25</f>
        <v/>
      </c>
      <c r="S32" s="7">
        <f>'1 prepared data'!R25</f>
        <v/>
      </c>
      <c r="T32" s="7">
        <f>'1 prepared data'!S25</f>
        <v/>
      </c>
      <c r="U32" s="7">
        <f>'1 prepared data'!T25</f>
        <v/>
      </c>
      <c r="V32" s="8">
        <f>$AC$12+D32*$AC$13+E32*$AC$14+F32*$AC$15+G32*$AC$16+H32*$AC$17+I32*$AC$18+J32*$AC$19+K32*$AC$20+L32*$AC$21+M32*$AC$22+N32*$AC$23+O32*$AC$24+P32*$AC$25+Q32*$AC$26+R32*$AC$27+S32*$AC$28+T32*$AC$29+U32*$AC$30</f>
        <v/>
      </c>
      <c r="W32" s="8">
        <f>1/(1+EXP(-V32))</f>
        <v/>
      </c>
      <c r="X32" s="9">
        <f>-IF(C32=1,LN(W32),LN(1-W32))</f>
        <v/>
      </c>
      <c r="Y32" s="10">
        <f>IF(W32&gt;$AC$34,1,0)</f>
        <v/>
      </c>
      <c r="Z32">
        <f>IF(Y32=C32,1,0)</f>
        <v/>
      </c>
      <c r="AB32" s="3" t="inlineStr">
        <is>
          <t>λ (lambda): how much the size of the weights costs</t>
        </is>
      </c>
      <c r="AC32" s="15" t="n">
        <v>10</v>
      </c>
    </row>
    <row r="33">
      <c r="A33">
        <f>'1 prepared data'!A26</f>
        <v/>
      </c>
      <c r="B33" s="5">
        <f>'1 prepared data'!U26</f>
        <v/>
      </c>
      <c r="C33">
        <f>'1 prepared data'!B26</f>
        <v/>
      </c>
      <c r="D33" s="7">
        <f>'1 prepared data'!C26</f>
        <v/>
      </c>
      <c r="E33" s="7">
        <f>'1 prepared data'!D26</f>
        <v/>
      </c>
      <c r="F33" s="7">
        <f>'1 prepared data'!E26</f>
        <v/>
      </c>
      <c r="G33" s="7">
        <f>'1 prepared data'!F26</f>
        <v/>
      </c>
      <c r="H33" s="7">
        <f>'1 prepared data'!G26</f>
        <v/>
      </c>
      <c r="I33" s="7">
        <f>'1 prepared data'!H26</f>
        <v/>
      </c>
      <c r="J33" s="7">
        <f>'1 prepared data'!I26</f>
        <v/>
      </c>
      <c r="K33" s="7">
        <f>'1 prepared data'!J26</f>
        <v/>
      </c>
      <c r="L33" s="7">
        <f>'1 prepared data'!K26</f>
        <v/>
      </c>
      <c r="M33" s="7">
        <f>'1 prepared data'!L26</f>
        <v/>
      </c>
      <c r="N33" s="7">
        <f>'1 prepared data'!M26</f>
        <v/>
      </c>
      <c r="O33" s="7">
        <f>'1 prepared data'!N26</f>
        <v/>
      </c>
      <c r="P33" s="7">
        <f>'1 prepared data'!O26</f>
        <v/>
      </c>
      <c r="Q33" s="7">
        <f>'1 prepared data'!P26</f>
        <v/>
      </c>
      <c r="R33" s="7">
        <f>'1 prepared data'!Q26</f>
        <v/>
      </c>
      <c r="S33" s="7">
        <f>'1 prepared data'!R26</f>
        <v/>
      </c>
      <c r="T33" s="7">
        <f>'1 prepared data'!S26</f>
        <v/>
      </c>
      <c r="U33" s="7">
        <f>'1 prepared data'!T26</f>
        <v/>
      </c>
      <c r="V33" s="8">
        <f>$AC$12+D33*$AC$13+E33*$AC$14+F33*$AC$15+G33*$AC$16+H33*$AC$17+I33*$AC$18+J33*$AC$19+K33*$AC$20+L33*$AC$21+M33*$AC$22+N33*$AC$23+O33*$AC$24+P33*$AC$25+Q33*$AC$26+R33*$AC$27+S33*$AC$28+T33*$AC$29+U33*$AC$30</f>
        <v/>
      </c>
      <c r="W33" s="8">
        <f>1/(1+EXP(-V33))</f>
        <v/>
      </c>
      <c r="X33" s="9">
        <f>-IF(C33=1,LN(W33),LN(1-W33))</f>
        <v/>
      </c>
      <c r="Y33" s="10">
        <f>IF(W33&gt;$AC$34,1,0)</f>
        <v/>
      </c>
      <c r="Z33">
        <f>IF(Y33=C33,1,0)</f>
        <v/>
      </c>
      <c r="AB33" s="3" t="inlineStr">
        <is>
          <t>α (alpha): L1 fraction of the mix (0 = pure ridge, 1 = pure lasso)</t>
        </is>
      </c>
      <c r="AC33" s="16" t="n">
        <v>0.5</v>
      </c>
    </row>
    <row r="34">
      <c r="A34">
        <f>'1 prepared data'!A27</f>
        <v/>
      </c>
      <c r="B34" s="5">
        <f>'1 prepared data'!U27</f>
        <v/>
      </c>
      <c r="C34">
        <f>'1 prepared data'!B27</f>
        <v/>
      </c>
      <c r="D34" s="7">
        <f>'1 prepared data'!C27</f>
        <v/>
      </c>
      <c r="E34" s="7">
        <f>'1 prepared data'!D27</f>
        <v/>
      </c>
      <c r="F34" s="7">
        <f>'1 prepared data'!E27</f>
        <v/>
      </c>
      <c r="G34" s="7">
        <f>'1 prepared data'!F27</f>
        <v/>
      </c>
      <c r="H34" s="7">
        <f>'1 prepared data'!G27</f>
        <v/>
      </c>
      <c r="I34" s="7">
        <f>'1 prepared data'!H27</f>
        <v/>
      </c>
      <c r="J34" s="7">
        <f>'1 prepared data'!I27</f>
        <v/>
      </c>
      <c r="K34" s="7">
        <f>'1 prepared data'!J27</f>
        <v/>
      </c>
      <c r="L34" s="7">
        <f>'1 prepared data'!K27</f>
        <v/>
      </c>
      <c r="M34" s="7">
        <f>'1 prepared data'!L27</f>
        <v/>
      </c>
      <c r="N34" s="7">
        <f>'1 prepared data'!M27</f>
        <v/>
      </c>
      <c r="O34" s="7">
        <f>'1 prepared data'!N27</f>
        <v/>
      </c>
      <c r="P34" s="7">
        <f>'1 prepared data'!O27</f>
        <v/>
      </c>
      <c r="Q34" s="7">
        <f>'1 prepared data'!P27</f>
        <v/>
      </c>
      <c r="R34" s="7">
        <f>'1 prepared data'!Q27</f>
        <v/>
      </c>
      <c r="S34" s="7">
        <f>'1 prepared data'!R27</f>
        <v/>
      </c>
      <c r="T34" s="7">
        <f>'1 prepared data'!S27</f>
        <v/>
      </c>
      <c r="U34" s="7">
        <f>'1 prepared data'!T27</f>
        <v/>
      </c>
      <c r="V34" s="8">
        <f>$AC$12+D34*$AC$13+E34*$AC$14+F34*$AC$15+G34*$AC$16+H34*$AC$17+I34*$AC$18+J34*$AC$19+K34*$AC$20+L34*$AC$21+M34*$AC$22+N34*$AC$23+O34*$AC$24+P34*$AC$25+Q34*$AC$26+R34*$AC$27+S34*$AC$28+T34*$AC$29+U34*$AC$30</f>
        <v/>
      </c>
      <c r="W34" s="8">
        <f>1/(1+EXP(-V34))</f>
        <v/>
      </c>
      <c r="X34" s="9">
        <f>-IF(C34=1,LN(W34),LN(1-W34))</f>
        <v/>
      </c>
      <c r="Y34" s="10">
        <f>IF(W34&gt;$AC$34,1,0)</f>
        <v/>
      </c>
      <c r="Z34">
        <f>IF(Y34=C34,1,0)</f>
        <v/>
      </c>
      <c r="AB34" s="3" t="inlineStr">
        <is>
          <t>threshold</t>
        </is>
      </c>
      <c r="AC34" s="16" t="n">
        <v>0.5</v>
      </c>
    </row>
    <row r="35">
      <c r="A35">
        <f>'1 prepared data'!A28</f>
        <v/>
      </c>
      <c r="B35" s="5">
        <f>'1 prepared data'!U28</f>
        <v/>
      </c>
      <c r="C35">
        <f>'1 prepared data'!B28</f>
        <v/>
      </c>
      <c r="D35" s="7">
        <f>'1 prepared data'!C28</f>
        <v/>
      </c>
      <c r="E35" s="7">
        <f>'1 prepared data'!D28</f>
        <v/>
      </c>
      <c r="F35" s="7">
        <f>'1 prepared data'!E28</f>
        <v/>
      </c>
      <c r="G35" s="7">
        <f>'1 prepared data'!F28</f>
        <v/>
      </c>
      <c r="H35" s="7">
        <f>'1 prepared data'!G28</f>
        <v/>
      </c>
      <c r="I35" s="7">
        <f>'1 prepared data'!H28</f>
        <v/>
      </c>
      <c r="J35" s="7">
        <f>'1 prepared data'!I28</f>
        <v/>
      </c>
      <c r="K35" s="7">
        <f>'1 prepared data'!J28</f>
        <v/>
      </c>
      <c r="L35" s="7">
        <f>'1 prepared data'!K28</f>
        <v/>
      </c>
      <c r="M35" s="7">
        <f>'1 prepared data'!L28</f>
        <v/>
      </c>
      <c r="N35" s="7">
        <f>'1 prepared data'!M28</f>
        <v/>
      </c>
      <c r="O35" s="7">
        <f>'1 prepared data'!N28</f>
        <v/>
      </c>
      <c r="P35" s="7">
        <f>'1 prepared data'!O28</f>
        <v/>
      </c>
      <c r="Q35" s="7">
        <f>'1 prepared data'!P28</f>
        <v/>
      </c>
      <c r="R35" s="7">
        <f>'1 prepared data'!Q28</f>
        <v/>
      </c>
      <c r="S35" s="7">
        <f>'1 prepared data'!R28</f>
        <v/>
      </c>
      <c r="T35" s="7">
        <f>'1 prepared data'!S28</f>
        <v/>
      </c>
      <c r="U35" s="7">
        <f>'1 prepared data'!T28</f>
        <v/>
      </c>
      <c r="V35" s="8">
        <f>$AC$12+D35*$AC$13+E35*$AC$14+F35*$AC$15+G35*$AC$16+H35*$AC$17+I35*$AC$18+J35*$AC$19+K35*$AC$20+L35*$AC$21+M35*$AC$22+N35*$AC$23+O35*$AC$24+P35*$AC$25+Q35*$AC$26+R35*$AC$27+S35*$AC$28+T35*$AC$29+U35*$AC$30</f>
        <v/>
      </c>
      <c r="W35" s="8">
        <f>1/(1+EXP(-V35))</f>
        <v/>
      </c>
      <c r="X35" s="9">
        <f>-IF(C35=1,LN(W35),LN(1-W35))</f>
        <v/>
      </c>
      <c r="Y35" s="10">
        <f>IF(W35&gt;$AC$34,1,0)</f>
        <v/>
      </c>
      <c r="Z35">
        <f>IF(Y35=C35,1,0)</f>
        <v/>
      </c>
    </row>
    <row r="36">
      <c r="A36">
        <f>'1 prepared data'!A29</f>
        <v/>
      </c>
      <c r="B36" s="5">
        <f>'1 prepared data'!U29</f>
        <v/>
      </c>
      <c r="C36">
        <f>'1 prepared data'!B29</f>
        <v/>
      </c>
      <c r="D36" s="7">
        <f>'1 prepared data'!C29</f>
        <v/>
      </c>
      <c r="E36" s="7">
        <f>'1 prepared data'!D29</f>
        <v/>
      </c>
      <c r="F36" s="7">
        <f>'1 prepared data'!E29</f>
        <v/>
      </c>
      <c r="G36" s="7">
        <f>'1 prepared data'!F29</f>
        <v/>
      </c>
      <c r="H36" s="7">
        <f>'1 prepared data'!G29</f>
        <v/>
      </c>
      <c r="I36" s="7">
        <f>'1 prepared data'!H29</f>
        <v/>
      </c>
      <c r="J36" s="7">
        <f>'1 prepared data'!I29</f>
        <v/>
      </c>
      <c r="K36" s="7">
        <f>'1 prepared data'!J29</f>
        <v/>
      </c>
      <c r="L36" s="7">
        <f>'1 prepared data'!K29</f>
        <v/>
      </c>
      <c r="M36" s="7">
        <f>'1 prepared data'!L29</f>
        <v/>
      </c>
      <c r="N36" s="7">
        <f>'1 prepared data'!M29</f>
        <v/>
      </c>
      <c r="O36" s="7">
        <f>'1 prepared data'!N29</f>
        <v/>
      </c>
      <c r="P36" s="7">
        <f>'1 prepared data'!O29</f>
        <v/>
      </c>
      <c r="Q36" s="7">
        <f>'1 prepared data'!P29</f>
        <v/>
      </c>
      <c r="R36" s="7">
        <f>'1 prepared data'!Q29</f>
        <v/>
      </c>
      <c r="S36" s="7">
        <f>'1 prepared data'!R29</f>
        <v/>
      </c>
      <c r="T36" s="7">
        <f>'1 prepared data'!S29</f>
        <v/>
      </c>
      <c r="U36" s="7">
        <f>'1 prepared data'!T29</f>
        <v/>
      </c>
      <c r="V36" s="8">
        <f>$AC$12+D36*$AC$13+E36*$AC$14+F36*$AC$15+G36*$AC$16+H36*$AC$17+I36*$AC$18+J36*$AC$19+K36*$AC$20+L36*$AC$21+M36*$AC$22+N36*$AC$23+O36*$AC$24+P36*$AC$25+Q36*$AC$26+R36*$AC$27+S36*$AC$28+T36*$AC$29+U36*$AC$30</f>
        <v/>
      </c>
      <c r="W36" s="8">
        <f>1/(1+EXP(-V36))</f>
        <v/>
      </c>
      <c r="X36" s="9">
        <f>-IF(C36=1,LN(W36),LN(1-W36))</f>
        <v/>
      </c>
      <c r="Y36" s="10">
        <f>IF(W36&gt;$AC$34,1,0)</f>
        <v/>
      </c>
      <c r="Z36">
        <f>IF(Y36=C36,1,0)</f>
        <v/>
      </c>
      <c r="AB36" s="3" t="inlineStr">
        <is>
          <t>RESULTS</t>
        </is>
      </c>
    </row>
    <row r="37">
      <c r="A37">
        <f>'1 prepared data'!A30</f>
        <v/>
      </c>
      <c r="B37" s="5">
        <f>'1 prepared data'!U30</f>
        <v/>
      </c>
      <c r="C37">
        <f>'1 prepared data'!B30</f>
        <v/>
      </c>
      <c r="D37" s="7">
        <f>'1 prepared data'!C30</f>
        <v/>
      </c>
      <c r="E37" s="7">
        <f>'1 prepared data'!D30</f>
        <v/>
      </c>
      <c r="F37" s="7">
        <f>'1 prepared data'!E30</f>
        <v/>
      </c>
      <c r="G37" s="7">
        <f>'1 prepared data'!F30</f>
        <v/>
      </c>
      <c r="H37" s="7">
        <f>'1 prepared data'!G30</f>
        <v/>
      </c>
      <c r="I37" s="7">
        <f>'1 prepared data'!H30</f>
        <v/>
      </c>
      <c r="J37" s="7">
        <f>'1 prepared data'!I30</f>
        <v/>
      </c>
      <c r="K37" s="7">
        <f>'1 prepared data'!J30</f>
        <v/>
      </c>
      <c r="L37" s="7">
        <f>'1 prepared data'!K30</f>
        <v/>
      </c>
      <c r="M37" s="7">
        <f>'1 prepared data'!L30</f>
        <v/>
      </c>
      <c r="N37" s="7">
        <f>'1 prepared data'!M30</f>
        <v/>
      </c>
      <c r="O37" s="7">
        <f>'1 prepared data'!N30</f>
        <v/>
      </c>
      <c r="P37" s="7">
        <f>'1 prepared data'!O30</f>
        <v/>
      </c>
      <c r="Q37" s="7">
        <f>'1 prepared data'!P30</f>
        <v/>
      </c>
      <c r="R37" s="7">
        <f>'1 prepared data'!Q30</f>
        <v/>
      </c>
      <c r="S37" s="7">
        <f>'1 prepared data'!R30</f>
        <v/>
      </c>
      <c r="T37" s="7">
        <f>'1 prepared data'!S30</f>
        <v/>
      </c>
      <c r="U37" s="7">
        <f>'1 prepared data'!T30</f>
        <v/>
      </c>
      <c r="V37" s="8">
        <f>$AC$12+D37*$AC$13+E37*$AC$14+F37*$AC$15+G37*$AC$16+H37*$AC$17+I37*$AC$18+J37*$AC$19+K37*$AC$20+L37*$AC$21+M37*$AC$22+N37*$AC$23+O37*$AC$24+P37*$AC$25+Q37*$AC$26+R37*$AC$27+S37*$AC$28+T37*$AC$29+U37*$AC$30</f>
        <v/>
      </c>
      <c r="W37" s="8">
        <f>1/(1+EXP(-V37))</f>
        <v/>
      </c>
      <c r="X37" s="9">
        <f>-IF(C37=1,LN(W37),LN(1-W37))</f>
        <v/>
      </c>
      <c r="Y37" s="10">
        <f>IF(W37&gt;$AC$34,1,0)</f>
        <v/>
      </c>
      <c r="Z37">
        <f>IF(Y37=C37,1,0)</f>
        <v/>
      </c>
      <c r="AB37" t="inlineStr">
        <is>
          <t>sum of training losses</t>
        </is>
      </c>
      <c r="AC37" s="17">
        <f>SUMPRODUCT(($B$12:$B$1011="training")*$X$12:$X$1011)</f>
        <v/>
      </c>
    </row>
    <row r="38">
      <c r="A38">
        <f>'1 prepared data'!A31</f>
        <v/>
      </c>
      <c r="B38" s="5">
        <f>'1 prepared data'!U31</f>
        <v/>
      </c>
      <c r="C38">
        <f>'1 prepared data'!B31</f>
        <v/>
      </c>
      <c r="D38" s="7">
        <f>'1 prepared data'!C31</f>
        <v/>
      </c>
      <c r="E38" s="7">
        <f>'1 prepared data'!D31</f>
        <v/>
      </c>
      <c r="F38" s="7">
        <f>'1 prepared data'!E31</f>
        <v/>
      </c>
      <c r="G38" s="7">
        <f>'1 prepared data'!F31</f>
        <v/>
      </c>
      <c r="H38" s="7">
        <f>'1 prepared data'!G31</f>
        <v/>
      </c>
      <c r="I38" s="7">
        <f>'1 prepared data'!H31</f>
        <v/>
      </c>
      <c r="J38" s="7">
        <f>'1 prepared data'!I31</f>
        <v/>
      </c>
      <c r="K38" s="7">
        <f>'1 prepared data'!J31</f>
        <v/>
      </c>
      <c r="L38" s="7">
        <f>'1 prepared data'!K31</f>
        <v/>
      </c>
      <c r="M38" s="7">
        <f>'1 prepared data'!L31</f>
        <v/>
      </c>
      <c r="N38" s="7">
        <f>'1 prepared data'!M31</f>
        <v/>
      </c>
      <c r="O38" s="7">
        <f>'1 prepared data'!N31</f>
        <v/>
      </c>
      <c r="P38" s="7">
        <f>'1 prepared data'!O31</f>
        <v/>
      </c>
      <c r="Q38" s="7">
        <f>'1 prepared data'!P31</f>
        <v/>
      </c>
      <c r="R38" s="7">
        <f>'1 prepared data'!Q31</f>
        <v/>
      </c>
      <c r="S38" s="7">
        <f>'1 prepared data'!R31</f>
        <v/>
      </c>
      <c r="T38" s="7">
        <f>'1 prepared data'!S31</f>
        <v/>
      </c>
      <c r="U38" s="7">
        <f>'1 prepared data'!T31</f>
        <v/>
      </c>
      <c r="V38" s="8">
        <f>$AC$12+D38*$AC$13+E38*$AC$14+F38*$AC$15+G38*$AC$16+H38*$AC$17+I38*$AC$18+J38*$AC$19+K38*$AC$20+L38*$AC$21+M38*$AC$22+N38*$AC$23+O38*$AC$24+P38*$AC$25+Q38*$AC$26+R38*$AC$27+S38*$AC$28+T38*$AC$29+U38*$AC$30</f>
        <v/>
      </c>
      <c r="W38" s="8">
        <f>1/(1+EXP(-V38))</f>
        <v/>
      </c>
      <c r="X38" s="9">
        <f>-IF(C38=1,LN(W38),LN(1-W38))</f>
        <v/>
      </c>
      <c r="Y38" s="10">
        <f>IF(W38&gt;$AC$34,1,0)</f>
        <v/>
      </c>
      <c r="Z38">
        <f>IF(Y38=C38,1,0)</f>
        <v/>
      </c>
      <c r="AB38" t="inlineStr">
        <is>
          <t>elastic net penalty = λ · [α Σ|theta| + (1 − α)/2 Σ theta²]</t>
        </is>
      </c>
      <c r="AC38" s="18">
        <f>$AC$32*($AC$33*SUM($AE$13:$AE$30)+(1-$AC$33)/2*SUM($AF$13:$AF$30))</f>
        <v/>
      </c>
    </row>
    <row r="39">
      <c r="A39">
        <f>'1 prepared data'!A32</f>
        <v/>
      </c>
      <c r="B39" s="5">
        <f>'1 prepared data'!U32</f>
        <v/>
      </c>
      <c r="C39">
        <f>'1 prepared data'!B32</f>
        <v/>
      </c>
      <c r="D39" s="7">
        <f>'1 prepared data'!C32</f>
        <v/>
      </c>
      <c r="E39" s="7">
        <f>'1 prepared data'!D32</f>
        <v/>
      </c>
      <c r="F39" s="7">
        <f>'1 prepared data'!E32</f>
        <v/>
      </c>
      <c r="G39" s="7">
        <f>'1 prepared data'!F32</f>
        <v/>
      </c>
      <c r="H39" s="7">
        <f>'1 prepared data'!G32</f>
        <v/>
      </c>
      <c r="I39" s="7">
        <f>'1 prepared data'!H32</f>
        <v/>
      </c>
      <c r="J39" s="7">
        <f>'1 prepared data'!I32</f>
        <v/>
      </c>
      <c r="K39" s="7">
        <f>'1 prepared data'!J32</f>
        <v/>
      </c>
      <c r="L39" s="7">
        <f>'1 prepared data'!K32</f>
        <v/>
      </c>
      <c r="M39" s="7">
        <f>'1 prepared data'!L32</f>
        <v/>
      </c>
      <c r="N39" s="7">
        <f>'1 prepared data'!M32</f>
        <v/>
      </c>
      <c r="O39" s="7">
        <f>'1 prepared data'!N32</f>
        <v/>
      </c>
      <c r="P39" s="7">
        <f>'1 prepared data'!O32</f>
        <v/>
      </c>
      <c r="Q39" s="7">
        <f>'1 prepared data'!P32</f>
        <v/>
      </c>
      <c r="R39" s="7">
        <f>'1 prepared data'!Q32</f>
        <v/>
      </c>
      <c r="S39" s="7">
        <f>'1 prepared data'!R32</f>
        <v/>
      </c>
      <c r="T39" s="7">
        <f>'1 prepared data'!S32</f>
        <v/>
      </c>
      <c r="U39" s="7">
        <f>'1 prepared data'!T32</f>
        <v/>
      </c>
      <c r="V39" s="8">
        <f>$AC$12+D39*$AC$13+E39*$AC$14+F39*$AC$15+G39*$AC$16+H39*$AC$17+I39*$AC$18+J39*$AC$19+K39*$AC$20+L39*$AC$21+M39*$AC$22+N39*$AC$23+O39*$AC$24+P39*$AC$25+Q39*$AC$26+R39*$AC$27+S39*$AC$28+T39*$AC$29+U39*$AC$30</f>
        <v/>
      </c>
      <c r="W39" s="8">
        <f>1/(1+EXP(-V39))</f>
        <v/>
      </c>
      <c r="X39" s="9">
        <f>-IF(C39=1,LN(W39),LN(1-W39))</f>
        <v/>
      </c>
      <c r="Y39" s="10">
        <f>IF(W39&gt;$AC$34,1,0)</f>
        <v/>
      </c>
      <c r="Z39">
        <f>IF(Y39=C39,1,0)</f>
        <v/>
      </c>
      <c r="AB39" t="inlineStr">
        <is>
          <t>J = sum of losses + penalty (SOLVER OBJECTIVE)</t>
        </is>
      </c>
      <c r="AC39" s="17">
        <f>AC37+AC38</f>
        <v/>
      </c>
    </row>
    <row r="40">
      <c r="A40">
        <f>'1 prepared data'!A33</f>
        <v/>
      </c>
      <c r="B40" s="5">
        <f>'1 prepared data'!U33</f>
        <v/>
      </c>
      <c r="C40">
        <f>'1 prepared data'!B33</f>
        <v/>
      </c>
      <c r="D40" s="7">
        <f>'1 prepared data'!C33</f>
        <v/>
      </c>
      <c r="E40" s="7">
        <f>'1 prepared data'!D33</f>
        <v/>
      </c>
      <c r="F40" s="7">
        <f>'1 prepared data'!E33</f>
        <v/>
      </c>
      <c r="G40" s="7">
        <f>'1 prepared data'!F33</f>
        <v/>
      </c>
      <c r="H40" s="7">
        <f>'1 prepared data'!G33</f>
        <v/>
      </c>
      <c r="I40" s="7">
        <f>'1 prepared data'!H33</f>
        <v/>
      </c>
      <c r="J40" s="7">
        <f>'1 prepared data'!I33</f>
        <v/>
      </c>
      <c r="K40" s="7">
        <f>'1 prepared data'!J33</f>
        <v/>
      </c>
      <c r="L40" s="7">
        <f>'1 prepared data'!K33</f>
        <v/>
      </c>
      <c r="M40" s="7">
        <f>'1 prepared data'!L33</f>
        <v/>
      </c>
      <c r="N40" s="7">
        <f>'1 prepared data'!M33</f>
        <v/>
      </c>
      <c r="O40" s="7">
        <f>'1 prepared data'!N33</f>
        <v/>
      </c>
      <c r="P40" s="7">
        <f>'1 prepared data'!O33</f>
        <v/>
      </c>
      <c r="Q40" s="7">
        <f>'1 prepared data'!P33</f>
        <v/>
      </c>
      <c r="R40" s="7">
        <f>'1 prepared data'!Q33</f>
        <v/>
      </c>
      <c r="S40" s="7">
        <f>'1 prepared data'!R33</f>
        <v/>
      </c>
      <c r="T40" s="7">
        <f>'1 prepared data'!S33</f>
        <v/>
      </c>
      <c r="U40" s="7">
        <f>'1 prepared data'!T33</f>
        <v/>
      </c>
      <c r="V40" s="8">
        <f>$AC$12+D40*$AC$13+E40*$AC$14+F40*$AC$15+G40*$AC$16+H40*$AC$17+I40*$AC$18+J40*$AC$19+K40*$AC$20+L40*$AC$21+M40*$AC$22+N40*$AC$23+O40*$AC$24+P40*$AC$25+Q40*$AC$26+R40*$AC$27+S40*$AC$28+T40*$AC$29+U40*$AC$30</f>
        <v/>
      </c>
      <c r="W40" s="8">
        <f>1/(1+EXP(-V40))</f>
        <v/>
      </c>
      <c r="X40" s="9">
        <f>-IF(C40=1,LN(W40),LN(1-W40))</f>
        <v/>
      </c>
      <c r="Y40" s="10">
        <f>IF(W40&gt;$AC$34,1,0)</f>
        <v/>
      </c>
      <c r="Z40">
        <f>IF(Y40=C40,1,0)</f>
        <v/>
      </c>
      <c r="AB40" t="inlineStr">
        <is>
          <t>average training loss</t>
        </is>
      </c>
      <c r="AC40" s="19">
        <f>AC37/COUNTIF($B$12:$B$1011,"training")</f>
        <v/>
      </c>
    </row>
    <row r="41">
      <c r="A41">
        <f>'1 prepared data'!A34</f>
        <v/>
      </c>
      <c r="B41" s="5">
        <f>'1 prepared data'!U34</f>
        <v/>
      </c>
      <c r="C41">
        <f>'1 prepared data'!B34</f>
        <v/>
      </c>
      <c r="D41" s="7">
        <f>'1 prepared data'!C34</f>
        <v/>
      </c>
      <c r="E41" s="7">
        <f>'1 prepared data'!D34</f>
        <v/>
      </c>
      <c r="F41" s="7">
        <f>'1 prepared data'!E34</f>
        <v/>
      </c>
      <c r="G41" s="7">
        <f>'1 prepared data'!F34</f>
        <v/>
      </c>
      <c r="H41" s="7">
        <f>'1 prepared data'!G34</f>
        <v/>
      </c>
      <c r="I41" s="7">
        <f>'1 prepared data'!H34</f>
        <v/>
      </c>
      <c r="J41" s="7">
        <f>'1 prepared data'!I34</f>
        <v/>
      </c>
      <c r="K41" s="7">
        <f>'1 prepared data'!J34</f>
        <v/>
      </c>
      <c r="L41" s="7">
        <f>'1 prepared data'!K34</f>
        <v/>
      </c>
      <c r="M41" s="7">
        <f>'1 prepared data'!L34</f>
        <v/>
      </c>
      <c r="N41" s="7">
        <f>'1 prepared data'!M34</f>
        <v/>
      </c>
      <c r="O41" s="7">
        <f>'1 prepared data'!N34</f>
        <v/>
      </c>
      <c r="P41" s="7">
        <f>'1 prepared data'!O34</f>
        <v/>
      </c>
      <c r="Q41" s="7">
        <f>'1 prepared data'!P34</f>
        <v/>
      </c>
      <c r="R41" s="7">
        <f>'1 prepared data'!Q34</f>
        <v/>
      </c>
      <c r="S41" s="7">
        <f>'1 prepared data'!R34</f>
        <v/>
      </c>
      <c r="T41" s="7">
        <f>'1 prepared data'!S34</f>
        <v/>
      </c>
      <c r="U41" s="7">
        <f>'1 prepared data'!T34</f>
        <v/>
      </c>
      <c r="V41" s="8">
        <f>$AC$12+D41*$AC$13+E41*$AC$14+F41*$AC$15+G41*$AC$16+H41*$AC$17+I41*$AC$18+J41*$AC$19+K41*$AC$20+L41*$AC$21+M41*$AC$22+N41*$AC$23+O41*$AC$24+P41*$AC$25+Q41*$AC$26+R41*$AC$27+S41*$AC$28+T41*$AC$29+U41*$AC$30</f>
        <v/>
      </c>
      <c r="W41" s="8">
        <f>1/(1+EXP(-V41))</f>
        <v/>
      </c>
      <c r="X41" s="9">
        <f>-IF(C41=1,LN(W41),LN(1-W41))</f>
        <v/>
      </c>
      <c r="Y41" s="10">
        <f>IF(W41&gt;$AC$34,1,0)</f>
        <v/>
      </c>
      <c r="Z41">
        <f>IF(Y41=C41,1,0)</f>
        <v/>
      </c>
      <c r="AB41" t="inlineStr">
        <is>
          <t>average testing loss</t>
        </is>
      </c>
      <c r="AC41" s="19">
        <f>SUMPRODUCT(($B$12:$B$1011="testing")*$X$12:$X$1011)/COUNTIF($B$12:$B$1011,"testing")</f>
        <v/>
      </c>
    </row>
    <row r="42">
      <c r="A42">
        <f>'1 prepared data'!A35</f>
        <v/>
      </c>
      <c r="B42" s="5">
        <f>'1 prepared data'!U35</f>
        <v/>
      </c>
      <c r="C42">
        <f>'1 prepared data'!B35</f>
        <v/>
      </c>
      <c r="D42" s="7">
        <f>'1 prepared data'!C35</f>
        <v/>
      </c>
      <c r="E42" s="7">
        <f>'1 prepared data'!D35</f>
        <v/>
      </c>
      <c r="F42" s="7">
        <f>'1 prepared data'!E35</f>
        <v/>
      </c>
      <c r="G42" s="7">
        <f>'1 prepared data'!F35</f>
        <v/>
      </c>
      <c r="H42" s="7">
        <f>'1 prepared data'!G35</f>
        <v/>
      </c>
      <c r="I42" s="7">
        <f>'1 prepared data'!H35</f>
        <v/>
      </c>
      <c r="J42" s="7">
        <f>'1 prepared data'!I35</f>
        <v/>
      </c>
      <c r="K42" s="7">
        <f>'1 prepared data'!J35</f>
        <v/>
      </c>
      <c r="L42" s="7">
        <f>'1 prepared data'!K35</f>
        <v/>
      </c>
      <c r="M42" s="7">
        <f>'1 prepared data'!L35</f>
        <v/>
      </c>
      <c r="N42" s="7">
        <f>'1 prepared data'!M35</f>
        <v/>
      </c>
      <c r="O42" s="7">
        <f>'1 prepared data'!N35</f>
        <v/>
      </c>
      <c r="P42" s="7">
        <f>'1 prepared data'!O35</f>
        <v/>
      </c>
      <c r="Q42" s="7">
        <f>'1 prepared data'!P35</f>
        <v/>
      </c>
      <c r="R42" s="7">
        <f>'1 prepared data'!Q35</f>
        <v/>
      </c>
      <c r="S42" s="7">
        <f>'1 prepared data'!R35</f>
        <v/>
      </c>
      <c r="T42" s="7">
        <f>'1 prepared data'!S35</f>
        <v/>
      </c>
      <c r="U42" s="7">
        <f>'1 prepared data'!T35</f>
        <v/>
      </c>
      <c r="V42" s="8">
        <f>$AC$12+D42*$AC$13+E42*$AC$14+F42*$AC$15+G42*$AC$16+H42*$AC$17+I42*$AC$18+J42*$AC$19+K42*$AC$20+L42*$AC$21+M42*$AC$22+N42*$AC$23+O42*$AC$24+P42*$AC$25+Q42*$AC$26+R42*$AC$27+S42*$AC$28+T42*$AC$29+U42*$AC$30</f>
        <v/>
      </c>
      <c r="W42" s="8">
        <f>1/(1+EXP(-V42))</f>
        <v/>
      </c>
      <c r="X42" s="9">
        <f>-IF(C42=1,LN(W42),LN(1-W42))</f>
        <v/>
      </c>
      <c r="Y42" s="10">
        <f>IF(W42&gt;$AC$34,1,0)</f>
        <v/>
      </c>
      <c r="Z42">
        <f>IF(Y42=C42,1,0)</f>
        <v/>
      </c>
      <c r="AB42" t="inlineStr">
        <is>
          <t>testing accuracy</t>
        </is>
      </c>
      <c r="AC42" s="20">
        <f>SUMPRODUCT(($B$12:$B$1011="testing")*$Z$12:$Z$1011)/COUNTIF($B$12:$B$1011,"testing")</f>
        <v/>
      </c>
    </row>
    <row r="43">
      <c r="A43">
        <f>'1 prepared data'!A36</f>
        <v/>
      </c>
      <c r="B43" s="5">
        <f>'1 prepared data'!U36</f>
        <v/>
      </c>
      <c r="C43">
        <f>'1 prepared data'!B36</f>
        <v/>
      </c>
      <c r="D43" s="7">
        <f>'1 prepared data'!C36</f>
        <v/>
      </c>
      <c r="E43" s="7">
        <f>'1 prepared data'!D36</f>
        <v/>
      </c>
      <c r="F43" s="7">
        <f>'1 prepared data'!E36</f>
        <v/>
      </c>
      <c r="G43" s="7">
        <f>'1 prepared data'!F36</f>
        <v/>
      </c>
      <c r="H43" s="7">
        <f>'1 prepared data'!G36</f>
        <v/>
      </c>
      <c r="I43" s="7">
        <f>'1 prepared data'!H36</f>
        <v/>
      </c>
      <c r="J43" s="7">
        <f>'1 prepared data'!I36</f>
        <v/>
      </c>
      <c r="K43" s="7">
        <f>'1 prepared data'!J36</f>
        <v/>
      </c>
      <c r="L43" s="7">
        <f>'1 prepared data'!K36</f>
        <v/>
      </c>
      <c r="M43" s="7">
        <f>'1 prepared data'!L36</f>
        <v/>
      </c>
      <c r="N43" s="7">
        <f>'1 prepared data'!M36</f>
        <v/>
      </c>
      <c r="O43" s="7">
        <f>'1 prepared data'!N36</f>
        <v/>
      </c>
      <c r="P43" s="7">
        <f>'1 prepared data'!O36</f>
        <v/>
      </c>
      <c r="Q43" s="7">
        <f>'1 prepared data'!P36</f>
        <v/>
      </c>
      <c r="R43" s="7">
        <f>'1 prepared data'!Q36</f>
        <v/>
      </c>
      <c r="S43" s="7">
        <f>'1 prepared data'!R36</f>
        <v/>
      </c>
      <c r="T43" s="7">
        <f>'1 prepared data'!S36</f>
        <v/>
      </c>
      <c r="U43" s="7">
        <f>'1 prepared data'!T36</f>
        <v/>
      </c>
      <c r="V43" s="8">
        <f>$AC$12+D43*$AC$13+E43*$AC$14+F43*$AC$15+G43*$AC$16+H43*$AC$17+I43*$AC$18+J43*$AC$19+K43*$AC$20+L43*$AC$21+M43*$AC$22+N43*$AC$23+O43*$AC$24+P43*$AC$25+Q43*$AC$26+R43*$AC$27+S43*$AC$28+T43*$AC$29+U43*$AC$30</f>
        <v/>
      </c>
      <c r="W43" s="8">
        <f>1/(1+EXP(-V43))</f>
        <v/>
      </c>
      <c r="X43" s="9">
        <f>-IF(C43=1,LN(W43),LN(1-W43))</f>
        <v/>
      </c>
      <c r="Y43" s="10">
        <f>IF(W43&gt;$AC$34,1,0)</f>
        <v/>
      </c>
      <c r="Z43">
        <f>IF(Y43=C43,1,0)</f>
        <v/>
      </c>
      <c r="AB43" t="inlineStr">
        <is>
          <t>weights (excluding intercept) with |theta| &lt; 0.01</t>
        </is>
      </c>
      <c r="AC43" s="21">
        <f>COUNTIF(AC13:AC30,"&lt;0.01")-COUNTIF(AC13:AC30,"&lt;-0.01")</f>
        <v/>
      </c>
    </row>
    <row r="44">
      <c r="A44">
        <f>'1 prepared data'!A37</f>
        <v/>
      </c>
      <c r="B44" s="5">
        <f>'1 prepared data'!U37</f>
        <v/>
      </c>
      <c r="C44">
        <f>'1 prepared data'!B37</f>
        <v/>
      </c>
      <c r="D44" s="7">
        <f>'1 prepared data'!C37</f>
        <v/>
      </c>
      <c r="E44" s="7">
        <f>'1 prepared data'!D37</f>
        <v/>
      </c>
      <c r="F44" s="7">
        <f>'1 prepared data'!E37</f>
        <v/>
      </c>
      <c r="G44" s="7">
        <f>'1 prepared data'!F37</f>
        <v/>
      </c>
      <c r="H44" s="7">
        <f>'1 prepared data'!G37</f>
        <v/>
      </c>
      <c r="I44" s="7">
        <f>'1 prepared data'!H37</f>
        <v/>
      </c>
      <c r="J44" s="7">
        <f>'1 prepared data'!I37</f>
        <v/>
      </c>
      <c r="K44" s="7">
        <f>'1 prepared data'!J37</f>
        <v/>
      </c>
      <c r="L44" s="7">
        <f>'1 prepared data'!K37</f>
        <v/>
      </c>
      <c r="M44" s="7">
        <f>'1 prepared data'!L37</f>
        <v/>
      </c>
      <c r="N44" s="7">
        <f>'1 prepared data'!M37</f>
        <v/>
      </c>
      <c r="O44" s="7">
        <f>'1 prepared data'!N37</f>
        <v/>
      </c>
      <c r="P44" s="7">
        <f>'1 prepared data'!O37</f>
        <v/>
      </c>
      <c r="Q44" s="7">
        <f>'1 prepared data'!P37</f>
        <v/>
      </c>
      <c r="R44" s="7">
        <f>'1 prepared data'!Q37</f>
        <v/>
      </c>
      <c r="S44" s="7">
        <f>'1 prepared data'!R37</f>
        <v/>
      </c>
      <c r="T44" s="7">
        <f>'1 prepared data'!S37</f>
        <v/>
      </c>
      <c r="U44" s="7">
        <f>'1 prepared data'!T37</f>
        <v/>
      </c>
      <c r="V44" s="8">
        <f>$AC$12+D44*$AC$13+E44*$AC$14+F44*$AC$15+G44*$AC$16+H44*$AC$17+I44*$AC$18+J44*$AC$19+K44*$AC$20+L44*$AC$21+M44*$AC$22+N44*$AC$23+O44*$AC$24+P44*$AC$25+Q44*$AC$26+R44*$AC$27+S44*$AC$28+T44*$AC$29+U44*$AC$30</f>
        <v/>
      </c>
      <c r="W44" s="8">
        <f>1/(1+EXP(-V44))</f>
        <v/>
      </c>
      <c r="X44" s="9">
        <f>-IF(C44=1,LN(W44),LN(1-W44))</f>
        <v/>
      </c>
      <c r="Y44" s="10">
        <f>IF(W44&gt;$AC$34,1,0)</f>
        <v/>
      </c>
      <c r="Z44">
        <f>IF(Y44=C44,1,0)</f>
        <v/>
      </c>
      <c r="AB44" t="inlineStr">
        <is>
          <t>scikit-learn reference (λ = 10): J</t>
        </is>
      </c>
      <c r="AC44" s="22" t="n">
        <v>389.234983705933</v>
      </c>
    </row>
    <row r="45">
      <c r="A45">
        <f>'1 prepared data'!A38</f>
        <v/>
      </c>
      <c r="B45" s="5">
        <f>'1 prepared data'!U38</f>
        <v/>
      </c>
      <c r="C45">
        <f>'1 prepared data'!B38</f>
        <v/>
      </c>
      <c r="D45" s="7">
        <f>'1 prepared data'!C38</f>
        <v/>
      </c>
      <c r="E45" s="7">
        <f>'1 prepared data'!D38</f>
        <v/>
      </c>
      <c r="F45" s="7">
        <f>'1 prepared data'!E38</f>
        <v/>
      </c>
      <c r="G45" s="7">
        <f>'1 prepared data'!F38</f>
        <v/>
      </c>
      <c r="H45" s="7">
        <f>'1 prepared data'!G38</f>
        <v/>
      </c>
      <c r="I45" s="7">
        <f>'1 prepared data'!H38</f>
        <v/>
      </c>
      <c r="J45" s="7">
        <f>'1 prepared data'!I38</f>
        <v/>
      </c>
      <c r="K45" s="7">
        <f>'1 prepared data'!J38</f>
        <v/>
      </c>
      <c r="L45" s="7">
        <f>'1 prepared data'!K38</f>
        <v/>
      </c>
      <c r="M45" s="7">
        <f>'1 prepared data'!L38</f>
        <v/>
      </c>
      <c r="N45" s="7">
        <f>'1 prepared data'!M38</f>
        <v/>
      </c>
      <c r="O45" s="7">
        <f>'1 prepared data'!N38</f>
        <v/>
      </c>
      <c r="P45" s="7">
        <f>'1 prepared data'!O38</f>
        <v/>
      </c>
      <c r="Q45" s="7">
        <f>'1 prepared data'!P38</f>
        <v/>
      </c>
      <c r="R45" s="7">
        <f>'1 prepared data'!Q38</f>
        <v/>
      </c>
      <c r="S45" s="7">
        <f>'1 prepared data'!R38</f>
        <v/>
      </c>
      <c r="T45" s="7">
        <f>'1 prepared data'!S38</f>
        <v/>
      </c>
      <c r="U45" s="7">
        <f>'1 prepared data'!T38</f>
        <v/>
      </c>
      <c r="V45" s="8">
        <f>$AC$12+D45*$AC$13+E45*$AC$14+F45*$AC$15+G45*$AC$16+H45*$AC$17+I45*$AC$18+J45*$AC$19+K45*$AC$20+L45*$AC$21+M45*$AC$22+N45*$AC$23+O45*$AC$24+P45*$AC$25+Q45*$AC$26+R45*$AC$27+S45*$AC$28+T45*$AC$29+U45*$AC$30</f>
        <v/>
      </c>
      <c r="W45" s="8">
        <f>1/(1+EXP(-V45))</f>
        <v/>
      </c>
      <c r="X45" s="9">
        <f>-IF(C45=1,LN(W45),LN(1-W45))</f>
        <v/>
      </c>
      <c r="Y45" s="10">
        <f>IF(W45&gt;$AC$34,1,0)</f>
        <v/>
      </c>
      <c r="Z45">
        <f>IF(Y45=C45,1,0)</f>
        <v/>
      </c>
      <c r="AB45" t="inlineStr">
        <is>
          <t>scikit-learn reference (λ = 10): average testing loss</t>
        </is>
      </c>
      <c r="AC45" s="12" t="n">
        <v>0.4952635365039805</v>
      </c>
    </row>
    <row r="46">
      <c r="A46">
        <f>'1 prepared data'!A39</f>
        <v/>
      </c>
      <c r="B46" s="5">
        <f>'1 prepared data'!U39</f>
        <v/>
      </c>
      <c r="C46">
        <f>'1 prepared data'!B39</f>
        <v/>
      </c>
      <c r="D46" s="7">
        <f>'1 prepared data'!C39</f>
        <v/>
      </c>
      <c r="E46" s="7">
        <f>'1 prepared data'!D39</f>
        <v/>
      </c>
      <c r="F46" s="7">
        <f>'1 prepared data'!E39</f>
        <v/>
      </c>
      <c r="G46" s="7">
        <f>'1 prepared data'!F39</f>
        <v/>
      </c>
      <c r="H46" s="7">
        <f>'1 prepared data'!G39</f>
        <v/>
      </c>
      <c r="I46" s="7">
        <f>'1 prepared data'!H39</f>
        <v/>
      </c>
      <c r="J46" s="7">
        <f>'1 prepared data'!I39</f>
        <v/>
      </c>
      <c r="K46" s="7">
        <f>'1 prepared data'!J39</f>
        <v/>
      </c>
      <c r="L46" s="7">
        <f>'1 prepared data'!K39</f>
        <v/>
      </c>
      <c r="M46" s="7">
        <f>'1 prepared data'!L39</f>
        <v/>
      </c>
      <c r="N46" s="7">
        <f>'1 prepared data'!M39</f>
        <v/>
      </c>
      <c r="O46" s="7">
        <f>'1 prepared data'!N39</f>
        <v/>
      </c>
      <c r="P46" s="7">
        <f>'1 prepared data'!O39</f>
        <v/>
      </c>
      <c r="Q46" s="7">
        <f>'1 prepared data'!P39</f>
        <v/>
      </c>
      <c r="R46" s="7">
        <f>'1 prepared data'!Q39</f>
        <v/>
      </c>
      <c r="S46" s="7">
        <f>'1 prepared data'!R39</f>
        <v/>
      </c>
      <c r="T46" s="7">
        <f>'1 prepared data'!S39</f>
        <v/>
      </c>
      <c r="U46" s="7">
        <f>'1 prepared data'!T39</f>
        <v/>
      </c>
      <c r="V46" s="8">
        <f>$AC$12+D46*$AC$13+E46*$AC$14+F46*$AC$15+G46*$AC$16+H46*$AC$17+I46*$AC$18+J46*$AC$19+K46*$AC$20+L46*$AC$21+M46*$AC$22+N46*$AC$23+O46*$AC$24+P46*$AC$25+Q46*$AC$26+R46*$AC$27+S46*$AC$28+T46*$AC$29+U46*$AC$30</f>
        <v/>
      </c>
      <c r="W46" s="8">
        <f>1/(1+EXP(-V46))</f>
        <v/>
      </c>
      <c r="X46" s="9">
        <f>-IF(C46=1,LN(W46),LN(1-W46))</f>
        <v/>
      </c>
      <c r="Y46" s="10">
        <f>IF(W46&gt;$AC$34,1,0)</f>
        <v/>
      </c>
      <c r="Z46">
        <f>IF(Y46=C46,1,0)</f>
        <v/>
      </c>
      <c r="AB46" t="inlineStr">
        <is>
          <t>scikit-learn reference (λ = 10): weights at zero</t>
        </is>
      </c>
      <c r="AC46" s="23" t="n">
        <v>7</v>
      </c>
    </row>
    <row r="47">
      <c r="A47">
        <f>'1 prepared data'!A40</f>
        <v/>
      </c>
      <c r="B47" s="5">
        <f>'1 prepared data'!U40</f>
        <v/>
      </c>
      <c r="C47">
        <f>'1 prepared data'!B40</f>
        <v/>
      </c>
      <c r="D47" s="7">
        <f>'1 prepared data'!C40</f>
        <v/>
      </c>
      <c r="E47" s="7">
        <f>'1 prepared data'!D40</f>
        <v/>
      </c>
      <c r="F47" s="7">
        <f>'1 prepared data'!E40</f>
        <v/>
      </c>
      <c r="G47" s="7">
        <f>'1 prepared data'!F40</f>
        <v/>
      </c>
      <c r="H47" s="7">
        <f>'1 prepared data'!G40</f>
        <v/>
      </c>
      <c r="I47" s="7">
        <f>'1 prepared data'!H40</f>
        <v/>
      </c>
      <c r="J47" s="7">
        <f>'1 prepared data'!I40</f>
        <v/>
      </c>
      <c r="K47" s="7">
        <f>'1 prepared data'!J40</f>
        <v/>
      </c>
      <c r="L47" s="7">
        <f>'1 prepared data'!K40</f>
        <v/>
      </c>
      <c r="M47" s="7">
        <f>'1 prepared data'!L40</f>
        <v/>
      </c>
      <c r="N47" s="7">
        <f>'1 prepared data'!M40</f>
        <v/>
      </c>
      <c r="O47" s="7">
        <f>'1 prepared data'!N40</f>
        <v/>
      </c>
      <c r="P47" s="7">
        <f>'1 prepared data'!O40</f>
        <v/>
      </c>
      <c r="Q47" s="7">
        <f>'1 prepared data'!P40</f>
        <v/>
      </c>
      <c r="R47" s="7">
        <f>'1 prepared data'!Q40</f>
        <v/>
      </c>
      <c r="S47" s="7">
        <f>'1 prepared data'!R40</f>
        <v/>
      </c>
      <c r="T47" s="7">
        <f>'1 prepared data'!S40</f>
        <v/>
      </c>
      <c r="U47" s="7">
        <f>'1 prepared data'!T40</f>
        <v/>
      </c>
      <c r="V47" s="8">
        <f>$AC$12+D47*$AC$13+E47*$AC$14+F47*$AC$15+G47*$AC$16+H47*$AC$17+I47*$AC$18+J47*$AC$19+K47*$AC$20+L47*$AC$21+M47*$AC$22+N47*$AC$23+O47*$AC$24+P47*$AC$25+Q47*$AC$26+R47*$AC$27+S47*$AC$28+T47*$AC$29+U47*$AC$30</f>
        <v/>
      </c>
      <c r="W47" s="8">
        <f>1/(1+EXP(-V47))</f>
        <v/>
      </c>
      <c r="X47" s="9">
        <f>-IF(C47=1,LN(W47),LN(1-W47))</f>
        <v/>
      </c>
      <c r="Y47" s="10">
        <f>IF(W47&gt;$AC$34,1,0)</f>
        <v/>
      </c>
      <c r="Z47">
        <f>IF(Y47=C47,1,0)</f>
        <v/>
      </c>
      <c r="AB47" t="inlineStr">
        <is>
          <t>unregularized reference (base workbook): average testing loss</t>
        </is>
      </c>
      <c r="AC47" s="12" t="n">
        <v>0.4690599152735907</v>
      </c>
    </row>
    <row r="48">
      <c r="A48">
        <f>'1 prepared data'!A41</f>
        <v/>
      </c>
      <c r="B48" s="5">
        <f>'1 prepared data'!U41</f>
        <v/>
      </c>
      <c r="C48">
        <f>'1 prepared data'!B41</f>
        <v/>
      </c>
      <c r="D48" s="7">
        <f>'1 prepared data'!C41</f>
        <v/>
      </c>
      <c r="E48" s="7">
        <f>'1 prepared data'!D41</f>
        <v/>
      </c>
      <c r="F48" s="7">
        <f>'1 prepared data'!E41</f>
        <v/>
      </c>
      <c r="G48" s="7">
        <f>'1 prepared data'!F41</f>
        <v/>
      </c>
      <c r="H48" s="7">
        <f>'1 prepared data'!G41</f>
        <v/>
      </c>
      <c r="I48" s="7">
        <f>'1 prepared data'!H41</f>
        <v/>
      </c>
      <c r="J48" s="7">
        <f>'1 prepared data'!I41</f>
        <v/>
      </c>
      <c r="K48" s="7">
        <f>'1 prepared data'!J41</f>
        <v/>
      </c>
      <c r="L48" s="7">
        <f>'1 prepared data'!K41</f>
        <v/>
      </c>
      <c r="M48" s="7">
        <f>'1 prepared data'!L41</f>
        <v/>
      </c>
      <c r="N48" s="7">
        <f>'1 prepared data'!M41</f>
        <v/>
      </c>
      <c r="O48" s="7">
        <f>'1 prepared data'!N41</f>
        <v/>
      </c>
      <c r="P48" s="7">
        <f>'1 prepared data'!O41</f>
        <v/>
      </c>
      <c r="Q48" s="7">
        <f>'1 prepared data'!P41</f>
        <v/>
      </c>
      <c r="R48" s="7">
        <f>'1 prepared data'!Q41</f>
        <v/>
      </c>
      <c r="S48" s="7">
        <f>'1 prepared data'!R41</f>
        <v/>
      </c>
      <c r="T48" s="7">
        <f>'1 prepared data'!S41</f>
        <v/>
      </c>
      <c r="U48" s="7">
        <f>'1 prepared data'!T41</f>
        <v/>
      </c>
      <c r="V48" s="8">
        <f>$AC$12+D48*$AC$13+E48*$AC$14+F48*$AC$15+G48*$AC$16+H48*$AC$17+I48*$AC$18+J48*$AC$19+K48*$AC$20+L48*$AC$21+M48*$AC$22+N48*$AC$23+O48*$AC$24+P48*$AC$25+Q48*$AC$26+R48*$AC$27+S48*$AC$28+T48*$AC$29+U48*$AC$30</f>
        <v/>
      </c>
      <c r="W48" s="8">
        <f>1/(1+EXP(-V48))</f>
        <v/>
      </c>
      <c r="X48" s="9">
        <f>-IF(C48=1,LN(W48),LN(1-W48))</f>
        <v/>
      </c>
      <c r="Y48" s="10">
        <f>IF(W48&gt;$AC$34,1,0)</f>
        <v/>
      </c>
      <c r="Z48">
        <f>IF(Y48=C48,1,0)</f>
        <v/>
      </c>
    </row>
    <row r="49" ht="48" customHeight="1">
      <c r="A49">
        <f>'1 prepared data'!A42</f>
        <v/>
      </c>
      <c r="B49" s="5">
        <f>'1 prepared data'!U42</f>
        <v/>
      </c>
      <c r="C49">
        <f>'1 prepared data'!B42</f>
        <v/>
      </c>
      <c r="D49" s="7">
        <f>'1 prepared data'!C42</f>
        <v/>
      </c>
      <c r="E49" s="7">
        <f>'1 prepared data'!D42</f>
        <v/>
      </c>
      <c r="F49" s="7">
        <f>'1 prepared data'!E42</f>
        <v/>
      </c>
      <c r="G49" s="7">
        <f>'1 prepared data'!F42</f>
        <v/>
      </c>
      <c r="H49" s="7">
        <f>'1 prepared data'!G42</f>
        <v/>
      </c>
      <c r="I49" s="7">
        <f>'1 prepared data'!H42</f>
        <v/>
      </c>
      <c r="J49" s="7">
        <f>'1 prepared data'!I42</f>
        <v/>
      </c>
      <c r="K49" s="7">
        <f>'1 prepared data'!J42</f>
        <v/>
      </c>
      <c r="L49" s="7">
        <f>'1 prepared data'!K42</f>
        <v/>
      </c>
      <c r="M49" s="7">
        <f>'1 prepared data'!L42</f>
        <v/>
      </c>
      <c r="N49" s="7">
        <f>'1 prepared data'!M42</f>
        <v/>
      </c>
      <c r="O49" s="7">
        <f>'1 prepared data'!N42</f>
        <v/>
      </c>
      <c r="P49" s="7">
        <f>'1 prepared data'!O42</f>
        <v/>
      </c>
      <c r="Q49" s="7">
        <f>'1 prepared data'!P42</f>
        <v/>
      </c>
      <c r="R49" s="7">
        <f>'1 prepared data'!Q42</f>
        <v/>
      </c>
      <c r="S49" s="7">
        <f>'1 prepared data'!R42</f>
        <v/>
      </c>
      <c r="T49" s="7">
        <f>'1 prepared data'!S42</f>
        <v/>
      </c>
      <c r="U49" s="7">
        <f>'1 prepared data'!T42</f>
        <v/>
      </c>
      <c r="V49" s="8">
        <f>$AC$12+D49*$AC$13+E49*$AC$14+F49*$AC$15+G49*$AC$16+H49*$AC$17+I49*$AC$18+J49*$AC$19+K49*$AC$20+L49*$AC$21+M49*$AC$22+N49*$AC$23+O49*$AC$24+P49*$AC$25+Q49*$AC$26+R49*$AC$27+S49*$AC$28+T49*$AC$29+U49*$AC$30</f>
        <v/>
      </c>
      <c r="W49" s="8">
        <f>1/(1+EXP(-V49))</f>
        <v/>
      </c>
      <c r="X49" s="9">
        <f>-IF(C49=1,LN(W49),LN(1-W49))</f>
        <v/>
      </c>
      <c r="Y49" s="10">
        <f>IF(W49&gt;$AC$34,1,0)</f>
        <v/>
      </c>
      <c r="Z49">
        <f>IF(Y49=C49,1,0)</f>
        <v/>
      </c>
      <c r="AB49" s="2" t="inlineStr">
        <is>
          <t>Solver: minimize J (objective cell) by changing the light blue weight cells, GRG Nonlinear, central derivatives, convergence 0.000001, no constraints and with the box 'Make Unconstrained Variables Non-Negative' UNTICKED. Run twice if it stops early.</t>
        </is>
      </c>
    </row>
    <row r="50" ht="48" customHeight="1">
      <c r="A50">
        <f>'1 prepared data'!A43</f>
        <v/>
      </c>
      <c r="B50" s="5">
        <f>'1 prepared data'!U43</f>
        <v/>
      </c>
      <c r="C50">
        <f>'1 prepared data'!B43</f>
        <v/>
      </c>
      <c r="D50" s="7">
        <f>'1 prepared data'!C43</f>
        <v/>
      </c>
      <c r="E50" s="7">
        <f>'1 prepared data'!D43</f>
        <v/>
      </c>
      <c r="F50" s="7">
        <f>'1 prepared data'!E43</f>
        <v/>
      </c>
      <c r="G50" s="7">
        <f>'1 prepared data'!F43</f>
        <v/>
      </c>
      <c r="H50" s="7">
        <f>'1 prepared data'!G43</f>
        <v/>
      </c>
      <c r="I50" s="7">
        <f>'1 prepared data'!H43</f>
        <v/>
      </c>
      <c r="J50" s="7">
        <f>'1 prepared data'!I43</f>
        <v/>
      </c>
      <c r="K50" s="7">
        <f>'1 prepared data'!J43</f>
        <v/>
      </c>
      <c r="L50" s="7">
        <f>'1 prepared data'!K43</f>
        <v/>
      </c>
      <c r="M50" s="7">
        <f>'1 prepared data'!L43</f>
        <v/>
      </c>
      <c r="N50" s="7">
        <f>'1 prepared data'!M43</f>
        <v/>
      </c>
      <c r="O50" s="7">
        <f>'1 prepared data'!N43</f>
        <v/>
      </c>
      <c r="P50" s="7">
        <f>'1 prepared data'!O43</f>
        <v/>
      </c>
      <c r="Q50" s="7">
        <f>'1 prepared data'!P43</f>
        <v/>
      </c>
      <c r="R50" s="7">
        <f>'1 prepared data'!Q43</f>
        <v/>
      </c>
      <c r="S50" s="7">
        <f>'1 prepared data'!R43</f>
        <v/>
      </c>
      <c r="T50" s="7">
        <f>'1 prepared data'!S43</f>
        <v/>
      </c>
      <c r="U50" s="7">
        <f>'1 prepared data'!T43</f>
        <v/>
      </c>
      <c r="V50" s="8">
        <f>$AC$12+D50*$AC$13+E50*$AC$14+F50*$AC$15+G50*$AC$16+H50*$AC$17+I50*$AC$18+J50*$AC$19+K50*$AC$20+L50*$AC$21+M50*$AC$22+N50*$AC$23+O50*$AC$24+P50*$AC$25+Q50*$AC$26+R50*$AC$27+S50*$AC$28+T50*$AC$29+U50*$AC$30</f>
        <v/>
      </c>
      <c r="W50" s="8">
        <f>1/(1+EXP(-V50))</f>
        <v/>
      </c>
      <c r="X50" s="9">
        <f>-IF(C50=1,LN(W50),LN(1-W50))</f>
        <v/>
      </c>
      <c r="Y50" s="10">
        <f>IF(W50&gt;$AC$34,1,0)</f>
        <v/>
      </c>
      <c r="Z50">
        <f>IF(Y50=C50,1,0)</f>
        <v/>
      </c>
      <c r="AB50" s="2" t="inlineStr">
        <is>
          <t>With L1 the absolute value has no derivative at zero and GRG can leave weights at 0.003 instead of 0: read them as zero. scikit-learn uses an algorithm (saga) that does leave them exactly at zero.</t>
        </is>
      </c>
    </row>
    <row r="51">
      <c r="A51">
        <f>'1 prepared data'!A44</f>
        <v/>
      </c>
      <c r="B51" s="5">
        <f>'1 prepared data'!U44</f>
        <v/>
      </c>
      <c r="C51">
        <f>'1 prepared data'!B44</f>
        <v/>
      </c>
      <c r="D51" s="7">
        <f>'1 prepared data'!C44</f>
        <v/>
      </c>
      <c r="E51" s="7">
        <f>'1 prepared data'!D44</f>
        <v/>
      </c>
      <c r="F51" s="7">
        <f>'1 prepared data'!E44</f>
        <v/>
      </c>
      <c r="G51" s="7">
        <f>'1 prepared data'!F44</f>
        <v/>
      </c>
      <c r="H51" s="7">
        <f>'1 prepared data'!G44</f>
        <v/>
      </c>
      <c r="I51" s="7">
        <f>'1 prepared data'!H44</f>
        <v/>
      </c>
      <c r="J51" s="7">
        <f>'1 prepared data'!I44</f>
        <v/>
      </c>
      <c r="K51" s="7">
        <f>'1 prepared data'!J44</f>
        <v/>
      </c>
      <c r="L51" s="7">
        <f>'1 prepared data'!K44</f>
        <v/>
      </c>
      <c r="M51" s="7">
        <f>'1 prepared data'!L44</f>
        <v/>
      </c>
      <c r="N51" s="7">
        <f>'1 prepared data'!M44</f>
        <v/>
      </c>
      <c r="O51" s="7">
        <f>'1 prepared data'!N44</f>
        <v/>
      </c>
      <c r="P51" s="7">
        <f>'1 prepared data'!O44</f>
        <v/>
      </c>
      <c r="Q51" s="7">
        <f>'1 prepared data'!P44</f>
        <v/>
      </c>
      <c r="R51" s="7">
        <f>'1 prepared data'!Q44</f>
        <v/>
      </c>
      <c r="S51" s="7">
        <f>'1 prepared data'!R44</f>
        <v/>
      </c>
      <c r="T51" s="7">
        <f>'1 prepared data'!S44</f>
        <v/>
      </c>
      <c r="U51" s="7">
        <f>'1 prepared data'!T44</f>
        <v/>
      </c>
      <c r="V51" s="8">
        <f>$AC$12+D51*$AC$13+E51*$AC$14+F51*$AC$15+G51*$AC$16+H51*$AC$17+I51*$AC$18+J51*$AC$19+K51*$AC$20+L51*$AC$21+M51*$AC$22+N51*$AC$23+O51*$AC$24+P51*$AC$25+Q51*$AC$26+R51*$AC$27+S51*$AC$28+T51*$AC$29+U51*$AC$30</f>
        <v/>
      </c>
      <c r="W51" s="8">
        <f>1/(1+EXP(-V51))</f>
        <v/>
      </c>
      <c r="X51" s="9">
        <f>-IF(C51=1,LN(W51),LN(1-W51))</f>
        <v/>
      </c>
      <c r="Y51" s="10">
        <f>IF(W51&gt;$AC$34,1,0)</f>
        <v/>
      </c>
      <c r="Z51">
        <f>IF(Y51=C51,1,0)</f>
        <v/>
      </c>
    </row>
    <row r="52">
      <c r="A52">
        <f>'1 prepared data'!A45</f>
        <v/>
      </c>
      <c r="B52" s="5">
        <f>'1 prepared data'!U45</f>
        <v/>
      </c>
      <c r="C52">
        <f>'1 prepared data'!B45</f>
        <v/>
      </c>
      <c r="D52" s="7">
        <f>'1 prepared data'!C45</f>
        <v/>
      </c>
      <c r="E52" s="7">
        <f>'1 prepared data'!D45</f>
        <v/>
      </c>
      <c r="F52" s="7">
        <f>'1 prepared data'!E45</f>
        <v/>
      </c>
      <c r="G52" s="7">
        <f>'1 prepared data'!F45</f>
        <v/>
      </c>
      <c r="H52" s="7">
        <f>'1 prepared data'!G45</f>
        <v/>
      </c>
      <c r="I52" s="7">
        <f>'1 prepared data'!H45</f>
        <v/>
      </c>
      <c r="J52" s="7">
        <f>'1 prepared data'!I45</f>
        <v/>
      </c>
      <c r="K52" s="7">
        <f>'1 prepared data'!J45</f>
        <v/>
      </c>
      <c r="L52" s="7">
        <f>'1 prepared data'!K45</f>
        <v/>
      </c>
      <c r="M52" s="7">
        <f>'1 prepared data'!L45</f>
        <v/>
      </c>
      <c r="N52" s="7">
        <f>'1 prepared data'!M45</f>
        <v/>
      </c>
      <c r="O52" s="7">
        <f>'1 prepared data'!N45</f>
        <v/>
      </c>
      <c r="P52" s="7">
        <f>'1 prepared data'!O45</f>
        <v/>
      </c>
      <c r="Q52" s="7">
        <f>'1 prepared data'!P45</f>
        <v/>
      </c>
      <c r="R52" s="7">
        <f>'1 prepared data'!Q45</f>
        <v/>
      </c>
      <c r="S52" s="7">
        <f>'1 prepared data'!R45</f>
        <v/>
      </c>
      <c r="T52" s="7">
        <f>'1 prepared data'!S45</f>
        <v/>
      </c>
      <c r="U52" s="7">
        <f>'1 prepared data'!T45</f>
        <v/>
      </c>
      <c r="V52" s="8">
        <f>$AC$12+D52*$AC$13+E52*$AC$14+F52*$AC$15+G52*$AC$16+H52*$AC$17+I52*$AC$18+J52*$AC$19+K52*$AC$20+L52*$AC$21+M52*$AC$22+N52*$AC$23+O52*$AC$24+P52*$AC$25+Q52*$AC$26+R52*$AC$27+S52*$AC$28+T52*$AC$29+U52*$AC$30</f>
        <v/>
      </c>
      <c r="W52" s="8">
        <f>1/(1+EXP(-V52))</f>
        <v/>
      </c>
      <c r="X52" s="9">
        <f>-IF(C52=1,LN(W52),LN(1-W52))</f>
        <v/>
      </c>
      <c r="Y52" s="10">
        <f>IF(W52&gt;$AC$34,1,0)</f>
        <v/>
      </c>
      <c r="Z52">
        <f>IF(Y52=C52,1,0)</f>
        <v/>
      </c>
    </row>
    <row r="53">
      <c r="A53">
        <f>'1 prepared data'!A46</f>
        <v/>
      </c>
      <c r="B53" s="5">
        <f>'1 prepared data'!U46</f>
        <v/>
      </c>
      <c r="C53">
        <f>'1 prepared data'!B46</f>
        <v/>
      </c>
      <c r="D53" s="7">
        <f>'1 prepared data'!C46</f>
        <v/>
      </c>
      <c r="E53" s="7">
        <f>'1 prepared data'!D46</f>
        <v/>
      </c>
      <c r="F53" s="7">
        <f>'1 prepared data'!E46</f>
        <v/>
      </c>
      <c r="G53" s="7">
        <f>'1 prepared data'!F46</f>
        <v/>
      </c>
      <c r="H53" s="7">
        <f>'1 prepared data'!G46</f>
        <v/>
      </c>
      <c r="I53" s="7">
        <f>'1 prepared data'!H46</f>
        <v/>
      </c>
      <c r="J53" s="7">
        <f>'1 prepared data'!I46</f>
        <v/>
      </c>
      <c r="K53" s="7">
        <f>'1 prepared data'!J46</f>
        <v/>
      </c>
      <c r="L53" s="7">
        <f>'1 prepared data'!K46</f>
        <v/>
      </c>
      <c r="M53" s="7">
        <f>'1 prepared data'!L46</f>
        <v/>
      </c>
      <c r="N53" s="7">
        <f>'1 prepared data'!M46</f>
        <v/>
      </c>
      <c r="O53" s="7">
        <f>'1 prepared data'!N46</f>
        <v/>
      </c>
      <c r="P53" s="7">
        <f>'1 prepared data'!O46</f>
        <v/>
      </c>
      <c r="Q53" s="7">
        <f>'1 prepared data'!P46</f>
        <v/>
      </c>
      <c r="R53" s="7">
        <f>'1 prepared data'!Q46</f>
        <v/>
      </c>
      <c r="S53" s="7">
        <f>'1 prepared data'!R46</f>
        <v/>
      </c>
      <c r="T53" s="7">
        <f>'1 prepared data'!S46</f>
        <v/>
      </c>
      <c r="U53" s="7">
        <f>'1 prepared data'!T46</f>
        <v/>
      </c>
      <c r="V53" s="8">
        <f>$AC$12+D53*$AC$13+E53*$AC$14+F53*$AC$15+G53*$AC$16+H53*$AC$17+I53*$AC$18+J53*$AC$19+K53*$AC$20+L53*$AC$21+M53*$AC$22+N53*$AC$23+O53*$AC$24+P53*$AC$25+Q53*$AC$26+R53*$AC$27+S53*$AC$28+T53*$AC$29+U53*$AC$30</f>
        <v/>
      </c>
      <c r="W53" s="8">
        <f>1/(1+EXP(-V53))</f>
        <v/>
      </c>
      <c r="X53" s="9">
        <f>-IF(C53=1,LN(W53),LN(1-W53))</f>
        <v/>
      </c>
      <c r="Y53" s="10">
        <f>IF(W53&gt;$AC$34,1,0)</f>
        <v/>
      </c>
      <c r="Z53">
        <f>IF(Y53=C53,1,0)</f>
        <v/>
      </c>
    </row>
    <row r="54">
      <c r="A54">
        <f>'1 prepared data'!A47</f>
        <v/>
      </c>
      <c r="B54" s="5">
        <f>'1 prepared data'!U47</f>
        <v/>
      </c>
      <c r="C54">
        <f>'1 prepared data'!B47</f>
        <v/>
      </c>
      <c r="D54" s="7">
        <f>'1 prepared data'!C47</f>
        <v/>
      </c>
      <c r="E54" s="7">
        <f>'1 prepared data'!D47</f>
        <v/>
      </c>
      <c r="F54" s="7">
        <f>'1 prepared data'!E47</f>
        <v/>
      </c>
      <c r="G54" s="7">
        <f>'1 prepared data'!F47</f>
        <v/>
      </c>
      <c r="H54" s="7">
        <f>'1 prepared data'!G47</f>
        <v/>
      </c>
      <c r="I54" s="7">
        <f>'1 prepared data'!H47</f>
        <v/>
      </c>
      <c r="J54" s="7">
        <f>'1 prepared data'!I47</f>
        <v/>
      </c>
      <c r="K54" s="7">
        <f>'1 prepared data'!J47</f>
        <v/>
      </c>
      <c r="L54" s="7">
        <f>'1 prepared data'!K47</f>
        <v/>
      </c>
      <c r="M54" s="7">
        <f>'1 prepared data'!L47</f>
        <v/>
      </c>
      <c r="N54" s="7">
        <f>'1 prepared data'!M47</f>
        <v/>
      </c>
      <c r="O54" s="7">
        <f>'1 prepared data'!N47</f>
        <v/>
      </c>
      <c r="P54" s="7">
        <f>'1 prepared data'!O47</f>
        <v/>
      </c>
      <c r="Q54" s="7">
        <f>'1 prepared data'!P47</f>
        <v/>
      </c>
      <c r="R54" s="7">
        <f>'1 prepared data'!Q47</f>
        <v/>
      </c>
      <c r="S54" s="7">
        <f>'1 prepared data'!R47</f>
        <v/>
      </c>
      <c r="T54" s="7">
        <f>'1 prepared data'!S47</f>
        <v/>
      </c>
      <c r="U54" s="7">
        <f>'1 prepared data'!T47</f>
        <v/>
      </c>
      <c r="V54" s="8">
        <f>$AC$12+D54*$AC$13+E54*$AC$14+F54*$AC$15+G54*$AC$16+H54*$AC$17+I54*$AC$18+J54*$AC$19+K54*$AC$20+L54*$AC$21+M54*$AC$22+N54*$AC$23+O54*$AC$24+P54*$AC$25+Q54*$AC$26+R54*$AC$27+S54*$AC$28+T54*$AC$29+U54*$AC$30</f>
        <v/>
      </c>
      <c r="W54" s="8">
        <f>1/(1+EXP(-V54))</f>
        <v/>
      </c>
      <c r="X54" s="9">
        <f>-IF(C54=1,LN(W54),LN(1-W54))</f>
        <v/>
      </c>
      <c r="Y54" s="10">
        <f>IF(W54&gt;$AC$34,1,0)</f>
        <v/>
      </c>
      <c r="Z54">
        <f>IF(Y54=C54,1,0)</f>
        <v/>
      </c>
    </row>
    <row r="55">
      <c r="A55">
        <f>'1 prepared data'!A48</f>
        <v/>
      </c>
      <c r="B55" s="5">
        <f>'1 prepared data'!U48</f>
        <v/>
      </c>
      <c r="C55">
        <f>'1 prepared data'!B48</f>
        <v/>
      </c>
      <c r="D55" s="7">
        <f>'1 prepared data'!C48</f>
        <v/>
      </c>
      <c r="E55" s="7">
        <f>'1 prepared data'!D48</f>
        <v/>
      </c>
      <c r="F55" s="7">
        <f>'1 prepared data'!E48</f>
        <v/>
      </c>
      <c r="G55" s="7">
        <f>'1 prepared data'!F48</f>
        <v/>
      </c>
      <c r="H55" s="7">
        <f>'1 prepared data'!G48</f>
        <v/>
      </c>
      <c r="I55" s="7">
        <f>'1 prepared data'!H48</f>
        <v/>
      </c>
      <c r="J55" s="7">
        <f>'1 prepared data'!I48</f>
        <v/>
      </c>
      <c r="K55" s="7">
        <f>'1 prepared data'!J48</f>
        <v/>
      </c>
      <c r="L55" s="7">
        <f>'1 prepared data'!K48</f>
        <v/>
      </c>
      <c r="M55" s="7">
        <f>'1 prepared data'!L48</f>
        <v/>
      </c>
      <c r="N55" s="7">
        <f>'1 prepared data'!M48</f>
        <v/>
      </c>
      <c r="O55" s="7">
        <f>'1 prepared data'!N48</f>
        <v/>
      </c>
      <c r="P55" s="7">
        <f>'1 prepared data'!O48</f>
        <v/>
      </c>
      <c r="Q55" s="7">
        <f>'1 prepared data'!P48</f>
        <v/>
      </c>
      <c r="R55" s="7">
        <f>'1 prepared data'!Q48</f>
        <v/>
      </c>
      <c r="S55" s="7">
        <f>'1 prepared data'!R48</f>
        <v/>
      </c>
      <c r="T55" s="7">
        <f>'1 prepared data'!S48</f>
        <v/>
      </c>
      <c r="U55" s="7">
        <f>'1 prepared data'!T48</f>
        <v/>
      </c>
      <c r="V55" s="8">
        <f>$AC$12+D55*$AC$13+E55*$AC$14+F55*$AC$15+G55*$AC$16+H55*$AC$17+I55*$AC$18+J55*$AC$19+K55*$AC$20+L55*$AC$21+M55*$AC$22+N55*$AC$23+O55*$AC$24+P55*$AC$25+Q55*$AC$26+R55*$AC$27+S55*$AC$28+T55*$AC$29+U55*$AC$30</f>
        <v/>
      </c>
      <c r="W55" s="8">
        <f>1/(1+EXP(-V55))</f>
        <v/>
      </c>
      <c r="X55" s="9">
        <f>-IF(C55=1,LN(W55),LN(1-W55))</f>
        <v/>
      </c>
      <c r="Y55" s="10">
        <f>IF(W55&gt;$AC$34,1,0)</f>
        <v/>
      </c>
      <c r="Z55">
        <f>IF(Y55=C55,1,0)</f>
        <v/>
      </c>
    </row>
    <row r="56">
      <c r="A56">
        <f>'1 prepared data'!A49</f>
        <v/>
      </c>
      <c r="B56" s="5">
        <f>'1 prepared data'!U49</f>
        <v/>
      </c>
      <c r="C56">
        <f>'1 prepared data'!B49</f>
        <v/>
      </c>
      <c r="D56" s="7">
        <f>'1 prepared data'!C49</f>
        <v/>
      </c>
      <c r="E56" s="7">
        <f>'1 prepared data'!D49</f>
        <v/>
      </c>
      <c r="F56" s="7">
        <f>'1 prepared data'!E49</f>
        <v/>
      </c>
      <c r="G56" s="7">
        <f>'1 prepared data'!F49</f>
        <v/>
      </c>
      <c r="H56" s="7">
        <f>'1 prepared data'!G49</f>
        <v/>
      </c>
      <c r="I56" s="7">
        <f>'1 prepared data'!H49</f>
        <v/>
      </c>
      <c r="J56" s="7">
        <f>'1 prepared data'!I49</f>
        <v/>
      </c>
      <c r="K56" s="7">
        <f>'1 prepared data'!J49</f>
        <v/>
      </c>
      <c r="L56" s="7">
        <f>'1 prepared data'!K49</f>
        <v/>
      </c>
      <c r="M56" s="7">
        <f>'1 prepared data'!L49</f>
        <v/>
      </c>
      <c r="N56" s="7">
        <f>'1 prepared data'!M49</f>
        <v/>
      </c>
      <c r="O56" s="7">
        <f>'1 prepared data'!N49</f>
        <v/>
      </c>
      <c r="P56" s="7">
        <f>'1 prepared data'!O49</f>
        <v/>
      </c>
      <c r="Q56" s="7">
        <f>'1 prepared data'!P49</f>
        <v/>
      </c>
      <c r="R56" s="7">
        <f>'1 prepared data'!Q49</f>
        <v/>
      </c>
      <c r="S56" s="7">
        <f>'1 prepared data'!R49</f>
        <v/>
      </c>
      <c r="T56" s="7">
        <f>'1 prepared data'!S49</f>
        <v/>
      </c>
      <c r="U56" s="7">
        <f>'1 prepared data'!T49</f>
        <v/>
      </c>
      <c r="V56" s="8">
        <f>$AC$12+D56*$AC$13+E56*$AC$14+F56*$AC$15+G56*$AC$16+H56*$AC$17+I56*$AC$18+J56*$AC$19+K56*$AC$20+L56*$AC$21+M56*$AC$22+N56*$AC$23+O56*$AC$24+P56*$AC$25+Q56*$AC$26+R56*$AC$27+S56*$AC$28+T56*$AC$29+U56*$AC$30</f>
        <v/>
      </c>
      <c r="W56" s="8">
        <f>1/(1+EXP(-V56))</f>
        <v/>
      </c>
      <c r="X56" s="9">
        <f>-IF(C56=1,LN(W56),LN(1-W56))</f>
        <v/>
      </c>
      <c r="Y56" s="10">
        <f>IF(W56&gt;$AC$34,1,0)</f>
        <v/>
      </c>
      <c r="Z56">
        <f>IF(Y56=C56,1,0)</f>
        <v/>
      </c>
    </row>
    <row r="57">
      <c r="A57">
        <f>'1 prepared data'!A50</f>
        <v/>
      </c>
      <c r="B57" s="5">
        <f>'1 prepared data'!U50</f>
        <v/>
      </c>
      <c r="C57">
        <f>'1 prepared data'!B50</f>
        <v/>
      </c>
      <c r="D57" s="7">
        <f>'1 prepared data'!C50</f>
        <v/>
      </c>
      <c r="E57" s="7">
        <f>'1 prepared data'!D50</f>
        <v/>
      </c>
      <c r="F57" s="7">
        <f>'1 prepared data'!E50</f>
        <v/>
      </c>
      <c r="G57" s="7">
        <f>'1 prepared data'!F50</f>
        <v/>
      </c>
      <c r="H57" s="7">
        <f>'1 prepared data'!G50</f>
        <v/>
      </c>
      <c r="I57" s="7">
        <f>'1 prepared data'!H50</f>
        <v/>
      </c>
      <c r="J57" s="7">
        <f>'1 prepared data'!I50</f>
        <v/>
      </c>
      <c r="K57" s="7">
        <f>'1 prepared data'!J50</f>
        <v/>
      </c>
      <c r="L57" s="7">
        <f>'1 prepared data'!K50</f>
        <v/>
      </c>
      <c r="M57" s="7">
        <f>'1 prepared data'!L50</f>
        <v/>
      </c>
      <c r="N57" s="7">
        <f>'1 prepared data'!M50</f>
        <v/>
      </c>
      <c r="O57" s="7">
        <f>'1 prepared data'!N50</f>
        <v/>
      </c>
      <c r="P57" s="7">
        <f>'1 prepared data'!O50</f>
        <v/>
      </c>
      <c r="Q57" s="7">
        <f>'1 prepared data'!P50</f>
        <v/>
      </c>
      <c r="R57" s="7">
        <f>'1 prepared data'!Q50</f>
        <v/>
      </c>
      <c r="S57" s="7">
        <f>'1 prepared data'!R50</f>
        <v/>
      </c>
      <c r="T57" s="7">
        <f>'1 prepared data'!S50</f>
        <v/>
      </c>
      <c r="U57" s="7">
        <f>'1 prepared data'!T50</f>
        <v/>
      </c>
      <c r="V57" s="8">
        <f>$AC$12+D57*$AC$13+E57*$AC$14+F57*$AC$15+G57*$AC$16+H57*$AC$17+I57*$AC$18+J57*$AC$19+K57*$AC$20+L57*$AC$21+M57*$AC$22+N57*$AC$23+O57*$AC$24+P57*$AC$25+Q57*$AC$26+R57*$AC$27+S57*$AC$28+T57*$AC$29+U57*$AC$30</f>
        <v/>
      </c>
      <c r="W57" s="8">
        <f>1/(1+EXP(-V57))</f>
        <v/>
      </c>
      <c r="X57" s="9">
        <f>-IF(C57=1,LN(W57),LN(1-W57))</f>
        <v/>
      </c>
      <c r="Y57" s="10">
        <f>IF(W57&gt;$AC$34,1,0)</f>
        <v/>
      </c>
      <c r="Z57">
        <f>IF(Y57=C57,1,0)</f>
        <v/>
      </c>
    </row>
    <row r="58">
      <c r="A58">
        <f>'1 prepared data'!A51</f>
        <v/>
      </c>
      <c r="B58" s="5">
        <f>'1 prepared data'!U51</f>
        <v/>
      </c>
      <c r="C58">
        <f>'1 prepared data'!B51</f>
        <v/>
      </c>
      <c r="D58" s="7">
        <f>'1 prepared data'!C51</f>
        <v/>
      </c>
      <c r="E58" s="7">
        <f>'1 prepared data'!D51</f>
        <v/>
      </c>
      <c r="F58" s="7">
        <f>'1 prepared data'!E51</f>
        <v/>
      </c>
      <c r="G58" s="7">
        <f>'1 prepared data'!F51</f>
        <v/>
      </c>
      <c r="H58" s="7">
        <f>'1 prepared data'!G51</f>
        <v/>
      </c>
      <c r="I58" s="7">
        <f>'1 prepared data'!H51</f>
        <v/>
      </c>
      <c r="J58" s="7">
        <f>'1 prepared data'!I51</f>
        <v/>
      </c>
      <c r="K58" s="7">
        <f>'1 prepared data'!J51</f>
        <v/>
      </c>
      <c r="L58" s="7">
        <f>'1 prepared data'!K51</f>
        <v/>
      </c>
      <c r="M58" s="7">
        <f>'1 prepared data'!L51</f>
        <v/>
      </c>
      <c r="N58" s="7">
        <f>'1 prepared data'!M51</f>
        <v/>
      </c>
      <c r="O58" s="7">
        <f>'1 prepared data'!N51</f>
        <v/>
      </c>
      <c r="P58" s="7">
        <f>'1 prepared data'!O51</f>
        <v/>
      </c>
      <c r="Q58" s="7">
        <f>'1 prepared data'!P51</f>
        <v/>
      </c>
      <c r="R58" s="7">
        <f>'1 prepared data'!Q51</f>
        <v/>
      </c>
      <c r="S58" s="7">
        <f>'1 prepared data'!R51</f>
        <v/>
      </c>
      <c r="T58" s="7">
        <f>'1 prepared data'!S51</f>
        <v/>
      </c>
      <c r="U58" s="7">
        <f>'1 prepared data'!T51</f>
        <v/>
      </c>
      <c r="V58" s="8">
        <f>$AC$12+D58*$AC$13+E58*$AC$14+F58*$AC$15+G58*$AC$16+H58*$AC$17+I58*$AC$18+J58*$AC$19+K58*$AC$20+L58*$AC$21+M58*$AC$22+N58*$AC$23+O58*$AC$24+P58*$AC$25+Q58*$AC$26+R58*$AC$27+S58*$AC$28+T58*$AC$29+U58*$AC$30</f>
        <v/>
      </c>
      <c r="W58" s="8">
        <f>1/(1+EXP(-V58))</f>
        <v/>
      </c>
      <c r="X58" s="9">
        <f>-IF(C58=1,LN(W58),LN(1-W58))</f>
        <v/>
      </c>
      <c r="Y58" s="10">
        <f>IF(W58&gt;$AC$34,1,0)</f>
        <v/>
      </c>
      <c r="Z58">
        <f>IF(Y58=C58,1,0)</f>
        <v/>
      </c>
    </row>
    <row r="59">
      <c r="A59">
        <f>'1 prepared data'!A52</f>
        <v/>
      </c>
      <c r="B59" s="5">
        <f>'1 prepared data'!U52</f>
        <v/>
      </c>
      <c r="C59">
        <f>'1 prepared data'!B52</f>
        <v/>
      </c>
      <c r="D59" s="7">
        <f>'1 prepared data'!C52</f>
        <v/>
      </c>
      <c r="E59" s="7">
        <f>'1 prepared data'!D52</f>
        <v/>
      </c>
      <c r="F59" s="7">
        <f>'1 prepared data'!E52</f>
        <v/>
      </c>
      <c r="G59" s="7">
        <f>'1 prepared data'!F52</f>
        <v/>
      </c>
      <c r="H59" s="7">
        <f>'1 prepared data'!G52</f>
        <v/>
      </c>
      <c r="I59" s="7">
        <f>'1 prepared data'!H52</f>
        <v/>
      </c>
      <c r="J59" s="7">
        <f>'1 prepared data'!I52</f>
        <v/>
      </c>
      <c r="K59" s="7">
        <f>'1 prepared data'!J52</f>
        <v/>
      </c>
      <c r="L59" s="7">
        <f>'1 prepared data'!K52</f>
        <v/>
      </c>
      <c r="M59" s="7">
        <f>'1 prepared data'!L52</f>
        <v/>
      </c>
      <c r="N59" s="7">
        <f>'1 prepared data'!M52</f>
        <v/>
      </c>
      <c r="O59" s="7">
        <f>'1 prepared data'!N52</f>
        <v/>
      </c>
      <c r="P59" s="7">
        <f>'1 prepared data'!O52</f>
        <v/>
      </c>
      <c r="Q59" s="7">
        <f>'1 prepared data'!P52</f>
        <v/>
      </c>
      <c r="R59" s="7">
        <f>'1 prepared data'!Q52</f>
        <v/>
      </c>
      <c r="S59" s="7">
        <f>'1 prepared data'!R52</f>
        <v/>
      </c>
      <c r="T59" s="7">
        <f>'1 prepared data'!S52</f>
        <v/>
      </c>
      <c r="U59" s="7">
        <f>'1 prepared data'!T52</f>
        <v/>
      </c>
      <c r="V59" s="8">
        <f>$AC$12+D59*$AC$13+E59*$AC$14+F59*$AC$15+G59*$AC$16+H59*$AC$17+I59*$AC$18+J59*$AC$19+K59*$AC$20+L59*$AC$21+M59*$AC$22+N59*$AC$23+O59*$AC$24+P59*$AC$25+Q59*$AC$26+R59*$AC$27+S59*$AC$28+T59*$AC$29+U59*$AC$30</f>
        <v/>
      </c>
      <c r="W59" s="8">
        <f>1/(1+EXP(-V59))</f>
        <v/>
      </c>
      <c r="X59" s="9">
        <f>-IF(C59=1,LN(W59),LN(1-W59))</f>
        <v/>
      </c>
      <c r="Y59" s="10">
        <f>IF(W59&gt;$AC$34,1,0)</f>
        <v/>
      </c>
      <c r="Z59">
        <f>IF(Y59=C59,1,0)</f>
        <v/>
      </c>
    </row>
    <row r="60">
      <c r="A60">
        <f>'1 prepared data'!A53</f>
        <v/>
      </c>
      <c r="B60" s="5">
        <f>'1 prepared data'!U53</f>
        <v/>
      </c>
      <c r="C60">
        <f>'1 prepared data'!B53</f>
        <v/>
      </c>
      <c r="D60" s="7">
        <f>'1 prepared data'!C53</f>
        <v/>
      </c>
      <c r="E60" s="7">
        <f>'1 prepared data'!D53</f>
        <v/>
      </c>
      <c r="F60" s="7">
        <f>'1 prepared data'!E53</f>
        <v/>
      </c>
      <c r="G60" s="7">
        <f>'1 prepared data'!F53</f>
        <v/>
      </c>
      <c r="H60" s="7">
        <f>'1 prepared data'!G53</f>
        <v/>
      </c>
      <c r="I60" s="7">
        <f>'1 prepared data'!H53</f>
        <v/>
      </c>
      <c r="J60" s="7">
        <f>'1 prepared data'!I53</f>
        <v/>
      </c>
      <c r="K60" s="7">
        <f>'1 prepared data'!J53</f>
        <v/>
      </c>
      <c r="L60" s="7">
        <f>'1 prepared data'!K53</f>
        <v/>
      </c>
      <c r="M60" s="7">
        <f>'1 prepared data'!L53</f>
        <v/>
      </c>
      <c r="N60" s="7">
        <f>'1 prepared data'!M53</f>
        <v/>
      </c>
      <c r="O60" s="7">
        <f>'1 prepared data'!N53</f>
        <v/>
      </c>
      <c r="P60" s="7">
        <f>'1 prepared data'!O53</f>
        <v/>
      </c>
      <c r="Q60" s="7">
        <f>'1 prepared data'!P53</f>
        <v/>
      </c>
      <c r="R60" s="7">
        <f>'1 prepared data'!Q53</f>
        <v/>
      </c>
      <c r="S60" s="7">
        <f>'1 prepared data'!R53</f>
        <v/>
      </c>
      <c r="T60" s="7">
        <f>'1 prepared data'!S53</f>
        <v/>
      </c>
      <c r="U60" s="7">
        <f>'1 prepared data'!T53</f>
        <v/>
      </c>
      <c r="V60" s="8">
        <f>$AC$12+D60*$AC$13+E60*$AC$14+F60*$AC$15+G60*$AC$16+H60*$AC$17+I60*$AC$18+J60*$AC$19+K60*$AC$20+L60*$AC$21+M60*$AC$22+N60*$AC$23+O60*$AC$24+P60*$AC$25+Q60*$AC$26+R60*$AC$27+S60*$AC$28+T60*$AC$29+U60*$AC$30</f>
        <v/>
      </c>
      <c r="W60" s="8">
        <f>1/(1+EXP(-V60))</f>
        <v/>
      </c>
      <c r="X60" s="9">
        <f>-IF(C60=1,LN(W60),LN(1-W60))</f>
        <v/>
      </c>
      <c r="Y60" s="10">
        <f>IF(W60&gt;$AC$34,1,0)</f>
        <v/>
      </c>
      <c r="Z60">
        <f>IF(Y60=C60,1,0)</f>
        <v/>
      </c>
    </row>
    <row r="61">
      <c r="A61">
        <f>'1 prepared data'!A54</f>
        <v/>
      </c>
      <c r="B61" s="5">
        <f>'1 prepared data'!U54</f>
        <v/>
      </c>
      <c r="C61">
        <f>'1 prepared data'!B54</f>
        <v/>
      </c>
      <c r="D61" s="7">
        <f>'1 prepared data'!C54</f>
        <v/>
      </c>
      <c r="E61" s="7">
        <f>'1 prepared data'!D54</f>
        <v/>
      </c>
      <c r="F61" s="7">
        <f>'1 prepared data'!E54</f>
        <v/>
      </c>
      <c r="G61" s="7">
        <f>'1 prepared data'!F54</f>
        <v/>
      </c>
      <c r="H61" s="7">
        <f>'1 prepared data'!G54</f>
        <v/>
      </c>
      <c r="I61" s="7">
        <f>'1 prepared data'!H54</f>
        <v/>
      </c>
      <c r="J61" s="7">
        <f>'1 prepared data'!I54</f>
        <v/>
      </c>
      <c r="K61" s="7">
        <f>'1 prepared data'!J54</f>
        <v/>
      </c>
      <c r="L61" s="7">
        <f>'1 prepared data'!K54</f>
        <v/>
      </c>
      <c r="M61" s="7">
        <f>'1 prepared data'!L54</f>
        <v/>
      </c>
      <c r="N61" s="7">
        <f>'1 prepared data'!M54</f>
        <v/>
      </c>
      <c r="O61" s="7">
        <f>'1 prepared data'!N54</f>
        <v/>
      </c>
      <c r="P61" s="7">
        <f>'1 prepared data'!O54</f>
        <v/>
      </c>
      <c r="Q61" s="7">
        <f>'1 prepared data'!P54</f>
        <v/>
      </c>
      <c r="R61" s="7">
        <f>'1 prepared data'!Q54</f>
        <v/>
      </c>
      <c r="S61" s="7">
        <f>'1 prepared data'!R54</f>
        <v/>
      </c>
      <c r="T61" s="7">
        <f>'1 prepared data'!S54</f>
        <v/>
      </c>
      <c r="U61" s="7">
        <f>'1 prepared data'!T54</f>
        <v/>
      </c>
      <c r="V61" s="8">
        <f>$AC$12+D61*$AC$13+E61*$AC$14+F61*$AC$15+G61*$AC$16+H61*$AC$17+I61*$AC$18+J61*$AC$19+K61*$AC$20+L61*$AC$21+M61*$AC$22+N61*$AC$23+O61*$AC$24+P61*$AC$25+Q61*$AC$26+R61*$AC$27+S61*$AC$28+T61*$AC$29+U61*$AC$30</f>
        <v/>
      </c>
      <c r="W61" s="8">
        <f>1/(1+EXP(-V61))</f>
        <v/>
      </c>
      <c r="X61" s="9">
        <f>-IF(C61=1,LN(W61),LN(1-W61))</f>
        <v/>
      </c>
      <c r="Y61" s="10">
        <f>IF(W61&gt;$AC$34,1,0)</f>
        <v/>
      </c>
      <c r="Z61">
        <f>IF(Y61=C61,1,0)</f>
        <v/>
      </c>
    </row>
    <row r="62">
      <c r="A62">
        <f>'1 prepared data'!A55</f>
        <v/>
      </c>
      <c r="B62" s="5">
        <f>'1 prepared data'!U55</f>
        <v/>
      </c>
      <c r="C62">
        <f>'1 prepared data'!B55</f>
        <v/>
      </c>
      <c r="D62" s="7">
        <f>'1 prepared data'!C55</f>
        <v/>
      </c>
      <c r="E62" s="7">
        <f>'1 prepared data'!D55</f>
        <v/>
      </c>
      <c r="F62" s="7">
        <f>'1 prepared data'!E55</f>
        <v/>
      </c>
      <c r="G62" s="7">
        <f>'1 prepared data'!F55</f>
        <v/>
      </c>
      <c r="H62" s="7">
        <f>'1 prepared data'!G55</f>
        <v/>
      </c>
      <c r="I62" s="7">
        <f>'1 prepared data'!H55</f>
        <v/>
      </c>
      <c r="J62" s="7">
        <f>'1 prepared data'!I55</f>
        <v/>
      </c>
      <c r="K62" s="7">
        <f>'1 prepared data'!J55</f>
        <v/>
      </c>
      <c r="L62" s="7">
        <f>'1 prepared data'!K55</f>
        <v/>
      </c>
      <c r="M62" s="7">
        <f>'1 prepared data'!L55</f>
        <v/>
      </c>
      <c r="N62" s="7">
        <f>'1 prepared data'!M55</f>
        <v/>
      </c>
      <c r="O62" s="7">
        <f>'1 prepared data'!N55</f>
        <v/>
      </c>
      <c r="P62" s="7">
        <f>'1 prepared data'!O55</f>
        <v/>
      </c>
      <c r="Q62" s="7">
        <f>'1 prepared data'!P55</f>
        <v/>
      </c>
      <c r="R62" s="7">
        <f>'1 prepared data'!Q55</f>
        <v/>
      </c>
      <c r="S62" s="7">
        <f>'1 prepared data'!R55</f>
        <v/>
      </c>
      <c r="T62" s="7">
        <f>'1 prepared data'!S55</f>
        <v/>
      </c>
      <c r="U62" s="7">
        <f>'1 prepared data'!T55</f>
        <v/>
      </c>
      <c r="V62" s="8">
        <f>$AC$12+D62*$AC$13+E62*$AC$14+F62*$AC$15+G62*$AC$16+H62*$AC$17+I62*$AC$18+J62*$AC$19+K62*$AC$20+L62*$AC$21+M62*$AC$22+N62*$AC$23+O62*$AC$24+P62*$AC$25+Q62*$AC$26+R62*$AC$27+S62*$AC$28+T62*$AC$29+U62*$AC$30</f>
        <v/>
      </c>
      <c r="W62" s="8">
        <f>1/(1+EXP(-V62))</f>
        <v/>
      </c>
      <c r="X62" s="9">
        <f>-IF(C62=1,LN(W62),LN(1-W62))</f>
        <v/>
      </c>
      <c r="Y62" s="10">
        <f>IF(W62&gt;$AC$34,1,0)</f>
        <v/>
      </c>
      <c r="Z62">
        <f>IF(Y62=C62,1,0)</f>
        <v/>
      </c>
    </row>
    <row r="63">
      <c r="A63">
        <f>'1 prepared data'!A56</f>
        <v/>
      </c>
      <c r="B63" s="5">
        <f>'1 prepared data'!U56</f>
        <v/>
      </c>
      <c r="C63">
        <f>'1 prepared data'!B56</f>
        <v/>
      </c>
      <c r="D63" s="7">
        <f>'1 prepared data'!C56</f>
        <v/>
      </c>
      <c r="E63" s="7">
        <f>'1 prepared data'!D56</f>
        <v/>
      </c>
      <c r="F63" s="7">
        <f>'1 prepared data'!E56</f>
        <v/>
      </c>
      <c r="G63" s="7">
        <f>'1 prepared data'!F56</f>
        <v/>
      </c>
      <c r="H63" s="7">
        <f>'1 prepared data'!G56</f>
        <v/>
      </c>
      <c r="I63" s="7">
        <f>'1 prepared data'!H56</f>
        <v/>
      </c>
      <c r="J63" s="7">
        <f>'1 prepared data'!I56</f>
        <v/>
      </c>
      <c r="K63" s="7">
        <f>'1 prepared data'!J56</f>
        <v/>
      </c>
      <c r="L63" s="7">
        <f>'1 prepared data'!K56</f>
        <v/>
      </c>
      <c r="M63" s="7">
        <f>'1 prepared data'!L56</f>
        <v/>
      </c>
      <c r="N63" s="7">
        <f>'1 prepared data'!M56</f>
        <v/>
      </c>
      <c r="O63" s="7">
        <f>'1 prepared data'!N56</f>
        <v/>
      </c>
      <c r="P63" s="7">
        <f>'1 prepared data'!O56</f>
        <v/>
      </c>
      <c r="Q63" s="7">
        <f>'1 prepared data'!P56</f>
        <v/>
      </c>
      <c r="R63" s="7">
        <f>'1 prepared data'!Q56</f>
        <v/>
      </c>
      <c r="S63" s="7">
        <f>'1 prepared data'!R56</f>
        <v/>
      </c>
      <c r="T63" s="7">
        <f>'1 prepared data'!S56</f>
        <v/>
      </c>
      <c r="U63" s="7">
        <f>'1 prepared data'!T56</f>
        <v/>
      </c>
      <c r="V63" s="8">
        <f>$AC$12+D63*$AC$13+E63*$AC$14+F63*$AC$15+G63*$AC$16+H63*$AC$17+I63*$AC$18+J63*$AC$19+K63*$AC$20+L63*$AC$21+M63*$AC$22+N63*$AC$23+O63*$AC$24+P63*$AC$25+Q63*$AC$26+R63*$AC$27+S63*$AC$28+T63*$AC$29+U63*$AC$30</f>
        <v/>
      </c>
      <c r="W63" s="8">
        <f>1/(1+EXP(-V63))</f>
        <v/>
      </c>
      <c r="X63" s="9">
        <f>-IF(C63=1,LN(W63),LN(1-W63))</f>
        <v/>
      </c>
      <c r="Y63" s="10">
        <f>IF(W63&gt;$AC$34,1,0)</f>
        <v/>
      </c>
      <c r="Z63">
        <f>IF(Y63=C63,1,0)</f>
        <v/>
      </c>
    </row>
    <row r="64">
      <c r="A64">
        <f>'1 prepared data'!A57</f>
        <v/>
      </c>
      <c r="B64" s="5">
        <f>'1 prepared data'!U57</f>
        <v/>
      </c>
      <c r="C64">
        <f>'1 prepared data'!B57</f>
        <v/>
      </c>
      <c r="D64" s="7">
        <f>'1 prepared data'!C57</f>
        <v/>
      </c>
      <c r="E64" s="7">
        <f>'1 prepared data'!D57</f>
        <v/>
      </c>
      <c r="F64" s="7">
        <f>'1 prepared data'!E57</f>
        <v/>
      </c>
      <c r="G64" s="7">
        <f>'1 prepared data'!F57</f>
        <v/>
      </c>
      <c r="H64" s="7">
        <f>'1 prepared data'!G57</f>
        <v/>
      </c>
      <c r="I64" s="7">
        <f>'1 prepared data'!H57</f>
        <v/>
      </c>
      <c r="J64" s="7">
        <f>'1 prepared data'!I57</f>
        <v/>
      </c>
      <c r="K64" s="7">
        <f>'1 prepared data'!J57</f>
        <v/>
      </c>
      <c r="L64" s="7">
        <f>'1 prepared data'!K57</f>
        <v/>
      </c>
      <c r="M64" s="7">
        <f>'1 prepared data'!L57</f>
        <v/>
      </c>
      <c r="N64" s="7">
        <f>'1 prepared data'!M57</f>
        <v/>
      </c>
      <c r="O64" s="7">
        <f>'1 prepared data'!N57</f>
        <v/>
      </c>
      <c r="P64" s="7">
        <f>'1 prepared data'!O57</f>
        <v/>
      </c>
      <c r="Q64" s="7">
        <f>'1 prepared data'!P57</f>
        <v/>
      </c>
      <c r="R64" s="7">
        <f>'1 prepared data'!Q57</f>
        <v/>
      </c>
      <c r="S64" s="7">
        <f>'1 prepared data'!R57</f>
        <v/>
      </c>
      <c r="T64" s="7">
        <f>'1 prepared data'!S57</f>
        <v/>
      </c>
      <c r="U64" s="7">
        <f>'1 prepared data'!T57</f>
        <v/>
      </c>
      <c r="V64" s="8">
        <f>$AC$12+D64*$AC$13+E64*$AC$14+F64*$AC$15+G64*$AC$16+H64*$AC$17+I64*$AC$18+J64*$AC$19+K64*$AC$20+L64*$AC$21+M64*$AC$22+N64*$AC$23+O64*$AC$24+P64*$AC$25+Q64*$AC$26+R64*$AC$27+S64*$AC$28+T64*$AC$29+U64*$AC$30</f>
        <v/>
      </c>
      <c r="W64" s="8">
        <f>1/(1+EXP(-V64))</f>
        <v/>
      </c>
      <c r="X64" s="9">
        <f>-IF(C64=1,LN(W64),LN(1-W64))</f>
        <v/>
      </c>
      <c r="Y64" s="10">
        <f>IF(W64&gt;$AC$34,1,0)</f>
        <v/>
      </c>
      <c r="Z64">
        <f>IF(Y64=C64,1,0)</f>
        <v/>
      </c>
    </row>
    <row r="65">
      <c r="A65">
        <f>'1 prepared data'!A58</f>
        <v/>
      </c>
      <c r="B65" s="5">
        <f>'1 prepared data'!U58</f>
        <v/>
      </c>
      <c r="C65">
        <f>'1 prepared data'!B58</f>
        <v/>
      </c>
      <c r="D65" s="7">
        <f>'1 prepared data'!C58</f>
        <v/>
      </c>
      <c r="E65" s="7">
        <f>'1 prepared data'!D58</f>
        <v/>
      </c>
      <c r="F65" s="7">
        <f>'1 prepared data'!E58</f>
        <v/>
      </c>
      <c r="G65" s="7">
        <f>'1 prepared data'!F58</f>
        <v/>
      </c>
      <c r="H65" s="7">
        <f>'1 prepared data'!G58</f>
        <v/>
      </c>
      <c r="I65" s="7">
        <f>'1 prepared data'!H58</f>
        <v/>
      </c>
      <c r="J65" s="7">
        <f>'1 prepared data'!I58</f>
        <v/>
      </c>
      <c r="K65" s="7">
        <f>'1 prepared data'!J58</f>
        <v/>
      </c>
      <c r="L65" s="7">
        <f>'1 prepared data'!K58</f>
        <v/>
      </c>
      <c r="M65" s="7">
        <f>'1 prepared data'!L58</f>
        <v/>
      </c>
      <c r="N65" s="7">
        <f>'1 prepared data'!M58</f>
        <v/>
      </c>
      <c r="O65" s="7">
        <f>'1 prepared data'!N58</f>
        <v/>
      </c>
      <c r="P65" s="7">
        <f>'1 prepared data'!O58</f>
        <v/>
      </c>
      <c r="Q65" s="7">
        <f>'1 prepared data'!P58</f>
        <v/>
      </c>
      <c r="R65" s="7">
        <f>'1 prepared data'!Q58</f>
        <v/>
      </c>
      <c r="S65" s="7">
        <f>'1 prepared data'!R58</f>
        <v/>
      </c>
      <c r="T65" s="7">
        <f>'1 prepared data'!S58</f>
        <v/>
      </c>
      <c r="U65" s="7">
        <f>'1 prepared data'!T58</f>
        <v/>
      </c>
      <c r="V65" s="8">
        <f>$AC$12+D65*$AC$13+E65*$AC$14+F65*$AC$15+G65*$AC$16+H65*$AC$17+I65*$AC$18+J65*$AC$19+K65*$AC$20+L65*$AC$21+M65*$AC$22+N65*$AC$23+O65*$AC$24+P65*$AC$25+Q65*$AC$26+R65*$AC$27+S65*$AC$28+T65*$AC$29+U65*$AC$30</f>
        <v/>
      </c>
      <c r="W65" s="8">
        <f>1/(1+EXP(-V65))</f>
        <v/>
      </c>
      <c r="X65" s="9">
        <f>-IF(C65=1,LN(W65),LN(1-W65))</f>
        <v/>
      </c>
      <c r="Y65" s="10">
        <f>IF(W65&gt;$AC$34,1,0)</f>
        <v/>
      </c>
      <c r="Z65">
        <f>IF(Y65=C65,1,0)</f>
        <v/>
      </c>
    </row>
    <row r="66">
      <c r="A66">
        <f>'1 prepared data'!A59</f>
        <v/>
      </c>
      <c r="B66" s="5">
        <f>'1 prepared data'!U59</f>
        <v/>
      </c>
      <c r="C66">
        <f>'1 prepared data'!B59</f>
        <v/>
      </c>
      <c r="D66" s="7">
        <f>'1 prepared data'!C59</f>
        <v/>
      </c>
      <c r="E66" s="7">
        <f>'1 prepared data'!D59</f>
        <v/>
      </c>
      <c r="F66" s="7">
        <f>'1 prepared data'!E59</f>
        <v/>
      </c>
      <c r="G66" s="7">
        <f>'1 prepared data'!F59</f>
        <v/>
      </c>
      <c r="H66" s="7">
        <f>'1 prepared data'!G59</f>
        <v/>
      </c>
      <c r="I66" s="7">
        <f>'1 prepared data'!H59</f>
        <v/>
      </c>
      <c r="J66" s="7">
        <f>'1 prepared data'!I59</f>
        <v/>
      </c>
      <c r="K66" s="7">
        <f>'1 prepared data'!J59</f>
        <v/>
      </c>
      <c r="L66" s="7">
        <f>'1 prepared data'!K59</f>
        <v/>
      </c>
      <c r="M66" s="7">
        <f>'1 prepared data'!L59</f>
        <v/>
      </c>
      <c r="N66" s="7">
        <f>'1 prepared data'!M59</f>
        <v/>
      </c>
      <c r="O66" s="7">
        <f>'1 prepared data'!N59</f>
        <v/>
      </c>
      <c r="P66" s="7">
        <f>'1 prepared data'!O59</f>
        <v/>
      </c>
      <c r="Q66" s="7">
        <f>'1 prepared data'!P59</f>
        <v/>
      </c>
      <c r="R66" s="7">
        <f>'1 prepared data'!Q59</f>
        <v/>
      </c>
      <c r="S66" s="7">
        <f>'1 prepared data'!R59</f>
        <v/>
      </c>
      <c r="T66" s="7">
        <f>'1 prepared data'!S59</f>
        <v/>
      </c>
      <c r="U66" s="7">
        <f>'1 prepared data'!T59</f>
        <v/>
      </c>
      <c r="V66" s="8">
        <f>$AC$12+D66*$AC$13+E66*$AC$14+F66*$AC$15+G66*$AC$16+H66*$AC$17+I66*$AC$18+J66*$AC$19+K66*$AC$20+L66*$AC$21+M66*$AC$22+N66*$AC$23+O66*$AC$24+P66*$AC$25+Q66*$AC$26+R66*$AC$27+S66*$AC$28+T66*$AC$29+U66*$AC$30</f>
        <v/>
      </c>
      <c r="W66" s="8">
        <f>1/(1+EXP(-V66))</f>
        <v/>
      </c>
      <c r="X66" s="9">
        <f>-IF(C66=1,LN(W66),LN(1-W66))</f>
        <v/>
      </c>
      <c r="Y66" s="10">
        <f>IF(W66&gt;$AC$34,1,0)</f>
        <v/>
      </c>
      <c r="Z66">
        <f>IF(Y66=C66,1,0)</f>
        <v/>
      </c>
    </row>
    <row r="67">
      <c r="A67">
        <f>'1 prepared data'!A60</f>
        <v/>
      </c>
      <c r="B67" s="5">
        <f>'1 prepared data'!U60</f>
        <v/>
      </c>
      <c r="C67">
        <f>'1 prepared data'!B60</f>
        <v/>
      </c>
      <c r="D67" s="7">
        <f>'1 prepared data'!C60</f>
        <v/>
      </c>
      <c r="E67" s="7">
        <f>'1 prepared data'!D60</f>
        <v/>
      </c>
      <c r="F67" s="7">
        <f>'1 prepared data'!E60</f>
        <v/>
      </c>
      <c r="G67" s="7">
        <f>'1 prepared data'!F60</f>
        <v/>
      </c>
      <c r="H67" s="7">
        <f>'1 prepared data'!G60</f>
        <v/>
      </c>
      <c r="I67" s="7">
        <f>'1 prepared data'!H60</f>
        <v/>
      </c>
      <c r="J67" s="7">
        <f>'1 prepared data'!I60</f>
        <v/>
      </c>
      <c r="K67" s="7">
        <f>'1 prepared data'!J60</f>
        <v/>
      </c>
      <c r="L67" s="7">
        <f>'1 prepared data'!K60</f>
        <v/>
      </c>
      <c r="M67" s="7">
        <f>'1 prepared data'!L60</f>
        <v/>
      </c>
      <c r="N67" s="7">
        <f>'1 prepared data'!M60</f>
        <v/>
      </c>
      <c r="O67" s="7">
        <f>'1 prepared data'!N60</f>
        <v/>
      </c>
      <c r="P67" s="7">
        <f>'1 prepared data'!O60</f>
        <v/>
      </c>
      <c r="Q67" s="7">
        <f>'1 prepared data'!P60</f>
        <v/>
      </c>
      <c r="R67" s="7">
        <f>'1 prepared data'!Q60</f>
        <v/>
      </c>
      <c r="S67" s="7">
        <f>'1 prepared data'!R60</f>
        <v/>
      </c>
      <c r="T67" s="7">
        <f>'1 prepared data'!S60</f>
        <v/>
      </c>
      <c r="U67" s="7">
        <f>'1 prepared data'!T60</f>
        <v/>
      </c>
      <c r="V67" s="8">
        <f>$AC$12+D67*$AC$13+E67*$AC$14+F67*$AC$15+G67*$AC$16+H67*$AC$17+I67*$AC$18+J67*$AC$19+K67*$AC$20+L67*$AC$21+M67*$AC$22+N67*$AC$23+O67*$AC$24+P67*$AC$25+Q67*$AC$26+R67*$AC$27+S67*$AC$28+T67*$AC$29+U67*$AC$30</f>
        <v/>
      </c>
      <c r="W67" s="8">
        <f>1/(1+EXP(-V67))</f>
        <v/>
      </c>
      <c r="X67" s="9">
        <f>-IF(C67=1,LN(W67),LN(1-W67))</f>
        <v/>
      </c>
      <c r="Y67" s="10">
        <f>IF(W67&gt;$AC$34,1,0)</f>
        <v/>
      </c>
      <c r="Z67">
        <f>IF(Y67=C67,1,0)</f>
        <v/>
      </c>
    </row>
    <row r="68">
      <c r="A68">
        <f>'1 prepared data'!A61</f>
        <v/>
      </c>
      <c r="B68" s="5">
        <f>'1 prepared data'!U61</f>
        <v/>
      </c>
      <c r="C68">
        <f>'1 prepared data'!B61</f>
        <v/>
      </c>
      <c r="D68" s="7">
        <f>'1 prepared data'!C61</f>
        <v/>
      </c>
      <c r="E68" s="7">
        <f>'1 prepared data'!D61</f>
        <v/>
      </c>
      <c r="F68" s="7">
        <f>'1 prepared data'!E61</f>
        <v/>
      </c>
      <c r="G68" s="7">
        <f>'1 prepared data'!F61</f>
        <v/>
      </c>
      <c r="H68" s="7">
        <f>'1 prepared data'!G61</f>
        <v/>
      </c>
      <c r="I68" s="7">
        <f>'1 prepared data'!H61</f>
        <v/>
      </c>
      <c r="J68" s="7">
        <f>'1 prepared data'!I61</f>
        <v/>
      </c>
      <c r="K68" s="7">
        <f>'1 prepared data'!J61</f>
        <v/>
      </c>
      <c r="L68" s="7">
        <f>'1 prepared data'!K61</f>
        <v/>
      </c>
      <c r="M68" s="7">
        <f>'1 prepared data'!L61</f>
        <v/>
      </c>
      <c r="N68" s="7">
        <f>'1 prepared data'!M61</f>
        <v/>
      </c>
      <c r="O68" s="7">
        <f>'1 prepared data'!N61</f>
        <v/>
      </c>
      <c r="P68" s="7">
        <f>'1 prepared data'!O61</f>
        <v/>
      </c>
      <c r="Q68" s="7">
        <f>'1 prepared data'!P61</f>
        <v/>
      </c>
      <c r="R68" s="7">
        <f>'1 prepared data'!Q61</f>
        <v/>
      </c>
      <c r="S68" s="7">
        <f>'1 prepared data'!R61</f>
        <v/>
      </c>
      <c r="T68" s="7">
        <f>'1 prepared data'!S61</f>
        <v/>
      </c>
      <c r="U68" s="7">
        <f>'1 prepared data'!T61</f>
        <v/>
      </c>
      <c r="V68" s="8">
        <f>$AC$12+D68*$AC$13+E68*$AC$14+F68*$AC$15+G68*$AC$16+H68*$AC$17+I68*$AC$18+J68*$AC$19+K68*$AC$20+L68*$AC$21+M68*$AC$22+N68*$AC$23+O68*$AC$24+P68*$AC$25+Q68*$AC$26+R68*$AC$27+S68*$AC$28+T68*$AC$29+U68*$AC$30</f>
        <v/>
      </c>
      <c r="W68" s="8">
        <f>1/(1+EXP(-V68))</f>
        <v/>
      </c>
      <c r="X68" s="9">
        <f>-IF(C68=1,LN(W68),LN(1-W68))</f>
        <v/>
      </c>
      <c r="Y68" s="10">
        <f>IF(W68&gt;$AC$34,1,0)</f>
        <v/>
      </c>
      <c r="Z68">
        <f>IF(Y68=C68,1,0)</f>
        <v/>
      </c>
    </row>
    <row r="69">
      <c r="A69">
        <f>'1 prepared data'!A62</f>
        <v/>
      </c>
      <c r="B69" s="5">
        <f>'1 prepared data'!U62</f>
        <v/>
      </c>
      <c r="C69">
        <f>'1 prepared data'!B62</f>
        <v/>
      </c>
      <c r="D69" s="7">
        <f>'1 prepared data'!C62</f>
        <v/>
      </c>
      <c r="E69" s="7">
        <f>'1 prepared data'!D62</f>
        <v/>
      </c>
      <c r="F69" s="7">
        <f>'1 prepared data'!E62</f>
        <v/>
      </c>
      <c r="G69" s="7">
        <f>'1 prepared data'!F62</f>
        <v/>
      </c>
      <c r="H69" s="7">
        <f>'1 prepared data'!G62</f>
        <v/>
      </c>
      <c r="I69" s="7">
        <f>'1 prepared data'!H62</f>
        <v/>
      </c>
      <c r="J69" s="7">
        <f>'1 prepared data'!I62</f>
        <v/>
      </c>
      <c r="K69" s="7">
        <f>'1 prepared data'!J62</f>
        <v/>
      </c>
      <c r="L69" s="7">
        <f>'1 prepared data'!K62</f>
        <v/>
      </c>
      <c r="M69" s="7">
        <f>'1 prepared data'!L62</f>
        <v/>
      </c>
      <c r="N69" s="7">
        <f>'1 prepared data'!M62</f>
        <v/>
      </c>
      <c r="O69" s="7">
        <f>'1 prepared data'!N62</f>
        <v/>
      </c>
      <c r="P69" s="7">
        <f>'1 prepared data'!O62</f>
        <v/>
      </c>
      <c r="Q69" s="7">
        <f>'1 prepared data'!P62</f>
        <v/>
      </c>
      <c r="R69" s="7">
        <f>'1 prepared data'!Q62</f>
        <v/>
      </c>
      <c r="S69" s="7">
        <f>'1 prepared data'!R62</f>
        <v/>
      </c>
      <c r="T69" s="7">
        <f>'1 prepared data'!S62</f>
        <v/>
      </c>
      <c r="U69" s="7">
        <f>'1 prepared data'!T62</f>
        <v/>
      </c>
      <c r="V69" s="8">
        <f>$AC$12+D69*$AC$13+E69*$AC$14+F69*$AC$15+G69*$AC$16+H69*$AC$17+I69*$AC$18+J69*$AC$19+K69*$AC$20+L69*$AC$21+M69*$AC$22+N69*$AC$23+O69*$AC$24+P69*$AC$25+Q69*$AC$26+R69*$AC$27+S69*$AC$28+T69*$AC$29+U69*$AC$30</f>
        <v/>
      </c>
      <c r="W69" s="8">
        <f>1/(1+EXP(-V69))</f>
        <v/>
      </c>
      <c r="X69" s="9">
        <f>-IF(C69=1,LN(W69),LN(1-W69))</f>
        <v/>
      </c>
      <c r="Y69" s="10">
        <f>IF(W69&gt;$AC$34,1,0)</f>
        <v/>
      </c>
      <c r="Z69">
        <f>IF(Y69=C69,1,0)</f>
        <v/>
      </c>
    </row>
    <row r="70">
      <c r="A70">
        <f>'1 prepared data'!A63</f>
        <v/>
      </c>
      <c r="B70" s="5">
        <f>'1 prepared data'!U63</f>
        <v/>
      </c>
      <c r="C70">
        <f>'1 prepared data'!B63</f>
        <v/>
      </c>
      <c r="D70" s="7">
        <f>'1 prepared data'!C63</f>
        <v/>
      </c>
      <c r="E70" s="7">
        <f>'1 prepared data'!D63</f>
        <v/>
      </c>
      <c r="F70" s="7">
        <f>'1 prepared data'!E63</f>
        <v/>
      </c>
      <c r="G70" s="7">
        <f>'1 prepared data'!F63</f>
        <v/>
      </c>
      <c r="H70" s="7">
        <f>'1 prepared data'!G63</f>
        <v/>
      </c>
      <c r="I70" s="7">
        <f>'1 prepared data'!H63</f>
        <v/>
      </c>
      <c r="J70" s="7">
        <f>'1 prepared data'!I63</f>
        <v/>
      </c>
      <c r="K70" s="7">
        <f>'1 prepared data'!J63</f>
        <v/>
      </c>
      <c r="L70" s="7">
        <f>'1 prepared data'!K63</f>
        <v/>
      </c>
      <c r="M70" s="7">
        <f>'1 prepared data'!L63</f>
        <v/>
      </c>
      <c r="N70" s="7">
        <f>'1 prepared data'!M63</f>
        <v/>
      </c>
      <c r="O70" s="7">
        <f>'1 prepared data'!N63</f>
        <v/>
      </c>
      <c r="P70" s="7">
        <f>'1 prepared data'!O63</f>
        <v/>
      </c>
      <c r="Q70" s="7">
        <f>'1 prepared data'!P63</f>
        <v/>
      </c>
      <c r="R70" s="7">
        <f>'1 prepared data'!Q63</f>
        <v/>
      </c>
      <c r="S70" s="7">
        <f>'1 prepared data'!R63</f>
        <v/>
      </c>
      <c r="T70" s="7">
        <f>'1 prepared data'!S63</f>
        <v/>
      </c>
      <c r="U70" s="7">
        <f>'1 prepared data'!T63</f>
        <v/>
      </c>
      <c r="V70" s="8">
        <f>$AC$12+D70*$AC$13+E70*$AC$14+F70*$AC$15+G70*$AC$16+H70*$AC$17+I70*$AC$18+J70*$AC$19+K70*$AC$20+L70*$AC$21+M70*$AC$22+N70*$AC$23+O70*$AC$24+P70*$AC$25+Q70*$AC$26+R70*$AC$27+S70*$AC$28+T70*$AC$29+U70*$AC$30</f>
        <v/>
      </c>
      <c r="W70" s="8">
        <f>1/(1+EXP(-V70))</f>
        <v/>
      </c>
      <c r="X70" s="9">
        <f>-IF(C70=1,LN(W70),LN(1-W70))</f>
        <v/>
      </c>
      <c r="Y70" s="10">
        <f>IF(W70&gt;$AC$34,1,0)</f>
        <v/>
      </c>
      <c r="Z70">
        <f>IF(Y70=C70,1,0)</f>
        <v/>
      </c>
    </row>
    <row r="71">
      <c r="A71">
        <f>'1 prepared data'!A64</f>
        <v/>
      </c>
      <c r="B71" s="5">
        <f>'1 prepared data'!U64</f>
        <v/>
      </c>
      <c r="C71">
        <f>'1 prepared data'!B64</f>
        <v/>
      </c>
      <c r="D71" s="7">
        <f>'1 prepared data'!C64</f>
        <v/>
      </c>
      <c r="E71" s="7">
        <f>'1 prepared data'!D64</f>
        <v/>
      </c>
      <c r="F71" s="7">
        <f>'1 prepared data'!E64</f>
        <v/>
      </c>
      <c r="G71" s="7">
        <f>'1 prepared data'!F64</f>
        <v/>
      </c>
      <c r="H71" s="7">
        <f>'1 prepared data'!G64</f>
        <v/>
      </c>
      <c r="I71" s="7">
        <f>'1 prepared data'!H64</f>
        <v/>
      </c>
      <c r="J71" s="7">
        <f>'1 prepared data'!I64</f>
        <v/>
      </c>
      <c r="K71" s="7">
        <f>'1 prepared data'!J64</f>
        <v/>
      </c>
      <c r="L71" s="7">
        <f>'1 prepared data'!K64</f>
        <v/>
      </c>
      <c r="M71" s="7">
        <f>'1 prepared data'!L64</f>
        <v/>
      </c>
      <c r="N71" s="7">
        <f>'1 prepared data'!M64</f>
        <v/>
      </c>
      <c r="O71" s="7">
        <f>'1 prepared data'!N64</f>
        <v/>
      </c>
      <c r="P71" s="7">
        <f>'1 prepared data'!O64</f>
        <v/>
      </c>
      <c r="Q71" s="7">
        <f>'1 prepared data'!P64</f>
        <v/>
      </c>
      <c r="R71" s="7">
        <f>'1 prepared data'!Q64</f>
        <v/>
      </c>
      <c r="S71" s="7">
        <f>'1 prepared data'!R64</f>
        <v/>
      </c>
      <c r="T71" s="7">
        <f>'1 prepared data'!S64</f>
        <v/>
      </c>
      <c r="U71" s="7">
        <f>'1 prepared data'!T64</f>
        <v/>
      </c>
      <c r="V71" s="8">
        <f>$AC$12+D71*$AC$13+E71*$AC$14+F71*$AC$15+G71*$AC$16+H71*$AC$17+I71*$AC$18+J71*$AC$19+K71*$AC$20+L71*$AC$21+M71*$AC$22+N71*$AC$23+O71*$AC$24+P71*$AC$25+Q71*$AC$26+R71*$AC$27+S71*$AC$28+T71*$AC$29+U71*$AC$30</f>
        <v/>
      </c>
      <c r="W71" s="8">
        <f>1/(1+EXP(-V71))</f>
        <v/>
      </c>
      <c r="X71" s="9">
        <f>-IF(C71=1,LN(W71),LN(1-W71))</f>
        <v/>
      </c>
      <c r="Y71" s="10">
        <f>IF(W71&gt;$AC$34,1,0)</f>
        <v/>
      </c>
      <c r="Z71">
        <f>IF(Y71=C71,1,0)</f>
        <v/>
      </c>
    </row>
    <row r="72">
      <c r="A72">
        <f>'1 prepared data'!A65</f>
        <v/>
      </c>
      <c r="B72" s="5">
        <f>'1 prepared data'!U65</f>
        <v/>
      </c>
      <c r="C72">
        <f>'1 prepared data'!B65</f>
        <v/>
      </c>
      <c r="D72" s="7">
        <f>'1 prepared data'!C65</f>
        <v/>
      </c>
      <c r="E72" s="7">
        <f>'1 prepared data'!D65</f>
        <v/>
      </c>
      <c r="F72" s="7">
        <f>'1 prepared data'!E65</f>
        <v/>
      </c>
      <c r="G72" s="7">
        <f>'1 prepared data'!F65</f>
        <v/>
      </c>
      <c r="H72" s="7">
        <f>'1 prepared data'!G65</f>
        <v/>
      </c>
      <c r="I72" s="7">
        <f>'1 prepared data'!H65</f>
        <v/>
      </c>
      <c r="J72" s="7">
        <f>'1 prepared data'!I65</f>
        <v/>
      </c>
      <c r="K72" s="7">
        <f>'1 prepared data'!J65</f>
        <v/>
      </c>
      <c r="L72" s="7">
        <f>'1 prepared data'!K65</f>
        <v/>
      </c>
      <c r="M72" s="7">
        <f>'1 prepared data'!L65</f>
        <v/>
      </c>
      <c r="N72" s="7">
        <f>'1 prepared data'!M65</f>
        <v/>
      </c>
      <c r="O72" s="7">
        <f>'1 prepared data'!N65</f>
        <v/>
      </c>
      <c r="P72" s="7">
        <f>'1 prepared data'!O65</f>
        <v/>
      </c>
      <c r="Q72" s="7">
        <f>'1 prepared data'!P65</f>
        <v/>
      </c>
      <c r="R72" s="7">
        <f>'1 prepared data'!Q65</f>
        <v/>
      </c>
      <c r="S72" s="7">
        <f>'1 prepared data'!R65</f>
        <v/>
      </c>
      <c r="T72" s="7">
        <f>'1 prepared data'!S65</f>
        <v/>
      </c>
      <c r="U72" s="7">
        <f>'1 prepared data'!T65</f>
        <v/>
      </c>
      <c r="V72" s="8">
        <f>$AC$12+D72*$AC$13+E72*$AC$14+F72*$AC$15+G72*$AC$16+H72*$AC$17+I72*$AC$18+J72*$AC$19+K72*$AC$20+L72*$AC$21+M72*$AC$22+N72*$AC$23+O72*$AC$24+P72*$AC$25+Q72*$AC$26+R72*$AC$27+S72*$AC$28+T72*$AC$29+U72*$AC$30</f>
        <v/>
      </c>
      <c r="W72" s="8">
        <f>1/(1+EXP(-V72))</f>
        <v/>
      </c>
      <c r="X72" s="9">
        <f>-IF(C72=1,LN(W72),LN(1-W72))</f>
        <v/>
      </c>
      <c r="Y72" s="10">
        <f>IF(W72&gt;$AC$34,1,0)</f>
        <v/>
      </c>
      <c r="Z72">
        <f>IF(Y72=C72,1,0)</f>
        <v/>
      </c>
    </row>
    <row r="73">
      <c r="A73">
        <f>'1 prepared data'!A66</f>
        <v/>
      </c>
      <c r="B73" s="5">
        <f>'1 prepared data'!U66</f>
        <v/>
      </c>
      <c r="C73">
        <f>'1 prepared data'!B66</f>
        <v/>
      </c>
      <c r="D73" s="7">
        <f>'1 prepared data'!C66</f>
        <v/>
      </c>
      <c r="E73" s="7">
        <f>'1 prepared data'!D66</f>
        <v/>
      </c>
      <c r="F73" s="7">
        <f>'1 prepared data'!E66</f>
        <v/>
      </c>
      <c r="G73" s="7">
        <f>'1 prepared data'!F66</f>
        <v/>
      </c>
      <c r="H73" s="7">
        <f>'1 prepared data'!G66</f>
        <v/>
      </c>
      <c r="I73" s="7">
        <f>'1 prepared data'!H66</f>
        <v/>
      </c>
      <c r="J73" s="7">
        <f>'1 prepared data'!I66</f>
        <v/>
      </c>
      <c r="K73" s="7">
        <f>'1 prepared data'!J66</f>
        <v/>
      </c>
      <c r="L73" s="7">
        <f>'1 prepared data'!K66</f>
        <v/>
      </c>
      <c r="M73" s="7">
        <f>'1 prepared data'!L66</f>
        <v/>
      </c>
      <c r="N73" s="7">
        <f>'1 prepared data'!M66</f>
        <v/>
      </c>
      <c r="O73" s="7">
        <f>'1 prepared data'!N66</f>
        <v/>
      </c>
      <c r="P73" s="7">
        <f>'1 prepared data'!O66</f>
        <v/>
      </c>
      <c r="Q73" s="7">
        <f>'1 prepared data'!P66</f>
        <v/>
      </c>
      <c r="R73" s="7">
        <f>'1 prepared data'!Q66</f>
        <v/>
      </c>
      <c r="S73" s="7">
        <f>'1 prepared data'!R66</f>
        <v/>
      </c>
      <c r="T73" s="7">
        <f>'1 prepared data'!S66</f>
        <v/>
      </c>
      <c r="U73" s="7">
        <f>'1 prepared data'!T66</f>
        <v/>
      </c>
      <c r="V73" s="8">
        <f>$AC$12+D73*$AC$13+E73*$AC$14+F73*$AC$15+G73*$AC$16+H73*$AC$17+I73*$AC$18+J73*$AC$19+K73*$AC$20+L73*$AC$21+M73*$AC$22+N73*$AC$23+O73*$AC$24+P73*$AC$25+Q73*$AC$26+R73*$AC$27+S73*$AC$28+T73*$AC$29+U73*$AC$30</f>
        <v/>
      </c>
      <c r="W73" s="8">
        <f>1/(1+EXP(-V73))</f>
        <v/>
      </c>
      <c r="X73" s="9">
        <f>-IF(C73=1,LN(W73),LN(1-W73))</f>
        <v/>
      </c>
      <c r="Y73" s="10">
        <f>IF(W73&gt;$AC$34,1,0)</f>
        <v/>
      </c>
      <c r="Z73">
        <f>IF(Y73=C73,1,0)</f>
        <v/>
      </c>
    </row>
    <row r="74">
      <c r="A74">
        <f>'1 prepared data'!A67</f>
        <v/>
      </c>
      <c r="B74" s="5">
        <f>'1 prepared data'!U67</f>
        <v/>
      </c>
      <c r="C74">
        <f>'1 prepared data'!B67</f>
        <v/>
      </c>
      <c r="D74" s="7">
        <f>'1 prepared data'!C67</f>
        <v/>
      </c>
      <c r="E74" s="7">
        <f>'1 prepared data'!D67</f>
        <v/>
      </c>
      <c r="F74" s="7">
        <f>'1 prepared data'!E67</f>
        <v/>
      </c>
      <c r="G74" s="7">
        <f>'1 prepared data'!F67</f>
        <v/>
      </c>
      <c r="H74" s="7">
        <f>'1 prepared data'!G67</f>
        <v/>
      </c>
      <c r="I74" s="7">
        <f>'1 prepared data'!H67</f>
        <v/>
      </c>
      <c r="J74" s="7">
        <f>'1 prepared data'!I67</f>
        <v/>
      </c>
      <c r="K74" s="7">
        <f>'1 prepared data'!J67</f>
        <v/>
      </c>
      <c r="L74" s="7">
        <f>'1 prepared data'!K67</f>
        <v/>
      </c>
      <c r="M74" s="7">
        <f>'1 prepared data'!L67</f>
        <v/>
      </c>
      <c r="N74" s="7">
        <f>'1 prepared data'!M67</f>
        <v/>
      </c>
      <c r="O74" s="7">
        <f>'1 prepared data'!N67</f>
        <v/>
      </c>
      <c r="P74" s="7">
        <f>'1 prepared data'!O67</f>
        <v/>
      </c>
      <c r="Q74" s="7">
        <f>'1 prepared data'!P67</f>
        <v/>
      </c>
      <c r="R74" s="7">
        <f>'1 prepared data'!Q67</f>
        <v/>
      </c>
      <c r="S74" s="7">
        <f>'1 prepared data'!R67</f>
        <v/>
      </c>
      <c r="T74" s="7">
        <f>'1 prepared data'!S67</f>
        <v/>
      </c>
      <c r="U74" s="7">
        <f>'1 prepared data'!T67</f>
        <v/>
      </c>
      <c r="V74" s="8">
        <f>$AC$12+D74*$AC$13+E74*$AC$14+F74*$AC$15+G74*$AC$16+H74*$AC$17+I74*$AC$18+J74*$AC$19+K74*$AC$20+L74*$AC$21+M74*$AC$22+N74*$AC$23+O74*$AC$24+P74*$AC$25+Q74*$AC$26+R74*$AC$27+S74*$AC$28+T74*$AC$29+U74*$AC$30</f>
        <v/>
      </c>
      <c r="W74" s="8">
        <f>1/(1+EXP(-V74))</f>
        <v/>
      </c>
      <c r="X74" s="9">
        <f>-IF(C74=1,LN(W74),LN(1-W74))</f>
        <v/>
      </c>
      <c r="Y74" s="10">
        <f>IF(W74&gt;$AC$34,1,0)</f>
        <v/>
      </c>
      <c r="Z74">
        <f>IF(Y74=C74,1,0)</f>
        <v/>
      </c>
    </row>
    <row r="75">
      <c r="A75">
        <f>'1 prepared data'!A68</f>
        <v/>
      </c>
      <c r="B75" s="5">
        <f>'1 prepared data'!U68</f>
        <v/>
      </c>
      <c r="C75">
        <f>'1 prepared data'!B68</f>
        <v/>
      </c>
      <c r="D75" s="7">
        <f>'1 prepared data'!C68</f>
        <v/>
      </c>
      <c r="E75" s="7">
        <f>'1 prepared data'!D68</f>
        <v/>
      </c>
      <c r="F75" s="7">
        <f>'1 prepared data'!E68</f>
        <v/>
      </c>
      <c r="G75" s="7">
        <f>'1 prepared data'!F68</f>
        <v/>
      </c>
      <c r="H75" s="7">
        <f>'1 prepared data'!G68</f>
        <v/>
      </c>
      <c r="I75" s="7">
        <f>'1 prepared data'!H68</f>
        <v/>
      </c>
      <c r="J75" s="7">
        <f>'1 prepared data'!I68</f>
        <v/>
      </c>
      <c r="K75" s="7">
        <f>'1 prepared data'!J68</f>
        <v/>
      </c>
      <c r="L75" s="7">
        <f>'1 prepared data'!K68</f>
        <v/>
      </c>
      <c r="M75" s="7">
        <f>'1 prepared data'!L68</f>
        <v/>
      </c>
      <c r="N75" s="7">
        <f>'1 prepared data'!M68</f>
        <v/>
      </c>
      <c r="O75" s="7">
        <f>'1 prepared data'!N68</f>
        <v/>
      </c>
      <c r="P75" s="7">
        <f>'1 prepared data'!O68</f>
        <v/>
      </c>
      <c r="Q75" s="7">
        <f>'1 prepared data'!P68</f>
        <v/>
      </c>
      <c r="R75" s="7">
        <f>'1 prepared data'!Q68</f>
        <v/>
      </c>
      <c r="S75" s="7">
        <f>'1 prepared data'!R68</f>
        <v/>
      </c>
      <c r="T75" s="7">
        <f>'1 prepared data'!S68</f>
        <v/>
      </c>
      <c r="U75" s="7">
        <f>'1 prepared data'!T68</f>
        <v/>
      </c>
      <c r="V75" s="8">
        <f>$AC$12+D75*$AC$13+E75*$AC$14+F75*$AC$15+G75*$AC$16+H75*$AC$17+I75*$AC$18+J75*$AC$19+K75*$AC$20+L75*$AC$21+M75*$AC$22+N75*$AC$23+O75*$AC$24+P75*$AC$25+Q75*$AC$26+R75*$AC$27+S75*$AC$28+T75*$AC$29+U75*$AC$30</f>
        <v/>
      </c>
      <c r="W75" s="8">
        <f>1/(1+EXP(-V75))</f>
        <v/>
      </c>
      <c r="X75" s="9">
        <f>-IF(C75=1,LN(W75),LN(1-W75))</f>
        <v/>
      </c>
      <c r="Y75" s="10">
        <f>IF(W75&gt;$AC$34,1,0)</f>
        <v/>
      </c>
      <c r="Z75">
        <f>IF(Y75=C75,1,0)</f>
        <v/>
      </c>
    </row>
    <row r="76">
      <c r="A76">
        <f>'1 prepared data'!A69</f>
        <v/>
      </c>
      <c r="B76" s="5">
        <f>'1 prepared data'!U69</f>
        <v/>
      </c>
      <c r="C76">
        <f>'1 prepared data'!B69</f>
        <v/>
      </c>
      <c r="D76" s="7">
        <f>'1 prepared data'!C69</f>
        <v/>
      </c>
      <c r="E76" s="7">
        <f>'1 prepared data'!D69</f>
        <v/>
      </c>
      <c r="F76" s="7">
        <f>'1 prepared data'!E69</f>
        <v/>
      </c>
      <c r="G76" s="7">
        <f>'1 prepared data'!F69</f>
        <v/>
      </c>
      <c r="H76" s="7">
        <f>'1 prepared data'!G69</f>
        <v/>
      </c>
      <c r="I76" s="7">
        <f>'1 prepared data'!H69</f>
        <v/>
      </c>
      <c r="J76" s="7">
        <f>'1 prepared data'!I69</f>
        <v/>
      </c>
      <c r="K76" s="7">
        <f>'1 prepared data'!J69</f>
        <v/>
      </c>
      <c r="L76" s="7">
        <f>'1 prepared data'!K69</f>
        <v/>
      </c>
      <c r="M76" s="7">
        <f>'1 prepared data'!L69</f>
        <v/>
      </c>
      <c r="N76" s="7">
        <f>'1 prepared data'!M69</f>
        <v/>
      </c>
      <c r="O76" s="7">
        <f>'1 prepared data'!N69</f>
        <v/>
      </c>
      <c r="P76" s="7">
        <f>'1 prepared data'!O69</f>
        <v/>
      </c>
      <c r="Q76" s="7">
        <f>'1 prepared data'!P69</f>
        <v/>
      </c>
      <c r="R76" s="7">
        <f>'1 prepared data'!Q69</f>
        <v/>
      </c>
      <c r="S76" s="7">
        <f>'1 prepared data'!R69</f>
        <v/>
      </c>
      <c r="T76" s="7">
        <f>'1 prepared data'!S69</f>
        <v/>
      </c>
      <c r="U76" s="7">
        <f>'1 prepared data'!T69</f>
        <v/>
      </c>
      <c r="V76" s="8">
        <f>$AC$12+D76*$AC$13+E76*$AC$14+F76*$AC$15+G76*$AC$16+H76*$AC$17+I76*$AC$18+J76*$AC$19+K76*$AC$20+L76*$AC$21+M76*$AC$22+N76*$AC$23+O76*$AC$24+P76*$AC$25+Q76*$AC$26+R76*$AC$27+S76*$AC$28+T76*$AC$29+U76*$AC$30</f>
        <v/>
      </c>
      <c r="W76" s="8">
        <f>1/(1+EXP(-V76))</f>
        <v/>
      </c>
      <c r="X76" s="9">
        <f>-IF(C76=1,LN(W76),LN(1-W76))</f>
        <v/>
      </c>
      <c r="Y76" s="10">
        <f>IF(W76&gt;$AC$34,1,0)</f>
        <v/>
      </c>
      <c r="Z76">
        <f>IF(Y76=C76,1,0)</f>
        <v/>
      </c>
    </row>
    <row r="77">
      <c r="A77">
        <f>'1 prepared data'!A70</f>
        <v/>
      </c>
      <c r="B77" s="5">
        <f>'1 prepared data'!U70</f>
        <v/>
      </c>
      <c r="C77">
        <f>'1 prepared data'!B70</f>
        <v/>
      </c>
      <c r="D77" s="7">
        <f>'1 prepared data'!C70</f>
        <v/>
      </c>
      <c r="E77" s="7">
        <f>'1 prepared data'!D70</f>
        <v/>
      </c>
      <c r="F77" s="7">
        <f>'1 prepared data'!E70</f>
        <v/>
      </c>
      <c r="G77" s="7">
        <f>'1 prepared data'!F70</f>
        <v/>
      </c>
      <c r="H77" s="7">
        <f>'1 prepared data'!G70</f>
        <v/>
      </c>
      <c r="I77" s="7">
        <f>'1 prepared data'!H70</f>
        <v/>
      </c>
      <c r="J77" s="7">
        <f>'1 prepared data'!I70</f>
        <v/>
      </c>
      <c r="K77" s="7">
        <f>'1 prepared data'!J70</f>
        <v/>
      </c>
      <c r="L77" s="7">
        <f>'1 prepared data'!K70</f>
        <v/>
      </c>
      <c r="M77" s="7">
        <f>'1 prepared data'!L70</f>
        <v/>
      </c>
      <c r="N77" s="7">
        <f>'1 prepared data'!M70</f>
        <v/>
      </c>
      <c r="O77" s="7">
        <f>'1 prepared data'!N70</f>
        <v/>
      </c>
      <c r="P77" s="7">
        <f>'1 prepared data'!O70</f>
        <v/>
      </c>
      <c r="Q77" s="7">
        <f>'1 prepared data'!P70</f>
        <v/>
      </c>
      <c r="R77" s="7">
        <f>'1 prepared data'!Q70</f>
        <v/>
      </c>
      <c r="S77" s="7">
        <f>'1 prepared data'!R70</f>
        <v/>
      </c>
      <c r="T77" s="7">
        <f>'1 prepared data'!S70</f>
        <v/>
      </c>
      <c r="U77" s="7">
        <f>'1 prepared data'!T70</f>
        <v/>
      </c>
      <c r="V77" s="8">
        <f>$AC$12+D77*$AC$13+E77*$AC$14+F77*$AC$15+G77*$AC$16+H77*$AC$17+I77*$AC$18+J77*$AC$19+K77*$AC$20+L77*$AC$21+M77*$AC$22+N77*$AC$23+O77*$AC$24+P77*$AC$25+Q77*$AC$26+R77*$AC$27+S77*$AC$28+T77*$AC$29+U77*$AC$30</f>
        <v/>
      </c>
      <c r="W77" s="8">
        <f>1/(1+EXP(-V77))</f>
        <v/>
      </c>
      <c r="X77" s="9">
        <f>-IF(C77=1,LN(W77),LN(1-W77))</f>
        <v/>
      </c>
      <c r="Y77" s="10">
        <f>IF(W77&gt;$AC$34,1,0)</f>
        <v/>
      </c>
      <c r="Z77">
        <f>IF(Y77=C77,1,0)</f>
        <v/>
      </c>
    </row>
    <row r="78">
      <c r="A78">
        <f>'1 prepared data'!A71</f>
        <v/>
      </c>
      <c r="B78" s="5">
        <f>'1 prepared data'!U71</f>
        <v/>
      </c>
      <c r="C78">
        <f>'1 prepared data'!B71</f>
        <v/>
      </c>
      <c r="D78" s="7">
        <f>'1 prepared data'!C71</f>
        <v/>
      </c>
      <c r="E78" s="7">
        <f>'1 prepared data'!D71</f>
        <v/>
      </c>
      <c r="F78" s="7">
        <f>'1 prepared data'!E71</f>
        <v/>
      </c>
      <c r="G78" s="7">
        <f>'1 prepared data'!F71</f>
        <v/>
      </c>
      <c r="H78" s="7">
        <f>'1 prepared data'!G71</f>
        <v/>
      </c>
      <c r="I78" s="7">
        <f>'1 prepared data'!H71</f>
        <v/>
      </c>
      <c r="J78" s="7">
        <f>'1 prepared data'!I71</f>
        <v/>
      </c>
      <c r="K78" s="7">
        <f>'1 prepared data'!J71</f>
        <v/>
      </c>
      <c r="L78" s="7">
        <f>'1 prepared data'!K71</f>
        <v/>
      </c>
      <c r="M78" s="7">
        <f>'1 prepared data'!L71</f>
        <v/>
      </c>
      <c r="N78" s="7">
        <f>'1 prepared data'!M71</f>
        <v/>
      </c>
      <c r="O78" s="7">
        <f>'1 prepared data'!N71</f>
        <v/>
      </c>
      <c r="P78" s="7">
        <f>'1 prepared data'!O71</f>
        <v/>
      </c>
      <c r="Q78" s="7">
        <f>'1 prepared data'!P71</f>
        <v/>
      </c>
      <c r="R78" s="7">
        <f>'1 prepared data'!Q71</f>
        <v/>
      </c>
      <c r="S78" s="7">
        <f>'1 prepared data'!R71</f>
        <v/>
      </c>
      <c r="T78" s="7">
        <f>'1 prepared data'!S71</f>
        <v/>
      </c>
      <c r="U78" s="7">
        <f>'1 prepared data'!T71</f>
        <v/>
      </c>
      <c r="V78" s="8">
        <f>$AC$12+D78*$AC$13+E78*$AC$14+F78*$AC$15+G78*$AC$16+H78*$AC$17+I78*$AC$18+J78*$AC$19+K78*$AC$20+L78*$AC$21+M78*$AC$22+N78*$AC$23+O78*$AC$24+P78*$AC$25+Q78*$AC$26+R78*$AC$27+S78*$AC$28+T78*$AC$29+U78*$AC$30</f>
        <v/>
      </c>
      <c r="W78" s="8">
        <f>1/(1+EXP(-V78))</f>
        <v/>
      </c>
      <c r="X78" s="9">
        <f>-IF(C78=1,LN(W78),LN(1-W78))</f>
        <v/>
      </c>
      <c r="Y78" s="10">
        <f>IF(W78&gt;$AC$34,1,0)</f>
        <v/>
      </c>
      <c r="Z78">
        <f>IF(Y78=C78,1,0)</f>
        <v/>
      </c>
    </row>
    <row r="79">
      <c r="A79">
        <f>'1 prepared data'!A72</f>
        <v/>
      </c>
      <c r="B79" s="5">
        <f>'1 prepared data'!U72</f>
        <v/>
      </c>
      <c r="C79">
        <f>'1 prepared data'!B72</f>
        <v/>
      </c>
      <c r="D79" s="7">
        <f>'1 prepared data'!C72</f>
        <v/>
      </c>
      <c r="E79" s="7">
        <f>'1 prepared data'!D72</f>
        <v/>
      </c>
      <c r="F79" s="7">
        <f>'1 prepared data'!E72</f>
        <v/>
      </c>
      <c r="G79" s="7">
        <f>'1 prepared data'!F72</f>
        <v/>
      </c>
      <c r="H79" s="7">
        <f>'1 prepared data'!G72</f>
        <v/>
      </c>
      <c r="I79" s="7">
        <f>'1 prepared data'!H72</f>
        <v/>
      </c>
      <c r="J79" s="7">
        <f>'1 prepared data'!I72</f>
        <v/>
      </c>
      <c r="K79" s="7">
        <f>'1 prepared data'!J72</f>
        <v/>
      </c>
      <c r="L79" s="7">
        <f>'1 prepared data'!K72</f>
        <v/>
      </c>
      <c r="M79" s="7">
        <f>'1 prepared data'!L72</f>
        <v/>
      </c>
      <c r="N79" s="7">
        <f>'1 prepared data'!M72</f>
        <v/>
      </c>
      <c r="O79" s="7">
        <f>'1 prepared data'!N72</f>
        <v/>
      </c>
      <c r="P79" s="7">
        <f>'1 prepared data'!O72</f>
        <v/>
      </c>
      <c r="Q79" s="7">
        <f>'1 prepared data'!P72</f>
        <v/>
      </c>
      <c r="R79" s="7">
        <f>'1 prepared data'!Q72</f>
        <v/>
      </c>
      <c r="S79" s="7">
        <f>'1 prepared data'!R72</f>
        <v/>
      </c>
      <c r="T79" s="7">
        <f>'1 prepared data'!S72</f>
        <v/>
      </c>
      <c r="U79" s="7">
        <f>'1 prepared data'!T72</f>
        <v/>
      </c>
      <c r="V79" s="8">
        <f>$AC$12+D79*$AC$13+E79*$AC$14+F79*$AC$15+G79*$AC$16+H79*$AC$17+I79*$AC$18+J79*$AC$19+K79*$AC$20+L79*$AC$21+M79*$AC$22+N79*$AC$23+O79*$AC$24+P79*$AC$25+Q79*$AC$26+R79*$AC$27+S79*$AC$28+T79*$AC$29+U79*$AC$30</f>
        <v/>
      </c>
      <c r="W79" s="8">
        <f>1/(1+EXP(-V79))</f>
        <v/>
      </c>
      <c r="X79" s="9">
        <f>-IF(C79=1,LN(W79),LN(1-W79))</f>
        <v/>
      </c>
      <c r="Y79" s="10">
        <f>IF(W79&gt;$AC$34,1,0)</f>
        <v/>
      </c>
      <c r="Z79">
        <f>IF(Y79=C79,1,0)</f>
        <v/>
      </c>
    </row>
    <row r="80">
      <c r="A80">
        <f>'1 prepared data'!A73</f>
        <v/>
      </c>
      <c r="B80" s="5">
        <f>'1 prepared data'!U73</f>
        <v/>
      </c>
      <c r="C80">
        <f>'1 prepared data'!B73</f>
        <v/>
      </c>
      <c r="D80" s="7">
        <f>'1 prepared data'!C73</f>
        <v/>
      </c>
      <c r="E80" s="7">
        <f>'1 prepared data'!D73</f>
        <v/>
      </c>
      <c r="F80" s="7">
        <f>'1 prepared data'!E73</f>
        <v/>
      </c>
      <c r="G80" s="7">
        <f>'1 prepared data'!F73</f>
        <v/>
      </c>
      <c r="H80" s="7">
        <f>'1 prepared data'!G73</f>
        <v/>
      </c>
      <c r="I80" s="7">
        <f>'1 prepared data'!H73</f>
        <v/>
      </c>
      <c r="J80" s="7">
        <f>'1 prepared data'!I73</f>
        <v/>
      </c>
      <c r="K80" s="7">
        <f>'1 prepared data'!J73</f>
        <v/>
      </c>
      <c r="L80" s="7">
        <f>'1 prepared data'!K73</f>
        <v/>
      </c>
      <c r="M80" s="7">
        <f>'1 prepared data'!L73</f>
        <v/>
      </c>
      <c r="N80" s="7">
        <f>'1 prepared data'!M73</f>
        <v/>
      </c>
      <c r="O80" s="7">
        <f>'1 prepared data'!N73</f>
        <v/>
      </c>
      <c r="P80" s="7">
        <f>'1 prepared data'!O73</f>
        <v/>
      </c>
      <c r="Q80" s="7">
        <f>'1 prepared data'!P73</f>
        <v/>
      </c>
      <c r="R80" s="7">
        <f>'1 prepared data'!Q73</f>
        <v/>
      </c>
      <c r="S80" s="7">
        <f>'1 prepared data'!R73</f>
        <v/>
      </c>
      <c r="T80" s="7">
        <f>'1 prepared data'!S73</f>
        <v/>
      </c>
      <c r="U80" s="7">
        <f>'1 prepared data'!T73</f>
        <v/>
      </c>
      <c r="V80" s="8">
        <f>$AC$12+D80*$AC$13+E80*$AC$14+F80*$AC$15+G80*$AC$16+H80*$AC$17+I80*$AC$18+J80*$AC$19+K80*$AC$20+L80*$AC$21+M80*$AC$22+N80*$AC$23+O80*$AC$24+P80*$AC$25+Q80*$AC$26+R80*$AC$27+S80*$AC$28+T80*$AC$29+U80*$AC$30</f>
        <v/>
      </c>
      <c r="W80" s="8">
        <f>1/(1+EXP(-V80))</f>
        <v/>
      </c>
      <c r="X80" s="9">
        <f>-IF(C80=1,LN(W80),LN(1-W80))</f>
        <v/>
      </c>
      <c r="Y80" s="10">
        <f>IF(W80&gt;$AC$34,1,0)</f>
        <v/>
      </c>
      <c r="Z80">
        <f>IF(Y80=C80,1,0)</f>
        <v/>
      </c>
    </row>
    <row r="81">
      <c r="A81">
        <f>'1 prepared data'!A74</f>
        <v/>
      </c>
      <c r="B81" s="5">
        <f>'1 prepared data'!U74</f>
        <v/>
      </c>
      <c r="C81">
        <f>'1 prepared data'!B74</f>
        <v/>
      </c>
      <c r="D81" s="7">
        <f>'1 prepared data'!C74</f>
        <v/>
      </c>
      <c r="E81" s="7">
        <f>'1 prepared data'!D74</f>
        <v/>
      </c>
      <c r="F81" s="7">
        <f>'1 prepared data'!E74</f>
        <v/>
      </c>
      <c r="G81" s="7">
        <f>'1 prepared data'!F74</f>
        <v/>
      </c>
      <c r="H81" s="7">
        <f>'1 prepared data'!G74</f>
        <v/>
      </c>
      <c r="I81" s="7">
        <f>'1 prepared data'!H74</f>
        <v/>
      </c>
      <c r="J81" s="7">
        <f>'1 prepared data'!I74</f>
        <v/>
      </c>
      <c r="K81" s="7">
        <f>'1 prepared data'!J74</f>
        <v/>
      </c>
      <c r="L81" s="7">
        <f>'1 prepared data'!K74</f>
        <v/>
      </c>
      <c r="M81" s="7">
        <f>'1 prepared data'!L74</f>
        <v/>
      </c>
      <c r="N81" s="7">
        <f>'1 prepared data'!M74</f>
        <v/>
      </c>
      <c r="O81" s="7">
        <f>'1 prepared data'!N74</f>
        <v/>
      </c>
      <c r="P81" s="7">
        <f>'1 prepared data'!O74</f>
        <v/>
      </c>
      <c r="Q81" s="7">
        <f>'1 prepared data'!P74</f>
        <v/>
      </c>
      <c r="R81" s="7">
        <f>'1 prepared data'!Q74</f>
        <v/>
      </c>
      <c r="S81" s="7">
        <f>'1 prepared data'!R74</f>
        <v/>
      </c>
      <c r="T81" s="7">
        <f>'1 prepared data'!S74</f>
        <v/>
      </c>
      <c r="U81" s="7">
        <f>'1 prepared data'!T74</f>
        <v/>
      </c>
      <c r="V81" s="8">
        <f>$AC$12+D81*$AC$13+E81*$AC$14+F81*$AC$15+G81*$AC$16+H81*$AC$17+I81*$AC$18+J81*$AC$19+K81*$AC$20+L81*$AC$21+M81*$AC$22+N81*$AC$23+O81*$AC$24+P81*$AC$25+Q81*$AC$26+R81*$AC$27+S81*$AC$28+T81*$AC$29+U81*$AC$30</f>
        <v/>
      </c>
      <c r="W81" s="8">
        <f>1/(1+EXP(-V81))</f>
        <v/>
      </c>
      <c r="X81" s="9">
        <f>-IF(C81=1,LN(W81),LN(1-W81))</f>
        <v/>
      </c>
      <c r="Y81" s="10">
        <f>IF(W81&gt;$AC$34,1,0)</f>
        <v/>
      </c>
      <c r="Z81">
        <f>IF(Y81=C81,1,0)</f>
        <v/>
      </c>
    </row>
    <row r="82">
      <c r="A82">
        <f>'1 prepared data'!A75</f>
        <v/>
      </c>
      <c r="B82" s="5">
        <f>'1 prepared data'!U75</f>
        <v/>
      </c>
      <c r="C82">
        <f>'1 prepared data'!B75</f>
        <v/>
      </c>
      <c r="D82" s="7">
        <f>'1 prepared data'!C75</f>
        <v/>
      </c>
      <c r="E82" s="7">
        <f>'1 prepared data'!D75</f>
        <v/>
      </c>
      <c r="F82" s="7">
        <f>'1 prepared data'!E75</f>
        <v/>
      </c>
      <c r="G82" s="7">
        <f>'1 prepared data'!F75</f>
        <v/>
      </c>
      <c r="H82" s="7">
        <f>'1 prepared data'!G75</f>
        <v/>
      </c>
      <c r="I82" s="7">
        <f>'1 prepared data'!H75</f>
        <v/>
      </c>
      <c r="J82" s="7">
        <f>'1 prepared data'!I75</f>
        <v/>
      </c>
      <c r="K82" s="7">
        <f>'1 prepared data'!J75</f>
        <v/>
      </c>
      <c r="L82" s="7">
        <f>'1 prepared data'!K75</f>
        <v/>
      </c>
      <c r="M82" s="7">
        <f>'1 prepared data'!L75</f>
        <v/>
      </c>
      <c r="N82" s="7">
        <f>'1 prepared data'!M75</f>
        <v/>
      </c>
      <c r="O82" s="7">
        <f>'1 prepared data'!N75</f>
        <v/>
      </c>
      <c r="P82" s="7">
        <f>'1 prepared data'!O75</f>
        <v/>
      </c>
      <c r="Q82" s="7">
        <f>'1 prepared data'!P75</f>
        <v/>
      </c>
      <c r="R82" s="7">
        <f>'1 prepared data'!Q75</f>
        <v/>
      </c>
      <c r="S82" s="7">
        <f>'1 prepared data'!R75</f>
        <v/>
      </c>
      <c r="T82" s="7">
        <f>'1 prepared data'!S75</f>
        <v/>
      </c>
      <c r="U82" s="7">
        <f>'1 prepared data'!T75</f>
        <v/>
      </c>
      <c r="V82" s="8">
        <f>$AC$12+D82*$AC$13+E82*$AC$14+F82*$AC$15+G82*$AC$16+H82*$AC$17+I82*$AC$18+J82*$AC$19+K82*$AC$20+L82*$AC$21+M82*$AC$22+N82*$AC$23+O82*$AC$24+P82*$AC$25+Q82*$AC$26+R82*$AC$27+S82*$AC$28+T82*$AC$29+U82*$AC$30</f>
        <v/>
      </c>
      <c r="W82" s="8">
        <f>1/(1+EXP(-V82))</f>
        <v/>
      </c>
      <c r="X82" s="9">
        <f>-IF(C82=1,LN(W82),LN(1-W82))</f>
        <v/>
      </c>
      <c r="Y82" s="10">
        <f>IF(W82&gt;$AC$34,1,0)</f>
        <v/>
      </c>
      <c r="Z82">
        <f>IF(Y82=C82,1,0)</f>
        <v/>
      </c>
    </row>
    <row r="83">
      <c r="A83">
        <f>'1 prepared data'!A76</f>
        <v/>
      </c>
      <c r="B83" s="5">
        <f>'1 prepared data'!U76</f>
        <v/>
      </c>
      <c r="C83">
        <f>'1 prepared data'!B76</f>
        <v/>
      </c>
      <c r="D83" s="7">
        <f>'1 prepared data'!C76</f>
        <v/>
      </c>
      <c r="E83" s="7">
        <f>'1 prepared data'!D76</f>
        <v/>
      </c>
      <c r="F83" s="7">
        <f>'1 prepared data'!E76</f>
        <v/>
      </c>
      <c r="G83" s="7">
        <f>'1 prepared data'!F76</f>
        <v/>
      </c>
      <c r="H83" s="7">
        <f>'1 prepared data'!G76</f>
        <v/>
      </c>
      <c r="I83" s="7">
        <f>'1 prepared data'!H76</f>
        <v/>
      </c>
      <c r="J83" s="7">
        <f>'1 prepared data'!I76</f>
        <v/>
      </c>
      <c r="K83" s="7">
        <f>'1 prepared data'!J76</f>
        <v/>
      </c>
      <c r="L83" s="7">
        <f>'1 prepared data'!K76</f>
        <v/>
      </c>
      <c r="M83" s="7">
        <f>'1 prepared data'!L76</f>
        <v/>
      </c>
      <c r="N83" s="7">
        <f>'1 prepared data'!M76</f>
        <v/>
      </c>
      <c r="O83" s="7">
        <f>'1 prepared data'!N76</f>
        <v/>
      </c>
      <c r="P83" s="7">
        <f>'1 prepared data'!O76</f>
        <v/>
      </c>
      <c r="Q83" s="7">
        <f>'1 prepared data'!P76</f>
        <v/>
      </c>
      <c r="R83" s="7">
        <f>'1 prepared data'!Q76</f>
        <v/>
      </c>
      <c r="S83" s="7">
        <f>'1 prepared data'!R76</f>
        <v/>
      </c>
      <c r="T83" s="7">
        <f>'1 prepared data'!S76</f>
        <v/>
      </c>
      <c r="U83" s="7">
        <f>'1 prepared data'!T76</f>
        <v/>
      </c>
      <c r="V83" s="8">
        <f>$AC$12+D83*$AC$13+E83*$AC$14+F83*$AC$15+G83*$AC$16+H83*$AC$17+I83*$AC$18+J83*$AC$19+K83*$AC$20+L83*$AC$21+M83*$AC$22+N83*$AC$23+O83*$AC$24+P83*$AC$25+Q83*$AC$26+R83*$AC$27+S83*$AC$28+T83*$AC$29+U83*$AC$30</f>
        <v/>
      </c>
      <c r="W83" s="8">
        <f>1/(1+EXP(-V83))</f>
        <v/>
      </c>
      <c r="X83" s="9">
        <f>-IF(C83=1,LN(W83),LN(1-W83))</f>
        <v/>
      </c>
      <c r="Y83" s="10">
        <f>IF(W83&gt;$AC$34,1,0)</f>
        <v/>
      </c>
      <c r="Z83">
        <f>IF(Y83=C83,1,0)</f>
        <v/>
      </c>
    </row>
    <row r="84">
      <c r="A84">
        <f>'1 prepared data'!A77</f>
        <v/>
      </c>
      <c r="B84" s="5">
        <f>'1 prepared data'!U77</f>
        <v/>
      </c>
      <c r="C84">
        <f>'1 prepared data'!B77</f>
        <v/>
      </c>
      <c r="D84" s="7">
        <f>'1 prepared data'!C77</f>
        <v/>
      </c>
      <c r="E84" s="7">
        <f>'1 prepared data'!D77</f>
        <v/>
      </c>
      <c r="F84" s="7">
        <f>'1 prepared data'!E77</f>
        <v/>
      </c>
      <c r="G84" s="7">
        <f>'1 prepared data'!F77</f>
        <v/>
      </c>
      <c r="H84" s="7">
        <f>'1 prepared data'!G77</f>
        <v/>
      </c>
      <c r="I84" s="7">
        <f>'1 prepared data'!H77</f>
        <v/>
      </c>
      <c r="J84" s="7">
        <f>'1 prepared data'!I77</f>
        <v/>
      </c>
      <c r="K84" s="7">
        <f>'1 prepared data'!J77</f>
        <v/>
      </c>
      <c r="L84" s="7">
        <f>'1 prepared data'!K77</f>
        <v/>
      </c>
      <c r="M84" s="7">
        <f>'1 prepared data'!L77</f>
        <v/>
      </c>
      <c r="N84" s="7">
        <f>'1 prepared data'!M77</f>
        <v/>
      </c>
      <c r="O84" s="7">
        <f>'1 prepared data'!N77</f>
        <v/>
      </c>
      <c r="P84" s="7">
        <f>'1 prepared data'!O77</f>
        <v/>
      </c>
      <c r="Q84" s="7">
        <f>'1 prepared data'!P77</f>
        <v/>
      </c>
      <c r="R84" s="7">
        <f>'1 prepared data'!Q77</f>
        <v/>
      </c>
      <c r="S84" s="7">
        <f>'1 prepared data'!R77</f>
        <v/>
      </c>
      <c r="T84" s="7">
        <f>'1 prepared data'!S77</f>
        <v/>
      </c>
      <c r="U84" s="7">
        <f>'1 prepared data'!T77</f>
        <v/>
      </c>
      <c r="V84" s="8">
        <f>$AC$12+D84*$AC$13+E84*$AC$14+F84*$AC$15+G84*$AC$16+H84*$AC$17+I84*$AC$18+J84*$AC$19+K84*$AC$20+L84*$AC$21+M84*$AC$22+N84*$AC$23+O84*$AC$24+P84*$AC$25+Q84*$AC$26+R84*$AC$27+S84*$AC$28+T84*$AC$29+U84*$AC$30</f>
        <v/>
      </c>
      <c r="W84" s="8">
        <f>1/(1+EXP(-V84))</f>
        <v/>
      </c>
      <c r="X84" s="9">
        <f>-IF(C84=1,LN(W84),LN(1-W84))</f>
        <v/>
      </c>
      <c r="Y84" s="10">
        <f>IF(W84&gt;$AC$34,1,0)</f>
        <v/>
      </c>
      <c r="Z84">
        <f>IF(Y84=C84,1,0)</f>
        <v/>
      </c>
    </row>
    <row r="85">
      <c r="A85">
        <f>'1 prepared data'!A78</f>
        <v/>
      </c>
      <c r="B85" s="5">
        <f>'1 prepared data'!U78</f>
        <v/>
      </c>
      <c r="C85">
        <f>'1 prepared data'!B78</f>
        <v/>
      </c>
      <c r="D85" s="7">
        <f>'1 prepared data'!C78</f>
        <v/>
      </c>
      <c r="E85" s="7">
        <f>'1 prepared data'!D78</f>
        <v/>
      </c>
      <c r="F85" s="7">
        <f>'1 prepared data'!E78</f>
        <v/>
      </c>
      <c r="G85" s="7">
        <f>'1 prepared data'!F78</f>
        <v/>
      </c>
      <c r="H85" s="7">
        <f>'1 prepared data'!G78</f>
        <v/>
      </c>
      <c r="I85" s="7">
        <f>'1 prepared data'!H78</f>
        <v/>
      </c>
      <c r="J85" s="7">
        <f>'1 prepared data'!I78</f>
        <v/>
      </c>
      <c r="K85" s="7">
        <f>'1 prepared data'!J78</f>
        <v/>
      </c>
      <c r="L85" s="7">
        <f>'1 prepared data'!K78</f>
        <v/>
      </c>
      <c r="M85" s="7">
        <f>'1 prepared data'!L78</f>
        <v/>
      </c>
      <c r="N85" s="7">
        <f>'1 prepared data'!M78</f>
        <v/>
      </c>
      <c r="O85" s="7">
        <f>'1 prepared data'!N78</f>
        <v/>
      </c>
      <c r="P85" s="7">
        <f>'1 prepared data'!O78</f>
        <v/>
      </c>
      <c r="Q85" s="7">
        <f>'1 prepared data'!P78</f>
        <v/>
      </c>
      <c r="R85" s="7">
        <f>'1 prepared data'!Q78</f>
        <v/>
      </c>
      <c r="S85" s="7">
        <f>'1 prepared data'!R78</f>
        <v/>
      </c>
      <c r="T85" s="7">
        <f>'1 prepared data'!S78</f>
        <v/>
      </c>
      <c r="U85" s="7">
        <f>'1 prepared data'!T78</f>
        <v/>
      </c>
      <c r="V85" s="8">
        <f>$AC$12+D85*$AC$13+E85*$AC$14+F85*$AC$15+G85*$AC$16+H85*$AC$17+I85*$AC$18+J85*$AC$19+K85*$AC$20+L85*$AC$21+M85*$AC$22+N85*$AC$23+O85*$AC$24+P85*$AC$25+Q85*$AC$26+R85*$AC$27+S85*$AC$28+T85*$AC$29+U85*$AC$30</f>
        <v/>
      </c>
      <c r="W85" s="8">
        <f>1/(1+EXP(-V85))</f>
        <v/>
      </c>
      <c r="X85" s="9">
        <f>-IF(C85=1,LN(W85),LN(1-W85))</f>
        <v/>
      </c>
      <c r="Y85" s="10">
        <f>IF(W85&gt;$AC$34,1,0)</f>
        <v/>
      </c>
      <c r="Z85">
        <f>IF(Y85=C85,1,0)</f>
        <v/>
      </c>
    </row>
    <row r="86">
      <c r="A86">
        <f>'1 prepared data'!A79</f>
        <v/>
      </c>
      <c r="B86" s="5">
        <f>'1 prepared data'!U79</f>
        <v/>
      </c>
      <c r="C86">
        <f>'1 prepared data'!B79</f>
        <v/>
      </c>
      <c r="D86" s="7">
        <f>'1 prepared data'!C79</f>
        <v/>
      </c>
      <c r="E86" s="7">
        <f>'1 prepared data'!D79</f>
        <v/>
      </c>
      <c r="F86" s="7">
        <f>'1 prepared data'!E79</f>
        <v/>
      </c>
      <c r="G86" s="7">
        <f>'1 prepared data'!F79</f>
        <v/>
      </c>
      <c r="H86" s="7">
        <f>'1 prepared data'!G79</f>
        <v/>
      </c>
      <c r="I86" s="7">
        <f>'1 prepared data'!H79</f>
        <v/>
      </c>
      <c r="J86" s="7">
        <f>'1 prepared data'!I79</f>
        <v/>
      </c>
      <c r="K86" s="7">
        <f>'1 prepared data'!J79</f>
        <v/>
      </c>
      <c r="L86" s="7">
        <f>'1 prepared data'!K79</f>
        <v/>
      </c>
      <c r="M86" s="7">
        <f>'1 prepared data'!L79</f>
        <v/>
      </c>
      <c r="N86" s="7">
        <f>'1 prepared data'!M79</f>
        <v/>
      </c>
      <c r="O86" s="7">
        <f>'1 prepared data'!N79</f>
        <v/>
      </c>
      <c r="P86" s="7">
        <f>'1 prepared data'!O79</f>
        <v/>
      </c>
      <c r="Q86" s="7">
        <f>'1 prepared data'!P79</f>
        <v/>
      </c>
      <c r="R86" s="7">
        <f>'1 prepared data'!Q79</f>
        <v/>
      </c>
      <c r="S86" s="7">
        <f>'1 prepared data'!R79</f>
        <v/>
      </c>
      <c r="T86" s="7">
        <f>'1 prepared data'!S79</f>
        <v/>
      </c>
      <c r="U86" s="7">
        <f>'1 prepared data'!T79</f>
        <v/>
      </c>
      <c r="V86" s="8">
        <f>$AC$12+D86*$AC$13+E86*$AC$14+F86*$AC$15+G86*$AC$16+H86*$AC$17+I86*$AC$18+J86*$AC$19+K86*$AC$20+L86*$AC$21+M86*$AC$22+N86*$AC$23+O86*$AC$24+P86*$AC$25+Q86*$AC$26+R86*$AC$27+S86*$AC$28+T86*$AC$29+U86*$AC$30</f>
        <v/>
      </c>
      <c r="W86" s="8">
        <f>1/(1+EXP(-V86))</f>
        <v/>
      </c>
      <c r="X86" s="9">
        <f>-IF(C86=1,LN(W86),LN(1-W86))</f>
        <v/>
      </c>
      <c r="Y86" s="10">
        <f>IF(W86&gt;$AC$34,1,0)</f>
        <v/>
      </c>
      <c r="Z86">
        <f>IF(Y86=C86,1,0)</f>
        <v/>
      </c>
    </row>
    <row r="87">
      <c r="A87">
        <f>'1 prepared data'!A80</f>
        <v/>
      </c>
      <c r="B87" s="5">
        <f>'1 prepared data'!U80</f>
        <v/>
      </c>
      <c r="C87">
        <f>'1 prepared data'!B80</f>
        <v/>
      </c>
      <c r="D87" s="7">
        <f>'1 prepared data'!C80</f>
        <v/>
      </c>
      <c r="E87" s="7">
        <f>'1 prepared data'!D80</f>
        <v/>
      </c>
      <c r="F87" s="7">
        <f>'1 prepared data'!E80</f>
        <v/>
      </c>
      <c r="G87" s="7">
        <f>'1 prepared data'!F80</f>
        <v/>
      </c>
      <c r="H87" s="7">
        <f>'1 prepared data'!G80</f>
        <v/>
      </c>
      <c r="I87" s="7">
        <f>'1 prepared data'!H80</f>
        <v/>
      </c>
      <c r="J87" s="7">
        <f>'1 prepared data'!I80</f>
        <v/>
      </c>
      <c r="K87" s="7">
        <f>'1 prepared data'!J80</f>
        <v/>
      </c>
      <c r="L87" s="7">
        <f>'1 prepared data'!K80</f>
        <v/>
      </c>
      <c r="M87" s="7">
        <f>'1 prepared data'!L80</f>
        <v/>
      </c>
      <c r="N87" s="7">
        <f>'1 prepared data'!M80</f>
        <v/>
      </c>
      <c r="O87" s="7">
        <f>'1 prepared data'!N80</f>
        <v/>
      </c>
      <c r="P87" s="7">
        <f>'1 prepared data'!O80</f>
        <v/>
      </c>
      <c r="Q87" s="7">
        <f>'1 prepared data'!P80</f>
        <v/>
      </c>
      <c r="R87" s="7">
        <f>'1 prepared data'!Q80</f>
        <v/>
      </c>
      <c r="S87" s="7">
        <f>'1 prepared data'!R80</f>
        <v/>
      </c>
      <c r="T87" s="7">
        <f>'1 prepared data'!S80</f>
        <v/>
      </c>
      <c r="U87" s="7">
        <f>'1 prepared data'!T80</f>
        <v/>
      </c>
      <c r="V87" s="8">
        <f>$AC$12+D87*$AC$13+E87*$AC$14+F87*$AC$15+G87*$AC$16+H87*$AC$17+I87*$AC$18+J87*$AC$19+K87*$AC$20+L87*$AC$21+M87*$AC$22+N87*$AC$23+O87*$AC$24+P87*$AC$25+Q87*$AC$26+R87*$AC$27+S87*$AC$28+T87*$AC$29+U87*$AC$30</f>
        <v/>
      </c>
      <c r="W87" s="8">
        <f>1/(1+EXP(-V87))</f>
        <v/>
      </c>
      <c r="X87" s="9">
        <f>-IF(C87=1,LN(W87),LN(1-W87))</f>
        <v/>
      </c>
      <c r="Y87" s="10">
        <f>IF(W87&gt;$AC$34,1,0)</f>
        <v/>
      </c>
      <c r="Z87">
        <f>IF(Y87=C87,1,0)</f>
        <v/>
      </c>
    </row>
    <row r="88">
      <c r="A88">
        <f>'1 prepared data'!A81</f>
        <v/>
      </c>
      <c r="B88" s="5">
        <f>'1 prepared data'!U81</f>
        <v/>
      </c>
      <c r="C88">
        <f>'1 prepared data'!B81</f>
        <v/>
      </c>
      <c r="D88" s="7">
        <f>'1 prepared data'!C81</f>
        <v/>
      </c>
      <c r="E88" s="7">
        <f>'1 prepared data'!D81</f>
        <v/>
      </c>
      <c r="F88" s="7">
        <f>'1 prepared data'!E81</f>
        <v/>
      </c>
      <c r="G88" s="7">
        <f>'1 prepared data'!F81</f>
        <v/>
      </c>
      <c r="H88" s="7">
        <f>'1 prepared data'!G81</f>
        <v/>
      </c>
      <c r="I88" s="7">
        <f>'1 prepared data'!H81</f>
        <v/>
      </c>
      <c r="J88" s="7">
        <f>'1 prepared data'!I81</f>
        <v/>
      </c>
      <c r="K88" s="7">
        <f>'1 prepared data'!J81</f>
        <v/>
      </c>
      <c r="L88" s="7">
        <f>'1 prepared data'!K81</f>
        <v/>
      </c>
      <c r="M88" s="7">
        <f>'1 prepared data'!L81</f>
        <v/>
      </c>
      <c r="N88" s="7">
        <f>'1 prepared data'!M81</f>
        <v/>
      </c>
      <c r="O88" s="7">
        <f>'1 prepared data'!N81</f>
        <v/>
      </c>
      <c r="P88" s="7">
        <f>'1 prepared data'!O81</f>
        <v/>
      </c>
      <c r="Q88" s="7">
        <f>'1 prepared data'!P81</f>
        <v/>
      </c>
      <c r="R88" s="7">
        <f>'1 prepared data'!Q81</f>
        <v/>
      </c>
      <c r="S88" s="7">
        <f>'1 prepared data'!R81</f>
        <v/>
      </c>
      <c r="T88" s="7">
        <f>'1 prepared data'!S81</f>
        <v/>
      </c>
      <c r="U88" s="7">
        <f>'1 prepared data'!T81</f>
        <v/>
      </c>
      <c r="V88" s="8">
        <f>$AC$12+D88*$AC$13+E88*$AC$14+F88*$AC$15+G88*$AC$16+H88*$AC$17+I88*$AC$18+J88*$AC$19+K88*$AC$20+L88*$AC$21+M88*$AC$22+N88*$AC$23+O88*$AC$24+P88*$AC$25+Q88*$AC$26+R88*$AC$27+S88*$AC$28+T88*$AC$29+U88*$AC$30</f>
        <v/>
      </c>
      <c r="W88" s="8">
        <f>1/(1+EXP(-V88))</f>
        <v/>
      </c>
      <c r="X88" s="9">
        <f>-IF(C88=1,LN(W88),LN(1-W88))</f>
        <v/>
      </c>
      <c r="Y88" s="10">
        <f>IF(W88&gt;$AC$34,1,0)</f>
        <v/>
      </c>
      <c r="Z88">
        <f>IF(Y88=C88,1,0)</f>
        <v/>
      </c>
    </row>
    <row r="89">
      <c r="A89">
        <f>'1 prepared data'!A82</f>
        <v/>
      </c>
      <c r="B89" s="5">
        <f>'1 prepared data'!U82</f>
        <v/>
      </c>
      <c r="C89">
        <f>'1 prepared data'!B82</f>
        <v/>
      </c>
      <c r="D89" s="7">
        <f>'1 prepared data'!C82</f>
        <v/>
      </c>
      <c r="E89" s="7">
        <f>'1 prepared data'!D82</f>
        <v/>
      </c>
      <c r="F89" s="7">
        <f>'1 prepared data'!E82</f>
        <v/>
      </c>
      <c r="G89" s="7">
        <f>'1 prepared data'!F82</f>
        <v/>
      </c>
      <c r="H89" s="7">
        <f>'1 prepared data'!G82</f>
        <v/>
      </c>
      <c r="I89" s="7">
        <f>'1 prepared data'!H82</f>
        <v/>
      </c>
      <c r="J89" s="7">
        <f>'1 prepared data'!I82</f>
        <v/>
      </c>
      <c r="K89" s="7">
        <f>'1 prepared data'!J82</f>
        <v/>
      </c>
      <c r="L89" s="7">
        <f>'1 prepared data'!K82</f>
        <v/>
      </c>
      <c r="M89" s="7">
        <f>'1 prepared data'!L82</f>
        <v/>
      </c>
      <c r="N89" s="7">
        <f>'1 prepared data'!M82</f>
        <v/>
      </c>
      <c r="O89" s="7">
        <f>'1 prepared data'!N82</f>
        <v/>
      </c>
      <c r="P89" s="7">
        <f>'1 prepared data'!O82</f>
        <v/>
      </c>
      <c r="Q89" s="7">
        <f>'1 prepared data'!P82</f>
        <v/>
      </c>
      <c r="R89" s="7">
        <f>'1 prepared data'!Q82</f>
        <v/>
      </c>
      <c r="S89" s="7">
        <f>'1 prepared data'!R82</f>
        <v/>
      </c>
      <c r="T89" s="7">
        <f>'1 prepared data'!S82</f>
        <v/>
      </c>
      <c r="U89" s="7">
        <f>'1 prepared data'!T82</f>
        <v/>
      </c>
      <c r="V89" s="8">
        <f>$AC$12+D89*$AC$13+E89*$AC$14+F89*$AC$15+G89*$AC$16+H89*$AC$17+I89*$AC$18+J89*$AC$19+K89*$AC$20+L89*$AC$21+M89*$AC$22+N89*$AC$23+O89*$AC$24+P89*$AC$25+Q89*$AC$26+R89*$AC$27+S89*$AC$28+T89*$AC$29+U89*$AC$30</f>
        <v/>
      </c>
      <c r="W89" s="8">
        <f>1/(1+EXP(-V89))</f>
        <v/>
      </c>
      <c r="X89" s="9">
        <f>-IF(C89=1,LN(W89),LN(1-W89))</f>
        <v/>
      </c>
      <c r="Y89" s="10">
        <f>IF(W89&gt;$AC$34,1,0)</f>
        <v/>
      </c>
      <c r="Z89">
        <f>IF(Y89=C89,1,0)</f>
        <v/>
      </c>
    </row>
    <row r="90">
      <c r="A90">
        <f>'1 prepared data'!A83</f>
        <v/>
      </c>
      <c r="B90" s="5">
        <f>'1 prepared data'!U83</f>
        <v/>
      </c>
      <c r="C90">
        <f>'1 prepared data'!B83</f>
        <v/>
      </c>
      <c r="D90" s="7">
        <f>'1 prepared data'!C83</f>
        <v/>
      </c>
      <c r="E90" s="7">
        <f>'1 prepared data'!D83</f>
        <v/>
      </c>
      <c r="F90" s="7">
        <f>'1 prepared data'!E83</f>
        <v/>
      </c>
      <c r="G90" s="7">
        <f>'1 prepared data'!F83</f>
        <v/>
      </c>
      <c r="H90" s="7">
        <f>'1 prepared data'!G83</f>
        <v/>
      </c>
      <c r="I90" s="7">
        <f>'1 prepared data'!H83</f>
        <v/>
      </c>
      <c r="J90" s="7">
        <f>'1 prepared data'!I83</f>
        <v/>
      </c>
      <c r="K90" s="7">
        <f>'1 prepared data'!J83</f>
        <v/>
      </c>
      <c r="L90" s="7">
        <f>'1 prepared data'!K83</f>
        <v/>
      </c>
      <c r="M90" s="7">
        <f>'1 prepared data'!L83</f>
        <v/>
      </c>
      <c r="N90" s="7">
        <f>'1 prepared data'!M83</f>
        <v/>
      </c>
      <c r="O90" s="7">
        <f>'1 prepared data'!N83</f>
        <v/>
      </c>
      <c r="P90" s="7">
        <f>'1 prepared data'!O83</f>
        <v/>
      </c>
      <c r="Q90" s="7">
        <f>'1 prepared data'!P83</f>
        <v/>
      </c>
      <c r="R90" s="7">
        <f>'1 prepared data'!Q83</f>
        <v/>
      </c>
      <c r="S90" s="7">
        <f>'1 prepared data'!R83</f>
        <v/>
      </c>
      <c r="T90" s="7">
        <f>'1 prepared data'!S83</f>
        <v/>
      </c>
      <c r="U90" s="7">
        <f>'1 prepared data'!T83</f>
        <v/>
      </c>
      <c r="V90" s="8">
        <f>$AC$12+D90*$AC$13+E90*$AC$14+F90*$AC$15+G90*$AC$16+H90*$AC$17+I90*$AC$18+J90*$AC$19+K90*$AC$20+L90*$AC$21+M90*$AC$22+N90*$AC$23+O90*$AC$24+P90*$AC$25+Q90*$AC$26+R90*$AC$27+S90*$AC$28+T90*$AC$29+U90*$AC$30</f>
        <v/>
      </c>
      <c r="W90" s="8">
        <f>1/(1+EXP(-V90))</f>
        <v/>
      </c>
      <c r="X90" s="9">
        <f>-IF(C90=1,LN(W90),LN(1-W90))</f>
        <v/>
      </c>
      <c r="Y90" s="10">
        <f>IF(W90&gt;$AC$34,1,0)</f>
        <v/>
      </c>
      <c r="Z90">
        <f>IF(Y90=C90,1,0)</f>
        <v/>
      </c>
    </row>
    <row r="91">
      <c r="A91">
        <f>'1 prepared data'!A84</f>
        <v/>
      </c>
      <c r="B91" s="5">
        <f>'1 prepared data'!U84</f>
        <v/>
      </c>
      <c r="C91">
        <f>'1 prepared data'!B84</f>
        <v/>
      </c>
      <c r="D91" s="7">
        <f>'1 prepared data'!C84</f>
        <v/>
      </c>
      <c r="E91" s="7">
        <f>'1 prepared data'!D84</f>
        <v/>
      </c>
      <c r="F91" s="7">
        <f>'1 prepared data'!E84</f>
        <v/>
      </c>
      <c r="G91" s="7">
        <f>'1 prepared data'!F84</f>
        <v/>
      </c>
      <c r="H91" s="7">
        <f>'1 prepared data'!G84</f>
        <v/>
      </c>
      <c r="I91" s="7">
        <f>'1 prepared data'!H84</f>
        <v/>
      </c>
      <c r="J91" s="7">
        <f>'1 prepared data'!I84</f>
        <v/>
      </c>
      <c r="K91" s="7">
        <f>'1 prepared data'!J84</f>
        <v/>
      </c>
      <c r="L91" s="7">
        <f>'1 prepared data'!K84</f>
        <v/>
      </c>
      <c r="M91" s="7">
        <f>'1 prepared data'!L84</f>
        <v/>
      </c>
      <c r="N91" s="7">
        <f>'1 prepared data'!M84</f>
        <v/>
      </c>
      <c r="O91" s="7">
        <f>'1 prepared data'!N84</f>
        <v/>
      </c>
      <c r="P91" s="7">
        <f>'1 prepared data'!O84</f>
        <v/>
      </c>
      <c r="Q91" s="7">
        <f>'1 prepared data'!P84</f>
        <v/>
      </c>
      <c r="R91" s="7">
        <f>'1 prepared data'!Q84</f>
        <v/>
      </c>
      <c r="S91" s="7">
        <f>'1 prepared data'!R84</f>
        <v/>
      </c>
      <c r="T91" s="7">
        <f>'1 prepared data'!S84</f>
        <v/>
      </c>
      <c r="U91" s="7">
        <f>'1 prepared data'!T84</f>
        <v/>
      </c>
      <c r="V91" s="8">
        <f>$AC$12+D91*$AC$13+E91*$AC$14+F91*$AC$15+G91*$AC$16+H91*$AC$17+I91*$AC$18+J91*$AC$19+K91*$AC$20+L91*$AC$21+M91*$AC$22+N91*$AC$23+O91*$AC$24+P91*$AC$25+Q91*$AC$26+R91*$AC$27+S91*$AC$28+T91*$AC$29+U91*$AC$30</f>
        <v/>
      </c>
      <c r="W91" s="8">
        <f>1/(1+EXP(-V91))</f>
        <v/>
      </c>
      <c r="X91" s="9">
        <f>-IF(C91=1,LN(W91),LN(1-W91))</f>
        <v/>
      </c>
      <c r="Y91" s="10">
        <f>IF(W91&gt;$AC$34,1,0)</f>
        <v/>
      </c>
      <c r="Z91">
        <f>IF(Y91=C91,1,0)</f>
        <v/>
      </c>
    </row>
    <row r="92">
      <c r="A92">
        <f>'1 prepared data'!A85</f>
        <v/>
      </c>
      <c r="B92" s="5">
        <f>'1 prepared data'!U85</f>
        <v/>
      </c>
      <c r="C92">
        <f>'1 prepared data'!B85</f>
        <v/>
      </c>
      <c r="D92" s="7">
        <f>'1 prepared data'!C85</f>
        <v/>
      </c>
      <c r="E92" s="7">
        <f>'1 prepared data'!D85</f>
        <v/>
      </c>
      <c r="F92" s="7">
        <f>'1 prepared data'!E85</f>
        <v/>
      </c>
      <c r="G92" s="7">
        <f>'1 prepared data'!F85</f>
        <v/>
      </c>
      <c r="H92" s="7">
        <f>'1 prepared data'!G85</f>
        <v/>
      </c>
      <c r="I92" s="7">
        <f>'1 prepared data'!H85</f>
        <v/>
      </c>
      <c r="J92" s="7">
        <f>'1 prepared data'!I85</f>
        <v/>
      </c>
      <c r="K92" s="7">
        <f>'1 prepared data'!J85</f>
        <v/>
      </c>
      <c r="L92" s="7">
        <f>'1 prepared data'!K85</f>
        <v/>
      </c>
      <c r="M92" s="7">
        <f>'1 prepared data'!L85</f>
        <v/>
      </c>
      <c r="N92" s="7">
        <f>'1 prepared data'!M85</f>
        <v/>
      </c>
      <c r="O92" s="7">
        <f>'1 prepared data'!N85</f>
        <v/>
      </c>
      <c r="P92" s="7">
        <f>'1 prepared data'!O85</f>
        <v/>
      </c>
      <c r="Q92" s="7">
        <f>'1 prepared data'!P85</f>
        <v/>
      </c>
      <c r="R92" s="7">
        <f>'1 prepared data'!Q85</f>
        <v/>
      </c>
      <c r="S92" s="7">
        <f>'1 prepared data'!R85</f>
        <v/>
      </c>
      <c r="T92" s="7">
        <f>'1 prepared data'!S85</f>
        <v/>
      </c>
      <c r="U92" s="7">
        <f>'1 prepared data'!T85</f>
        <v/>
      </c>
      <c r="V92" s="8">
        <f>$AC$12+D92*$AC$13+E92*$AC$14+F92*$AC$15+G92*$AC$16+H92*$AC$17+I92*$AC$18+J92*$AC$19+K92*$AC$20+L92*$AC$21+M92*$AC$22+N92*$AC$23+O92*$AC$24+P92*$AC$25+Q92*$AC$26+R92*$AC$27+S92*$AC$28+T92*$AC$29+U92*$AC$30</f>
        <v/>
      </c>
      <c r="W92" s="8">
        <f>1/(1+EXP(-V92))</f>
        <v/>
      </c>
      <c r="X92" s="9">
        <f>-IF(C92=1,LN(W92),LN(1-W92))</f>
        <v/>
      </c>
      <c r="Y92" s="10">
        <f>IF(W92&gt;$AC$34,1,0)</f>
        <v/>
      </c>
      <c r="Z92">
        <f>IF(Y92=C92,1,0)</f>
        <v/>
      </c>
    </row>
    <row r="93">
      <c r="A93">
        <f>'1 prepared data'!A86</f>
        <v/>
      </c>
      <c r="B93" s="5">
        <f>'1 prepared data'!U86</f>
        <v/>
      </c>
      <c r="C93">
        <f>'1 prepared data'!B86</f>
        <v/>
      </c>
      <c r="D93" s="7">
        <f>'1 prepared data'!C86</f>
        <v/>
      </c>
      <c r="E93" s="7">
        <f>'1 prepared data'!D86</f>
        <v/>
      </c>
      <c r="F93" s="7">
        <f>'1 prepared data'!E86</f>
        <v/>
      </c>
      <c r="G93" s="7">
        <f>'1 prepared data'!F86</f>
        <v/>
      </c>
      <c r="H93" s="7">
        <f>'1 prepared data'!G86</f>
        <v/>
      </c>
      <c r="I93" s="7">
        <f>'1 prepared data'!H86</f>
        <v/>
      </c>
      <c r="J93" s="7">
        <f>'1 prepared data'!I86</f>
        <v/>
      </c>
      <c r="K93" s="7">
        <f>'1 prepared data'!J86</f>
        <v/>
      </c>
      <c r="L93" s="7">
        <f>'1 prepared data'!K86</f>
        <v/>
      </c>
      <c r="M93" s="7">
        <f>'1 prepared data'!L86</f>
        <v/>
      </c>
      <c r="N93" s="7">
        <f>'1 prepared data'!M86</f>
        <v/>
      </c>
      <c r="O93" s="7">
        <f>'1 prepared data'!N86</f>
        <v/>
      </c>
      <c r="P93" s="7">
        <f>'1 prepared data'!O86</f>
        <v/>
      </c>
      <c r="Q93" s="7">
        <f>'1 prepared data'!P86</f>
        <v/>
      </c>
      <c r="R93" s="7">
        <f>'1 prepared data'!Q86</f>
        <v/>
      </c>
      <c r="S93" s="7">
        <f>'1 prepared data'!R86</f>
        <v/>
      </c>
      <c r="T93" s="7">
        <f>'1 prepared data'!S86</f>
        <v/>
      </c>
      <c r="U93" s="7">
        <f>'1 prepared data'!T86</f>
        <v/>
      </c>
      <c r="V93" s="8">
        <f>$AC$12+D93*$AC$13+E93*$AC$14+F93*$AC$15+G93*$AC$16+H93*$AC$17+I93*$AC$18+J93*$AC$19+K93*$AC$20+L93*$AC$21+M93*$AC$22+N93*$AC$23+O93*$AC$24+P93*$AC$25+Q93*$AC$26+R93*$AC$27+S93*$AC$28+T93*$AC$29+U93*$AC$30</f>
        <v/>
      </c>
      <c r="W93" s="8">
        <f>1/(1+EXP(-V93))</f>
        <v/>
      </c>
      <c r="X93" s="9">
        <f>-IF(C93=1,LN(W93),LN(1-W93))</f>
        <v/>
      </c>
      <c r="Y93" s="10">
        <f>IF(W93&gt;$AC$34,1,0)</f>
        <v/>
      </c>
      <c r="Z93">
        <f>IF(Y93=C93,1,0)</f>
        <v/>
      </c>
    </row>
    <row r="94">
      <c r="A94">
        <f>'1 prepared data'!A87</f>
        <v/>
      </c>
      <c r="B94" s="5">
        <f>'1 prepared data'!U87</f>
        <v/>
      </c>
      <c r="C94">
        <f>'1 prepared data'!B87</f>
        <v/>
      </c>
      <c r="D94" s="7">
        <f>'1 prepared data'!C87</f>
        <v/>
      </c>
      <c r="E94" s="7">
        <f>'1 prepared data'!D87</f>
        <v/>
      </c>
      <c r="F94" s="7">
        <f>'1 prepared data'!E87</f>
        <v/>
      </c>
      <c r="G94" s="7">
        <f>'1 prepared data'!F87</f>
        <v/>
      </c>
      <c r="H94" s="7">
        <f>'1 prepared data'!G87</f>
        <v/>
      </c>
      <c r="I94" s="7">
        <f>'1 prepared data'!H87</f>
        <v/>
      </c>
      <c r="J94" s="7">
        <f>'1 prepared data'!I87</f>
        <v/>
      </c>
      <c r="K94" s="7">
        <f>'1 prepared data'!J87</f>
        <v/>
      </c>
      <c r="L94" s="7">
        <f>'1 prepared data'!K87</f>
        <v/>
      </c>
      <c r="M94" s="7">
        <f>'1 prepared data'!L87</f>
        <v/>
      </c>
      <c r="N94" s="7">
        <f>'1 prepared data'!M87</f>
        <v/>
      </c>
      <c r="O94" s="7">
        <f>'1 prepared data'!N87</f>
        <v/>
      </c>
      <c r="P94" s="7">
        <f>'1 prepared data'!O87</f>
        <v/>
      </c>
      <c r="Q94" s="7">
        <f>'1 prepared data'!P87</f>
        <v/>
      </c>
      <c r="R94" s="7">
        <f>'1 prepared data'!Q87</f>
        <v/>
      </c>
      <c r="S94" s="7">
        <f>'1 prepared data'!R87</f>
        <v/>
      </c>
      <c r="T94" s="7">
        <f>'1 prepared data'!S87</f>
        <v/>
      </c>
      <c r="U94" s="7">
        <f>'1 prepared data'!T87</f>
        <v/>
      </c>
      <c r="V94" s="8">
        <f>$AC$12+D94*$AC$13+E94*$AC$14+F94*$AC$15+G94*$AC$16+H94*$AC$17+I94*$AC$18+J94*$AC$19+K94*$AC$20+L94*$AC$21+M94*$AC$22+N94*$AC$23+O94*$AC$24+P94*$AC$25+Q94*$AC$26+R94*$AC$27+S94*$AC$28+T94*$AC$29+U94*$AC$30</f>
        <v/>
      </c>
      <c r="W94" s="8">
        <f>1/(1+EXP(-V94))</f>
        <v/>
      </c>
      <c r="X94" s="9">
        <f>-IF(C94=1,LN(W94),LN(1-W94))</f>
        <v/>
      </c>
      <c r="Y94" s="10">
        <f>IF(W94&gt;$AC$34,1,0)</f>
        <v/>
      </c>
      <c r="Z94">
        <f>IF(Y94=C94,1,0)</f>
        <v/>
      </c>
    </row>
    <row r="95">
      <c r="A95">
        <f>'1 prepared data'!A88</f>
        <v/>
      </c>
      <c r="B95" s="5">
        <f>'1 prepared data'!U88</f>
        <v/>
      </c>
      <c r="C95">
        <f>'1 prepared data'!B88</f>
        <v/>
      </c>
      <c r="D95" s="7">
        <f>'1 prepared data'!C88</f>
        <v/>
      </c>
      <c r="E95" s="7">
        <f>'1 prepared data'!D88</f>
        <v/>
      </c>
      <c r="F95" s="7">
        <f>'1 prepared data'!E88</f>
        <v/>
      </c>
      <c r="G95" s="7">
        <f>'1 prepared data'!F88</f>
        <v/>
      </c>
      <c r="H95" s="7">
        <f>'1 prepared data'!G88</f>
        <v/>
      </c>
      <c r="I95" s="7">
        <f>'1 prepared data'!H88</f>
        <v/>
      </c>
      <c r="J95" s="7">
        <f>'1 prepared data'!I88</f>
        <v/>
      </c>
      <c r="K95" s="7">
        <f>'1 prepared data'!J88</f>
        <v/>
      </c>
      <c r="L95" s="7">
        <f>'1 prepared data'!K88</f>
        <v/>
      </c>
      <c r="M95" s="7">
        <f>'1 prepared data'!L88</f>
        <v/>
      </c>
      <c r="N95" s="7">
        <f>'1 prepared data'!M88</f>
        <v/>
      </c>
      <c r="O95" s="7">
        <f>'1 prepared data'!N88</f>
        <v/>
      </c>
      <c r="P95" s="7">
        <f>'1 prepared data'!O88</f>
        <v/>
      </c>
      <c r="Q95" s="7">
        <f>'1 prepared data'!P88</f>
        <v/>
      </c>
      <c r="R95" s="7">
        <f>'1 prepared data'!Q88</f>
        <v/>
      </c>
      <c r="S95" s="7">
        <f>'1 prepared data'!R88</f>
        <v/>
      </c>
      <c r="T95" s="7">
        <f>'1 prepared data'!S88</f>
        <v/>
      </c>
      <c r="U95" s="7">
        <f>'1 prepared data'!T88</f>
        <v/>
      </c>
      <c r="V95" s="8">
        <f>$AC$12+D95*$AC$13+E95*$AC$14+F95*$AC$15+G95*$AC$16+H95*$AC$17+I95*$AC$18+J95*$AC$19+K95*$AC$20+L95*$AC$21+M95*$AC$22+N95*$AC$23+O95*$AC$24+P95*$AC$25+Q95*$AC$26+R95*$AC$27+S95*$AC$28+T95*$AC$29+U95*$AC$30</f>
        <v/>
      </c>
      <c r="W95" s="8">
        <f>1/(1+EXP(-V95))</f>
        <v/>
      </c>
      <c r="X95" s="9">
        <f>-IF(C95=1,LN(W95),LN(1-W95))</f>
        <v/>
      </c>
      <c r="Y95" s="10">
        <f>IF(W95&gt;$AC$34,1,0)</f>
        <v/>
      </c>
      <c r="Z95">
        <f>IF(Y95=C95,1,0)</f>
        <v/>
      </c>
    </row>
    <row r="96">
      <c r="A96">
        <f>'1 prepared data'!A89</f>
        <v/>
      </c>
      <c r="B96" s="5">
        <f>'1 prepared data'!U89</f>
        <v/>
      </c>
      <c r="C96">
        <f>'1 prepared data'!B89</f>
        <v/>
      </c>
      <c r="D96" s="7">
        <f>'1 prepared data'!C89</f>
        <v/>
      </c>
      <c r="E96" s="7">
        <f>'1 prepared data'!D89</f>
        <v/>
      </c>
      <c r="F96" s="7">
        <f>'1 prepared data'!E89</f>
        <v/>
      </c>
      <c r="G96" s="7">
        <f>'1 prepared data'!F89</f>
        <v/>
      </c>
      <c r="H96" s="7">
        <f>'1 prepared data'!G89</f>
        <v/>
      </c>
      <c r="I96" s="7">
        <f>'1 prepared data'!H89</f>
        <v/>
      </c>
      <c r="J96" s="7">
        <f>'1 prepared data'!I89</f>
        <v/>
      </c>
      <c r="K96" s="7">
        <f>'1 prepared data'!J89</f>
        <v/>
      </c>
      <c r="L96" s="7">
        <f>'1 prepared data'!K89</f>
        <v/>
      </c>
      <c r="M96" s="7">
        <f>'1 prepared data'!L89</f>
        <v/>
      </c>
      <c r="N96" s="7">
        <f>'1 prepared data'!M89</f>
        <v/>
      </c>
      <c r="O96" s="7">
        <f>'1 prepared data'!N89</f>
        <v/>
      </c>
      <c r="P96" s="7">
        <f>'1 prepared data'!O89</f>
        <v/>
      </c>
      <c r="Q96" s="7">
        <f>'1 prepared data'!P89</f>
        <v/>
      </c>
      <c r="R96" s="7">
        <f>'1 prepared data'!Q89</f>
        <v/>
      </c>
      <c r="S96" s="7">
        <f>'1 prepared data'!R89</f>
        <v/>
      </c>
      <c r="T96" s="7">
        <f>'1 prepared data'!S89</f>
        <v/>
      </c>
      <c r="U96" s="7">
        <f>'1 prepared data'!T89</f>
        <v/>
      </c>
      <c r="V96" s="8">
        <f>$AC$12+D96*$AC$13+E96*$AC$14+F96*$AC$15+G96*$AC$16+H96*$AC$17+I96*$AC$18+J96*$AC$19+K96*$AC$20+L96*$AC$21+M96*$AC$22+N96*$AC$23+O96*$AC$24+P96*$AC$25+Q96*$AC$26+R96*$AC$27+S96*$AC$28+T96*$AC$29+U96*$AC$30</f>
        <v/>
      </c>
      <c r="W96" s="8">
        <f>1/(1+EXP(-V96))</f>
        <v/>
      </c>
      <c r="X96" s="9">
        <f>-IF(C96=1,LN(W96),LN(1-W96))</f>
        <v/>
      </c>
      <c r="Y96" s="10">
        <f>IF(W96&gt;$AC$34,1,0)</f>
        <v/>
      </c>
      <c r="Z96">
        <f>IF(Y96=C96,1,0)</f>
        <v/>
      </c>
    </row>
    <row r="97">
      <c r="A97">
        <f>'1 prepared data'!A90</f>
        <v/>
      </c>
      <c r="B97" s="5">
        <f>'1 prepared data'!U90</f>
        <v/>
      </c>
      <c r="C97">
        <f>'1 prepared data'!B90</f>
        <v/>
      </c>
      <c r="D97" s="7">
        <f>'1 prepared data'!C90</f>
        <v/>
      </c>
      <c r="E97" s="7">
        <f>'1 prepared data'!D90</f>
        <v/>
      </c>
      <c r="F97" s="7">
        <f>'1 prepared data'!E90</f>
        <v/>
      </c>
      <c r="G97" s="7">
        <f>'1 prepared data'!F90</f>
        <v/>
      </c>
      <c r="H97" s="7">
        <f>'1 prepared data'!G90</f>
        <v/>
      </c>
      <c r="I97" s="7">
        <f>'1 prepared data'!H90</f>
        <v/>
      </c>
      <c r="J97" s="7">
        <f>'1 prepared data'!I90</f>
        <v/>
      </c>
      <c r="K97" s="7">
        <f>'1 prepared data'!J90</f>
        <v/>
      </c>
      <c r="L97" s="7">
        <f>'1 prepared data'!K90</f>
        <v/>
      </c>
      <c r="M97" s="7">
        <f>'1 prepared data'!L90</f>
        <v/>
      </c>
      <c r="N97" s="7">
        <f>'1 prepared data'!M90</f>
        <v/>
      </c>
      <c r="O97" s="7">
        <f>'1 prepared data'!N90</f>
        <v/>
      </c>
      <c r="P97" s="7">
        <f>'1 prepared data'!O90</f>
        <v/>
      </c>
      <c r="Q97" s="7">
        <f>'1 prepared data'!P90</f>
        <v/>
      </c>
      <c r="R97" s="7">
        <f>'1 prepared data'!Q90</f>
        <v/>
      </c>
      <c r="S97" s="7">
        <f>'1 prepared data'!R90</f>
        <v/>
      </c>
      <c r="T97" s="7">
        <f>'1 prepared data'!S90</f>
        <v/>
      </c>
      <c r="U97" s="7">
        <f>'1 prepared data'!T90</f>
        <v/>
      </c>
      <c r="V97" s="8">
        <f>$AC$12+D97*$AC$13+E97*$AC$14+F97*$AC$15+G97*$AC$16+H97*$AC$17+I97*$AC$18+J97*$AC$19+K97*$AC$20+L97*$AC$21+M97*$AC$22+N97*$AC$23+O97*$AC$24+P97*$AC$25+Q97*$AC$26+R97*$AC$27+S97*$AC$28+T97*$AC$29+U97*$AC$30</f>
        <v/>
      </c>
      <c r="W97" s="8">
        <f>1/(1+EXP(-V97))</f>
        <v/>
      </c>
      <c r="X97" s="9">
        <f>-IF(C97=1,LN(W97),LN(1-W97))</f>
        <v/>
      </c>
      <c r="Y97" s="10">
        <f>IF(W97&gt;$AC$34,1,0)</f>
        <v/>
      </c>
      <c r="Z97">
        <f>IF(Y97=C97,1,0)</f>
        <v/>
      </c>
    </row>
    <row r="98">
      <c r="A98">
        <f>'1 prepared data'!A91</f>
        <v/>
      </c>
      <c r="B98" s="5">
        <f>'1 prepared data'!U91</f>
        <v/>
      </c>
      <c r="C98">
        <f>'1 prepared data'!B91</f>
        <v/>
      </c>
      <c r="D98" s="7">
        <f>'1 prepared data'!C91</f>
        <v/>
      </c>
      <c r="E98" s="7">
        <f>'1 prepared data'!D91</f>
        <v/>
      </c>
      <c r="F98" s="7">
        <f>'1 prepared data'!E91</f>
        <v/>
      </c>
      <c r="G98" s="7">
        <f>'1 prepared data'!F91</f>
        <v/>
      </c>
      <c r="H98" s="7">
        <f>'1 prepared data'!G91</f>
        <v/>
      </c>
      <c r="I98" s="7">
        <f>'1 prepared data'!H91</f>
        <v/>
      </c>
      <c r="J98" s="7">
        <f>'1 prepared data'!I91</f>
        <v/>
      </c>
      <c r="K98" s="7">
        <f>'1 prepared data'!J91</f>
        <v/>
      </c>
      <c r="L98" s="7">
        <f>'1 prepared data'!K91</f>
        <v/>
      </c>
      <c r="M98" s="7">
        <f>'1 prepared data'!L91</f>
        <v/>
      </c>
      <c r="N98" s="7">
        <f>'1 prepared data'!M91</f>
        <v/>
      </c>
      <c r="O98" s="7">
        <f>'1 prepared data'!N91</f>
        <v/>
      </c>
      <c r="P98" s="7">
        <f>'1 prepared data'!O91</f>
        <v/>
      </c>
      <c r="Q98" s="7">
        <f>'1 prepared data'!P91</f>
        <v/>
      </c>
      <c r="R98" s="7">
        <f>'1 prepared data'!Q91</f>
        <v/>
      </c>
      <c r="S98" s="7">
        <f>'1 prepared data'!R91</f>
        <v/>
      </c>
      <c r="T98" s="7">
        <f>'1 prepared data'!S91</f>
        <v/>
      </c>
      <c r="U98" s="7">
        <f>'1 prepared data'!T91</f>
        <v/>
      </c>
      <c r="V98" s="8">
        <f>$AC$12+D98*$AC$13+E98*$AC$14+F98*$AC$15+G98*$AC$16+H98*$AC$17+I98*$AC$18+J98*$AC$19+K98*$AC$20+L98*$AC$21+M98*$AC$22+N98*$AC$23+O98*$AC$24+P98*$AC$25+Q98*$AC$26+R98*$AC$27+S98*$AC$28+T98*$AC$29+U98*$AC$30</f>
        <v/>
      </c>
      <c r="W98" s="8">
        <f>1/(1+EXP(-V98))</f>
        <v/>
      </c>
      <c r="X98" s="9">
        <f>-IF(C98=1,LN(W98),LN(1-W98))</f>
        <v/>
      </c>
      <c r="Y98" s="10">
        <f>IF(W98&gt;$AC$34,1,0)</f>
        <v/>
      </c>
      <c r="Z98">
        <f>IF(Y98=C98,1,0)</f>
        <v/>
      </c>
    </row>
    <row r="99">
      <c r="A99">
        <f>'1 prepared data'!A92</f>
        <v/>
      </c>
      <c r="B99" s="5">
        <f>'1 prepared data'!U92</f>
        <v/>
      </c>
      <c r="C99">
        <f>'1 prepared data'!B92</f>
        <v/>
      </c>
      <c r="D99" s="7">
        <f>'1 prepared data'!C92</f>
        <v/>
      </c>
      <c r="E99" s="7">
        <f>'1 prepared data'!D92</f>
        <v/>
      </c>
      <c r="F99" s="7">
        <f>'1 prepared data'!E92</f>
        <v/>
      </c>
      <c r="G99" s="7">
        <f>'1 prepared data'!F92</f>
        <v/>
      </c>
      <c r="H99" s="7">
        <f>'1 prepared data'!G92</f>
        <v/>
      </c>
      <c r="I99" s="7">
        <f>'1 prepared data'!H92</f>
        <v/>
      </c>
      <c r="J99" s="7">
        <f>'1 prepared data'!I92</f>
        <v/>
      </c>
      <c r="K99" s="7">
        <f>'1 prepared data'!J92</f>
        <v/>
      </c>
      <c r="L99" s="7">
        <f>'1 prepared data'!K92</f>
        <v/>
      </c>
      <c r="M99" s="7">
        <f>'1 prepared data'!L92</f>
        <v/>
      </c>
      <c r="N99" s="7">
        <f>'1 prepared data'!M92</f>
        <v/>
      </c>
      <c r="O99" s="7">
        <f>'1 prepared data'!N92</f>
        <v/>
      </c>
      <c r="P99" s="7">
        <f>'1 prepared data'!O92</f>
        <v/>
      </c>
      <c r="Q99" s="7">
        <f>'1 prepared data'!P92</f>
        <v/>
      </c>
      <c r="R99" s="7">
        <f>'1 prepared data'!Q92</f>
        <v/>
      </c>
      <c r="S99" s="7">
        <f>'1 prepared data'!R92</f>
        <v/>
      </c>
      <c r="T99" s="7">
        <f>'1 prepared data'!S92</f>
        <v/>
      </c>
      <c r="U99" s="7">
        <f>'1 prepared data'!T92</f>
        <v/>
      </c>
      <c r="V99" s="8">
        <f>$AC$12+D99*$AC$13+E99*$AC$14+F99*$AC$15+G99*$AC$16+H99*$AC$17+I99*$AC$18+J99*$AC$19+K99*$AC$20+L99*$AC$21+M99*$AC$22+N99*$AC$23+O99*$AC$24+P99*$AC$25+Q99*$AC$26+R99*$AC$27+S99*$AC$28+T99*$AC$29+U99*$AC$30</f>
        <v/>
      </c>
      <c r="W99" s="8">
        <f>1/(1+EXP(-V99))</f>
        <v/>
      </c>
      <c r="X99" s="9">
        <f>-IF(C99=1,LN(W99),LN(1-W99))</f>
        <v/>
      </c>
      <c r="Y99" s="10">
        <f>IF(W99&gt;$AC$34,1,0)</f>
        <v/>
      </c>
      <c r="Z99">
        <f>IF(Y99=C99,1,0)</f>
        <v/>
      </c>
    </row>
    <row r="100">
      <c r="A100">
        <f>'1 prepared data'!A93</f>
        <v/>
      </c>
      <c r="B100" s="5">
        <f>'1 prepared data'!U93</f>
        <v/>
      </c>
      <c r="C100">
        <f>'1 prepared data'!B93</f>
        <v/>
      </c>
      <c r="D100" s="7">
        <f>'1 prepared data'!C93</f>
        <v/>
      </c>
      <c r="E100" s="7">
        <f>'1 prepared data'!D93</f>
        <v/>
      </c>
      <c r="F100" s="7">
        <f>'1 prepared data'!E93</f>
        <v/>
      </c>
      <c r="G100" s="7">
        <f>'1 prepared data'!F93</f>
        <v/>
      </c>
      <c r="H100" s="7">
        <f>'1 prepared data'!G93</f>
        <v/>
      </c>
      <c r="I100" s="7">
        <f>'1 prepared data'!H93</f>
        <v/>
      </c>
      <c r="J100" s="7">
        <f>'1 prepared data'!I93</f>
        <v/>
      </c>
      <c r="K100" s="7">
        <f>'1 prepared data'!J93</f>
        <v/>
      </c>
      <c r="L100" s="7">
        <f>'1 prepared data'!K93</f>
        <v/>
      </c>
      <c r="M100" s="7">
        <f>'1 prepared data'!L93</f>
        <v/>
      </c>
      <c r="N100" s="7">
        <f>'1 prepared data'!M93</f>
        <v/>
      </c>
      <c r="O100" s="7">
        <f>'1 prepared data'!N93</f>
        <v/>
      </c>
      <c r="P100" s="7">
        <f>'1 prepared data'!O93</f>
        <v/>
      </c>
      <c r="Q100" s="7">
        <f>'1 prepared data'!P93</f>
        <v/>
      </c>
      <c r="R100" s="7">
        <f>'1 prepared data'!Q93</f>
        <v/>
      </c>
      <c r="S100" s="7">
        <f>'1 prepared data'!R93</f>
        <v/>
      </c>
      <c r="T100" s="7">
        <f>'1 prepared data'!S93</f>
        <v/>
      </c>
      <c r="U100" s="7">
        <f>'1 prepared data'!T93</f>
        <v/>
      </c>
      <c r="V100" s="8">
        <f>$AC$12+D100*$AC$13+E100*$AC$14+F100*$AC$15+G100*$AC$16+H100*$AC$17+I100*$AC$18+J100*$AC$19+K100*$AC$20+L100*$AC$21+M100*$AC$22+N100*$AC$23+O100*$AC$24+P100*$AC$25+Q100*$AC$26+R100*$AC$27+S100*$AC$28+T100*$AC$29+U100*$AC$30</f>
        <v/>
      </c>
      <c r="W100" s="8">
        <f>1/(1+EXP(-V100))</f>
        <v/>
      </c>
      <c r="X100" s="9">
        <f>-IF(C100=1,LN(W100),LN(1-W100))</f>
        <v/>
      </c>
      <c r="Y100" s="10">
        <f>IF(W100&gt;$AC$34,1,0)</f>
        <v/>
      </c>
      <c r="Z100">
        <f>IF(Y100=C100,1,0)</f>
        <v/>
      </c>
    </row>
    <row r="101">
      <c r="A101">
        <f>'1 prepared data'!A94</f>
        <v/>
      </c>
      <c r="B101" s="5">
        <f>'1 prepared data'!U94</f>
        <v/>
      </c>
      <c r="C101">
        <f>'1 prepared data'!B94</f>
        <v/>
      </c>
      <c r="D101" s="7">
        <f>'1 prepared data'!C94</f>
        <v/>
      </c>
      <c r="E101" s="7">
        <f>'1 prepared data'!D94</f>
        <v/>
      </c>
      <c r="F101" s="7">
        <f>'1 prepared data'!E94</f>
        <v/>
      </c>
      <c r="G101" s="7">
        <f>'1 prepared data'!F94</f>
        <v/>
      </c>
      <c r="H101" s="7">
        <f>'1 prepared data'!G94</f>
        <v/>
      </c>
      <c r="I101" s="7">
        <f>'1 prepared data'!H94</f>
        <v/>
      </c>
      <c r="J101" s="7">
        <f>'1 prepared data'!I94</f>
        <v/>
      </c>
      <c r="K101" s="7">
        <f>'1 prepared data'!J94</f>
        <v/>
      </c>
      <c r="L101" s="7">
        <f>'1 prepared data'!K94</f>
        <v/>
      </c>
      <c r="M101" s="7">
        <f>'1 prepared data'!L94</f>
        <v/>
      </c>
      <c r="N101" s="7">
        <f>'1 prepared data'!M94</f>
        <v/>
      </c>
      <c r="O101" s="7">
        <f>'1 prepared data'!N94</f>
        <v/>
      </c>
      <c r="P101" s="7">
        <f>'1 prepared data'!O94</f>
        <v/>
      </c>
      <c r="Q101" s="7">
        <f>'1 prepared data'!P94</f>
        <v/>
      </c>
      <c r="R101" s="7">
        <f>'1 prepared data'!Q94</f>
        <v/>
      </c>
      <c r="S101" s="7">
        <f>'1 prepared data'!R94</f>
        <v/>
      </c>
      <c r="T101" s="7">
        <f>'1 prepared data'!S94</f>
        <v/>
      </c>
      <c r="U101" s="7">
        <f>'1 prepared data'!T94</f>
        <v/>
      </c>
      <c r="V101" s="8">
        <f>$AC$12+D101*$AC$13+E101*$AC$14+F101*$AC$15+G101*$AC$16+H101*$AC$17+I101*$AC$18+J101*$AC$19+K101*$AC$20+L101*$AC$21+M101*$AC$22+N101*$AC$23+O101*$AC$24+P101*$AC$25+Q101*$AC$26+R101*$AC$27+S101*$AC$28+T101*$AC$29+U101*$AC$30</f>
        <v/>
      </c>
      <c r="W101" s="8">
        <f>1/(1+EXP(-V101))</f>
        <v/>
      </c>
      <c r="X101" s="9">
        <f>-IF(C101=1,LN(W101),LN(1-W101))</f>
        <v/>
      </c>
      <c r="Y101" s="10">
        <f>IF(W101&gt;$AC$34,1,0)</f>
        <v/>
      </c>
      <c r="Z101">
        <f>IF(Y101=C101,1,0)</f>
        <v/>
      </c>
    </row>
    <row r="102">
      <c r="A102">
        <f>'1 prepared data'!A95</f>
        <v/>
      </c>
      <c r="B102" s="5">
        <f>'1 prepared data'!U95</f>
        <v/>
      </c>
      <c r="C102">
        <f>'1 prepared data'!B95</f>
        <v/>
      </c>
      <c r="D102" s="7">
        <f>'1 prepared data'!C95</f>
        <v/>
      </c>
      <c r="E102" s="7">
        <f>'1 prepared data'!D95</f>
        <v/>
      </c>
      <c r="F102" s="7">
        <f>'1 prepared data'!E95</f>
        <v/>
      </c>
      <c r="G102" s="7">
        <f>'1 prepared data'!F95</f>
        <v/>
      </c>
      <c r="H102" s="7">
        <f>'1 prepared data'!G95</f>
        <v/>
      </c>
      <c r="I102" s="7">
        <f>'1 prepared data'!H95</f>
        <v/>
      </c>
      <c r="J102" s="7">
        <f>'1 prepared data'!I95</f>
        <v/>
      </c>
      <c r="K102" s="7">
        <f>'1 prepared data'!J95</f>
        <v/>
      </c>
      <c r="L102" s="7">
        <f>'1 prepared data'!K95</f>
        <v/>
      </c>
      <c r="M102" s="7">
        <f>'1 prepared data'!L95</f>
        <v/>
      </c>
      <c r="N102" s="7">
        <f>'1 prepared data'!M95</f>
        <v/>
      </c>
      <c r="O102" s="7">
        <f>'1 prepared data'!N95</f>
        <v/>
      </c>
      <c r="P102" s="7">
        <f>'1 prepared data'!O95</f>
        <v/>
      </c>
      <c r="Q102" s="7">
        <f>'1 prepared data'!P95</f>
        <v/>
      </c>
      <c r="R102" s="7">
        <f>'1 prepared data'!Q95</f>
        <v/>
      </c>
      <c r="S102" s="7">
        <f>'1 prepared data'!R95</f>
        <v/>
      </c>
      <c r="T102" s="7">
        <f>'1 prepared data'!S95</f>
        <v/>
      </c>
      <c r="U102" s="7">
        <f>'1 prepared data'!T95</f>
        <v/>
      </c>
      <c r="V102" s="8">
        <f>$AC$12+D102*$AC$13+E102*$AC$14+F102*$AC$15+G102*$AC$16+H102*$AC$17+I102*$AC$18+J102*$AC$19+K102*$AC$20+L102*$AC$21+M102*$AC$22+N102*$AC$23+O102*$AC$24+P102*$AC$25+Q102*$AC$26+R102*$AC$27+S102*$AC$28+T102*$AC$29+U102*$AC$30</f>
        <v/>
      </c>
      <c r="W102" s="8">
        <f>1/(1+EXP(-V102))</f>
        <v/>
      </c>
      <c r="X102" s="9">
        <f>-IF(C102=1,LN(W102),LN(1-W102))</f>
        <v/>
      </c>
      <c r="Y102" s="10">
        <f>IF(W102&gt;$AC$34,1,0)</f>
        <v/>
      </c>
      <c r="Z102">
        <f>IF(Y102=C102,1,0)</f>
        <v/>
      </c>
    </row>
    <row r="103">
      <c r="A103">
        <f>'1 prepared data'!A96</f>
        <v/>
      </c>
      <c r="B103" s="5">
        <f>'1 prepared data'!U96</f>
        <v/>
      </c>
      <c r="C103">
        <f>'1 prepared data'!B96</f>
        <v/>
      </c>
      <c r="D103" s="7">
        <f>'1 prepared data'!C96</f>
        <v/>
      </c>
      <c r="E103" s="7">
        <f>'1 prepared data'!D96</f>
        <v/>
      </c>
      <c r="F103" s="7">
        <f>'1 prepared data'!E96</f>
        <v/>
      </c>
      <c r="G103" s="7">
        <f>'1 prepared data'!F96</f>
        <v/>
      </c>
      <c r="H103" s="7">
        <f>'1 prepared data'!G96</f>
        <v/>
      </c>
      <c r="I103" s="7">
        <f>'1 prepared data'!H96</f>
        <v/>
      </c>
      <c r="J103" s="7">
        <f>'1 prepared data'!I96</f>
        <v/>
      </c>
      <c r="K103" s="7">
        <f>'1 prepared data'!J96</f>
        <v/>
      </c>
      <c r="L103" s="7">
        <f>'1 prepared data'!K96</f>
        <v/>
      </c>
      <c r="M103" s="7">
        <f>'1 prepared data'!L96</f>
        <v/>
      </c>
      <c r="N103" s="7">
        <f>'1 prepared data'!M96</f>
        <v/>
      </c>
      <c r="O103" s="7">
        <f>'1 prepared data'!N96</f>
        <v/>
      </c>
      <c r="P103" s="7">
        <f>'1 prepared data'!O96</f>
        <v/>
      </c>
      <c r="Q103" s="7">
        <f>'1 prepared data'!P96</f>
        <v/>
      </c>
      <c r="R103" s="7">
        <f>'1 prepared data'!Q96</f>
        <v/>
      </c>
      <c r="S103" s="7">
        <f>'1 prepared data'!R96</f>
        <v/>
      </c>
      <c r="T103" s="7">
        <f>'1 prepared data'!S96</f>
        <v/>
      </c>
      <c r="U103" s="7">
        <f>'1 prepared data'!T96</f>
        <v/>
      </c>
      <c r="V103" s="8">
        <f>$AC$12+D103*$AC$13+E103*$AC$14+F103*$AC$15+G103*$AC$16+H103*$AC$17+I103*$AC$18+J103*$AC$19+K103*$AC$20+L103*$AC$21+M103*$AC$22+N103*$AC$23+O103*$AC$24+P103*$AC$25+Q103*$AC$26+R103*$AC$27+S103*$AC$28+T103*$AC$29+U103*$AC$30</f>
        <v/>
      </c>
      <c r="W103" s="8">
        <f>1/(1+EXP(-V103))</f>
        <v/>
      </c>
      <c r="X103" s="9">
        <f>-IF(C103=1,LN(W103),LN(1-W103))</f>
        <v/>
      </c>
      <c r="Y103" s="10">
        <f>IF(W103&gt;$AC$34,1,0)</f>
        <v/>
      </c>
      <c r="Z103">
        <f>IF(Y103=C103,1,0)</f>
        <v/>
      </c>
    </row>
    <row r="104">
      <c r="A104">
        <f>'1 prepared data'!A97</f>
        <v/>
      </c>
      <c r="B104" s="5">
        <f>'1 prepared data'!U97</f>
        <v/>
      </c>
      <c r="C104">
        <f>'1 prepared data'!B97</f>
        <v/>
      </c>
      <c r="D104" s="7">
        <f>'1 prepared data'!C97</f>
        <v/>
      </c>
      <c r="E104" s="7">
        <f>'1 prepared data'!D97</f>
        <v/>
      </c>
      <c r="F104" s="7">
        <f>'1 prepared data'!E97</f>
        <v/>
      </c>
      <c r="G104" s="7">
        <f>'1 prepared data'!F97</f>
        <v/>
      </c>
      <c r="H104" s="7">
        <f>'1 prepared data'!G97</f>
        <v/>
      </c>
      <c r="I104" s="7">
        <f>'1 prepared data'!H97</f>
        <v/>
      </c>
      <c r="J104" s="7">
        <f>'1 prepared data'!I97</f>
        <v/>
      </c>
      <c r="K104" s="7">
        <f>'1 prepared data'!J97</f>
        <v/>
      </c>
      <c r="L104" s="7">
        <f>'1 prepared data'!K97</f>
        <v/>
      </c>
      <c r="M104" s="7">
        <f>'1 prepared data'!L97</f>
        <v/>
      </c>
      <c r="N104" s="7">
        <f>'1 prepared data'!M97</f>
        <v/>
      </c>
      <c r="O104" s="7">
        <f>'1 prepared data'!N97</f>
        <v/>
      </c>
      <c r="P104" s="7">
        <f>'1 prepared data'!O97</f>
        <v/>
      </c>
      <c r="Q104" s="7">
        <f>'1 prepared data'!P97</f>
        <v/>
      </c>
      <c r="R104" s="7">
        <f>'1 prepared data'!Q97</f>
        <v/>
      </c>
      <c r="S104" s="7">
        <f>'1 prepared data'!R97</f>
        <v/>
      </c>
      <c r="T104" s="7">
        <f>'1 prepared data'!S97</f>
        <v/>
      </c>
      <c r="U104" s="7">
        <f>'1 prepared data'!T97</f>
        <v/>
      </c>
      <c r="V104" s="8">
        <f>$AC$12+D104*$AC$13+E104*$AC$14+F104*$AC$15+G104*$AC$16+H104*$AC$17+I104*$AC$18+J104*$AC$19+K104*$AC$20+L104*$AC$21+M104*$AC$22+N104*$AC$23+O104*$AC$24+P104*$AC$25+Q104*$AC$26+R104*$AC$27+S104*$AC$28+T104*$AC$29+U104*$AC$30</f>
        <v/>
      </c>
      <c r="W104" s="8">
        <f>1/(1+EXP(-V104))</f>
        <v/>
      </c>
      <c r="X104" s="9">
        <f>-IF(C104=1,LN(W104),LN(1-W104))</f>
        <v/>
      </c>
      <c r="Y104" s="10">
        <f>IF(W104&gt;$AC$34,1,0)</f>
        <v/>
      </c>
      <c r="Z104">
        <f>IF(Y104=C104,1,0)</f>
        <v/>
      </c>
    </row>
    <row r="105">
      <c r="A105">
        <f>'1 prepared data'!A98</f>
        <v/>
      </c>
      <c r="B105" s="5">
        <f>'1 prepared data'!U98</f>
        <v/>
      </c>
      <c r="C105">
        <f>'1 prepared data'!B98</f>
        <v/>
      </c>
      <c r="D105" s="7">
        <f>'1 prepared data'!C98</f>
        <v/>
      </c>
      <c r="E105" s="7">
        <f>'1 prepared data'!D98</f>
        <v/>
      </c>
      <c r="F105" s="7">
        <f>'1 prepared data'!E98</f>
        <v/>
      </c>
      <c r="G105" s="7">
        <f>'1 prepared data'!F98</f>
        <v/>
      </c>
      <c r="H105" s="7">
        <f>'1 prepared data'!G98</f>
        <v/>
      </c>
      <c r="I105" s="7">
        <f>'1 prepared data'!H98</f>
        <v/>
      </c>
      <c r="J105" s="7">
        <f>'1 prepared data'!I98</f>
        <v/>
      </c>
      <c r="K105" s="7">
        <f>'1 prepared data'!J98</f>
        <v/>
      </c>
      <c r="L105" s="7">
        <f>'1 prepared data'!K98</f>
        <v/>
      </c>
      <c r="M105" s="7">
        <f>'1 prepared data'!L98</f>
        <v/>
      </c>
      <c r="N105" s="7">
        <f>'1 prepared data'!M98</f>
        <v/>
      </c>
      <c r="O105" s="7">
        <f>'1 prepared data'!N98</f>
        <v/>
      </c>
      <c r="P105" s="7">
        <f>'1 prepared data'!O98</f>
        <v/>
      </c>
      <c r="Q105" s="7">
        <f>'1 prepared data'!P98</f>
        <v/>
      </c>
      <c r="R105" s="7">
        <f>'1 prepared data'!Q98</f>
        <v/>
      </c>
      <c r="S105" s="7">
        <f>'1 prepared data'!R98</f>
        <v/>
      </c>
      <c r="T105" s="7">
        <f>'1 prepared data'!S98</f>
        <v/>
      </c>
      <c r="U105" s="7">
        <f>'1 prepared data'!T98</f>
        <v/>
      </c>
      <c r="V105" s="8">
        <f>$AC$12+D105*$AC$13+E105*$AC$14+F105*$AC$15+G105*$AC$16+H105*$AC$17+I105*$AC$18+J105*$AC$19+K105*$AC$20+L105*$AC$21+M105*$AC$22+N105*$AC$23+O105*$AC$24+P105*$AC$25+Q105*$AC$26+R105*$AC$27+S105*$AC$28+T105*$AC$29+U105*$AC$30</f>
        <v/>
      </c>
      <c r="W105" s="8">
        <f>1/(1+EXP(-V105))</f>
        <v/>
      </c>
      <c r="X105" s="9">
        <f>-IF(C105=1,LN(W105),LN(1-W105))</f>
        <v/>
      </c>
      <c r="Y105" s="10">
        <f>IF(W105&gt;$AC$34,1,0)</f>
        <v/>
      </c>
      <c r="Z105">
        <f>IF(Y105=C105,1,0)</f>
        <v/>
      </c>
    </row>
    <row r="106">
      <c r="A106">
        <f>'1 prepared data'!A99</f>
        <v/>
      </c>
      <c r="B106" s="5">
        <f>'1 prepared data'!U99</f>
        <v/>
      </c>
      <c r="C106">
        <f>'1 prepared data'!B99</f>
        <v/>
      </c>
      <c r="D106" s="7">
        <f>'1 prepared data'!C99</f>
        <v/>
      </c>
      <c r="E106" s="7">
        <f>'1 prepared data'!D99</f>
        <v/>
      </c>
      <c r="F106" s="7">
        <f>'1 prepared data'!E99</f>
        <v/>
      </c>
      <c r="G106" s="7">
        <f>'1 prepared data'!F99</f>
        <v/>
      </c>
      <c r="H106" s="7">
        <f>'1 prepared data'!G99</f>
        <v/>
      </c>
      <c r="I106" s="7">
        <f>'1 prepared data'!H99</f>
        <v/>
      </c>
      <c r="J106" s="7">
        <f>'1 prepared data'!I99</f>
        <v/>
      </c>
      <c r="K106" s="7">
        <f>'1 prepared data'!J99</f>
        <v/>
      </c>
      <c r="L106" s="7">
        <f>'1 prepared data'!K99</f>
        <v/>
      </c>
      <c r="M106" s="7">
        <f>'1 prepared data'!L99</f>
        <v/>
      </c>
      <c r="N106" s="7">
        <f>'1 prepared data'!M99</f>
        <v/>
      </c>
      <c r="O106" s="7">
        <f>'1 prepared data'!N99</f>
        <v/>
      </c>
      <c r="P106" s="7">
        <f>'1 prepared data'!O99</f>
        <v/>
      </c>
      <c r="Q106" s="7">
        <f>'1 prepared data'!P99</f>
        <v/>
      </c>
      <c r="R106" s="7">
        <f>'1 prepared data'!Q99</f>
        <v/>
      </c>
      <c r="S106" s="7">
        <f>'1 prepared data'!R99</f>
        <v/>
      </c>
      <c r="T106" s="7">
        <f>'1 prepared data'!S99</f>
        <v/>
      </c>
      <c r="U106" s="7">
        <f>'1 prepared data'!T99</f>
        <v/>
      </c>
      <c r="V106" s="8">
        <f>$AC$12+D106*$AC$13+E106*$AC$14+F106*$AC$15+G106*$AC$16+H106*$AC$17+I106*$AC$18+J106*$AC$19+K106*$AC$20+L106*$AC$21+M106*$AC$22+N106*$AC$23+O106*$AC$24+P106*$AC$25+Q106*$AC$26+R106*$AC$27+S106*$AC$28+T106*$AC$29+U106*$AC$30</f>
        <v/>
      </c>
      <c r="W106" s="8">
        <f>1/(1+EXP(-V106))</f>
        <v/>
      </c>
      <c r="X106" s="9">
        <f>-IF(C106=1,LN(W106),LN(1-W106))</f>
        <v/>
      </c>
      <c r="Y106" s="10">
        <f>IF(W106&gt;$AC$34,1,0)</f>
        <v/>
      </c>
      <c r="Z106">
        <f>IF(Y106=C106,1,0)</f>
        <v/>
      </c>
    </row>
    <row r="107">
      <c r="A107">
        <f>'1 prepared data'!A100</f>
        <v/>
      </c>
      <c r="B107" s="5">
        <f>'1 prepared data'!U100</f>
        <v/>
      </c>
      <c r="C107">
        <f>'1 prepared data'!B100</f>
        <v/>
      </c>
      <c r="D107" s="7">
        <f>'1 prepared data'!C100</f>
        <v/>
      </c>
      <c r="E107" s="7">
        <f>'1 prepared data'!D100</f>
        <v/>
      </c>
      <c r="F107" s="7">
        <f>'1 prepared data'!E100</f>
        <v/>
      </c>
      <c r="G107" s="7">
        <f>'1 prepared data'!F100</f>
        <v/>
      </c>
      <c r="H107" s="7">
        <f>'1 prepared data'!G100</f>
        <v/>
      </c>
      <c r="I107" s="7">
        <f>'1 prepared data'!H100</f>
        <v/>
      </c>
      <c r="J107" s="7">
        <f>'1 prepared data'!I100</f>
        <v/>
      </c>
      <c r="K107" s="7">
        <f>'1 prepared data'!J100</f>
        <v/>
      </c>
      <c r="L107" s="7">
        <f>'1 prepared data'!K100</f>
        <v/>
      </c>
      <c r="M107" s="7">
        <f>'1 prepared data'!L100</f>
        <v/>
      </c>
      <c r="N107" s="7">
        <f>'1 prepared data'!M100</f>
        <v/>
      </c>
      <c r="O107" s="7">
        <f>'1 prepared data'!N100</f>
        <v/>
      </c>
      <c r="P107" s="7">
        <f>'1 prepared data'!O100</f>
        <v/>
      </c>
      <c r="Q107" s="7">
        <f>'1 prepared data'!P100</f>
        <v/>
      </c>
      <c r="R107" s="7">
        <f>'1 prepared data'!Q100</f>
        <v/>
      </c>
      <c r="S107" s="7">
        <f>'1 prepared data'!R100</f>
        <v/>
      </c>
      <c r="T107" s="7">
        <f>'1 prepared data'!S100</f>
        <v/>
      </c>
      <c r="U107" s="7">
        <f>'1 prepared data'!T100</f>
        <v/>
      </c>
      <c r="V107" s="8">
        <f>$AC$12+D107*$AC$13+E107*$AC$14+F107*$AC$15+G107*$AC$16+H107*$AC$17+I107*$AC$18+J107*$AC$19+K107*$AC$20+L107*$AC$21+M107*$AC$22+N107*$AC$23+O107*$AC$24+P107*$AC$25+Q107*$AC$26+R107*$AC$27+S107*$AC$28+T107*$AC$29+U107*$AC$30</f>
        <v/>
      </c>
      <c r="W107" s="8">
        <f>1/(1+EXP(-V107))</f>
        <v/>
      </c>
      <c r="X107" s="9">
        <f>-IF(C107=1,LN(W107),LN(1-W107))</f>
        <v/>
      </c>
      <c r="Y107" s="10">
        <f>IF(W107&gt;$AC$34,1,0)</f>
        <v/>
      </c>
      <c r="Z107">
        <f>IF(Y107=C107,1,0)</f>
        <v/>
      </c>
    </row>
    <row r="108">
      <c r="A108">
        <f>'1 prepared data'!A101</f>
        <v/>
      </c>
      <c r="B108" s="5">
        <f>'1 prepared data'!U101</f>
        <v/>
      </c>
      <c r="C108">
        <f>'1 prepared data'!B101</f>
        <v/>
      </c>
      <c r="D108" s="7">
        <f>'1 prepared data'!C101</f>
        <v/>
      </c>
      <c r="E108" s="7">
        <f>'1 prepared data'!D101</f>
        <v/>
      </c>
      <c r="F108" s="7">
        <f>'1 prepared data'!E101</f>
        <v/>
      </c>
      <c r="G108" s="7">
        <f>'1 prepared data'!F101</f>
        <v/>
      </c>
      <c r="H108" s="7">
        <f>'1 prepared data'!G101</f>
        <v/>
      </c>
      <c r="I108" s="7">
        <f>'1 prepared data'!H101</f>
        <v/>
      </c>
      <c r="J108" s="7">
        <f>'1 prepared data'!I101</f>
        <v/>
      </c>
      <c r="K108" s="7">
        <f>'1 prepared data'!J101</f>
        <v/>
      </c>
      <c r="L108" s="7">
        <f>'1 prepared data'!K101</f>
        <v/>
      </c>
      <c r="M108" s="7">
        <f>'1 prepared data'!L101</f>
        <v/>
      </c>
      <c r="N108" s="7">
        <f>'1 prepared data'!M101</f>
        <v/>
      </c>
      <c r="O108" s="7">
        <f>'1 prepared data'!N101</f>
        <v/>
      </c>
      <c r="P108" s="7">
        <f>'1 prepared data'!O101</f>
        <v/>
      </c>
      <c r="Q108" s="7">
        <f>'1 prepared data'!P101</f>
        <v/>
      </c>
      <c r="R108" s="7">
        <f>'1 prepared data'!Q101</f>
        <v/>
      </c>
      <c r="S108" s="7">
        <f>'1 prepared data'!R101</f>
        <v/>
      </c>
      <c r="T108" s="7">
        <f>'1 prepared data'!S101</f>
        <v/>
      </c>
      <c r="U108" s="7">
        <f>'1 prepared data'!T101</f>
        <v/>
      </c>
      <c r="V108" s="8">
        <f>$AC$12+D108*$AC$13+E108*$AC$14+F108*$AC$15+G108*$AC$16+H108*$AC$17+I108*$AC$18+J108*$AC$19+K108*$AC$20+L108*$AC$21+M108*$AC$22+N108*$AC$23+O108*$AC$24+P108*$AC$25+Q108*$AC$26+R108*$AC$27+S108*$AC$28+T108*$AC$29+U108*$AC$30</f>
        <v/>
      </c>
      <c r="W108" s="8">
        <f>1/(1+EXP(-V108))</f>
        <v/>
      </c>
      <c r="X108" s="9">
        <f>-IF(C108=1,LN(W108),LN(1-W108))</f>
        <v/>
      </c>
      <c r="Y108" s="10">
        <f>IF(W108&gt;$AC$34,1,0)</f>
        <v/>
      </c>
      <c r="Z108">
        <f>IF(Y108=C108,1,0)</f>
        <v/>
      </c>
    </row>
    <row r="109">
      <c r="A109">
        <f>'1 prepared data'!A102</f>
        <v/>
      </c>
      <c r="B109" s="5">
        <f>'1 prepared data'!U102</f>
        <v/>
      </c>
      <c r="C109">
        <f>'1 prepared data'!B102</f>
        <v/>
      </c>
      <c r="D109" s="7">
        <f>'1 prepared data'!C102</f>
        <v/>
      </c>
      <c r="E109" s="7">
        <f>'1 prepared data'!D102</f>
        <v/>
      </c>
      <c r="F109" s="7">
        <f>'1 prepared data'!E102</f>
        <v/>
      </c>
      <c r="G109" s="7">
        <f>'1 prepared data'!F102</f>
        <v/>
      </c>
      <c r="H109" s="7">
        <f>'1 prepared data'!G102</f>
        <v/>
      </c>
      <c r="I109" s="7">
        <f>'1 prepared data'!H102</f>
        <v/>
      </c>
      <c r="J109" s="7">
        <f>'1 prepared data'!I102</f>
        <v/>
      </c>
      <c r="K109" s="7">
        <f>'1 prepared data'!J102</f>
        <v/>
      </c>
      <c r="L109" s="7">
        <f>'1 prepared data'!K102</f>
        <v/>
      </c>
      <c r="M109" s="7">
        <f>'1 prepared data'!L102</f>
        <v/>
      </c>
      <c r="N109" s="7">
        <f>'1 prepared data'!M102</f>
        <v/>
      </c>
      <c r="O109" s="7">
        <f>'1 prepared data'!N102</f>
        <v/>
      </c>
      <c r="P109" s="7">
        <f>'1 prepared data'!O102</f>
        <v/>
      </c>
      <c r="Q109" s="7">
        <f>'1 prepared data'!P102</f>
        <v/>
      </c>
      <c r="R109" s="7">
        <f>'1 prepared data'!Q102</f>
        <v/>
      </c>
      <c r="S109" s="7">
        <f>'1 prepared data'!R102</f>
        <v/>
      </c>
      <c r="T109" s="7">
        <f>'1 prepared data'!S102</f>
        <v/>
      </c>
      <c r="U109" s="7">
        <f>'1 prepared data'!T102</f>
        <v/>
      </c>
      <c r="V109" s="8">
        <f>$AC$12+D109*$AC$13+E109*$AC$14+F109*$AC$15+G109*$AC$16+H109*$AC$17+I109*$AC$18+J109*$AC$19+K109*$AC$20+L109*$AC$21+M109*$AC$22+N109*$AC$23+O109*$AC$24+P109*$AC$25+Q109*$AC$26+R109*$AC$27+S109*$AC$28+T109*$AC$29+U109*$AC$30</f>
        <v/>
      </c>
      <c r="W109" s="8">
        <f>1/(1+EXP(-V109))</f>
        <v/>
      </c>
      <c r="X109" s="9">
        <f>-IF(C109=1,LN(W109),LN(1-W109))</f>
        <v/>
      </c>
      <c r="Y109" s="10">
        <f>IF(W109&gt;$AC$34,1,0)</f>
        <v/>
      </c>
      <c r="Z109">
        <f>IF(Y109=C109,1,0)</f>
        <v/>
      </c>
    </row>
    <row r="110">
      <c r="A110">
        <f>'1 prepared data'!A103</f>
        <v/>
      </c>
      <c r="B110" s="5">
        <f>'1 prepared data'!U103</f>
        <v/>
      </c>
      <c r="C110">
        <f>'1 prepared data'!B103</f>
        <v/>
      </c>
      <c r="D110" s="7">
        <f>'1 prepared data'!C103</f>
        <v/>
      </c>
      <c r="E110" s="7">
        <f>'1 prepared data'!D103</f>
        <v/>
      </c>
      <c r="F110" s="7">
        <f>'1 prepared data'!E103</f>
        <v/>
      </c>
      <c r="G110" s="7">
        <f>'1 prepared data'!F103</f>
        <v/>
      </c>
      <c r="H110" s="7">
        <f>'1 prepared data'!G103</f>
        <v/>
      </c>
      <c r="I110" s="7">
        <f>'1 prepared data'!H103</f>
        <v/>
      </c>
      <c r="J110" s="7">
        <f>'1 prepared data'!I103</f>
        <v/>
      </c>
      <c r="K110" s="7">
        <f>'1 prepared data'!J103</f>
        <v/>
      </c>
      <c r="L110" s="7">
        <f>'1 prepared data'!K103</f>
        <v/>
      </c>
      <c r="M110" s="7">
        <f>'1 prepared data'!L103</f>
        <v/>
      </c>
      <c r="N110" s="7">
        <f>'1 prepared data'!M103</f>
        <v/>
      </c>
      <c r="O110" s="7">
        <f>'1 prepared data'!N103</f>
        <v/>
      </c>
      <c r="P110" s="7">
        <f>'1 prepared data'!O103</f>
        <v/>
      </c>
      <c r="Q110" s="7">
        <f>'1 prepared data'!P103</f>
        <v/>
      </c>
      <c r="R110" s="7">
        <f>'1 prepared data'!Q103</f>
        <v/>
      </c>
      <c r="S110" s="7">
        <f>'1 prepared data'!R103</f>
        <v/>
      </c>
      <c r="T110" s="7">
        <f>'1 prepared data'!S103</f>
        <v/>
      </c>
      <c r="U110" s="7">
        <f>'1 prepared data'!T103</f>
        <v/>
      </c>
      <c r="V110" s="8">
        <f>$AC$12+D110*$AC$13+E110*$AC$14+F110*$AC$15+G110*$AC$16+H110*$AC$17+I110*$AC$18+J110*$AC$19+K110*$AC$20+L110*$AC$21+M110*$AC$22+N110*$AC$23+O110*$AC$24+P110*$AC$25+Q110*$AC$26+R110*$AC$27+S110*$AC$28+T110*$AC$29+U110*$AC$30</f>
        <v/>
      </c>
      <c r="W110" s="8">
        <f>1/(1+EXP(-V110))</f>
        <v/>
      </c>
      <c r="X110" s="9">
        <f>-IF(C110=1,LN(W110),LN(1-W110))</f>
        <v/>
      </c>
      <c r="Y110" s="10">
        <f>IF(W110&gt;$AC$34,1,0)</f>
        <v/>
      </c>
      <c r="Z110">
        <f>IF(Y110=C110,1,0)</f>
        <v/>
      </c>
    </row>
    <row r="111">
      <c r="A111">
        <f>'1 prepared data'!A104</f>
        <v/>
      </c>
      <c r="B111" s="5">
        <f>'1 prepared data'!U104</f>
        <v/>
      </c>
      <c r="C111">
        <f>'1 prepared data'!B104</f>
        <v/>
      </c>
      <c r="D111" s="7">
        <f>'1 prepared data'!C104</f>
        <v/>
      </c>
      <c r="E111" s="7">
        <f>'1 prepared data'!D104</f>
        <v/>
      </c>
      <c r="F111" s="7">
        <f>'1 prepared data'!E104</f>
        <v/>
      </c>
      <c r="G111" s="7">
        <f>'1 prepared data'!F104</f>
        <v/>
      </c>
      <c r="H111" s="7">
        <f>'1 prepared data'!G104</f>
        <v/>
      </c>
      <c r="I111" s="7">
        <f>'1 prepared data'!H104</f>
        <v/>
      </c>
      <c r="J111" s="7">
        <f>'1 prepared data'!I104</f>
        <v/>
      </c>
      <c r="K111" s="7">
        <f>'1 prepared data'!J104</f>
        <v/>
      </c>
      <c r="L111" s="7">
        <f>'1 prepared data'!K104</f>
        <v/>
      </c>
      <c r="M111" s="7">
        <f>'1 prepared data'!L104</f>
        <v/>
      </c>
      <c r="N111" s="7">
        <f>'1 prepared data'!M104</f>
        <v/>
      </c>
      <c r="O111" s="7">
        <f>'1 prepared data'!N104</f>
        <v/>
      </c>
      <c r="P111" s="7">
        <f>'1 prepared data'!O104</f>
        <v/>
      </c>
      <c r="Q111" s="7">
        <f>'1 prepared data'!P104</f>
        <v/>
      </c>
      <c r="R111" s="7">
        <f>'1 prepared data'!Q104</f>
        <v/>
      </c>
      <c r="S111" s="7">
        <f>'1 prepared data'!R104</f>
        <v/>
      </c>
      <c r="T111" s="7">
        <f>'1 prepared data'!S104</f>
        <v/>
      </c>
      <c r="U111" s="7">
        <f>'1 prepared data'!T104</f>
        <v/>
      </c>
      <c r="V111" s="8">
        <f>$AC$12+D111*$AC$13+E111*$AC$14+F111*$AC$15+G111*$AC$16+H111*$AC$17+I111*$AC$18+J111*$AC$19+K111*$AC$20+L111*$AC$21+M111*$AC$22+N111*$AC$23+O111*$AC$24+P111*$AC$25+Q111*$AC$26+R111*$AC$27+S111*$AC$28+T111*$AC$29+U111*$AC$30</f>
        <v/>
      </c>
      <c r="W111" s="8">
        <f>1/(1+EXP(-V111))</f>
        <v/>
      </c>
      <c r="X111" s="9">
        <f>-IF(C111=1,LN(W111),LN(1-W111))</f>
        <v/>
      </c>
      <c r="Y111" s="10">
        <f>IF(W111&gt;$AC$34,1,0)</f>
        <v/>
      </c>
      <c r="Z111">
        <f>IF(Y111=C111,1,0)</f>
        <v/>
      </c>
    </row>
    <row r="112">
      <c r="A112">
        <f>'1 prepared data'!A105</f>
        <v/>
      </c>
      <c r="B112" s="5">
        <f>'1 prepared data'!U105</f>
        <v/>
      </c>
      <c r="C112">
        <f>'1 prepared data'!B105</f>
        <v/>
      </c>
      <c r="D112" s="7">
        <f>'1 prepared data'!C105</f>
        <v/>
      </c>
      <c r="E112" s="7">
        <f>'1 prepared data'!D105</f>
        <v/>
      </c>
      <c r="F112" s="7">
        <f>'1 prepared data'!E105</f>
        <v/>
      </c>
      <c r="G112" s="7">
        <f>'1 prepared data'!F105</f>
        <v/>
      </c>
      <c r="H112" s="7">
        <f>'1 prepared data'!G105</f>
        <v/>
      </c>
      <c r="I112" s="7">
        <f>'1 prepared data'!H105</f>
        <v/>
      </c>
      <c r="J112" s="7">
        <f>'1 prepared data'!I105</f>
        <v/>
      </c>
      <c r="K112" s="7">
        <f>'1 prepared data'!J105</f>
        <v/>
      </c>
      <c r="L112" s="7">
        <f>'1 prepared data'!K105</f>
        <v/>
      </c>
      <c r="M112" s="7">
        <f>'1 prepared data'!L105</f>
        <v/>
      </c>
      <c r="N112" s="7">
        <f>'1 prepared data'!M105</f>
        <v/>
      </c>
      <c r="O112" s="7">
        <f>'1 prepared data'!N105</f>
        <v/>
      </c>
      <c r="P112" s="7">
        <f>'1 prepared data'!O105</f>
        <v/>
      </c>
      <c r="Q112" s="7">
        <f>'1 prepared data'!P105</f>
        <v/>
      </c>
      <c r="R112" s="7">
        <f>'1 prepared data'!Q105</f>
        <v/>
      </c>
      <c r="S112" s="7">
        <f>'1 prepared data'!R105</f>
        <v/>
      </c>
      <c r="T112" s="7">
        <f>'1 prepared data'!S105</f>
        <v/>
      </c>
      <c r="U112" s="7">
        <f>'1 prepared data'!T105</f>
        <v/>
      </c>
      <c r="V112" s="8">
        <f>$AC$12+D112*$AC$13+E112*$AC$14+F112*$AC$15+G112*$AC$16+H112*$AC$17+I112*$AC$18+J112*$AC$19+K112*$AC$20+L112*$AC$21+M112*$AC$22+N112*$AC$23+O112*$AC$24+P112*$AC$25+Q112*$AC$26+R112*$AC$27+S112*$AC$28+T112*$AC$29+U112*$AC$30</f>
        <v/>
      </c>
      <c r="W112" s="8">
        <f>1/(1+EXP(-V112))</f>
        <v/>
      </c>
      <c r="X112" s="9">
        <f>-IF(C112=1,LN(W112),LN(1-W112))</f>
        <v/>
      </c>
      <c r="Y112" s="10">
        <f>IF(W112&gt;$AC$34,1,0)</f>
        <v/>
      </c>
      <c r="Z112">
        <f>IF(Y112=C112,1,0)</f>
        <v/>
      </c>
    </row>
    <row r="113">
      <c r="A113">
        <f>'1 prepared data'!A106</f>
        <v/>
      </c>
      <c r="B113" s="5">
        <f>'1 prepared data'!U106</f>
        <v/>
      </c>
      <c r="C113">
        <f>'1 prepared data'!B106</f>
        <v/>
      </c>
      <c r="D113" s="7">
        <f>'1 prepared data'!C106</f>
        <v/>
      </c>
      <c r="E113" s="7">
        <f>'1 prepared data'!D106</f>
        <v/>
      </c>
      <c r="F113" s="7">
        <f>'1 prepared data'!E106</f>
        <v/>
      </c>
      <c r="G113" s="7">
        <f>'1 prepared data'!F106</f>
        <v/>
      </c>
      <c r="H113" s="7">
        <f>'1 prepared data'!G106</f>
        <v/>
      </c>
      <c r="I113" s="7">
        <f>'1 prepared data'!H106</f>
        <v/>
      </c>
      <c r="J113" s="7">
        <f>'1 prepared data'!I106</f>
        <v/>
      </c>
      <c r="K113" s="7">
        <f>'1 prepared data'!J106</f>
        <v/>
      </c>
      <c r="L113" s="7">
        <f>'1 prepared data'!K106</f>
        <v/>
      </c>
      <c r="M113" s="7">
        <f>'1 prepared data'!L106</f>
        <v/>
      </c>
      <c r="N113" s="7">
        <f>'1 prepared data'!M106</f>
        <v/>
      </c>
      <c r="O113" s="7">
        <f>'1 prepared data'!N106</f>
        <v/>
      </c>
      <c r="P113" s="7">
        <f>'1 prepared data'!O106</f>
        <v/>
      </c>
      <c r="Q113" s="7">
        <f>'1 prepared data'!P106</f>
        <v/>
      </c>
      <c r="R113" s="7">
        <f>'1 prepared data'!Q106</f>
        <v/>
      </c>
      <c r="S113" s="7">
        <f>'1 prepared data'!R106</f>
        <v/>
      </c>
      <c r="T113" s="7">
        <f>'1 prepared data'!S106</f>
        <v/>
      </c>
      <c r="U113" s="7">
        <f>'1 prepared data'!T106</f>
        <v/>
      </c>
      <c r="V113" s="8">
        <f>$AC$12+D113*$AC$13+E113*$AC$14+F113*$AC$15+G113*$AC$16+H113*$AC$17+I113*$AC$18+J113*$AC$19+K113*$AC$20+L113*$AC$21+M113*$AC$22+N113*$AC$23+O113*$AC$24+P113*$AC$25+Q113*$AC$26+R113*$AC$27+S113*$AC$28+T113*$AC$29+U113*$AC$30</f>
        <v/>
      </c>
      <c r="W113" s="8">
        <f>1/(1+EXP(-V113))</f>
        <v/>
      </c>
      <c r="X113" s="9">
        <f>-IF(C113=1,LN(W113),LN(1-W113))</f>
        <v/>
      </c>
      <c r="Y113" s="10">
        <f>IF(W113&gt;$AC$34,1,0)</f>
        <v/>
      </c>
      <c r="Z113">
        <f>IF(Y113=C113,1,0)</f>
        <v/>
      </c>
    </row>
    <row r="114">
      <c r="A114">
        <f>'1 prepared data'!A107</f>
        <v/>
      </c>
      <c r="B114" s="5">
        <f>'1 prepared data'!U107</f>
        <v/>
      </c>
      <c r="C114">
        <f>'1 prepared data'!B107</f>
        <v/>
      </c>
      <c r="D114" s="7">
        <f>'1 prepared data'!C107</f>
        <v/>
      </c>
      <c r="E114" s="7">
        <f>'1 prepared data'!D107</f>
        <v/>
      </c>
      <c r="F114" s="7">
        <f>'1 prepared data'!E107</f>
        <v/>
      </c>
      <c r="G114" s="7">
        <f>'1 prepared data'!F107</f>
        <v/>
      </c>
      <c r="H114" s="7">
        <f>'1 prepared data'!G107</f>
        <v/>
      </c>
      <c r="I114" s="7">
        <f>'1 prepared data'!H107</f>
        <v/>
      </c>
      <c r="J114" s="7">
        <f>'1 prepared data'!I107</f>
        <v/>
      </c>
      <c r="K114" s="7">
        <f>'1 prepared data'!J107</f>
        <v/>
      </c>
      <c r="L114" s="7">
        <f>'1 prepared data'!K107</f>
        <v/>
      </c>
      <c r="M114" s="7">
        <f>'1 prepared data'!L107</f>
        <v/>
      </c>
      <c r="N114" s="7">
        <f>'1 prepared data'!M107</f>
        <v/>
      </c>
      <c r="O114" s="7">
        <f>'1 prepared data'!N107</f>
        <v/>
      </c>
      <c r="P114" s="7">
        <f>'1 prepared data'!O107</f>
        <v/>
      </c>
      <c r="Q114" s="7">
        <f>'1 prepared data'!P107</f>
        <v/>
      </c>
      <c r="R114" s="7">
        <f>'1 prepared data'!Q107</f>
        <v/>
      </c>
      <c r="S114" s="7">
        <f>'1 prepared data'!R107</f>
        <v/>
      </c>
      <c r="T114" s="7">
        <f>'1 prepared data'!S107</f>
        <v/>
      </c>
      <c r="U114" s="7">
        <f>'1 prepared data'!T107</f>
        <v/>
      </c>
      <c r="V114" s="8">
        <f>$AC$12+D114*$AC$13+E114*$AC$14+F114*$AC$15+G114*$AC$16+H114*$AC$17+I114*$AC$18+J114*$AC$19+K114*$AC$20+L114*$AC$21+M114*$AC$22+N114*$AC$23+O114*$AC$24+P114*$AC$25+Q114*$AC$26+R114*$AC$27+S114*$AC$28+T114*$AC$29+U114*$AC$30</f>
        <v/>
      </c>
      <c r="W114" s="8">
        <f>1/(1+EXP(-V114))</f>
        <v/>
      </c>
      <c r="X114" s="9">
        <f>-IF(C114=1,LN(W114),LN(1-W114))</f>
        <v/>
      </c>
      <c r="Y114" s="10">
        <f>IF(W114&gt;$AC$34,1,0)</f>
        <v/>
      </c>
      <c r="Z114">
        <f>IF(Y114=C114,1,0)</f>
        <v/>
      </c>
    </row>
    <row r="115">
      <c r="A115">
        <f>'1 prepared data'!A108</f>
        <v/>
      </c>
      <c r="B115" s="5">
        <f>'1 prepared data'!U108</f>
        <v/>
      </c>
      <c r="C115">
        <f>'1 prepared data'!B108</f>
        <v/>
      </c>
      <c r="D115" s="7">
        <f>'1 prepared data'!C108</f>
        <v/>
      </c>
      <c r="E115" s="7">
        <f>'1 prepared data'!D108</f>
        <v/>
      </c>
      <c r="F115" s="7">
        <f>'1 prepared data'!E108</f>
        <v/>
      </c>
      <c r="G115" s="7">
        <f>'1 prepared data'!F108</f>
        <v/>
      </c>
      <c r="H115" s="7">
        <f>'1 prepared data'!G108</f>
        <v/>
      </c>
      <c r="I115" s="7">
        <f>'1 prepared data'!H108</f>
        <v/>
      </c>
      <c r="J115" s="7">
        <f>'1 prepared data'!I108</f>
        <v/>
      </c>
      <c r="K115" s="7">
        <f>'1 prepared data'!J108</f>
        <v/>
      </c>
      <c r="L115" s="7">
        <f>'1 prepared data'!K108</f>
        <v/>
      </c>
      <c r="M115" s="7">
        <f>'1 prepared data'!L108</f>
        <v/>
      </c>
      <c r="N115" s="7">
        <f>'1 prepared data'!M108</f>
        <v/>
      </c>
      <c r="O115" s="7">
        <f>'1 prepared data'!N108</f>
        <v/>
      </c>
      <c r="P115" s="7">
        <f>'1 prepared data'!O108</f>
        <v/>
      </c>
      <c r="Q115" s="7">
        <f>'1 prepared data'!P108</f>
        <v/>
      </c>
      <c r="R115" s="7">
        <f>'1 prepared data'!Q108</f>
        <v/>
      </c>
      <c r="S115" s="7">
        <f>'1 prepared data'!R108</f>
        <v/>
      </c>
      <c r="T115" s="7">
        <f>'1 prepared data'!S108</f>
        <v/>
      </c>
      <c r="U115" s="7">
        <f>'1 prepared data'!T108</f>
        <v/>
      </c>
      <c r="V115" s="8">
        <f>$AC$12+D115*$AC$13+E115*$AC$14+F115*$AC$15+G115*$AC$16+H115*$AC$17+I115*$AC$18+J115*$AC$19+K115*$AC$20+L115*$AC$21+M115*$AC$22+N115*$AC$23+O115*$AC$24+P115*$AC$25+Q115*$AC$26+R115*$AC$27+S115*$AC$28+T115*$AC$29+U115*$AC$30</f>
        <v/>
      </c>
      <c r="W115" s="8">
        <f>1/(1+EXP(-V115))</f>
        <v/>
      </c>
      <c r="X115" s="9">
        <f>-IF(C115=1,LN(W115),LN(1-W115))</f>
        <v/>
      </c>
      <c r="Y115" s="10">
        <f>IF(W115&gt;$AC$34,1,0)</f>
        <v/>
      </c>
      <c r="Z115">
        <f>IF(Y115=C115,1,0)</f>
        <v/>
      </c>
    </row>
    <row r="116">
      <c r="A116">
        <f>'1 prepared data'!A109</f>
        <v/>
      </c>
      <c r="B116" s="5">
        <f>'1 prepared data'!U109</f>
        <v/>
      </c>
      <c r="C116">
        <f>'1 prepared data'!B109</f>
        <v/>
      </c>
      <c r="D116" s="7">
        <f>'1 prepared data'!C109</f>
        <v/>
      </c>
      <c r="E116" s="7">
        <f>'1 prepared data'!D109</f>
        <v/>
      </c>
      <c r="F116" s="7">
        <f>'1 prepared data'!E109</f>
        <v/>
      </c>
      <c r="G116" s="7">
        <f>'1 prepared data'!F109</f>
        <v/>
      </c>
      <c r="H116" s="7">
        <f>'1 prepared data'!G109</f>
        <v/>
      </c>
      <c r="I116" s="7">
        <f>'1 prepared data'!H109</f>
        <v/>
      </c>
      <c r="J116" s="7">
        <f>'1 prepared data'!I109</f>
        <v/>
      </c>
      <c r="K116" s="7">
        <f>'1 prepared data'!J109</f>
        <v/>
      </c>
      <c r="L116" s="7">
        <f>'1 prepared data'!K109</f>
        <v/>
      </c>
      <c r="M116" s="7">
        <f>'1 prepared data'!L109</f>
        <v/>
      </c>
      <c r="N116" s="7">
        <f>'1 prepared data'!M109</f>
        <v/>
      </c>
      <c r="O116" s="7">
        <f>'1 prepared data'!N109</f>
        <v/>
      </c>
      <c r="P116" s="7">
        <f>'1 prepared data'!O109</f>
        <v/>
      </c>
      <c r="Q116" s="7">
        <f>'1 prepared data'!P109</f>
        <v/>
      </c>
      <c r="R116" s="7">
        <f>'1 prepared data'!Q109</f>
        <v/>
      </c>
      <c r="S116" s="7">
        <f>'1 prepared data'!R109</f>
        <v/>
      </c>
      <c r="T116" s="7">
        <f>'1 prepared data'!S109</f>
        <v/>
      </c>
      <c r="U116" s="7">
        <f>'1 prepared data'!T109</f>
        <v/>
      </c>
      <c r="V116" s="8">
        <f>$AC$12+D116*$AC$13+E116*$AC$14+F116*$AC$15+G116*$AC$16+H116*$AC$17+I116*$AC$18+J116*$AC$19+K116*$AC$20+L116*$AC$21+M116*$AC$22+N116*$AC$23+O116*$AC$24+P116*$AC$25+Q116*$AC$26+R116*$AC$27+S116*$AC$28+T116*$AC$29+U116*$AC$30</f>
        <v/>
      </c>
      <c r="W116" s="8">
        <f>1/(1+EXP(-V116))</f>
        <v/>
      </c>
      <c r="X116" s="9">
        <f>-IF(C116=1,LN(W116),LN(1-W116))</f>
        <v/>
      </c>
      <c r="Y116" s="10">
        <f>IF(W116&gt;$AC$34,1,0)</f>
        <v/>
      </c>
      <c r="Z116">
        <f>IF(Y116=C116,1,0)</f>
        <v/>
      </c>
    </row>
    <row r="117">
      <c r="A117">
        <f>'1 prepared data'!A110</f>
        <v/>
      </c>
      <c r="B117" s="5">
        <f>'1 prepared data'!U110</f>
        <v/>
      </c>
      <c r="C117">
        <f>'1 prepared data'!B110</f>
        <v/>
      </c>
      <c r="D117" s="7">
        <f>'1 prepared data'!C110</f>
        <v/>
      </c>
      <c r="E117" s="7">
        <f>'1 prepared data'!D110</f>
        <v/>
      </c>
      <c r="F117" s="7">
        <f>'1 prepared data'!E110</f>
        <v/>
      </c>
      <c r="G117" s="7">
        <f>'1 prepared data'!F110</f>
        <v/>
      </c>
      <c r="H117" s="7">
        <f>'1 prepared data'!G110</f>
        <v/>
      </c>
      <c r="I117" s="7">
        <f>'1 prepared data'!H110</f>
        <v/>
      </c>
      <c r="J117" s="7">
        <f>'1 prepared data'!I110</f>
        <v/>
      </c>
      <c r="K117" s="7">
        <f>'1 prepared data'!J110</f>
        <v/>
      </c>
      <c r="L117" s="7">
        <f>'1 prepared data'!K110</f>
        <v/>
      </c>
      <c r="M117" s="7">
        <f>'1 prepared data'!L110</f>
        <v/>
      </c>
      <c r="N117" s="7">
        <f>'1 prepared data'!M110</f>
        <v/>
      </c>
      <c r="O117" s="7">
        <f>'1 prepared data'!N110</f>
        <v/>
      </c>
      <c r="P117" s="7">
        <f>'1 prepared data'!O110</f>
        <v/>
      </c>
      <c r="Q117" s="7">
        <f>'1 prepared data'!P110</f>
        <v/>
      </c>
      <c r="R117" s="7">
        <f>'1 prepared data'!Q110</f>
        <v/>
      </c>
      <c r="S117" s="7">
        <f>'1 prepared data'!R110</f>
        <v/>
      </c>
      <c r="T117" s="7">
        <f>'1 prepared data'!S110</f>
        <v/>
      </c>
      <c r="U117" s="7">
        <f>'1 prepared data'!T110</f>
        <v/>
      </c>
      <c r="V117" s="8">
        <f>$AC$12+D117*$AC$13+E117*$AC$14+F117*$AC$15+G117*$AC$16+H117*$AC$17+I117*$AC$18+J117*$AC$19+K117*$AC$20+L117*$AC$21+M117*$AC$22+N117*$AC$23+O117*$AC$24+P117*$AC$25+Q117*$AC$26+R117*$AC$27+S117*$AC$28+T117*$AC$29+U117*$AC$30</f>
        <v/>
      </c>
      <c r="W117" s="8">
        <f>1/(1+EXP(-V117))</f>
        <v/>
      </c>
      <c r="X117" s="9">
        <f>-IF(C117=1,LN(W117),LN(1-W117))</f>
        <v/>
      </c>
      <c r="Y117" s="10">
        <f>IF(W117&gt;$AC$34,1,0)</f>
        <v/>
      </c>
      <c r="Z117">
        <f>IF(Y117=C117,1,0)</f>
        <v/>
      </c>
    </row>
    <row r="118">
      <c r="A118">
        <f>'1 prepared data'!A111</f>
        <v/>
      </c>
      <c r="B118" s="5">
        <f>'1 prepared data'!U111</f>
        <v/>
      </c>
      <c r="C118">
        <f>'1 prepared data'!B111</f>
        <v/>
      </c>
      <c r="D118" s="7">
        <f>'1 prepared data'!C111</f>
        <v/>
      </c>
      <c r="E118" s="7">
        <f>'1 prepared data'!D111</f>
        <v/>
      </c>
      <c r="F118" s="7">
        <f>'1 prepared data'!E111</f>
        <v/>
      </c>
      <c r="G118" s="7">
        <f>'1 prepared data'!F111</f>
        <v/>
      </c>
      <c r="H118" s="7">
        <f>'1 prepared data'!G111</f>
        <v/>
      </c>
      <c r="I118" s="7">
        <f>'1 prepared data'!H111</f>
        <v/>
      </c>
      <c r="J118" s="7">
        <f>'1 prepared data'!I111</f>
        <v/>
      </c>
      <c r="K118" s="7">
        <f>'1 prepared data'!J111</f>
        <v/>
      </c>
      <c r="L118" s="7">
        <f>'1 prepared data'!K111</f>
        <v/>
      </c>
      <c r="M118" s="7">
        <f>'1 prepared data'!L111</f>
        <v/>
      </c>
      <c r="N118" s="7">
        <f>'1 prepared data'!M111</f>
        <v/>
      </c>
      <c r="O118" s="7">
        <f>'1 prepared data'!N111</f>
        <v/>
      </c>
      <c r="P118" s="7">
        <f>'1 prepared data'!O111</f>
        <v/>
      </c>
      <c r="Q118" s="7">
        <f>'1 prepared data'!P111</f>
        <v/>
      </c>
      <c r="R118" s="7">
        <f>'1 prepared data'!Q111</f>
        <v/>
      </c>
      <c r="S118" s="7">
        <f>'1 prepared data'!R111</f>
        <v/>
      </c>
      <c r="T118" s="7">
        <f>'1 prepared data'!S111</f>
        <v/>
      </c>
      <c r="U118" s="7">
        <f>'1 prepared data'!T111</f>
        <v/>
      </c>
      <c r="V118" s="8">
        <f>$AC$12+D118*$AC$13+E118*$AC$14+F118*$AC$15+G118*$AC$16+H118*$AC$17+I118*$AC$18+J118*$AC$19+K118*$AC$20+L118*$AC$21+M118*$AC$22+N118*$AC$23+O118*$AC$24+P118*$AC$25+Q118*$AC$26+R118*$AC$27+S118*$AC$28+T118*$AC$29+U118*$AC$30</f>
        <v/>
      </c>
      <c r="W118" s="8">
        <f>1/(1+EXP(-V118))</f>
        <v/>
      </c>
      <c r="X118" s="9">
        <f>-IF(C118=1,LN(W118),LN(1-W118))</f>
        <v/>
      </c>
      <c r="Y118" s="10">
        <f>IF(W118&gt;$AC$34,1,0)</f>
        <v/>
      </c>
      <c r="Z118">
        <f>IF(Y118=C118,1,0)</f>
        <v/>
      </c>
    </row>
    <row r="119">
      <c r="A119">
        <f>'1 prepared data'!A112</f>
        <v/>
      </c>
      <c r="B119" s="5">
        <f>'1 prepared data'!U112</f>
        <v/>
      </c>
      <c r="C119">
        <f>'1 prepared data'!B112</f>
        <v/>
      </c>
      <c r="D119" s="7">
        <f>'1 prepared data'!C112</f>
        <v/>
      </c>
      <c r="E119" s="7">
        <f>'1 prepared data'!D112</f>
        <v/>
      </c>
      <c r="F119" s="7">
        <f>'1 prepared data'!E112</f>
        <v/>
      </c>
      <c r="G119" s="7">
        <f>'1 prepared data'!F112</f>
        <v/>
      </c>
      <c r="H119" s="7">
        <f>'1 prepared data'!G112</f>
        <v/>
      </c>
      <c r="I119" s="7">
        <f>'1 prepared data'!H112</f>
        <v/>
      </c>
      <c r="J119" s="7">
        <f>'1 prepared data'!I112</f>
        <v/>
      </c>
      <c r="K119" s="7">
        <f>'1 prepared data'!J112</f>
        <v/>
      </c>
      <c r="L119" s="7">
        <f>'1 prepared data'!K112</f>
        <v/>
      </c>
      <c r="M119" s="7">
        <f>'1 prepared data'!L112</f>
        <v/>
      </c>
      <c r="N119" s="7">
        <f>'1 prepared data'!M112</f>
        <v/>
      </c>
      <c r="O119" s="7">
        <f>'1 prepared data'!N112</f>
        <v/>
      </c>
      <c r="P119" s="7">
        <f>'1 prepared data'!O112</f>
        <v/>
      </c>
      <c r="Q119" s="7">
        <f>'1 prepared data'!P112</f>
        <v/>
      </c>
      <c r="R119" s="7">
        <f>'1 prepared data'!Q112</f>
        <v/>
      </c>
      <c r="S119" s="7">
        <f>'1 prepared data'!R112</f>
        <v/>
      </c>
      <c r="T119" s="7">
        <f>'1 prepared data'!S112</f>
        <v/>
      </c>
      <c r="U119" s="7">
        <f>'1 prepared data'!T112</f>
        <v/>
      </c>
      <c r="V119" s="8">
        <f>$AC$12+D119*$AC$13+E119*$AC$14+F119*$AC$15+G119*$AC$16+H119*$AC$17+I119*$AC$18+J119*$AC$19+K119*$AC$20+L119*$AC$21+M119*$AC$22+N119*$AC$23+O119*$AC$24+P119*$AC$25+Q119*$AC$26+R119*$AC$27+S119*$AC$28+T119*$AC$29+U119*$AC$30</f>
        <v/>
      </c>
      <c r="W119" s="8">
        <f>1/(1+EXP(-V119))</f>
        <v/>
      </c>
      <c r="X119" s="9">
        <f>-IF(C119=1,LN(W119),LN(1-W119))</f>
        <v/>
      </c>
      <c r="Y119" s="10">
        <f>IF(W119&gt;$AC$34,1,0)</f>
        <v/>
      </c>
      <c r="Z119">
        <f>IF(Y119=C119,1,0)</f>
        <v/>
      </c>
    </row>
    <row r="120">
      <c r="A120">
        <f>'1 prepared data'!A113</f>
        <v/>
      </c>
      <c r="B120" s="5">
        <f>'1 prepared data'!U113</f>
        <v/>
      </c>
      <c r="C120">
        <f>'1 prepared data'!B113</f>
        <v/>
      </c>
      <c r="D120" s="7">
        <f>'1 prepared data'!C113</f>
        <v/>
      </c>
      <c r="E120" s="7">
        <f>'1 prepared data'!D113</f>
        <v/>
      </c>
      <c r="F120" s="7">
        <f>'1 prepared data'!E113</f>
        <v/>
      </c>
      <c r="G120" s="7">
        <f>'1 prepared data'!F113</f>
        <v/>
      </c>
      <c r="H120" s="7">
        <f>'1 prepared data'!G113</f>
        <v/>
      </c>
      <c r="I120" s="7">
        <f>'1 prepared data'!H113</f>
        <v/>
      </c>
      <c r="J120" s="7">
        <f>'1 prepared data'!I113</f>
        <v/>
      </c>
      <c r="K120" s="7">
        <f>'1 prepared data'!J113</f>
        <v/>
      </c>
      <c r="L120" s="7">
        <f>'1 prepared data'!K113</f>
        <v/>
      </c>
      <c r="M120" s="7">
        <f>'1 prepared data'!L113</f>
        <v/>
      </c>
      <c r="N120" s="7">
        <f>'1 prepared data'!M113</f>
        <v/>
      </c>
      <c r="O120" s="7">
        <f>'1 prepared data'!N113</f>
        <v/>
      </c>
      <c r="P120" s="7">
        <f>'1 prepared data'!O113</f>
        <v/>
      </c>
      <c r="Q120" s="7">
        <f>'1 prepared data'!P113</f>
        <v/>
      </c>
      <c r="R120" s="7">
        <f>'1 prepared data'!Q113</f>
        <v/>
      </c>
      <c r="S120" s="7">
        <f>'1 prepared data'!R113</f>
        <v/>
      </c>
      <c r="T120" s="7">
        <f>'1 prepared data'!S113</f>
        <v/>
      </c>
      <c r="U120" s="7">
        <f>'1 prepared data'!T113</f>
        <v/>
      </c>
      <c r="V120" s="8">
        <f>$AC$12+D120*$AC$13+E120*$AC$14+F120*$AC$15+G120*$AC$16+H120*$AC$17+I120*$AC$18+J120*$AC$19+K120*$AC$20+L120*$AC$21+M120*$AC$22+N120*$AC$23+O120*$AC$24+P120*$AC$25+Q120*$AC$26+R120*$AC$27+S120*$AC$28+T120*$AC$29+U120*$AC$30</f>
        <v/>
      </c>
      <c r="W120" s="8">
        <f>1/(1+EXP(-V120))</f>
        <v/>
      </c>
      <c r="X120" s="9">
        <f>-IF(C120=1,LN(W120),LN(1-W120))</f>
        <v/>
      </c>
      <c r="Y120" s="10">
        <f>IF(W120&gt;$AC$34,1,0)</f>
        <v/>
      </c>
      <c r="Z120">
        <f>IF(Y120=C120,1,0)</f>
        <v/>
      </c>
    </row>
    <row r="121">
      <c r="A121">
        <f>'1 prepared data'!A114</f>
        <v/>
      </c>
      <c r="B121" s="5">
        <f>'1 prepared data'!U114</f>
        <v/>
      </c>
      <c r="C121">
        <f>'1 prepared data'!B114</f>
        <v/>
      </c>
      <c r="D121" s="7">
        <f>'1 prepared data'!C114</f>
        <v/>
      </c>
      <c r="E121" s="7">
        <f>'1 prepared data'!D114</f>
        <v/>
      </c>
      <c r="F121" s="7">
        <f>'1 prepared data'!E114</f>
        <v/>
      </c>
      <c r="G121" s="7">
        <f>'1 prepared data'!F114</f>
        <v/>
      </c>
      <c r="H121" s="7">
        <f>'1 prepared data'!G114</f>
        <v/>
      </c>
      <c r="I121" s="7">
        <f>'1 prepared data'!H114</f>
        <v/>
      </c>
      <c r="J121" s="7">
        <f>'1 prepared data'!I114</f>
        <v/>
      </c>
      <c r="K121" s="7">
        <f>'1 prepared data'!J114</f>
        <v/>
      </c>
      <c r="L121" s="7">
        <f>'1 prepared data'!K114</f>
        <v/>
      </c>
      <c r="M121" s="7">
        <f>'1 prepared data'!L114</f>
        <v/>
      </c>
      <c r="N121" s="7">
        <f>'1 prepared data'!M114</f>
        <v/>
      </c>
      <c r="O121" s="7">
        <f>'1 prepared data'!N114</f>
        <v/>
      </c>
      <c r="P121" s="7">
        <f>'1 prepared data'!O114</f>
        <v/>
      </c>
      <c r="Q121" s="7">
        <f>'1 prepared data'!P114</f>
        <v/>
      </c>
      <c r="R121" s="7">
        <f>'1 prepared data'!Q114</f>
        <v/>
      </c>
      <c r="S121" s="7">
        <f>'1 prepared data'!R114</f>
        <v/>
      </c>
      <c r="T121" s="7">
        <f>'1 prepared data'!S114</f>
        <v/>
      </c>
      <c r="U121" s="7">
        <f>'1 prepared data'!T114</f>
        <v/>
      </c>
      <c r="V121" s="8">
        <f>$AC$12+D121*$AC$13+E121*$AC$14+F121*$AC$15+G121*$AC$16+H121*$AC$17+I121*$AC$18+J121*$AC$19+K121*$AC$20+L121*$AC$21+M121*$AC$22+N121*$AC$23+O121*$AC$24+P121*$AC$25+Q121*$AC$26+R121*$AC$27+S121*$AC$28+T121*$AC$29+U121*$AC$30</f>
        <v/>
      </c>
      <c r="W121" s="8">
        <f>1/(1+EXP(-V121))</f>
        <v/>
      </c>
      <c r="X121" s="9">
        <f>-IF(C121=1,LN(W121),LN(1-W121))</f>
        <v/>
      </c>
      <c r="Y121" s="10">
        <f>IF(W121&gt;$AC$34,1,0)</f>
        <v/>
      </c>
      <c r="Z121">
        <f>IF(Y121=C121,1,0)</f>
        <v/>
      </c>
    </row>
    <row r="122">
      <c r="A122">
        <f>'1 prepared data'!A115</f>
        <v/>
      </c>
      <c r="B122" s="5">
        <f>'1 prepared data'!U115</f>
        <v/>
      </c>
      <c r="C122">
        <f>'1 prepared data'!B115</f>
        <v/>
      </c>
      <c r="D122" s="7">
        <f>'1 prepared data'!C115</f>
        <v/>
      </c>
      <c r="E122" s="7">
        <f>'1 prepared data'!D115</f>
        <v/>
      </c>
      <c r="F122" s="7">
        <f>'1 prepared data'!E115</f>
        <v/>
      </c>
      <c r="G122" s="7">
        <f>'1 prepared data'!F115</f>
        <v/>
      </c>
      <c r="H122" s="7">
        <f>'1 prepared data'!G115</f>
        <v/>
      </c>
      <c r="I122" s="7">
        <f>'1 prepared data'!H115</f>
        <v/>
      </c>
      <c r="J122" s="7">
        <f>'1 prepared data'!I115</f>
        <v/>
      </c>
      <c r="K122" s="7">
        <f>'1 prepared data'!J115</f>
        <v/>
      </c>
      <c r="L122" s="7">
        <f>'1 prepared data'!K115</f>
        <v/>
      </c>
      <c r="M122" s="7">
        <f>'1 prepared data'!L115</f>
        <v/>
      </c>
      <c r="N122" s="7">
        <f>'1 prepared data'!M115</f>
        <v/>
      </c>
      <c r="O122" s="7">
        <f>'1 prepared data'!N115</f>
        <v/>
      </c>
      <c r="P122" s="7">
        <f>'1 prepared data'!O115</f>
        <v/>
      </c>
      <c r="Q122" s="7">
        <f>'1 prepared data'!P115</f>
        <v/>
      </c>
      <c r="R122" s="7">
        <f>'1 prepared data'!Q115</f>
        <v/>
      </c>
      <c r="S122" s="7">
        <f>'1 prepared data'!R115</f>
        <v/>
      </c>
      <c r="T122" s="7">
        <f>'1 prepared data'!S115</f>
        <v/>
      </c>
      <c r="U122" s="7">
        <f>'1 prepared data'!T115</f>
        <v/>
      </c>
      <c r="V122" s="8">
        <f>$AC$12+D122*$AC$13+E122*$AC$14+F122*$AC$15+G122*$AC$16+H122*$AC$17+I122*$AC$18+J122*$AC$19+K122*$AC$20+L122*$AC$21+M122*$AC$22+N122*$AC$23+O122*$AC$24+P122*$AC$25+Q122*$AC$26+R122*$AC$27+S122*$AC$28+T122*$AC$29+U122*$AC$30</f>
        <v/>
      </c>
      <c r="W122" s="8">
        <f>1/(1+EXP(-V122))</f>
        <v/>
      </c>
      <c r="X122" s="9">
        <f>-IF(C122=1,LN(W122),LN(1-W122))</f>
        <v/>
      </c>
      <c r="Y122" s="10">
        <f>IF(W122&gt;$AC$34,1,0)</f>
        <v/>
      </c>
      <c r="Z122">
        <f>IF(Y122=C122,1,0)</f>
        <v/>
      </c>
    </row>
    <row r="123">
      <c r="A123">
        <f>'1 prepared data'!A116</f>
        <v/>
      </c>
      <c r="B123" s="5">
        <f>'1 prepared data'!U116</f>
        <v/>
      </c>
      <c r="C123">
        <f>'1 prepared data'!B116</f>
        <v/>
      </c>
      <c r="D123" s="7">
        <f>'1 prepared data'!C116</f>
        <v/>
      </c>
      <c r="E123" s="7">
        <f>'1 prepared data'!D116</f>
        <v/>
      </c>
      <c r="F123" s="7">
        <f>'1 prepared data'!E116</f>
        <v/>
      </c>
      <c r="G123" s="7">
        <f>'1 prepared data'!F116</f>
        <v/>
      </c>
      <c r="H123" s="7">
        <f>'1 prepared data'!G116</f>
        <v/>
      </c>
      <c r="I123" s="7">
        <f>'1 prepared data'!H116</f>
        <v/>
      </c>
      <c r="J123" s="7">
        <f>'1 prepared data'!I116</f>
        <v/>
      </c>
      <c r="K123" s="7">
        <f>'1 prepared data'!J116</f>
        <v/>
      </c>
      <c r="L123" s="7">
        <f>'1 prepared data'!K116</f>
        <v/>
      </c>
      <c r="M123" s="7">
        <f>'1 prepared data'!L116</f>
        <v/>
      </c>
      <c r="N123" s="7">
        <f>'1 prepared data'!M116</f>
        <v/>
      </c>
      <c r="O123" s="7">
        <f>'1 prepared data'!N116</f>
        <v/>
      </c>
      <c r="P123" s="7">
        <f>'1 prepared data'!O116</f>
        <v/>
      </c>
      <c r="Q123" s="7">
        <f>'1 prepared data'!P116</f>
        <v/>
      </c>
      <c r="R123" s="7">
        <f>'1 prepared data'!Q116</f>
        <v/>
      </c>
      <c r="S123" s="7">
        <f>'1 prepared data'!R116</f>
        <v/>
      </c>
      <c r="T123" s="7">
        <f>'1 prepared data'!S116</f>
        <v/>
      </c>
      <c r="U123" s="7">
        <f>'1 prepared data'!T116</f>
        <v/>
      </c>
      <c r="V123" s="8">
        <f>$AC$12+D123*$AC$13+E123*$AC$14+F123*$AC$15+G123*$AC$16+H123*$AC$17+I123*$AC$18+J123*$AC$19+K123*$AC$20+L123*$AC$21+M123*$AC$22+N123*$AC$23+O123*$AC$24+P123*$AC$25+Q123*$AC$26+R123*$AC$27+S123*$AC$28+T123*$AC$29+U123*$AC$30</f>
        <v/>
      </c>
      <c r="W123" s="8">
        <f>1/(1+EXP(-V123))</f>
        <v/>
      </c>
      <c r="X123" s="9">
        <f>-IF(C123=1,LN(W123),LN(1-W123))</f>
        <v/>
      </c>
      <c r="Y123" s="10">
        <f>IF(W123&gt;$AC$34,1,0)</f>
        <v/>
      </c>
      <c r="Z123">
        <f>IF(Y123=C123,1,0)</f>
        <v/>
      </c>
    </row>
    <row r="124">
      <c r="A124">
        <f>'1 prepared data'!A117</f>
        <v/>
      </c>
      <c r="B124" s="5">
        <f>'1 prepared data'!U117</f>
        <v/>
      </c>
      <c r="C124">
        <f>'1 prepared data'!B117</f>
        <v/>
      </c>
      <c r="D124" s="7">
        <f>'1 prepared data'!C117</f>
        <v/>
      </c>
      <c r="E124" s="7">
        <f>'1 prepared data'!D117</f>
        <v/>
      </c>
      <c r="F124" s="7">
        <f>'1 prepared data'!E117</f>
        <v/>
      </c>
      <c r="G124" s="7">
        <f>'1 prepared data'!F117</f>
        <v/>
      </c>
      <c r="H124" s="7">
        <f>'1 prepared data'!G117</f>
        <v/>
      </c>
      <c r="I124" s="7">
        <f>'1 prepared data'!H117</f>
        <v/>
      </c>
      <c r="J124" s="7">
        <f>'1 prepared data'!I117</f>
        <v/>
      </c>
      <c r="K124" s="7">
        <f>'1 prepared data'!J117</f>
        <v/>
      </c>
      <c r="L124" s="7">
        <f>'1 prepared data'!K117</f>
        <v/>
      </c>
      <c r="M124" s="7">
        <f>'1 prepared data'!L117</f>
        <v/>
      </c>
      <c r="N124" s="7">
        <f>'1 prepared data'!M117</f>
        <v/>
      </c>
      <c r="O124" s="7">
        <f>'1 prepared data'!N117</f>
        <v/>
      </c>
      <c r="P124" s="7">
        <f>'1 prepared data'!O117</f>
        <v/>
      </c>
      <c r="Q124" s="7">
        <f>'1 prepared data'!P117</f>
        <v/>
      </c>
      <c r="R124" s="7">
        <f>'1 prepared data'!Q117</f>
        <v/>
      </c>
      <c r="S124" s="7">
        <f>'1 prepared data'!R117</f>
        <v/>
      </c>
      <c r="T124" s="7">
        <f>'1 prepared data'!S117</f>
        <v/>
      </c>
      <c r="U124" s="7">
        <f>'1 prepared data'!T117</f>
        <v/>
      </c>
      <c r="V124" s="8">
        <f>$AC$12+D124*$AC$13+E124*$AC$14+F124*$AC$15+G124*$AC$16+H124*$AC$17+I124*$AC$18+J124*$AC$19+K124*$AC$20+L124*$AC$21+M124*$AC$22+N124*$AC$23+O124*$AC$24+P124*$AC$25+Q124*$AC$26+R124*$AC$27+S124*$AC$28+T124*$AC$29+U124*$AC$30</f>
        <v/>
      </c>
      <c r="W124" s="8">
        <f>1/(1+EXP(-V124))</f>
        <v/>
      </c>
      <c r="X124" s="9">
        <f>-IF(C124=1,LN(W124),LN(1-W124))</f>
        <v/>
      </c>
      <c r="Y124" s="10">
        <f>IF(W124&gt;$AC$34,1,0)</f>
        <v/>
      </c>
      <c r="Z124">
        <f>IF(Y124=C124,1,0)</f>
        <v/>
      </c>
    </row>
    <row r="125">
      <c r="A125">
        <f>'1 prepared data'!A118</f>
        <v/>
      </c>
      <c r="B125" s="5">
        <f>'1 prepared data'!U118</f>
        <v/>
      </c>
      <c r="C125">
        <f>'1 prepared data'!B118</f>
        <v/>
      </c>
      <c r="D125" s="7">
        <f>'1 prepared data'!C118</f>
        <v/>
      </c>
      <c r="E125" s="7">
        <f>'1 prepared data'!D118</f>
        <v/>
      </c>
      <c r="F125" s="7">
        <f>'1 prepared data'!E118</f>
        <v/>
      </c>
      <c r="G125" s="7">
        <f>'1 prepared data'!F118</f>
        <v/>
      </c>
      <c r="H125" s="7">
        <f>'1 prepared data'!G118</f>
        <v/>
      </c>
      <c r="I125" s="7">
        <f>'1 prepared data'!H118</f>
        <v/>
      </c>
      <c r="J125" s="7">
        <f>'1 prepared data'!I118</f>
        <v/>
      </c>
      <c r="K125" s="7">
        <f>'1 prepared data'!J118</f>
        <v/>
      </c>
      <c r="L125" s="7">
        <f>'1 prepared data'!K118</f>
        <v/>
      </c>
      <c r="M125" s="7">
        <f>'1 prepared data'!L118</f>
        <v/>
      </c>
      <c r="N125" s="7">
        <f>'1 prepared data'!M118</f>
        <v/>
      </c>
      <c r="O125" s="7">
        <f>'1 prepared data'!N118</f>
        <v/>
      </c>
      <c r="P125" s="7">
        <f>'1 prepared data'!O118</f>
        <v/>
      </c>
      <c r="Q125" s="7">
        <f>'1 prepared data'!P118</f>
        <v/>
      </c>
      <c r="R125" s="7">
        <f>'1 prepared data'!Q118</f>
        <v/>
      </c>
      <c r="S125" s="7">
        <f>'1 prepared data'!R118</f>
        <v/>
      </c>
      <c r="T125" s="7">
        <f>'1 prepared data'!S118</f>
        <v/>
      </c>
      <c r="U125" s="7">
        <f>'1 prepared data'!T118</f>
        <v/>
      </c>
      <c r="V125" s="8">
        <f>$AC$12+D125*$AC$13+E125*$AC$14+F125*$AC$15+G125*$AC$16+H125*$AC$17+I125*$AC$18+J125*$AC$19+K125*$AC$20+L125*$AC$21+M125*$AC$22+N125*$AC$23+O125*$AC$24+P125*$AC$25+Q125*$AC$26+R125*$AC$27+S125*$AC$28+T125*$AC$29+U125*$AC$30</f>
        <v/>
      </c>
      <c r="W125" s="8">
        <f>1/(1+EXP(-V125))</f>
        <v/>
      </c>
      <c r="X125" s="9">
        <f>-IF(C125=1,LN(W125),LN(1-W125))</f>
        <v/>
      </c>
      <c r="Y125" s="10">
        <f>IF(W125&gt;$AC$34,1,0)</f>
        <v/>
      </c>
      <c r="Z125">
        <f>IF(Y125=C125,1,0)</f>
        <v/>
      </c>
    </row>
    <row r="126">
      <c r="A126">
        <f>'1 prepared data'!A119</f>
        <v/>
      </c>
      <c r="B126" s="5">
        <f>'1 prepared data'!U119</f>
        <v/>
      </c>
      <c r="C126">
        <f>'1 prepared data'!B119</f>
        <v/>
      </c>
      <c r="D126" s="7">
        <f>'1 prepared data'!C119</f>
        <v/>
      </c>
      <c r="E126" s="7">
        <f>'1 prepared data'!D119</f>
        <v/>
      </c>
      <c r="F126" s="7">
        <f>'1 prepared data'!E119</f>
        <v/>
      </c>
      <c r="G126" s="7">
        <f>'1 prepared data'!F119</f>
        <v/>
      </c>
      <c r="H126" s="7">
        <f>'1 prepared data'!G119</f>
        <v/>
      </c>
      <c r="I126" s="7">
        <f>'1 prepared data'!H119</f>
        <v/>
      </c>
      <c r="J126" s="7">
        <f>'1 prepared data'!I119</f>
        <v/>
      </c>
      <c r="K126" s="7">
        <f>'1 prepared data'!J119</f>
        <v/>
      </c>
      <c r="L126" s="7">
        <f>'1 prepared data'!K119</f>
        <v/>
      </c>
      <c r="M126" s="7">
        <f>'1 prepared data'!L119</f>
        <v/>
      </c>
      <c r="N126" s="7">
        <f>'1 prepared data'!M119</f>
        <v/>
      </c>
      <c r="O126" s="7">
        <f>'1 prepared data'!N119</f>
        <v/>
      </c>
      <c r="P126" s="7">
        <f>'1 prepared data'!O119</f>
        <v/>
      </c>
      <c r="Q126" s="7">
        <f>'1 prepared data'!P119</f>
        <v/>
      </c>
      <c r="R126" s="7">
        <f>'1 prepared data'!Q119</f>
        <v/>
      </c>
      <c r="S126" s="7">
        <f>'1 prepared data'!R119</f>
        <v/>
      </c>
      <c r="T126" s="7">
        <f>'1 prepared data'!S119</f>
        <v/>
      </c>
      <c r="U126" s="7">
        <f>'1 prepared data'!T119</f>
        <v/>
      </c>
      <c r="V126" s="8">
        <f>$AC$12+D126*$AC$13+E126*$AC$14+F126*$AC$15+G126*$AC$16+H126*$AC$17+I126*$AC$18+J126*$AC$19+K126*$AC$20+L126*$AC$21+M126*$AC$22+N126*$AC$23+O126*$AC$24+P126*$AC$25+Q126*$AC$26+R126*$AC$27+S126*$AC$28+T126*$AC$29+U126*$AC$30</f>
        <v/>
      </c>
      <c r="W126" s="8">
        <f>1/(1+EXP(-V126))</f>
        <v/>
      </c>
      <c r="X126" s="9">
        <f>-IF(C126=1,LN(W126),LN(1-W126))</f>
        <v/>
      </c>
      <c r="Y126" s="10">
        <f>IF(W126&gt;$AC$34,1,0)</f>
        <v/>
      </c>
      <c r="Z126">
        <f>IF(Y126=C126,1,0)</f>
        <v/>
      </c>
    </row>
    <row r="127">
      <c r="A127">
        <f>'1 prepared data'!A120</f>
        <v/>
      </c>
      <c r="B127" s="5">
        <f>'1 prepared data'!U120</f>
        <v/>
      </c>
      <c r="C127">
        <f>'1 prepared data'!B120</f>
        <v/>
      </c>
      <c r="D127" s="7">
        <f>'1 prepared data'!C120</f>
        <v/>
      </c>
      <c r="E127" s="7">
        <f>'1 prepared data'!D120</f>
        <v/>
      </c>
      <c r="F127" s="7">
        <f>'1 prepared data'!E120</f>
        <v/>
      </c>
      <c r="G127" s="7">
        <f>'1 prepared data'!F120</f>
        <v/>
      </c>
      <c r="H127" s="7">
        <f>'1 prepared data'!G120</f>
        <v/>
      </c>
      <c r="I127" s="7">
        <f>'1 prepared data'!H120</f>
        <v/>
      </c>
      <c r="J127" s="7">
        <f>'1 prepared data'!I120</f>
        <v/>
      </c>
      <c r="K127" s="7">
        <f>'1 prepared data'!J120</f>
        <v/>
      </c>
      <c r="L127" s="7">
        <f>'1 prepared data'!K120</f>
        <v/>
      </c>
      <c r="M127" s="7">
        <f>'1 prepared data'!L120</f>
        <v/>
      </c>
      <c r="N127" s="7">
        <f>'1 prepared data'!M120</f>
        <v/>
      </c>
      <c r="O127" s="7">
        <f>'1 prepared data'!N120</f>
        <v/>
      </c>
      <c r="P127" s="7">
        <f>'1 prepared data'!O120</f>
        <v/>
      </c>
      <c r="Q127" s="7">
        <f>'1 prepared data'!P120</f>
        <v/>
      </c>
      <c r="R127" s="7">
        <f>'1 prepared data'!Q120</f>
        <v/>
      </c>
      <c r="S127" s="7">
        <f>'1 prepared data'!R120</f>
        <v/>
      </c>
      <c r="T127" s="7">
        <f>'1 prepared data'!S120</f>
        <v/>
      </c>
      <c r="U127" s="7">
        <f>'1 prepared data'!T120</f>
        <v/>
      </c>
      <c r="V127" s="8">
        <f>$AC$12+D127*$AC$13+E127*$AC$14+F127*$AC$15+G127*$AC$16+H127*$AC$17+I127*$AC$18+J127*$AC$19+K127*$AC$20+L127*$AC$21+M127*$AC$22+N127*$AC$23+O127*$AC$24+P127*$AC$25+Q127*$AC$26+R127*$AC$27+S127*$AC$28+T127*$AC$29+U127*$AC$30</f>
        <v/>
      </c>
      <c r="W127" s="8">
        <f>1/(1+EXP(-V127))</f>
        <v/>
      </c>
      <c r="X127" s="9">
        <f>-IF(C127=1,LN(W127),LN(1-W127))</f>
        <v/>
      </c>
      <c r="Y127" s="10">
        <f>IF(W127&gt;$AC$34,1,0)</f>
        <v/>
      </c>
      <c r="Z127">
        <f>IF(Y127=C127,1,0)</f>
        <v/>
      </c>
    </row>
    <row r="128">
      <c r="A128">
        <f>'1 prepared data'!A121</f>
        <v/>
      </c>
      <c r="B128" s="5">
        <f>'1 prepared data'!U121</f>
        <v/>
      </c>
      <c r="C128">
        <f>'1 prepared data'!B121</f>
        <v/>
      </c>
      <c r="D128" s="7">
        <f>'1 prepared data'!C121</f>
        <v/>
      </c>
      <c r="E128" s="7">
        <f>'1 prepared data'!D121</f>
        <v/>
      </c>
      <c r="F128" s="7">
        <f>'1 prepared data'!E121</f>
        <v/>
      </c>
      <c r="G128" s="7">
        <f>'1 prepared data'!F121</f>
        <v/>
      </c>
      <c r="H128" s="7">
        <f>'1 prepared data'!G121</f>
        <v/>
      </c>
      <c r="I128" s="7">
        <f>'1 prepared data'!H121</f>
        <v/>
      </c>
      <c r="J128" s="7">
        <f>'1 prepared data'!I121</f>
        <v/>
      </c>
      <c r="K128" s="7">
        <f>'1 prepared data'!J121</f>
        <v/>
      </c>
      <c r="L128" s="7">
        <f>'1 prepared data'!K121</f>
        <v/>
      </c>
      <c r="M128" s="7">
        <f>'1 prepared data'!L121</f>
        <v/>
      </c>
      <c r="N128" s="7">
        <f>'1 prepared data'!M121</f>
        <v/>
      </c>
      <c r="O128" s="7">
        <f>'1 prepared data'!N121</f>
        <v/>
      </c>
      <c r="P128" s="7">
        <f>'1 prepared data'!O121</f>
        <v/>
      </c>
      <c r="Q128" s="7">
        <f>'1 prepared data'!P121</f>
        <v/>
      </c>
      <c r="R128" s="7">
        <f>'1 prepared data'!Q121</f>
        <v/>
      </c>
      <c r="S128" s="7">
        <f>'1 prepared data'!R121</f>
        <v/>
      </c>
      <c r="T128" s="7">
        <f>'1 prepared data'!S121</f>
        <v/>
      </c>
      <c r="U128" s="7">
        <f>'1 prepared data'!T121</f>
        <v/>
      </c>
      <c r="V128" s="8">
        <f>$AC$12+D128*$AC$13+E128*$AC$14+F128*$AC$15+G128*$AC$16+H128*$AC$17+I128*$AC$18+J128*$AC$19+K128*$AC$20+L128*$AC$21+M128*$AC$22+N128*$AC$23+O128*$AC$24+P128*$AC$25+Q128*$AC$26+R128*$AC$27+S128*$AC$28+T128*$AC$29+U128*$AC$30</f>
        <v/>
      </c>
      <c r="W128" s="8">
        <f>1/(1+EXP(-V128))</f>
        <v/>
      </c>
      <c r="X128" s="9">
        <f>-IF(C128=1,LN(W128),LN(1-W128))</f>
        <v/>
      </c>
      <c r="Y128" s="10">
        <f>IF(W128&gt;$AC$34,1,0)</f>
        <v/>
      </c>
      <c r="Z128">
        <f>IF(Y128=C128,1,0)</f>
        <v/>
      </c>
    </row>
    <row r="129">
      <c r="A129">
        <f>'1 prepared data'!A122</f>
        <v/>
      </c>
      <c r="B129" s="5">
        <f>'1 prepared data'!U122</f>
        <v/>
      </c>
      <c r="C129">
        <f>'1 prepared data'!B122</f>
        <v/>
      </c>
      <c r="D129" s="7">
        <f>'1 prepared data'!C122</f>
        <v/>
      </c>
      <c r="E129" s="7">
        <f>'1 prepared data'!D122</f>
        <v/>
      </c>
      <c r="F129" s="7">
        <f>'1 prepared data'!E122</f>
        <v/>
      </c>
      <c r="G129" s="7">
        <f>'1 prepared data'!F122</f>
        <v/>
      </c>
      <c r="H129" s="7">
        <f>'1 prepared data'!G122</f>
        <v/>
      </c>
      <c r="I129" s="7">
        <f>'1 prepared data'!H122</f>
        <v/>
      </c>
      <c r="J129" s="7">
        <f>'1 prepared data'!I122</f>
        <v/>
      </c>
      <c r="K129" s="7">
        <f>'1 prepared data'!J122</f>
        <v/>
      </c>
      <c r="L129" s="7">
        <f>'1 prepared data'!K122</f>
        <v/>
      </c>
      <c r="M129" s="7">
        <f>'1 prepared data'!L122</f>
        <v/>
      </c>
      <c r="N129" s="7">
        <f>'1 prepared data'!M122</f>
        <v/>
      </c>
      <c r="O129" s="7">
        <f>'1 prepared data'!N122</f>
        <v/>
      </c>
      <c r="P129" s="7">
        <f>'1 prepared data'!O122</f>
        <v/>
      </c>
      <c r="Q129" s="7">
        <f>'1 prepared data'!P122</f>
        <v/>
      </c>
      <c r="R129" s="7">
        <f>'1 prepared data'!Q122</f>
        <v/>
      </c>
      <c r="S129" s="7">
        <f>'1 prepared data'!R122</f>
        <v/>
      </c>
      <c r="T129" s="7">
        <f>'1 prepared data'!S122</f>
        <v/>
      </c>
      <c r="U129" s="7">
        <f>'1 prepared data'!T122</f>
        <v/>
      </c>
      <c r="V129" s="8">
        <f>$AC$12+D129*$AC$13+E129*$AC$14+F129*$AC$15+G129*$AC$16+H129*$AC$17+I129*$AC$18+J129*$AC$19+K129*$AC$20+L129*$AC$21+M129*$AC$22+N129*$AC$23+O129*$AC$24+P129*$AC$25+Q129*$AC$26+R129*$AC$27+S129*$AC$28+T129*$AC$29+U129*$AC$30</f>
        <v/>
      </c>
      <c r="W129" s="8">
        <f>1/(1+EXP(-V129))</f>
        <v/>
      </c>
      <c r="X129" s="9">
        <f>-IF(C129=1,LN(W129),LN(1-W129))</f>
        <v/>
      </c>
      <c r="Y129" s="10">
        <f>IF(W129&gt;$AC$34,1,0)</f>
        <v/>
      </c>
      <c r="Z129">
        <f>IF(Y129=C129,1,0)</f>
        <v/>
      </c>
    </row>
    <row r="130">
      <c r="A130">
        <f>'1 prepared data'!A123</f>
        <v/>
      </c>
      <c r="B130" s="5">
        <f>'1 prepared data'!U123</f>
        <v/>
      </c>
      <c r="C130">
        <f>'1 prepared data'!B123</f>
        <v/>
      </c>
      <c r="D130" s="7">
        <f>'1 prepared data'!C123</f>
        <v/>
      </c>
      <c r="E130" s="7">
        <f>'1 prepared data'!D123</f>
        <v/>
      </c>
      <c r="F130" s="7">
        <f>'1 prepared data'!E123</f>
        <v/>
      </c>
      <c r="G130" s="7">
        <f>'1 prepared data'!F123</f>
        <v/>
      </c>
      <c r="H130" s="7">
        <f>'1 prepared data'!G123</f>
        <v/>
      </c>
      <c r="I130" s="7">
        <f>'1 prepared data'!H123</f>
        <v/>
      </c>
      <c r="J130" s="7">
        <f>'1 prepared data'!I123</f>
        <v/>
      </c>
      <c r="K130" s="7">
        <f>'1 prepared data'!J123</f>
        <v/>
      </c>
      <c r="L130" s="7">
        <f>'1 prepared data'!K123</f>
        <v/>
      </c>
      <c r="M130" s="7">
        <f>'1 prepared data'!L123</f>
        <v/>
      </c>
      <c r="N130" s="7">
        <f>'1 prepared data'!M123</f>
        <v/>
      </c>
      <c r="O130" s="7">
        <f>'1 prepared data'!N123</f>
        <v/>
      </c>
      <c r="P130" s="7">
        <f>'1 prepared data'!O123</f>
        <v/>
      </c>
      <c r="Q130" s="7">
        <f>'1 prepared data'!P123</f>
        <v/>
      </c>
      <c r="R130" s="7">
        <f>'1 prepared data'!Q123</f>
        <v/>
      </c>
      <c r="S130" s="7">
        <f>'1 prepared data'!R123</f>
        <v/>
      </c>
      <c r="T130" s="7">
        <f>'1 prepared data'!S123</f>
        <v/>
      </c>
      <c r="U130" s="7">
        <f>'1 prepared data'!T123</f>
        <v/>
      </c>
      <c r="V130" s="8">
        <f>$AC$12+D130*$AC$13+E130*$AC$14+F130*$AC$15+G130*$AC$16+H130*$AC$17+I130*$AC$18+J130*$AC$19+K130*$AC$20+L130*$AC$21+M130*$AC$22+N130*$AC$23+O130*$AC$24+P130*$AC$25+Q130*$AC$26+R130*$AC$27+S130*$AC$28+T130*$AC$29+U130*$AC$30</f>
        <v/>
      </c>
      <c r="W130" s="8">
        <f>1/(1+EXP(-V130))</f>
        <v/>
      </c>
      <c r="X130" s="9">
        <f>-IF(C130=1,LN(W130),LN(1-W130))</f>
        <v/>
      </c>
      <c r="Y130" s="10">
        <f>IF(W130&gt;$AC$34,1,0)</f>
        <v/>
      </c>
      <c r="Z130">
        <f>IF(Y130=C130,1,0)</f>
        <v/>
      </c>
    </row>
    <row r="131">
      <c r="A131">
        <f>'1 prepared data'!A124</f>
        <v/>
      </c>
      <c r="B131" s="5">
        <f>'1 prepared data'!U124</f>
        <v/>
      </c>
      <c r="C131">
        <f>'1 prepared data'!B124</f>
        <v/>
      </c>
      <c r="D131" s="7">
        <f>'1 prepared data'!C124</f>
        <v/>
      </c>
      <c r="E131" s="7">
        <f>'1 prepared data'!D124</f>
        <v/>
      </c>
      <c r="F131" s="7">
        <f>'1 prepared data'!E124</f>
        <v/>
      </c>
      <c r="G131" s="7">
        <f>'1 prepared data'!F124</f>
        <v/>
      </c>
      <c r="H131" s="7">
        <f>'1 prepared data'!G124</f>
        <v/>
      </c>
      <c r="I131" s="7">
        <f>'1 prepared data'!H124</f>
        <v/>
      </c>
      <c r="J131" s="7">
        <f>'1 prepared data'!I124</f>
        <v/>
      </c>
      <c r="K131" s="7">
        <f>'1 prepared data'!J124</f>
        <v/>
      </c>
      <c r="L131" s="7">
        <f>'1 prepared data'!K124</f>
        <v/>
      </c>
      <c r="M131" s="7">
        <f>'1 prepared data'!L124</f>
        <v/>
      </c>
      <c r="N131" s="7">
        <f>'1 prepared data'!M124</f>
        <v/>
      </c>
      <c r="O131" s="7">
        <f>'1 prepared data'!N124</f>
        <v/>
      </c>
      <c r="P131" s="7">
        <f>'1 prepared data'!O124</f>
        <v/>
      </c>
      <c r="Q131" s="7">
        <f>'1 prepared data'!P124</f>
        <v/>
      </c>
      <c r="R131" s="7">
        <f>'1 prepared data'!Q124</f>
        <v/>
      </c>
      <c r="S131" s="7">
        <f>'1 prepared data'!R124</f>
        <v/>
      </c>
      <c r="T131" s="7">
        <f>'1 prepared data'!S124</f>
        <v/>
      </c>
      <c r="U131" s="7">
        <f>'1 prepared data'!T124</f>
        <v/>
      </c>
      <c r="V131" s="8">
        <f>$AC$12+D131*$AC$13+E131*$AC$14+F131*$AC$15+G131*$AC$16+H131*$AC$17+I131*$AC$18+J131*$AC$19+K131*$AC$20+L131*$AC$21+M131*$AC$22+N131*$AC$23+O131*$AC$24+P131*$AC$25+Q131*$AC$26+R131*$AC$27+S131*$AC$28+T131*$AC$29+U131*$AC$30</f>
        <v/>
      </c>
      <c r="W131" s="8">
        <f>1/(1+EXP(-V131))</f>
        <v/>
      </c>
      <c r="X131" s="9">
        <f>-IF(C131=1,LN(W131),LN(1-W131))</f>
        <v/>
      </c>
      <c r="Y131" s="10">
        <f>IF(W131&gt;$AC$34,1,0)</f>
        <v/>
      </c>
      <c r="Z131">
        <f>IF(Y131=C131,1,0)</f>
        <v/>
      </c>
    </row>
    <row r="132">
      <c r="A132">
        <f>'1 prepared data'!A125</f>
        <v/>
      </c>
      <c r="B132" s="5">
        <f>'1 prepared data'!U125</f>
        <v/>
      </c>
      <c r="C132">
        <f>'1 prepared data'!B125</f>
        <v/>
      </c>
      <c r="D132" s="7">
        <f>'1 prepared data'!C125</f>
        <v/>
      </c>
      <c r="E132" s="7">
        <f>'1 prepared data'!D125</f>
        <v/>
      </c>
      <c r="F132" s="7">
        <f>'1 prepared data'!E125</f>
        <v/>
      </c>
      <c r="G132" s="7">
        <f>'1 prepared data'!F125</f>
        <v/>
      </c>
      <c r="H132" s="7">
        <f>'1 prepared data'!G125</f>
        <v/>
      </c>
      <c r="I132" s="7">
        <f>'1 prepared data'!H125</f>
        <v/>
      </c>
      <c r="J132" s="7">
        <f>'1 prepared data'!I125</f>
        <v/>
      </c>
      <c r="K132" s="7">
        <f>'1 prepared data'!J125</f>
        <v/>
      </c>
      <c r="L132" s="7">
        <f>'1 prepared data'!K125</f>
        <v/>
      </c>
      <c r="M132" s="7">
        <f>'1 prepared data'!L125</f>
        <v/>
      </c>
      <c r="N132" s="7">
        <f>'1 prepared data'!M125</f>
        <v/>
      </c>
      <c r="O132" s="7">
        <f>'1 prepared data'!N125</f>
        <v/>
      </c>
      <c r="P132" s="7">
        <f>'1 prepared data'!O125</f>
        <v/>
      </c>
      <c r="Q132" s="7">
        <f>'1 prepared data'!P125</f>
        <v/>
      </c>
      <c r="R132" s="7">
        <f>'1 prepared data'!Q125</f>
        <v/>
      </c>
      <c r="S132" s="7">
        <f>'1 prepared data'!R125</f>
        <v/>
      </c>
      <c r="T132" s="7">
        <f>'1 prepared data'!S125</f>
        <v/>
      </c>
      <c r="U132" s="7">
        <f>'1 prepared data'!T125</f>
        <v/>
      </c>
      <c r="V132" s="8">
        <f>$AC$12+D132*$AC$13+E132*$AC$14+F132*$AC$15+G132*$AC$16+H132*$AC$17+I132*$AC$18+J132*$AC$19+K132*$AC$20+L132*$AC$21+M132*$AC$22+N132*$AC$23+O132*$AC$24+P132*$AC$25+Q132*$AC$26+R132*$AC$27+S132*$AC$28+T132*$AC$29+U132*$AC$30</f>
        <v/>
      </c>
      <c r="W132" s="8">
        <f>1/(1+EXP(-V132))</f>
        <v/>
      </c>
      <c r="X132" s="9">
        <f>-IF(C132=1,LN(W132),LN(1-W132))</f>
        <v/>
      </c>
      <c r="Y132" s="10">
        <f>IF(W132&gt;$AC$34,1,0)</f>
        <v/>
      </c>
      <c r="Z132">
        <f>IF(Y132=C132,1,0)</f>
        <v/>
      </c>
    </row>
    <row r="133">
      <c r="A133">
        <f>'1 prepared data'!A126</f>
        <v/>
      </c>
      <c r="B133" s="5">
        <f>'1 prepared data'!U126</f>
        <v/>
      </c>
      <c r="C133">
        <f>'1 prepared data'!B126</f>
        <v/>
      </c>
      <c r="D133" s="7">
        <f>'1 prepared data'!C126</f>
        <v/>
      </c>
      <c r="E133" s="7">
        <f>'1 prepared data'!D126</f>
        <v/>
      </c>
      <c r="F133" s="7">
        <f>'1 prepared data'!E126</f>
        <v/>
      </c>
      <c r="G133" s="7">
        <f>'1 prepared data'!F126</f>
        <v/>
      </c>
      <c r="H133" s="7">
        <f>'1 prepared data'!G126</f>
        <v/>
      </c>
      <c r="I133" s="7">
        <f>'1 prepared data'!H126</f>
        <v/>
      </c>
      <c r="J133" s="7">
        <f>'1 prepared data'!I126</f>
        <v/>
      </c>
      <c r="K133" s="7">
        <f>'1 prepared data'!J126</f>
        <v/>
      </c>
      <c r="L133" s="7">
        <f>'1 prepared data'!K126</f>
        <v/>
      </c>
      <c r="M133" s="7">
        <f>'1 prepared data'!L126</f>
        <v/>
      </c>
      <c r="N133" s="7">
        <f>'1 prepared data'!M126</f>
        <v/>
      </c>
      <c r="O133" s="7">
        <f>'1 prepared data'!N126</f>
        <v/>
      </c>
      <c r="P133" s="7">
        <f>'1 prepared data'!O126</f>
        <v/>
      </c>
      <c r="Q133" s="7">
        <f>'1 prepared data'!P126</f>
        <v/>
      </c>
      <c r="R133" s="7">
        <f>'1 prepared data'!Q126</f>
        <v/>
      </c>
      <c r="S133" s="7">
        <f>'1 prepared data'!R126</f>
        <v/>
      </c>
      <c r="T133" s="7">
        <f>'1 prepared data'!S126</f>
        <v/>
      </c>
      <c r="U133" s="7">
        <f>'1 prepared data'!T126</f>
        <v/>
      </c>
      <c r="V133" s="8">
        <f>$AC$12+D133*$AC$13+E133*$AC$14+F133*$AC$15+G133*$AC$16+H133*$AC$17+I133*$AC$18+J133*$AC$19+K133*$AC$20+L133*$AC$21+M133*$AC$22+N133*$AC$23+O133*$AC$24+P133*$AC$25+Q133*$AC$26+R133*$AC$27+S133*$AC$28+T133*$AC$29+U133*$AC$30</f>
        <v/>
      </c>
      <c r="W133" s="8">
        <f>1/(1+EXP(-V133))</f>
        <v/>
      </c>
      <c r="X133" s="9">
        <f>-IF(C133=1,LN(W133),LN(1-W133))</f>
        <v/>
      </c>
      <c r="Y133" s="10">
        <f>IF(W133&gt;$AC$34,1,0)</f>
        <v/>
      </c>
      <c r="Z133">
        <f>IF(Y133=C133,1,0)</f>
        <v/>
      </c>
    </row>
    <row r="134">
      <c r="A134">
        <f>'1 prepared data'!A127</f>
        <v/>
      </c>
      <c r="B134" s="5">
        <f>'1 prepared data'!U127</f>
        <v/>
      </c>
      <c r="C134">
        <f>'1 prepared data'!B127</f>
        <v/>
      </c>
      <c r="D134" s="7">
        <f>'1 prepared data'!C127</f>
        <v/>
      </c>
      <c r="E134" s="7">
        <f>'1 prepared data'!D127</f>
        <v/>
      </c>
      <c r="F134" s="7">
        <f>'1 prepared data'!E127</f>
        <v/>
      </c>
      <c r="G134" s="7">
        <f>'1 prepared data'!F127</f>
        <v/>
      </c>
      <c r="H134" s="7">
        <f>'1 prepared data'!G127</f>
        <v/>
      </c>
      <c r="I134" s="7">
        <f>'1 prepared data'!H127</f>
        <v/>
      </c>
      <c r="J134" s="7">
        <f>'1 prepared data'!I127</f>
        <v/>
      </c>
      <c r="K134" s="7">
        <f>'1 prepared data'!J127</f>
        <v/>
      </c>
      <c r="L134" s="7">
        <f>'1 prepared data'!K127</f>
        <v/>
      </c>
      <c r="M134" s="7">
        <f>'1 prepared data'!L127</f>
        <v/>
      </c>
      <c r="N134" s="7">
        <f>'1 prepared data'!M127</f>
        <v/>
      </c>
      <c r="O134" s="7">
        <f>'1 prepared data'!N127</f>
        <v/>
      </c>
      <c r="P134" s="7">
        <f>'1 prepared data'!O127</f>
        <v/>
      </c>
      <c r="Q134" s="7">
        <f>'1 prepared data'!P127</f>
        <v/>
      </c>
      <c r="R134" s="7">
        <f>'1 prepared data'!Q127</f>
        <v/>
      </c>
      <c r="S134" s="7">
        <f>'1 prepared data'!R127</f>
        <v/>
      </c>
      <c r="T134" s="7">
        <f>'1 prepared data'!S127</f>
        <v/>
      </c>
      <c r="U134" s="7">
        <f>'1 prepared data'!T127</f>
        <v/>
      </c>
      <c r="V134" s="8">
        <f>$AC$12+D134*$AC$13+E134*$AC$14+F134*$AC$15+G134*$AC$16+H134*$AC$17+I134*$AC$18+J134*$AC$19+K134*$AC$20+L134*$AC$21+M134*$AC$22+N134*$AC$23+O134*$AC$24+P134*$AC$25+Q134*$AC$26+R134*$AC$27+S134*$AC$28+T134*$AC$29+U134*$AC$30</f>
        <v/>
      </c>
      <c r="W134" s="8">
        <f>1/(1+EXP(-V134))</f>
        <v/>
      </c>
      <c r="X134" s="9">
        <f>-IF(C134=1,LN(W134),LN(1-W134))</f>
        <v/>
      </c>
      <c r="Y134" s="10">
        <f>IF(W134&gt;$AC$34,1,0)</f>
        <v/>
      </c>
      <c r="Z134">
        <f>IF(Y134=C134,1,0)</f>
        <v/>
      </c>
    </row>
    <row r="135">
      <c r="A135">
        <f>'1 prepared data'!A128</f>
        <v/>
      </c>
      <c r="B135" s="5">
        <f>'1 prepared data'!U128</f>
        <v/>
      </c>
      <c r="C135">
        <f>'1 prepared data'!B128</f>
        <v/>
      </c>
      <c r="D135" s="7">
        <f>'1 prepared data'!C128</f>
        <v/>
      </c>
      <c r="E135" s="7">
        <f>'1 prepared data'!D128</f>
        <v/>
      </c>
      <c r="F135" s="7">
        <f>'1 prepared data'!E128</f>
        <v/>
      </c>
      <c r="G135" s="7">
        <f>'1 prepared data'!F128</f>
        <v/>
      </c>
      <c r="H135" s="7">
        <f>'1 prepared data'!G128</f>
        <v/>
      </c>
      <c r="I135" s="7">
        <f>'1 prepared data'!H128</f>
        <v/>
      </c>
      <c r="J135" s="7">
        <f>'1 prepared data'!I128</f>
        <v/>
      </c>
      <c r="K135" s="7">
        <f>'1 prepared data'!J128</f>
        <v/>
      </c>
      <c r="L135" s="7">
        <f>'1 prepared data'!K128</f>
        <v/>
      </c>
      <c r="M135" s="7">
        <f>'1 prepared data'!L128</f>
        <v/>
      </c>
      <c r="N135" s="7">
        <f>'1 prepared data'!M128</f>
        <v/>
      </c>
      <c r="O135" s="7">
        <f>'1 prepared data'!N128</f>
        <v/>
      </c>
      <c r="P135" s="7">
        <f>'1 prepared data'!O128</f>
        <v/>
      </c>
      <c r="Q135" s="7">
        <f>'1 prepared data'!P128</f>
        <v/>
      </c>
      <c r="R135" s="7">
        <f>'1 prepared data'!Q128</f>
        <v/>
      </c>
      <c r="S135" s="7">
        <f>'1 prepared data'!R128</f>
        <v/>
      </c>
      <c r="T135" s="7">
        <f>'1 prepared data'!S128</f>
        <v/>
      </c>
      <c r="U135" s="7">
        <f>'1 prepared data'!T128</f>
        <v/>
      </c>
      <c r="V135" s="8">
        <f>$AC$12+D135*$AC$13+E135*$AC$14+F135*$AC$15+G135*$AC$16+H135*$AC$17+I135*$AC$18+J135*$AC$19+K135*$AC$20+L135*$AC$21+M135*$AC$22+N135*$AC$23+O135*$AC$24+P135*$AC$25+Q135*$AC$26+R135*$AC$27+S135*$AC$28+T135*$AC$29+U135*$AC$30</f>
        <v/>
      </c>
      <c r="W135" s="8">
        <f>1/(1+EXP(-V135))</f>
        <v/>
      </c>
      <c r="X135" s="9">
        <f>-IF(C135=1,LN(W135),LN(1-W135))</f>
        <v/>
      </c>
      <c r="Y135" s="10">
        <f>IF(W135&gt;$AC$34,1,0)</f>
        <v/>
      </c>
      <c r="Z135">
        <f>IF(Y135=C135,1,0)</f>
        <v/>
      </c>
    </row>
    <row r="136">
      <c r="A136">
        <f>'1 prepared data'!A129</f>
        <v/>
      </c>
      <c r="B136" s="5">
        <f>'1 prepared data'!U129</f>
        <v/>
      </c>
      <c r="C136">
        <f>'1 prepared data'!B129</f>
        <v/>
      </c>
      <c r="D136" s="7">
        <f>'1 prepared data'!C129</f>
        <v/>
      </c>
      <c r="E136" s="7">
        <f>'1 prepared data'!D129</f>
        <v/>
      </c>
      <c r="F136" s="7">
        <f>'1 prepared data'!E129</f>
        <v/>
      </c>
      <c r="G136" s="7">
        <f>'1 prepared data'!F129</f>
        <v/>
      </c>
      <c r="H136" s="7">
        <f>'1 prepared data'!G129</f>
        <v/>
      </c>
      <c r="I136" s="7">
        <f>'1 prepared data'!H129</f>
        <v/>
      </c>
      <c r="J136" s="7">
        <f>'1 prepared data'!I129</f>
        <v/>
      </c>
      <c r="K136" s="7">
        <f>'1 prepared data'!J129</f>
        <v/>
      </c>
      <c r="L136" s="7">
        <f>'1 prepared data'!K129</f>
        <v/>
      </c>
      <c r="M136" s="7">
        <f>'1 prepared data'!L129</f>
        <v/>
      </c>
      <c r="N136" s="7">
        <f>'1 prepared data'!M129</f>
        <v/>
      </c>
      <c r="O136" s="7">
        <f>'1 prepared data'!N129</f>
        <v/>
      </c>
      <c r="P136" s="7">
        <f>'1 prepared data'!O129</f>
        <v/>
      </c>
      <c r="Q136" s="7">
        <f>'1 prepared data'!P129</f>
        <v/>
      </c>
      <c r="R136" s="7">
        <f>'1 prepared data'!Q129</f>
        <v/>
      </c>
      <c r="S136" s="7">
        <f>'1 prepared data'!R129</f>
        <v/>
      </c>
      <c r="T136" s="7">
        <f>'1 prepared data'!S129</f>
        <v/>
      </c>
      <c r="U136" s="7">
        <f>'1 prepared data'!T129</f>
        <v/>
      </c>
      <c r="V136" s="8">
        <f>$AC$12+D136*$AC$13+E136*$AC$14+F136*$AC$15+G136*$AC$16+H136*$AC$17+I136*$AC$18+J136*$AC$19+K136*$AC$20+L136*$AC$21+M136*$AC$22+N136*$AC$23+O136*$AC$24+P136*$AC$25+Q136*$AC$26+R136*$AC$27+S136*$AC$28+T136*$AC$29+U136*$AC$30</f>
        <v/>
      </c>
      <c r="W136" s="8">
        <f>1/(1+EXP(-V136))</f>
        <v/>
      </c>
      <c r="X136" s="9">
        <f>-IF(C136=1,LN(W136),LN(1-W136))</f>
        <v/>
      </c>
      <c r="Y136" s="10">
        <f>IF(W136&gt;$AC$34,1,0)</f>
        <v/>
      </c>
      <c r="Z136">
        <f>IF(Y136=C136,1,0)</f>
        <v/>
      </c>
    </row>
    <row r="137">
      <c r="A137">
        <f>'1 prepared data'!A130</f>
        <v/>
      </c>
      <c r="B137" s="5">
        <f>'1 prepared data'!U130</f>
        <v/>
      </c>
      <c r="C137">
        <f>'1 prepared data'!B130</f>
        <v/>
      </c>
      <c r="D137" s="7">
        <f>'1 prepared data'!C130</f>
        <v/>
      </c>
      <c r="E137" s="7">
        <f>'1 prepared data'!D130</f>
        <v/>
      </c>
      <c r="F137" s="7">
        <f>'1 prepared data'!E130</f>
        <v/>
      </c>
      <c r="G137" s="7">
        <f>'1 prepared data'!F130</f>
        <v/>
      </c>
      <c r="H137" s="7">
        <f>'1 prepared data'!G130</f>
        <v/>
      </c>
      <c r="I137" s="7">
        <f>'1 prepared data'!H130</f>
        <v/>
      </c>
      <c r="J137" s="7">
        <f>'1 prepared data'!I130</f>
        <v/>
      </c>
      <c r="K137" s="7">
        <f>'1 prepared data'!J130</f>
        <v/>
      </c>
      <c r="L137" s="7">
        <f>'1 prepared data'!K130</f>
        <v/>
      </c>
      <c r="M137" s="7">
        <f>'1 prepared data'!L130</f>
        <v/>
      </c>
      <c r="N137" s="7">
        <f>'1 prepared data'!M130</f>
        <v/>
      </c>
      <c r="O137" s="7">
        <f>'1 prepared data'!N130</f>
        <v/>
      </c>
      <c r="P137" s="7">
        <f>'1 prepared data'!O130</f>
        <v/>
      </c>
      <c r="Q137" s="7">
        <f>'1 prepared data'!P130</f>
        <v/>
      </c>
      <c r="R137" s="7">
        <f>'1 prepared data'!Q130</f>
        <v/>
      </c>
      <c r="S137" s="7">
        <f>'1 prepared data'!R130</f>
        <v/>
      </c>
      <c r="T137" s="7">
        <f>'1 prepared data'!S130</f>
        <v/>
      </c>
      <c r="U137" s="7">
        <f>'1 prepared data'!T130</f>
        <v/>
      </c>
      <c r="V137" s="8">
        <f>$AC$12+D137*$AC$13+E137*$AC$14+F137*$AC$15+G137*$AC$16+H137*$AC$17+I137*$AC$18+J137*$AC$19+K137*$AC$20+L137*$AC$21+M137*$AC$22+N137*$AC$23+O137*$AC$24+P137*$AC$25+Q137*$AC$26+R137*$AC$27+S137*$AC$28+T137*$AC$29+U137*$AC$30</f>
        <v/>
      </c>
      <c r="W137" s="8">
        <f>1/(1+EXP(-V137))</f>
        <v/>
      </c>
      <c r="X137" s="9">
        <f>-IF(C137=1,LN(W137),LN(1-W137))</f>
        <v/>
      </c>
      <c r="Y137" s="10">
        <f>IF(W137&gt;$AC$34,1,0)</f>
        <v/>
      </c>
      <c r="Z137">
        <f>IF(Y137=C137,1,0)</f>
        <v/>
      </c>
    </row>
    <row r="138">
      <c r="A138">
        <f>'1 prepared data'!A131</f>
        <v/>
      </c>
      <c r="B138" s="5">
        <f>'1 prepared data'!U131</f>
        <v/>
      </c>
      <c r="C138">
        <f>'1 prepared data'!B131</f>
        <v/>
      </c>
      <c r="D138" s="7">
        <f>'1 prepared data'!C131</f>
        <v/>
      </c>
      <c r="E138" s="7">
        <f>'1 prepared data'!D131</f>
        <v/>
      </c>
      <c r="F138" s="7">
        <f>'1 prepared data'!E131</f>
        <v/>
      </c>
      <c r="G138" s="7">
        <f>'1 prepared data'!F131</f>
        <v/>
      </c>
      <c r="H138" s="7">
        <f>'1 prepared data'!G131</f>
        <v/>
      </c>
      <c r="I138" s="7">
        <f>'1 prepared data'!H131</f>
        <v/>
      </c>
      <c r="J138" s="7">
        <f>'1 prepared data'!I131</f>
        <v/>
      </c>
      <c r="K138" s="7">
        <f>'1 prepared data'!J131</f>
        <v/>
      </c>
      <c r="L138" s="7">
        <f>'1 prepared data'!K131</f>
        <v/>
      </c>
      <c r="M138" s="7">
        <f>'1 prepared data'!L131</f>
        <v/>
      </c>
      <c r="N138" s="7">
        <f>'1 prepared data'!M131</f>
        <v/>
      </c>
      <c r="O138" s="7">
        <f>'1 prepared data'!N131</f>
        <v/>
      </c>
      <c r="P138" s="7">
        <f>'1 prepared data'!O131</f>
        <v/>
      </c>
      <c r="Q138" s="7">
        <f>'1 prepared data'!P131</f>
        <v/>
      </c>
      <c r="R138" s="7">
        <f>'1 prepared data'!Q131</f>
        <v/>
      </c>
      <c r="S138" s="7">
        <f>'1 prepared data'!R131</f>
        <v/>
      </c>
      <c r="T138" s="7">
        <f>'1 prepared data'!S131</f>
        <v/>
      </c>
      <c r="U138" s="7">
        <f>'1 prepared data'!T131</f>
        <v/>
      </c>
      <c r="V138" s="8">
        <f>$AC$12+D138*$AC$13+E138*$AC$14+F138*$AC$15+G138*$AC$16+H138*$AC$17+I138*$AC$18+J138*$AC$19+K138*$AC$20+L138*$AC$21+M138*$AC$22+N138*$AC$23+O138*$AC$24+P138*$AC$25+Q138*$AC$26+R138*$AC$27+S138*$AC$28+T138*$AC$29+U138*$AC$30</f>
        <v/>
      </c>
      <c r="W138" s="8">
        <f>1/(1+EXP(-V138))</f>
        <v/>
      </c>
      <c r="X138" s="9">
        <f>-IF(C138=1,LN(W138),LN(1-W138))</f>
        <v/>
      </c>
      <c r="Y138" s="10">
        <f>IF(W138&gt;$AC$34,1,0)</f>
        <v/>
      </c>
      <c r="Z138">
        <f>IF(Y138=C138,1,0)</f>
        <v/>
      </c>
    </row>
    <row r="139">
      <c r="A139">
        <f>'1 prepared data'!A132</f>
        <v/>
      </c>
      <c r="B139" s="5">
        <f>'1 prepared data'!U132</f>
        <v/>
      </c>
      <c r="C139">
        <f>'1 prepared data'!B132</f>
        <v/>
      </c>
      <c r="D139" s="7">
        <f>'1 prepared data'!C132</f>
        <v/>
      </c>
      <c r="E139" s="7">
        <f>'1 prepared data'!D132</f>
        <v/>
      </c>
      <c r="F139" s="7">
        <f>'1 prepared data'!E132</f>
        <v/>
      </c>
      <c r="G139" s="7">
        <f>'1 prepared data'!F132</f>
        <v/>
      </c>
      <c r="H139" s="7">
        <f>'1 prepared data'!G132</f>
        <v/>
      </c>
      <c r="I139" s="7">
        <f>'1 prepared data'!H132</f>
        <v/>
      </c>
      <c r="J139" s="7">
        <f>'1 prepared data'!I132</f>
        <v/>
      </c>
      <c r="K139" s="7">
        <f>'1 prepared data'!J132</f>
        <v/>
      </c>
      <c r="L139" s="7">
        <f>'1 prepared data'!K132</f>
        <v/>
      </c>
      <c r="M139" s="7">
        <f>'1 prepared data'!L132</f>
        <v/>
      </c>
      <c r="N139" s="7">
        <f>'1 prepared data'!M132</f>
        <v/>
      </c>
      <c r="O139" s="7">
        <f>'1 prepared data'!N132</f>
        <v/>
      </c>
      <c r="P139" s="7">
        <f>'1 prepared data'!O132</f>
        <v/>
      </c>
      <c r="Q139" s="7">
        <f>'1 prepared data'!P132</f>
        <v/>
      </c>
      <c r="R139" s="7">
        <f>'1 prepared data'!Q132</f>
        <v/>
      </c>
      <c r="S139" s="7">
        <f>'1 prepared data'!R132</f>
        <v/>
      </c>
      <c r="T139" s="7">
        <f>'1 prepared data'!S132</f>
        <v/>
      </c>
      <c r="U139" s="7">
        <f>'1 prepared data'!T132</f>
        <v/>
      </c>
      <c r="V139" s="8">
        <f>$AC$12+D139*$AC$13+E139*$AC$14+F139*$AC$15+G139*$AC$16+H139*$AC$17+I139*$AC$18+J139*$AC$19+K139*$AC$20+L139*$AC$21+M139*$AC$22+N139*$AC$23+O139*$AC$24+P139*$AC$25+Q139*$AC$26+R139*$AC$27+S139*$AC$28+T139*$AC$29+U139*$AC$30</f>
        <v/>
      </c>
      <c r="W139" s="8">
        <f>1/(1+EXP(-V139))</f>
        <v/>
      </c>
      <c r="X139" s="9">
        <f>-IF(C139=1,LN(W139),LN(1-W139))</f>
        <v/>
      </c>
      <c r="Y139" s="10">
        <f>IF(W139&gt;$AC$34,1,0)</f>
        <v/>
      </c>
      <c r="Z139">
        <f>IF(Y139=C139,1,0)</f>
        <v/>
      </c>
    </row>
    <row r="140">
      <c r="A140">
        <f>'1 prepared data'!A133</f>
        <v/>
      </c>
      <c r="B140" s="5">
        <f>'1 prepared data'!U133</f>
        <v/>
      </c>
      <c r="C140">
        <f>'1 prepared data'!B133</f>
        <v/>
      </c>
      <c r="D140" s="7">
        <f>'1 prepared data'!C133</f>
        <v/>
      </c>
      <c r="E140" s="7">
        <f>'1 prepared data'!D133</f>
        <v/>
      </c>
      <c r="F140" s="7">
        <f>'1 prepared data'!E133</f>
        <v/>
      </c>
      <c r="G140" s="7">
        <f>'1 prepared data'!F133</f>
        <v/>
      </c>
      <c r="H140" s="7">
        <f>'1 prepared data'!G133</f>
        <v/>
      </c>
      <c r="I140" s="7">
        <f>'1 prepared data'!H133</f>
        <v/>
      </c>
      <c r="J140" s="7">
        <f>'1 prepared data'!I133</f>
        <v/>
      </c>
      <c r="K140" s="7">
        <f>'1 prepared data'!J133</f>
        <v/>
      </c>
      <c r="L140" s="7">
        <f>'1 prepared data'!K133</f>
        <v/>
      </c>
      <c r="M140" s="7">
        <f>'1 prepared data'!L133</f>
        <v/>
      </c>
      <c r="N140" s="7">
        <f>'1 prepared data'!M133</f>
        <v/>
      </c>
      <c r="O140" s="7">
        <f>'1 prepared data'!N133</f>
        <v/>
      </c>
      <c r="P140" s="7">
        <f>'1 prepared data'!O133</f>
        <v/>
      </c>
      <c r="Q140" s="7">
        <f>'1 prepared data'!P133</f>
        <v/>
      </c>
      <c r="R140" s="7">
        <f>'1 prepared data'!Q133</f>
        <v/>
      </c>
      <c r="S140" s="7">
        <f>'1 prepared data'!R133</f>
        <v/>
      </c>
      <c r="T140" s="7">
        <f>'1 prepared data'!S133</f>
        <v/>
      </c>
      <c r="U140" s="7">
        <f>'1 prepared data'!T133</f>
        <v/>
      </c>
      <c r="V140" s="8">
        <f>$AC$12+D140*$AC$13+E140*$AC$14+F140*$AC$15+G140*$AC$16+H140*$AC$17+I140*$AC$18+J140*$AC$19+K140*$AC$20+L140*$AC$21+M140*$AC$22+N140*$AC$23+O140*$AC$24+P140*$AC$25+Q140*$AC$26+R140*$AC$27+S140*$AC$28+T140*$AC$29+U140*$AC$30</f>
        <v/>
      </c>
      <c r="W140" s="8">
        <f>1/(1+EXP(-V140))</f>
        <v/>
      </c>
      <c r="X140" s="9">
        <f>-IF(C140=1,LN(W140),LN(1-W140))</f>
        <v/>
      </c>
      <c r="Y140" s="10">
        <f>IF(W140&gt;$AC$34,1,0)</f>
        <v/>
      </c>
      <c r="Z140">
        <f>IF(Y140=C140,1,0)</f>
        <v/>
      </c>
    </row>
    <row r="141">
      <c r="A141">
        <f>'1 prepared data'!A134</f>
        <v/>
      </c>
      <c r="B141" s="5">
        <f>'1 prepared data'!U134</f>
        <v/>
      </c>
      <c r="C141">
        <f>'1 prepared data'!B134</f>
        <v/>
      </c>
      <c r="D141" s="7">
        <f>'1 prepared data'!C134</f>
        <v/>
      </c>
      <c r="E141" s="7">
        <f>'1 prepared data'!D134</f>
        <v/>
      </c>
      <c r="F141" s="7">
        <f>'1 prepared data'!E134</f>
        <v/>
      </c>
      <c r="G141" s="7">
        <f>'1 prepared data'!F134</f>
        <v/>
      </c>
      <c r="H141" s="7">
        <f>'1 prepared data'!G134</f>
        <v/>
      </c>
      <c r="I141" s="7">
        <f>'1 prepared data'!H134</f>
        <v/>
      </c>
      <c r="J141" s="7">
        <f>'1 prepared data'!I134</f>
        <v/>
      </c>
      <c r="K141" s="7">
        <f>'1 prepared data'!J134</f>
        <v/>
      </c>
      <c r="L141" s="7">
        <f>'1 prepared data'!K134</f>
        <v/>
      </c>
      <c r="M141" s="7">
        <f>'1 prepared data'!L134</f>
        <v/>
      </c>
      <c r="N141" s="7">
        <f>'1 prepared data'!M134</f>
        <v/>
      </c>
      <c r="O141" s="7">
        <f>'1 prepared data'!N134</f>
        <v/>
      </c>
      <c r="P141" s="7">
        <f>'1 prepared data'!O134</f>
        <v/>
      </c>
      <c r="Q141" s="7">
        <f>'1 prepared data'!P134</f>
        <v/>
      </c>
      <c r="R141" s="7">
        <f>'1 prepared data'!Q134</f>
        <v/>
      </c>
      <c r="S141" s="7">
        <f>'1 prepared data'!R134</f>
        <v/>
      </c>
      <c r="T141" s="7">
        <f>'1 prepared data'!S134</f>
        <v/>
      </c>
      <c r="U141" s="7">
        <f>'1 prepared data'!T134</f>
        <v/>
      </c>
      <c r="V141" s="8">
        <f>$AC$12+D141*$AC$13+E141*$AC$14+F141*$AC$15+G141*$AC$16+H141*$AC$17+I141*$AC$18+J141*$AC$19+K141*$AC$20+L141*$AC$21+M141*$AC$22+N141*$AC$23+O141*$AC$24+P141*$AC$25+Q141*$AC$26+R141*$AC$27+S141*$AC$28+T141*$AC$29+U141*$AC$30</f>
        <v/>
      </c>
      <c r="W141" s="8">
        <f>1/(1+EXP(-V141))</f>
        <v/>
      </c>
      <c r="X141" s="9">
        <f>-IF(C141=1,LN(W141),LN(1-W141))</f>
        <v/>
      </c>
      <c r="Y141" s="10">
        <f>IF(W141&gt;$AC$34,1,0)</f>
        <v/>
      </c>
      <c r="Z141">
        <f>IF(Y141=C141,1,0)</f>
        <v/>
      </c>
    </row>
    <row r="142">
      <c r="A142">
        <f>'1 prepared data'!A135</f>
        <v/>
      </c>
      <c r="B142" s="5">
        <f>'1 prepared data'!U135</f>
        <v/>
      </c>
      <c r="C142">
        <f>'1 prepared data'!B135</f>
        <v/>
      </c>
      <c r="D142" s="7">
        <f>'1 prepared data'!C135</f>
        <v/>
      </c>
      <c r="E142" s="7">
        <f>'1 prepared data'!D135</f>
        <v/>
      </c>
      <c r="F142" s="7">
        <f>'1 prepared data'!E135</f>
        <v/>
      </c>
      <c r="G142" s="7">
        <f>'1 prepared data'!F135</f>
        <v/>
      </c>
      <c r="H142" s="7">
        <f>'1 prepared data'!G135</f>
        <v/>
      </c>
      <c r="I142" s="7">
        <f>'1 prepared data'!H135</f>
        <v/>
      </c>
      <c r="J142" s="7">
        <f>'1 prepared data'!I135</f>
        <v/>
      </c>
      <c r="K142" s="7">
        <f>'1 prepared data'!J135</f>
        <v/>
      </c>
      <c r="L142" s="7">
        <f>'1 prepared data'!K135</f>
        <v/>
      </c>
      <c r="M142" s="7">
        <f>'1 prepared data'!L135</f>
        <v/>
      </c>
      <c r="N142" s="7">
        <f>'1 prepared data'!M135</f>
        <v/>
      </c>
      <c r="O142" s="7">
        <f>'1 prepared data'!N135</f>
        <v/>
      </c>
      <c r="P142" s="7">
        <f>'1 prepared data'!O135</f>
        <v/>
      </c>
      <c r="Q142" s="7">
        <f>'1 prepared data'!P135</f>
        <v/>
      </c>
      <c r="R142" s="7">
        <f>'1 prepared data'!Q135</f>
        <v/>
      </c>
      <c r="S142" s="7">
        <f>'1 prepared data'!R135</f>
        <v/>
      </c>
      <c r="T142" s="7">
        <f>'1 prepared data'!S135</f>
        <v/>
      </c>
      <c r="U142" s="7">
        <f>'1 prepared data'!T135</f>
        <v/>
      </c>
      <c r="V142" s="8">
        <f>$AC$12+D142*$AC$13+E142*$AC$14+F142*$AC$15+G142*$AC$16+H142*$AC$17+I142*$AC$18+J142*$AC$19+K142*$AC$20+L142*$AC$21+M142*$AC$22+N142*$AC$23+O142*$AC$24+P142*$AC$25+Q142*$AC$26+R142*$AC$27+S142*$AC$28+T142*$AC$29+U142*$AC$30</f>
        <v/>
      </c>
      <c r="W142" s="8">
        <f>1/(1+EXP(-V142))</f>
        <v/>
      </c>
      <c r="X142" s="9">
        <f>-IF(C142=1,LN(W142),LN(1-W142))</f>
        <v/>
      </c>
      <c r="Y142" s="10">
        <f>IF(W142&gt;$AC$34,1,0)</f>
        <v/>
      </c>
      <c r="Z142">
        <f>IF(Y142=C142,1,0)</f>
        <v/>
      </c>
    </row>
    <row r="143">
      <c r="A143">
        <f>'1 prepared data'!A136</f>
        <v/>
      </c>
      <c r="B143" s="5">
        <f>'1 prepared data'!U136</f>
        <v/>
      </c>
      <c r="C143">
        <f>'1 prepared data'!B136</f>
        <v/>
      </c>
      <c r="D143" s="7">
        <f>'1 prepared data'!C136</f>
        <v/>
      </c>
      <c r="E143" s="7">
        <f>'1 prepared data'!D136</f>
        <v/>
      </c>
      <c r="F143" s="7">
        <f>'1 prepared data'!E136</f>
        <v/>
      </c>
      <c r="G143" s="7">
        <f>'1 prepared data'!F136</f>
        <v/>
      </c>
      <c r="H143" s="7">
        <f>'1 prepared data'!G136</f>
        <v/>
      </c>
      <c r="I143" s="7">
        <f>'1 prepared data'!H136</f>
        <v/>
      </c>
      <c r="J143" s="7">
        <f>'1 prepared data'!I136</f>
        <v/>
      </c>
      <c r="K143" s="7">
        <f>'1 prepared data'!J136</f>
        <v/>
      </c>
      <c r="L143" s="7">
        <f>'1 prepared data'!K136</f>
        <v/>
      </c>
      <c r="M143" s="7">
        <f>'1 prepared data'!L136</f>
        <v/>
      </c>
      <c r="N143" s="7">
        <f>'1 prepared data'!M136</f>
        <v/>
      </c>
      <c r="O143" s="7">
        <f>'1 prepared data'!N136</f>
        <v/>
      </c>
      <c r="P143" s="7">
        <f>'1 prepared data'!O136</f>
        <v/>
      </c>
      <c r="Q143" s="7">
        <f>'1 prepared data'!P136</f>
        <v/>
      </c>
      <c r="R143" s="7">
        <f>'1 prepared data'!Q136</f>
        <v/>
      </c>
      <c r="S143" s="7">
        <f>'1 prepared data'!R136</f>
        <v/>
      </c>
      <c r="T143" s="7">
        <f>'1 prepared data'!S136</f>
        <v/>
      </c>
      <c r="U143" s="7">
        <f>'1 prepared data'!T136</f>
        <v/>
      </c>
      <c r="V143" s="8">
        <f>$AC$12+D143*$AC$13+E143*$AC$14+F143*$AC$15+G143*$AC$16+H143*$AC$17+I143*$AC$18+J143*$AC$19+K143*$AC$20+L143*$AC$21+M143*$AC$22+N143*$AC$23+O143*$AC$24+P143*$AC$25+Q143*$AC$26+R143*$AC$27+S143*$AC$28+T143*$AC$29+U143*$AC$30</f>
        <v/>
      </c>
      <c r="W143" s="8">
        <f>1/(1+EXP(-V143))</f>
        <v/>
      </c>
      <c r="X143" s="9">
        <f>-IF(C143=1,LN(W143),LN(1-W143))</f>
        <v/>
      </c>
      <c r="Y143" s="10">
        <f>IF(W143&gt;$AC$34,1,0)</f>
        <v/>
      </c>
      <c r="Z143">
        <f>IF(Y143=C143,1,0)</f>
        <v/>
      </c>
    </row>
    <row r="144">
      <c r="A144">
        <f>'1 prepared data'!A137</f>
        <v/>
      </c>
      <c r="B144" s="5">
        <f>'1 prepared data'!U137</f>
        <v/>
      </c>
      <c r="C144">
        <f>'1 prepared data'!B137</f>
        <v/>
      </c>
      <c r="D144" s="7">
        <f>'1 prepared data'!C137</f>
        <v/>
      </c>
      <c r="E144" s="7">
        <f>'1 prepared data'!D137</f>
        <v/>
      </c>
      <c r="F144" s="7">
        <f>'1 prepared data'!E137</f>
        <v/>
      </c>
      <c r="G144" s="7">
        <f>'1 prepared data'!F137</f>
        <v/>
      </c>
      <c r="H144" s="7">
        <f>'1 prepared data'!G137</f>
        <v/>
      </c>
      <c r="I144" s="7">
        <f>'1 prepared data'!H137</f>
        <v/>
      </c>
      <c r="J144" s="7">
        <f>'1 prepared data'!I137</f>
        <v/>
      </c>
      <c r="K144" s="7">
        <f>'1 prepared data'!J137</f>
        <v/>
      </c>
      <c r="L144" s="7">
        <f>'1 prepared data'!K137</f>
        <v/>
      </c>
      <c r="M144" s="7">
        <f>'1 prepared data'!L137</f>
        <v/>
      </c>
      <c r="N144" s="7">
        <f>'1 prepared data'!M137</f>
        <v/>
      </c>
      <c r="O144" s="7">
        <f>'1 prepared data'!N137</f>
        <v/>
      </c>
      <c r="P144" s="7">
        <f>'1 prepared data'!O137</f>
        <v/>
      </c>
      <c r="Q144" s="7">
        <f>'1 prepared data'!P137</f>
        <v/>
      </c>
      <c r="R144" s="7">
        <f>'1 prepared data'!Q137</f>
        <v/>
      </c>
      <c r="S144" s="7">
        <f>'1 prepared data'!R137</f>
        <v/>
      </c>
      <c r="T144" s="7">
        <f>'1 prepared data'!S137</f>
        <v/>
      </c>
      <c r="U144" s="7">
        <f>'1 prepared data'!T137</f>
        <v/>
      </c>
      <c r="V144" s="8">
        <f>$AC$12+D144*$AC$13+E144*$AC$14+F144*$AC$15+G144*$AC$16+H144*$AC$17+I144*$AC$18+J144*$AC$19+K144*$AC$20+L144*$AC$21+M144*$AC$22+N144*$AC$23+O144*$AC$24+P144*$AC$25+Q144*$AC$26+R144*$AC$27+S144*$AC$28+T144*$AC$29+U144*$AC$30</f>
        <v/>
      </c>
      <c r="W144" s="8">
        <f>1/(1+EXP(-V144))</f>
        <v/>
      </c>
      <c r="X144" s="9">
        <f>-IF(C144=1,LN(W144),LN(1-W144))</f>
        <v/>
      </c>
      <c r="Y144" s="10">
        <f>IF(W144&gt;$AC$34,1,0)</f>
        <v/>
      </c>
      <c r="Z144">
        <f>IF(Y144=C144,1,0)</f>
        <v/>
      </c>
    </row>
    <row r="145">
      <c r="A145">
        <f>'1 prepared data'!A138</f>
        <v/>
      </c>
      <c r="B145" s="5">
        <f>'1 prepared data'!U138</f>
        <v/>
      </c>
      <c r="C145">
        <f>'1 prepared data'!B138</f>
        <v/>
      </c>
      <c r="D145" s="7">
        <f>'1 prepared data'!C138</f>
        <v/>
      </c>
      <c r="E145" s="7">
        <f>'1 prepared data'!D138</f>
        <v/>
      </c>
      <c r="F145" s="7">
        <f>'1 prepared data'!E138</f>
        <v/>
      </c>
      <c r="G145" s="7">
        <f>'1 prepared data'!F138</f>
        <v/>
      </c>
      <c r="H145" s="7">
        <f>'1 prepared data'!G138</f>
        <v/>
      </c>
      <c r="I145" s="7">
        <f>'1 prepared data'!H138</f>
        <v/>
      </c>
      <c r="J145" s="7">
        <f>'1 prepared data'!I138</f>
        <v/>
      </c>
      <c r="K145" s="7">
        <f>'1 prepared data'!J138</f>
        <v/>
      </c>
      <c r="L145" s="7">
        <f>'1 prepared data'!K138</f>
        <v/>
      </c>
      <c r="M145" s="7">
        <f>'1 prepared data'!L138</f>
        <v/>
      </c>
      <c r="N145" s="7">
        <f>'1 prepared data'!M138</f>
        <v/>
      </c>
      <c r="O145" s="7">
        <f>'1 prepared data'!N138</f>
        <v/>
      </c>
      <c r="P145" s="7">
        <f>'1 prepared data'!O138</f>
        <v/>
      </c>
      <c r="Q145" s="7">
        <f>'1 prepared data'!P138</f>
        <v/>
      </c>
      <c r="R145" s="7">
        <f>'1 prepared data'!Q138</f>
        <v/>
      </c>
      <c r="S145" s="7">
        <f>'1 prepared data'!R138</f>
        <v/>
      </c>
      <c r="T145" s="7">
        <f>'1 prepared data'!S138</f>
        <v/>
      </c>
      <c r="U145" s="7">
        <f>'1 prepared data'!T138</f>
        <v/>
      </c>
      <c r="V145" s="8">
        <f>$AC$12+D145*$AC$13+E145*$AC$14+F145*$AC$15+G145*$AC$16+H145*$AC$17+I145*$AC$18+J145*$AC$19+K145*$AC$20+L145*$AC$21+M145*$AC$22+N145*$AC$23+O145*$AC$24+P145*$AC$25+Q145*$AC$26+R145*$AC$27+S145*$AC$28+T145*$AC$29+U145*$AC$30</f>
        <v/>
      </c>
      <c r="W145" s="8">
        <f>1/(1+EXP(-V145))</f>
        <v/>
      </c>
      <c r="X145" s="9">
        <f>-IF(C145=1,LN(W145),LN(1-W145))</f>
        <v/>
      </c>
      <c r="Y145" s="10">
        <f>IF(W145&gt;$AC$34,1,0)</f>
        <v/>
      </c>
      <c r="Z145">
        <f>IF(Y145=C145,1,0)</f>
        <v/>
      </c>
    </row>
    <row r="146">
      <c r="A146">
        <f>'1 prepared data'!A139</f>
        <v/>
      </c>
      <c r="B146" s="5">
        <f>'1 prepared data'!U139</f>
        <v/>
      </c>
      <c r="C146">
        <f>'1 prepared data'!B139</f>
        <v/>
      </c>
      <c r="D146" s="7">
        <f>'1 prepared data'!C139</f>
        <v/>
      </c>
      <c r="E146" s="7">
        <f>'1 prepared data'!D139</f>
        <v/>
      </c>
      <c r="F146" s="7">
        <f>'1 prepared data'!E139</f>
        <v/>
      </c>
      <c r="G146" s="7">
        <f>'1 prepared data'!F139</f>
        <v/>
      </c>
      <c r="H146" s="7">
        <f>'1 prepared data'!G139</f>
        <v/>
      </c>
      <c r="I146" s="7">
        <f>'1 prepared data'!H139</f>
        <v/>
      </c>
      <c r="J146" s="7">
        <f>'1 prepared data'!I139</f>
        <v/>
      </c>
      <c r="K146" s="7">
        <f>'1 prepared data'!J139</f>
        <v/>
      </c>
      <c r="L146" s="7">
        <f>'1 prepared data'!K139</f>
        <v/>
      </c>
      <c r="M146" s="7">
        <f>'1 prepared data'!L139</f>
        <v/>
      </c>
      <c r="N146" s="7">
        <f>'1 prepared data'!M139</f>
        <v/>
      </c>
      <c r="O146" s="7">
        <f>'1 prepared data'!N139</f>
        <v/>
      </c>
      <c r="P146" s="7">
        <f>'1 prepared data'!O139</f>
        <v/>
      </c>
      <c r="Q146" s="7">
        <f>'1 prepared data'!P139</f>
        <v/>
      </c>
      <c r="R146" s="7">
        <f>'1 prepared data'!Q139</f>
        <v/>
      </c>
      <c r="S146" s="7">
        <f>'1 prepared data'!R139</f>
        <v/>
      </c>
      <c r="T146" s="7">
        <f>'1 prepared data'!S139</f>
        <v/>
      </c>
      <c r="U146" s="7">
        <f>'1 prepared data'!T139</f>
        <v/>
      </c>
      <c r="V146" s="8">
        <f>$AC$12+D146*$AC$13+E146*$AC$14+F146*$AC$15+G146*$AC$16+H146*$AC$17+I146*$AC$18+J146*$AC$19+K146*$AC$20+L146*$AC$21+M146*$AC$22+N146*$AC$23+O146*$AC$24+P146*$AC$25+Q146*$AC$26+R146*$AC$27+S146*$AC$28+T146*$AC$29+U146*$AC$30</f>
        <v/>
      </c>
      <c r="W146" s="8">
        <f>1/(1+EXP(-V146))</f>
        <v/>
      </c>
      <c r="X146" s="9">
        <f>-IF(C146=1,LN(W146),LN(1-W146))</f>
        <v/>
      </c>
      <c r="Y146" s="10">
        <f>IF(W146&gt;$AC$34,1,0)</f>
        <v/>
      </c>
      <c r="Z146">
        <f>IF(Y146=C146,1,0)</f>
        <v/>
      </c>
    </row>
    <row r="147">
      <c r="A147">
        <f>'1 prepared data'!A140</f>
        <v/>
      </c>
      <c r="B147" s="5">
        <f>'1 prepared data'!U140</f>
        <v/>
      </c>
      <c r="C147">
        <f>'1 prepared data'!B140</f>
        <v/>
      </c>
      <c r="D147" s="7">
        <f>'1 prepared data'!C140</f>
        <v/>
      </c>
      <c r="E147" s="7">
        <f>'1 prepared data'!D140</f>
        <v/>
      </c>
      <c r="F147" s="7">
        <f>'1 prepared data'!E140</f>
        <v/>
      </c>
      <c r="G147" s="7">
        <f>'1 prepared data'!F140</f>
        <v/>
      </c>
      <c r="H147" s="7">
        <f>'1 prepared data'!G140</f>
        <v/>
      </c>
      <c r="I147" s="7">
        <f>'1 prepared data'!H140</f>
        <v/>
      </c>
      <c r="J147" s="7">
        <f>'1 prepared data'!I140</f>
        <v/>
      </c>
      <c r="K147" s="7">
        <f>'1 prepared data'!J140</f>
        <v/>
      </c>
      <c r="L147" s="7">
        <f>'1 prepared data'!K140</f>
        <v/>
      </c>
      <c r="M147" s="7">
        <f>'1 prepared data'!L140</f>
        <v/>
      </c>
      <c r="N147" s="7">
        <f>'1 prepared data'!M140</f>
        <v/>
      </c>
      <c r="O147" s="7">
        <f>'1 prepared data'!N140</f>
        <v/>
      </c>
      <c r="P147" s="7">
        <f>'1 prepared data'!O140</f>
        <v/>
      </c>
      <c r="Q147" s="7">
        <f>'1 prepared data'!P140</f>
        <v/>
      </c>
      <c r="R147" s="7">
        <f>'1 prepared data'!Q140</f>
        <v/>
      </c>
      <c r="S147" s="7">
        <f>'1 prepared data'!R140</f>
        <v/>
      </c>
      <c r="T147" s="7">
        <f>'1 prepared data'!S140</f>
        <v/>
      </c>
      <c r="U147" s="7">
        <f>'1 prepared data'!T140</f>
        <v/>
      </c>
      <c r="V147" s="8">
        <f>$AC$12+D147*$AC$13+E147*$AC$14+F147*$AC$15+G147*$AC$16+H147*$AC$17+I147*$AC$18+J147*$AC$19+K147*$AC$20+L147*$AC$21+M147*$AC$22+N147*$AC$23+O147*$AC$24+P147*$AC$25+Q147*$AC$26+R147*$AC$27+S147*$AC$28+T147*$AC$29+U147*$AC$30</f>
        <v/>
      </c>
      <c r="W147" s="8">
        <f>1/(1+EXP(-V147))</f>
        <v/>
      </c>
      <c r="X147" s="9">
        <f>-IF(C147=1,LN(W147),LN(1-W147))</f>
        <v/>
      </c>
      <c r="Y147" s="10">
        <f>IF(W147&gt;$AC$34,1,0)</f>
        <v/>
      </c>
      <c r="Z147">
        <f>IF(Y147=C147,1,0)</f>
        <v/>
      </c>
    </row>
    <row r="148">
      <c r="A148">
        <f>'1 prepared data'!A141</f>
        <v/>
      </c>
      <c r="B148" s="5">
        <f>'1 prepared data'!U141</f>
        <v/>
      </c>
      <c r="C148">
        <f>'1 prepared data'!B141</f>
        <v/>
      </c>
      <c r="D148" s="7">
        <f>'1 prepared data'!C141</f>
        <v/>
      </c>
      <c r="E148" s="7">
        <f>'1 prepared data'!D141</f>
        <v/>
      </c>
      <c r="F148" s="7">
        <f>'1 prepared data'!E141</f>
        <v/>
      </c>
      <c r="G148" s="7">
        <f>'1 prepared data'!F141</f>
        <v/>
      </c>
      <c r="H148" s="7">
        <f>'1 prepared data'!G141</f>
        <v/>
      </c>
      <c r="I148" s="7">
        <f>'1 prepared data'!H141</f>
        <v/>
      </c>
      <c r="J148" s="7">
        <f>'1 prepared data'!I141</f>
        <v/>
      </c>
      <c r="K148" s="7">
        <f>'1 prepared data'!J141</f>
        <v/>
      </c>
      <c r="L148" s="7">
        <f>'1 prepared data'!K141</f>
        <v/>
      </c>
      <c r="M148" s="7">
        <f>'1 prepared data'!L141</f>
        <v/>
      </c>
      <c r="N148" s="7">
        <f>'1 prepared data'!M141</f>
        <v/>
      </c>
      <c r="O148" s="7">
        <f>'1 prepared data'!N141</f>
        <v/>
      </c>
      <c r="P148" s="7">
        <f>'1 prepared data'!O141</f>
        <v/>
      </c>
      <c r="Q148" s="7">
        <f>'1 prepared data'!P141</f>
        <v/>
      </c>
      <c r="R148" s="7">
        <f>'1 prepared data'!Q141</f>
        <v/>
      </c>
      <c r="S148" s="7">
        <f>'1 prepared data'!R141</f>
        <v/>
      </c>
      <c r="T148" s="7">
        <f>'1 prepared data'!S141</f>
        <v/>
      </c>
      <c r="U148" s="7">
        <f>'1 prepared data'!T141</f>
        <v/>
      </c>
      <c r="V148" s="8">
        <f>$AC$12+D148*$AC$13+E148*$AC$14+F148*$AC$15+G148*$AC$16+H148*$AC$17+I148*$AC$18+J148*$AC$19+K148*$AC$20+L148*$AC$21+M148*$AC$22+N148*$AC$23+O148*$AC$24+P148*$AC$25+Q148*$AC$26+R148*$AC$27+S148*$AC$28+T148*$AC$29+U148*$AC$30</f>
        <v/>
      </c>
      <c r="W148" s="8">
        <f>1/(1+EXP(-V148))</f>
        <v/>
      </c>
      <c r="X148" s="9">
        <f>-IF(C148=1,LN(W148),LN(1-W148))</f>
        <v/>
      </c>
      <c r="Y148" s="10">
        <f>IF(W148&gt;$AC$34,1,0)</f>
        <v/>
      </c>
      <c r="Z148">
        <f>IF(Y148=C148,1,0)</f>
        <v/>
      </c>
    </row>
    <row r="149">
      <c r="A149">
        <f>'1 prepared data'!A142</f>
        <v/>
      </c>
      <c r="B149" s="5">
        <f>'1 prepared data'!U142</f>
        <v/>
      </c>
      <c r="C149">
        <f>'1 prepared data'!B142</f>
        <v/>
      </c>
      <c r="D149" s="7">
        <f>'1 prepared data'!C142</f>
        <v/>
      </c>
      <c r="E149" s="7">
        <f>'1 prepared data'!D142</f>
        <v/>
      </c>
      <c r="F149" s="7">
        <f>'1 prepared data'!E142</f>
        <v/>
      </c>
      <c r="G149" s="7">
        <f>'1 prepared data'!F142</f>
        <v/>
      </c>
      <c r="H149" s="7">
        <f>'1 prepared data'!G142</f>
        <v/>
      </c>
      <c r="I149" s="7">
        <f>'1 prepared data'!H142</f>
        <v/>
      </c>
      <c r="J149" s="7">
        <f>'1 prepared data'!I142</f>
        <v/>
      </c>
      <c r="K149" s="7">
        <f>'1 prepared data'!J142</f>
        <v/>
      </c>
      <c r="L149" s="7">
        <f>'1 prepared data'!K142</f>
        <v/>
      </c>
      <c r="M149" s="7">
        <f>'1 prepared data'!L142</f>
        <v/>
      </c>
      <c r="N149" s="7">
        <f>'1 prepared data'!M142</f>
        <v/>
      </c>
      <c r="O149" s="7">
        <f>'1 prepared data'!N142</f>
        <v/>
      </c>
      <c r="P149" s="7">
        <f>'1 prepared data'!O142</f>
        <v/>
      </c>
      <c r="Q149" s="7">
        <f>'1 prepared data'!P142</f>
        <v/>
      </c>
      <c r="R149" s="7">
        <f>'1 prepared data'!Q142</f>
        <v/>
      </c>
      <c r="S149" s="7">
        <f>'1 prepared data'!R142</f>
        <v/>
      </c>
      <c r="T149" s="7">
        <f>'1 prepared data'!S142</f>
        <v/>
      </c>
      <c r="U149" s="7">
        <f>'1 prepared data'!T142</f>
        <v/>
      </c>
      <c r="V149" s="8">
        <f>$AC$12+D149*$AC$13+E149*$AC$14+F149*$AC$15+G149*$AC$16+H149*$AC$17+I149*$AC$18+J149*$AC$19+K149*$AC$20+L149*$AC$21+M149*$AC$22+N149*$AC$23+O149*$AC$24+P149*$AC$25+Q149*$AC$26+R149*$AC$27+S149*$AC$28+T149*$AC$29+U149*$AC$30</f>
        <v/>
      </c>
      <c r="W149" s="8">
        <f>1/(1+EXP(-V149))</f>
        <v/>
      </c>
      <c r="X149" s="9">
        <f>-IF(C149=1,LN(W149),LN(1-W149))</f>
        <v/>
      </c>
      <c r="Y149" s="10">
        <f>IF(W149&gt;$AC$34,1,0)</f>
        <v/>
      </c>
      <c r="Z149">
        <f>IF(Y149=C149,1,0)</f>
        <v/>
      </c>
    </row>
    <row r="150">
      <c r="A150">
        <f>'1 prepared data'!A143</f>
        <v/>
      </c>
      <c r="B150" s="5">
        <f>'1 prepared data'!U143</f>
        <v/>
      </c>
      <c r="C150">
        <f>'1 prepared data'!B143</f>
        <v/>
      </c>
      <c r="D150" s="7">
        <f>'1 prepared data'!C143</f>
        <v/>
      </c>
      <c r="E150" s="7">
        <f>'1 prepared data'!D143</f>
        <v/>
      </c>
      <c r="F150" s="7">
        <f>'1 prepared data'!E143</f>
        <v/>
      </c>
      <c r="G150" s="7">
        <f>'1 prepared data'!F143</f>
        <v/>
      </c>
      <c r="H150" s="7">
        <f>'1 prepared data'!G143</f>
        <v/>
      </c>
      <c r="I150" s="7">
        <f>'1 prepared data'!H143</f>
        <v/>
      </c>
      <c r="J150" s="7">
        <f>'1 prepared data'!I143</f>
        <v/>
      </c>
      <c r="K150" s="7">
        <f>'1 prepared data'!J143</f>
        <v/>
      </c>
      <c r="L150" s="7">
        <f>'1 prepared data'!K143</f>
        <v/>
      </c>
      <c r="M150" s="7">
        <f>'1 prepared data'!L143</f>
        <v/>
      </c>
      <c r="N150" s="7">
        <f>'1 prepared data'!M143</f>
        <v/>
      </c>
      <c r="O150" s="7">
        <f>'1 prepared data'!N143</f>
        <v/>
      </c>
      <c r="P150" s="7">
        <f>'1 prepared data'!O143</f>
        <v/>
      </c>
      <c r="Q150" s="7">
        <f>'1 prepared data'!P143</f>
        <v/>
      </c>
      <c r="R150" s="7">
        <f>'1 prepared data'!Q143</f>
        <v/>
      </c>
      <c r="S150" s="7">
        <f>'1 prepared data'!R143</f>
        <v/>
      </c>
      <c r="T150" s="7">
        <f>'1 prepared data'!S143</f>
        <v/>
      </c>
      <c r="U150" s="7">
        <f>'1 prepared data'!T143</f>
        <v/>
      </c>
      <c r="V150" s="8">
        <f>$AC$12+D150*$AC$13+E150*$AC$14+F150*$AC$15+G150*$AC$16+H150*$AC$17+I150*$AC$18+J150*$AC$19+K150*$AC$20+L150*$AC$21+M150*$AC$22+N150*$AC$23+O150*$AC$24+P150*$AC$25+Q150*$AC$26+R150*$AC$27+S150*$AC$28+T150*$AC$29+U150*$AC$30</f>
        <v/>
      </c>
      <c r="W150" s="8">
        <f>1/(1+EXP(-V150))</f>
        <v/>
      </c>
      <c r="X150" s="9">
        <f>-IF(C150=1,LN(W150),LN(1-W150))</f>
        <v/>
      </c>
      <c r="Y150" s="10">
        <f>IF(W150&gt;$AC$34,1,0)</f>
        <v/>
      </c>
      <c r="Z150">
        <f>IF(Y150=C150,1,0)</f>
        <v/>
      </c>
    </row>
    <row r="151">
      <c r="A151">
        <f>'1 prepared data'!A144</f>
        <v/>
      </c>
      <c r="B151" s="5">
        <f>'1 prepared data'!U144</f>
        <v/>
      </c>
      <c r="C151">
        <f>'1 prepared data'!B144</f>
        <v/>
      </c>
      <c r="D151" s="7">
        <f>'1 prepared data'!C144</f>
        <v/>
      </c>
      <c r="E151" s="7">
        <f>'1 prepared data'!D144</f>
        <v/>
      </c>
      <c r="F151" s="7">
        <f>'1 prepared data'!E144</f>
        <v/>
      </c>
      <c r="G151" s="7">
        <f>'1 prepared data'!F144</f>
        <v/>
      </c>
      <c r="H151" s="7">
        <f>'1 prepared data'!G144</f>
        <v/>
      </c>
      <c r="I151" s="7">
        <f>'1 prepared data'!H144</f>
        <v/>
      </c>
      <c r="J151" s="7">
        <f>'1 prepared data'!I144</f>
        <v/>
      </c>
      <c r="K151" s="7">
        <f>'1 prepared data'!J144</f>
        <v/>
      </c>
      <c r="L151" s="7">
        <f>'1 prepared data'!K144</f>
        <v/>
      </c>
      <c r="M151" s="7">
        <f>'1 prepared data'!L144</f>
        <v/>
      </c>
      <c r="N151" s="7">
        <f>'1 prepared data'!M144</f>
        <v/>
      </c>
      <c r="O151" s="7">
        <f>'1 prepared data'!N144</f>
        <v/>
      </c>
      <c r="P151" s="7">
        <f>'1 prepared data'!O144</f>
        <v/>
      </c>
      <c r="Q151" s="7">
        <f>'1 prepared data'!P144</f>
        <v/>
      </c>
      <c r="R151" s="7">
        <f>'1 prepared data'!Q144</f>
        <v/>
      </c>
      <c r="S151" s="7">
        <f>'1 prepared data'!R144</f>
        <v/>
      </c>
      <c r="T151" s="7">
        <f>'1 prepared data'!S144</f>
        <v/>
      </c>
      <c r="U151" s="7">
        <f>'1 prepared data'!T144</f>
        <v/>
      </c>
      <c r="V151" s="8">
        <f>$AC$12+D151*$AC$13+E151*$AC$14+F151*$AC$15+G151*$AC$16+H151*$AC$17+I151*$AC$18+J151*$AC$19+K151*$AC$20+L151*$AC$21+M151*$AC$22+N151*$AC$23+O151*$AC$24+P151*$AC$25+Q151*$AC$26+R151*$AC$27+S151*$AC$28+T151*$AC$29+U151*$AC$30</f>
        <v/>
      </c>
      <c r="W151" s="8">
        <f>1/(1+EXP(-V151))</f>
        <v/>
      </c>
      <c r="X151" s="9">
        <f>-IF(C151=1,LN(W151),LN(1-W151))</f>
        <v/>
      </c>
      <c r="Y151" s="10">
        <f>IF(W151&gt;$AC$34,1,0)</f>
        <v/>
      </c>
      <c r="Z151">
        <f>IF(Y151=C151,1,0)</f>
        <v/>
      </c>
    </row>
    <row r="152">
      <c r="A152">
        <f>'1 prepared data'!A145</f>
        <v/>
      </c>
      <c r="B152" s="5">
        <f>'1 prepared data'!U145</f>
        <v/>
      </c>
      <c r="C152">
        <f>'1 prepared data'!B145</f>
        <v/>
      </c>
      <c r="D152" s="7">
        <f>'1 prepared data'!C145</f>
        <v/>
      </c>
      <c r="E152" s="7">
        <f>'1 prepared data'!D145</f>
        <v/>
      </c>
      <c r="F152" s="7">
        <f>'1 prepared data'!E145</f>
        <v/>
      </c>
      <c r="G152" s="7">
        <f>'1 prepared data'!F145</f>
        <v/>
      </c>
      <c r="H152" s="7">
        <f>'1 prepared data'!G145</f>
        <v/>
      </c>
      <c r="I152" s="7">
        <f>'1 prepared data'!H145</f>
        <v/>
      </c>
      <c r="J152" s="7">
        <f>'1 prepared data'!I145</f>
        <v/>
      </c>
      <c r="K152" s="7">
        <f>'1 prepared data'!J145</f>
        <v/>
      </c>
      <c r="L152" s="7">
        <f>'1 prepared data'!K145</f>
        <v/>
      </c>
      <c r="M152" s="7">
        <f>'1 prepared data'!L145</f>
        <v/>
      </c>
      <c r="N152" s="7">
        <f>'1 prepared data'!M145</f>
        <v/>
      </c>
      <c r="O152" s="7">
        <f>'1 prepared data'!N145</f>
        <v/>
      </c>
      <c r="P152" s="7">
        <f>'1 prepared data'!O145</f>
        <v/>
      </c>
      <c r="Q152" s="7">
        <f>'1 prepared data'!P145</f>
        <v/>
      </c>
      <c r="R152" s="7">
        <f>'1 prepared data'!Q145</f>
        <v/>
      </c>
      <c r="S152" s="7">
        <f>'1 prepared data'!R145</f>
        <v/>
      </c>
      <c r="T152" s="7">
        <f>'1 prepared data'!S145</f>
        <v/>
      </c>
      <c r="U152" s="7">
        <f>'1 prepared data'!T145</f>
        <v/>
      </c>
      <c r="V152" s="8">
        <f>$AC$12+D152*$AC$13+E152*$AC$14+F152*$AC$15+G152*$AC$16+H152*$AC$17+I152*$AC$18+J152*$AC$19+K152*$AC$20+L152*$AC$21+M152*$AC$22+N152*$AC$23+O152*$AC$24+P152*$AC$25+Q152*$AC$26+R152*$AC$27+S152*$AC$28+T152*$AC$29+U152*$AC$30</f>
        <v/>
      </c>
      <c r="W152" s="8">
        <f>1/(1+EXP(-V152))</f>
        <v/>
      </c>
      <c r="X152" s="9">
        <f>-IF(C152=1,LN(W152),LN(1-W152))</f>
        <v/>
      </c>
      <c r="Y152" s="10">
        <f>IF(W152&gt;$AC$34,1,0)</f>
        <v/>
      </c>
      <c r="Z152">
        <f>IF(Y152=C152,1,0)</f>
        <v/>
      </c>
    </row>
    <row r="153">
      <c r="A153">
        <f>'1 prepared data'!A146</f>
        <v/>
      </c>
      <c r="B153" s="5">
        <f>'1 prepared data'!U146</f>
        <v/>
      </c>
      <c r="C153">
        <f>'1 prepared data'!B146</f>
        <v/>
      </c>
      <c r="D153" s="7">
        <f>'1 prepared data'!C146</f>
        <v/>
      </c>
      <c r="E153" s="7">
        <f>'1 prepared data'!D146</f>
        <v/>
      </c>
      <c r="F153" s="7">
        <f>'1 prepared data'!E146</f>
        <v/>
      </c>
      <c r="G153" s="7">
        <f>'1 prepared data'!F146</f>
        <v/>
      </c>
      <c r="H153" s="7">
        <f>'1 prepared data'!G146</f>
        <v/>
      </c>
      <c r="I153" s="7">
        <f>'1 prepared data'!H146</f>
        <v/>
      </c>
      <c r="J153" s="7">
        <f>'1 prepared data'!I146</f>
        <v/>
      </c>
      <c r="K153" s="7">
        <f>'1 prepared data'!J146</f>
        <v/>
      </c>
      <c r="L153" s="7">
        <f>'1 prepared data'!K146</f>
        <v/>
      </c>
      <c r="M153" s="7">
        <f>'1 prepared data'!L146</f>
        <v/>
      </c>
      <c r="N153" s="7">
        <f>'1 prepared data'!M146</f>
        <v/>
      </c>
      <c r="O153" s="7">
        <f>'1 prepared data'!N146</f>
        <v/>
      </c>
      <c r="P153" s="7">
        <f>'1 prepared data'!O146</f>
        <v/>
      </c>
      <c r="Q153" s="7">
        <f>'1 prepared data'!P146</f>
        <v/>
      </c>
      <c r="R153" s="7">
        <f>'1 prepared data'!Q146</f>
        <v/>
      </c>
      <c r="S153" s="7">
        <f>'1 prepared data'!R146</f>
        <v/>
      </c>
      <c r="T153" s="7">
        <f>'1 prepared data'!S146</f>
        <v/>
      </c>
      <c r="U153" s="7">
        <f>'1 prepared data'!T146</f>
        <v/>
      </c>
      <c r="V153" s="8">
        <f>$AC$12+D153*$AC$13+E153*$AC$14+F153*$AC$15+G153*$AC$16+H153*$AC$17+I153*$AC$18+J153*$AC$19+K153*$AC$20+L153*$AC$21+M153*$AC$22+N153*$AC$23+O153*$AC$24+P153*$AC$25+Q153*$AC$26+R153*$AC$27+S153*$AC$28+T153*$AC$29+U153*$AC$30</f>
        <v/>
      </c>
      <c r="W153" s="8">
        <f>1/(1+EXP(-V153))</f>
        <v/>
      </c>
      <c r="X153" s="9">
        <f>-IF(C153=1,LN(W153),LN(1-W153))</f>
        <v/>
      </c>
      <c r="Y153" s="10">
        <f>IF(W153&gt;$AC$34,1,0)</f>
        <v/>
      </c>
      <c r="Z153">
        <f>IF(Y153=C153,1,0)</f>
        <v/>
      </c>
    </row>
    <row r="154">
      <c r="A154">
        <f>'1 prepared data'!A147</f>
        <v/>
      </c>
      <c r="B154" s="5">
        <f>'1 prepared data'!U147</f>
        <v/>
      </c>
      <c r="C154">
        <f>'1 prepared data'!B147</f>
        <v/>
      </c>
      <c r="D154" s="7">
        <f>'1 prepared data'!C147</f>
        <v/>
      </c>
      <c r="E154" s="7">
        <f>'1 prepared data'!D147</f>
        <v/>
      </c>
      <c r="F154" s="7">
        <f>'1 prepared data'!E147</f>
        <v/>
      </c>
      <c r="G154" s="7">
        <f>'1 prepared data'!F147</f>
        <v/>
      </c>
      <c r="H154" s="7">
        <f>'1 prepared data'!G147</f>
        <v/>
      </c>
      <c r="I154" s="7">
        <f>'1 prepared data'!H147</f>
        <v/>
      </c>
      <c r="J154" s="7">
        <f>'1 prepared data'!I147</f>
        <v/>
      </c>
      <c r="K154" s="7">
        <f>'1 prepared data'!J147</f>
        <v/>
      </c>
      <c r="L154" s="7">
        <f>'1 prepared data'!K147</f>
        <v/>
      </c>
      <c r="M154" s="7">
        <f>'1 prepared data'!L147</f>
        <v/>
      </c>
      <c r="N154" s="7">
        <f>'1 prepared data'!M147</f>
        <v/>
      </c>
      <c r="O154" s="7">
        <f>'1 prepared data'!N147</f>
        <v/>
      </c>
      <c r="P154" s="7">
        <f>'1 prepared data'!O147</f>
        <v/>
      </c>
      <c r="Q154" s="7">
        <f>'1 prepared data'!P147</f>
        <v/>
      </c>
      <c r="R154" s="7">
        <f>'1 prepared data'!Q147</f>
        <v/>
      </c>
      <c r="S154" s="7">
        <f>'1 prepared data'!R147</f>
        <v/>
      </c>
      <c r="T154" s="7">
        <f>'1 prepared data'!S147</f>
        <v/>
      </c>
      <c r="U154" s="7">
        <f>'1 prepared data'!T147</f>
        <v/>
      </c>
      <c r="V154" s="8">
        <f>$AC$12+D154*$AC$13+E154*$AC$14+F154*$AC$15+G154*$AC$16+H154*$AC$17+I154*$AC$18+J154*$AC$19+K154*$AC$20+L154*$AC$21+M154*$AC$22+N154*$AC$23+O154*$AC$24+P154*$AC$25+Q154*$AC$26+R154*$AC$27+S154*$AC$28+T154*$AC$29+U154*$AC$30</f>
        <v/>
      </c>
      <c r="W154" s="8">
        <f>1/(1+EXP(-V154))</f>
        <v/>
      </c>
      <c r="X154" s="9">
        <f>-IF(C154=1,LN(W154),LN(1-W154))</f>
        <v/>
      </c>
      <c r="Y154" s="10">
        <f>IF(W154&gt;$AC$34,1,0)</f>
        <v/>
      </c>
      <c r="Z154">
        <f>IF(Y154=C154,1,0)</f>
        <v/>
      </c>
    </row>
    <row r="155">
      <c r="A155">
        <f>'1 prepared data'!A148</f>
        <v/>
      </c>
      <c r="B155" s="5">
        <f>'1 prepared data'!U148</f>
        <v/>
      </c>
      <c r="C155">
        <f>'1 prepared data'!B148</f>
        <v/>
      </c>
      <c r="D155" s="7">
        <f>'1 prepared data'!C148</f>
        <v/>
      </c>
      <c r="E155" s="7">
        <f>'1 prepared data'!D148</f>
        <v/>
      </c>
      <c r="F155" s="7">
        <f>'1 prepared data'!E148</f>
        <v/>
      </c>
      <c r="G155" s="7">
        <f>'1 prepared data'!F148</f>
        <v/>
      </c>
      <c r="H155" s="7">
        <f>'1 prepared data'!G148</f>
        <v/>
      </c>
      <c r="I155" s="7">
        <f>'1 prepared data'!H148</f>
        <v/>
      </c>
      <c r="J155" s="7">
        <f>'1 prepared data'!I148</f>
        <v/>
      </c>
      <c r="K155" s="7">
        <f>'1 prepared data'!J148</f>
        <v/>
      </c>
      <c r="L155" s="7">
        <f>'1 prepared data'!K148</f>
        <v/>
      </c>
      <c r="M155" s="7">
        <f>'1 prepared data'!L148</f>
        <v/>
      </c>
      <c r="N155" s="7">
        <f>'1 prepared data'!M148</f>
        <v/>
      </c>
      <c r="O155" s="7">
        <f>'1 prepared data'!N148</f>
        <v/>
      </c>
      <c r="P155" s="7">
        <f>'1 prepared data'!O148</f>
        <v/>
      </c>
      <c r="Q155" s="7">
        <f>'1 prepared data'!P148</f>
        <v/>
      </c>
      <c r="R155" s="7">
        <f>'1 prepared data'!Q148</f>
        <v/>
      </c>
      <c r="S155" s="7">
        <f>'1 prepared data'!R148</f>
        <v/>
      </c>
      <c r="T155" s="7">
        <f>'1 prepared data'!S148</f>
        <v/>
      </c>
      <c r="U155" s="7">
        <f>'1 prepared data'!T148</f>
        <v/>
      </c>
      <c r="V155" s="8">
        <f>$AC$12+D155*$AC$13+E155*$AC$14+F155*$AC$15+G155*$AC$16+H155*$AC$17+I155*$AC$18+J155*$AC$19+K155*$AC$20+L155*$AC$21+M155*$AC$22+N155*$AC$23+O155*$AC$24+P155*$AC$25+Q155*$AC$26+R155*$AC$27+S155*$AC$28+T155*$AC$29+U155*$AC$30</f>
        <v/>
      </c>
      <c r="W155" s="8">
        <f>1/(1+EXP(-V155))</f>
        <v/>
      </c>
      <c r="X155" s="9">
        <f>-IF(C155=1,LN(W155),LN(1-W155))</f>
        <v/>
      </c>
      <c r="Y155" s="10">
        <f>IF(W155&gt;$AC$34,1,0)</f>
        <v/>
      </c>
      <c r="Z155">
        <f>IF(Y155=C155,1,0)</f>
        <v/>
      </c>
    </row>
    <row r="156">
      <c r="A156">
        <f>'1 prepared data'!A149</f>
        <v/>
      </c>
      <c r="B156" s="5">
        <f>'1 prepared data'!U149</f>
        <v/>
      </c>
      <c r="C156">
        <f>'1 prepared data'!B149</f>
        <v/>
      </c>
      <c r="D156" s="7">
        <f>'1 prepared data'!C149</f>
        <v/>
      </c>
      <c r="E156" s="7">
        <f>'1 prepared data'!D149</f>
        <v/>
      </c>
      <c r="F156" s="7">
        <f>'1 prepared data'!E149</f>
        <v/>
      </c>
      <c r="G156" s="7">
        <f>'1 prepared data'!F149</f>
        <v/>
      </c>
      <c r="H156" s="7">
        <f>'1 prepared data'!G149</f>
        <v/>
      </c>
      <c r="I156" s="7">
        <f>'1 prepared data'!H149</f>
        <v/>
      </c>
      <c r="J156" s="7">
        <f>'1 prepared data'!I149</f>
        <v/>
      </c>
      <c r="K156" s="7">
        <f>'1 prepared data'!J149</f>
        <v/>
      </c>
      <c r="L156" s="7">
        <f>'1 prepared data'!K149</f>
        <v/>
      </c>
      <c r="M156" s="7">
        <f>'1 prepared data'!L149</f>
        <v/>
      </c>
      <c r="N156" s="7">
        <f>'1 prepared data'!M149</f>
        <v/>
      </c>
      <c r="O156" s="7">
        <f>'1 prepared data'!N149</f>
        <v/>
      </c>
      <c r="P156" s="7">
        <f>'1 prepared data'!O149</f>
        <v/>
      </c>
      <c r="Q156" s="7">
        <f>'1 prepared data'!P149</f>
        <v/>
      </c>
      <c r="R156" s="7">
        <f>'1 prepared data'!Q149</f>
        <v/>
      </c>
      <c r="S156" s="7">
        <f>'1 prepared data'!R149</f>
        <v/>
      </c>
      <c r="T156" s="7">
        <f>'1 prepared data'!S149</f>
        <v/>
      </c>
      <c r="U156" s="7">
        <f>'1 prepared data'!T149</f>
        <v/>
      </c>
      <c r="V156" s="8">
        <f>$AC$12+D156*$AC$13+E156*$AC$14+F156*$AC$15+G156*$AC$16+H156*$AC$17+I156*$AC$18+J156*$AC$19+K156*$AC$20+L156*$AC$21+M156*$AC$22+N156*$AC$23+O156*$AC$24+P156*$AC$25+Q156*$AC$26+R156*$AC$27+S156*$AC$28+T156*$AC$29+U156*$AC$30</f>
        <v/>
      </c>
      <c r="W156" s="8">
        <f>1/(1+EXP(-V156))</f>
        <v/>
      </c>
      <c r="X156" s="9">
        <f>-IF(C156=1,LN(W156),LN(1-W156))</f>
        <v/>
      </c>
      <c r="Y156" s="10">
        <f>IF(W156&gt;$AC$34,1,0)</f>
        <v/>
      </c>
      <c r="Z156">
        <f>IF(Y156=C156,1,0)</f>
        <v/>
      </c>
    </row>
    <row r="157">
      <c r="A157">
        <f>'1 prepared data'!A150</f>
        <v/>
      </c>
      <c r="B157" s="5">
        <f>'1 prepared data'!U150</f>
        <v/>
      </c>
      <c r="C157">
        <f>'1 prepared data'!B150</f>
        <v/>
      </c>
      <c r="D157" s="7">
        <f>'1 prepared data'!C150</f>
        <v/>
      </c>
      <c r="E157" s="7">
        <f>'1 prepared data'!D150</f>
        <v/>
      </c>
      <c r="F157" s="7">
        <f>'1 prepared data'!E150</f>
        <v/>
      </c>
      <c r="G157" s="7">
        <f>'1 prepared data'!F150</f>
        <v/>
      </c>
      <c r="H157" s="7">
        <f>'1 prepared data'!G150</f>
        <v/>
      </c>
      <c r="I157" s="7">
        <f>'1 prepared data'!H150</f>
        <v/>
      </c>
      <c r="J157" s="7">
        <f>'1 prepared data'!I150</f>
        <v/>
      </c>
      <c r="K157" s="7">
        <f>'1 prepared data'!J150</f>
        <v/>
      </c>
      <c r="L157" s="7">
        <f>'1 prepared data'!K150</f>
        <v/>
      </c>
      <c r="M157" s="7">
        <f>'1 prepared data'!L150</f>
        <v/>
      </c>
      <c r="N157" s="7">
        <f>'1 prepared data'!M150</f>
        <v/>
      </c>
      <c r="O157" s="7">
        <f>'1 prepared data'!N150</f>
        <v/>
      </c>
      <c r="P157" s="7">
        <f>'1 prepared data'!O150</f>
        <v/>
      </c>
      <c r="Q157" s="7">
        <f>'1 prepared data'!P150</f>
        <v/>
      </c>
      <c r="R157" s="7">
        <f>'1 prepared data'!Q150</f>
        <v/>
      </c>
      <c r="S157" s="7">
        <f>'1 prepared data'!R150</f>
        <v/>
      </c>
      <c r="T157" s="7">
        <f>'1 prepared data'!S150</f>
        <v/>
      </c>
      <c r="U157" s="7">
        <f>'1 prepared data'!T150</f>
        <v/>
      </c>
      <c r="V157" s="8">
        <f>$AC$12+D157*$AC$13+E157*$AC$14+F157*$AC$15+G157*$AC$16+H157*$AC$17+I157*$AC$18+J157*$AC$19+K157*$AC$20+L157*$AC$21+M157*$AC$22+N157*$AC$23+O157*$AC$24+P157*$AC$25+Q157*$AC$26+R157*$AC$27+S157*$AC$28+T157*$AC$29+U157*$AC$30</f>
        <v/>
      </c>
      <c r="W157" s="8">
        <f>1/(1+EXP(-V157))</f>
        <v/>
      </c>
      <c r="X157" s="9">
        <f>-IF(C157=1,LN(W157),LN(1-W157))</f>
        <v/>
      </c>
      <c r="Y157" s="10">
        <f>IF(W157&gt;$AC$34,1,0)</f>
        <v/>
      </c>
      <c r="Z157">
        <f>IF(Y157=C157,1,0)</f>
        <v/>
      </c>
    </row>
    <row r="158">
      <c r="A158">
        <f>'1 prepared data'!A151</f>
        <v/>
      </c>
      <c r="B158" s="5">
        <f>'1 prepared data'!U151</f>
        <v/>
      </c>
      <c r="C158">
        <f>'1 prepared data'!B151</f>
        <v/>
      </c>
      <c r="D158" s="7">
        <f>'1 prepared data'!C151</f>
        <v/>
      </c>
      <c r="E158" s="7">
        <f>'1 prepared data'!D151</f>
        <v/>
      </c>
      <c r="F158" s="7">
        <f>'1 prepared data'!E151</f>
        <v/>
      </c>
      <c r="G158" s="7">
        <f>'1 prepared data'!F151</f>
        <v/>
      </c>
      <c r="H158" s="7">
        <f>'1 prepared data'!G151</f>
        <v/>
      </c>
      <c r="I158" s="7">
        <f>'1 prepared data'!H151</f>
        <v/>
      </c>
      <c r="J158" s="7">
        <f>'1 prepared data'!I151</f>
        <v/>
      </c>
      <c r="K158" s="7">
        <f>'1 prepared data'!J151</f>
        <v/>
      </c>
      <c r="L158" s="7">
        <f>'1 prepared data'!K151</f>
        <v/>
      </c>
      <c r="M158" s="7">
        <f>'1 prepared data'!L151</f>
        <v/>
      </c>
      <c r="N158" s="7">
        <f>'1 prepared data'!M151</f>
        <v/>
      </c>
      <c r="O158" s="7">
        <f>'1 prepared data'!N151</f>
        <v/>
      </c>
      <c r="P158" s="7">
        <f>'1 prepared data'!O151</f>
        <v/>
      </c>
      <c r="Q158" s="7">
        <f>'1 prepared data'!P151</f>
        <v/>
      </c>
      <c r="R158" s="7">
        <f>'1 prepared data'!Q151</f>
        <v/>
      </c>
      <c r="S158" s="7">
        <f>'1 prepared data'!R151</f>
        <v/>
      </c>
      <c r="T158" s="7">
        <f>'1 prepared data'!S151</f>
        <v/>
      </c>
      <c r="U158" s="7">
        <f>'1 prepared data'!T151</f>
        <v/>
      </c>
      <c r="V158" s="8">
        <f>$AC$12+D158*$AC$13+E158*$AC$14+F158*$AC$15+G158*$AC$16+H158*$AC$17+I158*$AC$18+J158*$AC$19+K158*$AC$20+L158*$AC$21+M158*$AC$22+N158*$AC$23+O158*$AC$24+P158*$AC$25+Q158*$AC$26+R158*$AC$27+S158*$AC$28+T158*$AC$29+U158*$AC$30</f>
        <v/>
      </c>
      <c r="W158" s="8">
        <f>1/(1+EXP(-V158))</f>
        <v/>
      </c>
      <c r="X158" s="9">
        <f>-IF(C158=1,LN(W158),LN(1-W158))</f>
        <v/>
      </c>
      <c r="Y158" s="10">
        <f>IF(W158&gt;$AC$34,1,0)</f>
        <v/>
      </c>
      <c r="Z158">
        <f>IF(Y158=C158,1,0)</f>
        <v/>
      </c>
    </row>
    <row r="159">
      <c r="A159">
        <f>'1 prepared data'!A152</f>
        <v/>
      </c>
      <c r="B159" s="5">
        <f>'1 prepared data'!U152</f>
        <v/>
      </c>
      <c r="C159">
        <f>'1 prepared data'!B152</f>
        <v/>
      </c>
      <c r="D159" s="7">
        <f>'1 prepared data'!C152</f>
        <v/>
      </c>
      <c r="E159" s="7">
        <f>'1 prepared data'!D152</f>
        <v/>
      </c>
      <c r="F159" s="7">
        <f>'1 prepared data'!E152</f>
        <v/>
      </c>
      <c r="G159" s="7">
        <f>'1 prepared data'!F152</f>
        <v/>
      </c>
      <c r="H159" s="7">
        <f>'1 prepared data'!G152</f>
        <v/>
      </c>
      <c r="I159" s="7">
        <f>'1 prepared data'!H152</f>
        <v/>
      </c>
      <c r="J159" s="7">
        <f>'1 prepared data'!I152</f>
        <v/>
      </c>
      <c r="K159" s="7">
        <f>'1 prepared data'!J152</f>
        <v/>
      </c>
      <c r="L159" s="7">
        <f>'1 prepared data'!K152</f>
        <v/>
      </c>
      <c r="M159" s="7">
        <f>'1 prepared data'!L152</f>
        <v/>
      </c>
      <c r="N159" s="7">
        <f>'1 prepared data'!M152</f>
        <v/>
      </c>
      <c r="O159" s="7">
        <f>'1 prepared data'!N152</f>
        <v/>
      </c>
      <c r="P159" s="7">
        <f>'1 prepared data'!O152</f>
        <v/>
      </c>
      <c r="Q159" s="7">
        <f>'1 prepared data'!P152</f>
        <v/>
      </c>
      <c r="R159" s="7">
        <f>'1 prepared data'!Q152</f>
        <v/>
      </c>
      <c r="S159" s="7">
        <f>'1 prepared data'!R152</f>
        <v/>
      </c>
      <c r="T159" s="7">
        <f>'1 prepared data'!S152</f>
        <v/>
      </c>
      <c r="U159" s="7">
        <f>'1 prepared data'!T152</f>
        <v/>
      </c>
      <c r="V159" s="8">
        <f>$AC$12+D159*$AC$13+E159*$AC$14+F159*$AC$15+G159*$AC$16+H159*$AC$17+I159*$AC$18+J159*$AC$19+K159*$AC$20+L159*$AC$21+M159*$AC$22+N159*$AC$23+O159*$AC$24+P159*$AC$25+Q159*$AC$26+R159*$AC$27+S159*$AC$28+T159*$AC$29+U159*$AC$30</f>
        <v/>
      </c>
      <c r="W159" s="8">
        <f>1/(1+EXP(-V159))</f>
        <v/>
      </c>
      <c r="X159" s="9">
        <f>-IF(C159=1,LN(W159),LN(1-W159))</f>
        <v/>
      </c>
      <c r="Y159" s="10">
        <f>IF(W159&gt;$AC$34,1,0)</f>
        <v/>
      </c>
      <c r="Z159">
        <f>IF(Y159=C159,1,0)</f>
        <v/>
      </c>
    </row>
    <row r="160">
      <c r="A160">
        <f>'1 prepared data'!A153</f>
        <v/>
      </c>
      <c r="B160" s="5">
        <f>'1 prepared data'!U153</f>
        <v/>
      </c>
      <c r="C160">
        <f>'1 prepared data'!B153</f>
        <v/>
      </c>
      <c r="D160" s="7">
        <f>'1 prepared data'!C153</f>
        <v/>
      </c>
      <c r="E160" s="7">
        <f>'1 prepared data'!D153</f>
        <v/>
      </c>
      <c r="F160" s="7">
        <f>'1 prepared data'!E153</f>
        <v/>
      </c>
      <c r="G160" s="7">
        <f>'1 prepared data'!F153</f>
        <v/>
      </c>
      <c r="H160" s="7">
        <f>'1 prepared data'!G153</f>
        <v/>
      </c>
      <c r="I160" s="7">
        <f>'1 prepared data'!H153</f>
        <v/>
      </c>
      <c r="J160" s="7">
        <f>'1 prepared data'!I153</f>
        <v/>
      </c>
      <c r="K160" s="7">
        <f>'1 prepared data'!J153</f>
        <v/>
      </c>
      <c r="L160" s="7">
        <f>'1 prepared data'!K153</f>
        <v/>
      </c>
      <c r="M160" s="7">
        <f>'1 prepared data'!L153</f>
        <v/>
      </c>
      <c r="N160" s="7">
        <f>'1 prepared data'!M153</f>
        <v/>
      </c>
      <c r="O160" s="7">
        <f>'1 prepared data'!N153</f>
        <v/>
      </c>
      <c r="P160" s="7">
        <f>'1 prepared data'!O153</f>
        <v/>
      </c>
      <c r="Q160" s="7">
        <f>'1 prepared data'!P153</f>
        <v/>
      </c>
      <c r="R160" s="7">
        <f>'1 prepared data'!Q153</f>
        <v/>
      </c>
      <c r="S160" s="7">
        <f>'1 prepared data'!R153</f>
        <v/>
      </c>
      <c r="T160" s="7">
        <f>'1 prepared data'!S153</f>
        <v/>
      </c>
      <c r="U160" s="7">
        <f>'1 prepared data'!T153</f>
        <v/>
      </c>
      <c r="V160" s="8">
        <f>$AC$12+D160*$AC$13+E160*$AC$14+F160*$AC$15+G160*$AC$16+H160*$AC$17+I160*$AC$18+J160*$AC$19+K160*$AC$20+L160*$AC$21+M160*$AC$22+N160*$AC$23+O160*$AC$24+P160*$AC$25+Q160*$AC$26+R160*$AC$27+S160*$AC$28+T160*$AC$29+U160*$AC$30</f>
        <v/>
      </c>
      <c r="W160" s="8">
        <f>1/(1+EXP(-V160))</f>
        <v/>
      </c>
      <c r="X160" s="9">
        <f>-IF(C160=1,LN(W160),LN(1-W160))</f>
        <v/>
      </c>
      <c r="Y160" s="10">
        <f>IF(W160&gt;$AC$34,1,0)</f>
        <v/>
      </c>
      <c r="Z160">
        <f>IF(Y160=C160,1,0)</f>
        <v/>
      </c>
    </row>
    <row r="161">
      <c r="A161">
        <f>'1 prepared data'!A154</f>
        <v/>
      </c>
      <c r="B161" s="5">
        <f>'1 prepared data'!U154</f>
        <v/>
      </c>
      <c r="C161">
        <f>'1 prepared data'!B154</f>
        <v/>
      </c>
      <c r="D161" s="7">
        <f>'1 prepared data'!C154</f>
        <v/>
      </c>
      <c r="E161" s="7">
        <f>'1 prepared data'!D154</f>
        <v/>
      </c>
      <c r="F161" s="7">
        <f>'1 prepared data'!E154</f>
        <v/>
      </c>
      <c r="G161" s="7">
        <f>'1 prepared data'!F154</f>
        <v/>
      </c>
      <c r="H161" s="7">
        <f>'1 prepared data'!G154</f>
        <v/>
      </c>
      <c r="I161" s="7">
        <f>'1 prepared data'!H154</f>
        <v/>
      </c>
      <c r="J161" s="7">
        <f>'1 prepared data'!I154</f>
        <v/>
      </c>
      <c r="K161" s="7">
        <f>'1 prepared data'!J154</f>
        <v/>
      </c>
      <c r="L161" s="7">
        <f>'1 prepared data'!K154</f>
        <v/>
      </c>
      <c r="M161" s="7">
        <f>'1 prepared data'!L154</f>
        <v/>
      </c>
      <c r="N161" s="7">
        <f>'1 prepared data'!M154</f>
        <v/>
      </c>
      <c r="O161" s="7">
        <f>'1 prepared data'!N154</f>
        <v/>
      </c>
      <c r="P161" s="7">
        <f>'1 prepared data'!O154</f>
        <v/>
      </c>
      <c r="Q161" s="7">
        <f>'1 prepared data'!P154</f>
        <v/>
      </c>
      <c r="R161" s="7">
        <f>'1 prepared data'!Q154</f>
        <v/>
      </c>
      <c r="S161" s="7">
        <f>'1 prepared data'!R154</f>
        <v/>
      </c>
      <c r="T161" s="7">
        <f>'1 prepared data'!S154</f>
        <v/>
      </c>
      <c r="U161" s="7">
        <f>'1 prepared data'!T154</f>
        <v/>
      </c>
      <c r="V161" s="8">
        <f>$AC$12+D161*$AC$13+E161*$AC$14+F161*$AC$15+G161*$AC$16+H161*$AC$17+I161*$AC$18+J161*$AC$19+K161*$AC$20+L161*$AC$21+M161*$AC$22+N161*$AC$23+O161*$AC$24+P161*$AC$25+Q161*$AC$26+R161*$AC$27+S161*$AC$28+T161*$AC$29+U161*$AC$30</f>
        <v/>
      </c>
      <c r="W161" s="8">
        <f>1/(1+EXP(-V161))</f>
        <v/>
      </c>
      <c r="X161" s="9">
        <f>-IF(C161=1,LN(W161),LN(1-W161))</f>
        <v/>
      </c>
      <c r="Y161" s="10">
        <f>IF(W161&gt;$AC$34,1,0)</f>
        <v/>
      </c>
      <c r="Z161">
        <f>IF(Y161=C161,1,0)</f>
        <v/>
      </c>
    </row>
    <row r="162">
      <c r="A162">
        <f>'1 prepared data'!A155</f>
        <v/>
      </c>
      <c r="B162" s="5">
        <f>'1 prepared data'!U155</f>
        <v/>
      </c>
      <c r="C162">
        <f>'1 prepared data'!B155</f>
        <v/>
      </c>
      <c r="D162" s="7">
        <f>'1 prepared data'!C155</f>
        <v/>
      </c>
      <c r="E162" s="7">
        <f>'1 prepared data'!D155</f>
        <v/>
      </c>
      <c r="F162" s="7">
        <f>'1 prepared data'!E155</f>
        <v/>
      </c>
      <c r="G162" s="7">
        <f>'1 prepared data'!F155</f>
        <v/>
      </c>
      <c r="H162" s="7">
        <f>'1 prepared data'!G155</f>
        <v/>
      </c>
      <c r="I162" s="7">
        <f>'1 prepared data'!H155</f>
        <v/>
      </c>
      <c r="J162" s="7">
        <f>'1 prepared data'!I155</f>
        <v/>
      </c>
      <c r="K162" s="7">
        <f>'1 prepared data'!J155</f>
        <v/>
      </c>
      <c r="L162" s="7">
        <f>'1 prepared data'!K155</f>
        <v/>
      </c>
      <c r="M162" s="7">
        <f>'1 prepared data'!L155</f>
        <v/>
      </c>
      <c r="N162" s="7">
        <f>'1 prepared data'!M155</f>
        <v/>
      </c>
      <c r="O162" s="7">
        <f>'1 prepared data'!N155</f>
        <v/>
      </c>
      <c r="P162" s="7">
        <f>'1 prepared data'!O155</f>
        <v/>
      </c>
      <c r="Q162" s="7">
        <f>'1 prepared data'!P155</f>
        <v/>
      </c>
      <c r="R162" s="7">
        <f>'1 prepared data'!Q155</f>
        <v/>
      </c>
      <c r="S162" s="7">
        <f>'1 prepared data'!R155</f>
        <v/>
      </c>
      <c r="T162" s="7">
        <f>'1 prepared data'!S155</f>
        <v/>
      </c>
      <c r="U162" s="7">
        <f>'1 prepared data'!T155</f>
        <v/>
      </c>
      <c r="V162" s="8">
        <f>$AC$12+D162*$AC$13+E162*$AC$14+F162*$AC$15+G162*$AC$16+H162*$AC$17+I162*$AC$18+J162*$AC$19+K162*$AC$20+L162*$AC$21+M162*$AC$22+N162*$AC$23+O162*$AC$24+P162*$AC$25+Q162*$AC$26+R162*$AC$27+S162*$AC$28+T162*$AC$29+U162*$AC$30</f>
        <v/>
      </c>
      <c r="W162" s="8">
        <f>1/(1+EXP(-V162))</f>
        <v/>
      </c>
      <c r="X162" s="9">
        <f>-IF(C162=1,LN(W162),LN(1-W162))</f>
        <v/>
      </c>
      <c r="Y162" s="10">
        <f>IF(W162&gt;$AC$34,1,0)</f>
        <v/>
      </c>
      <c r="Z162">
        <f>IF(Y162=C162,1,0)</f>
        <v/>
      </c>
    </row>
    <row r="163">
      <c r="A163">
        <f>'1 prepared data'!A156</f>
        <v/>
      </c>
      <c r="B163" s="5">
        <f>'1 prepared data'!U156</f>
        <v/>
      </c>
      <c r="C163">
        <f>'1 prepared data'!B156</f>
        <v/>
      </c>
      <c r="D163" s="7">
        <f>'1 prepared data'!C156</f>
        <v/>
      </c>
      <c r="E163" s="7">
        <f>'1 prepared data'!D156</f>
        <v/>
      </c>
      <c r="F163" s="7">
        <f>'1 prepared data'!E156</f>
        <v/>
      </c>
      <c r="G163" s="7">
        <f>'1 prepared data'!F156</f>
        <v/>
      </c>
      <c r="H163" s="7">
        <f>'1 prepared data'!G156</f>
        <v/>
      </c>
      <c r="I163" s="7">
        <f>'1 prepared data'!H156</f>
        <v/>
      </c>
      <c r="J163" s="7">
        <f>'1 prepared data'!I156</f>
        <v/>
      </c>
      <c r="K163" s="7">
        <f>'1 prepared data'!J156</f>
        <v/>
      </c>
      <c r="L163" s="7">
        <f>'1 prepared data'!K156</f>
        <v/>
      </c>
      <c r="M163" s="7">
        <f>'1 prepared data'!L156</f>
        <v/>
      </c>
      <c r="N163" s="7">
        <f>'1 prepared data'!M156</f>
        <v/>
      </c>
      <c r="O163" s="7">
        <f>'1 prepared data'!N156</f>
        <v/>
      </c>
      <c r="P163" s="7">
        <f>'1 prepared data'!O156</f>
        <v/>
      </c>
      <c r="Q163" s="7">
        <f>'1 prepared data'!P156</f>
        <v/>
      </c>
      <c r="R163" s="7">
        <f>'1 prepared data'!Q156</f>
        <v/>
      </c>
      <c r="S163" s="7">
        <f>'1 prepared data'!R156</f>
        <v/>
      </c>
      <c r="T163" s="7">
        <f>'1 prepared data'!S156</f>
        <v/>
      </c>
      <c r="U163" s="7">
        <f>'1 prepared data'!T156</f>
        <v/>
      </c>
      <c r="V163" s="8">
        <f>$AC$12+D163*$AC$13+E163*$AC$14+F163*$AC$15+G163*$AC$16+H163*$AC$17+I163*$AC$18+J163*$AC$19+K163*$AC$20+L163*$AC$21+M163*$AC$22+N163*$AC$23+O163*$AC$24+P163*$AC$25+Q163*$AC$26+R163*$AC$27+S163*$AC$28+T163*$AC$29+U163*$AC$30</f>
        <v/>
      </c>
      <c r="W163" s="8">
        <f>1/(1+EXP(-V163))</f>
        <v/>
      </c>
      <c r="X163" s="9">
        <f>-IF(C163=1,LN(W163),LN(1-W163))</f>
        <v/>
      </c>
      <c r="Y163" s="10">
        <f>IF(W163&gt;$AC$34,1,0)</f>
        <v/>
      </c>
      <c r="Z163">
        <f>IF(Y163=C163,1,0)</f>
        <v/>
      </c>
    </row>
    <row r="164">
      <c r="A164">
        <f>'1 prepared data'!A157</f>
        <v/>
      </c>
      <c r="B164" s="5">
        <f>'1 prepared data'!U157</f>
        <v/>
      </c>
      <c r="C164">
        <f>'1 prepared data'!B157</f>
        <v/>
      </c>
      <c r="D164" s="7">
        <f>'1 prepared data'!C157</f>
        <v/>
      </c>
      <c r="E164" s="7">
        <f>'1 prepared data'!D157</f>
        <v/>
      </c>
      <c r="F164" s="7">
        <f>'1 prepared data'!E157</f>
        <v/>
      </c>
      <c r="G164" s="7">
        <f>'1 prepared data'!F157</f>
        <v/>
      </c>
      <c r="H164" s="7">
        <f>'1 prepared data'!G157</f>
        <v/>
      </c>
      <c r="I164" s="7">
        <f>'1 prepared data'!H157</f>
        <v/>
      </c>
      <c r="J164" s="7">
        <f>'1 prepared data'!I157</f>
        <v/>
      </c>
      <c r="K164" s="7">
        <f>'1 prepared data'!J157</f>
        <v/>
      </c>
      <c r="L164" s="7">
        <f>'1 prepared data'!K157</f>
        <v/>
      </c>
      <c r="M164" s="7">
        <f>'1 prepared data'!L157</f>
        <v/>
      </c>
      <c r="N164" s="7">
        <f>'1 prepared data'!M157</f>
        <v/>
      </c>
      <c r="O164" s="7">
        <f>'1 prepared data'!N157</f>
        <v/>
      </c>
      <c r="P164" s="7">
        <f>'1 prepared data'!O157</f>
        <v/>
      </c>
      <c r="Q164" s="7">
        <f>'1 prepared data'!P157</f>
        <v/>
      </c>
      <c r="R164" s="7">
        <f>'1 prepared data'!Q157</f>
        <v/>
      </c>
      <c r="S164" s="7">
        <f>'1 prepared data'!R157</f>
        <v/>
      </c>
      <c r="T164" s="7">
        <f>'1 prepared data'!S157</f>
        <v/>
      </c>
      <c r="U164" s="7">
        <f>'1 prepared data'!T157</f>
        <v/>
      </c>
      <c r="V164" s="8">
        <f>$AC$12+D164*$AC$13+E164*$AC$14+F164*$AC$15+G164*$AC$16+H164*$AC$17+I164*$AC$18+J164*$AC$19+K164*$AC$20+L164*$AC$21+M164*$AC$22+N164*$AC$23+O164*$AC$24+P164*$AC$25+Q164*$AC$26+R164*$AC$27+S164*$AC$28+T164*$AC$29+U164*$AC$30</f>
        <v/>
      </c>
      <c r="W164" s="8">
        <f>1/(1+EXP(-V164))</f>
        <v/>
      </c>
      <c r="X164" s="9">
        <f>-IF(C164=1,LN(W164),LN(1-W164))</f>
        <v/>
      </c>
      <c r="Y164" s="10">
        <f>IF(W164&gt;$AC$34,1,0)</f>
        <v/>
      </c>
      <c r="Z164">
        <f>IF(Y164=C164,1,0)</f>
        <v/>
      </c>
    </row>
    <row r="165">
      <c r="A165">
        <f>'1 prepared data'!A158</f>
        <v/>
      </c>
      <c r="B165" s="5">
        <f>'1 prepared data'!U158</f>
        <v/>
      </c>
      <c r="C165">
        <f>'1 prepared data'!B158</f>
        <v/>
      </c>
      <c r="D165" s="7">
        <f>'1 prepared data'!C158</f>
        <v/>
      </c>
      <c r="E165" s="7">
        <f>'1 prepared data'!D158</f>
        <v/>
      </c>
      <c r="F165" s="7">
        <f>'1 prepared data'!E158</f>
        <v/>
      </c>
      <c r="G165" s="7">
        <f>'1 prepared data'!F158</f>
        <v/>
      </c>
      <c r="H165" s="7">
        <f>'1 prepared data'!G158</f>
        <v/>
      </c>
      <c r="I165" s="7">
        <f>'1 prepared data'!H158</f>
        <v/>
      </c>
      <c r="J165" s="7">
        <f>'1 prepared data'!I158</f>
        <v/>
      </c>
      <c r="K165" s="7">
        <f>'1 prepared data'!J158</f>
        <v/>
      </c>
      <c r="L165" s="7">
        <f>'1 prepared data'!K158</f>
        <v/>
      </c>
      <c r="M165" s="7">
        <f>'1 prepared data'!L158</f>
        <v/>
      </c>
      <c r="N165" s="7">
        <f>'1 prepared data'!M158</f>
        <v/>
      </c>
      <c r="O165" s="7">
        <f>'1 prepared data'!N158</f>
        <v/>
      </c>
      <c r="P165" s="7">
        <f>'1 prepared data'!O158</f>
        <v/>
      </c>
      <c r="Q165" s="7">
        <f>'1 prepared data'!P158</f>
        <v/>
      </c>
      <c r="R165" s="7">
        <f>'1 prepared data'!Q158</f>
        <v/>
      </c>
      <c r="S165" s="7">
        <f>'1 prepared data'!R158</f>
        <v/>
      </c>
      <c r="T165" s="7">
        <f>'1 prepared data'!S158</f>
        <v/>
      </c>
      <c r="U165" s="7">
        <f>'1 prepared data'!T158</f>
        <v/>
      </c>
      <c r="V165" s="8">
        <f>$AC$12+D165*$AC$13+E165*$AC$14+F165*$AC$15+G165*$AC$16+H165*$AC$17+I165*$AC$18+J165*$AC$19+K165*$AC$20+L165*$AC$21+M165*$AC$22+N165*$AC$23+O165*$AC$24+P165*$AC$25+Q165*$AC$26+R165*$AC$27+S165*$AC$28+T165*$AC$29+U165*$AC$30</f>
        <v/>
      </c>
      <c r="W165" s="8">
        <f>1/(1+EXP(-V165))</f>
        <v/>
      </c>
      <c r="X165" s="9">
        <f>-IF(C165=1,LN(W165),LN(1-W165))</f>
        <v/>
      </c>
      <c r="Y165" s="10">
        <f>IF(W165&gt;$AC$34,1,0)</f>
        <v/>
      </c>
      <c r="Z165">
        <f>IF(Y165=C165,1,0)</f>
        <v/>
      </c>
    </row>
    <row r="166">
      <c r="A166">
        <f>'1 prepared data'!A159</f>
        <v/>
      </c>
      <c r="B166" s="5">
        <f>'1 prepared data'!U159</f>
        <v/>
      </c>
      <c r="C166">
        <f>'1 prepared data'!B159</f>
        <v/>
      </c>
      <c r="D166" s="7">
        <f>'1 prepared data'!C159</f>
        <v/>
      </c>
      <c r="E166" s="7">
        <f>'1 prepared data'!D159</f>
        <v/>
      </c>
      <c r="F166" s="7">
        <f>'1 prepared data'!E159</f>
        <v/>
      </c>
      <c r="G166" s="7">
        <f>'1 prepared data'!F159</f>
        <v/>
      </c>
      <c r="H166" s="7">
        <f>'1 prepared data'!G159</f>
        <v/>
      </c>
      <c r="I166" s="7">
        <f>'1 prepared data'!H159</f>
        <v/>
      </c>
      <c r="J166" s="7">
        <f>'1 prepared data'!I159</f>
        <v/>
      </c>
      <c r="K166" s="7">
        <f>'1 prepared data'!J159</f>
        <v/>
      </c>
      <c r="L166" s="7">
        <f>'1 prepared data'!K159</f>
        <v/>
      </c>
      <c r="M166" s="7">
        <f>'1 prepared data'!L159</f>
        <v/>
      </c>
      <c r="N166" s="7">
        <f>'1 prepared data'!M159</f>
        <v/>
      </c>
      <c r="O166" s="7">
        <f>'1 prepared data'!N159</f>
        <v/>
      </c>
      <c r="P166" s="7">
        <f>'1 prepared data'!O159</f>
        <v/>
      </c>
      <c r="Q166" s="7">
        <f>'1 prepared data'!P159</f>
        <v/>
      </c>
      <c r="R166" s="7">
        <f>'1 prepared data'!Q159</f>
        <v/>
      </c>
      <c r="S166" s="7">
        <f>'1 prepared data'!R159</f>
        <v/>
      </c>
      <c r="T166" s="7">
        <f>'1 prepared data'!S159</f>
        <v/>
      </c>
      <c r="U166" s="7">
        <f>'1 prepared data'!T159</f>
        <v/>
      </c>
      <c r="V166" s="8">
        <f>$AC$12+D166*$AC$13+E166*$AC$14+F166*$AC$15+G166*$AC$16+H166*$AC$17+I166*$AC$18+J166*$AC$19+K166*$AC$20+L166*$AC$21+M166*$AC$22+N166*$AC$23+O166*$AC$24+P166*$AC$25+Q166*$AC$26+R166*$AC$27+S166*$AC$28+T166*$AC$29+U166*$AC$30</f>
        <v/>
      </c>
      <c r="W166" s="8">
        <f>1/(1+EXP(-V166))</f>
        <v/>
      </c>
      <c r="X166" s="9">
        <f>-IF(C166=1,LN(W166),LN(1-W166))</f>
        <v/>
      </c>
      <c r="Y166" s="10">
        <f>IF(W166&gt;$AC$34,1,0)</f>
        <v/>
      </c>
      <c r="Z166">
        <f>IF(Y166=C166,1,0)</f>
        <v/>
      </c>
    </row>
    <row r="167">
      <c r="A167">
        <f>'1 prepared data'!A160</f>
        <v/>
      </c>
      <c r="B167" s="5">
        <f>'1 prepared data'!U160</f>
        <v/>
      </c>
      <c r="C167">
        <f>'1 prepared data'!B160</f>
        <v/>
      </c>
      <c r="D167" s="7">
        <f>'1 prepared data'!C160</f>
        <v/>
      </c>
      <c r="E167" s="7">
        <f>'1 prepared data'!D160</f>
        <v/>
      </c>
      <c r="F167" s="7">
        <f>'1 prepared data'!E160</f>
        <v/>
      </c>
      <c r="G167" s="7">
        <f>'1 prepared data'!F160</f>
        <v/>
      </c>
      <c r="H167" s="7">
        <f>'1 prepared data'!G160</f>
        <v/>
      </c>
      <c r="I167" s="7">
        <f>'1 prepared data'!H160</f>
        <v/>
      </c>
      <c r="J167" s="7">
        <f>'1 prepared data'!I160</f>
        <v/>
      </c>
      <c r="K167" s="7">
        <f>'1 prepared data'!J160</f>
        <v/>
      </c>
      <c r="L167" s="7">
        <f>'1 prepared data'!K160</f>
        <v/>
      </c>
      <c r="M167" s="7">
        <f>'1 prepared data'!L160</f>
        <v/>
      </c>
      <c r="N167" s="7">
        <f>'1 prepared data'!M160</f>
        <v/>
      </c>
      <c r="O167" s="7">
        <f>'1 prepared data'!N160</f>
        <v/>
      </c>
      <c r="P167" s="7">
        <f>'1 prepared data'!O160</f>
        <v/>
      </c>
      <c r="Q167" s="7">
        <f>'1 prepared data'!P160</f>
        <v/>
      </c>
      <c r="R167" s="7">
        <f>'1 prepared data'!Q160</f>
        <v/>
      </c>
      <c r="S167" s="7">
        <f>'1 prepared data'!R160</f>
        <v/>
      </c>
      <c r="T167" s="7">
        <f>'1 prepared data'!S160</f>
        <v/>
      </c>
      <c r="U167" s="7">
        <f>'1 prepared data'!T160</f>
        <v/>
      </c>
      <c r="V167" s="8">
        <f>$AC$12+D167*$AC$13+E167*$AC$14+F167*$AC$15+G167*$AC$16+H167*$AC$17+I167*$AC$18+J167*$AC$19+K167*$AC$20+L167*$AC$21+M167*$AC$22+N167*$AC$23+O167*$AC$24+P167*$AC$25+Q167*$AC$26+R167*$AC$27+S167*$AC$28+T167*$AC$29+U167*$AC$30</f>
        <v/>
      </c>
      <c r="W167" s="8">
        <f>1/(1+EXP(-V167))</f>
        <v/>
      </c>
      <c r="X167" s="9">
        <f>-IF(C167=1,LN(W167),LN(1-W167))</f>
        <v/>
      </c>
      <c r="Y167" s="10">
        <f>IF(W167&gt;$AC$34,1,0)</f>
        <v/>
      </c>
      <c r="Z167">
        <f>IF(Y167=C167,1,0)</f>
        <v/>
      </c>
    </row>
    <row r="168">
      <c r="A168">
        <f>'1 prepared data'!A161</f>
        <v/>
      </c>
      <c r="B168" s="5">
        <f>'1 prepared data'!U161</f>
        <v/>
      </c>
      <c r="C168">
        <f>'1 prepared data'!B161</f>
        <v/>
      </c>
      <c r="D168" s="7">
        <f>'1 prepared data'!C161</f>
        <v/>
      </c>
      <c r="E168" s="7">
        <f>'1 prepared data'!D161</f>
        <v/>
      </c>
      <c r="F168" s="7">
        <f>'1 prepared data'!E161</f>
        <v/>
      </c>
      <c r="G168" s="7">
        <f>'1 prepared data'!F161</f>
        <v/>
      </c>
      <c r="H168" s="7">
        <f>'1 prepared data'!G161</f>
        <v/>
      </c>
      <c r="I168" s="7">
        <f>'1 prepared data'!H161</f>
        <v/>
      </c>
      <c r="J168" s="7">
        <f>'1 prepared data'!I161</f>
        <v/>
      </c>
      <c r="K168" s="7">
        <f>'1 prepared data'!J161</f>
        <v/>
      </c>
      <c r="L168" s="7">
        <f>'1 prepared data'!K161</f>
        <v/>
      </c>
      <c r="M168" s="7">
        <f>'1 prepared data'!L161</f>
        <v/>
      </c>
      <c r="N168" s="7">
        <f>'1 prepared data'!M161</f>
        <v/>
      </c>
      <c r="O168" s="7">
        <f>'1 prepared data'!N161</f>
        <v/>
      </c>
      <c r="P168" s="7">
        <f>'1 prepared data'!O161</f>
        <v/>
      </c>
      <c r="Q168" s="7">
        <f>'1 prepared data'!P161</f>
        <v/>
      </c>
      <c r="R168" s="7">
        <f>'1 prepared data'!Q161</f>
        <v/>
      </c>
      <c r="S168" s="7">
        <f>'1 prepared data'!R161</f>
        <v/>
      </c>
      <c r="T168" s="7">
        <f>'1 prepared data'!S161</f>
        <v/>
      </c>
      <c r="U168" s="7">
        <f>'1 prepared data'!T161</f>
        <v/>
      </c>
      <c r="V168" s="8">
        <f>$AC$12+D168*$AC$13+E168*$AC$14+F168*$AC$15+G168*$AC$16+H168*$AC$17+I168*$AC$18+J168*$AC$19+K168*$AC$20+L168*$AC$21+M168*$AC$22+N168*$AC$23+O168*$AC$24+P168*$AC$25+Q168*$AC$26+R168*$AC$27+S168*$AC$28+T168*$AC$29+U168*$AC$30</f>
        <v/>
      </c>
      <c r="W168" s="8">
        <f>1/(1+EXP(-V168))</f>
        <v/>
      </c>
      <c r="X168" s="9">
        <f>-IF(C168=1,LN(W168),LN(1-W168))</f>
        <v/>
      </c>
      <c r="Y168" s="10">
        <f>IF(W168&gt;$AC$34,1,0)</f>
        <v/>
      </c>
      <c r="Z168">
        <f>IF(Y168=C168,1,0)</f>
        <v/>
      </c>
    </row>
    <row r="169">
      <c r="A169">
        <f>'1 prepared data'!A162</f>
        <v/>
      </c>
      <c r="B169" s="5">
        <f>'1 prepared data'!U162</f>
        <v/>
      </c>
      <c r="C169">
        <f>'1 prepared data'!B162</f>
        <v/>
      </c>
      <c r="D169" s="7">
        <f>'1 prepared data'!C162</f>
        <v/>
      </c>
      <c r="E169" s="7">
        <f>'1 prepared data'!D162</f>
        <v/>
      </c>
      <c r="F169" s="7">
        <f>'1 prepared data'!E162</f>
        <v/>
      </c>
      <c r="G169" s="7">
        <f>'1 prepared data'!F162</f>
        <v/>
      </c>
      <c r="H169" s="7">
        <f>'1 prepared data'!G162</f>
        <v/>
      </c>
      <c r="I169" s="7">
        <f>'1 prepared data'!H162</f>
        <v/>
      </c>
      <c r="J169" s="7">
        <f>'1 prepared data'!I162</f>
        <v/>
      </c>
      <c r="K169" s="7">
        <f>'1 prepared data'!J162</f>
        <v/>
      </c>
      <c r="L169" s="7">
        <f>'1 prepared data'!K162</f>
        <v/>
      </c>
      <c r="M169" s="7">
        <f>'1 prepared data'!L162</f>
        <v/>
      </c>
      <c r="N169" s="7">
        <f>'1 prepared data'!M162</f>
        <v/>
      </c>
      <c r="O169" s="7">
        <f>'1 prepared data'!N162</f>
        <v/>
      </c>
      <c r="P169" s="7">
        <f>'1 prepared data'!O162</f>
        <v/>
      </c>
      <c r="Q169" s="7">
        <f>'1 prepared data'!P162</f>
        <v/>
      </c>
      <c r="R169" s="7">
        <f>'1 prepared data'!Q162</f>
        <v/>
      </c>
      <c r="S169" s="7">
        <f>'1 prepared data'!R162</f>
        <v/>
      </c>
      <c r="T169" s="7">
        <f>'1 prepared data'!S162</f>
        <v/>
      </c>
      <c r="U169" s="7">
        <f>'1 prepared data'!T162</f>
        <v/>
      </c>
      <c r="V169" s="8">
        <f>$AC$12+D169*$AC$13+E169*$AC$14+F169*$AC$15+G169*$AC$16+H169*$AC$17+I169*$AC$18+J169*$AC$19+K169*$AC$20+L169*$AC$21+M169*$AC$22+N169*$AC$23+O169*$AC$24+P169*$AC$25+Q169*$AC$26+R169*$AC$27+S169*$AC$28+T169*$AC$29+U169*$AC$30</f>
        <v/>
      </c>
      <c r="W169" s="8">
        <f>1/(1+EXP(-V169))</f>
        <v/>
      </c>
      <c r="X169" s="9">
        <f>-IF(C169=1,LN(W169),LN(1-W169))</f>
        <v/>
      </c>
      <c r="Y169" s="10">
        <f>IF(W169&gt;$AC$34,1,0)</f>
        <v/>
      </c>
      <c r="Z169">
        <f>IF(Y169=C169,1,0)</f>
        <v/>
      </c>
    </row>
    <row r="170">
      <c r="A170">
        <f>'1 prepared data'!A163</f>
        <v/>
      </c>
      <c r="B170" s="5">
        <f>'1 prepared data'!U163</f>
        <v/>
      </c>
      <c r="C170">
        <f>'1 prepared data'!B163</f>
        <v/>
      </c>
      <c r="D170" s="7">
        <f>'1 prepared data'!C163</f>
        <v/>
      </c>
      <c r="E170" s="7">
        <f>'1 prepared data'!D163</f>
        <v/>
      </c>
      <c r="F170" s="7">
        <f>'1 prepared data'!E163</f>
        <v/>
      </c>
      <c r="G170" s="7">
        <f>'1 prepared data'!F163</f>
        <v/>
      </c>
      <c r="H170" s="7">
        <f>'1 prepared data'!G163</f>
        <v/>
      </c>
      <c r="I170" s="7">
        <f>'1 prepared data'!H163</f>
        <v/>
      </c>
      <c r="J170" s="7">
        <f>'1 prepared data'!I163</f>
        <v/>
      </c>
      <c r="K170" s="7">
        <f>'1 prepared data'!J163</f>
        <v/>
      </c>
      <c r="L170" s="7">
        <f>'1 prepared data'!K163</f>
        <v/>
      </c>
      <c r="M170" s="7">
        <f>'1 prepared data'!L163</f>
        <v/>
      </c>
      <c r="N170" s="7">
        <f>'1 prepared data'!M163</f>
        <v/>
      </c>
      <c r="O170" s="7">
        <f>'1 prepared data'!N163</f>
        <v/>
      </c>
      <c r="P170" s="7">
        <f>'1 prepared data'!O163</f>
        <v/>
      </c>
      <c r="Q170" s="7">
        <f>'1 prepared data'!P163</f>
        <v/>
      </c>
      <c r="R170" s="7">
        <f>'1 prepared data'!Q163</f>
        <v/>
      </c>
      <c r="S170" s="7">
        <f>'1 prepared data'!R163</f>
        <v/>
      </c>
      <c r="T170" s="7">
        <f>'1 prepared data'!S163</f>
        <v/>
      </c>
      <c r="U170" s="7">
        <f>'1 prepared data'!T163</f>
        <v/>
      </c>
      <c r="V170" s="8">
        <f>$AC$12+D170*$AC$13+E170*$AC$14+F170*$AC$15+G170*$AC$16+H170*$AC$17+I170*$AC$18+J170*$AC$19+K170*$AC$20+L170*$AC$21+M170*$AC$22+N170*$AC$23+O170*$AC$24+P170*$AC$25+Q170*$AC$26+R170*$AC$27+S170*$AC$28+T170*$AC$29+U170*$AC$30</f>
        <v/>
      </c>
      <c r="W170" s="8">
        <f>1/(1+EXP(-V170))</f>
        <v/>
      </c>
      <c r="X170" s="9">
        <f>-IF(C170=1,LN(W170),LN(1-W170))</f>
        <v/>
      </c>
      <c r="Y170" s="10">
        <f>IF(W170&gt;$AC$34,1,0)</f>
        <v/>
      </c>
      <c r="Z170">
        <f>IF(Y170=C170,1,0)</f>
        <v/>
      </c>
    </row>
    <row r="171">
      <c r="A171">
        <f>'1 prepared data'!A164</f>
        <v/>
      </c>
      <c r="B171" s="5">
        <f>'1 prepared data'!U164</f>
        <v/>
      </c>
      <c r="C171">
        <f>'1 prepared data'!B164</f>
        <v/>
      </c>
      <c r="D171" s="7">
        <f>'1 prepared data'!C164</f>
        <v/>
      </c>
      <c r="E171" s="7">
        <f>'1 prepared data'!D164</f>
        <v/>
      </c>
      <c r="F171" s="7">
        <f>'1 prepared data'!E164</f>
        <v/>
      </c>
      <c r="G171" s="7">
        <f>'1 prepared data'!F164</f>
        <v/>
      </c>
      <c r="H171" s="7">
        <f>'1 prepared data'!G164</f>
        <v/>
      </c>
      <c r="I171" s="7">
        <f>'1 prepared data'!H164</f>
        <v/>
      </c>
      <c r="J171" s="7">
        <f>'1 prepared data'!I164</f>
        <v/>
      </c>
      <c r="K171" s="7">
        <f>'1 prepared data'!J164</f>
        <v/>
      </c>
      <c r="L171" s="7">
        <f>'1 prepared data'!K164</f>
        <v/>
      </c>
      <c r="M171" s="7">
        <f>'1 prepared data'!L164</f>
        <v/>
      </c>
      <c r="N171" s="7">
        <f>'1 prepared data'!M164</f>
        <v/>
      </c>
      <c r="O171" s="7">
        <f>'1 prepared data'!N164</f>
        <v/>
      </c>
      <c r="P171" s="7">
        <f>'1 prepared data'!O164</f>
        <v/>
      </c>
      <c r="Q171" s="7">
        <f>'1 prepared data'!P164</f>
        <v/>
      </c>
      <c r="R171" s="7">
        <f>'1 prepared data'!Q164</f>
        <v/>
      </c>
      <c r="S171" s="7">
        <f>'1 prepared data'!R164</f>
        <v/>
      </c>
      <c r="T171" s="7">
        <f>'1 prepared data'!S164</f>
        <v/>
      </c>
      <c r="U171" s="7">
        <f>'1 prepared data'!T164</f>
        <v/>
      </c>
      <c r="V171" s="8">
        <f>$AC$12+D171*$AC$13+E171*$AC$14+F171*$AC$15+G171*$AC$16+H171*$AC$17+I171*$AC$18+J171*$AC$19+K171*$AC$20+L171*$AC$21+M171*$AC$22+N171*$AC$23+O171*$AC$24+P171*$AC$25+Q171*$AC$26+R171*$AC$27+S171*$AC$28+T171*$AC$29+U171*$AC$30</f>
        <v/>
      </c>
      <c r="W171" s="8">
        <f>1/(1+EXP(-V171))</f>
        <v/>
      </c>
      <c r="X171" s="9">
        <f>-IF(C171=1,LN(W171),LN(1-W171))</f>
        <v/>
      </c>
      <c r="Y171" s="10">
        <f>IF(W171&gt;$AC$34,1,0)</f>
        <v/>
      </c>
      <c r="Z171">
        <f>IF(Y171=C171,1,0)</f>
        <v/>
      </c>
    </row>
    <row r="172">
      <c r="A172">
        <f>'1 prepared data'!A165</f>
        <v/>
      </c>
      <c r="B172" s="5">
        <f>'1 prepared data'!U165</f>
        <v/>
      </c>
      <c r="C172">
        <f>'1 prepared data'!B165</f>
        <v/>
      </c>
      <c r="D172" s="7">
        <f>'1 prepared data'!C165</f>
        <v/>
      </c>
      <c r="E172" s="7">
        <f>'1 prepared data'!D165</f>
        <v/>
      </c>
      <c r="F172" s="7">
        <f>'1 prepared data'!E165</f>
        <v/>
      </c>
      <c r="G172" s="7">
        <f>'1 prepared data'!F165</f>
        <v/>
      </c>
      <c r="H172" s="7">
        <f>'1 prepared data'!G165</f>
        <v/>
      </c>
      <c r="I172" s="7">
        <f>'1 prepared data'!H165</f>
        <v/>
      </c>
      <c r="J172" s="7">
        <f>'1 prepared data'!I165</f>
        <v/>
      </c>
      <c r="K172" s="7">
        <f>'1 prepared data'!J165</f>
        <v/>
      </c>
      <c r="L172" s="7">
        <f>'1 prepared data'!K165</f>
        <v/>
      </c>
      <c r="M172" s="7">
        <f>'1 prepared data'!L165</f>
        <v/>
      </c>
      <c r="N172" s="7">
        <f>'1 prepared data'!M165</f>
        <v/>
      </c>
      <c r="O172" s="7">
        <f>'1 prepared data'!N165</f>
        <v/>
      </c>
      <c r="P172" s="7">
        <f>'1 prepared data'!O165</f>
        <v/>
      </c>
      <c r="Q172" s="7">
        <f>'1 prepared data'!P165</f>
        <v/>
      </c>
      <c r="R172" s="7">
        <f>'1 prepared data'!Q165</f>
        <v/>
      </c>
      <c r="S172" s="7">
        <f>'1 prepared data'!R165</f>
        <v/>
      </c>
      <c r="T172" s="7">
        <f>'1 prepared data'!S165</f>
        <v/>
      </c>
      <c r="U172" s="7">
        <f>'1 prepared data'!T165</f>
        <v/>
      </c>
      <c r="V172" s="8">
        <f>$AC$12+D172*$AC$13+E172*$AC$14+F172*$AC$15+G172*$AC$16+H172*$AC$17+I172*$AC$18+J172*$AC$19+K172*$AC$20+L172*$AC$21+M172*$AC$22+N172*$AC$23+O172*$AC$24+P172*$AC$25+Q172*$AC$26+R172*$AC$27+S172*$AC$28+T172*$AC$29+U172*$AC$30</f>
        <v/>
      </c>
      <c r="W172" s="8">
        <f>1/(1+EXP(-V172))</f>
        <v/>
      </c>
      <c r="X172" s="9">
        <f>-IF(C172=1,LN(W172),LN(1-W172))</f>
        <v/>
      </c>
      <c r="Y172" s="10">
        <f>IF(W172&gt;$AC$34,1,0)</f>
        <v/>
      </c>
      <c r="Z172">
        <f>IF(Y172=C172,1,0)</f>
        <v/>
      </c>
    </row>
    <row r="173">
      <c r="A173">
        <f>'1 prepared data'!A166</f>
        <v/>
      </c>
      <c r="B173" s="5">
        <f>'1 prepared data'!U166</f>
        <v/>
      </c>
      <c r="C173">
        <f>'1 prepared data'!B166</f>
        <v/>
      </c>
      <c r="D173" s="7">
        <f>'1 prepared data'!C166</f>
        <v/>
      </c>
      <c r="E173" s="7">
        <f>'1 prepared data'!D166</f>
        <v/>
      </c>
      <c r="F173" s="7">
        <f>'1 prepared data'!E166</f>
        <v/>
      </c>
      <c r="G173" s="7">
        <f>'1 prepared data'!F166</f>
        <v/>
      </c>
      <c r="H173" s="7">
        <f>'1 prepared data'!G166</f>
        <v/>
      </c>
      <c r="I173" s="7">
        <f>'1 prepared data'!H166</f>
        <v/>
      </c>
      <c r="J173" s="7">
        <f>'1 prepared data'!I166</f>
        <v/>
      </c>
      <c r="K173" s="7">
        <f>'1 prepared data'!J166</f>
        <v/>
      </c>
      <c r="L173" s="7">
        <f>'1 prepared data'!K166</f>
        <v/>
      </c>
      <c r="M173" s="7">
        <f>'1 prepared data'!L166</f>
        <v/>
      </c>
      <c r="N173" s="7">
        <f>'1 prepared data'!M166</f>
        <v/>
      </c>
      <c r="O173" s="7">
        <f>'1 prepared data'!N166</f>
        <v/>
      </c>
      <c r="P173" s="7">
        <f>'1 prepared data'!O166</f>
        <v/>
      </c>
      <c r="Q173" s="7">
        <f>'1 prepared data'!P166</f>
        <v/>
      </c>
      <c r="R173" s="7">
        <f>'1 prepared data'!Q166</f>
        <v/>
      </c>
      <c r="S173" s="7">
        <f>'1 prepared data'!R166</f>
        <v/>
      </c>
      <c r="T173" s="7">
        <f>'1 prepared data'!S166</f>
        <v/>
      </c>
      <c r="U173" s="7">
        <f>'1 prepared data'!T166</f>
        <v/>
      </c>
      <c r="V173" s="8">
        <f>$AC$12+D173*$AC$13+E173*$AC$14+F173*$AC$15+G173*$AC$16+H173*$AC$17+I173*$AC$18+J173*$AC$19+K173*$AC$20+L173*$AC$21+M173*$AC$22+N173*$AC$23+O173*$AC$24+P173*$AC$25+Q173*$AC$26+R173*$AC$27+S173*$AC$28+T173*$AC$29+U173*$AC$30</f>
        <v/>
      </c>
      <c r="W173" s="8">
        <f>1/(1+EXP(-V173))</f>
        <v/>
      </c>
      <c r="X173" s="9">
        <f>-IF(C173=1,LN(W173),LN(1-W173))</f>
        <v/>
      </c>
      <c r="Y173" s="10">
        <f>IF(W173&gt;$AC$34,1,0)</f>
        <v/>
      </c>
      <c r="Z173">
        <f>IF(Y173=C173,1,0)</f>
        <v/>
      </c>
    </row>
    <row r="174">
      <c r="A174">
        <f>'1 prepared data'!A167</f>
        <v/>
      </c>
      <c r="B174" s="5">
        <f>'1 prepared data'!U167</f>
        <v/>
      </c>
      <c r="C174">
        <f>'1 prepared data'!B167</f>
        <v/>
      </c>
      <c r="D174" s="7">
        <f>'1 prepared data'!C167</f>
        <v/>
      </c>
      <c r="E174" s="7">
        <f>'1 prepared data'!D167</f>
        <v/>
      </c>
      <c r="F174" s="7">
        <f>'1 prepared data'!E167</f>
        <v/>
      </c>
      <c r="G174" s="7">
        <f>'1 prepared data'!F167</f>
        <v/>
      </c>
      <c r="H174" s="7">
        <f>'1 prepared data'!G167</f>
        <v/>
      </c>
      <c r="I174" s="7">
        <f>'1 prepared data'!H167</f>
        <v/>
      </c>
      <c r="J174" s="7">
        <f>'1 prepared data'!I167</f>
        <v/>
      </c>
      <c r="K174" s="7">
        <f>'1 prepared data'!J167</f>
        <v/>
      </c>
      <c r="L174" s="7">
        <f>'1 prepared data'!K167</f>
        <v/>
      </c>
      <c r="M174" s="7">
        <f>'1 prepared data'!L167</f>
        <v/>
      </c>
      <c r="N174" s="7">
        <f>'1 prepared data'!M167</f>
        <v/>
      </c>
      <c r="O174" s="7">
        <f>'1 prepared data'!N167</f>
        <v/>
      </c>
      <c r="P174" s="7">
        <f>'1 prepared data'!O167</f>
        <v/>
      </c>
      <c r="Q174" s="7">
        <f>'1 prepared data'!P167</f>
        <v/>
      </c>
      <c r="R174" s="7">
        <f>'1 prepared data'!Q167</f>
        <v/>
      </c>
      <c r="S174" s="7">
        <f>'1 prepared data'!R167</f>
        <v/>
      </c>
      <c r="T174" s="7">
        <f>'1 prepared data'!S167</f>
        <v/>
      </c>
      <c r="U174" s="7">
        <f>'1 prepared data'!T167</f>
        <v/>
      </c>
      <c r="V174" s="8">
        <f>$AC$12+D174*$AC$13+E174*$AC$14+F174*$AC$15+G174*$AC$16+H174*$AC$17+I174*$AC$18+J174*$AC$19+K174*$AC$20+L174*$AC$21+M174*$AC$22+N174*$AC$23+O174*$AC$24+P174*$AC$25+Q174*$AC$26+R174*$AC$27+S174*$AC$28+T174*$AC$29+U174*$AC$30</f>
        <v/>
      </c>
      <c r="W174" s="8">
        <f>1/(1+EXP(-V174))</f>
        <v/>
      </c>
      <c r="X174" s="9">
        <f>-IF(C174=1,LN(W174),LN(1-W174))</f>
        <v/>
      </c>
      <c r="Y174" s="10">
        <f>IF(W174&gt;$AC$34,1,0)</f>
        <v/>
      </c>
      <c r="Z174">
        <f>IF(Y174=C174,1,0)</f>
        <v/>
      </c>
    </row>
    <row r="175">
      <c r="A175">
        <f>'1 prepared data'!A168</f>
        <v/>
      </c>
      <c r="B175" s="5">
        <f>'1 prepared data'!U168</f>
        <v/>
      </c>
      <c r="C175">
        <f>'1 prepared data'!B168</f>
        <v/>
      </c>
      <c r="D175" s="7">
        <f>'1 prepared data'!C168</f>
        <v/>
      </c>
      <c r="E175" s="7">
        <f>'1 prepared data'!D168</f>
        <v/>
      </c>
      <c r="F175" s="7">
        <f>'1 prepared data'!E168</f>
        <v/>
      </c>
      <c r="G175" s="7">
        <f>'1 prepared data'!F168</f>
        <v/>
      </c>
      <c r="H175" s="7">
        <f>'1 prepared data'!G168</f>
        <v/>
      </c>
      <c r="I175" s="7">
        <f>'1 prepared data'!H168</f>
        <v/>
      </c>
      <c r="J175" s="7">
        <f>'1 prepared data'!I168</f>
        <v/>
      </c>
      <c r="K175" s="7">
        <f>'1 prepared data'!J168</f>
        <v/>
      </c>
      <c r="L175" s="7">
        <f>'1 prepared data'!K168</f>
        <v/>
      </c>
      <c r="M175" s="7">
        <f>'1 prepared data'!L168</f>
        <v/>
      </c>
      <c r="N175" s="7">
        <f>'1 prepared data'!M168</f>
        <v/>
      </c>
      <c r="O175" s="7">
        <f>'1 prepared data'!N168</f>
        <v/>
      </c>
      <c r="P175" s="7">
        <f>'1 prepared data'!O168</f>
        <v/>
      </c>
      <c r="Q175" s="7">
        <f>'1 prepared data'!P168</f>
        <v/>
      </c>
      <c r="R175" s="7">
        <f>'1 prepared data'!Q168</f>
        <v/>
      </c>
      <c r="S175" s="7">
        <f>'1 prepared data'!R168</f>
        <v/>
      </c>
      <c r="T175" s="7">
        <f>'1 prepared data'!S168</f>
        <v/>
      </c>
      <c r="U175" s="7">
        <f>'1 prepared data'!T168</f>
        <v/>
      </c>
      <c r="V175" s="8">
        <f>$AC$12+D175*$AC$13+E175*$AC$14+F175*$AC$15+G175*$AC$16+H175*$AC$17+I175*$AC$18+J175*$AC$19+K175*$AC$20+L175*$AC$21+M175*$AC$22+N175*$AC$23+O175*$AC$24+P175*$AC$25+Q175*$AC$26+R175*$AC$27+S175*$AC$28+T175*$AC$29+U175*$AC$30</f>
        <v/>
      </c>
      <c r="W175" s="8">
        <f>1/(1+EXP(-V175))</f>
        <v/>
      </c>
      <c r="X175" s="9">
        <f>-IF(C175=1,LN(W175),LN(1-W175))</f>
        <v/>
      </c>
      <c r="Y175" s="10">
        <f>IF(W175&gt;$AC$34,1,0)</f>
        <v/>
      </c>
      <c r="Z175">
        <f>IF(Y175=C175,1,0)</f>
        <v/>
      </c>
    </row>
    <row r="176">
      <c r="A176">
        <f>'1 prepared data'!A169</f>
        <v/>
      </c>
      <c r="B176" s="5">
        <f>'1 prepared data'!U169</f>
        <v/>
      </c>
      <c r="C176">
        <f>'1 prepared data'!B169</f>
        <v/>
      </c>
      <c r="D176" s="7">
        <f>'1 prepared data'!C169</f>
        <v/>
      </c>
      <c r="E176" s="7">
        <f>'1 prepared data'!D169</f>
        <v/>
      </c>
      <c r="F176" s="7">
        <f>'1 prepared data'!E169</f>
        <v/>
      </c>
      <c r="G176" s="7">
        <f>'1 prepared data'!F169</f>
        <v/>
      </c>
      <c r="H176" s="7">
        <f>'1 prepared data'!G169</f>
        <v/>
      </c>
      <c r="I176" s="7">
        <f>'1 prepared data'!H169</f>
        <v/>
      </c>
      <c r="J176" s="7">
        <f>'1 prepared data'!I169</f>
        <v/>
      </c>
      <c r="K176" s="7">
        <f>'1 prepared data'!J169</f>
        <v/>
      </c>
      <c r="L176" s="7">
        <f>'1 prepared data'!K169</f>
        <v/>
      </c>
      <c r="M176" s="7">
        <f>'1 prepared data'!L169</f>
        <v/>
      </c>
      <c r="N176" s="7">
        <f>'1 prepared data'!M169</f>
        <v/>
      </c>
      <c r="O176" s="7">
        <f>'1 prepared data'!N169</f>
        <v/>
      </c>
      <c r="P176" s="7">
        <f>'1 prepared data'!O169</f>
        <v/>
      </c>
      <c r="Q176" s="7">
        <f>'1 prepared data'!P169</f>
        <v/>
      </c>
      <c r="R176" s="7">
        <f>'1 prepared data'!Q169</f>
        <v/>
      </c>
      <c r="S176" s="7">
        <f>'1 prepared data'!R169</f>
        <v/>
      </c>
      <c r="T176" s="7">
        <f>'1 prepared data'!S169</f>
        <v/>
      </c>
      <c r="U176" s="7">
        <f>'1 prepared data'!T169</f>
        <v/>
      </c>
      <c r="V176" s="8">
        <f>$AC$12+D176*$AC$13+E176*$AC$14+F176*$AC$15+G176*$AC$16+H176*$AC$17+I176*$AC$18+J176*$AC$19+K176*$AC$20+L176*$AC$21+M176*$AC$22+N176*$AC$23+O176*$AC$24+P176*$AC$25+Q176*$AC$26+R176*$AC$27+S176*$AC$28+T176*$AC$29+U176*$AC$30</f>
        <v/>
      </c>
      <c r="W176" s="8">
        <f>1/(1+EXP(-V176))</f>
        <v/>
      </c>
      <c r="X176" s="9">
        <f>-IF(C176=1,LN(W176),LN(1-W176))</f>
        <v/>
      </c>
      <c r="Y176" s="10">
        <f>IF(W176&gt;$AC$34,1,0)</f>
        <v/>
      </c>
      <c r="Z176">
        <f>IF(Y176=C176,1,0)</f>
        <v/>
      </c>
    </row>
    <row r="177">
      <c r="A177">
        <f>'1 prepared data'!A170</f>
        <v/>
      </c>
      <c r="B177" s="5">
        <f>'1 prepared data'!U170</f>
        <v/>
      </c>
      <c r="C177">
        <f>'1 prepared data'!B170</f>
        <v/>
      </c>
      <c r="D177" s="7">
        <f>'1 prepared data'!C170</f>
        <v/>
      </c>
      <c r="E177" s="7">
        <f>'1 prepared data'!D170</f>
        <v/>
      </c>
      <c r="F177" s="7">
        <f>'1 prepared data'!E170</f>
        <v/>
      </c>
      <c r="G177" s="7">
        <f>'1 prepared data'!F170</f>
        <v/>
      </c>
      <c r="H177" s="7">
        <f>'1 prepared data'!G170</f>
        <v/>
      </c>
      <c r="I177" s="7">
        <f>'1 prepared data'!H170</f>
        <v/>
      </c>
      <c r="J177" s="7">
        <f>'1 prepared data'!I170</f>
        <v/>
      </c>
      <c r="K177" s="7">
        <f>'1 prepared data'!J170</f>
        <v/>
      </c>
      <c r="L177" s="7">
        <f>'1 prepared data'!K170</f>
        <v/>
      </c>
      <c r="M177" s="7">
        <f>'1 prepared data'!L170</f>
        <v/>
      </c>
      <c r="N177" s="7">
        <f>'1 prepared data'!M170</f>
        <v/>
      </c>
      <c r="O177" s="7">
        <f>'1 prepared data'!N170</f>
        <v/>
      </c>
      <c r="P177" s="7">
        <f>'1 prepared data'!O170</f>
        <v/>
      </c>
      <c r="Q177" s="7">
        <f>'1 prepared data'!P170</f>
        <v/>
      </c>
      <c r="R177" s="7">
        <f>'1 prepared data'!Q170</f>
        <v/>
      </c>
      <c r="S177" s="7">
        <f>'1 prepared data'!R170</f>
        <v/>
      </c>
      <c r="T177" s="7">
        <f>'1 prepared data'!S170</f>
        <v/>
      </c>
      <c r="U177" s="7">
        <f>'1 prepared data'!T170</f>
        <v/>
      </c>
      <c r="V177" s="8">
        <f>$AC$12+D177*$AC$13+E177*$AC$14+F177*$AC$15+G177*$AC$16+H177*$AC$17+I177*$AC$18+J177*$AC$19+K177*$AC$20+L177*$AC$21+M177*$AC$22+N177*$AC$23+O177*$AC$24+P177*$AC$25+Q177*$AC$26+R177*$AC$27+S177*$AC$28+T177*$AC$29+U177*$AC$30</f>
        <v/>
      </c>
      <c r="W177" s="8">
        <f>1/(1+EXP(-V177))</f>
        <v/>
      </c>
      <c r="X177" s="9">
        <f>-IF(C177=1,LN(W177),LN(1-W177))</f>
        <v/>
      </c>
      <c r="Y177" s="10">
        <f>IF(W177&gt;$AC$34,1,0)</f>
        <v/>
      </c>
      <c r="Z177">
        <f>IF(Y177=C177,1,0)</f>
        <v/>
      </c>
    </row>
    <row r="178">
      <c r="A178">
        <f>'1 prepared data'!A171</f>
        <v/>
      </c>
      <c r="B178" s="5">
        <f>'1 prepared data'!U171</f>
        <v/>
      </c>
      <c r="C178">
        <f>'1 prepared data'!B171</f>
        <v/>
      </c>
      <c r="D178" s="7">
        <f>'1 prepared data'!C171</f>
        <v/>
      </c>
      <c r="E178" s="7">
        <f>'1 prepared data'!D171</f>
        <v/>
      </c>
      <c r="F178" s="7">
        <f>'1 prepared data'!E171</f>
        <v/>
      </c>
      <c r="G178" s="7">
        <f>'1 prepared data'!F171</f>
        <v/>
      </c>
      <c r="H178" s="7">
        <f>'1 prepared data'!G171</f>
        <v/>
      </c>
      <c r="I178" s="7">
        <f>'1 prepared data'!H171</f>
        <v/>
      </c>
      <c r="J178" s="7">
        <f>'1 prepared data'!I171</f>
        <v/>
      </c>
      <c r="K178" s="7">
        <f>'1 prepared data'!J171</f>
        <v/>
      </c>
      <c r="L178" s="7">
        <f>'1 prepared data'!K171</f>
        <v/>
      </c>
      <c r="M178" s="7">
        <f>'1 prepared data'!L171</f>
        <v/>
      </c>
      <c r="N178" s="7">
        <f>'1 prepared data'!M171</f>
        <v/>
      </c>
      <c r="O178" s="7">
        <f>'1 prepared data'!N171</f>
        <v/>
      </c>
      <c r="P178" s="7">
        <f>'1 prepared data'!O171</f>
        <v/>
      </c>
      <c r="Q178" s="7">
        <f>'1 prepared data'!P171</f>
        <v/>
      </c>
      <c r="R178" s="7">
        <f>'1 prepared data'!Q171</f>
        <v/>
      </c>
      <c r="S178" s="7">
        <f>'1 prepared data'!R171</f>
        <v/>
      </c>
      <c r="T178" s="7">
        <f>'1 prepared data'!S171</f>
        <v/>
      </c>
      <c r="U178" s="7">
        <f>'1 prepared data'!T171</f>
        <v/>
      </c>
      <c r="V178" s="8">
        <f>$AC$12+D178*$AC$13+E178*$AC$14+F178*$AC$15+G178*$AC$16+H178*$AC$17+I178*$AC$18+J178*$AC$19+K178*$AC$20+L178*$AC$21+M178*$AC$22+N178*$AC$23+O178*$AC$24+P178*$AC$25+Q178*$AC$26+R178*$AC$27+S178*$AC$28+T178*$AC$29+U178*$AC$30</f>
        <v/>
      </c>
      <c r="W178" s="8">
        <f>1/(1+EXP(-V178))</f>
        <v/>
      </c>
      <c r="X178" s="9">
        <f>-IF(C178=1,LN(W178),LN(1-W178))</f>
        <v/>
      </c>
      <c r="Y178" s="10">
        <f>IF(W178&gt;$AC$34,1,0)</f>
        <v/>
      </c>
      <c r="Z178">
        <f>IF(Y178=C178,1,0)</f>
        <v/>
      </c>
    </row>
    <row r="179">
      <c r="A179">
        <f>'1 prepared data'!A172</f>
        <v/>
      </c>
      <c r="B179" s="5">
        <f>'1 prepared data'!U172</f>
        <v/>
      </c>
      <c r="C179">
        <f>'1 prepared data'!B172</f>
        <v/>
      </c>
      <c r="D179" s="7">
        <f>'1 prepared data'!C172</f>
        <v/>
      </c>
      <c r="E179" s="7">
        <f>'1 prepared data'!D172</f>
        <v/>
      </c>
      <c r="F179" s="7">
        <f>'1 prepared data'!E172</f>
        <v/>
      </c>
      <c r="G179" s="7">
        <f>'1 prepared data'!F172</f>
        <v/>
      </c>
      <c r="H179" s="7">
        <f>'1 prepared data'!G172</f>
        <v/>
      </c>
      <c r="I179" s="7">
        <f>'1 prepared data'!H172</f>
        <v/>
      </c>
      <c r="J179" s="7">
        <f>'1 prepared data'!I172</f>
        <v/>
      </c>
      <c r="K179" s="7">
        <f>'1 prepared data'!J172</f>
        <v/>
      </c>
      <c r="L179" s="7">
        <f>'1 prepared data'!K172</f>
        <v/>
      </c>
      <c r="M179" s="7">
        <f>'1 prepared data'!L172</f>
        <v/>
      </c>
      <c r="N179" s="7">
        <f>'1 prepared data'!M172</f>
        <v/>
      </c>
      <c r="O179" s="7">
        <f>'1 prepared data'!N172</f>
        <v/>
      </c>
      <c r="P179" s="7">
        <f>'1 prepared data'!O172</f>
        <v/>
      </c>
      <c r="Q179" s="7">
        <f>'1 prepared data'!P172</f>
        <v/>
      </c>
      <c r="R179" s="7">
        <f>'1 prepared data'!Q172</f>
        <v/>
      </c>
      <c r="S179" s="7">
        <f>'1 prepared data'!R172</f>
        <v/>
      </c>
      <c r="T179" s="7">
        <f>'1 prepared data'!S172</f>
        <v/>
      </c>
      <c r="U179" s="7">
        <f>'1 prepared data'!T172</f>
        <v/>
      </c>
      <c r="V179" s="8">
        <f>$AC$12+D179*$AC$13+E179*$AC$14+F179*$AC$15+G179*$AC$16+H179*$AC$17+I179*$AC$18+J179*$AC$19+K179*$AC$20+L179*$AC$21+M179*$AC$22+N179*$AC$23+O179*$AC$24+P179*$AC$25+Q179*$AC$26+R179*$AC$27+S179*$AC$28+T179*$AC$29+U179*$AC$30</f>
        <v/>
      </c>
      <c r="W179" s="8">
        <f>1/(1+EXP(-V179))</f>
        <v/>
      </c>
      <c r="X179" s="9">
        <f>-IF(C179=1,LN(W179),LN(1-W179))</f>
        <v/>
      </c>
      <c r="Y179" s="10">
        <f>IF(W179&gt;$AC$34,1,0)</f>
        <v/>
      </c>
      <c r="Z179">
        <f>IF(Y179=C179,1,0)</f>
        <v/>
      </c>
    </row>
    <row r="180">
      <c r="A180">
        <f>'1 prepared data'!A173</f>
        <v/>
      </c>
      <c r="B180" s="5">
        <f>'1 prepared data'!U173</f>
        <v/>
      </c>
      <c r="C180">
        <f>'1 prepared data'!B173</f>
        <v/>
      </c>
      <c r="D180" s="7">
        <f>'1 prepared data'!C173</f>
        <v/>
      </c>
      <c r="E180" s="7">
        <f>'1 prepared data'!D173</f>
        <v/>
      </c>
      <c r="F180" s="7">
        <f>'1 prepared data'!E173</f>
        <v/>
      </c>
      <c r="G180" s="7">
        <f>'1 prepared data'!F173</f>
        <v/>
      </c>
      <c r="H180" s="7">
        <f>'1 prepared data'!G173</f>
        <v/>
      </c>
      <c r="I180" s="7">
        <f>'1 prepared data'!H173</f>
        <v/>
      </c>
      <c r="J180" s="7">
        <f>'1 prepared data'!I173</f>
        <v/>
      </c>
      <c r="K180" s="7">
        <f>'1 prepared data'!J173</f>
        <v/>
      </c>
      <c r="L180" s="7">
        <f>'1 prepared data'!K173</f>
        <v/>
      </c>
      <c r="M180" s="7">
        <f>'1 prepared data'!L173</f>
        <v/>
      </c>
      <c r="N180" s="7">
        <f>'1 prepared data'!M173</f>
        <v/>
      </c>
      <c r="O180" s="7">
        <f>'1 prepared data'!N173</f>
        <v/>
      </c>
      <c r="P180" s="7">
        <f>'1 prepared data'!O173</f>
        <v/>
      </c>
      <c r="Q180" s="7">
        <f>'1 prepared data'!P173</f>
        <v/>
      </c>
      <c r="R180" s="7">
        <f>'1 prepared data'!Q173</f>
        <v/>
      </c>
      <c r="S180" s="7">
        <f>'1 prepared data'!R173</f>
        <v/>
      </c>
      <c r="T180" s="7">
        <f>'1 prepared data'!S173</f>
        <v/>
      </c>
      <c r="U180" s="7">
        <f>'1 prepared data'!T173</f>
        <v/>
      </c>
      <c r="V180" s="8">
        <f>$AC$12+D180*$AC$13+E180*$AC$14+F180*$AC$15+G180*$AC$16+H180*$AC$17+I180*$AC$18+J180*$AC$19+K180*$AC$20+L180*$AC$21+M180*$AC$22+N180*$AC$23+O180*$AC$24+P180*$AC$25+Q180*$AC$26+R180*$AC$27+S180*$AC$28+T180*$AC$29+U180*$AC$30</f>
        <v/>
      </c>
      <c r="W180" s="8">
        <f>1/(1+EXP(-V180))</f>
        <v/>
      </c>
      <c r="X180" s="9">
        <f>-IF(C180=1,LN(W180),LN(1-W180))</f>
        <v/>
      </c>
      <c r="Y180" s="10">
        <f>IF(W180&gt;$AC$34,1,0)</f>
        <v/>
      </c>
      <c r="Z180">
        <f>IF(Y180=C180,1,0)</f>
        <v/>
      </c>
    </row>
    <row r="181">
      <c r="A181">
        <f>'1 prepared data'!A174</f>
        <v/>
      </c>
      <c r="B181" s="5">
        <f>'1 prepared data'!U174</f>
        <v/>
      </c>
      <c r="C181">
        <f>'1 prepared data'!B174</f>
        <v/>
      </c>
      <c r="D181" s="7">
        <f>'1 prepared data'!C174</f>
        <v/>
      </c>
      <c r="E181" s="7">
        <f>'1 prepared data'!D174</f>
        <v/>
      </c>
      <c r="F181" s="7">
        <f>'1 prepared data'!E174</f>
        <v/>
      </c>
      <c r="G181" s="7">
        <f>'1 prepared data'!F174</f>
        <v/>
      </c>
      <c r="H181" s="7">
        <f>'1 prepared data'!G174</f>
        <v/>
      </c>
      <c r="I181" s="7">
        <f>'1 prepared data'!H174</f>
        <v/>
      </c>
      <c r="J181" s="7">
        <f>'1 prepared data'!I174</f>
        <v/>
      </c>
      <c r="K181" s="7">
        <f>'1 prepared data'!J174</f>
        <v/>
      </c>
      <c r="L181" s="7">
        <f>'1 prepared data'!K174</f>
        <v/>
      </c>
      <c r="M181" s="7">
        <f>'1 prepared data'!L174</f>
        <v/>
      </c>
      <c r="N181" s="7">
        <f>'1 prepared data'!M174</f>
        <v/>
      </c>
      <c r="O181" s="7">
        <f>'1 prepared data'!N174</f>
        <v/>
      </c>
      <c r="P181" s="7">
        <f>'1 prepared data'!O174</f>
        <v/>
      </c>
      <c r="Q181" s="7">
        <f>'1 prepared data'!P174</f>
        <v/>
      </c>
      <c r="R181" s="7">
        <f>'1 prepared data'!Q174</f>
        <v/>
      </c>
      <c r="S181" s="7">
        <f>'1 prepared data'!R174</f>
        <v/>
      </c>
      <c r="T181" s="7">
        <f>'1 prepared data'!S174</f>
        <v/>
      </c>
      <c r="U181" s="7">
        <f>'1 prepared data'!T174</f>
        <v/>
      </c>
      <c r="V181" s="8">
        <f>$AC$12+D181*$AC$13+E181*$AC$14+F181*$AC$15+G181*$AC$16+H181*$AC$17+I181*$AC$18+J181*$AC$19+K181*$AC$20+L181*$AC$21+M181*$AC$22+N181*$AC$23+O181*$AC$24+P181*$AC$25+Q181*$AC$26+R181*$AC$27+S181*$AC$28+T181*$AC$29+U181*$AC$30</f>
        <v/>
      </c>
      <c r="W181" s="8">
        <f>1/(1+EXP(-V181))</f>
        <v/>
      </c>
      <c r="X181" s="9">
        <f>-IF(C181=1,LN(W181),LN(1-W181))</f>
        <v/>
      </c>
      <c r="Y181" s="10">
        <f>IF(W181&gt;$AC$34,1,0)</f>
        <v/>
      </c>
      <c r="Z181">
        <f>IF(Y181=C181,1,0)</f>
        <v/>
      </c>
    </row>
    <row r="182">
      <c r="A182">
        <f>'1 prepared data'!A175</f>
        <v/>
      </c>
      <c r="B182" s="5">
        <f>'1 prepared data'!U175</f>
        <v/>
      </c>
      <c r="C182">
        <f>'1 prepared data'!B175</f>
        <v/>
      </c>
      <c r="D182" s="7">
        <f>'1 prepared data'!C175</f>
        <v/>
      </c>
      <c r="E182" s="7">
        <f>'1 prepared data'!D175</f>
        <v/>
      </c>
      <c r="F182" s="7">
        <f>'1 prepared data'!E175</f>
        <v/>
      </c>
      <c r="G182" s="7">
        <f>'1 prepared data'!F175</f>
        <v/>
      </c>
      <c r="H182" s="7">
        <f>'1 prepared data'!G175</f>
        <v/>
      </c>
      <c r="I182" s="7">
        <f>'1 prepared data'!H175</f>
        <v/>
      </c>
      <c r="J182" s="7">
        <f>'1 prepared data'!I175</f>
        <v/>
      </c>
      <c r="K182" s="7">
        <f>'1 prepared data'!J175</f>
        <v/>
      </c>
      <c r="L182" s="7">
        <f>'1 prepared data'!K175</f>
        <v/>
      </c>
      <c r="M182" s="7">
        <f>'1 prepared data'!L175</f>
        <v/>
      </c>
      <c r="N182" s="7">
        <f>'1 prepared data'!M175</f>
        <v/>
      </c>
      <c r="O182" s="7">
        <f>'1 prepared data'!N175</f>
        <v/>
      </c>
      <c r="P182" s="7">
        <f>'1 prepared data'!O175</f>
        <v/>
      </c>
      <c r="Q182" s="7">
        <f>'1 prepared data'!P175</f>
        <v/>
      </c>
      <c r="R182" s="7">
        <f>'1 prepared data'!Q175</f>
        <v/>
      </c>
      <c r="S182" s="7">
        <f>'1 prepared data'!R175</f>
        <v/>
      </c>
      <c r="T182" s="7">
        <f>'1 prepared data'!S175</f>
        <v/>
      </c>
      <c r="U182" s="7">
        <f>'1 prepared data'!T175</f>
        <v/>
      </c>
      <c r="V182" s="8">
        <f>$AC$12+D182*$AC$13+E182*$AC$14+F182*$AC$15+G182*$AC$16+H182*$AC$17+I182*$AC$18+J182*$AC$19+K182*$AC$20+L182*$AC$21+M182*$AC$22+N182*$AC$23+O182*$AC$24+P182*$AC$25+Q182*$AC$26+R182*$AC$27+S182*$AC$28+T182*$AC$29+U182*$AC$30</f>
        <v/>
      </c>
      <c r="W182" s="8">
        <f>1/(1+EXP(-V182))</f>
        <v/>
      </c>
      <c r="X182" s="9">
        <f>-IF(C182=1,LN(W182),LN(1-W182))</f>
        <v/>
      </c>
      <c r="Y182" s="10">
        <f>IF(W182&gt;$AC$34,1,0)</f>
        <v/>
      </c>
      <c r="Z182">
        <f>IF(Y182=C182,1,0)</f>
        <v/>
      </c>
    </row>
    <row r="183">
      <c r="A183">
        <f>'1 prepared data'!A176</f>
        <v/>
      </c>
      <c r="B183" s="5">
        <f>'1 prepared data'!U176</f>
        <v/>
      </c>
      <c r="C183">
        <f>'1 prepared data'!B176</f>
        <v/>
      </c>
      <c r="D183" s="7">
        <f>'1 prepared data'!C176</f>
        <v/>
      </c>
      <c r="E183" s="7">
        <f>'1 prepared data'!D176</f>
        <v/>
      </c>
      <c r="F183" s="7">
        <f>'1 prepared data'!E176</f>
        <v/>
      </c>
      <c r="G183" s="7">
        <f>'1 prepared data'!F176</f>
        <v/>
      </c>
      <c r="H183" s="7">
        <f>'1 prepared data'!G176</f>
        <v/>
      </c>
      <c r="I183" s="7">
        <f>'1 prepared data'!H176</f>
        <v/>
      </c>
      <c r="J183" s="7">
        <f>'1 prepared data'!I176</f>
        <v/>
      </c>
      <c r="K183" s="7">
        <f>'1 prepared data'!J176</f>
        <v/>
      </c>
      <c r="L183" s="7">
        <f>'1 prepared data'!K176</f>
        <v/>
      </c>
      <c r="M183" s="7">
        <f>'1 prepared data'!L176</f>
        <v/>
      </c>
      <c r="N183" s="7">
        <f>'1 prepared data'!M176</f>
        <v/>
      </c>
      <c r="O183" s="7">
        <f>'1 prepared data'!N176</f>
        <v/>
      </c>
      <c r="P183" s="7">
        <f>'1 prepared data'!O176</f>
        <v/>
      </c>
      <c r="Q183" s="7">
        <f>'1 prepared data'!P176</f>
        <v/>
      </c>
      <c r="R183" s="7">
        <f>'1 prepared data'!Q176</f>
        <v/>
      </c>
      <c r="S183" s="7">
        <f>'1 prepared data'!R176</f>
        <v/>
      </c>
      <c r="T183" s="7">
        <f>'1 prepared data'!S176</f>
        <v/>
      </c>
      <c r="U183" s="7">
        <f>'1 prepared data'!T176</f>
        <v/>
      </c>
      <c r="V183" s="8">
        <f>$AC$12+D183*$AC$13+E183*$AC$14+F183*$AC$15+G183*$AC$16+H183*$AC$17+I183*$AC$18+J183*$AC$19+K183*$AC$20+L183*$AC$21+M183*$AC$22+N183*$AC$23+O183*$AC$24+P183*$AC$25+Q183*$AC$26+R183*$AC$27+S183*$AC$28+T183*$AC$29+U183*$AC$30</f>
        <v/>
      </c>
      <c r="W183" s="8">
        <f>1/(1+EXP(-V183))</f>
        <v/>
      </c>
      <c r="X183" s="9">
        <f>-IF(C183=1,LN(W183),LN(1-W183))</f>
        <v/>
      </c>
      <c r="Y183" s="10">
        <f>IF(W183&gt;$AC$34,1,0)</f>
        <v/>
      </c>
      <c r="Z183">
        <f>IF(Y183=C183,1,0)</f>
        <v/>
      </c>
    </row>
    <row r="184">
      <c r="A184">
        <f>'1 prepared data'!A177</f>
        <v/>
      </c>
      <c r="B184" s="5">
        <f>'1 prepared data'!U177</f>
        <v/>
      </c>
      <c r="C184">
        <f>'1 prepared data'!B177</f>
        <v/>
      </c>
      <c r="D184" s="7">
        <f>'1 prepared data'!C177</f>
        <v/>
      </c>
      <c r="E184" s="7">
        <f>'1 prepared data'!D177</f>
        <v/>
      </c>
      <c r="F184" s="7">
        <f>'1 prepared data'!E177</f>
        <v/>
      </c>
      <c r="G184" s="7">
        <f>'1 prepared data'!F177</f>
        <v/>
      </c>
      <c r="H184" s="7">
        <f>'1 prepared data'!G177</f>
        <v/>
      </c>
      <c r="I184" s="7">
        <f>'1 prepared data'!H177</f>
        <v/>
      </c>
      <c r="J184" s="7">
        <f>'1 prepared data'!I177</f>
        <v/>
      </c>
      <c r="K184" s="7">
        <f>'1 prepared data'!J177</f>
        <v/>
      </c>
      <c r="L184" s="7">
        <f>'1 prepared data'!K177</f>
        <v/>
      </c>
      <c r="M184" s="7">
        <f>'1 prepared data'!L177</f>
        <v/>
      </c>
      <c r="N184" s="7">
        <f>'1 prepared data'!M177</f>
        <v/>
      </c>
      <c r="O184" s="7">
        <f>'1 prepared data'!N177</f>
        <v/>
      </c>
      <c r="P184" s="7">
        <f>'1 prepared data'!O177</f>
        <v/>
      </c>
      <c r="Q184" s="7">
        <f>'1 prepared data'!P177</f>
        <v/>
      </c>
      <c r="R184" s="7">
        <f>'1 prepared data'!Q177</f>
        <v/>
      </c>
      <c r="S184" s="7">
        <f>'1 prepared data'!R177</f>
        <v/>
      </c>
      <c r="T184" s="7">
        <f>'1 prepared data'!S177</f>
        <v/>
      </c>
      <c r="U184" s="7">
        <f>'1 prepared data'!T177</f>
        <v/>
      </c>
      <c r="V184" s="8">
        <f>$AC$12+D184*$AC$13+E184*$AC$14+F184*$AC$15+G184*$AC$16+H184*$AC$17+I184*$AC$18+J184*$AC$19+K184*$AC$20+L184*$AC$21+M184*$AC$22+N184*$AC$23+O184*$AC$24+P184*$AC$25+Q184*$AC$26+R184*$AC$27+S184*$AC$28+T184*$AC$29+U184*$AC$30</f>
        <v/>
      </c>
      <c r="W184" s="8">
        <f>1/(1+EXP(-V184))</f>
        <v/>
      </c>
      <c r="X184" s="9">
        <f>-IF(C184=1,LN(W184),LN(1-W184))</f>
        <v/>
      </c>
      <c r="Y184" s="10">
        <f>IF(W184&gt;$AC$34,1,0)</f>
        <v/>
      </c>
      <c r="Z184">
        <f>IF(Y184=C184,1,0)</f>
        <v/>
      </c>
    </row>
    <row r="185">
      <c r="A185">
        <f>'1 prepared data'!A178</f>
        <v/>
      </c>
      <c r="B185" s="5">
        <f>'1 prepared data'!U178</f>
        <v/>
      </c>
      <c r="C185">
        <f>'1 prepared data'!B178</f>
        <v/>
      </c>
      <c r="D185" s="7">
        <f>'1 prepared data'!C178</f>
        <v/>
      </c>
      <c r="E185" s="7">
        <f>'1 prepared data'!D178</f>
        <v/>
      </c>
      <c r="F185" s="7">
        <f>'1 prepared data'!E178</f>
        <v/>
      </c>
      <c r="G185" s="7">
        <f>'1 prepared data'!F178</f>
        <v/>
      </c>
      <c r="H185" s="7">
        <f>'1 prepared data'!G178</f>
        <v/>
      </c>
      <c r="I185" s="7">
        <f>'1 prepared data'!H178</f>
        <v/>
      </c>
      <c r="J185" s="7">
        <f>'1 prepared data'!I178</f>
        <v/>
      </c>
      <c r="K185" s="7">
        <f>'1 prepared data'!J178</f>
        <v/>
      </c>
      <c r="L185" s="7">
        <f>'1 prepared data'!K178</f>
        <v/>
      </c>
      <c r="M185" s="7">
        <f>'1 prepared data'!L178</f>
        <v/>
      </c>
      <c r="N185" s="7">
        <f>'1 prepared data'!M178</f>
        <v/>
      </c>
      <c r="O185" s="7">
        <f>'1 prepared data'!N178</f>
        <v/>
      </c>
      <c r="P185" s="7">
        <f>'1 prepared data'!O178</f>
        <v/>
      </c>
      <c r="Q185" s="7">
        <f>'1 prepared data'!P178</f>
        <v/>
      </c>
      <c r="R185" s="7">
        <f>'1 prepared data'!Q178</f>
        <v/>
      </c>
      <c r="S185" s="7">
        <f>'1 prepared data'!R178</f>
        <v/>
      </c>
      <c r="T185" s="7">
        <f>'1 prepared data'!S178</f>
        <v/>
      </c>
      <c r="U185" s="7">
        <f>'1 prepared data'!T178</f>
        <v/>
      </c>
      <c r="V185" s="8">
        <f>$AC$12+D185*$AC$13+E185*$AC$14+F185*$AC$15+G185*$AC$16+H185*$AC$17+I185*$AC$18+J185*$AC$19+K185*$AC$20+L185*$AC$21+M185*$AC$22+N185*$AC$23+O185*$AC$24+P185*$AC$25+Q185*$AC$26+R185*$AC$27+S185*$AC$28+T185*$AC$29+U185*$AC$30</f>
        <v/>
      </c>
      <c r="W185" s="8">
        <f>1/(1+EXP(-V185))</f>
        <v/>
      </c>
      <c r="X185" s="9">
        <f>-IF(C185=1,LN(W185),LN(1-W185))</f>
        <v/>
      </c>
      <c r="Y185" s="10">
        <f>IF(W185&gt;$AC$34,1,0)</f>
        <v/>
      </c>
      <c r="Z185">
        <f>IF(Y185=C185,1,0)</f>
        <v/>
      </c>
    </row>
    <row r="186">
      <c r="A186">
        <f>'1 prepared data'!A179</f>
        <v/>
      </c>
      <c r="B186" s="5">
        <f>'1 prepared data'!U179</f>
        <v/>
      </c>
      <c r="C186">
        <f>'1 prepared data'!B179</f>
        <v/>
      </c>
      <c r="D186" s="7">
        <f>'1 prepared data'!C179</f>
        <v/>
      </c>
      <c r="E186" s="7">
        <f>'1 prepared data'!D179</f>
        <v/>
      </c>
      <c r="F186" s="7">
        <f>'1 prepared data'!E179</f>
        <v/>
      </c>
      <c r="G186" s="7">
        <f>'1 prepared data'!F179</f>
        <v/>
      </c>
      <c r="H186" s="7">
        <f>'1 prepared data'!G179</f>
        <v/>
      </c>
      <c r="I186" s="7">
        <f>'1 prepared data'!H179</f>
        <v/>
      </c>
      <c r="J186" s="7">
        <f>'1 prepared data'!I179</f>
        <v/>
      </c>
      <c r="K186" s="7">
        <f>'1 prepared data'!J179</f>
        <v/>
      </c>
      <c r="L186" s="7">
        <f>'1 prepared data'!K179</f>
        <v/>
      </c>
      <c r="M186" s="7">
        <f>'1 prepared data'!L179</f>
        <v/>
      </c>
      <c r="N186" s="7">
        <f>'1 prepared data'!M179</f>
        <v/>
      </c>
      <c r="O186" s="7">
        <f>'1 prepared data'!N179</f>
        <v/>
      </c>
      <c r="P186" s="7">
        <f>'1 prepared data'!O179</f>
        <v/>
      </c>
      <c r="Q186" s="7">
        <f>'1 prepared data'!P179</f>
        <v/>
      </c>
      <c r="R186" s="7">
        <f>'1 prepared data'!Q179</f>
        <v/>
      </c>
      <c r="S186" s="7">
        <f>'1 prepared data'!R179</f>
        <v/>
      </c>
      <c r="T186" s="7">
        <f>'1 prepared data'!S179</f>
        <v/>
      </c>
      <c r="U186" s="7">
        <f>'1 prepared data'!T179</f>
        <v/>
      </c>
      <c r="V186" s="8">
        <f>$AC$12+D186*$AC$13+E186*$AC$14+F186*$AC$15+G186*$AC$16+H186*$AC$17+I186*$AC$18+J186*$AC$19+K186*$AC$20+L186*$AC$21+M186*$AC$22+N186*$AC$23+O186*$AC$24+P186*$AC$25+Q186*$AC$26+R186*$AC$27+S186*$AC$28+T186*$AC$29+U186*$AC$30</f>
        <v/>
      </c>
      <c r="W186" s="8">
        <f>1/(1+EXP(-V186))</f>
        <v/>
      </c>
      <c r="X186" s="9">
        <f>-IF(C186=1,LN(W186),LN(1-W186))</f>
        <v/>
      </c>
      <c r="Y186" s="10">
        <f>IF(W186&gt;$AC$34,1,0)</f>
        <v/>
      </c>
      <c r="Z186">
        <f>IF(Y186=C186,1,0)</f>
        <v/>
      </c>
    </row>
    <row r="187">
      <c r="A187">
        <f>'1 prepared data'!A180</f>
        <v/>
      </c>
      <c r="B187" s="5">
        <f>'1 prepared data'!U180</f>
        <v/>
      </c>
      <c r="C187">
        <f>'1 prepared data'!B180</f>
        <v/>
      </c>
      <c r="D187" s="7">
        <f>'1 prepared data'!C180</f>
        <v/>
      </c>
      <c r="E187" s="7">
        <f>'1 prepared data'!D180</f>
        <v/>
      </c>
      <c r="F187" s="7">
        <f>'1 prepared data'!E180</f>
        <v/>
      </c>
      <c r="G187" s="7">
        <f>'1 prepared data'!F180</f>
        <v/>
      </c>
      <c r="H187" s="7">
        <f>'1 prepared data'!G180</f>
        <v/>
      </c>
      <c r="I187" s="7">
        <f>'1 prepared data'!H180</f>
        <v/>
      </c>
      <c r="J187" s="7">
        <f>'1 prepared data'!I180</f>
        <v/>
      </c>
      <c r="K187" s="7">
        <f>'1 prepared data'!J180</f>
        <v/>
      </c>
      <c r="L187" s="7">
        <f>'1 prepared data'!K180</f>
        <v/>
      </c>
      <c r="M187" s="7">
        <f>'1 prepared data'!L180</f>
        <v/>
      </c>
      <c r="N187" s="7">
        <f>'1 prepared data'!M180</f>
        <v/>
      </c>
      <c r="O187" s="7">
        <f>'1 prepared data'!N180</f>
        <v/>
      </c>
      <c r="P187" s="7">
        <f>'1 prepared data'!O180</f>
        <v/>
      </c>
      <c r="Q187" s="7">
        <f>'1 prepared data'!P180</f>
        <v/>
      </c>
      <c r="R187" s="7">
        <f>'1 prepared data'!Q180</f>
        <v/>
      </c>
      <c r="S187" s="7">
        <f>'1 prepared data'!R180</f>
        <v/>
      </c>
      <c r="T187" s="7">
        <f>'1 prepared data'!S180</f>
        <v/>
      </c>
      <c r="U187" s="7">
        <f>'1 prepared data'!T180</f>
        <v/>
      </c>
      <c r="V187" s="8">
        <f>$AC$12+D187*$AC$13+E187*$AC$14+F187*$AC$15+G187*$AC$16+H187*$AC$17+I187*$AC$18+J187*$AC$19+K187*$AC$20+L187*$AC$21+M187*$AC$22+N187*$AC$23+O187*$AC$24+P187*$AC$25+Q187*$AC$26+R187*$AC$27+S187*$AC$28+T187*$AC$29+U187*$AC$30</f>
        <v/>
      </c>
      <c r="W187" s="8">
        <f>1/(1+EXP(-V187))</f>
        <v/>
      </c>
      <c r="X187" s="9">
        <f>-IF(C187=1,LN(W187),LN(1-W187))</f>
        <v/>
      </c>
      <c r="Y187" s="10">
        <f>IF(W187&gt;$AC$34,1,0)</f>
        <v/>
      </c>
      <c r="Z187">
        <f>IF(Y187=C187,1,0)</f>
        <v/>
      </c>
    </row>
    <row r="188">
      <c r="A188">
        <f>'1 prepared data'!A181</f>
        <v/>
      </c>
      <c r="B188" s="5">
        <f>'1 prepared data'!U181</f>
        <v/>
      </c>
      <c r="C188">
        <f>'1 prepared data'!B181</f>
        <v/>
      </c>
      <c r="D188" s="7">
        <f>'1 prepared data'!C181</f>
        <v/>
      </c>
      <c r="E188" s="7">
        <f>'1 prepared data'!D181</f>
        <v/>
      </c>
      <c r="F188" s="7">
        <f>'1 prepared data'!E181</f>
        <v/>
      </c>
      <c r="G188" s="7">
        <f>'1 prepared data'!F181</f>
        <v/>
      </c>
      <c r="H188" s="7">
        <f>'1 prepared data'!G181</f>
        <v/>
      </c>
      <c r="I188" s="7">
        <f>'1 prepared data'!H181</f>
        <v/>
      </c>
      <c r="J188" s="7">
        <f>'1 prepared data'!I181</f>
        <v/>
      </c>
      <c r="K188" s="7">
        <f>'1 prepared data'!J181</f>
        <v/>
      </c>
      <c r="L188" s="7">
        <f>'1 prepared data'!K181</f>
        <v/>
      </c>
      <c r="M188" s="7">
        <f>'1 prepared data'!L181</f>
        <v/>
      </c>
      <c r="N188" s="7">
        <f>'1 prepared data'!M181</f>
        <v/>
      </c>
      <c r="O188" s="7">
        <f>'1 prepared data'!N181</f>
        <v/>
      </c>
      <c r="P188" s="7">
        <f>'1 prepared data'!O181</f>
        <v/>
      </c>
      <c r="Q188" s="7">
        <f>'1 prepared data'!P181</f>
        <v/>
      </c>
      <c r="R188" s="7">
        <f>'1 prepared data'!Q181</f>
        <v/>
      </c>
      <c r="S188" s="7">
        <f>'1 prepared data'!R181</f>
        <v/>
      </c>
      <c r="T188" s="7">
        <f>'1 prepared data'!S181</f>
        <v/>
      </c>
      <c r="U188" s="7">
        <f>'1 prepared data'!T181</f>
        <v/>
      </c>
      <c r="V188" s="8">
        <f>$AC$12+D188*$AC$13+E188*$AC$14+F188*$AC$15+G188*$AC$16+H188*$AC$17+I188*$AC$18+J188*$AC$19+K188*$AC$20+L188*$AC$21+M188*$AC$22+N188*$AC$23+O188*$AC$24+P188*$AC$25+Q188*$AC$26+R188*$AC$27+S188*$AC$28+T188*$AC$29+U188*$AC$30</f>
        <v/>
      </c>
      <c r="W188" s="8">
        <f>1/(1+EXP(-V188))</f>
        <v/>
      </c>
      <c r="X188" s="9">
        <f>-IF(C188=1,LN(W188),LN(1-W188))</f>
        <v/>
      </c>
      <c r="Y188" s="10">
        <f>IF(W188&gt;$AC$34,1,0)</f>
        <v/>
      </c>
      <c r="Z188">
        <f>IF(Y188=C188,1,0)</f>
        <v/>
      </c>
    </row>
    <row r="189">
      <c r="A189">
        <f>'1 prepared data'!A182</f>
        <v/>
      </c>
      <c r="B189" s="5">
        <f>'1 prepared data'!U182</f>
        <v/>
      </c>
      <c r="C189">
        <f>'1 prepared data'!B182</f>
        <v/>
      </c>
      <c r="D189" s="7">
        <f>'1 prepared data'!C182</f>
        <v/>
      </c>
      <c r="E189" s="7">
        <f>'1 prepared data'!D182</f>
        <v/>
      </c>
      <c r="F189" s="7">
        <f>'1 prepared data'!E182</f>
        <v/>
      </c>
      <c r="G189" s="7">
        <f>'1 prepared data'!F182</f>
        <v/>
      </c>
      <c r="H189" s="7">
        <f>'1 prepared data'!G182</f>
        <v/>
      </c>
      <c r="I189" s="7">
        <f>'1 prepared data'!H182</f>
        <v/>
      </c>
      <c r="J189" s="7">
        <f>'1 prepared data'!I182</f>
        <v/>
      </c>
      <c r="K189" s="7">
        <f>'1 prepared data'!J182</f>
        <v/>
      </c>
      <c r="L189" s="7">
        <f>'1 prepared data'!K182</f>
        <v/>
      </c>
      <c r="M189" s="7">
        <f>'1 prepared data'!L182</f>
        <v/>
      </c>
      <c r="N189" s="7">
        <f>'1 prepared data'!M182</f>
        <v/>
      </c>
      <c r="O189" s="7">
        <f>'1 prepared data'!N182</f>
        <v/>
      </c>
      <c r="P189" s="7">
        <f>'1 prepared data'!O182</f>
        <v/>
      </c>
      <c r="Q189" s="7">
        <f>'1 prepared data'!P182</f>
        <v/>
      </c>
      <c r="R189" s="7">
        <f>'1 prepared data'!Q182</f>
        <v/>
      </c>
      <c r="S189" s="7">
        <f>'1 prepared data'!R182</f>
        <v/>
      </c>
      <c r="T189" s="7">
        <f>'1 prepared data'!S182</f>
        <v/>
      </c>
      <c r="U189" s="7">
        <f>'1 prepared data'!T182</f>
        <v/>
      </c>
      <c r="V189" s="8">
        <f>$AC$12+D189*$AC$13+E189*$AC$14+F189*$AC$15+G189*$AC$16+H189*$AC$17+I189*$AC$18+J189*$AC$19+K189*$AC$20+L189*$AC$21+M189*$AC$22+N189*$AC$23+O189*$AC$24+P189*$AC$25+Q189*$AC$26+R189*$AC$27+S189*$AC$28+T189*$AC$29+U189*$AC$30</f>
        <v/>
      </c>
      <c r="W189" s="8">
        <f>1/(1+EXP(-V189))</f>
        <v/>
      </c>
      <c r="X189" s="9">
        <f>-IF(C189=1,LN(W189),LN(1-W189))</f>
        <v/>
      </c>
      <c r="Y189" s="10">
        <f>IF(W189&gt;$AC$34,1,0)</f>
        <v/>
      </c>
      <c r="Z189">
        <f>IF(Y189=C189,1,0)</f>
        <v/>
      </c>
    </row>
    <row r="190">
      <c r="A190">
        <f>'1 prepared data'!A183</f>
        <v/>
      </c>
      <c r="B190" s="5">
        <f>'1 prepared data'!U183</f>
        <v/>
      </c>
      <c r="C190">
        <f>'1 prepared data'!B183</f>
        <v/>
      </c>
      <c r="D190" s="7">
        <f>'1 prepared data'!C183</f>
        <v/>
      </c>
      <c r="E190" s="7">
        <f>'1 prepared data'!D183</f>
        <v/>
      </c>
      <c r="F190" s="7">
        <f>'1 prepared data'!E183</f>
        <v/>
      </c>
      <c r="G190" s="7">
        <f>'1 prepared data'!F183</f>
        <v/>
      </c>
      <c r="H190" s="7">
        <f>'1 prepared data'!G183</f>
        <v/>
      </c>
      <c r="I190" s="7">
        <f>'1 prepared data'!H183</f>
        <v/>
      </c>
      <c r="J190" s="7">
        <f>'1 prepared data'!I183</f>
        <v/>
      </c>
      <c r="K190" s="7">
        <f>'1 prepared data'!J183</f>
        <v/>
      </c>
      <c r="L190" s="7">
        <f>'1 prepared data'!K183</f>
        <v/>
      </c>
      <c r="M190" s="7">
        <f>'1 prepared data'!L183</f>
        <v/>
      </c>
      <c r="N190" s="7">
        <f>'1 prepared data'!M183</f>
        <v/>
      </c>
      <c r="O190" s="7">
        <f>'1 prepared data'!N183</f>
        <v/>
      </c>
      <c r="P190" s="7">
        <f>'1 prepared data'!O183</f>
        <v/>
      </c>
      <c r="Q190" s="7">
        <f>'1 prepared data'!P183</f>
        <v/>
      </c>
      <c r="R190" s="7">
        <f>'1 prepared data'!Q183</f>
        <v/>
      </c>
      <c r="S190" s="7">
        <f>'1 prepared data'!R183</f>
        <v/>
      </c>
      <c r="T190" s="7">
        <f>'1 prepared data'!S183</f>
        <v/>
      </c>
      <c r="U190" s="7">
        <f>'1 prepared data'!T183</f>
        <v/>
      </c>
      <c r="V190" s="8">
        <f>$AC$12+D190*$AC$13+E190*$AC$14+F190*$AC$15+G190*$AC$16+H190*$AC$17+I190*$AC$18+J190*$AC$19+K190*$AC$20+L190*$AC$21+M190*$AC$22+N190*$AC$23+O190*$AC$24+P190*$AC$25+Q190*$AC$26+R190*$AC$27+S190*$AC$28+T190*$AC$29+U190*$AC$30</f>
        <v/>
      </c>
      <c r="W190" s="8">
        <f>1/(1+EXP(-V190))</f>
        <v/>
      </c>
      <c r="X190" s="9">
        <f>-IF(C190=1,LN(W190),LN(1-W190))</f>
        <v/>
      </c>
      <c r="Y190" s="10">
        <f>IF(W190&gt;$AC$34,1,0)</f>
        <v/>
      </c>
      <c r="Z190">
        <f>IF(Y190=C190,1,0)</f>
        <v/>
      </c>
    </row>
    <row r="191">
      <c r="A191">
        <f>'1 prepared data'!A184</f>
        <v/>
      </c>
      <c r="B191" s="5">
        <f>'1 prepared data'!U184</f>
        <v/>
      </c>
      <c r="C191">
        <f>'1 prepared data'!B184</f>
        <v/>
      </c>
      <c r="D191" s="7">
        <f>'1 prepared data'!C184</f>
        <v/>
      </c>
      <c r="E191" s="7">
        <f>'1 prepared data'!D184</f>
        <v/>
      </c>
      <c r="F191" s="7">
        <f>'1 prepared data'!E184</f>
        <v/>
      </c>
      <c r="G191" s="7">
        <f>'1 prepared data'!F184</f>
        <v/>
      </c>
      <c r="H191" s="7">
        <f>'1 prepared data'!G184</f>
        <v/>
      </c>
      <c r="I191" s="7">
        <f>'1 prepared data'!H184</f>
        <v/>
      </c>
      <c r="J191" s="7">
        <f>'1 prepared data'!I184</f>
        <v/>
      </c>
      <c r="K191" s="7">
        <f>'1 prepared data'!J184</f>
        <v/>
      </c>
      <c r="L191" s="7">
        <f>'1 prepared data'!K184</f>
        <v/>
      </c>
      <c r="M191" s="7">
        <f>'1 prepared data'!L184</f>
        <v/>
      </c>
      <c r="N191" s="7">
        <f>'1 prepared data'!M184</f>
        <v/>
      </c>
      <c r="O191" s="7">
        <f>'1 prepared data'!N184</f>
        <v/>
      </c>
      <c r="P191" s="7">
        <f>'1 prepared data'!O184</f>
        <v/>
      </c>
      <c r="Q191" s="7">
        <f>'1 prepared data'!P184</f>
        <v/>
      </c>
      <c r="R191" s="7">
        <f>'1 prepared data'!Q184</f>
        <v/>
      </c>
      <c r="S191" s="7">
        <f>'1 prepared data'!R184</f>
        <v/>
      </c>
      <c r="T191" s="7">
        <f>'1 prepared data'!S184</f>
        <v/>
      </c>
      <c r="U191" s="7">
        <f>'1 prepared data'!T184</f>
        <v/>
      </c>
      <c r="V191" s="8">
        <f>$AC$12+D191*$AC$13+E191*$AC$14+F191*$AC$15+G191*$AC$16+H191*$AC$17+I191*$AC$18+J191*$AC$19+K191*$AC$20+L191*$AC$21+M191*$AC$22+N191*$AC$23+O191*$AC$24+P191*$AC$25+Q191*$AC$26+R191*$AC$27+S191*$AC$28+T191*$AC$29+U191*$AC$30</f>
        <v/>
      </c>
      <c r="W191" s="8">
        <f>1/(1+EXP(-V191))</f>
        <v/>
      </c>
      <c r="X191" s="9">
        <f>-IF(C191=1,LN(W191),LN(1-W191))</f>
        <v/>
      </c>
      <c r="Y191" s="10">
        <f>IF(W191&gt;$AC$34,1,0)</f>
        <v/>
      </c>
      <c r="Z191">
        <f>IF(Y191=C191,1,0)</f>
        <v/>
      </c>
    </row>
    <row r="192">
      <c r="A192">
        <f>'1 prepared data'!A185</f>
        <v/>
      </c>
      <c r="B192" s="5">
        <f>'1 prepared data'!U185</f>
        <v/>
      </c>
      <c r="C192">
        <f>'1 prepared data'!B185</f>
        <v/>
      </c>
      <c r="D192" s="7">
        <f>'1 prepared data'!C185</f>
        <v/>
      </c>
      <c r="E192" s="7">
        <f>'1 prepared data'!D185</f>
        <v/>
      </c>
      <c r="F192" s="7">
        <f>'1 prepared data'!E185</f>
        <v/>
      </c>
      <c r="G192" s="7">
        <f>'1 prepared data'!F185</f>
        <v/>
      </c>
      <c r="H192" s="7">
        <f>'1 prepared data'!G185</f>
        <v/>
      </c>
      <c r="I192" s="7">
        <f>'1 prepared data'!H185</f>
        <v/>
      </c>
      <c r="J192" s="7">
        <f>'1 prepared data'!I185</f>
        <v/>
      </c>
      <c r="K192" s="7">
        <f>'1 prepared data'!J185</f>
        <v/>
      </c>
      <c r="L192" s="7">
        <f>'1 prepared data'!K185</f>
        <v/>
      </c>
      <c r="M192" s="7">
        <f>'1 prepared data'!L185</f>
        <v/>
      </c>
      <c r="N192" s="7">
        <f>'1 prepared data'!M185</f>
        <v/>
      </c>
      <c r="O192" s="7">
        <f>'1 prepared data'!N185</f>
        <v/>
      </c>
      <c r="P192" s="7">
        <f>'1 prepared data'!O185</f>
        <v/>
      </c>
      <c r="Q192" s="7">
        <f>'1 prepared data'!P185</f>
        <v/>
      </c>
      <c r="R192" s="7">
        <f>'1 prepared data'!Q185</f>
        <v/>
      </c>
      <c r="S192" s="7">
        <f>'1 prepared data'!R185</f>
        <v/>
      </c>
      <c r="T192" s="7">
        <f>'1 prepared data'!S185</f>
        <v/>
      </c>
      <c r="U192" s="7">
        <f>'1 prepared data'!T185</f>
        <v/>
      </c>
      <c r="V192" s="8">
        <f>$AC$12+D192*$AC$13+E192*$AC$14+F192*$AC$15+G192*$AC$16+H192*$AC$17+I192*$AC$18+J192*$AC$19+K192*$AC$20+L192*$AC$21+M192*$AC$22+N192*$AC$23+O192*$AC$24+P192*$AC$25+Q192*$AC$26+R192*$AC$27+S192*$AC$28+T192*$AC$29+U192*$AC$30</f>
        <v/>
      </c>
      <c r="W192" s="8">
        <f>1/(1+EXP(-V192))</f>
        <v/>
      </c>
      <c r="X192" s="9">
        <f>-IF(C192=1,LN(W192),LN(1-W192))</f>
        <v/>
      </c>
      <c r="Y192" s="10">
        <f>IF(W192&gt;$AC$34,1,0)</f>
        <v/>
      </c>
      <c r="Z192">
        <f>IF(Y192=C192,1,0)</f>
        <v/>
      </c>
    </row>
    <row r="193">
      <c r="A193">
        <f>'1 prepared data'!A186</f>
        <v/>
      </c>
      <c r="B193" s="5">
        <f>'1 prepared data'!U186</f>
        <v/>
      </c>
      <c r="C193">
        <f>'1 prepared data'!B186</f>
        <v/>
      </c>
      <c r="D193" s="7">
        <f>'1 prepared data'!C186</f>
        <v/>
      </c>
      <c r="E193" s="7">
        <f>'1 prepared data'!D186</f>
        <v/>
      </c>
      <c r="F193" s="7">
        <f>'1 prepared data'!E186</f>
        <v/>
      </c>
      <c r="G193" s="7">
        <f>'1 prepared data'!F186</f>
        <v/>
      </c>
      <c r="H193" s="7">
        <f>'1 prepared data'!G186</f>
        <v/>
      </c>
      <c r="I193" s="7">
        <f>'1 prepared data'!H186</f>
        <v/>
      </c>
      <c r="J193" s="7">
        <f>'1 prepared data'!I186</f>
        <v/>
      </c>
      <c r="K193" s="7">
        <f>'1 prepared data'!J186</f>
        <v/>
      </c>
      <c r="L193" s="7">
        <f>'1 prepared data'!K186</f>
        <v/>
      </c>
      <c r="M193" s="7">
        <f>'1 prepared data'!L186</f>
        <v/>
      </c>
      <c r="N193" s="7">
        <f>'1 prepared data'!M186</f>
        <v/>
      </c>
      <c r="O193" s="7">
        <f>'1 prepared data'!N186</f>
        <v/>
      </c>
      <c r="P193" s="7">
        <f>'1 prepared data'!O186</f>
        <v/>
      </c>
      <c r="Q193" s="7">
        <f>'1 prepared data'!P186</f>
        <v/>
      </c>
      <c r="R193" s="7">
        <f>'1 prepared data'!Q186</f>
        <v/>
      </c>
      <c r="S193" s="7">
        <f>'1 prepared data'!R186</f>
        <v/>
      </c>
      <c r="T193" s="7">
        <f>'1 prepared data'!S186</f>
        <v/>
      </c>
      <c r="U193" s="7">
        <f>'1 prepared data'!T186</f>
        <v/>
      </c>
      <c r="V193" s="8">
        <f>$AC$12+D193*$AC$13+E193*$AC$14+F193*$AC$15+G193*$AC$16+H193*$AC$17+I193*$AC$18+J193*$AC$19+K193*$AC$20+L193*$AC$21+M193*$AC$22+N193*$AC$23+O193*$AC$24+P193*$AC$25+Q193*$AC$26+R193*$AC$27+S193*$AC$28+T193*$AC$29+U193*$AC$30</f>
        <v/>
      </c>
      <c r="W193" s="8">
        <f>1/(1+EXP(-V193))</f>
        <v/>
      </c>
      <c r="X193" s="9">
        <f>-IF(C193=1,LN(W193),LN(1-W193))</f>
        <v/>
      </c>
      <c r="Y193" s="10">
        <f>IF(W193&gt;$AC$34,1,0)</f>
        <v/>
      </c>
      <c r="Z193">
        <f>IF(Y193=C193,1,0)</f>
        <v/>
      </c>
    </row>
    <row r="194">
      <c r="A194">
        <f>'1 prepared data'!A187</f>
        <v/>
      </c>
      <c r="B194" s="5">
        <f>'1 prepared data'!U187</f>
        <v/>
      </c>
      <c r="C194">
        <f>'1 prepared data'!B187</f>
        <v/>
      </c>
      <c r="D194" s="7">
        <f>'1 prepared data'!C187</f>
        <v/>
      </c>
      <c r="E194" s="7">
        <f>'1 prepared data'!D187</f>
        <v/>
      </c>
      <c r="F194" s="7">
        <f>'1 prepared data'!E187</f>
        <v/>
      </c>
      <c r="G194" s="7">
        <f>'1 prepared data'!F187</f>
        <v/>
      </c>
      <c r="H194" s="7">
        <f>'1 prepared data'!G187</f>
        <v/>
      </c>
      <c r="I194" s="7">
        <f>'1 prepared data'!H187</f>
        <v/>
      </c>
      <c r="J194" s="7">
        <f>'1 prepared data'!I187</f>
        <v/>
      </c>
      <c r="K194" s="7">
        <f>'1 prepared data'!J187</f>
        <v/>
      </c>
      <c r="L194" s="7">
        <f>'1 prepared data'!K187</f>
        <v/>
      </c>
      <c r="M194" s="7">
        <f>'1 prepared data'!L187</f>
        <v/>
      </c>
      <c r="N194" s="7">
        <f>'1 prepared data'!M187</f>
        <v/>
      </c>
      <c r="O194" s="7">
        <f>'1 prepared data'!N187</f>
        <v/>
      </c>
      <c r="P194" s="7">
        <f>'1 prepared data'!O187</f>
        <v/>
      </c>
      <c r="Q194" s="7">
        <f>'1 prepared data'!P187</f>
        <v/>
      </c>
      <c r="R194" s="7">
        <f>'1 prepared data'!Q187</f>
        <v/>
      </c>
      <c r="S194" s="7">
        <f>'1 prepared data'!R187</f>
        <v/>
      </c>
      <c r="T194" s="7">
        <f>'1 prepared data'!S187</f>
        <v/>
      </c>
      <c r="U194" s="7">
        <f>'1 prepared data'!T187</f>
        <v/>
      </c>
      <c r="V194" s="8">
        <f>$AC$12+D194*$AC$13+E194*$AC$14+F194*$AC$15+G194*$AC$16+H194*$AC$17+I194*$AC$18+J194*$AC$19+K194*$AC$20+L194*$AC$21+M194*$AC$22+N194*$AC$23+O194*$AC$24+P194*$AC$25+Q194*$AC$26+R194*$AC$27+S194*$AC$28+T194*$AC$29+U194*$AC$30</f>
        <v/>
      </c>
      <c r="W194" s="8">
        <f>1/(1+EXP(-V194))</f>
        <v/>
      </c>
      <c r="X194" s="9">
        <f>-IF(C194=1,LN(W194),LN(1-W194))</f>
        <v/>
      </c>
      <c r="Y194" s="10">
        <f>IF(W194&gt;$AC$34,1,0)</f>
        <v/>
      </c>
      <c r="Z194">
        <f>IF(Y194=C194,1,0)</f>
        <v/>
      </c>
    </row>
    <row r="195">
      <c r="A195">
        <f>'1 prepared data'!A188</f>
        <v/>
      </c>
      <c r="B195" s="5">
        <f>'1 prepared data'!U188</f>
        <v/>
      </c>
      <c r="C195">
        <f>'1 prepared data'!B188</f>
        <v/>
      </c>
      <c r="D195" s="7">
        <f>'1 prepared data'!C188</f>
        <v/>
      </c>
      <c r="E195" s="7">
        <f>'1 prepared data'!D188</f>
        <v/>
      </c>
      <c r="F195" s="7">
        <f>'1 prepared data'!E188</f>
        <v/>
      </c>
      <c r="G195" s="7">
        <f>'1 prepared data'!F188</f>
        <v/>
      </c>
      <c r="H195" s="7">
        <f>'1 prepared data'!G188</f>
        <v/>
      </c>
      <c r="I195" s="7">
        <f>'1 prepared data'!H188</f>
        <v/>
      </c>
      <c r="J195" s="7">
        <f>'1 prepared data'!I188</f>
        <v/>
      </c>
      <c r="K195" s="7">
        <f>'1 prepared data'!J188</f>
        <v/>
      </c>
      <c r="L195" s="7">
        <f>'1 prepared data'!K188</f>
        <v/>
      </c>
      <c r="M195" s="7">
        <f>'1 prepared data'!L188</f>
        <v/>
      </c>
      <c r="N195" s="7">
        <f>'1 prepared data'!M188</f>
        <v/>
      </c>
      <c r="O195" s="7">
        <f>'1 prepared data'!N188</f>
        <v/>
      </c>
      <c r="P195" s="7">
        <f>'1 prepared data'!O188</f>
        <v/>
      </c>
      <c r="Q195" s="7">
        <f>'1 prepared data'!P188</f>
        <v/>
      </c>
      <c r="R195" s="7">
        <f>'1 prepared data'!Q188</f>
        <v/>
      </c>
      <c r="S195" s="7">
        <f>'1 prepared data'!R188</f>
        <v/>
      </c>
      <c r="T195" s="7">
        <f>'1 prepared data'!S188</f>
        <v/>
      </c>
      <c r="U195" s="7">
        <f>'1 prepared data'!T188</f>
        <v/>
      </c>
      <c r="V195" s="8">
        <f>$AC$12+D195*$AC$13+E195*$AC$14+F195*$AC$15+G195*$AC$16+H195*$AC$17+I195*$AC$18+J195*$AC$19+K195*$AC$20+L195*$AC$21+M195*$AC$22+N195*$AC$23+O195*$AC$24+P195*$AC$25+Q195*$AC$26+R195*$AC$27+S195*$AC$28+T195*$AC$29+U195*$AC$30</f>
        <v/>
      </c>
      <c r="W195" s="8">
        <f>1/(1+EXP(-V195))</f>
        <v/>
      </c>
      <c r="X195" s="9">
        <f>-IF(C195=1,LN(W195),LN(1-W195))</f>
        <v/>
      </c>
      <c r="Y195" s="10">
        <f>IF(W195&gt;$AC$34,1,0)</f>
        <v/>
      </c>
      <c r="Z195">
        <f>IF(Y195=C195,1,0)</f>
        <v/>
      </c>
    </row>
    <row r="196">
      <c r="A196">
        <f>'1 prepared data'!A189</f>
        <v/>
      </c>
      <c r="B196" s="5">
        <f>'1 prepared data'!U189</f>
        <v/>
      </c>
      <c r="C196">
        <f>'1 prepared data'!B189</f>
        <v/>
      </c>
      <c r="D196" s="7">
        <f>'1 prepared data'!C189</f>
        <v/>
      </c>
      <c r="E196" s="7">
        <f>'1 prepared data'!D189</f>
        <v/>
      </c>
      <c r="F196" s="7">
        <f>'1 prepared data'!E189</f>
        <v/>
      </c>
      <c r="G196" s="7">
        <f>'1 prepared data'!F189</f>
        <v/>
      </c>
      <c r="H196" s="7">
        <f>'1 prepared data'!G189</f>
        <v/>
      </c>
      <c r="I196" s="7">
        <f>'1 prepared data'!H189</f>
        <v/>
      </c>
      <c r="J196" s="7">
        <f>'1 prepared data'!I189</f>
        <v/>
      </c>
      <c r="K196" s="7">
        <f>'1 prepared data'!J189</f>
        <v/>
      </c>
      <c r="L196" s="7">
        <f>'1 prepared data'!K189</f>
        <v/>
      </c>
      <c r="M196" s="7">
        <f>'1 prepared data'!L189</f>
        <v/>
      </c>
      <c r="N196" s="7">
        <f>'1 prepared data'!M189</f>
        <v/>
      </c>
      <c r="O196" s="7">
        <f>'1 prepared data'!N189</f>
        <v/>
      </c>
      <c r="P196" s="7">
        <f>'1 prepared data'!O189</f>
        <v/>
      </c>
      <c r="Q196" s="7">
        <f>'1 prepared data'!P189</f>
        <v/>
      </c>
      <c r="R196" s="7">
        <f>'1 prepared data'!Q189</f>
        <v/>
      </c>
      <c r="S196" s="7">
        <f>'1 prepared data'!R189</f>
        <v/>
      </c>
      <c r="T196" s="7">
        <f>'1 prepared data'!S189</f>
        <v/>
      </c>
      <c r="U196" s="7">
        <f>'1 prepared data'!T189</f>
        <v/>
      </c>
      <c r="V196" s="8">
        <f>$AC$12+D196*$AC$13+E196*$AC$14+F196*$AC$15+G196*$AC$16+H196*$AC$17+I196*$AC$18+J196*$AC$19+K196*$AC$20+L196*$AC$21+M196*$AC$22+N196*$AC$23+O196*$AC$24+P196*$AC$25+Q196*$AC$26+R196*$AC$27+S196*$AC$28+T196*$AC$29+U196*$AC$30</f>
        <v/>
      </c>
      <c r="W196" s="8">
        <f>1/(1+EXP(-V196))</f>
        <v/>
      </c>
      <c r="X196" s="9">
        <f>-IF(C196=1,LN(W196),LN(1-W196))</f>
        <v/>
      </c>
      <c r="Y196" s="10">
        <f>IF(W196&gt;$AC$34,1,0)</f>
        <v/>
      </c>
      <c r="Z196">
        <f>IF(Y196=C196,1,0)</f>
        <v/>
      </c>
    </row>
    <row r="197">
      <c r="A197">
        <f>'1 prepared data'!A190</f>
        <v/>
      </c>
      <c r="B197" s="5">
        <f>'1 prepared data'!U190</f>
        <v/>
      </c>
      <c r="C197">
        <f>'1 prepared data'!B190</f>
        <v/>
      </c>
      <c r="D197" s="7">
        <f>'1 prepared data'!C190</f>
        <v/>
      </c>
      <c r="E197" s="7">
        <f>'1 prepared data'!D190</f>
        <v/>
      </c>
      <c r="F197" s="7">
        <f>'1 prepared data'!E190</f>
        <v/>
      </c>
      <c r="G197" s="7">
        <f>'1 prepared data'!F190</f>
        <v/>
      </c>
      <c r="H197" s="7">
        <f>'1 prepared data'!G190</f>
        <v/>
      </c>
      <c r="I197" s="7">
        <f>'1 prepared data'!H190</f>
        <v/>
      </c>
      <c r="J197" s="7">
        <f>'1 prepared data'!I190</f>
        <v/>
      </c>
      <c r="K197" s="7">
        <f>'1 prepared data'!J190</f>
        <v/>
      </c>
      <c r="L197" s="7">
        <f>'1 prepared data'!K190</f>
        <v/>
      </c>
      <c r="M197" s="7">
        <f>'1 prepared data'!L190</f>
        <v/>
      </c>
      <c r="N197" s="7">
        <f>'1 prepared data'!M190</f>
        <v/>
      </c>
      <c r="O197" s="7">
        <f>'1 prepared data'!N190</f>
        <v/>
      </c>
      <c r="P197" s="7">
        <f>'1 prepared data'!O190</f>
        <v/>
      </c>
      <c r="Q197" s="7">
        <f>'1 prepared data'!P190</f>
        <v/>
      </c>
      <c r="R197" s="7">
        <f>'1 prepared data'!Q190</f>
        <v/>
      </c>
      <c r="S197" s="7">
        <f>'1 prepared data'!R190</f>
        <v/>
      </c>
      <c r="T197" s="7">
        <f>'1 prepared data'!S190</f>
        <v/>
      </c>
      <c r="U197" s="7">
        <f>'1 prepared data'!T190</f>
        <v/>
      </c>
      <c r="V197" s="8">
        <f>$AC$12+D197*$AC$13+E197*$AC$14+F197*$AC$15+G197*$AC$16+H197*$AC$17+I197*$AC$18+J197*$AC$19+K197*$AC$20+L197*$AC$21+M197*$AC$22+N197*$AC$23+O197*$AC$24+P197*$AC$25+Q197*$AC$26+R197*$AC$27+S197*$AC$28+T197*$AC$29+U197*$AC$30</f>
        <v/>
      </c>
      <c r="W197" s="8">
        <f>1/(1+EXP(-V197))</f>
        <v/>
      </c>
      <c r="X197" s="9">
        <f>-IF(C197=1,LN(W197),LN(1-W197))</f>
        <v/>
      </c>
      <c r="Y197" s="10">
        <f>IF(W197&gt;$AC$34,1,0)</f>
        <v/>
      </c>
      <c r="Z197">
        <f>IF(Y197=C197,1,0)</f>
        <v/>
      </c>
    </row>
    <row r="198">
      <c r="A198">
        <f>'1 prepared data'!A191</f>
        <v/>
      </c>
      <c r="B198" s="5">
        <f>'1 prepared data'!U191</f>
        <v/>
      </c>
      <c r="C198">
        <f>'1 prepared data'!B191</f>
        <v/>
      </c>
      <c r="D198" s="7">
        <f>'1 prepared data'!C191</f>
        <v/>
      </c>
      <c r="E198" s="7">
        <f>'1 prepared data'!D191</f>
        <v/>
      </c>
      <c r="F198" s="7">
        <f>'1 prepared data'!E191</f>
        <v/>
      </c>
      <c r="G198" s="7">
        <f>'1 prepared data'!F191</f>
        <v/>
      </c>
      <c r="H198" s="7">
        <f>'1 prepared data'!G191</f>
        <v/>
      </c>
      <c r="I198" s="7">
        <f>'1 prepared data'!H191</f>
        <v/>
      </c>
      <c r="J198" s="7">
        <f>'1 prepared data'!I191</f>
        <v/>
      </c>
      <c r="K198" s="7">
        <f>'1 prepared data'!J191</f>
        <v/>
      </c>
      <c r="L198" s="7">
        <f>'1 prepared data'!K191</f>
        <v/>
      </c>
      <c r="M198" s="7">
        <f>'1 prepared data'!L191</f>
        <v/>
      </c>
      <c r="N198" s="7">
        <f>'1 prepared data'!M191</f>
        <v/>
      </c>
      <c r="O198" s="7">
        <f>'1 prepared data'!N191</f>
        <v/>
      </c>
      <c r="P198" s="7">
        <f>'1 prepared data'!O191</f>
        <v/>
      </c>
      <c r="Q198" s="7">
        <f>'1 prepared data'!P191</f>
        <v/>
      </c>
      <c r="R198" s="7">
        <f>'1 prepared data'!Q191</f>
        <v/>
      </c>
      <c r="S198" s="7">
        <f>'1 prepared data'!R191</f>
        <v/>
      </c>
      <c r="T198" s="7">
        <f>'1 prepared data'!S191</f>
        <v/>
      </c>
      <c r="U198" s="7">
        <f>'1 prepared data'!T191</f>
        <v/>
      </c>
      <c r="V198" s="8">
        <f>$AC$12+D198*$AC$13+E198*$AC$14+F198*$AC$15+G198*$AC$16+H198*$AC$17+I198*$AC$18+J198*$AC$19+K198*$AC$20+L198*$AC$21+M198*$AC$22+N198*$AC$23+O198*$AC$24+P198*$AC$25+Q198*$AC$26+R198*$AC$27+S198*$AC$28+T198*$AC$29+U198*$AC$30</f>
        <v/>
      </c>
      <c r="W198" s="8">
        <f>1/(1+EXP(-V198))</f>
        <v/>
      </c>
      <c r="X198" s="9">
        <f>-IF(C198=1,LN(W198),LN(1-W198))</f>
        <v/>
      </c>
      <c r="Y198" s="10">
        <f>IF(W198&gt;$AC$34,1,0)</f>
        <v/>
      </c>
      <c r="Z198">
        <f>IF(Y198=C198,1,0)</f>
        <v/>
      </c>
    </row>
    <row r="199">
      <c r="A199">
        <f>'1 prepared data'!A192</f>
        <v/>
      </c>
      <c r="B199" s="5">
        <f>'1 prepared data'!U192</f>
        <v/>
      </c>
      <c r="C199">
        <f>'1 prepared data'!B192</f>
        <v/>
      </c>
      <c r="D199" s="7">
        <f>'1 prepared data'!C192</f>
        <v/>
      </c>
      <c r="E199" s="7">
        <f>'1 prepared data'!D192</f>
        <v/>
      </c>
      <c r="F199" s="7">
        <f>'1 prepared data'!E192</f>
        <v/>
      </c>
      <c r="G199" s="7">
        <f>'1 prepared data'!F192</f>
        <v/>
      </c>
      <c r="H199" s="7">
        <f>'1 prepared data'!G192</f>
        <v/>
      </c>
      <c r="I199" s="7">
        <f>'1 prepared data'!H192</f>
        <v/>
      </c>
      <c r="J199" s="7">
        <f>'1 prepared data'!I192</f>
        <v/>
      </c>
      <c r="K199" s="7">
        <f>'1 prepared data'!J192</f>
        <v/>
      </c>
      <c r="L199" s="7">
        <f>'1 prepared data'!K192</f>
        <v/>
      </c>
      <c r="M199" s="7">
        <f>'1 prepared data'!L192</f>
        <v/>
      </c>
      <c r="N199" s="7">
        <f>'1 prepared data'!M192</f>
        <v/>
      </c>
      <c r="O199" s="7">
        <f>'1 prepared data'!N192</f>
        <v/>
      </c>
      <c r="P199" s="7">
        <f>'1 prepared data'!O192</f>
        <v/>
      </c>
      <c r="Q199" s="7">
        <f>'1 prepared data'!P192</f>
        <v/>
      </c>
      <c r="R199" s="7">
        <f>'1 prepared data'!Q192</f>
        <v/>
      </c>
      <c r="S199" s="7">
        <f>'1 prepared data'!R192</f>
        <v/>
      </c>
      <c r="T199" s="7">
        <f>'1 prepared data'!S192</f>
        <v/>
      </c>
      <c r="U199" s="7">
        <f>'1 prepared data'!T192</f>
        <v/>
      </c>
      <c r="V199" s="8">
        <f>$AC$12+D199*$AC$13+E199*$AC$14+F199*$AC$15+G199*$AC$16+H199*$AC$17+I199*$AC$18+J199*$AC$19+K199*$AC$20+L199*$AC$21+M199*$AC$22+N199*$AC$23+O199*$AC$24+P199*$AC$25+Q199*$AC$26+R199*$AC$27+S199*$AC$28+T199*$AC$29+U199*$AC$30</f>
        <v/>
      </c>
      <c r="W199" s="8">
        <f>1/(1+EXP(-V199))</f>
        <v/>
      </c>
      <c r="X199" s="9">
        <f>-IF(C199=1,LN(W199),LN(1-W199))</f>
        <v/>
      </c>
      <c r="Y199" s="10">
        <f>IF(W199&gt;$AC$34,1,0)</f>
        <v/>
      </c>
      <c r="Z199">
        <f>IF(Y199=C199,1,0)</f>
        <v/>
      </c>
    </row>
    <row r="200">
      <c r="A200">
        <f>'1 prepared data'!A193</f>
        <v/>
      </c>
      <c r="B200" s="5">
        <f>'1 prepared data'!U193</f>
        <v/>
      </c>
      <c r="C200">
        <f>'1 prepared data'!B193</f>
        <v/>
      </c>
      <c r="D200" s="7">
        <f>'1 prepared data'!C193</f>
        <v/>
      </c>
      <c r="E200" s="7">
        <f>'1 prepared data'!D193</f>
        <v/>
      </c>
      <c r="F200" s="7">
        <f>'1 prepared data'!E193</f>
        <v/>
      </c>
      <c r="G200" s="7">
        <f>'1 prepared data'!F193</f>
        <v/>
      </c>
      <c r="H200" s="7">
        <f>'1 prepared data'!G193</f>
        <v/>
      </c>
      <c r="I200" s="7">
        <f>'1 prepared data'!H193</f>
        <v/>
      </c>
      <c r="J200" s="7">
        <f>'1 prepared data'!I193</f>
        <v/>
      </c>
      <c r="K200" s="7">
        <f>'1 prepared data'!J193</f>
        <v/>
      </c>
      <c r="L200" s="7">
        <f>'1 prepared data'!K193</f>
        <v/>
      </c>
      <c r="M200" s="7">
        <f>'1 prepared data'!L193</f>
        <v/>
      </c>
      <c r="N200" s="7">
        <f>'1 prepared data'!M193</f>
        <v/>
      </c>
      <c r="O200" s="7">
        <f>'1 prepared data'!N193</f>
        <v/>
      </c>
      <c r="P200" s="7">
        <f>'1 prepared data'!O193</f>
        <v/>
      </c>
      <c r="Q200" s="7">
        <f>'1 prepared data'!P193</f>
        <v/>
      </c>
      <c r="R200" s="7">
        <f>'1 prepared data'!Q193</f>
        <v/>
      </c>
      <c r="S200" s="7">
        <f>'1 prepared data'!R193</f>
        <v/>
      </c>
      <c r="T200" s="7">
        <f>'1 prepared data'!S193</f>
        <v/>
      </c>
      <c r="U200" s="7">
        <f>'1 prepared data'!T193</f>
        <v/>
      </c>
      <c r="V200" s="8">
        <f>$AC$12+D200*$AC$13+E200*$AC$14+F200*$AC$15+G200*$AC$16+H200*$AC$17+I200*$AC$18+J200*$AC$19+K200*$AC$20+L200*$AC$21+M200*$AC$22+N200*$AC$23+O200*$AC$24+P200*$AC$25+Q200*$AC$26+R200*$AC$27+S200*$AC$28+T200*$AC$29+U200*$AC$30</f>
        <v/>
      </c>
      <c r="W200" s="8">
        <f>1/(1+EXP(-V200))</f>
        <v/>
      </c>
      <c r="X200" s="9">
        <f>-IF(C200=1,LN(W200),LN(1-W200))</f>
        <v/>
      </c>
      <c r="Y200" s="10">
        <f>IF(W200&gt;$AC$34,1,0)</f>
        <v/>
      </c>
      <c r="Z200">
        <f>IF(Y200=C200,1,0)</f>
        <v/>
      </c>
    </row>
    <row r="201">
      <c r="A201">
        <f>'1 prepared data'!A194</f>
        <v/>
      </c>
      <c r="B201" s="5">
        <f>'1 prepared data'!U194</f>
        <v/>
      </c>
      <c r="C201">
        <f>'1 prepared data'!B194</f>
        <v/>
      </c>
      <c r="D201" s="7">
        <f>'1 prepared data'!C194</f>
        <v/>
      </c>
      <c r="E201" s="7">
        <f>'1 prepared data'!D194</f>
        <v/>
      </c>
      <c r="F201" s="7">
        <f>'1 prepared data'!E194</f>
        <v/>
      </c>
      <c r="G201" s="7">
        <f>'1 prepared data'!F194</f>
        <v/>
      </c>
      <c r="H201" s="7">
        <f>'1 prepared data'!G194</f>
        <v/>
      </c>
      <c r="I201" s="7">
        <f>'1 prepared data'!H194</f>
        <v/>
      </c>
      <c r="J201" s="7">
        <f>'1 prepared data'!I194</f>
        <v/>
      </c>
      <c r="K201" s="7">
        <f>'1 prepared data'!J194</f>
        <v/>
      </c>
      <c r="L201" s="7">
        <f>'1 prepared data'!K194</f>
        <v/>
      </c>
      <c r="M201" s="7">
        <f>'1 prepared data'!L194</f>
        <v/>
      </c>
      <c r="N201" s="7">
        <f>'1 prepared data'!M194</f>
        <v/>
      </c>
      <c r="O201" s="7">
        <f>'1 prepared data'!N194</f>
        <v/>
      </c>
      <c r="P201" s="7">
        <f>'1 prepared data'!O194</f>
        <v/>
      </c>
      <c r="Q201" s="7">
        <f>'1 prepared data'!P194</f>
        <v/>
      </c>
      <c r="R201" s="7">
        <f>'1 prepared data'!Q194</f>
        <v/>
      </c>
      <c r="S201" s="7">
        <f>'1 prepared data'!R194</f>
        <v/>
      </c>
      <c r="T201" s="7">
        <f>'1 prepared data'!S194</f>
        <v/>
      </c>
      <c r="U201" s="7">
        <f>'1 prepared data'!T194</f>
        <v/>
      </c>
      <c r="V201" s="8">
        <f>$AC$12+D201*$AC$13+E201*$AC$14+F201*$AC$15+G201*$AC$16+H201*$AC$17+I201*$AC$18+J201*$AC$19+K201*$AC$20+L201*$AC$21+M201*$AC$22+N201*$AC$23+O201*$AC$24+P201*$AC$25+Q201*$AC$26+R201*$AC$27+S201*$AC$28+T201*$AC$29+U201*$AC$30</f>
        <v/>
      </c>
      <c r="W201" s="8">
        <f>1/(1+EXP(-V201))</f>
        <v/>
      </c>
      <c r="X201" s="9">
        <f>-IF(C201=1,LN(W201),LN(1-W201))</f>
        <v/>
      </c>
      <c r="Y201" s="10">
        <f>IF(W201&gt;$AC$34,1,0)</f>
        <v/>
      </c>
      <c r="Z201">
        <f>IF(Y201=C201,1,0)</f>
        <v/>
      </c>
    </row>
    <row r="202">
      <c r="A202">
        <f>'1 prepared data'!A195</f>
        <v/>
      </c>
      <c r="B202" s="5">
        <f>'1 prepared data'!U195</f>
        <v/>
      </c>
      <c r="C202">
        <f>'1 prepared data'!B195</f>
        <v/>
      </c>
      <c r="D202" s="7">
        <f>'1 prepared data'!C195</f>
        <v/>
      </c>
      <c r="E202" s="7">
        <f>'1 prepared data'!D195</f>
        <v/>
      </c>
      <c r="F202" s="7">
        <f>'1 prepared data'!E195</f>
        <v/>
      </c>
      <c r="G202" s="7">
        <f>'1 prepared data'!F195</f>
        <v/>
      </c>
      <c r="H202" s="7">
        <f>'1 prepared data'!G195</f>
        <v/>
      </c>
      <c r="I202" s="7">
        <f>'1 prepared data'!H195</f>
        <v/>
      </c>
      <c r="J202" s="7">
        <f>'1 prepared data'!I195</f>
        <v/>
      </c>
      <c r="K202" s="7">
        <f>'1 prepared data'!J195</f>
        <v/>
      </c>
      <c r="L202" s="7">
        <f>'1 prepared data'!K195</f>
        <v/>
      </c>
      <c r="M202" s="7">
        <f>'1 prepared data'!L195</f>
        <v/>
      </c>
      <c r="N202" s="7">
        <f>'1 prepared data'!M195</f>
        <v/>
      </c>
      <c r="O202" s="7">
        <f>'1 prepared data'!N195</f>
        <v/>
      </c>
      <c r="P202" s="7">
        <f>'1 prepared data'!O195</f>
        <v/>
      </c>
      <c r="Q202" s="7">
        <f>'1 prepared data'!P195</f>
        <v/>
      </c>
      <c r="R202" s="7">
        <f>'1 prepared data'!Q195</f>
        <v/>
      </c>
      <c r="S202" s="7">
        <f>'1 prepared data'!R195</f>
        <v/>
      </c>
      <c r="T202" s="7">
        <f>'1 prepared data'!S195</f>
        <v/>
      </c>
      <c r="U202" s="7">
        <f>'1 prepared data'!T195</f>
        <v/>
      </c>
      <c r="V202" s="8">
        <f>$AC$12+D202*$AC$13+E202*$AC$14+F202*$AC$15+G202*$AC$16+H202*$AC$17+I202*$AC$18+J202*$AC$19+K202*$AC$20+L202*$AC$21+M202*$AC$22+N202*$AC$23+O202*$AC$24+P202*$AC$25+Q202*$AC$26+R202*$AC$27+S202*$AC$28+T202*$AC$29+U202*$AC$30</f>
        <v/>
      </c>
      <c r="W202" s="8">
        <f>1/(1+EXP(-V202))</f>
        <v/>
      </c>
      <c r="X202" s="9">
        <f>-IF(C202=1,LN(W202),LN(1-W202))</f>
        <v/>
      </c>
      <c r="Y202" s="10">
        <f>IF(W202&gt;$AC$34,1,0)</f>
        <v/>
      </c>
      <c r="Z202">
        <f>IF(Y202=C202,1,0)</f>
        <v/>
      </c>
    </row>
    <row r="203">
      <c r="A203">
        <f>'1 prepared data'!A196</f>
        <v/>
      </c>
      <c r="B203" s="5">
        <f>'1 prepared data'!U196</f>
        <v/>
      </c>
      <c r="C203">
        <f>'1 prepared data'!B196</f>
        <v/>
      </c>
      <c r="D203" s="7">
        <f>'1 prepared data'!C196</f>
        <v/>
      </c>
      <c r="E203" s="7">
        <f>'1 prepared data'!D196</f>
        <v/>
      </c>
      <c r="F203" s="7">
        <f>'1 prepared data'!E196</f>
        <v/>
      </c>
      <c r="G203" s="7">
        <f>'1 prepared data'!F196</f>
        <v/>
      </c>
      <c r="H203" s="7">
        <f>'1 prepared data'!G196</f>
        <v/>
      </c>
      <c r="I203" s="7">
        <f>'1 prepared data'!H196</f>
        <v/>
      </c>
      <c r="J203" s="7">
        <f>'1 prepared data'!I196</f>
        <v/>
      </c>
      <c r="K203" s="7">
        <f>'1 prepared data'!J196</f>
        <v/>
      </c>
      <c r="L203" s="7">
        <f>'1 prepared data'!K196</f>
        <v/>
      </c>
      <c r="M203" s="7">
        <f>'1 prepared data'!L196</f>
        <v/>
      </c>
      <c r="N203" s="7">
        <f>'1 prepared data'!M196</f>
        <v/>
      </c>
      <c r="O203" s="7">
        <f>'1 prepared data'!N196</f>
        <v/>
      </c>
      <c r="P203" s="7">
        <f>'1 prepared data'!O196</f>
        <v/>
      </c>
      <c r="Q203" s="7">
        <f>'1 prepared data'!P196</f>
        <v/>
      </c>
      <c r="R203" s="7">
        <f>'1 prepared data'!Q196</f>
        <v/>
      </c>
      <c r="S203" s="7">
        <f>'1 prepared data'!R196</f>
        <v/>
      </c>
      <c r="T203" s="7">
        <f>'1 prepared data'!S196</f>
        <v/>
      </c>
      <c r="U203" s="7">
        <f>'1 prepared data'!T196</f>
        <v/>
      </c>
      <c r="V203" s="8">
        <f>$AC$12+D203*$AC$13+E203*$AC$14+F203*$AC$15+G203*$AC$16+H203*$AC$17+I203*$AC$18+J203*$AC$19+K203*$AC$20+L203*$AC$21+M203*$AC$22+N203*$AC$23+O203*$AC$24+P203*$AC$25+Q203*$AC$26+R203*$AC$27+S203*$AC$28+T203*$AC$29+U203*$AC$30</f>
        <v/>
      </c>
      <c r="W203" s="8">
        <f>1/(1+EXP(-V203))</f>
        <v/>
      </c>
      <c r="X203" s="9">
        <f>-IF(C203=1,LN(W203),LN(1-W203))</f>
        <v/>
      </c>
      <c r="Y203" s="10">
        <f>IF(W203&gt;$AC$34,1,0)</f>
        <v/>
      </c>
      <c r="Z203">
        <f>IF(Y203=C203,1,0)</f>
        <v/>
      </c>
    </row>
    <row r="204">
      <c r="A204">
        <f>'1 prepared data'!A197</f>
        <v/>
      </c>
      <c r="B204" s="5">
        <f>'1 prepared data'!U197</f>
        <v/>
      </c>
      <c r="C204">
        <f>'1 prepared data'!B197</f>
        <v/>
      </c>
      <c r="D204" s="7">
        <f>'1 prepared data'!C197</f>
        <v/>
      </c>
      <c r="E204" s="7">
        <f>'1 prepared data'!D197</f>
        <v/>
      </c>
      <c r="F204" s="7">
        <f>'1 prepared data'!E197</f>
        <v/>
      </c>
      <c r="G204" s="7">
        <f>'1 prepared data'!F197</f>
        <v/>
      </c>
      <c r="H204" s="7">
        <f>'1 prepared data'!G197</f>
        <v/>
      </c>
      <c r="I204" s="7">
        <f>'1 prepared data'!H197</f>
        <v/>
      </c>
      <c r="J204" s="7">
        <f>'1 prepared data'!I197</f>
        <v/>
      </c>
      <c r="K204" s="7">
        <f>'1 prepared data'!J197</f>
        <v/>
      </c>
      <c r="L204" s="7">
        <f>'1 prepared data'!K197</f>
        <v/>
      </c>
      <c r="M204" s="7">
        <f>'1 prepared data'!L197</f>
        <v/>
      </c>
      <c r="N204" s="7">
        <f>'1 prepared data'!M197</f>
        <v/>
      </c>
      <c r="O204" s="7">
        <f>'1 prepared data'!N197</f>
        <v/>
      </c>
      <c r="P204" s="7">
        <f>'1 prepared data'!O197</f>
        <v/>
      </c>
      <c r="Q204" s="7">
        <f>'1 prepared data'!P197</f>
        <v/>
      </c>
      <c r="R204" s="7">
        <f>'1 prepared data'!Q197</f>
        <v/>
      </c>
      <c r="S204" s="7">
        <f>'1 prepared data'!R197</f>
        <v/>
      </c>
      <c r="T204" s="7">
        <f>'1 prepared data'!S197</f>
        <v/>
      </c>
      <c r="U204" s="7">
        <f>'1 prepared data'!T197</f>
        <v/>
      </c>
      <c r="V204" s="8">
        <f>$AC$12+D204*$AC$13+E204*$AC$14+F204*$AC$15+G204*$AC$16+H204*$AC$17+I204*$AC$18+J204*$AC$19+K204*$AC$20+L204*$AC$21+M204*$AC$22+N204*$AC$23+O204*$AC$24+P204*$AC$25+Q204*$AC$26+R204*$AC$27+S204*$AC$28+T204*$AC$29+U204*$AC$30</f>
        <v/>
      </c>
      <c r="W204" s="8">
        <f>1/(1+EXP(-V204))</f>
        <v/>
      </c>
      <c r="X204" s="9">
        <f>-IF(C204=1,LN(W204),LN(1-W204))</f>
        <v/>
      </c>
      <c r="Y204" s="10">
        <f>IF(W204&gt;$AC$34,1,0)</f>
        <v/>
      </c>
      <c r="Z204">
        <f>IF(Y204=C204,1,0)</f>
        <v/>
      </c>
    </row>
    <row r="205">
      <c r="A205">
        <f>'1 prepared data'!A198</f>
        <v/>
      </c>
      <c r="B205" s="5">
        <f>'1 prepared data'!U198</f>
        <v/>
      </c>
      <c r="C205">
        <f>'1 prepared data'!B198</f>
        <v/>
      </c>
      <c r="D205" s="7">
        <f>'1 prepared data'!C198</f>
        <v/>
      </c>
      <c r="E205" s="7">
        <f>'1 prepared data'!D198</f>
        <v/>
      </c>
      <c r="F205" s="7">
        <f>'1 prepared data'!E198</f>
        <v/>
      </c>
      <c r="G205" s="7">
        <f>'1 prepared data'!F198</f>
        <v/>
      </c>
      <c r="H205" s="7">
        <f>'1 prepared data'!G198</f>
        <v/>
      </c>
      <c r="I205" s="7">
        <f>'1 prepared data'!H198</f>
        <v/>
      </c>
      <c r="J205" s="7">
        <f>'1 prepared data'!I198</f>
        <v/>
      </c>
      <c r="K205" s="7">
        <f>'1 prepared data'!J198</f>
        <v/>
      </c>
      <c r="L205" s="7">
        <f>'1 prepared data'!K198</f>
        <v/>
      </c>
      <c r="M205" s="7">
        <f>'1 prepared data'!L198</f>
        <v/>
      </c>
      <c r="N205" s="7">
        <f>'1 prepared data'!M198</f>
        <v/>
      </c>
      <c r="O205" s="7">
        <f>'1 prepared data'!N198</f>
        <v/>
      </c>
      <c r="P205" s="7">
        <f>'1 prepared data'!O198</f>
        <v/>
      </c>
      <c r="Q205" s="7">
        <f>'1 prepared data'!P198</f>
        <v/>
      </c>
      <c r="R205" s="7">
        <f>'1 prepared data'!Q198</f>
        <v/>
      </c>
      <c r="S205" s="7">
        <f>'1 prepared data'!R198</f>
        <v/>
      </c>
      <c r="T205" s="7">
        <f>'1 prepared data'!S198</f>
        <v/>
      </c>
      <c r="U205" s="7">
        <f>'1 prepared data'!T198</f>
        <v/>
      </c>
      <c r="V205" s="8">
        <f>$AC$12+D205*$AC$13+E205*$AC$14+F205*$AC$15+G205*$AC$16+H205*$AC$17+I205*$AC$18+J205*$AC$19+K205*$AC$20+L205*$AC$21+M205*$AC$22+N205*$AC$23+O205*$AC$24+P205*$AC$25+Q205*$AC$26+R205*$AC$27+S205*$AC$28+T205*$AC$29+U205*$AC$30</f>
        <v/>
      </c>
      <c r="W205" s="8">
        <f>1/(1+EXP(-V205))</f>
        <v/>
      </c>
      <c r="X205" s="9">
        <f>-IF(C205=1,LN(W205),LN(1-W205))</f>
        <v/>
      </c>
      <c r="Y205" s="10">
        <f>IF(W205&gt;$AC$34,1,0)</f>
        <v/>
      </c>
      <c r="Z205">
        <f>IF(Y205=C205,1,0)</f>
        <v/>
      </c>
    </row>
    <row r="206">
      <c r="A206">
        <f>'1 prepared data'!A199</f>
        <v/>
      </c>
      <c r="B206" s="5">
        <f>'1 prepared data'!U199</f>
        <v/>
      </c>
      <c r="C206">
        <f>'1 prepared data'!B199</f>
        <v/>
      </c>
      <c r="D206" s="7">
        <f>'1 prepared data'!C199</f>
        <v/>
      </c>
      <c r="E206" s="7">
        <f>'1 prepared data'!D199</f>
        <v/>
      </c>
      <c r="F206" s="7">
        <f>'1 prepared data'!E199</f>
        <v/>
      </c>
      <c r="G206" s="7">
        <f>'1 prepared data'!F199</f>
        <v/>
      </c>
      <c r="H206" s="7">
        <f>'1 prepared data'!G199</f>
        <v/>
      </c>
      <c r="I206" s="7">
        <f>'1 prepared data'!H199</f>
        <v/>
      </c>
      <c r="J206" s="7">
        <f>'1 prepared data'!I199</f>
        <v/>
      </c>
      <c r="K206" s="7">
        <f>'1 prepared data'!J199</f>
        <v/>
      </c>
      <c r="L206" s="7">
        <f>'1 prepared data'!K199</f>
        <v/>
      </c>
      <c r="M206" s="7">
        <f>'1 prepared data'!L199</f>
        <v/>
      </c>
      <c r="N206" s="7">
        <f>'1 prepared data'!M199</f>
        <v/>
      </c>
      <c r="O206" s="7">
        <f>'1 prepared data'!N199</f>
        <v/>
      </c>
      <c r="P206" s="7">
        <f>'1 prepared data'!O199</f>
        <v/>
      </c>
      <c r="Q206" s="7">
        <f>'1 prepared data'!P199</f>
        <v/>
      </c>
      <c r="R206" s="7">
        <f>'1 prepared data'!Q199</f>
        <v/>
      </c>
      <c r="S206" s="7">
        <f>'1 prepared data'!R199</f>
        <v/>
      </c>
      <c r="T206" s="7">
        <f>'1 prepared data'!S199</f>
        <v/>
      </c>
      <c r="U206" s="7">
        <f>'1 prepared data'!T199</f>
        <v/>
      </c>
      <c r="V206" s="8">
        <f>$AC$12+D206*$AC$13+E206*$AC$14+F206*$AC$15+G206*$AC$16+H206*$AC$17+I206*$AC$18+J206*$AC$19+K206*$AC$20+L206*$AC$21+M206*$AC$22+N206*$AC$23+O206*$AC$24+P206*$AC$25+Q206*$AC$26+R206*$AC$27+S206*$AC$28+T206*$AC$29+U206*$AC$30</f>
        <v/>
      </c>
      <c r="W206" s="8">
        <f>1/(1+EXP(-V206))</f>
        <v/>
      </c>
      <c r="X206" s="9">
        <f>-IF(C206=1,LN(W206),LN(1-W206))</f>
        <v/>
      </c>
      <c r="Y206" s="10">
        <f>IF(W206&gt;$AC$34,1,0)</f>
        <v/>
      </c>
      <c r="Z206">
        <f>IF(Y206=C206,1,0)</f>
        <v/>
      </c>
    </row>
    <row r="207">
      <c r="A207">
        <f>'1 prepared data'!A200</f>
        <v/>
      </c>
      <c r="B207" s="5">
        <f>'1 prepared data'!U200</f>
        <v/>
      </c>
      <c r="C207">
        <f>'1 prepared data'!B200</f>
        <v/>
      </c>
      <c r="D207" s="7">
        <f>'1 prepared data'!C200</f>
        <v/>
      </c>
      <c r="E207" s="7">
        <f>'1 prepared data'!D200</f>
        <v/>
      </c>
      <c r="F207" s="7">
        <f>'1 prepared data'!E200</f>
        <v/>
      </c>
      <c r="G207" s="7">
        <f>'1 prepared data'!F200</f>
        <v/>
      </c>
      <c r="H207" s="7">
        <f>'1 prepared data'!G200</f>
        <v/>
      </c>
      <c r="I207" s="7">
        <f>'1 prepared data'!H200</f>
        <v/>
      </c>
      <c r="J207" s="7">
        <f>'1 prepared data'!I200</f>
        <v/>
      </c>
      <c r="K207" s="7">
        <f>'1 prepared data'!J200</f>
        <v/>
      </c>
      <c r="L207" s="7">
        <f>'1 prepared data'!K200</f>
        <v/>
      </c>
      <c r="M207" s="7">
        <f>'1 prepared data'!L200</f>
        <v/>
      </c>
      <c r="N207" s="7">
        <f>'1 prepared data'!M200</f>
        <v/>
      </c>
      <c r="O207" s="7">
        <f>'1 prepared data'!N200</f>
        <v/>
      </c>
      <c r="P207" s="7">
        <f>'1 prepared data'!O200</f>
        <v/>
      </c>
      <c r="Q207" s="7">
        <f>'1 prepared data'!P200</f>
        <v/>
      </c>
      <c r="R207" s="7">
        <f>'1 prepared data'!Q200</f>
        <v/>
      </c>
      <c r="S207" s="7">
        <f>'1 prepared data'!R200</f>
        <v/>
      </c>
      <c r="T207" s="7">
        <f>'1 prepared data'!S200</f>
        <v/>
      </c>
      <c r="U207" s="7">
        <f>'1 prepared data'!T200</f>
        <v/>
      </c>
      <c r="V207" s="8">
        <f>$AC$12+D207*$AC$13+E207*$AC$14+F207*$AC$15+G207*$AC$16+H207*$AC$17+I207*$AC$18+J207*$AC$19+K207*$AC$20+L207*$AC$21+M207*$AC$22+N207*$AC$23+O207*$AC$24+P207*$AC$25+Q207*$AC$26+R207*$AC$27+S207*$AC$28+T207*$AC$29+U207*$AC$30</f>
        <v/>
      </c>
      <c r="W207" s="8">
        <f>1/(1+EXP(-V207))</f>
        <v/>
      </c>
      <c r="X207" s="9">
        <f>-IF(C207=1,LN(W207),LN(1-W207))</f>
        <v/>
      </c>
      <c r="Y207" s="10">
        <f>IF(W207&gt;$AC$34,1,0)</f>
        <v/>
      </c>
      <c r="Z207">
        <f>IF(Y207=C207,1,0)</f>
        <v/>
      </c>
    </row>
    <row r="208">
      <c r="A208">
        <f>'1 prepared data'!A201</f>
        <v/>
      </c>
      <c r="B208" s="5">
        <f>'1 prepared data'!U201</f>
        <v/>
      </c>
      <c r="C208">
        <f>'1 prepared data'!B201</f>
        <v/>
      </c>
      <c r="D208" s="7">
        <f>'1 prepared data'!C201</f>
        <v/>
      </c>
      <c r="E208" s="7">
        <f>'1 prepared data'!D201</f>
        <v/>
      </c>
      <c r="F208" s="7">
        <f>'1 prepared data'!E201</f>
        <v/>
      </c>
      <c r="G208" s="7">
        <f>'1 prepared data'!F201</f>
        <v/>
      </c>
      <c r="H208" s="7">
        <f>'1 prepared data'!G201</f>
        <v/>
      </c>
      <c r="I208" s="7">
        <f>'1 prepared data'!H201</f>
        <v/>
      </c>
      <c r="J208" s="7">
        <f>'1 prepared data'!I201</f>
        <v/>
      </c>
      <c r="K208" s="7">
        <f>'1 prepared data'!J201</f>
        <v/>
      </c>
      <c r="L208" s="7">
        <f>'1 prepared data'!K201</f>
        <v/>
      </c>
      <c r="M208" s="7">
        <f>'1 prepared data'!L201</f>
        <v/>
      </c>
      <c r="N208" s="7">
        <f>'1 prepared data'!M201</f>
        <v/>
      </c>
      <c r="O208" s="7">
        <f>'1 prepared data'!N201</f>
        <v/>
      </c>
      <c r="P208" s="7">
        <f>'1 prepared data'!O201</f>
        <v/>
      </c>
      <c r="Q208" s="7">
        <f>'1 prepared data'!P201</f>
        <v/>
      </c>
      <c r="R208" s="7">
        <f>'1 prepared data'!Q201</f>
        <v/>
      </c>
      <c r="S208" s="7">
        <f>'1 prepared data'!R201</f>
        <v/>
      </c>
      <c r="T208" s="7">
        <f>'1 prepared data'!S201</f>
        <v/>
      </c>
      <c r="U208" s="7">
        <f>'1 prepared data'!T201</f>
        <v/>
      </c>
      <c r="V208" s="8">
        <f>$AC$12+D208*$AC$13+E208*$AC$14+F208*$AC$15+G208*$AC$16+H208*$AC$17+I208*$AC$18+J208*$AC$19+K208*$AC$20+L208*$AC$21+M208*$AC$22+N208*$AC$23+O208*$AC$24+P208*$AC$25+Q208*$AC$26+R208*$AC$27+S208*$AC$28+T208*$AC$29+U208*$AC$30</f>
        <v/>
      </c>
      <c r="W208" s="8">
        <f>1/(1+EXP(-V208))</f>
        <v/>
      </c>
      <c r="X208" s="9">
        <f>-IF(C208=1,LN(W208),LN(1-W208))</f>
        <v/>
      </c>
      <c r="Y208" s="10">
        <f>IF(W208&gt;$AC$34,1,0)</f>
        <v/>
      </c>
      <c r="Z208">
        <f>IF(Y208=C208,1,0)</f>
        <v/>
      </c>
    </row>
    <row r="209">
      <c r="A209">
        <f>'1 prepared data'!A202</f>
        <v/>
      </c>
      <c r="B209" s="5">
        <f>'1 prepared data'!U202</f>
        <v/>
      </c>
      <c r="C209">
        <f>'1 prepared data'!B202</f>
        <v/>
      </c>
      <c r="D209" s="7">
        <f>'1 prepared data'!C202</f>
        <v/>
      </c>
      <c r="E209" s="7">
        <f>'1 prepared data'!D202</f>
        <v/>
      </c>
      <c r="F209" s="7">
        <f>'1 prepared data'!E202</f>
        <v/>
      </c>
      <c r="G209" s="7">
        <f>'1 prepared data'!F202</f>
        <v/>
      </c>
      <c r="H209" s="7">
        <f>'1 prepared data'!G202</f>
        <v/>
      </c>
      <c r="I209" s="7">
        <f>'1 prepared data'!H202</f>
        <v/>
      </c>
      <c r="J209" s="7">
        <f>'1 prepared data'!I202</f>
        <v/>
      </c>
      <c r="K209" s="7">
        <f>'1 prepared data'!J202</f>
        <v/>
      </c>
      <c r="L209" s="7">
        <f>'1 prepared data'!K202</f>
        <v/>
      </c>
      <c r="M209" s="7">
        <f>'1 prepared data'!L202</f>
        <v/>
      </c>
      <c r="N209" s="7">
        <f>'1 prepared data'!M202</f>
        <v/>
      </c>
      <c r="O209" s="7">
        <f>'1 prepared data'!N202</f>
        <v/>
      </c>
      <c r="P209" s="7">
        <f>'1 prepared data'!O202</f>
        <v/>
      </c>
      <c r="Q209" s="7">
        <f>'1 prepared data'!P202</f>
        <v/>
      </c>
      <c r="R209" s="7">
        <f>'1 prepared data'!Q202</f>
        <v/>
      </c>
      <c r="S209" s="7">
        <f>'1 prepared data'!R202</f>
        <v/>
      </c>
      <c r="T209" s="7">
        <f>'1 prepared data'!S202</f>
        <v/>
      </c>
      <c r="U209" s="7">
        <f>'1 prepared data'!T202</f>
        <v/>
      </c>
      <c r="V209" s="8">
        <f>$AC$12+D209*$AC$13+E209*$AC$14+F209*$AC$15+G209*$AC$16+H209*$AC$17+I209*$AC$18+J209*$AC$19+K209*$AC$20+L209*$AC$21+M209*$AC$22+N209*$AC$23+O209*$AC$24+P209*$AC$25+Q209*$AC$26+R209*$AC$27+S209*$AC$28+T209*$AC$29+U209*$AC$30</f>
        <v/>
      </c>
      <c r="W209" s="8">
        <f>1/(1+EXP(-V209))</f>
        <v/>
      </c>
      <c r="X209" s="9">
        <f>-IF(C209=1,LN(W209),LN(1-W209))</f>
        <v/>
      </c>
      <c r="Y209" s="10">
        <f>IF(W209&gt;$AC$34,1,0)</f>
        <v/>
      </c>
      <c r="Z209">
        <f>IF(Y209=C209,1,0)</f>
        <v/>
      </c>
    </row>
    <row r="210">
      <c r="A210">
        <f>'1 prepared data'!A203</f>
        <v/>
      </c>
      <c r="B210" s="5">
        <f>'1 prepared data'!U203</f>
        <v/>
      </c>
      <c r="C210">
        <f>'1 prepared data'!B203</f>
        <v/>
      </c>
      <c r="D210" s="7">
        <f>'1 prepared data'!C203</f>
        <v/>
      </c>
      <c r="E210" s="7">
        <f>'1 prepared data'!D203</f>
        <v/>
      </c>
      <c r="F210" s="7">
        <f>'1 prepared data'!E203</f>
        <v/>
      </c>
      <c r="G210" s="7">
        <f>'1 prepared data'!F203</f>
        <v/>
      </c>
      <c r="H210" s="7">
        <f>'1 prepared data'!G203</f>
        <v/>
      </c>
      <c r="I210" s="7">
        <f>'1 prepared data'!H203</f>
        <v/>
      </c>
      <c r="J210" s="7">
        <f>'1 prepared data'!I203</f>
        <v/>
      </c>
      <c r="K210" s="7">
        <f>'1 prepared data'!J203</f>
        <v/>
      </c>
      <c r="L210" s="7">
        <f>'1 prepared data'!K203</f>
        <v/>
      </c>
      <c r="M210" s="7">
        <f>'1 prepared data'!L203</f>
        <v/>
      </c>
      <c r="N210" s="7">
        <f>'1 prepared data'!M203</f>
        <v/>
      </c>
      <c r="O210" s="7">
        <f>'1 prepared data'!N203</f>
        <v/>
      </c>
      <c r="P210" s="7">
        <f>'1 prepared data'!O203</f>
        <v/>
      </c>
      <c r="Q210" s="7">
        <f>'1 prepared data'!P203</f>
        <v/>
      </c>
      <c r="R210" s="7">
        <f>'1 prepared data'!Q203</f>
        <v/>
      </c>
      <c r="S210" s="7">
        <f>'1 prepared data'!R203</f>
        <v/>
      </c>
      <c r="T210" s="7">
        <f>'1 prepared data'!S203</f>
        <v/>
      </c>
      <c r="U210" s="7">
        <f>'1 prepared data'!T203</f>
        <v/>
      </c>
      <c r="V210" s="8">
        <f>$AC$12+D210*$AC$13+E210*$AC$14+F210*$AC$15+G210*$AC$16+H210*$AC$17+I210*$AC$18+J210*$AC$19+K210*$AC$20+L210*$AC$21+M210*$AC$22+N210*$AC$23+O210*$AC$24+P210*$AC$25+Q210*$AC$26+R210*$AC$27+S210*$AC$28+T210*$AC$29+U210*$AC$30</f>
        <v/>
      </c>
      <c r="W210" s="8">
        <f>1/(1+EXP(-V210))</f>
        <v/>
      </c>
      <c r="X210" s="9">
        <f>-IF(C210=1,LN(W210),LN(1-W210))</f>
        <v/>
      </c>
      <c r="Y210" s="10">
        <f>IF(W210&gt;$AC$34,1,0)</f>
        <v/>
      </c>
      <c r="Z210">
        <f>IF(Y210=C210,1,0)</f>
        <v/>
      </c>
    </row>
    <row r="211">
      <c r="A211">
        <f>'1 prepared data'!A204</f>
        <v/>
      </c>
      <c r="B211" s="5">
        <f>'1 prepared data'!U204</f>
        <v/>
      </c>
      <c r="C211">
        <f>'1 prepared data'!B204</f>
        <v/>
      </c>
      <c r="D211" s="7">
        <f>'1 prepared data'!C204</f>
        <v/>
      </c>
      <c r="E211" s="7">
        <f>'1 prepared data'!D204</f>
        <v/>
      </c>
      <c r="F211" s="7">
        <f>'1 prepared data'!E204</f>
        <v/>
      </c>
      <c r="G211" s="7">
        <f>'1 prepared data'!F204</f>
        <v/>
      </c>
      <c r="H211" s="7">
        <f>'1 prepared data'!G204</f>
        <v/>
      </c>
      <c r="I211" s="7">
        <f>'1 prepared data'!H204</f>
        <v/>
      </c>
      <c r="J211" s="7">
        <f>'1 prepared data'!I204</f>
        <v/>
      </c>
      <c r="K211" s="7">
        <f>'1 prepared data'!J204</f>
        <v/>
      </c>
      <c r="L211" s="7">
        <f>'1 prepared data'!K204</f>
        <v/>
      </c>
      <c r="M211" s="7">
        <f>'1 prepared data'!L204</f>
        <v/>
      </c>
      <c r="N211" s="7">
        <f>'1 prepared data'!M204</f>
        <v/>
      </c>
      <c r="O211" s="7">
        <f>'1 prepared data'!N204</f>
        <v/>
      </c>
      <c r="P211" s="7">
        <f>'1 prepared data'!O204</f>
        <v/>
      </c>
      <c r="Q211" s="7">
        <f>'1 prepared data'!P204</f>
        <v/>
      </c>
      <c r="R211" s="7">
        <f>'1 prepared data'!Q204</f>
        <v/>
      </c>
      <c r="S211" s="7">
        <f>'1 prepared data'!R204</f>
        <v/>
      </c>
      <c r="T211" s="7">
        <f>'1 prepared data'!S204</f>
        <v/>
      </c>
      <c r="U211" s="7">
        <f>'1 prepared data'!T204</f>
        <v/>
      </c>
      <c r="V211" s="8">
        <f>$AC$12+D211*$AC$13+E211*$AC$14+F211*$AC$15+G211*$AC$16+H211*$AC$17+I211*$AC$18+J211*$AC$19+K211*$AC$20+L211*$AC$21+M211*$AC$22+N211*$AC$23+O211*$AC$24+P211*$AC$25+Q211*$AC$26+R211*$AC$27+S211*$AC$28+T211*$AC$29+U211*$AC$30</f>
        <v/>
      </c>
      <c r="W211" s="8">
        <f>1/(1+EXP(-V211))</f>
        <v/>
      </c>
      <c r="X211" s="9">
        <f>-IF(C211=1,LN(W211),LN(1-W211))</f>
        <v/>
      </c>
      <c r="Y211" s="10">
        <f>IF(W211&gt;$AC$34,1,0)</f>
        <v/>
      </c>
      <c r="Z211">
        <f>IF(Y211=C211,1,0)</f>
        <v/>
      </c>
    </row>
    <row r="212">
      <c r="A212">
        <f>'1 prepared data'!A205</f>
        <v/>
      </c>
      <c r="B212" s="5">
        <f>'1 prepared data'!U205</f>
        <v/>
      </c>
      <c r="C212">
        <f>'1 prepared data'!B205</f>
        <v/>
      </c>
      <c r="D212" s="7">
        <f>'1 prepared data'!C205</f>
        <v/>
      </c>
      <c r="E212" s="7">
        <f>'1 prepared data'!D205</f>
        <v/>
      </c>
      <c r="F212" s="7">
        <f>'1 prepared data'!E205</f>
        <v/>
      </c>
      <c r="G212" s="7">
        <f>'1 prepared data'!F205</f>
        <v/>
      </c>
      <c r="H212" s="7">
        <f>'1 prepared data'!G205</f>
        <v/>
      </c>
      <c r="I212" s="7">
        <f>'1 prepared data'!H205</f>
        <v/>
      </c>
      <c r="J212" s="7">
        <f>'1 prepared data'!I205</f>
        <v/>
      </c>
      <c r="K212" s="7">
        <f>'1 prepared data'!J205</f>
        <v/>
      </c>
      <c r="L212" s="7">
        <f>'1 prepared data'!K205</f>
        <v/>
      </c>
      <c r="M212" s="7">
        <f>'1 prepared data'!L205</f>
        <v/>
      </c>
      <c r="N212" s="7">
        <f>'1 prepared data'!M205</f>
        <v/>
      </c>
      <c r="O212" s="7">
        <f>'1 prepared data'!N205</f>
        <v/>
      </c>
      <c r="P212" s="7">
        <f>'1 prepared data'!O205</f>
        <v/>
      </c>
      <c r="Q212" s="7">
        <f>'1 prepared data'!P205</f>
        <v/>
      </c>
      <c r="R212" s="7">
        <f>'1 prepared data'!Q205</f>
        <v/>
      </c>
      <c r="S212" s="7">
        <f>'1 prepared data'!R205</f>
        <v/>
      </c>
      <c r="T212" s="7">
        <f>'1 prepared data'!S205</f>
        <v/>
      </c>
      <c r="U212" s="7">
        <f>'1 prepared data'!T205</f>
        <v/>
      </c>
      <c r="V212" s="8">
        <f>$AC$12+D212*$AC$13+E212*$AC$14+F212*$AC$15+G212*$AC$16+H212*$AC$17+I212*$AC$18+J212*$AC$19+K212*$AC$20+L212*$AC$21+M212*$AC$22+N212*$AC$23+O212*$AC$24+P212*$AC$25+Q212*$AC$26+R212*$AC$27+S212*$AC$28+T212*$AC$29+U212*$AC$30</f>
        <v/>
      </c>
      <c r="W212" s="8">
        <f>1/(1+EXP(-V212))</f>
        <v/>
      </c>
      <c r="X212" s="9">
        <f>-IF(C212=1,LN(W212),LN(1-W212))</f>
        <v/>
      </c>
      <c r="Y212" s="10">
        <f>IF(W212&gt;$AC$34,1,0)</f>
        <v/>
      </c>
      <c r="Z212">
        <f>IF(Y212=C212,1,0)</f>
        <v/>
      </c>
    </row>
    <row r="213">
      <c r="A213">
        <f>'1 prepared data'!A206</f>
        <v/>
      </c>
      <c r="B213" s="5">
        <f>'1 prepared data'!U206</f>
        <v/>
      </c>
      <c r="C213">
        <f>'1 prepared data'!B206</f>
        <v/>
      </c>
      <c r="D213" s="7">
        <f>'1 prepared data'!C206</f>
        <v/>
      </c>
      <c r="E213" s="7">
        <f>'1 prepared data'!D206</f>
        <v/>
      </c>
      <c r="F213" s="7">
        <f>'1 prepared data'!E206</f>
        <v/>
      </c>
      <c r="G213" s="7">
        <f>'1 prepared data'!F206</f>
        <v/>
      </c>
      <c r="H213" s="7">
        <f>'1 prepared data'!G206</f>
        <v/>
      </c>
      <c r="I213" s="7">
        <f>'1 prepared data'!H206</f>
        <v/>
      </c>
      <c r="J213" s="7">
        <f>'1 prepared data'!I206</f>
        <v/>
      </c>
      <c r="K213" s="7">
        <f>'1 prepared data'!J206</f>
        <v/>
      </c>
      <c r="L213" s="7">
        <f>'1 prepared data'!K206</f>
        <v/>
      </c>
      <c r="M213" s="7">
        <f>'1 prepared data'!L206</f>
        <v/>
      </c>
      <c r="N213" s="7">
        <f>'1 prepared data'!M206</f>
        <v/>
      </c>
      <c r="O213" s="7">
        <f>'1 prepared data'!N206</f>
        <v/>
      </c>
      <c r="P213" s="7">
        <f>'1 prepared data'!O206</f>
        <v/>
      </c>
      <c r="Q213" s="7">
        <f>'1 prepared data'!P206</f>
        <v/>
      </c>
      <c r="R213" s="7">
        <f>'1 prepared data'!Q206</f>
        <v/>
      </c>
      <c r="S213" s="7">
        <f>'1 prepared data'!R206</f>
        <v/>
      </c>
      <c r="T213" s="7">
        <f>'1 prepared data'!S206</f>
        <v/>
      </c>
      <c r="U213" s="7">
        <f>'1 prepared data'!T206</f>
        <v/>
      </c>
      <c r="V213" s="8">
        <f>$AC$12+D213*$AC$13+E213*$AC$14+F213*$AC$15+G213*$AC$16+H213*$AC$17+I213*$AC$18+J213*$AC$19+K213*$AC$20+L213*$AC$21+M213*$AC$22+N213*$AC$23+O213*$AC$24+P213*$AC$25+Q213*$AC$26+R213*$AC$27+S213*$AC$28+T213*$AC$29+U213*$AC$30</f>
        <v/>
      </c>
      <c r="W213" s="8">
        <f>1/(1+EXP(-V213))</f>
        <v/>
      </c>
      <c r="X213" s="9">
        <f>-IF(C213=1,LN(W213),LN(1-W213))</f>
        <v/>
      </c>
      <c r="Y213" s="10">
        <f>IF(W213&gt;$AC$34,1,0)</f>
        <v/>
      </c>
      <c r="Z213">
        <f>IF(Y213=C213,1,0)</f>
        <v/>
      </c>
    </row>
    <row r="214">
      <c r="A214">
        <f>'1 prepared data'!A207</f>
        <v/>
      </c>
      <c r="B214" s="5">
        <f>'1 prepared data'!U207</f>
        <v/>
      </c>
      <c r="C214">
        <f>'1 prepared data'!B207</f>
        <v/>
      </c>
      <c r="D214" s="7">
        <f>'1 prepared data'!C207</f>
        <v/>
      </c>
      <c r="E214" s="7">
        <f>'1 prepared data'!D207</f>
        <v/>
      </c>
      <c r="F214" s="7">
        <f>'1 prepared data'!E207</f>
        <v/>
      </c>
      <c r="G214" s="7">
        <f>'1 prepared data'!F207</f>
        <v/>
      </c>
      <c r="H214" s="7">
        <f>'1 prepared data'!G207</f>
        <v/>
      </c>
      <c r="I214" s="7">
        <f>'1 prepared data'!H207</f>
        <v/>
      </c>
      <c r="J214" s="7">
        <f>'1 prepared data'!I207</f>
        <v/>
      </c>
      <c r="K214" s="7">
        <f>'1 prepared data'!J207</f>
        <v/>
      </c>
      <c r="L214" s="7">
        <f>'1 prepared data'!K207</f>
        <v/>
      </c>
      <c r="M214" s="7">
        <f>'1 prepared data'!L207</f>
        <v/>
      </c>
      <c r="N214" s="7">
        <f>'1 prepared data'!M207</f>
        <v/>
      </c>
      <c r="O214" s="7">
        <f>'1 prepared data'!N207</f>
        <v/>
      </c>
      <c r="P214" s="7">
        <f>'1 prepared data'!O207</f>
        <v/>
      </c>
      <c r="Q214" s="7">
        <f>'1 prepared data'!P207</f>
        <v/>
      </c>
      <c r="R214" s="7">
        <f>'1 prepared data'!Q207</f>
        <v/>
      </c>
      <c r="S214" s="7">
        <f>'1 prepared data'!R207</f>
        <v/>
      </c>
      <c r="T214" s="7">
        <f>'1 prepared data'!S207</f>
        <v/>
      </c>
      <c r="U214" s="7">
        <f>'1 prepared data'!T207</f>
        <v/>
      </c>
      <c r="V214" s="8">
        <f>$AC$12+D214*$AC$13+E214*$AC$14+F214*$AC$15+G214*$AC$16+H214*$AC$17+I214*$AC$18+J214*$AC$19+K214*$AC$20+L214*$AC$21+M214*$AC$22+N214*$AC$23+O214*$AC$24+P214*$AC$25+Q214*$AC$26+R214*$AC$27+S214*$AC$28+T214*$AC$29+U214*$AC$30</f>
        <v/>
      </c>
      <c r="W214" s="8">
        <f>1/(1+EXP(-V214))</f>
        <v/>
      </c>
      <c r="X214" s="9">
        <f>-IF(C214=1,LN(W214),LN(1-W214))</f>
        <v/>
      </c>
      <c r="Y214" s="10">
        <f>IF(W214&gt;$AC$34,1,0)</f>
        <v/>
      </c>
      <c r="Z214">
        <f>IF(Y214=C214,1,0)</f>
        <v/>
      </c>
    </row>
    <row r="215">
      <c r="A215">
        <f>'1 prepared data'!A208</f>
        <v/>
      </c>
      <c r="B215" s="5">
        <f>'1 prepared data'!U208</f>
        <v/>
      </c>
      <c r="C215">
        <f>'1 prepared data'!B208</f>
        <v/>
      </c>
      <c r="D215" s="7">
        <f>'1 prepared data'!C208</f>
        <v/>
      </c>
      <c r="E215" s="7">
        <f>'1 prepared data'!D208</f>
        <v/>
      </c>
      <c r="F215" s="7">
        <f>'1 prepared data'!E208</f>
        <v/>
      </c>
      <c r="G215" s="7">
        <f>'1 prepared data'!F208</f>
        <v/>
      </c>
      <c r="H215" s="7">
        <f>'1 prepared data'!G208</f>
        <v/>
      </c>
      <c r="I215" s="7">
        <f>'1 prepared data'!H208</f>
        <v/>
      </c>
      <c r="J215" s="7">
        <f>'1 prepared data'!I208</f>
        <v/>
      </c>
      <c r="K215" s="7">
        <f>'1 prepared data'!J208</f>
        <v/>
      </c>
      <c r="L215" s="7">
        <f>'1 prepared data'!K208</f>
        <v/>
      </c>
      <c r="M215" s="7">
        <f>'1 prepared data'!L208</f>
        <v/>
      </c>
      <c r="N215" s="7">
        <f>'1 prepared data'!M208</f>
        <v/>
      </c>
      <c r="O215" s="7">
        <f>'1 prepared data'!N208</f>
        <v/>
      </c>
      <c r="P215" s="7">
        <f>'1 prepared data'!O208</f>
        <v/>
      </c>
      <c r="Q215" s="7">
        <f>'1 prepared data'!P208</f>
        <v/>
      </c>
      <c r="R215" s="7">
        <f>'1 prepared data'!Q208</f>
        <v/>
      </c>
      <c r="S215" s="7">
        <f>'1 prepared data'!R208</f>
        <v/>
      </c>
      <c r="T215" s="7">
        <f>'1 prepared data'!S208</f>
        <v/>
      </c>
      <c r="U215" s="7">
        <f>'1 prepared data'!T208</f>
        <v/>
      </c>
      <c r="V215" s="8">
        <f>$AC$12+D215*$AC$13+E215*$AC$14+F215*$AC$15+G215*$AC$16+H215*$AC$17+I215*$AC$18+J215*$AC$19+K215*$AC$20+L215*$AC$21+M215*$AC$22+N215*$AC$23+O215*$AC$24+P215*$AC$25+Q215*$AC$26+R215*$AC$27+S215*$AC$28+T215*$AC$29+U215*$AC$30</f>
        <v/>
      </c>
      <c r="W215" s="8">
        <f>1/(1+EXP(-V215))</f>
        <v/>
      </c>
      <c r="X215" s="9">
        <f>-IF(C215=1,LN(W215),LN(1-W215))</f>
        <v/>
      </c>
      <c r="Y215" s="10">
        <f>IF(W215&gt;$AC$34,1,0)</f>
        <v/>
      </c>
      <c r="Z215">
        <f>IF(Y215=C215,1,0)</f>
        <v/>
      </c>
    </row>
    <row r="216">
      <c r="A216">
        <f>'1 prepared data'!A209</f>
        <v/>
      </c>
      <c r="B216" s="5">
        <f>'1 prepared data'!U209</f>
        <v/>
      </c>
      <c r="C216">
        <f>'1 prepared data'!B209</f>
        <v/>
      </c>
      <c r="D216" s="7">
        <f>'1 prepared data'!C209</f>
        <v/>
      </c>
      <c r="E216" s="7">
        <f>'1 prepared data'!D209</f>
        <v/>
      </c>
      <c r="F216" s="7">
        <f>'1 prepared data'!E209</f>
        <v/>
      </c>
      <c r="G216" s="7">
        <f>'1 prepared data'!F209</f>
        <v/>
      </c>
      <c r="H216" s="7">
        <f>'1 prepared data'!G209</f>
        <v/>
      </c>
      <c r="I216" s="7">
        <f>'1 prepared data'!H209</f>
        <v/>
      </c>
      <c r="J216" s="7">
        <f>'1 prepared data'!I209</f>
        <v/>
      </c>
      <c r="K216" s="7">
        <f>'1 prepared data'!J209</f>
        <v/>
      </c>
      <c r="L216" s="7">
        <f>'1 prepared data'!K209</f>
        <v/>
      </c>
      <c r="M216" s="7">
        <f>'1 prepared data'!L209</f>
        <v/>
      </c>
      <c r="N216" s="7">
        <f>'1 prepared data'!M209</f>
        <v/>
      </c>
      <c r="O216" s="7">
        <f>'1 prepared data'!N209</f>
        <v/>
      </c>
      <c r="P216" s="7">
        <f>'1 prepared data'!O209</f>
        <v/>
      </c>
      <c r="Q216" s="7">
        <f>'1 prepared data'!P209</f>
        <v/>
      </c>
      <c r="R216" s="7">
        <f>'1 prepared data'!Q209</f>
        <v/>
      </c>
      <c r="S216" s="7">
        <f>'1 prepared data'!R209</f>
        <v/>
      </c>
      <c r="T216" s="7">
        <f>'1 prepared data'!S209</f>
        <v/>
      </c>
      <c r="U216" s="7">
        <f>'1 prepared data'!T209</f>
        <v/>
      </c>
      <c r="V216" s="8">
        <f>$AC$12+D216*$AC$13+E216*$AC$14+F216*$AC$15+G216*$AC$16+H216*$AC$17+I216*$AC$18+J216*$AC$19+K216*$AC$20+L216*$AC$21+M216*$AC$22+N216*$AC$23+O216*$AC$24+P216*$AC$25+Q216*$AC$26+R216*$AC$27+S216*$AC$28+T216*$AC$29+U216*$AC$30</f>
        <v/>
      </c>
      <c r="W216" s="8">
        <f>1/(1+EXP(-V216))</f>
        <v/>
      </c>
      <c r="X216" s="9">
        <f>-IF(C216=1,LN(W216),LN(1-W216))</f>
        <v/>
      </c>
      <c r="Y216" s="10">
        <f>IF(W216&gt;$AC$34,1,0)</f>
        <v/>
      </c>
      <c r="Z216">
        <f>IF(Y216=C216,1,0)</f>
        <v/>
      </c>
    </row>
    <row r="217">
      <c r="A217">
        <f>'1 prepared data'!A210</f>
        <v/>
      </c>
      <c r="B217" s="5">
        <f>'1 prepared data'!U210</f>
        <v/>
      </c>
      <c r="C217">
        <f>'1 prepared data'!B210</f>
        <v/>
      </c>
      <c r="D217" s="7">
        <f>'1 prepared data'!C210</f>
        <v/>
      </c>
      <c r="E217" s="7">
        <f>'1 prepared data'!D210</f>
        <v/>
      </c>
      <c r="F217" s="7">
        <f>'1 prepared data'!E210</f>
        <v/>
      </c>
      <c r="G217" s="7">
        <f>'1 prepared data'!F210</f>
        <v/>
      </c>
      <c r="H217" s="7">
        <f>'1 prepared data'!G210</f>
        <v/>
      </c>
      <c r="I217" s="7">
        <f>'1 prepared data'!H210</f>
        <v/>
      </c>
      <c r="J217" s="7">
        <f>'1 prepared data'!I210</f>
        <v/>
      </c>
      <c r="K217" s="7">
        <f>'1 prepared data'!J210</f>
        <v/>
      </c>
      <c r="L217" s="7">
        <f>'1 prepared data'!K210</f>
        <v/>
      </c>
      <c r="M217" s="7">
        <f>'1 prepared data'!L210</f>
        <v/>
      </c>
      <c r="N217" s="7">
        <f>'1 prepared data'!M210</f>
        <v/>
      </c>
      <c r="O217" s="7">
        <f>'1 prepared data'!N210</f>
        <v/>
      </c>
      <c r="P217" s="7">
        <f>'1 prepared data'!O210</f>
        <v/>
      </c>
      <c r="Q217" s="7">
        <f>'1 prepared data'!P210</f>
        <v/>
      </c>
      <c r="R217" s="7">
        <f>'1 prepared data'!Q210</f>
        <v/>
      </c>
      <c r="S217" s="7">
        <f>'1 prepared data'!R210</f>
        <v/>
      </c>
      <c r="T217" s="7">
        <f>'1 prepared data'!S210</f>
        <v/>
      </c>
      <c r="U217" s="7">
        <f>'1 prepared data'!T210</f>
        <v/>
      </c>
      <c r="V217" s="8">
        <f>$AC$12+D217*$AC$13+E217*$AC$14+F217*$AC$15+G217*$AC$16+H217*$AC$17+I217*$AC$18+J217*$AC$19+K217*$AC$20+L217*$AC$21+M217*$AC$22+N217*$AC$23+O217*$AC$24+P217*$AC$25+Q217*$AC$26+R217*$AC$27+S217*$AC$28+T217*$AC$29+U217*$AC$30</f>
        <v/>
      </c>
      <c r="W217" s="8">
        <f>1/(1+EXP(-V217))</f>
        <v/>
      </c>
      <c r="X217" s="9">
        <f>-IF(C217=1,LN(W217),LN(1-W217))</f>
        <v/>
      </c>
      <c r="Y217" s="10">
        <f>IF(W217&gt;$AC$34,1,0)</f>
        <v/>
      </c>
      <c r="Z217">
        <f>IF(Y217=C217,1,0)</f>
        <v/>
      </c>
    </row>
    <row r="218">
      <c r="A218">
        <f>'1 prepared data'!A211</f>
        <v/>
      </c>
      <c r="B218" s="5">
        <f>'1 prepared data'!U211</f>
        <v/>
      </c>
      <c r="C218">
        <f>'1 prepared data'!B211</f>
        <v/>
      </c>
      <c r="D218" s="7">
        <f>'1 prepared data'!C211</f>
        <v/>
      </c>
      <c r="E218" s="7">
        <f>'1 prepared data'!D211</f>
        <v/>
      </c>
      <c r="F218" s="7">
        <f>'1 prepared data'!E211</f>
        <v/>
      </c>
      <c r="G218" s="7">
        <f>'1 prepared data'!F211</f>
        <v/>
      </c>
      <c r="H218" s="7">
        <f>'1 prepared data'!G211</f>
        <v/>
      </c>
      <c r="I218" s="7">
        <f>'1 prepared data'!H211</f>
        <v/>
      </c>
      <c r="J218" s="7">
        <f>'1 prepared data'!I211</f>
        <v/>
      </c>
      <c r="K218" s="7">
        <f>'1 prepared data'!J211</f>
        <v/>
      </c>
      <c r="L218" s="7">
        <f>'1 prepared data'!K211</f>
        <v/>
      </c>
      <c r="M218" s="7">
        <f>'1 prepared data'!L211</f>
        <v/>
      </c>
      <c r="N218" s="7">
        <f>'1 prepared data'!M211</f>
        <v/>
      </c>
      <c r="O218" s="7">
        <f>'1 prepared data'!N211</f>
        <v/>
      </c>
      <c r="P218" s="7">
        <f>'1 prepared data'!O211</f>
        <v/>
      </c>
      <c r="Q218" s="7">
        <f>'1 prepared data'!P211</f>
        <v/>
      </c>
      <c r="R218" s="7">
        <f>'1 prepared data'!Q211</f>
        <v/>
      </c>
      <c r="S218" s="7">
        <f>'1 prepared data'!R211</f>
        <v/>
      </c>
      <c r="T218" s="7">
        <f>'1 prepared data'!S211</f>
        <v/>
      </c>
      <c r="U218" s="7">
        <f>'1 prepared data'!T211</f>
        <v/>
      </c>
      <c r="V218" s="8">
        <f>$AC$12+D218*$AC$13+E218*$AC$14+F218*$AC$15+G218*$AC$16+H218*$AC$17+I218*$AC$18+J218*$AC$19+K218*$AC$20+L218*$AC$21+M218*$AC$22+N218*$AC$23+O218*$AC$24+P218*$AC$25+Q218*$AC$26+R218*$AC$27+S218*$AC$28+T218*$AC$29+U218*$AC$30</f>
        <v/>
      </c>
      <c r="W218" s="8">
        <f>1/(1+EXP(-V218))</f>
        <v/>
      </c>
      <c r="X218" s="9">
        <f>-IF(C218=1,LN(W218),LN(1-W218))</f>
        <v/>
      </c>
      <c r="Y218" s="10">
        <f>IF(W218&gt;$AC$34,1,0)</f>
        <v/>
      </c>
      <c r="Z218">
        <f>IF(Y218=C218,1,0)</f>
        <v/>
      </c>
    </row>
    <row r="219">
      <c r="A219">
        <f>'1 prepared data'!A212</f>
        <v/>
      </c>
      <c r="B219" s="5">
        <f>'1 prepared data'!U212</f>
        <v/>
      </c>
      <c r="C219">
        <f>'1 prepared data'!B212</f>
        <v/>
      </c>
      <c r="D219" s="7">
        <f>'1 prepared data'!C212</f>
        <v/>
      </c>
      <c r="E219" s="7">
        <f>'1 prepared data'!D212</f>
        <v/>
      </c>
      <c r="F219" s="7">
        <f>'1 prepared data'!E212</f>
        <v/>
      </c>
      <c r="G219" s="7">
        <f>'1 prepared data'!F212</f>
        <v/>
      </c>
      <c r="H219" s="7">
        <f>'1 prepared data'!G212</f>
        <v/>
      </c>
      <c r="I219" s="7">
        <f>'1 prepared data'!H212</f>
        <v/>
      </c>
      <c r="J219" s="7">
        <f>'1 prepared data'!I212</f>
        <v/>
      </c>
      <c r="K219" s="7">
        <f>'1 prepared data'!J212</f>
        <v/>
      </c>
      <c r="L219" s="7">
        <f>'1 prepared data'!K212</f>
        <v/>
      </c>
      <c r="M219" s="7">
        <f>'1 prepared data'!L212</f>
        <v/>
      </c>
      <c r="N219" s="7">
        <f>'1 prepared data'!M212</f>
        <v/>
      </c>
      <c r="O219" s="7">
        <f>'1 prepared data'!N212</f>
        <v/>
      </c>
      <c r="P219" s="7">
        <f>'1 prepared data'!O212</f>
        <v/>
      </c>
      <c r="Q219" s="7">
        <f>'1 prepared data'!P212</f>
        <v/>
      </c>
      <c r="R219" s="7">
        <f>'1 prepared data'!Q212</f>
        <v/>
      </c>
      <c r="S219" s="7">
        <f>'1 prepared data'!R212</f>
        <v/>
      </c>
      <c r="T219" s="7">
        <f>'1 prepared data'!S212</f>
        <v/>
      </c>
      <c r="U219" s="7">
        <f>'1 prepared data'!T212</f>
        <v/>
      </c>
      <c r="V219" s="8">
        <f>$AC$12+D219*$AC$13+E219*$AC$14+F219*$AC$15+G219*$AC$16+H219*$AC$17+I219*$AC$18+J219*$AC$19+K219*$AC$20+L219*$AC$21+M219*$AC$22+N219*$AC$23+O219*$AC$24+P219*$AC$25+Q219*$AC$26+R219*$AC$27+S219*$AC$28+T219*$AC$29+U219*$AC$30</f>
        <v/>
      </c>
      <c r="W219" s="8">
        <f>1/(1+EXP(-V219))</f>
        <v/>
      </c>
      <c r="X219" s="9">
        <f>-IF(C219=1,LN(W219),LN(1-W219))</f>
        <v/>
      </c>
      <c r="Y219" s="10">
        <f>IF(W219&gt;$AC$34,1,0)</f>
        <v/>
      </c>
      <c r="Z219">
        <f>IF(Y219=C219,1,0)</f>
        <v/>
      </c>
    </row>
    <row r="220">
      <c r="A220">
        <f>'1 prepared data'!A213</f>
        <v/>
      </c>
      <c r="B220" s="5">
        <f>'1 prepared data'!U213</f>
        <v/>
      </c>
      <c r="C220">
        <f>'1 prepared data'!B213</f>
        <v/>
      </c>
      <c r="D220" s="7">
        <f>'1 prepared data'!C213</f>
        <v/>
      </c>
      <c r="E220" s="7">
        <f>'1 prepared data'!D213</f>
        <v/>
      </c>
      <c r="F220" s="7">
        <f>'1 prepared data'!E213</f>
        <v/>
      </c>
      <c r="G220" s="7">
        <f>'1 prepared data'!F213</f>
        <v/>
      </c>
      <c r="H220" s="7">
        <f>'1 prepared data'!G213</f>
        <v/>
      </c>
      <c r="I220" s="7">
        <f>'1 prepared data'!H213</f>
        <v/>
      </c>
      <c r="J220" s="7">
        <f>'1 prepared data'!I213</f>
        <v/>
      </c>
      <c r="K220" s="7">
        <f>'1 prepared data'!J213</f>
        <v/>
      </c>
      <c r="L220" s="7">
        <f>'1 prepared data'!K213</f>
        <v/>
      </c>
      <c r="M220" s="7">
        <f>'1 prepared data'!L213</f>
        <v/>
      </c>
      <c r="N220" s="7">
        <f>'1 prepared data'!M213</f>
        <v/>
      </c>
      <c r="O220" s="7">
        <f>'1 prepared data'!N213</f>
        <v/>
      </c>
      <c r="P220" s="7">
        <f>'1 prepared data'!O213</f>
        <v/>
      </c>
      <c r="Q220" s="7">
        <f>'1 prepared data'!P213</f>
        <v/>
      </c>
      <c r="R220" s="7">
        <f>'1 prepared data'!Q213</f>
        <v/>
      </c>
      <c r="S220" s="7">
        <f>'1 prepared data'!R213</f>
        <v/>
      </c>
      <c r="T220" s="7">
        <f>'1 prepared data'!S213</f>
        <v/>
      </c>
      <c r="U220" s="7">
        <f>'1 prepared data'!T213</f>
        <v/>
      </c>
      <c r="V220" s="8">
        <f>$AC$12+D220*$AC$13+E220*$AC$14+F220*$AC$15+G220*$AC$16+H220*$AC$17+I220*$AC$18+J220*$AC$19+K220*$AC$20+L220*$AC$21+M220*$AC$22+N220*$AC$23+O220*$AC$24+P220*$AC$25+Q220*$AC$26+R220*$AC$27+S220*$AC$28+T220*$AC$29+U220*$AC$30</f>
        <v/>
      </c>
      <c r="W220" s="8">
        <f>1/(1+EXP(-V220))</f>
        <v/>
      </c>
      <c r="X220" s="9">
        <f>-IF(C220=1,LN(W220),LN(1-W220))</f>
        <v/>
      </c>
      <c r="Y220" s="10">
        <f>IF(W220&gt;$AC$34,1,0)</f>
        <v/>
      </c>
      <c r="Z220">
        <f>IF(Y220=C220,1,0)</f>
        <v/>
      </c>
    </row>
    <row r="221">
      <c r="A221">
        <f>'1 prepared data'!A214</f>
        <v/>
      </c>
      <c r="B221" s="5">
        <f>'1 prepared data'!U214</f>
        <v/>
      </c>
      <c r="C221">
        <f>'1 prepared data'!B214</f>
        <v/>
      </c>
      <c r="D221" s="7">
        <f>'1 prepared data'!C214</f>
        <v/>
      </c>
      <c r="E221" s="7">
        <f>'1 prepared data'!D214</f>
        <v/>
      </c>
      <c r="F221" s="7">
        <f>'1 prepared data'!E214</f>
        <v/>
      </c>
      <c r="G221" s="7">
        <f>'1 prepared data'!F214</f>
        <v/>
      </c>
      <c r="H221" s="7">
        <f>'1 prepared data'!G214</f>
        <v/>
      </c>
      <c r="I221" s="7">
        <f>'1 prepared data'!H214</f>
        <v/>
      </c>
      <c r="J221" s="7">
        <f>'1 prepared data'!I214</f>
        <v/>
      </c>
      <c r="K221" s="7">
        <f>'1 prepared data'!J214</f>
        <v/>
      </c>
      <c r="L221" s="7">
        <f>'1 prepared data'!K214</f>
        <v/>
      </c>
      <c r="M221" s="7">
        <f>'1 prepared data'!L214</f>
        <v/>
      </c>
      <c r="N221" s="7">
        <f>'1 prepared data'!M214</f>
        <v/>
      </c>
      <c r="O221" s="7">
        <f>'1 prepared data'!N214</f>
        <v/>
      </c>
      <c r="P221" s="7">
        <f>'1 prepared data'!O214</f>
        <v/>
      </c>
      <c r="Q221" s="7">
        <f>'1 prepared data'!P214</f>
        <v/>
      </c>
      <c r="R221" s="7">
        <f>'1 prepared data'!Q214</f>
        <v/>
      </c>
      <c r="S221" s="7">
        <f>'1 prepared data'!R214</f>
        <v/>
      </c>
      <c r="T221" s="7">
        <f>'1 prepared data'!S214</f>
        <v/>
      </c>
      <c r="U221" s="7">
        <f>'1 prepared data'!T214</f>
        <v/>
      </c>
      <c r="V221" s="8">
        <f>$AC$12+D221*$AC$13+E221*$AC$14+F221*$AC$15+G221*$AC$16+H221*$AC$17+I221*$AC$18+J221*$AC$19+K221*$AC$20+L221*$AC$21+M221*$AC$22+N221*$AC$23+O221*$AC$24+P221*$AC$25+Q221*$AC$26+R221*$AC$27+S221*$AC$28+T221*$AC$29+U221*$AC$30</f>
        <v/>
      </c>
      <c r="W221" s="8">
        <f>1/(1+EXP(-V221))</f>
        <v/>
      </c>
      <c r="X221" s="9">
        <f>-IF(C221=1,LN(W221),LN(1-W221))</f>
        <v/>
      </c>
      <c r="Y221" s="10">
        <f>IF(W221&gt;$AC$34,1,0)</f>
        <v/>
      </c>
      <c r="Z221">
        <f>IF(Y221=C221,1,0)</f>
        <v/>
      </c>
    </row>
    <row r="222">
      <c r="A222">
        <f>'1 prepared data'!A215</f>
        <v/>
      </c>
      <c r="B222" s="5">
        <f>'1 prepared data'!U215</f>
        <v/>
      </c>
      <c r="C222">
        <f>'1 prepared data'!B215</f>
        <v/>
      </c>
      <c r="D222" s="7">
        <f>'1 prepared data'!C215</f>
        <v/>
      </c>
      <c r="E222" s="7">
        <f>'1 prepared data'!D215</f>
        <v/>
      </c>
      <c r="F222" s="7">
        <f>'1 prepared data'!E215</f>
        <v/>
      </c>
      <c r="G222" s="7">
        <f>'1 prepared data'!F215</f>
        <v/>
      </c>
      <c r="H222" s="7">
        <f>'1 prepared data'!G215</f>
        <v/>
      </c>
      <c r="I222" s="7">
        <f>'1 prepared data'!H215</f>
        <v/>
      </c>
      <c r="J222" s="7">
        <f>'1 prepared data'!I215</f>
        <v/>
      </c>
      <c r="K222" s="7">
        <f>'1 prepared data'!J215</f>
        <v/>
      </c>
      <c r="L222" s="7">
        <f>'1 prepared data'!K215</f>
        <v/>
      </c>
      <c r="M222" s="7">
        <f>'1 prepared data'!L215</f>
        <v/>
      </c>
      <c r="N222" s="7">
        <f>'1 prepared data'!M215</f>
        <v/>
      </c>
      <c r="O222" s="7">
        <f>'1 prepared data'!N215</f>
        <v/>
      </c>
      <c r="P222" s="7">
        <f>'1 prepared data'!O215</f>
        <v/>
      </c>
      <c r="Q222" s="7">
        <f>'1 prepared data'!P215</f>
        <v/>
      </c>
      <c r="R222" s="7">
        <f>'1 prepared data'!Q215</f>
        <v/>
      </c>
      <c r="S222" s="7">
        <f>'1 prepared data'!R215</f>
        <v/>
      </c>
      <c r="T222" s="7">
        <f>'1 prepared data'!S215</f>
        <v/>
      </c>
      <c r="U222" s="7">
        <f>'1 prepared data'!T215</f>
        <v/>
      </c>
      <c r="V222" s="8">
        <f>$AC$12+D222*$AC$13+E222*$AC$14+F222*$AC$15+G222*$AC$16+H222*$AC$17+I222*$AC$18+J222*$AC$19+K222*$AC$20+L222*$AC$21+M222*$AC$22+N222*$AC$23+O222*$AC$24+P222*$AC$25+Q222*$AC$26+R222*$AC$27+S222*$AC$28+T222*$AC$29+U222*$AC$30</f>
        <v/>
      </c>
      <c r="W222" s="8">
        <f>1/(1+EXP(-V222))</f>
        <v/>
      </c>
      <c r="X222" s="9">
        <f>-IF(C222=1,LN(W222),LN(1-W222))</f>
        <v/>
      </c>
      <c r="Y222" s="10">
        <f>IF(W222&gt;$AC$34,1,0)</f>
        <v/>
      </c>
      <c r="Z222">
        <f>IF(Y222=C222,1,0)</f>
        <v/>
      </c>
    </row>
    <row r="223">
      <c r="A223">
        <f>'1 prepared data'!A216</f>
        <v/>
      </c>
      <c r="B223" s="5">
        <f>'1 prepared data'!U216</f>
        <v/>
      </c>
      <c r="C223">
        <f>'1 prepared data'!B216</f>
        <v/>
      </c>
      <c r="D223" s="7">
        <f>'1 prepared data'!C216</f>
        <v/>
      </c>
      <c r="E223" s="7">
        <f>'1 prepared data'!D216</f>
        <v/>
      </c>
      <c r="F223" s="7">
        <f>'1 prepared data'!E216</f>
        <v/>
      </c>
      <c r="G223" s="7">
        <f>'1 prepared data'!F216</f>
        <v/>
      </c>
      <c r="H223" s="7">
        <f>'1 prepared data'!G216</f>
        <v/>
      </c>
      <c r="I223" s="7">
        <f>'1 prepared data'!H216</f>
        <v/>
      </c>
      <c r="J223" s="7">
        <f>'1 prepared data'!I216</f>
        <v/>
      </c>
      <c r="K223" s="7">
        <f>'1 prepared data'!J216</f>
        <v/>
      </c>
      <c r="L223" s="7">
        <f>'1 prepared data'!K216</f>
        <v/>
      </c>
      <c r="M223" s="7">
        <f>'1 prepared data'!L216</f>
        <v/>
      </c>
      <c r="N223" s="7">
        <f>'1 prepared data'!M216</f>
        <v/>
      </c>
      <c r="O223" s="7">
        <f>'1 prepared data'!N216</f>
        <v/>
      </c>
      <c r="P223" s="7">
        <f>'1 prepared data'!O216</f>
        <v/>
      </c>
      <c r="Q223" s="7">
        <f>'1 prepared data'!P216</f>
        <v/>
      </c>
      <c r="R223" s="7">
        <f>'1 prepared data'!Q216</f>
        <v/>
      </c>
      <c r="S223" s="7">
        <f>'1 prepared data'!R216</f>
        <v/>
      </c>
      <c r="T223" s="7">
        <f>'1 prepared data'!S216</f>
        <v/>
      </c>
      <c r="U223" s="7">
        <f>'1 prepared data'!T216</f>
        <v/>
      </c>
      <c r="V223" s="8">
        <f>$AC$12+D223*$AC$13+E223*$AC$14+F223*$AC$15+G223*$AC$16+H223*$AC$17+I223*$AC$18+J223*$AC$19+K223*$AC$20+L223*$AC$21+M223*$AC$22+N223*$AC$23+O223*$AC$24+P223*$AC$25+Q223*$AC$26+R223*$AC$27+S223*$AC$28+T223*$AC$29+U223*$AC$30</f>
        <v/>
      </c>
      <c r="W223" s="8">
        <f>1/(1+EXP(-V223))</f>
        <v/>
      </c>
      <c r="X223" s="9">
        <f>-IF(C223=1,LN(W223),LN(1-W223))</f>
        <v/>
      </c>
      <c r="Y223" s="10">
        <f>IF(W223&gt;$AC$34,1,0)</f>
        <v/>
      </c>
      <c r="Z223">
        <f>IF(Y223=C223,1,0)</f>
        <v/>
      </c>
    </row>
    <row r="224">
      <c r="A224">
        <f>'1 prepared data'!A217</f>
        <v/>
      </c>
      <c r="B224" s="5">
        <f>'1 prepared data'!U217</f>
        <v/>
      </c>
      <c r="C224">
        <f>'1 prepared data'!B217</f>
        <v/>
      </c>
      <c r="D224" s="7">
        <f>'1 prepared data'!C217</f>
        <v/>
      </c>
      <c r="E224" s="7">
        <f>'1 prepared data'!D217</f>
        <v/>
      </c>
      <c r="F224" s="7">
        <f>'1 prepared data'!E217</f>
        <v/>
      </c>
      <c r="G224" s="7">
        <f>'1 prepared data'!F217</f>
        <v/>
      </c>
      <c r="H224" s="7">
        <f>'1 prepared data'!G217</f>
        <v/>
      </c>
      <c r="I224" s="7">
        <f>'1 prepared data'!H217</f>
        <v/>
      </c>
      <c r="J224" s="7">
        <f>'1 prepared data'!I217</f>
        <v/>
      </c>
      <c r="K224" s="7">
        <f>'1 prepared data'!J217</f>
        <v/>
      </c>
      <c r="L224" s="7">
        <f>'1 prepared data'!K217</f>
        <v/>
      </c>
      <c r="M224" s="7">
        <f>'1 prepared data'!L217</f>
        <v/>
      </c>
      <c r="N224" s="7">
        <f>'1 prepared data'!M217</f>
        <v/>
      </c>
      <c r="O224" s="7">
        <f>'1 prepared data'!N217</f>
        <v/>
      </c>
      <c r="P224" s="7">
        <f>'1 prepared data'!O217</f>
        <v/>
      </c>
      <c r="Q224" s="7">
        <f>'1 prepared data'!P217</f>
        <v/>
      </c>
      <c r="R224" s="7">
        <f>'1 prepared data'!Q217</f>
        <v/>
      </c>
      <c r="S224" s="7">
        <f>'1 prepared data'!R217</f>
        <v/>
      </c>
      <c r="T224" s="7">
        <f>'1 prepared data'!S217</f>
        <v/>
      </c>
      <c r="U224" s="7">
        <f>'1 prepared data'!T217</f>
        <v/>
      </c>
      <c r="V224" s="8">
        <f>$AC$12+D224*$AC$13+E224*$AC$14+F224*$AC$15+G224*$AC$16+H224*$AC$17+I224*$AC$18+J224*$AC$19+K224*$AC$20+L224*$AC$21+M224*$AC$22+N224*$AC$23+O224*$AC$24+P224*$AC$25+Q224*$AC$26+R224*$AC$27+S224*$AC$28+T224*$AC$29+U224*$AC$30</f>
        <v/>
      </c>
      <c r="W224" s="8">
        <f>1/(1+EXP(-V224))</f>
        <v/>
      </c>
      <c r="X224" s="9">
        <f>-IF(C224=1,LN(W224),LN(1-W224))</f>
        <v/>
      </c>
      <c r="Y224" s="10">
        <f>IF(W224&gt;$AC$34,1,0)</f>
        <v/>
      </c>
      <c r="Z224">
        <f>IF(Y224=C224,1,0)</f>
        <v/>
      </c>
    </row>
    <row r="225">
      <c r="A225">
        <f>'1 prepared data'!A218</f>
        <v/>
      </c>
      <c r="B225" s="5">
        <f>'1 prepared data'!U218</f>
        <v/>
      </c>
      <c r="C225">
        <f>'1 prepared data'!B218</f>
        <v/>
      </c>
      <c r="D225" s="7">
        <f>'1 prepared data'!C218</f>
        <v/>
      </c>
      <c r="E225" s="7">
        <f>'1 prepared data'!D218</f>
        <v/>
      </c>
      <c r="F225" s="7">
        <f>'1 prepared data'!E218</f>
        <v/>
      </c>
      <c r="G225" s="7">
        <f>'1 prepared data'!F218</f>
        <v/>
      </c>
      <c r="H225" s="7">
        <f>'1 prepared data'!G218</f>
        <v/>
      </c>
      <c r="I225" s="7">
        <f>'1 prepared data'!H218</f>
        <v/>
      </c>
      <c r="J225" s="7">
        <f>'1 prepared data'!I218</f>
        <v/>
      </c>
      <c r="K225" s="7">
        <f>'1 prepared data'!J218</f>
        <v/>
      </c>
      <c r="L225" s="7">
        <f>'1 prepared data'!K218</f>
        <v/>
      </c>
      <c r="M225" s="7">
        <f>'1 prepared data'!L218</f>
        <v/>
      </c>
      <c r="N225" s="7">
        <f>'1 prepared data'!M218</f>
        <v/>
      </c>
      <c r="O225" s="7">
        <f>'1 prepared data'!N218</f>
        <v/>
      </c>
      <c r="P225" s="7">
        <f>'1 prepared data'!O218</f>
        <v/>
      </c>
      <c r="Q225" s="7">
        <f>'1 prepared data'!P218</f>
        <v/>
      </c>
      <c r="R225" s="7">
        <f>'1 prepared data'!Q218</f>
        <v/>
      </c>
      <c r="S225" s="7">
        <f>'1 prepared data'!R218</f>
        <v/>
      </c>
      <c r="T225" s="7">
        <f>'1 prepared data'!S218</f>
        <v/>
      </c>
      <c r="U225" s="7">
        <f>'1 prepared data'!T218</f>
        <v/>
      </c>
      <c r="V225" s="8">
        <f>$AC$12+D225*$AC$13+E225*$AC$14+F225*$AC$15+G225*$AC$16+H225*$AC$17+I225*$AC$18+J225*$AC$19+K225*$AC$20+L225*$AC$21+M225*$AC$22+N225*$AC$23+O225*$AC$24+P225*$AC$25+Q225*$AC$26+R225*$AC$27+S225*$AC$28+T225*$AC$29+U225*$AC$30</f>
        <v/>
      </c>
      <c r="W225" s="8">
        <f>1/(1+EXP(-V225))</f>
        <v/>
      </c>
      <c r="X225" s="9">
        <f>-IF(C225=1,LN(W225),LN(1-W225))</f>
        <v/>
      </c>
      <c r="Y225" s="10">
        <f>IF(W225&gt;$AC$34,1,0)</f>
        <v/>
      </c>
      <c r="Z225">
        <f>IF(Y225=C225,1,0)</f>
        <v/>
      </c>
    </row>
    <row r="226">
      <c r="A226">
        <f>'1 prepared data'!A219</f>
        <v/>
      </c>
      <c r="B226" s="5">
        <f>'1 prepared data'!U219</f>
        <v/>
      </c>
      <c r="C226">
        <f>'1 prepared data'!B219</f>
        <v/>
      </c>
      <c r="D226" s="7">
        <f>'1 prepared data'!C219</f>
        <v/>
      </c>
      <c r="E226" s="7">
        <f>'1 prepared data'!D219</f>
        <v/>
      </c>
      <c r="F226" s="7">
        <f>'1 prepared data'!E219</f>
        <v/>
      </c>
      <c r="G226" s="7">
        <f>'1 prepared data'!F219</f>
        <v/>
      </c>
      <c r="H226" s="7">
        <f>'1 prepared data'!G219</f>
        <v/>
      </c>
      <c r="I226" s="7">
        <f>'1 prepared data'!H219</f>
        <v/>
      </c>
      <c r="J226" s="7">
        <f>'1 prepared data'!I219</f>
        <v/>
      </c>
      <c r="K226" s="7">
        <f>'1 prepared data'!J219</f>
        <v/>
      </c>
      <c r="L226" s="7">
        <f>'1 prepared data'!K219</f>
        <v/>
      </c>
      <c r="M226" s="7">
        <f>'1 prepared data'!L219</f>
        <v/>
      </c>
      <c r="N226" s="7">
        <f>'1 prepared data'!M219</f>
        <v/>
      </c>
      <c r="O226" s="7">
        <f>'1 prepared data'!N219</f>
        <v/>
      </c>
      <c r="P226" s="7">
        <f>'1 prepared data'!O219</f>
        <v/>
      </c>
      <c r="Q226" s="7">
        <f>'1 prepared data'!P219</f>
        <v/>
      </c>
      <c r="R226" s="7">
        <f>'1 prepared data'!Q219</f>
        <v/>
      </c>
      <c r="S226" s="7">
        <f>'1 prepared data'!R219</f>
        <v/>
      </c>
      <c r="T226" s="7">
        <f>'1 prepared data'!S219</f>
        <v/>
      </c>
      <c r="U226" s="7">
        <f>'1 prepared data'!T219</f>
        <v/>
      </c>
      <c r="V226" s="8">
        <f>$AC$12+D226*$AC$13+E226*$AC$14+F226*$AC$15+G226*$AC$16+H226*$AC$17+I226*$AC$18+J226*$AC$19+K226*$AC$20+L226*$AC$21+M226*$AC$22+N226*$AC$23+O226*$AC$24+P226*$AC$25+Q226*$AC$26+R226*$AC$27+S226*$AC$28+T226*$AC$29+U226*$AC$30</f>
        <v/>
      </c>
      <c r="W226" s="8">
        <f>1/(1+EXP(-V226))</f>
        <v/>
      </c>
      <c r="X226" s="9">
        <f>-IF(C226=1,LN(W226),LN(1-W226))</f>
        <v/>
      </c>
      <c r="Y226" s="10">
        <f>IF(W226&gt;$AC$34,1,0)</f>
        <v/>
      </c>
      <c r="Z226">
        <f>IF(Y226=C226,1,0)</f>
        <v/>
      </c>
    </row>
    <row r="227">
      <c r="A227">
        <f>'1 prepared data'!A220</f>
        <v/>
      </c>
      <c r="B227" s="5">
        <f>'1 prepared data'!U220</f>
        <v/>
      </c>
      <c r="C227">
        <f>'1 prepared data'!B220</f>
        <v/>
      </c>
      <c r="D227" s="7">
        <f>'1 prepared data'!C220</f>
        <v/>
      </c>
      <c r="E227" s="7">
        <f>'1 prepared data'!D220</f>
        <v/>
      </c>
      <c r="F227" s="7">
        <f>'1 prepared data'!E220</f>
        <v/>
      </c>
      <c r="G227" s="7">
        <f>'1 prepared data'!F220</f>
        <v/>
      </c>
      <c r="H227" s="7">
        <f>'1 prepared data'!G220</f>
        <v/>
      </c>
      <c r="I227" s="7">
        <f>'1 prepared data'!H220</f>
        <v/>
      </c>
      <c r="J227" s="7">
        <f>'1 prepared data'!I220</f>
        <v/>
      </c>
      <c r="K227" s="7">
        <f>'1 prepared data'!J220</f>
        <v/>
      </c>
      <c r="L227" s="7">
        <f>'1 prepared data'!K220</f>
        <v/>
      </c>
      <c r="M227" s="7">
        <f>'1 prepared data'!L220</f>
        <v/>
      </c>
      <c r="N227" s="7">
        <f>'1 prepared data'!M220</f>
        <v/>
      </c>
      <c r="O227" s="7">
        <f>'1 prepared data'!N220</f>
        <v/>
      </c>
      <c r="P227" s="7">
        <f>'1 prepared data'!O220</f>
        <v/>
      </c>
      <c r="Q227" s="7">
        <f>'1 prepared data'!P220</f>
        <v/>
      </c>
      <c r="R227" s="7">
        <f>'1 prepared data'!Q220</f>
        <v/>
      </c>
      <c r="S227" s="7">
        <f>'1 prepared data'!R220</f>
        <v/>
      </c>
      <c r="T227" s="7">
        <f>'1 prepared data'!S220</f>
        <v/>
      </c>
      <c r="U227" s="7">
        <f>'1 prepared data'!T220</f>
        <v/>
      </c>
      <c r="V227" s="8">
        <f>$AC$12+D227*$AC$13+E227*$AC$14+F227*$AC$15+G227*$AC$16+H227*$AC$17+I227*$AC$18+J227*$AC$19+K227*$AC$20+L227*$AC$21+M227*$AC$22+N227*$AC$23+O227*$AC$24+P227*$AC$25+Q227*$AC$26+R227*$AC$27+S227*$AC$28+T227*$AC$29+U227*$AC$30</f>
        <v/>
      </c>
      <c r="W227" s="8">
        <f>1/(1+EXP(-V227))</f>
        <v/>
      </c>
      <c r="X227" s="9">
        <f>-IF(C227=1,LN(W227),LN(1-W227))</f>
        <v/>
      </c>
      <c r="Y227" s="10">
        <f>IF(W227&gt;$AC$34,1,0)</f>
        <v/>
      </c>
      <c r="Z227">
        <f>IF(Y227=C227,1,0)</f>
        <v/>
      </c>
    </row>
    <row r="228">
      <c r="A228">
        <f>'1 prepared data'!A221</f>
        <v/>
      </c>
      <c r="B228" s="5">
        <f>'1 prepared data'!U221</f>
        <v/>
      </c>
      <c r="C228">
        <f>'1 prepared data'!B221</f>
        <v/>
      </c>
      <c r="D228" s="7">
        <f>'1 prepared data'!C221</f>
        <v/>
      </c>
      <c r="E228" s="7">
        <f>'1 prepared data'!D221</f>
        <v/>
      </c>
      <c r="F228" s="7">
        <f>'1 prepared data'!E221</f>
        <v/>
      </c>
      <c r="G228" s="7">
        <f>'1 prepared data'!F221</f>
        <v/>
      </c>
      <c r="H228" s="7">
        <f>'1 prepared data'!G221</f>
        <v/>
      </c>
      <c r="I228" s="7">
        <f>'1 prepared data'!H221</f>
        <v/>
      </c>
      <c r="J228" s="7">
        <f>'1 prepared data'!I221</f>
        <v/>
      </c>
      <c r="K228" s="7">
        <f>'1 prepared data'!J221</f>
        <v/>
      </c>
      <c r="L228" s="7">
        <f>'1 prepared data'!K221</f>
        <v/>
      </c>
      <c r="M228" s="7">
        <f>'1 prepared data'!L221</f>
        <v/>
      </c>
      <c r="N228" s="7">
        <f>'1 prepared data'!M221</f>
        <v/>
      </c>
      <c r="O228" s="7">
        <f>'1 prepared data'!N221</f>
        <v/>
      </c>
      <c r="P228" s="7">
        <f>'1 prepared data'!O221</f>
        <v/>
      </c>
      <c r="Q228" s="7">
        <f>'1 prepared data'!P221</f>
        <v/>
      </c>
      <c r="R228" s="7">
        <f>'1 prepared data'!Q221</f>
        <v/>
      </c>
      <c r="S228" s="7">
        <f>'1 prepared data'!R221</f>
        <v/>
      </c>
      <c r="T228" s="7">
        <f>'1 prepared data'!S221</f>
        <v/>
      </c>
      <c r="U228" s="7">
        <f>'1 prepared data'!T221</f>
        <v/>
      </c>
      <c r="V228" s="8">
        <f>$AC$12+D228*$AC$13+E228*$AC$14+F228*$AC$15+G228*$AC$16+H228*$AC$17+I228*$AC$18+J228*$AC$19+K228*$AC$20+L228*$AC$21+M228*$AC$22+N228*$AC$23+O228*$AC$24+P228*$AC$25+Q228*$AC$26+R228*$AC$27+S228*$AC$28+T228*$AC$29+U228*$AC$30</f>
        <v/>
      </c>
      <c r="W228" s="8">
        <f>1/(1+EXP(-V228))</f>
        <v/>
      </c>
      <c r="X228" s="9">
        <f>-IF(C228=1,LN(W228),LN(1-W228))</f>
        <v/>
      </c>
      <c r="Y228" s="10">
        <f>IF(W228&gt;$AC$34,1,0)</f>
        <v/>
      </c>
      <c r="Z228">
        <f>IF(Y228=C228,1,0)</f>
        <v/>
      </c>
    </row>
    <row r="229">
      <c r="A229">
        <f>'1 prepared data'!A222</f>
        <v/>
      </c>
      <c r="B229" s="5">
        <f>'1 prepared data'!U222</f>
        <v/>
      </c>
      <c r="C229">
        <f>'1 prepared data'!B222</f>
        <v/>
      </c>
      <c r="D229" s="7">
        <f>'1 prepared data'!C222</f>
        <v/>
      </c>
      <c r="E229" s="7">
        <f>'1 prepared data'!D222</f>
        <v/>
      </c>
      <c r="F229" s="7">
        <f>'1 prepared data'!E222</f>
        <v/>
      </c>
      <c r="G229" s="7">
        <f>'1 prepared data'!F222</f>
        <v/>
      </c>
      <c r="H229" s="7">
        <f>'1 prepared data'!G222</f>
        <v/>
      </c>
      <c r="I229" s="7">
        <f>'1 prepared data'!H222</f>
        <v/>
      </c>
      <c r="J229" s="7">
        <f>'1 prepared data'!I222</f>
        <v/>
      </c>
      <c r="K229" s="7">
        <f>'1 prepared data'!J222</f>
        <v/>
      </c>
      <c r="L229" s="7">
        <f>'1 prepared data'!K222</f>
        <v/>
      </c>
      <c r="M229" s="7">
        <f>'1 prepared data'!L222</f>
        <v/>
      </c>
      <c r="N229" s="7">
        <f>'1 prepared data'!M222</f>
        <v/>
      </c>
      <c r="O229" s="7">
        <f>'1 prepared data'!N222</f>
        <v/>
      </c>
      <c r="P229" s="7">
        <f>'1 prepared data'!O222</f>
        <v/>
      </c>
      <c r="Q229" s="7">
        <f>'1 prepared data'!P222</f>
        <v/>
      </c>
      <c r="R229" s="7">
        <f>'1 prepared data'!Q222</f>
        <v/>
      </c>
      <c r="S229" s="7">
        <f>'1 prepared data'!R222</f>
        <v/>
      </c>
      <c r="T229" s="7">
        <f>'1 prepared data'!S222</f>
        <v/>
      </c>
      <c r="U229" s="7">
        <f>'1 prepared data'!T222</f>
        <v/>
      </c>
      <c r="V229" s="8">
        <f>$AC$12+D229*$AC$13+E229*$AC$14+F229*$AC$15+G229*$AC$16+H229*$AC$17+I229*$AC$18+J229*$AC$19+K229*$AC$20+L229*$AC$21+M229*$AC$22+N229*$AC$23+O229*$AC$24+P229*$AC$25+Q229*$AC$26+R229*$AC$27+S229*$AC$28+T229*$AC$29+U229*$AC$30</f>
        <v/>
      </c>
      <c r="W229" s="8">
        <f>1/(1+EXP(-V229))</f>
        <v/>
      </c>
      <c r="X229" s="9">
        <f>-IF(C229=1,LN(W229),LN(1-W229))</f>
        <v/>
      </c>
      <c r="Y229" s="10">
        <f>IF(W229&gt;$AC$34,1,0)</f>
        <v/>
      </c>
      <c r="Z229">
        <f>IF(Y229=C229,1,0)</f>
        <v/>
      </c>
    </row>
    <row r="230">
      <c r="A230">
        <f>'1 prepared data'!A223</f>
        <v/>
      </c>
      <c r="B230" s="5">
        <f>'1 prepared data'!U223</f>
        <v/>
      </c>
      <c r="C230">
        <f>'1 prepared data'!B223</f>
        <v/>
      </c>
      <c r="D230" s="7">
        <f>'1 prepared data'!C223</f>
        <v/>
      </c>
      <c r="E230" s="7">
        <f>'1 prepared data'!D223</f>
        <v/>
      </c>
      <c r="F230" s="7">
        <f>'1 prepared data'!E223</f>
        <v/>
      </c>
      <c r="G230" s="7">
        <f>'1 prepared data'!F223</f>
        <v/>
      </c>
      <c r="H230" s="7">
        <f>'1 prepared data'!G223</f>
        <v/>
      </c>
      <c r="I230" s="7">
        <f>'1 prepared data'!H223</f>
        <v/>
      </c>
      <c r="J230" s="7">
        <f>'1 prepared data'!I223</f>
        <v/>
      </c>
      <c r="K230" s="7">
        <f>'1 prepared data'!J223</f>
        <v/>
      </c>
      <c r="L230" s="7">
        <f>'1 prepared data'!K223</f>
        <v/>
      </c>
      <c r="M230" s="7">
        <f>'1 prepared data'!L223</f>
        <v/>
      </c>
      <c r="N230" s="7">
        <f>'1 prepared data'!M223</f>
        <v/>
      </c>
      <c r="O230" s="7">
        <f>'1 prepared data'!N223</f>
        <v/>
      </c>
      <c r="P230" s="7">
        <f>'1 prepared data'!O223</f>
        <v/>
      </c>
      <c r="Q230" s="7">
        <f>'1 prepared data'!P223</f>
        <v/>
      </c>
      <c r="R230" s="7">
        <f>'1 prepared data'!Q223</f>
        <v/>
      </c>
      <c r="S230" s="7">
        <f>'1 prepared data'!R223</f>
        <v/>
      </c>
      <c r="T230" s="7">
        <f>'1 prepared data'!S223</f>
        <v/>
      </c>
      <c r="U230" s="7">
        <f>'1 prepared data'!T223</f>
        <v/>
      </c>
      <c r="V230" s="8">
        <f>$AC$12+D230*$AC$13+E230*$AC$14+F230*$AC$15+G230*$AC$16+H230*$AC$17+I230*$AC$18+J230*$AC$19+K230*$AC$20+L230*$AC$21+M230*$AC$22+N230*$AC$23+O230*$AC$24+P230*$AC$25+Q230*$AC$26+R230*$AC$27+S230*$AC$28+T230*$AC$29+U230*$AC$30</f>
        <v/>
      </c>
      <c r="W230" s="8">
        <f>1/(1+EXP(-V230))</f>
        <v/>
      </c>
      <c r="X230" s="9">
        <f>-IF(C230=1,LN(W230),LN(1-W230))</f>
        <v/>
      </c>
      <c r="Y230" s="10">
        <f>IF(W230&gt;$AC$34,1,0)</f>
        <v/>
      </c>
      <c r="Z230">
        <f>IF(Y230=C230,1,0)</f>
        <v/>
      </c>
    </row>
    <row r="231">
      <c r="A231">
        <f>'1 prepared data'!A224</f>
        <v/>
      </c>
      <c r="B231" s="5">
        <f>'1 prepared data'!U224</f>
        <v/>
      </c>
      <c r="C231">
        <f>'1 prepared data'!B224</f>
        <v/>
      </c>
      <c r="D231" s="7">
        <f>'1 prepared data'!C224</f>
        <v/>
      </c>
      <c r="E231" s="7">
        <f>'1 prepared data'!D224</f>
        <v/>
      </c>
      <c r="F231" s="7">
        <f>'1 prepared data'!E224</f>
        <v/>
      </c>
      <c r="G231" s="7">
        <f>'1 prepared data'!F224</f>
        <v/>
      </c>
      <c r="H231" s="7">
        <f>'1 prepared data'!G224</f>
        <v/>
      </c>
      <c r="I231" s="7">
        <f>'1 prepared data'!H224</f>
        <v/>
      </c>
      <c r="J231" s="7">
        <f>'1 prepared data'!I224</f>
        <v/>
      </c>
      <c r="K231" s="7">
        <f>'1 prepared data'!J224</f>
        <v/>
      </c>
      <c r="L231" s="7">
        <f>'1 prepared data'!K224</f>
        <v/>
      </c>
      <c r="M231" s="7">
        <f>'1 prepared data'!L224</f>
        <v/>
      </c>
      <c r="N231" s="7">
        <f>'1 prepared data'!M224</f>
        <v/>
      </c>
      <c r="O231" s="7">
        <f>'1 prepared data'!N224</f>
        <v/>
      </c>
      <c r="P231" s="7">
        <f>'1 prepared data'!O224</f>
        <v/>
      </c>
      <c r="Q231" s="7">
        <f>'1 prepared data'!P224</f>
        <v/>
      </c>
      <c r="R231" s="7">
        <f>'1 prepared data'!Q224</f>
        <v/>
      </c>
      <c r="S231" s="7">
        <f>'1 prepared data'!R224</f>
        <v/>
      </c>
      <c r="T231" s="7">
        <f>'1 prepared data'!S224</f>
        <v/>
      </c>
      <c r="U231" s="7">
        <f>'1 prepared data'!T224</f>
        <v/>
      </c>
      <c r="V231" s="8">
        <f>$AC$12+D231*$AC$13+E231*$AC$14+F231*$AC$15+G231*$AC$16+H231*$AC$17+I231*$AC$18+J231*$AC$19+K231*$AC$20+L231*$AC$21+M231*$AC$22+N231*$AC$23+O231*$AC$24+P231*$AC$25+Q231*$AC$26+R231*$AC$27+S231*$AC$28+T231*$AC$29+U231*$AC$30</f>
        <v/>
      </c>
      <c r="W231" s="8">
        <f>1/(1+EXP(-V231))</f>
        <v/>
      </c>
      <c r="X231" s="9">
        <f>-IF(C231=1,LN(W231),LN(1-W231))</f>
        <v/>
      </c>
      <c r="Y231" s="10">
        <f>IF(W231&gt;$AC$34,1,0)</f>
        <v/>
      </c>
      <c r="Z231">
        <f>IF(Y231=C231,1,0)</f>
        <v/>
      </c>
    </row>
    <row r="232">
      <c r="A232">
        <f>'1 prepared data'!A225</f>
        <v/>
      </c>
      <c r="B232" s="5">
        <f>'1 prepared data'!U225</f>
        <v/>
      </c>
      <c r="C232">
        <f>'1 prepared data'!B225</f>
        <v/>
      </c>
      <c r="D232" s="7">
        <f>'1 prepared data'!C225</f>
        <v/>
      </c>
      <c r="E232" s="7">
        <f>'1 prepared data'!D225</f>
        <v/>
      </c>
      <c r="F232" s="7">
        <f>'1 prepared data'!E225</f>
        <v/>
      </c>
      <c r="G232" s="7">
        <f>'1 prepared data'!F225</f>
        <v/>
      </c>
      <c r="H232" s="7">
        <f>'1 prepared data'!G225</f>
        <v/>
      </c>
      <c r="I232" s="7">
        <f>'1 prepared data'!H225</f>
        <v/>
      </c>
      <c r="J232" s="7">
        <f>'1 prepared data'!I225</f>
        <v/>
      </c>
      <c r="K232" s="7">
        <f>'1 prepared data'!J225</f>
        <v/>
      </c>
      <c r="L232" s="7">
        <f>'1 prepared data'!K225</f>
        <v/>
      </c>
      <c r="M232" s="7">
        <f>'1 prepared data'!L225</f>
        <v/>
      </c>
      <c r="N232" s="7">
        <f>'1 prepared data'!M225</f>
        <v/>
      </c>
      <c r="O232" s="7">
        <f>'1 prepared data'!N225</f>
        <v/>
      </c>
      <c r="P232" s="7">
        <f>'1 prepared data'!O225</f>
        <v/>
      </c>
      <c r="Q232" s="7">
        <f>'1 prepared data'!P225</f>
        <v/>
      </c>
      <c r="R232" s="7">
        <f>'1 prepared data'!Q225</f>
        <v/>
      </c>
      <c r="S232" s="7">
        <f>'1 prepared data'!R225</f>
        <v/>
      </c>
      <c r="T232" s="7">
        <f>'1 prepared data'!S225</f>
        <v/>
      </c>
      <c r="U232" s="7">
        <f>'1 prepared data'!T225</f>
        <v/>
      </c>
      <c r="V232" s="8">
        <f>$AC$12+D232*$AC$13+E232*$AC$14+F232*$AC$15+G232*$AC$16+H232*$AC$17+I232*$AC$18+J232*$AC$19+K232*$AC$20+L232*$AC$21+M232*$AC$22+N232*$AC$23+O232*$AC$24+P232*$AC$25+Q232*$AC$26+R232*$AC$27+S232*$AC$28+T232*$AC$29+U232*$AC$30</f>
        <v/>
      </c>
      <c r="W232" s="8">
        <f>1/(1+EXP(-V232))</f>
        <v/>
      </c>
      <c r="X232" s="9">
        <f>-IF(C232=1,LN(W232),LN(1-W232))</f>
        <v/>
      </c>
      <c r="Y232" s="10">
        <f>IF(W232&gt;$AC$34,1,0)</f>
        <v/>
      </c>
      <c r="Z232">
        <f>IF(Y232=C232,1,0)</f>
        <v/>
      </c>
    </row>
    <row r="233">
      <c r="A233">
        <f>'1 prepared data'!A226</f>
        <v/>
      </c>
      <c r="B233" s="5">
        <f>'1 prepared data'!U226</f>
        <v/>
      </c>
      <c r="C233">
        <f>'1 prepared data'!B226</f>
        <v/>
      </c>
      <c r="D233" s="7">
        <f>'1 prepared data'!C226</f>
        <v/>
      </c>
      <c r="E233" s="7">
        <f>'1 prepared data'!D226</f>
        <v/>
      </c>
      <c r="F233" s="7">
        <f>'1 prepared data'!E226</f>
        <v/>
      </c>
      <c r="G233" s="7">
        <f>'1 prepared data'!F226</f>
        <v/>
      </c>
      <c r="H233" s="7">
        <f>'1 prepared data'!G226</f>
        <v/>
      </c>
      <c r="I233" s="7">
        <f>'1 prepared data'!H226</f>
        <v/>
      </c>
      <c r="J233" s="7">
        <f>'1 prepared data'!I226</f>
        <v/>
      </c>
      <c r="K233" s="7">
        <f>'1 prepared data'!J226</f>
        <v/>
      </c>
      <c r="L233" s="7">
        <f>'1 prepared data'!K226</f>
        <v/>
      </c>
      <c r="M233" s="7">
        <f>'1 prepared data'!L226</f>
        <v/>
      </c>
      <c r="N233" s="7">
        <f>'1 prepared data'!M226</f>
        <v/>
      </c>
      <c r="O233" s="7">
        <f>'1 prepared data'!N226</f>
        <v/>
      </c>
      <c r="P233" s="7">
        <f>'1 prepared data'!O226</f>
        <v/>
      </c>
      <c r="Q233" s="7">
        <f>'1 prepared data'!P226</f>
        <v/>
      </c>
      <c r="R233" s="7">
        <f>'1 prepared data'!Q226</f>
        <v/>
      </c>
      <c r="S233" s="7">
        <f>'1 prepared data'!R226</f>
        <v/>
      </c>
      <c r="T233" s="7">
        <f>'1 prepared data'!S226</f>
        <v/>
      </c>
      <c r="U233" s="7">
        <f>'1 prepared data'!T226</f>
        <v/>
      </c>
      <c r="V233" s="8">
        <f>$AC$12+D233*$AC$13+E233*$AC$14+F233*$AC$15+G233*$AC$16+H233*$AC$17+I233*$AC$18+J233*$AC$19+K233*$AC$20+L233*$AC$21+M233*$AC$22+N233*$AC$23+O233*$AC$24+P233*$AC$25+Q233*$AC$26+R233*$AC$27+S233*$AC$28+T233*$AC$29+U233*$AC$30</f>
        <v/>
      </c>
      <c r="W233" s="8">
        <f>1/(1+EXP(-V233))</f>
        <v/>
      </c>
      <c r="X233" s="9">
        <f>-IF(C233=1,LN(W233),LN(1-W233))</f>
        <v/>
      </c>
      <c r="Y233" s="10">
        <f>IF(W233&gt;$AC$34,1,0)</f>
        <v/>
      </c>
      <c r="Z233">
        <f>IF(Y233=C233,1,0)</f>
        <v/>
      </c>
    </row>
    <row r="234">
      <c r="A234">
        <f>'1 prepared data'!A227</f>
        <v/>
      </c>
      <c r="B234" s="5">
        <f>'1 prepared data'!U227</f>
        <v/>
      </c>
      <c r="C234">
        <f>'1 prepared data'!B227</f>
        <v/>
      </c>
      <c r="D234" s="7">
        <f>'1 prepared data'!C227</f>
        <v/>
      </c>
      <c r="E234" s="7">
        <f>'1 prepared data'!D227</f>
        <v/>
      </c>
      <c r="F234" s="7">
        <f>'1 prepared data'!E227</f>
        <v/>
      </c>
      <c r="G234" s="7">
        <f>'1 prepared data'!F227</f>
        <v/>
      </c>
      <c r="H234" s="7">
        <f>'1 prepared data'!G227</f>
        <v/>
      </c>
      <c r="I234" s="7">
        <f>'1 prepared data'!H227</f>
        <v/>
      </c>
      <c r="J234" s="7">
        <f>'1 prepared data'!I227</f>
        <v/>
      </c>
      <c r="K234" s="7">
        <f>'1 prepared data'!J227</f>
        <v/>
      </c>
      <c r="L234" s="7">
        <f>'1 prepared data'!K227</f>
        <v/>
      </c>
      <c r="M234" s="7">
        <f>'1 prepared data'!L227</f>
        <v/>
      </c>
      <c r="N234" s="7">
        <f>'1 prepared data'!M227</f>
        <v/>
      </c>
      <c r="O234" s="7">
        <f>'1 prepared data'!N227</f>
        <v/>
      </c>
      <c r="P234" s="7">
        <f>'1 prepared data'!O227</f>
        <v/>
      </c>
      <c r="Q234" s="7">
        <f>'1 prepared data'!P227</f>
        <v/>
      </c>
      <c r="R234" s="7">
        <f>'1 prepared data'!Q227</f>
        <v/>
      </c>
      <c r="S234" s="7">
        <f>'1 prepared data'!R227</f>
        <v/>
      </c>
      <c r="T234" s="7">
        <f>'1 prepared data'!S227</f>
        <v/>
      </c>
      <c r="U234" s="7">
        <f>'1 prepared data'!T227</f>
        <v/>
      </c>
      <c r="V234" s="8">
        <f>$AC$12+D234*$AC$13+E234*$AC$14+F234*$AC$15+G234*$AC$16+H234*$AC$17+I234*$AC$18+J234*$AC$19+K234*$AC$20+L234*$AC$21+M234*$AC$22+N234*$AC$23+O234*$AC$24+P234*$AC$25+Q234*$AC$26+R234*$AC$27+S234*$AC$28+T234*$AC$29+U234*$AC$30</f>
        <v/>
      </c>
      <c r="W234" s="8">
        <f>1/(1+EXP(-V234))</f>
        <v/>
      </c>
      <c r="X234" s="9">
        <f>-IF(C234=1,LN(W234),LN(1-W234))</f>
        <v/>
      </c>
      <c r="Y234" s="10">
        <f>IF(W234&gt;$AC$34,1,0)</f>
        <v/>
      </c>
      <c r="Z234">
        <f>IF(Y234=C234,1,0)</f>
        <v/>
      </c>
    </row>
    <row r="235">
      <c r="A235">
        <f>'1 prepared data'!A228</f>
        <v/>
      </c>
      <c r="B235" s="5">
        <f>'1 prepared data'!U228</f>
        <v/>
      </c>
      <c r="C235">
        <f>'1 prepared data'!B228</f>
        <v/>
      </c>
      <c r="D235" s="7">
        <f>'1 prepared data'!C228</f>
        <v/>
      </c>
      <c r="E235" s="7">
        <f>'1 prepared data'!D228</f>
        <v/>
      </c>
      <c r="F235" s="7">
        <f>'1 prepared data'!E228</f>
        <v/>
      </c>
      <c r="G235" s="7">
        <f>'1 prepared data'!F228</f>
        <v/>
      </c>
      <c r="H235" s="7">
        <f>'1 prepared data'!G228</f>
        <v/>
      </c>
      <c r="I235" s="7">
        <f>'1 prepared data'!H228</f>
        <v/>
      </c>
      <c r="J235" s="7">
        <f>'1 prepared data'!I228</f>
        <v/>
      </c>
      <c r="K235" s="7">
        <f>'1 prepared data'!J228</f>
        <v/>
      </c>
      <c r="L235" s="7">
        <f>'1 prepared data'!K228</f>
        <v/>
      </c>
      <c r="M235" s="7">
        <f>'1 prepared data'!L228</f>
        <v/>
      </c>
      <c r="N235" s="7">
        <f>'1 prepared data'!M228</f>
        <v/>
      </c>
      <c r="O235" s="7">
        <f>'1 prepared data'!N228</f>
        <v/>
      </c>
      <c r="P235" s="7">
        <f>'1 prepared data'!O228</f>
        <v/>
      </c>
      <c r="Q235" s="7">
        <f>'1 prepared data'!P228</f>
        <v/>
      </c>
      <c r="R235" s="7">
        <f>'1 prepared data'!Q228</f>
        <v/>
      </c>
      <c r="S235" s="7">
        <f>'1 prepared data'!R228</f>
        <v/>
      </c>
      <c r="T235" s="7">
        <f>'1 prepared data'!S228</f>
        <v/>
      </c>
      <c r="U235" s="7">
        <f>'1 prepared data'!T228</f>
        <v/>
      </c>
      <c r="V235" s="8">
        <f>$AC$12+D235*$AC$13+E235*$AC$14+F235*$AC$15+G235*$AC$16+H235*$AC$17+I235*$AC$18+J235*$AC$19+K235*$AC$20+L235*$AC$21+M235*$AC$22+N235*$AC$23+O235*$AC$24+P235*$AC$25+Q235*$AC$26+R235*$AC$27+S235*$AC$28+T235*$AC$29+U235*$AC$30</f>
        <v/>
      </c>
      <c r="W235" s="8">
        <f>1/(1+EXP(-V235))</f>
        <v/>
      </c>
      <c r="X235" s="9">
        <f>-IF(C235=1,LN(W235),LN(1-W235))</f>
        <v/>
      </c>
      <c r="Y235" s="10">
        <f>IF(W235&gt;$AC$34,1,0)</f>
        <v/>
      </c>
      <c r="Z235">
        <f>IF(Y235=C235,1,0)</f>
        <v/>
      </c>
    </row>
    <row r="236">
      <c r="A236">
        <f>'1 prepared data'!A229</f>
        <v/>
      </c>
      <c r="B236" s="5">
        <f>'1 prepared data'!U229</f>
        <v/>
      </c>
      <c r="C236">
        <f>'1 prepared data'!B229</f>
        <v/>
      </c>
      <c r="D236" s="7">
        <f>'1 prepared data'!C229</f>
        <v/>
      </c>
      <c r="E236" s="7">
        <f>'1 prepared data'!D229</f>
        <v/>
      </c>
      <c r="F236" s="7">
        <f>'1 prepared data'!E229</f>
        <v/>
      </c>
      <c r="G236" s="7">
        <f>'1 prepared data'!F229</f>
        <v/>
      </c>
      <c r="H236" s="7">
        <f>'1 prepared data'!G229</f>
        <v/>
      </c>
      <c r="I236" s="7">
        <f>'1 prepared data'!H229</f>
        <v/>
      </c>
      <c r="J236" s="7">
        <f>'1 prepared data'!I229</f>
        <v/>
      </c>
      <c r="K236" s="7">
        <f>'1 prepared data'!J229</f>
        <v/>
      </c>
      <c r="L236" s="7">
        <f>'1 prepared data'!K229</f>
        <v/>
      </c>
      <c r="M236" s="7">
        <f>'1 prepared data'!L229</f>
        <v/>
      </c>
      <c r="N236" s="7">
        <f>'1 prepared data'!M229</f>
        <v/>
      </c>
      <c r="O236" s="7">
        <f>'1 prepared data'!N229</f>
        <v/>
      </c>
      <c r="P236" s="7">
        <f>'1 prepared data'!O229</f>
        <v/>
      </c>
      <c r="Q236" s="7">
        <f>'1 prepared data'!P229</f>
        <v/>
      </c>
      <c r="R236" s="7">
        <f>'1 prepared data'!Q229</f>
        <v/>
      </c>
      <c r="S236" s="7">
        <f>'1 prepared data'!R229</f>
        <v/>
      </c>
      <c r="T236" s="7">
        <f>'1 prepared data'!S229</f>
        <v/>
      </c>
      <c r="U236" s="7">
        <f>'1 prepared data'!T229</f>
        <v/>
      </c>
      <c r="V236" s="8">
        <f>$AC$12+D236*$AC$13+E236*$AC$14+F236*$AC$15+G236*$AC$16+H236*$AC$17+I236*$AC$18+J236*$AC$19+K236*$AC$20+L236*$AC$21+M236*$AC$22+N236*$AC$23+O236*$AC$24+P236*$AC$25+Q236*$AC$26+R236*$AC$27+S236*$AC$28+T236*$AC$29+U236*$AC$30</f>
        <v/>
      </c>
      <c r="W236" s="8">
        <f>1/(1+EXP(-V236))</f>
        <v/>
      </c>
      <c r="X236" s="9">
        <f>-IF(C236=1,LN(W236),LN(1-W236))</f>
        <v/>
      </c>
      <c r="Y236" s="10">
        <f>IF(W236&gt;$AC$34,1,0)</f>
        <v/>
      </c>
      <c r="Z236">
        <f>IF(Y236=C236,1,0)</f>
        <v/>
      </c>
    </row>
    <row r="237">
      <c r="A237">
        <f>'1 prepared data'!A230</f>
        <v/>
      </c>
      <c r="B237" s="5">
        <f>'1 prepared data'!U230</f>
        <v/>
      </c>
      <c r="C237">
        <f>'1 prepared data'!B230</f>
        <v/>
      </c>
      <c r="D237" s="7">
        <f>'1 prepared data'!C230</f>
        <v/>
      </c>
      <c r="E237" s="7">
        <f>'1 prepared data'!D230</f>
        <v/>
      </c>
      <c r="F237" s="7">
        <f>'1 prepared data'!E230</f>
        <v/>
      </c>
      <c r="G237" s="7">
        <f>'1 prepared data'!F230</f>
        <v/>
      </c>
      <c r="H237" s="7">
        <f>'1 prepared data'!G230</f>
        <v/>
      </c>
      <c r="I237" s="7">
        <f>'1 prepared data'!H230</f>
        <v/>
      </c>
      <c r="J237" s="7">
        <f>'1 prepared data'!I230</f>
        <v/>
      </c>
      <c r="K237" s="7">
        <f>'1 prepared data'!J230</f>
        <v/>
      </c>
      <c r="L237" s="7">
        <f>'1 prepared data'!K230</f>
        <v/>
      </c>
      <c r="M237" s="7">
        <f>'1 prepared data'!L230</f>
        <v/>
      </c>
      <c r="N237" s="7">
        <f>'1 prepared data'!M230</f>
        <v/>
      </c>
      <c r="O237" s="7">
        <f>'1 prepared data'!N230</f>
        <v/>
      </c>
      <c r="P237" s="7">
        <f>'1 prepared data'!O230</f>
        <v/>
      </c>
      <c r="Q237" s="7">
        <f>'1 prepared data'!P230</f>
        <v/>
      </c>
      <c r="R237" s="7">
        <f>'1 prepared data'!Q230</f>
        <v/>
      </c>
      <c r="S237" s="7">
        <f>'1 prepared data'!R230</f>
        <v/>
      </c>
      <c r="T237" s="7">
        <f>'1 prepared data'!S230</f>
        <v/>
      </c>
      <c r="U237" s="7">
        <f>'1 prepared data'!T230</f>
        <v/>
      </c>
      <c r="V237" s="8">
        <f>$AC$12+D237*$AC$13+E237*$AC$14+F237*$AC$15+G237*$AC$16+H237*$AC$17+I237*$AC$18+J237*$AC$19+K237*$AC$20+L237*$AC$21+M237*$AC$22+N237*$AC$23+O237*$AC$24+P237*$AC$25+Q237*$AC$26+R237*$AC$27+S237*$AC$28+T237*$AC$29+U237*$AC$30</f>
        <v/>
      </c>
      <c r="W237" s="8">
        <f>1/(1+EXP(-V237))</f>
        <v/>
      </c>
      <c r="X237" s="9">
        <f>-IF(C237=1,LN(W237),LN(1-W237))</f>
        <v/>
      </c>
      <c r="Y237" s="10">
        <f>IF(W237&gt;$AC$34,1,0)</f>
        <v/>
      </c>
      <c r="Z237">
        <f>IF(Y237=C237,1,0)</f>
        <v/>
      </c>
    </row>
    <row r="238">
      <c r="A238">
        <f>'1 prepared data'!A231</f>
        <v/>
      </c>
      <c r="B238" s="5">
        <f>'1 prepared data'!U231</f>
        <v/>
      </c>
      <c r="C238">
        <f>'1 prepared data'!B231</f>
        <v/>
      </c>
      <c r="D238" s="7">
        <f>'1 prepared data'!C231</f>
        <v/>
      </c>
      <c r="E238" s="7">
        <f>'1 prepared data'!D231</f>
        <v/>
      </c>
      <c r="F238" s="7">
        <f>'1 prepared data'!E231</f>
        <v/>
      </c>
      <c r="G238" s="7">
        <f>'1 prepared data'!F231</f>
        <v/>
      </c>
      <c r="H238" s="7">
        <f>'1 prepared data'!G231</f>
        <v/>
      </c>
      <c r="I238" s="7">
        <f>'1 prepared data'!H231</f>
        <v/>
      </c>
      <c r="J238" s="7">
        <f>'1 prepared data'!I231</f>
        <v/>
      </c>
      <c r="K238" s="7">
        <f>'1 prepared data'!J231</f>
        <v/>
      </c>
      <c r="L238" s="7">
        <f>'1 prepared data'!K231</f>
        <v/>
      </c>
      <c r="M238" s="7">
        <f>'1 prepared data'!L231</f>
        <v/>
      </c>
      <c r="N238" s="7">
        <f>'1 prepared data'!M231</f>
        <v/>
      </c>
      <c r="O238" s="7">
        <f>'1 prepared data'!N231</f>
        <v/>
      </c>
      <c r="P238" s="7">
        <f>'1 prepared data'!O231</f>
        <v/>
      </c>
      <c r="Q238" s="7">
        <f>'1 prepared data'!P231</f>
        <v/>
      </c>
      <c r="R238" s="7">
        <f>'1 prepared data'!Q231</f>
        <v/>
      </c>
      <c r="S238" s="7">
        <f>'1 prepared data'!R231</f>
        <v/>
      </c>
      <c r="T238" s="7">
        <f>'1 prepared data'!S231</f>
        <v/>
      </c>
      <c r="U238" s="7">
        <f>'1 prepared data'!T231</f>
        <v/>
      </c>
      <c r="V238" s="8">
        <f>$AC$12+D238*$AC$13+E238*$AC$14+F238*$AC$15+G238*$AC$16+H238*$AC$17+I238*$AC$18+J238*$AC$19+K238*$AC$20+L238*$AC$21+M238*$AC$22+N238*$AC$23+O238*$AC$24+P238*$AC$25+Q238*$AC$26+R238*$AC$27+S238*$AC$28+T238*$AC$29+U238*$AC$30</f>
        <v/>
      </c>
      <c r="W238" s="8">
        <f>1/(1+EXP(-V238))</f>
        <v/>
      </c>
      <c r="X238" s="9">
        <f>-IF(C238=1,LN(W238),LN(1-W238))</f>
        <v/>
      </c>
      <c r="Y238" s="10">
        <f>IF(W238&gt;$AC$34,1,0)</f>
        <v/>
      </c>
      <c r="Z238">
        <f>IF(Y238=C238,1,0)</f>
        <v/>
      </c>
    </row>
    <row r="239">
      <c r="A239">
        <f>'1 prepared data'!A232</f>
        <v/>
      </c>
      <c r="B239" s="5">
        <f>'1 prepared data'!U232</f>
        <v/>
      </c>
      <c r="C239">
        <f>'1 prepared data'!B232</f>
        <v/>
      </c>
      <c r="D239" s="7">
        <f>'1 prepared data'!C232</f>
        <v/>
      </c>
      <c r="E239" s="7">
        <f>'1 prepared data'!D232</f>
        <v/>
      </c>
      <c r="F239" s="7">
        <f>'1 prepared data'!E232</f>
        <v/>
      </c>
      <c r="G239" s="7">
        <f>'1 prepared data'!F232</f>
        <v/>
      </c>
      <c r="H239" s="7">
        <f>'1 prepared data'!G232</f>
        <v/>
      </c>
      <c r="I239" s="7">
        <f>'1 prepared data'!H232</f>
        <v/>
      </c>
      <c r="J239" s="7">
        <f>'1 prepared data'!I232</f>
        <v/>
      </c>
      <c r="K239" s="7">
        <f>'1 prepared data'!J232</f>
        <v/>
      </c>
      <c r="L239" s="7">
        <f>'1 prepared data'!K232</f>
        <v/>
      </c>
      <c r="M239" s="7">
        <f>'1 prepared data'!L232</f>
        <v/>
      </c>
      <c r="N239" s="7">
        <f>'1 prepared data'!M232</f>
        <v/>
      </c>
      <c r="O239" s="7">
        <f>'1 prepared data'!N232</f>
        <v/>
      </c>
      <c r="P239" s="7">
        <f>'1 prepared data'!O232</f>
        <v/>
      </c>
      <c r="Q239" s="7">
        <f>'1 prepared data'!P232</f>
        <v/>
      </c>
      <c r="R239" s="7">
        <f>'1 prepared data'!Q232</f>
        <v/>
      </c>
      <c r="S239" s="7">
        <f>'1 prepared data'!R232</f>
        <v/>
      </c>
      <c r="T239" s="7">
        <f>'1 prepared data'!S232</f>
        <v/>
      </c>
      <c r="U239" s="7">
        <f>'1 prepared data'!T232</f>
        <v/>
      </c>
      <c r="V239" s="8">
        <f>$AC$12+D239*$AC$13+E239*$AC$14+F239*$AC$15+G239*$AC$16+H239*$AC$17+I239*$AC$18+J239*$AC$19+K239*$AC$20+L239*$AC$21+M239*$AC$22+N239*$AC$23+O239*$AC$24+P239*$AC$25+Q239*$AC$26+R239*$AC$27+S239*$AC$28+T239*$AC$29+U239*$AC$30</f>
        <v/>
      </c>
      <c r="W239" s="8">
        <f>1/(1+EXP(-V239))</f>
        <v/>
      </c>
      <c r="X239" s="9">
        <f>-IF(C239=1,LN(W239),LN(1-W239))</f>
        <v/>
      </c>
      <c r="Y239" s="10">
        <f>IF(W239&gt;$AC$34,1,0)</f>
        <v/>
      </c>
      <c r="Z239">
        <f>IF(Y239=C239,1,0)</f>
        <v/>
      </c>
    </row>
    <row r="240">
      <c r="A240">
        <f>'1 prepared data'!A233</f>
        <v/>
      </c>
      <c r="B240" s="5">
        <f>'1 prepared data'!U233</f>
        <v/>
      </c>
      <c r="C240">
        <f>'1 prepared data'!B233</f>
        <v/>
      </c>
      <c r="D240" s="7">
        <f>'1 prepared data'!C233</f>
        <v/>
      </c>
      <c r="E240" s="7">
        <f>'1 prepared data'!D233</f>
        <v/>
      </c>
      <c r="F240" s="7">
        <f>'1 prepared data'!E233</f>
        <v/>
      </c>
      <c r="G240" s="7">
        <f>'1 prepared data'!F233</f>
        <v/>
      </c>
      <c r="H240" s="7">
        <f>'1 prepared data'!G233</f>
        <v/>
      </c>
      <c r="I240" s="7">
        <f>'1 prepared data'!H233</f>
        <v/>
      </c>
      <c r="J240" s="7">
        <f>'1 prepared data'!I233</f>
        <v/>
      </c>
      <c r="K240" s="7">
        <f>'1 prepared data'!J233</f>
        <v/>
      </c>
      <c r="L240" s="7">
        <f>'1 prepared data'!K233</f>
        <v/>
      </c>
      <c r="M240" s="7">
        <f>'1 prepared data'!L233</f>
        <v/>
      </c>
      <c r="N240" s="7">
        <f>'1 prepared data'!M233</f>
        <v/>
      </c>
      <c r="O240" s="7">
        <f>'1 prepared data'!N233</f>
        <v/>
      </c>
      <c r="P240" s="7">
        <f>'1 prepared data'!O233</f>
        <v/>
      </c>
      <c r="Q240" s="7">
        <f>'1 prepared data'!P233</f>
        <v/>
      </c>
      <c r="R240" s="7">
        <f>'1 prepared data'!Q233</f>
        <v/>
      </c>
      <c r="S240" s="7">
        <f>'1 prepared data'!R233</f>
        <v/>
      </c>
      <c r="T240" s="7">
        <f>'1 prepared data'!S233</f>
        <v/>
      </c>
      <c r="U240" s="7">
        <f>'1 prepared data'!T233</f>
        <v/>
      </c>
      <c r="V240" s="8">
        <f>$AC$12+D240*$AC$13+E240*$AC$14+F240*$AC$15+G240*$AC$16+H240*$AC$17+I240*$AC$18+J240*$AC$19+K240*$AC$20+L240*$AC$21+M240*$AC$22+N240*$AC$23+O240*$AC$24+P240*$AC$25+Q240*$AC$26+R240*$AC$27+S240*$AC$28+T240*$AC$29+U240*$AC$30</f>
        <v/>
      </c>
      <c r="W240" s="8">
        <f>1/(1+EXP(-V240))</f>
        <v/>
      </c>
      <c r="X240" s="9">
        <f>-IF(C240=1,LN(W240),LN(1-W240))</f>
        <v/>
      </c>
      <c r="Y240" s="10">
        <f>IF(W240&gt;$AC$34,1,0)</f>
        <v/>
      </c>
      <c r="Z240">
        <f>IF(Y240=C240,1,0)</f>
        <v/>
      </c>
    </row>
    <row r="241">
      <c r="A241">
        <f>'1 prepared data'!A234</f>
        <v/>
      </c>
      <c r="B241" s="5">
        <f>'1 prepared data'!U234</f>
        <v/>
      </c>
      <c r="C241">
        <f>'1 prepared data'!B234</f>
        <v/>
      </c>
      <c r="D241" s="7">
        <f>'1 prepared data'!C234</f>
        <v/>
      </c>
      <c r="E241" s="7">
        <f>'1 prepared data'!D234</f>
        <v/>
      </c>
      <c r="F241" s="7">
        <f>'1 prepared data'!E234</f>
        <v/>
      </c>
      <c r="G241" s="7">
        <f>'1 prepared data'!F234</f>
        <v/>
      </c>
      <c r="H241" s="7">
        <f>'1 prepared data'!G234</f>
        <v/>
      </c>
      <c r="I241" s="7">
        <f>'1 prepared data'!H234</f>
        <v/>
      </c>
      <c r="J241" s="7">
        <f>'1 prepared data'!I234</f>
        <v/>
      </c>
      <c r="K241" s="7">
        <f>'1 prepared data'!J234</f>
        <v/>
      </c>
      <c r="L241" s="7">
        <f>'1 prepared data'!K234</f>
        <v/>
      </c>
      <c r="M241" s="7">
        <f>'1 prepared data'!L234</f>
        <v/>
      </c>
      <c r="N241" s="7">
        <f>'1 prepared data'!M234</f>
        <v/>
      </c>
      <c r="O241" s="7">
        <f>'1 prepared data'!N234</f>
        <v/>
      </c>
      <c r="P241" s="7">
        <f>'1 prepared data'!O234</f>
        <v/>
      </c>
      <c r="Q241" s="7">
        <f>'1 prepared data'!P234</f>
        <v/>
      </c>
      <c r="R241" s="7">
        <f>'1 prepared data'!Q234</f>
        <v/>
      </c>
      <c r="S241" s="7">
        <f>'1 prepared data'!R234</f>
        <v/>
      </c>
      <c r="T241" s="7">
        <f>'1 prepared data'!S234</f>
        <v/>
      </c>
      <c r="U241" s="7">
        <f>'1 prepared data'!T234</f>
        <v/>
      </c>
      <c r="V241" s="8">
        <f>$AC$12+D241*$AC$13+E241*$AC$14+F241*$AC$15+G241*$AC$16+H241*$AC$17+I241*$AC$18+J241*$AC$19+K241*$AC$20+L241*$AC$21+M241*$AC$22+N241*$AC$23+O241*$AC$24+P241*$AC$25+Q241*$AC$26+R241*$AC$27+S241*$AC$28+T241*$AC$29+U241*$AC$30</f>
        <v/>
      </c>
      <c r="W241" s="8">
        <f>1/(1+EXP(-V241))</f>
        <v/>
      </c>
      <c r="X241" s="9">
        <f>-IF(C241=1,LN(W241),LN(1-W241))</f>
        <v/>
      </c>
      <c r="Y241" s="10">
        <f>IF(W241&gt;$AC$34,1,0)</f>
        <v/>
      </c>
      <c r="Z241">
        <f>IF(Y241=C241,1,0)</f>
        <v/>
      </c>
    </row>
    <row r="242">
      <c r="A242">
        <f>'1 prepared data'!A235</f>
        <v/>
      </c>
      <c r="B242" s="5">
        <f>'1 prepared data'!U235</f>
        <v/>
      </c>
      <c r="C242">
        <f>'1 prepared data'!B235</f>
        <v/>
      </c>
      <c r="D242" s="7">
        <f>'1 prepared data'!C235</f>
        <v/>
      </c>
      <c r="E242" s="7">
        <f>'1 prepared data'!D235</f>
        <v/>
      </c>
      <c r="F242" s="7">
        <f>'1 prepared data'!E235</f>
        <v/>
      </c>
      <c r="G242" s="7">
        <f>'1 prepared data'!F235</f>
        <v/>
      </c>
      <c r="H242" s="7">
        <f>'1 prepared data'!G235</f>
        <v/>
      </c>
      <c r="I242" s="7">
        <f>'1 prepared data'!H235</f>
        <v/>
      </c>
      <c r="J242" s="7">
        <f>'1 prepared data'!I235</f>
        <v/>
      </c>
      <c r="K242" s="7">
        <f>'1 prepared data'!J235</f>
        <v/>
      </c>
      <c r="L242" s="7">
        <f>'1 prepared data'!K235</f>
        <v/>
      </c>
      <c r="M242" s="7">
        <f>'1 prepared data'!L235</f>
        <v/>
      </c>
      <c r="N242" s="7">
        <f>'1 prepared data'!M235</f>
        <v/>
      </c>
      <c r="O242" s="7">
        <f>'1 prepared data'!N235</f>
        <v/>
      </c>
      <c r="P242" s="7">
        <f>'1 prepared data'!O235</f>
        <v/>
      </c>
      <c r="Q242" s="7">
        <f>'1 prepared data'!P235</f>
        <v/>
      </c>
      <c r="R242" s="7">
        <f>'1 prepared data'!Q235</f>
        <v/>
      </c>
      <c r="S242" s="7">
        <f>'1 prepared data'!R235</f>
        <v/>
      </c>
      <c r="T242" s="7">
        <f>'1 prepared data'!S235</f>
        <v/>
      </c>
      <c r="U242" s="7">
        <f>'1 prepared data'!T235</f>
        <v/>
      </c>
      <c r="V242" s="8">
        <f>$AC$12+D242*$AC$13+E242*$AC$14+F242*$AC$15+G242*$AC$16+H242*$AC$17+I242*$AC$18+J242*$AC$19+K242*$AC$20+L242*$AC$21+M242*$AC$22+N242*$AC$23+O242*$AC$24+P242*$AC$25+Q242*$AC$26+R242*$AC$27+S242*$AC$28+T242*$AC$29+U242*$AC$30</f>
        <v/>
      </c>
      <c r="W242" s="8">
        <f>1/(1+EXP(-V242))</f>
        <v/>
      </c>
      <c r="X242" s="9">
        <f>-IF(C242=1,LN(W242),LN(1-W242))</f>
        <v/>
      </c>
      <c r="Y242" s="10">
        <f>IF(W242&gt;$AC$34,1,0)</f>
        <v/>
      </c>
      <c r="Z242">
        <f>IF(Y242=C242,1,0)</f>
        <v/>
      </c>
    </row>
    <row r="243">
      <c r="A243">
        <f>'1 prepared data'!A236</f>
        <v/>
      </c>
      <c r="B243" s="5">
        <f>'1 prepared data'!U236</f>
        <v/>
      </c>
      <c r="C243">
        <f>'1 prepared data'!B236</f>
        <v/>
      </c>
      <c r="D243" s="7">
        <f>'1 prepared data'!C236</f>
        <v/>
      </c>
      <c r="E243" s="7">
        <f>'1 prepared data'!D236</f>
        <v/>
      </c>
      <c r="F243" s="7">
        <f>'1 prepared data'!E236</f>
        <v/>
      </c>
      <c r="G243" s="7">
        <f>'1 prepared data'!F236</f>
        <v/>
      </c>
      <c r="H243" s="7">
        <f>'1 prepared data'!G236</f>
        <v/>
      </c>
      <c r="I243" s="7">
        <f>'1 prepared data'!H236</f>
        <v/>
      </c>
      <c r="J243" s="7">
        <f>'1 prepared data'!I236</f>
        <v/>
      </c>
      <c r="K243" s="7">
        <f>'1 prepared data'!J236</f>
        <v/>
      </c>
      <c r="L243" s="7">
        <f>'1 prepared data'!K236</f>
        <v/>
      </c>
      <c r="M243" s="7">
        <f>'1 prepared data'!L236</f>
        <v/>
      </c>
      <c r="N243" s="7">
        <f>'1 prepared data'!M236</f>
        <v/>
      </c>
      <c r="O243" s="7">
        <f>'1 prepared data'!N236</f>
        <v/>
      </c>
      <c r="P243" s="7">
        <f>'1 prepared data'!O236</f>
        <v/>
      </c>
      <c r="Q243" s="7">
        <f>'1 prepared data'!P236</f>
        <v/>
      </c>
      <c r="R243" s="7">
        <f>'1 prepared data'!Q236</f>
        <v/>
      </c>
      <c r="S243" s="7">
        <f>'1 prepared data'!R236</f>
        <v/>
      </c>
      <c r="T243" s="7">
        <f>'1 prepared data'!S236</f>
        <v/>
      </c>
      <c r="U243" s="7">
        <f>'1 prepared data'!T236</f>
        <v/>
      </c>
      <c r="V243" s="8">
        <f>$AC$12+D243*$AC$13+E243*$AC$14+F243*$AC$15+G243*$AC$16+H243*$AC$17+I243*$AC$18+J243*$AC$19+K243*$AC$20+L243*$AC$21+M243*$AC$22+N243*$AC$23+O243*$AC$24+P243*$AC$25+Q243*$AC$26+R243*$AC$27+S243*$AC$28+T243*$AC$29+U243*$AC$30</f>
        <v/>
      </c>
      <c r="W243" s="8">
        <f>1/(1+EXP(-V243))</f>
        <v/>
      </c>
      <c r="X243" s="9">
        <f>-IF(C243=1,LN(W243),LN(1-W243))</f>
        <v/>
      </c>
      <c r="Y243" s="10">
        <f>IF(W243&gt;$AC$34,1,0)</f>
        <v/>
      </c>
      <c r="Z243">
        <f>IF(Y243=C243,1,0)</f>
        <v/>
      </c>
    </row>
    <row r="244">
      <c r="A244">
        <f>'1 prepared data'!A237</f>
        <v/>
      </c>
      <c r="B244" s="5">
        <f>'1 prepared data'!U237</f>
        <v/>
      </c>
      <c r="C244">
        <f>'1 prepared data'!B237</f>
        <v/>
      </c>
      <c r="D244" s="7">
        <f>'1 prepared data'!C237</f>
        <v/>
      </c>
      <c r="E244" s="7">
        <f>'1 prepared data'!D237</f>
        <v/>
      </c>
      <c r="F244" s="7">
        <f>'1 prepared data'!E237</f>
        <v/>
      </c>
      <c r="G244" s="7">
        <f>'1 prepared data'!F237</f>
        <v/>
      </c>
      <c r="H244" s="7">
        <f>'1 prepared data'!G237</f>
        <v/>
      </c>
      <c r="I244" s="7">
        <f>'1 prepared data'!H237</f>
        <v/>
      </c>
      <c r="J244" s="7">
        <f>'1 prepared data'!I237</f>
        <v/>
      </c>
      <c r="K244" s="7">
        <f>'1 prepared data'!J237</f>
        <v/>
      </c>
      <c r="L244" s="7">
        <f>'1 prepared data'!K237</f>
        <v/>
      </c>
      <c r="M244" s="7">
        <f>'1 prepared data'!L237</f>
        <v/>
      </c>
      <c r="N244" s="7">
        <f>'1 prepared data'!M237</f>
        <v/>
      </c>
      <c r="O244" s="7">
        <f>'1 prepared data'!N237</f>
        <v/>
      </c>
      <c r="P244" s="7">
        <f>'1 prepared data'!O237</f>
        <v/>
      </c>
      <c r="Q244" s="7">
        <f>'1 prepared data'!P237</f>
        <v/>
      </c>
      <c r="R244" s="7">
        <f>'1 prepared data'!Q237</f>
        <v/>
      </c>
      <c r="S244" s="7">
        <f>'1 prepared data'!R237</f>
        <v/>
      </c>
      <c r="T244" s="7">
        <f>'1 prepared data'!S237</f>
        <v/>
      </c>
      <c r="U244" s="7">
        <f>'1 prepared data'!T237</f>
        <v/>
      </c>
      <c r="V244" s="8">
        <f>$AC$12+D244*$AC$13+E244*$AC$14+F244*$AC$15+G244*$AC$16+H244*$AC$17+I244*$AC$18+J244*$AC$19+K244*$AC$20+L244*$AC$21+M244*$AC$22+N244*$AC$23+O244*$AC$24+P244*$AC$25+Q244*$AC$26+R244*$AC$27+S244*$AC$28+T244*$AC$29+U244*$AC$30</f>
        <v/>
      </c>
      <c r="W244" s="8">
        <f>1/(1+EXP(-V244))</f>
        <v/>
      </c>
      <c r="X244" s="9">
        <f>-IF(C244=1,LN(W244),LN(1-W244))</f>
        <v/>
      </c>
      <c r="Y244" s="10">
        <f>IF(W244&gt;$AC$34,1,0)</f>
        <v/>
      </c>
      <c r="Z244">
        <f>IF(Y244=C244,1,0)</f>
        <v/>
      </c>
    </row>
    <row r="245">
      <c r="A245">
        <f>'1 prepared data'!A238</f>
        <v/>
      </c>
      <c r="B245" s="5">
        <f>'1 prepared data'!U238</f>
        <v/>
      </c>
      <c r="C245">
        <f>'1 prepared data'!B238</f>
        <v/>
      </c>
      <c r="D245" s="7">
        <f>'1 prepared data'!C238</f>
        <v/>
      </c>
      <c r="E245" s="7">
        <f>'1 prepared data'!D238</f>
        <v/>
      </c>
      <c r="F245" s="7">
        <f>'1 prepared data'!E238</f>
        <v/>
      </c>
      <c r="G245" s="7">
        <f>'1 prepared data'!F238</f>
        <v/>
      </c>
      <c r="H245" s="7">
        <f>'1 prepared data'!G238</f>
        <v/>
      </c>
      <c r="I245" s="7">
        <f>'1 prepared data'!H238</f>
        <v/>
      </c>
      <c r="J245" s="7">
        <f>'1 prepared data'!I238</f>
        <v/>
      </c>
      <c r="K245" s="7">
        <f>'1 prepared data'!J238</f>
        <v/>
      </c>
      <c r="L245" s="7">
        <f>'1 prepared data'!K238</f>
        <v/>
      </c>
      <c r="M245" s="7">
        <f>'1 prepared data'!L238</f>
        <v/>
      </c>
      <c r="N245" s="7">
        <f>'1 prepared data'!M238</f>
        <v/>
      </c>
      <c r="O245" s="7">
        <f>'1 prepared data'!N238</f>
        <v/>
      </c>
      <c r="P245" s="7">
        <f>'1 prepared data'!O238</f>
        <v/>
      </c>
      <c r="Q245" s="7">
        <f>'1 prepared data'!P238</f>
        <v/>
      </c>
      <c r="R245" s="7">
        <f>'1 prepared data'!Q238</f>
        <v/>
      </c>
      <c r="S245" s="7">
        <f>'1 prepared data'!R238</f>
        <v/>
      </c>
      <c r="T245" s="7">
        <f>'1 prepared data'!S238</f>
        <v/>
      </c>
      <c r="U245" s="7">
        <f>'1 prepared data'!T238</f>
        <v/>
      </c>
      <c r="V245" s="8">
        <f>$AC$12+D245*$AC$13+E245*$AC$14+F245*$AC$15+G245*$AC$16+H245*$AC$17+I245*$AC$18+J245*$AC$19+K245*$AC$20+L245*$AC$21+M245*$AC$22+N245*$AC$23+O245*$AC$24+P245*$AC$25+Q245*$AC$26+R245*$AC$27+S245*$AC$28+T245*$AC$29+U245*$AC$30</f>
        <v/>
      </c>
      <c r="W245" s="8">
        <f>1/(1+EXP(-V245))</f>
        <v/>
      </c>
      <c r="X245" s="9">
        <f>-IF(C245=1,LN(W245),LN(1-W245))</f>
        <v/>
      </c>
      <c r="Y245" s="10">
        <f>IF(W245&gt;$AC$34,1,0)</f>
        <v/>
      </c>
      <c r="Z245">
        <f>IF(Y245=C245,1,0)</f>
        <v/>
      </c>
    </row>
    <row r="246">
      <c r="A246">
        <f>'1 prepared data'!A239</f>
        <v/>
      </c>
      <c r="B246" s="5">
        <f>'1 prepared data'!U239</f>
        <v/>
      </c>
      <c r="C246">
        <f>'1 prepared data'!B239</f>
        <v/>
      </c>
      <c r="D246" s="7">
        <f>'1 prepared data'!C239</f>
        <v/>
      </c>
      <c r="E246" s="7">
        <f>'1 prepared data'!D239</f>
        <v/>
      </c>
      <c r="F246" s="7">
        <f>'1 prepared data'!E239</f>
        <v/>
      </c>
      <c r="G246" s="7">
        <f>'1 prepared data'!F239</f>
        <v/>
      </c>
      <c r="H246" s="7">
        <f>'1 prepared data'!G239</f>
        <v/>
      </c>
      <c r="I246" s="7">
        <f>'1 prepared data'!H239</f>
        <v/>
      </c>
      <c r="J246" s="7">
        <f>'1 prepared data'!I239</f>
        <v/>
      </c>
      <c r="K246" s="7">
        <f>'1 prepared data'!J239</f>
        <v/>
      </c>
      <c r="L246" s="7">
        <f>'1 prepared data'!K239</f>
        <v/>
      </c>
      <c r="M246" s="7">
        <f>'1 prepared data'!L239</f>
        <v/>
      </c>
      <c r="N246" s="7">
        <f>'1 prepared data'!M239</f>
        <v/>
      </c>
      <c r="O246" s="7">
        <f>'1 prepared data'!N239</f>
        <v/>
      </c>
      <c r="P246" s="7">
        <f>'1 prepared data'!O239</f>
        <v/>
      </c>
      <c r="Q246" s="7">
        <f>'1 prepared data'!P239</f>
        <v/>
      </c>
      <c r="R246" s="7">
        <f>'1 prepared data'!Q239</f>
        <v/>
      </c>
      <c r="S246" s="7">
        <f>'1 prepared data'!R239</f>
        <v/>
      </c>
      <c r="T246" s="7">
        <f>'1 prepared data'!S239</f>
        <v/>
      </c>
      <c r="U246" s="7">
        <f>'1 prepared data'!T239</f>
        <v/>
      </c>
      <c r="V246" s="8">
        <f>$AC$12+D246*$AC$13+E246*$AC$14+F246*$AC$15+G246*$AC$16+H246*$AC$17+I246*$AC$18+J246*$AC$19+K246*$AC$20+L246*$AC$21+M246*$AC$22+N246*$AC$23+O246*$AC$24+P246*$AC$25+Q246*$AC$26+R246*$AC$27+S246*$AC$28+T246*$AC$29+U246*$AC$30</f>
        <v/>
      </c>
      <c r="W246" s="8">
        <f>1/(1+EXP(-V246))</f>
        <v/>
      </c>
      <c r="X246" s="9">
        <f>-IF(C246=1,LN(W246),LN(1-W246))</f>
        <v/>
      </c>
      <c r="Y246" s="10">
        <f>IF(W246&gt;$AC$34,1,0)</f>
        <v/>
      </c>
      <c r="Z246">
        <f>IF(Y246=C246,1,0)</f>
        <v/>
      </c>
    </row>
    <row r="247">
      <c r="A247">
        <f>'1 prepared data'!A240</f>
        <v/>
      </c>
      <c r="B247" s="5">
        <f>'1 prepared data'!U240</f>
        <v/>
      </c>
      <c r="C247">
        <f>'1 prepared data'!B240</f>
        <v/>
      </c>
      <c r="D247" s="7">
        <f>'1 prepared data'!C240</f>
        <v/>
      </c>
      <c r="E247" s="7">
        <f>'1 prepared data'!D240</f>
        <v/>
      </c>
      <c r="F247" s="7">
        <f>'1 prepared data'!E240</f>
        <v/>
      </c>
      <c r="G247" s="7">
        <f>'1 prepared data'!F240</f>
        <v/>
      </c>
      <c r="H247" s="7">
        <f>'1 prepared data'!G240</f>
        <v/>
      </c>
      <c r="I247" s="7">
        <f>'1 prepared data'!H240</f>
        <v/>
      </c>
      <c r="J247" s="7">
        <f>'1 prepared data'!I240</f>
        <v/>
      </c>
      <c r="K247" s="7">
        <f>'1 prepared data'!J240</f>
        <v/>
      </c>
      <c r="L247" s="7">
        <f>'1 prepared data'!K240</f>
        <v/>
      </c>
      <c r="M247" s="7">
        <f>'1 prepared data'!L240</f>
        <v/>
      </c>
      <c r="N247" s="7">
        <f>'1 prepared data'!M240</f>
        <v/>
      </c>
      <c r="O247" s="7">
        <f>'1 prepared data'!N240</f>
        <v/>
      </c>
      <c r="P247" s="7">
        <f>'1 prepared data'!O240</f>
        <v/>
      </c>
      <c r="Q247" s="7">
        <f>'1 prepared data'!P240</f>
        <v/>
      </c>
      <c r="R247" s="7">
        <f>'1 prepared data'!Q240</f>
        <v/>
      </c>
      <c r="S247" s="7">
        <f>'1 prepared data'!R240</f>
        <v/>
      </c>
      <c r="T247" s="7">
        <f>'1 prepared data'!S240</f>
        <v/>
      </c>
      <c r="U247" s="7">
        <f>'1 prepared data'!T240</f>
        <v/>
      </c>
      <c r="V247" s="8">
        <f>$AC$12+D247*$AC$13+E247*$AC$14+F247*$AC$15+G247*$AC$16+H247*$AC$17+I247*$AC$18+J247*$AC$19+K247*$AC$20+L247*$AC$21+M247*$AC$22+N247*$AC$23+O247*$AC$24+P247*$AC$25+Q247*$AC$26+R247*$AC$27+S247*$AC$28+T247*$AC$29+U247*$AC$30</f>
        <v/>
      </c>
      <c r="W247" s="8">
        <f>1/(1+EXP(-V247))</f>
        <v/>
      </c>
      <c r="X247" s="9">
        <f>-IF(C247=1,LN(W247),LN(1-W247))</f>
        <v/>
      </c>
      <c r="Y247" s="10">
        <f>IF(W247&gt;$AC$34,1,0)</f>
        <v/>
      </c>
      <c r="Z247">
        <f>IF(Y247=C247,1,0)</f>
        <v/>
      </c>
    </row>
    <row r="248">
      <c r="A248">
        <f>'1 prepared data'!A241</f>
        <v/>
      </c>
      <c r="B248" s="5">
        <f>'1 prepared data'!U241</f>
        <v/>
      </c>
      <c r="C248">
        <f>'1 prepared data'!B241</f>
        <v/>
      </c>
      <c r="D248" s="7">
        <f>'1 prepared data'!C241</f>
        <v/>
      </c>
      <c r="E248" s="7">
        <f>'1 prepared data'!D241</f>
        <v/>
      </c>
      <c r="F248" s="7">
        <f>'1 prepared data'!E241</f>
        <v/>
      </c>
      <c r="G248" s="7">
        <f>'1 prepared data'!F241</f>
        <v/>
      </c>
      <c r="H248" s="7">
        <f>'1 prepared data'!G241</f>
        <v/>
      </c>
      <c r="I248" s="7">
        <f>'1 prepared data'!H241</f>
        <v/>
      </c>
      <c r="J248" s="7">
        <f>'1 prepared data'!I241</f>
        <v/>
      </c>
      <c r="K248" s="7">
        <f>'1 prepared data'!J241</f>
        <v/>
      </c>
      <c r="L248" s="7">
        <f>'1 prepared data'!K241</f>
        <v/>
      </c>
      <c r="M248" s="7">
        <f>'1 prepared data'!L241</f>
        <v/>
      </c>
      <c r="N248" s="7">
        <f>'1 prepared data'!M241</f>
        <v/>
      </c>
      <c r="O248" s="7">
        <f>'1 prepared data'!N241</f>
        <v/>
      </c>
      <c r="P248" s="7">
        <f>'1 prepared data'!O241</f>
        <v/>
      </c>
      <c r="Q248" s="7">
        <f>'1 prepared data'!P241</f>
        <v/>
      </c>
      <c r="R248" s="7">
        <f>'1 prepared data'!Q241</f>
        <v/>
      </c>
      <c r="S248" s="7">
        <f>'1 prepared data'!R241</f>
        <v/>
      </c>
      <c r="T248" s="7">
        <f>'1 prepared data'!S241</f>
        <v/>
      </c>
      <c r="U248" s="7">
        <f>'1 prepared data'!T241</f>
        <v/>
      </c>
      <c r="V248" s="8">
        <f>$AC$12+D248*$AC$13+E248*$AC$14+F248*$AC$15+G248*$AC$16+H248*$AC$17+I248*$AC$18+J248*$AC$19+K248*$AC$20+L248*$AC$21+M248*$AC$22+N248*$AC$23+O248*$AC$24+P248*$AC$25+Q248*$AC$26+R248*$AC$27+S248*$AC$28+T248*$AC$29+U248*$AC$30</f>
        <v/>
      </c>
      <c r="W248" s="8">
        <f>1/(1+EXP(-V248))</f>
        <v/>
      </c>
      <c r="X248" s="9">
        <f>-IF(C248=1,LN(W248),LN(1-W248))</f>
        <v/>
      </c>
      <c r="Y248" s="10">
        <f>IF(W248&gt;$AC$34,1,0)</f>
        <v/>
      </c>
      <c r="Z248">
        <f>IF(Y248=C248,1,0)</f>
        <v/>
      </c>
    </row>
    <row r="249">
      <c r="A249">
        <f>'1 prepared data'!A242</f>
        <v/>
      </c>
      <c r="B249" s="5">
        <f>'1 prepared data'!U242</f>
        <v/>
      </c>
      <c r="C249">
        <f>'1 prepared data'!B242</f>
        <v/>
      </c>
      <c r="D249" s="7">
        <f>'1 prepared data'!C242</f>
        <v/>
      </c>
      <c r="E249" s="7">
        <f>'1 prepared data'!D242</f>
        <v/>
      </c>
      <c r="F249" s="7">
        <f>'1 prepared data'!E242</f>
        <v/>
      </c>
      <c r="G249" s="7">
        <f>'1 prepared data'!F242</f>
        <v/>
      </c>
      <c r="H249" s="7">
        <f>'1 prepared data'!G242</f>
        <v/>
      </c>
      <c r="I249" s="7">
        <f>'1 prepared data'!H242</f>
        <v/>
      </c>
      <c r="J249" s="7">
        <f>'1 prepared data'!I242</f>
        <v/>
      </c>
      <c r="K249" s="7">
        <f>'1 prepared data'!J242</f>
        <v/>
      </c>
      <c r="L249" s="7">
        <f>'1 prepared data'!K242</f>
        <v/>
      </c>
      <c r="M249" s="7">
        <f>'1 prepared data'!L242</f>
        <v/>
      </c>
      <c r="N249" s="7">
        <f>'1 prepared data'!M242</f>
        <v/>
      </c>
      <c r="O249" s="7">
        <f>'1 prepared data'!N242</f>
        <v/>
      </c>
      <c r="P249" s="7">
        <f>'1 prepared data'!O242</f>
        <v/>
      </c>
      <c r="Q249" s="7">
        <f>'1 prepared data'!P242</f>
        <v/>
      </c>
      <c r="R249" s="7">
        <f>'1 prepared data'!Q242</f>
        <v/>
      </c>
      <c r="S249" s="7">
        <f>'1 prepared data'!R242</f>
        <v/>
      </c>
      <c r="T249" s="7">
        <f>'1 prepared data'!S242</f>
        <v/>
      </c>
      <c r="U249" s="7">
        <f>'1 prepared data'!T242</f>
        <v/>
      </c>
      <c r="V249" s="8">
        <f>$AC$12+D249*$AC$13+E249*$AC$14+F249*$AC$15+G249*$AC$16+H249*$AC$17+I249*$AC$18+J249*$AC$19+K249*$AC$20+L249*$AC$21+M249*$AC$22+N249*$AC$23+O249*$AC$24+P249*$AC$25+Q249*$AC$26+R249*$AC$27+S249*$AC$28+T249*$AC$29+U249*$AC$30</f>
        <v/>
      </c>
      <c r="W249" s="8">
        <f>1/(1+EXP(-V249))</f>
        <v/>
      </c>
      <c r="X249" s="9">
        <f>-IF(C249=1,LN(W249),LN(1-W249))</f>
        <v/>
      </c>
      <c r="Y249" s="10">
        <f>IF(W249&gt;$AC$34,1,0)</f>
        <v/>
      </c>
      <c r="Z249">
        <f>IF(Y249=C249,1,0)</f>
        <v/>
      </c>
    </row>
    <row r="250">
      <c r="A250">
        <f>'1 prepared data'!A243</f>
        <v/>
      </c>
      <c r="B250" s="5">
        <f>'1 prepared data'!U243</f>
        <v/>
      </c>
      <c r="C250">
        <f>'1 prepared data'!B243</f>
        <v/>
      </c>
      <c r="D250" s="7">
        <f>'1 prepared data'!C243</f>
        <v/>
      </c>
      <c r="E250" s="7">
        <f>'1 prepared data'!D243</f>
        <v/>
      </c>
      <c r="F250" s="7">
        <f>'1 prepared data'!E243</f>
        <v/>
      </c>
      <c r="G250" s="7">
        <f>'1 prepared data'!F243</f>
        <v/>
      </c>
      <c r="H250" s="7">
        <f>'1 prepared data'!G243</f>
        <v/>
      </c>
      <c r="I250" s="7">
        <f>'1 prepared data'!H243</f>
        <v/>
      </c>
      <c r="J250" s="7">
        <f>'1 prepared data'!I243</f>
        <v/>
      </c>
      <c r="K250" s="7">
        <f>'1 prepared data'!J243</f>
        <v/>
      </c>
      <c r="L250" s="7">
        <f>'1 prepared data'!K243</f>
        <v/>
      </c>
      <c r="M250" s="7">
        <f>'1 prepared data'!L243</f>
        <v/>
      </c>
      <c r="N250" s="7">
        <f>'1 prepared data'!M243</f>
        <v/>
      </c>
      <c r="O250" s="7">
        <f>'1 prepared data'!N243</f>
        <v/>
      </c>
      <c r="P250" s="7">
        <f>'1 prepared data'!O243</f>
        <v/>
      </c>
      <c r="Q250" s="7">
        <f>'1 prepared data'!P243</f>
        <v/>
      </c>
      <c r="R250" s="7">
        <f>'1 prepared data'!Q243</f>
        <v/>
      </c>
      <c r="S250" s="7">
        <f>'1 prepared data'!R243</f>
        <v/>
      </c>
      <c r="T250" s="7">
        <f>'1 prepared data'!S243</f>
        <v/>
      </c>
      <c r="U250" s="7">
        <f>'1 prepared data'!T243</f>
        <v/>
      </c>
      <c r="V250" s="8">
        <f>$AC$12+D250*$AC$13+E250*$AC$14+F250*$AC$15+G250*$AC$16+H250*$AC$17+I250*$AC$18+J250*$AC$19+K250*$AC$20+L250*$AC$21+M250*$AC$22+N250*$AC$23+O250*$AC$24+P250*$AC$25+Q250*$AC$26+R250*$AC$27+S250*$AC$28+T250*$AC$29+U250*$AC$30</f>
        <v/>
      </c>
      <c r="W250" s="8">
        <f>1/(1+EXP(-V250))</f>
        <v/>
      </c>
      <c r="X250" s="9">
        <f>-IF(C250=1,LN(W250),LN(1-W250))</f>
        <v/>
      </c>
      <c r="Y250" s="10">
        <f>IF(W250&gt;$AC$34,1,0)</f>
        <v/>
      </c>
      <c r="Z250">
        <f>IF(Y250=C250,1,0)</f>
        <v/>
      </c>
    </row>
    <row r="251">
      <c r="A251">
        <f>'1 prepared data'!A244</f>
        <v/>
      </c>
      <c r="B251" s="5">
        <f>'1 prepared data'!U244</f>
        <v/>
      </c>
      <c r="C251">
        <f>'1 prepared data'!B244</f>
        <v/>
      </c>
      <c r="D251" s="7">
        <f>'1 prepared data'!C244</f>
        <v/>
      </c>
      <c r="E251" s="7">
        <f>'1 prepared data'!D244</f>
        <v/>
      </c>
      <c r="F251" s="7">
        <f>'1 prepared data'!E244</f>
        <v/>
      </c>
      <c r="G251" s="7">
        <f>'1 prepared data'!F244</f>
        <v/>
      </c>
      <c r="H251" s="7">
        <f>'1 prepared data'!G244</f>
        <v/>
      </c>
      <c r="I251" s="7">
        <f>'1 prepared data'!H244</f>
        <v/>
      </c>
      <c r="J251" s="7">
        <f>'1 prepared data'!I244</f>
        <v/>
      </c>
      <c r="K251" s="7">
        <f>'1 prepared data'!J244</f>
        <v/>
      </c>
      <c r="L251" s="7">
        <f>'1 prepared data'!K244</f>
        <v/>
      </c>
      <c r="M251" s="7">
        <f>'1 prepared data'!L244</f>
        <v/>
      </c>
      <c r="N251" s="7">
        <f>'1 prepared data'!M244</f>
        <v/>
      </c>
      <c r="O251" s="7">
        <f>'1 prepared data'!N244</f>
        <v/>
      </c>
      <c r="P251" s="7">
        <f>'1 prepared data'!O244</f>
        <v/>
      </c>
      <c r="Q251" s="7">
        <f>'1 prepared data'!P244</f>
        <v/>
      </c>
      <c r="R251" s="7">
        <f>'1 prepared data'!Q244</f>
        <v/>
      </c>
      <c r="S251" s="7">
        <f>'1 prepared data'!R244</f>
        <v/>
      </c>
      <c r="T251" s="7">
        <f>'1 prepared data'!S244</f>
        <v/>
      </c>
      <c r="U251" s="7">
        <f>'1 prepared data'!T244</f>
        <v/>
      </c>
      <c r="V251" s="8">
        <f>$AC$12+D251*$AC$13+E251*$AC$14+F251*$AC$15+G251*$AC$16+H251*$AC$17+I251*$AC$18+J251*$AC$19+K251*$AC$20+L251*$AC$21+M251*$AC$22+N251*$AC$23+O251*$AC$24+P251*$AC$25+Q251*$AC$26+R251*$AC$27+S251*$AC$28+T251*$AC$29+U251*$AC$30</f>
        <v/>
      </c>
      <c r="W251" s="8">
        <f>1/(1+EXP(-V251))</f>
        <v/>
      </c>
      <c r="X251" s="9">
        <f>-IF(C251=1,LN(W251),LN(1-W251))</f>
        <v/>
      </c>
      <c r="Y251" s="10">
        <f>IF(W251&gt;$AC$34,1,0)</f>
        <v/>
      </c>
      <c r="Z251">
        <f>IF(Y251=C251,1,0)</f>
        <v/>
      </c>
    </row>
    <row r="252">
      <c r="A252">
        <f>'1 prepared data'!A245</f>
        <v/>
      </c>
      <c r="B252" s="5">
        <f>'1 prepared data'!U245</f>
        <v/>
      </c>
      <c r="C252">
        <f>'1 prepared data'!B245</f>
        <v/>
      </c>
      <c r="D252" s="7">
        <f>'1 prepared data'!C245</f>
        <v/>
      </c>
      <c r="E252" s="7">
        <f>'1 prepared data'!D245</f>
        <v/>
      </c>
      <c r="F252" s="7">
        <f>'1 prepared data'!E245</f>
        <v/>
      </c>
      <c r="G252" s="7">
        <f>'1 prepared data'!F245</f>
        <v/>
      </c>
      <c r="H252" s="7">
        <f>'1 prepared data'!G245</f>
        <v/>
      </c>
      <c r="I252" s="7">
        <f>'1 prepared data'!H245</f>
        <v/>
      </c>
      <c r="J252" s="7">
        <f>'1 prepared data'!I245</f>
        <v/>
      </c>
      <c r="K252" s="7">
        <f>'1 prepared data'!J245</f>
        <v/>
      </c>
      <c r="L252" s="7">
        <f>'1 prepared data'!K245</f>
        <v/>
      </c>
      <c r="M252" s="7">
        <f>'1 prepared data'!L245</f>
        <v/>
      </c>
      <c r="N252" s="7">
        <f>'1 prepared data'!M245</f>
        <v/>
      </c>
      <c r="O252" s="7">
        <f>'1 prepared data'!N245</f>
        <v/>
      </c>
      <c r="P252" s="7">
        <f>'1 prepared data'!O245</f>
        <v/>
      </c>
      <c r="Q252" s="7">
        <f>'1 prepared data'!P245</f>
        <v/>
      </c>
      <c r="R252" s="7">
        <f>'1 prepared data'!Q245</f>
        <v/>
      </c>
      <c r="S252" s="7">
        <f>'1 prepared data'!R245</f>
        <v/>
      </c>
      <c r="T252" s="7">
        <f>'1 prepared data'!S245</f>
        <v/>
      </c>
      <c r="U252" s="7">
        <f>'1 prepared data'!T245</f>
        <v/>
      </c>
      <c r="V252" s="8">
        <f>$AC$12+D252*$AC$13+E252*$AC$14+F252*$AC$15+G252*$AC$16+H252*$AC$17+I252*$AC$18+J252*$AC$19+K252*$AC$20+L252*$AC$21+M252*$AC$22+N252*$AC$23+O252*$AC$24+P252*$AC$25+Q252*$AC$26+R252*$AC$27+S252*$AC$28+T252*$AC$29+U252*$AC$30</f>
        <v/>
      </c>
      <c r="W252" s="8">
        <f>1/(1+EXP(-V252))</f>
        <v/>
      </c>
      <c r="X252" s="9">
        <f>-IF(C252=1,LN(W252),LN(1-W252))</f>
        <v/>
      </c>
      <c r="Y252" s="10">
        <f>IF(W252&gt;$AC$34,1,0)</f>
        <v/>
      </c>
      <c r="Z252">
        <f>IF(Y252=C252,1,0)</f>
        <v/>
      </c>
    </row>
    <row r="253">
      <c r="A253">
        <f>'1 prepared data'!A246</f>
        <v/>
      </c>
      <c r="B253" s="5">
        <f>'1 prepared data'!U246</f>
        <v/>
      </c>
      <c r="C253">
        <f>'1 prepared data'!B246</f>
        <v/>
      </c>
      <c r="D253" s="7">
        <f>'1 prepared data'!C246</f>
        <v/>
      </c>
      <c r="E253" s="7">
        <f>'1 prepared data'!D246</f>
        <v/>
      </c>
      <c r="F253" s="7">
        <f>'1 prepared data'!E246</f>
        <v/>
      </c>
      <c r="G253" s="7">
        <f>'1 prepared data'!F246</f>
        <v/>
      </c>
      <c r="H253" s="7">
        <f>'1 prepared data'!G246</f>
        <v/>
      </c>
      <c r="I253" s="7">
        <f>'1 prepared data'!H246</f>
        <v/>
      </c>
      <c r="J253" s="7">
        <f>'1 prepared data'!I246</f>
        <v/>
      </c>
      <c r="K253" s="7">
        <f>'1 prepared data'!J246</f>
        <v/>
      </c>
      <c r="L253" s="7">
        <f>'1 prepared data'!K246</f>
        <v/>
      </c>
      <c r="M253" s="7">
        <f>'1 prepared data'!L246</f>
        <v/>
      </c>
      <c r="N253" s="7">
        <f>'1 prepared data'!M246</f>
        <v/>
      </c>
      <c r="O253" s="7">
        <f>'1 prepared data'!N246</f>
        <v/>
      </c>
      <c r="P253" s="7">
        <f>'1 prepared data'!O246</f>
        <v/>
      </c>
      <c r="Q253" s="7">
        <f>'1 prepared data'!P246</f>
        <v/>
      </c>
      <c r="R253" s="7">
        <f>'1 prepared data'!Q246</f>
        <v/>
      </c>
      <c r="S253" s="7">
        <f>'1 prepared data'!R246</f>
        <v/>
      </c>
      <c r="T253" s="7">
        <f>'1 prepared data'!S246</f>
        <v/>
      </c>
      <c r="U253" s="7">
        <f>'1 prepared data'!T246</f>
        <v/>
      </c>
      <c r="V253" s="8">
        <f>$AC$12+D253*$AC$13+E253*$AC$14+F253*$AC$15+G253*$AC$16+H253*$AC$17+I253*$AC$18+J253*$AC$19+K253*$AC$20+L253*$AC$21+M253*$AC$22+N253*$AC$23+O253*$AC$24+P253*$AC$25+Q253*$AC$26+R253*$AC$27+S253*$AC$28+T253*$AC$29+U253*$AC$30</f>
        <v/>
      </c>
      <c r="W253" s="8">
        <f>1/(1+EXP(-V253))</f>
        <v/>
      </c>
      <c r="X253" s="9">
        <f>-IF(C253=1,LN(W253),LN(1-W253))</f>
        <v/>
      </c>
      <c r="Y253" s="10">
        <f>IF(W253&gt;$AC$34,1,0)</f>
        <v/>
      </c>
      <c r="Z253">
        <f>IF(Y253=C253,1,0)</f>
        <v/>
      </c>
    </row>
    <row r="254">
      <c r="A254">
        <f>'1 prepared data'!A247</f>
        <v/>
      </c>
      <c r="B254" s="5">
        <f>'1 prepared data'!U247</f>
        <v/>
      </c>
      <c r="C254">
        <f>'1 prepared data'!B247</f>
        <v/>
      </c>
      <c r="D254" s="7">
        <f>'1 prepared data'!C247</f>
        <v/>
      </c>
      <c r="E254" s="7">
        <f>'1 prepared data'!D247</f>
        <v/>
      </c>
      <c r="F254" s="7">
        <f>'1 prepared data'!E247</f>
        <v/>
      </c>
      <c r="G254" s="7">
        <f>'1 prepared data'!F247</f>
        <v/>
      </c>
      <c r="H254" s="7">
        <f>'1 prepared data'!G247</f>
        <v/>
      </c>
      <c r="I254" s="7">
        <f>'1 prepared data'!H247</f>
        <v/>
      </c>
      <c r="J254" s="7">
        <f>'1 prepared data'!I247</f>
        <v/>
      </c>
      <c r="K254" s="7">
        <f>'1 prepared data'!J247</f>
        <v/>
      </c>
      <c r="L254" s="7">
        <f>'1 prepared data'!K247</f>
        <v/>
      </c>
      <c r="M254" s="7">
        <f>'1 prepared data'!L247</f>
        <v/>
      </c>
      <c r="N254" s="7">
        <f>'1 prepared data'!M247</f>
        <v/>
      </c>
      <c r="O254" s="7">
        <f>'1 prepared data'!N247</f>
        <v/>
      </c>
      <c r="P254" s="7">
        <f>'1 prepared data'!O247</f>
        <v/>
      </c>
      <c r="Q254" s="7">
        <f>'1 prepared data'!P247</f>
        <v/>
      </c>
      <c r="R254" s="7">
        <f>'1 prepared data'!Q247</f>
        <v/>
      </c>
      <c r="S254" s="7">
        <f>'1 prepared data'!R247</f>
        <v/>
      </c>
      <c r="T254" s="7">
        <f>'1 prepared data'!S247</f>
        <v/>
      </c>
      <c r="U254" s="7">
        <f>'1 prepared data'!T247</f>
        <v/>
      </c>
      <c r="V254" s="8">
        <f>$AC$12+D254*$AC$13+E254*$AC$14+F254*$AC$15+G254*$AC$16+H254*$AC$17+I254*$AC$18+J254*$AC$19+K254*$AC$20+L254*$AC$21+M254*$AC$22+N254*$AC$23+O254*$AC$24+P254*$AC$25+Q254*$AC$26+R254*$AC$27+S254*$AC$28+T254*$AC$29+U254*$AC$30</f>
        <v/>
      </c>
      <c r="W254" s="8">
        <f>1/(1+EXP(-V254))</f>
        <v/>
      </c>
      <c r="X254" s="9">
        <f>-IF(C254=1,LN(W254),LN(1-W254))</f>
        <v/>
      </c>
      <c r="Y254" s="10">
        <f>IF(W254&gt;$AC$34,1,0)</f>
        <v/>
      </c>
      <c r="Z254">
        <f>IF(Y254=C254,1,0)</f>
        <v/>
      </c>
    </row>
    <row r="255">
      <c r="A255">
        <f>'1 prepared data'!A248</f>
        <v/>
      </c>
      <c r="B255" s="5">
        <f>'1 prepared data'!U248</f>
        <v/>
      </c>
      <c r="C255">
        <f>'1 prepared data'!B248</f>
        <v/>
      </c>
      <c r="D255" s="7">
        <f>'1 prepared data'!C248</f>
        <v/>
      </c>
      <c r="E255" s="7">
        <f>'1 prepared data'!D248</f>
        <v/>
      </c>
      <c r="F255" s="7">
        <f>'1 prepared data'!E248</f>
        <v/>
      </c>
      <c r="G255" s="7">
        <f>'1 prepared data'!F248</f>
        <v/>
      </c>
      <c r="H255" s="7">
        <f>'1 prepared data'!G248</f>
        <v/>
      </c>
      <c r="I255" s="7">
        <f>'1 prepared data'!H248</f>
        <v/>
      </c>
      <c r="J255" s="7">
        <f>'1 prepared data'!I248</f>
        <v/>
      </c>
      <c r="K255" s="7">
        <f>'1 prepared data'!J248</f>
        <v/>
      </c>
      <c r="L255" s="7">
        <f>'1 prepared data'!K248</f>
        <v/>
      </c>
      <c r="M255" s="7">
        <f>'1 prepared data'!L248</f>
        <v/>
      </c>
      <c r="N255" s="7">
        <f>'1 prepared data'!M248</f>
        <v/>
      </c>
      <c r="O255" s="7">
        <f>'1 prepared data'!N248</f>
        <v/>
      </c>
      <c r="P255" s="7">
        <f>'1 prepared data'!O248</f>
        <v/>
      </c>
      <c r="Q255" s="7">
        <f>'1 prepared data'!P248</f>
        <v/>
      </c>
      <c r="R255" s="7">
        <f>'1 prepared data'!Q248</f>
        <v/>
      </c>
      <c r="S255" s="7">
        <f>'1 prepared data'!R248</f>
        <v/>
      </c>
      <c r="T255" s="7">
        <f>'1 prepared data'!S248</f>
        <v/>
      </c>
      <c r="U255" s="7">
        <f>'1 prepared data'!T248</f>
        <v/>
      </c>
      <c r="V255" s="8">
        <f>$AC$12+D255*$AC$13+E255*$AC$14+F255*$AC$15+G255*$AC$16+H255*$AC$17+I255*$AC$18+J255*$AC$19+K255*$AC$20+L255*$AC$21+M255*$AC$22+N255*$AC$23+O255*$AC$24+P255*$AC$25+Q255*$AC$26+R255*$AC$27+S255*$AC$28+T255*$AC$29+U255*$AC$30</f>
        <v/>
      </c>
      <c r="W255" s="8">
        <f>1/(1+EXP(-V255))</f>
        <v/>
      </c>
      <c r="X255" s="9">
        <f>-IF(C255=1,LN(W255),LN(1-W255))</f>
        <v/>
      </c>
      <c r="Y255" s="10">
        <f>IF(W255&gt;$AC$34,1,0)</f>
        <v/>
      </c>
      <c r="Z255">
        <f>IF(Y255=C255,1,0)</f>
        <v/>
      </c>
    </row>
    <row r="256">
      <c r="A256">
        <f>'1 prepared data'!A249</f>
        <v/>
      </c>
      <c r="B256" s="5">
        <f>'1 prepared data'!U249</f>
        <v/>
      </c>
      <c r="C256">
        <f>'1 prepared data'!B249</f>
        <v/>
      </c>
      <c r="D256" s="7">
        <f>'1 prepared data'!C249</f>
        <v/>
      </c>
      <c r="E256" s="7">
        <f>'1 prepared data'!D249</f>
        <v/>
      </c>
      <c r="F256" s="7">
        <f>'1 prepared data'!E249</f>
        <v/>
      </c>
      <c r="G256" s="7">
        <f>'1 prepared data'!F249</f>
        <v/>
      </c>
      <c r="H256" s="7">
        <f>'1 prepared data'!G249</f>
        <v/>
      </c>
      <c r="I256" s="7">
        <f>'1 prepared data'!H249</f>
        <v/>
      </c>
      <c r="J256" s="7">
        <f>'1 prepared data'!I249</f>
        <v/>
      </c>
      <c r="K256" s="7">
        <f>'1 prepared data'!J249</f>
        <v/>
      </c>
      <c r="L256" s="7">
        <f>'1 prepared data'!K249</f>
        <v/>
      </c>
      <c r="M256" s="7">
        <f>'1 prepared data'!L249</f>
        <v/>
      </c>
      <c r="N256" s="7">
        <f>'1 prepared data'!M249</f>
        <v/>
      </c>
      <c r="O256" s="7">
        <f>'1 prepared data'!N249</f>
        <v/>
      </c>
      <c r="P256" s="7">
        <f>'1 prepared data'!O249</f>
        <v/>
      </c>
      <c r="Q256" s="7">
        <f>'1 prepared data'!P249</f>
        <v/>
      </c>
      <c r="R256" s="7">
        <f>'1 prepared data'!Q249</f>
        <v/>
      </c>
      <c r="S256" s="7">
        <f>'1 prepared data'!R249</f>
        <v/>
      </c>
      <c r="T256" s="7">
        <f>'1 prepared data'!S249</f>
        <v/>
      </c>
      <c r="U256" s="7">
        <f>'1 prepared data'!T249</f>
        <v/>
      </c>
      <c r="V256" s="8">
        <f>$AC$12+D256*$AC$13+E256*$AC$14+F256*$AC$15+G256*$AC$16+H256*$AC$17+I256*$AC$18+J256*$AC$19+K256*$AC$20+L256*$AC$21+M256*$AC$22+N256*$AC$23+O256*$AC$24+P256*$AC$25+Q256*$AC$26+R256*$AC$27+S256*$AC$28+T256*$AC$29+U256*$AC$30</f>
        <v/>
      </c>
      <c r="W256" s="8">
        <f>1/(1+EXP(-V256))</f>
        <v/>
      </c>
      <c r="X256" s="9">
        <f>-IF(C256=1,LN(W256),LN(1-W256))</f>
        <v/>
      </c>
      <c r="Y256" s="10">
        <f>IF(W256&gt;$AC$34,1,0)</f>
        <v/>
      </c>
      <c r="Z256">
        <f>IF(Y256=C256,1,0)</f>
        <v/>
      </c>
    </row>
    <row r="257">
      <c r="A257">
        <f>'1 prepared data'!A250</f>
        <v/>
      </c>
      <c r="B257" s="5">
        <f>'1 prepared data'!U250</f>
        <v/>
      </c>
      <c r="C257">
        <f>'1 prepared data'!B250</f>
        <v/>
      </c>
      <c r="D257" s="7">
        <f>'1 prepared data'!C250</f>
        <v/>
      </c>
      <c r="E257" s="7">
        <f>'1 prepared data'!D250</f>
        <v/>
      </c>
      <c r="F257" s="7">
        <f>'1 prepared data'!E250</f>
        <v/>
      </c>
      <c r="G257" s="7">
        <f>'1 prepared data'!F250</f>
        <v/>
      </c>
      <c r="H257" s="7">
        <f>'1 prepared data'!G250</f>
        <v/>
      </c>
      <c r="I257" s="7">
        <f>'1 prepared data'!H250</f>
        <v/>
      </c>
      <c r="J257" s="7">
        <f>'1 prepared data'!I250</f>
        <v/>
      </c>
      <c r="K257" s="7">
        <f>'1 prepared data'!J250</f>
        <v/>
      </c>
      <c r="L257" s="7">
        <f>'1 prepared data'!K250</f>
        <v/>
      </c>
      <c r="M257" s="7">
        <f>'1 prepared data'!L250</f>
        <v/>
      </c>
      <c r="N257" s="7">
        <f>'1 prepared data'!M250</f>
        <v/>
      </c>
      <c r="O257" s="7">
        <f>'1 prepared data'!N250</f>
        <v/>
      </c>
      <c r="P257" s="7">
        <f>'1 prepared data'!O250</f>
        <v/>
      </c>
      <c r="Q257" s="7">
        <f>'1 prepared data'!P250</f>
        <v/>
      </c>
      <c r="R257" s="7">
        <f>'1 prepared data'!Q250</f>
        <v/>
      </c>
      <c r="S257" s="7">
        <f>'1 prepared data'!R250</f>
        <v/>
      </c>
      <c r="T257" s="7">
        <f>'1 prepared data'!S250</f>
        <v/>
      </c>
      <c r="U257" s="7">
        <f>'1 prepared data'!T250</f>
        <v/>
      </c>
      <c r="V257" s="8">
        <f>$AC$12+D257*$AC$13+E257*$AC$14+F257*$AC$15+G257*$AC$16+H257*$AC$17+I257*$AC$18+J257*$AC$19+K257*$AC$20+L257*$AC$21+M257*$AC$22+N257*$AC$23+O257*$AC$24+P257*$AC$25+Q257*$AC$26+R257*$AC$27+S257*$AC$28+T257*$AC$29+U257*$AC$30</f>
        <v/>
      </c>
      <c r="W257" s="8">
        <f>1/(1+EXP(-V257))</f>
        <v/>
      </c>
      <c r="X257" s="9">
        <f>-IF(C257=1,LN(W257),LN(1-W257))</f>
        <v/>
      </c>
      <c r="Y257" s="10">
        <f>IF(W257&gt;$AC$34,1,0)</f>
        <v/>
      </c>
      <c r="Z257">
        <f>IF(Y257=C257,1,0)</f>
        <v/>
      </c>
    </row>
    <row r="258">
      <c r="A258">
        <f>'1 prepared data'!A251</f>
        <v/>
      </c>
      <c r="B258" s="5">
        <f>'1 prepared data'!U251</f>
        <v/>
      </c>
      <c r="C258">
        <f>'1 prepared data'!B251</f>
        <v/>
      </c>
      <c r="D258" s="7">
        <f>'1 prepared data'!C251</f>
        <v/>
      </c>
      <c r="E258" s="7">
        <f>'1 prepared data'!D251</f>
        <v/>
      </c>
      <c r="F258" s="7">
        <f>'1 prepared data'!E251</f>
        <v/>
      </c>
      <c r="G258" s="7">
        <f>'1 prepared data'!F251</f>
        <v/>
      </c>
      <c r="H258" s="7">
        <f>'1 prepared data'!G251</f>
        <v/>
      </c>
      <c r="I258" s="7">
        <f>'1 prepared data'!H251</f>
        <v/>
      </c>
      <c r="J258" s="7">
        <f>'1 prepared data'!I251</f>
        <v/>
      </c>
      <c r="K258" s="7">
        <f>'1 prepared data'!J251</f>
        <v/>
      </c>
      <c r="L258" s="7">
        <f>'1 prepared data'!K251</f>
        <v/>
      </c>
      <c r="M258" s="7">
        <f>'1 prepared data'!L251</f>
        <v/>
      </c>
      <c r="N258" s="7">
        <f>'1 prepared data'!M251</f>
        <v/>
      </c>
      <c r="O258" s="7">
        <f>'1 prepared data'!N251</f>
        <v/>
      </c>
      <c r="P258" s="7">
        <f>'1 prepared data'!O251</f>
        <v/>
      </c>
      <c r="Q258" s="7">
        <f>'1 prepared data'!P251</f>
        <v/>
      </c>
      <c r="R258" s="7">
        <f>'1 prepared data'!Q251</f>
        <v/>
      </c>
      <c r="S258" s="7">
        <f>'1 prepared data'!R251</f>
        <v/>
      </c>
      <c r="T258" s="7">
        <f>'1 prepared data'!S251</f>
        <v/>
      </c>
      <c r="U258" s="7">
        <f>'1 prepared data'!T251</f>
        <v/>
      </c>
      <c r="V258" s="8">
        <f>$AC$12+D258*$AC$13+E258*$AC$14+F258*$AC$15+G258*$AC$16+H258*$AC$17+I258*$AC$18+J258*$AC$19+K258*$AC$20+L258*$AC$21+M258*$AC$22+N258*$AC$23+O258*$AC$24+P258*$AC$25+Q258*$AC$26+R258*$AC$27+S258*$AC$28+T258*$AC$29+U258*$AC$30</f>
        <v/>
      </c>
      <c r="W258" s="8">
        <f>1/(1+EXP(-V258))</f>
        <v/>
      </c>
      <c r="X258" s="9">
        <f>-IF(C258=1,LN(W258),LN(1-W258))</f>
        <v/>
      </c>
      <c r="Y258" s="10">
        <f>IF(W258&gt;$AC$34,1,0)</f>
        <v/>
      </c>
      <c r="Z258">
        <f>IF(Y258=C258,1,0)</f>
        <v/>
      </c>
    </row>
    <row r="259">
      <c r="A259">
        <f>'1 prepared data'!A252</f>
        <v/>
      </c>
      <c r="B259" s="5">
        <f>'1 prepared data'!U252</f>
        <v/>
      </c>
      <c r="C259">
        <f>'1 prepared data'!B252</f>
        <v/>
      </c>
      <c r="D259" s="7">
        <f>'1 prepared data'!C252</f>
        <v/>
      </c>
      <c r="E259" s="7">
        <f>'1 prepared data'!D252</f>
        <v/>
      </c>
      <c r="F259" s="7">
        <f>'1 prepared data'!E252</f>
        <v/>
      </c>
      <c r="G259" s="7">
        <f>'1 prepared data'!F252</f>
        <v/>
      </c>
      <c r="H259" s="7">
        <f>'1 prepared data'!G252</f>
        <v/>
      </c>
      <c r="I259" s="7">
        <f>'1 prepared data'!H252</f>
        <v/>
      </c>
      <c r="J259" s="7">
        <f>'1 prepared data'!I252</f>
        <v/>
      </c>
      <c r="K259" s="7">
        <f>'1 prepared data'!J252</f>
        <v/>
      </c>
      <c r="L259" s="7">
        <f>'1 prepared data'!K252</f>
        <v/>
      </c>
      <c r="M259" s="7">
        <f>'1 prepared data'!L252</f>
        <v/>
      </c>
      <c r="N259" s="7">
        <f>'1 prepared data'!M252</f>
        <v/>
      </c>
      <c r="O259" s="7">
        <f>'1 prepared data'!N252</f>
        <v/>
      </c>
      <c r="P259" s="7">
        <f>'1 prepared data'!O252</f>
        <v/>
      </c>
      <c r="Q259" s="7">
        <f>'1 prepared data'!P252</f>
        <v/>
      </c>
      <c r="R259" s="7">
        <f>'1 prepared data'!Q252</f>
        <v/>
      </c>
      <c r="S259" s="7">
        <f>'1 prepared data'!R252</f>
        <v/>
      </c>
      <c r="T259" s="7">
        <f>'1 prepared data'!S252</f>
        <v/>
      </c>
      <c r="U259" s="7">
        <f>'1 prepared data'!T252</f>
        <v/>
      </c>
      <c r="V259" s="8">
        <f>$AC$12+D259*$AC$13+E259*$AC$14+F259*$AC$15+G259*$AC$16+H259*$AC$17+I259*$AC$18+J259*$AC$19+K259*$AC$20+L259*$AC$21+M259*$AC$22+N259*$AC$23+O259*$AC$24+P259*$AC$25+Q259*$AC$26+R259*$AC$27+S259*$AC$28+T259*$AC$29+U259*$AC$30</f>
        <v/>
      </c>
      <c r="W259" s="8">
        <f>1/(1+EXP(-V259))</f>
        <v/>
      </c>
      <c r="X259" s="9">
        <f>-IF(C259=1,LN(W259),LN(1-W259))</f>
        <v/>
      </c>
      <c r="Y259" s="10">
        <f>IF(W259&gt;$AC$34,1,0)</f>
        <v/>
      </c>
      <c r="Z259">
        <f>IF(Y259=C259,1,0)</f>
        <v/>
      </c>
    </row>
    <row r="260">
      <c r="A260">
        <f>'1 prepared data'!A253</f>
        <v/>
      </c>
      <c r="B260" s="5">
        <f>'1 prepared data'!U253</f>
        <v/>
      </c>
      <c r="C260">
        <f>'1 prepared data'!B253</f>
        <v/>
      </c>
      <c r="D260" s="7">
        <f>'1 prepared data'!C253</f>
        <v/>
      </c>
      <c r="E260" s="7">
        <f>'1 prepared data'!D253</f>
        <v/>
      </c>
      <c r="F260" s="7">
        <f>'1 prepared data'!E253</f>
        <v/>
      </c>
      <c r="G260" s="7">
        <f>'1 prepared data'!F253</f>
        <v/>
      </c>
      <c r="H260" s="7">
        <f>'1 prepared data'!G253</f>
        <v/>
      </c>
      <c r="I260" s="7">
        <f>'1 prepared data'!H253</f>
        <v/>
      </c>
      <c r="J260" s="7">
        <f>'1 prepared data'!I253</f>
        <v/>
      </c>
      <c r="K260" s="7">
        <f>'1 prepared data'!J253</f>
        <v/>
      </c>
      <c r="L260" s="7">
        <f>'1 prepared data'!K253</f>
        <v/>
      </c>
      <c r="M260" s="7">
        <f>'1 prepared data'!L253</f>
        <v/>
      </c>
      <c r="N260" s="7">
        <f>'1 prepared data'!M253</f>
        <v/>
      </c>
      <c r="O260" s="7">
        <f>'1 prepared data'!N253</f>
        <v/>
      </c>
      <c r="P260" s="7">
        <f>'1 prepared data'!O253</f>
        <v/>
      </c>
      <c r="Q260" s="7">
        <f>'1 prepared data'!P253</f>
        <v/>
      </c>
      <c r="R260" s="7">
        <f>'1 prepared data'!Q253</f>
        <v/>
      </c>
      <c r="S260" s="7">
        <f>'1 prepared data'!R253</f>
        <v/>
      </c>
      <c r="T260" s="7">
        <f>'1 prepared data'!S253</f>
        <v/>
      </c>
      <c r="U260" s="7">
        <f>'1 prepared data'!T253</f>
        <v/>
      </c>
      <c r="V260" s="8">
        <f>$AC$12+D260*$AC$13+E260*$AC$14+F260*$AC$15+G260*$AC$16+H260*$AC$17+I260*$AC$18+J260*$AC$19+K260*$AC$20+L260*$AC$21+M260*$AC$22+N260*$AC$23+O260*$AC$24+P260*$AC$25+Q260*$AC$26+R260*$AC$27+S260*$AC$28+T260*$AC$29+U260*$AC$30</f>
        <v/>
      </c>
      <c r="W260" s="8">
        <f>1/(1+EXP(-V260))</f>
        <v/>
      </c>
      <c r="X260" s="9">
        <f>-IF(C260=1,LN(W260),LN(1-W260))</f>
        <v/>
      </c>
      <c r="Y260" s="10">
        <f>IF(W260&gt;$AC$34,1,0)</f>
        <v/>
      </c>
      <c r="Z260">
        <f>IF(Y260=C260,1,0)</f>
        <v/>
      </c>
    </row>
    <row r="261">
      <c r="A261">
        <f>'1 prepared data'!A254</f>
        <v/>
      </c>
      <c r="B261" s="5">
        <f>'1 prepared data'!U254</f>
        <v/>
      </c>
      <c r="C261">
        <f>'1 prepared data'!B254</f>
        <v/>
      </c>
      <c r="D261" s="7">
        <f>'1 prepared data'!C254</f>
        <v/>
      </c>
      <c r="E261" s="7">
        <f>'1 prepared data'!D254</f>
        <v/>
      </c>
      <c r="F261" s="7">
        <f>'1 prepared data'!E254</f>
        <v/>
      </c>
      <c r="G261" s="7">
        <f>'1 prepared data'!F254</f>
        <v/>
      </c>
      <c r="H261" s="7">
        <f>'1 prepared data'!G254</f>
        <v/>
      </c>
      <c r="I261" s="7">
        <f>'1 prepared data'!H254</f>
        <v/>
      </c>
      <c r="J261" s="7">
        <f>'1 prepared data'!I254</f>
        <v/>
      </c>
      <c r="K261" s="7">
        <f>'1 prepared data'!J254</f>
        <v/>
      </c>
      <c r="L261" s="7">
        <f>'1 prepared data'!K254</f>
        <v/>
      </c>
      <c r="M261" s="7">
        <f>'1 prepared data'!L254</f>
        <v/>
      </c>
      <c r="N261" s="7">
        <f>'1 prepared data'!M254</f>
        <v/>
      </c>
      <c r="O261" s="7">
        <f>'1 prepared data'!N254</f>
        <v/>
      </c>
      <c r="P261" s="7">
        <f>'1 prepared data'!O254</f>
        <v/>
      </c>
      <c r="Q261" s="7">
        <f>'1 prepared data'!P254</f>
        <v/>
      </c>
      <c r="R261" s="7">
        <f>'1 prepared data'!Q254</f>
        <v/>
      </c>
      <c r="S261" s="7">
        <f>'1 prepared data'!R254</f>
        <v/>
      </c>
      <c r="T261" s="7">
        <f>'1 prepared data'!S254</f>
        <v/>
      </c>
      <c r="U261" s="7">
        <f>'1 prepared data'!T254</f>
        <v/>
      </c>
      <c r="V261" s="8">
        <f>$AC$12+D261*$AC$13+E261*$AC$14+F261*$AC$15+G261*$AC$16+H261*$AC$17+I261*$AC$18+J261*$AC$19+K261*$AC$20+L261*$AC$21+M261*$AC$22+N261*$AC$23+O261*$AC$24+P261*$AC$25+Q261*$AC$26+R261*$AC$27+S261*$AC$28+T261*$AC$29+U261*$AC$30</f>
        <v/>
      </c>
      <c r="W261" s="8">
        <f>1/(1+EXP(-V261))</f>
        <v/>
      </c>
      <c r="X261" s="9">
        <f>-IF(C261=1,LN(W261),LN(1-W261))</f>
        <v/>
      </c>
      <c r="Y261" s="10">
        <f>IF(W261&gt;$AC$34,1,0)</f>
        <v/>
      </c>
      <c r="Z261">
        <f>IF(Y261=C261,1,0)</f>
        <v/>
      </c>
    </row>
    <row r="262">
      <c r="A262">
        <f>'1 prepared data'!A255</f>
        <v/>
      </c>
      <c r="B262" s="5">
        <f>'1 prepared data'!U255</f>
        <v/>
      </c>
      <c r="C262">
        <f>'1 prepared data'!B255</f>
        <v/>
      </c>
      <c r="D262" s="7">
        <f>'1 prepared data'!C255</f>
        <v/>
      </c>
      <c r="E262" s="7">
        <f>'1 prepared data'!D255</f>
        <v/>
      </c>
      <c r="F262" s="7">
        <f>'1 prepared data'!E255</f>
        <v/>
      </c>
      <c r="G262" s="7">
        <f>'1 prepared data'!F255</f>
        <v/>
      </c>
      <c r="H262" s="7">
        <f>'1 prepared data'!G255</f>
        <v/>
      </c>
      <c r="I262" s="7">
        <f>'1 prepared data'!H255</f>
        <v/>
      </c>
      <c r="J262" s="7">
        <f>'1 prepared data'!I255</f>
        <v/>
      </c>
      <c r="K262" s="7">
        <f>'1 prepared data'!J255</f>
        <v/>
      </c>
      <c r="L262" s="7">
        <f>'1 prepared data'!K255</f>
        <v/>
      </c>
      <c r="M262" s="7">
        <f>'1 prepared data'!L255</f>
        <v/>
      </c>
      <c r="N262" s="7">
        <f>'1 prepared data'!M255</f>
        <v/>
      </c>
      <c r="O262" s="7">
        <f>'1 prepared data'!N255</f>
        <v/>
      </c>
      <c r="P262" s="7">
        <f>'1 prepared data'!O255</f>
        <v/>
      </c>
      <c r="Q262" s="7">
        <f>'1 prepared data'!P255</f>
        <v/>
      </c>
      <c r="R262" s="7">
        <f>'1 prepared data'!Q255</f>
        <v/>
      </c>
      <c r="S262" s="7">
        <f>'1 prepared data'!R255</f>
        <v/>
      </c>
      <c r="T262" s="7">
        <f>'1 prepared data'!S255</f>
        <v/>
      </c>
      <c r="U262" s="7">
        <f>'1 prepared data'!T255</f>
        <v/>
      </c>
      <c r="V262" s="8">
        <f>$AC$12+D262*$AC$13+E262*$AC$14+F262*$AC$15+G262*$AC$16+H262*$AC$17+I262*$AC$18+J262*$AC$19+K262*$AC$20+L262*$AC$21+M262*$AC$22+N262*$AC$23+O262*$AC$24+P262*$AC$25+Q262*$AC$26+R262*$AC$27+S262*$AC$28+T262*$AC$29+U262*$AC$30</f>
        <v/>
      </c>
      <c r="W262" s="8">
        <f>1/(1+EXP(-V262))</f>
        <v/>
      </c>
      <c r="X262" s="9">
        <f>-IF(C262=1,LN(W262),LN(1-W262))</f>
        <v/>
      </c>
      <c r="Y262" s="10">
        <f>IF(W262&gt;$AC$34,1,0)</f>
        <v/>
      </c>
      <c r="Z262">
        <f>IF(Y262=C262,1,0)</f>
        <v/>
      </c>
    </row>
    <row r="263">
      <c r="A263">
        <f>'1 prepared data'!A256</f>
        <v/>
      </c>
      <c r="B263" s="5">
        <f>'1 prepared data'!U256</f>
        <v/>
      </c>
      <c r="C263">
        <f>'1 prepared data'!B256</f>
        <v/>
      </c>
      <c r="D263" s="7">
        <f>'1 prepared data'!C256</f>
        <v/>
      </c>
      <c r="E263" s="7">
        <f>'1 prepared data'!D256</f>
        <v/>
      </c>
      <c r="F263" s="7">
        <f>'1 prepared data'!E256</f>
        <v/>
      </c>
      <c r="G263" s="7">
        <f>'1 prepared data'!F256</f>
        <v/>
      </c>
      <c r="H263" s="7">
        <f>'1 prepared data'!G256</f>
        <v/>
      </c>
      <c r="I263" s="7">
        <f>'1 prepared data'!H256</f>
        <v/>
      </c>
      <c r="J263" s="7">
        <f>'1 prepared data'!I256</f>
        <v/>
      </c>
      <c r="K263" s="7">
        <f>'1 prepared data'!J256</f>
        <v/>
      </c>
      <c r="L263" s="7">
        <f>'1 prepared data'!K256</f>
        <v/>
      </c>
      <c r="M263" s="7">
        <f>'1 prepared data'!L256</f>
        <v/>
      </c>
      <c r="N263" s="7">
        <f>'1 prepared data'!M256</f>
        <v/>
      </c>
      <c r="O263" s="7">
        <f>'1 prepared data'!N256</f>
        <v/>
      </c>
      <c r="P263" s="7">
        <f>'1 prepared data'!O256</f>
        <v/>
      </c>
      <c r="Q263" s="7">
        <f>'1 prepared data'!P256</f>
        <v/>
      </c>
      <c r="R263" s="7">
        <f>'1 prepared data'!Q256</f>
        <v/>
      </c>
      <c r="S263" s="7">
        <f>'1 prepared data'!R256</f>
        <v/>
      </c>
      <c r="T263" s="7">
        <f>'1 prepared data'!S256</f>
        <v/>
      </c>
      <c r="U263" s="7">
        <f>'1 prepared data'!T256</f>
        <v/>
      </c>
      <c r="V263" s="8">
        <f>$AC$12+D263*$AC$13+E263*$AC$14+F263*$AC$15+G263*$AC$16+H263*$AC$17+I263*$AC$18+J263*$AC$19+K263*$AC$20+L263*$AC$21+M263*$AC$22+N263*$AC$23+O263*$AC$24+P263*$AC$25+Q263*$AC$26+R263*$AC$27+S263*$AC$28+T263*$AC$29+U263*$AC$30</f>
        <v/>
      </c>
      <c r="W263" s="8">
        <f>1/(1+EXP(-V263))</f>
        <v/>
      </c>
      <c r="X263" s="9">
        <f>-IF(C263=1,LN(W263),LN(1-W263))</f>
        <v/>
      </c>
      <c r="Y263" s="10">
        <f>IF(W263&gt;$AC$34,1,0)</f>
        <v/>
      </c>
      <c r="Z263">
        <f>IF(Y263=C263,1,0)</f>
        <v/>
      </c>
    </row>
    <row r="264">
      <c r="A264">
        <f>'1 prepared data'!A257</f>
        <v/>
      </c>
      <c r="B264" s="5">
        <f>'1 prepared data'!U257</f>
        <v/>
      </c>
      <c r="C264">
        <f>'1 prepared data'!B257</f>
        <v/>
      </c>
      <c r="D264" s="7">
        <f>'1 prepared data'!C257</f>
        <v/>
      </c>
      <c r="E264" s="7">
        <f>'1 prepared data'!D257</f>
        <v/>
      </c>
      <c r="F264" s="7">
        <f>'1 prepared data'!E257</f>
        <v/>
      </c>
      <c r="G264" s="7">
        <f>'1 prepared data'!F257</f>
        <v/>
      </c>
      <c r="H264" s="7">
        <f>'1 prepared data'!G257</f>
        <v/>
      </c>
      <c r="I264" s="7">
        <f>'1 prepared data'!H257</f>
        <v/>
      </c>
      <c r="J264" s="7">
        <f>'1 prepared data'!I257</f>
        <v/>
      </c>
      <c r="K264" s="7">
        <f>'1 prepared data'!J257</f>
        <v/>
      </c>
      <c r="L264" s="7">
        <f>'1 prepared data'!K257</f>
        <v/>
      </c>
      <c r="M264" s="7">
        <f>'1 prepared data'!L257</f>
        <v/>
      </c>
      <c r="N264" s="7">
        <f>'1 prepared data'!M257</f>
        <v/>
      </c>
      <c r="O264" s="7">
        <f>'1 prepared data'!N257</f>
        <v/>
      </c>
      <c r="P264" s="7">
        <f>'1 prepared data'!O257</f>
        <v/>
      </c>
      <c r="Q264" s="7">
        <f>'1 prepared data'!P257</f>
        <v/>
      </c>
      <c r="R264" s="7">
        <f>'1 prepared data'!Q257</f>
        <v/>
      </c>
      <c r="S264" s="7">
        <f>'1 prepared data'!R257</f>
        <v/>
      </c>
      <c r="T264" s="7">
        <f>'1 prepared data'!S257</f>
        <v/>
      </c>
      <c r="U264" s="7">
        <f>'1 prepared data'!T257</f>
        <v/>
      </c>
      <c r="V264" s="8">
        <f>$AC$12+D264*$AC$13+E264*$AC$14+F264*$AC$15+G264*$AC$16+H264*$AC$17+I264*$AC$18+J264*$AC$19+K264*$AC$20+L264*$AC$21+M264*$AC$22+N264*$AC$23+O264*$AC$24+P264*$AC$25+Q264*$AC$26+R264*$AC$27+S264*$AC$28+T264*$AC$29+U264*$AC$30</f>
        <v/>
      </c>
      <c r="W264" s="8">
        <f>1/(1+EXP(-V264))</f>
        <v/>
      </c>
      <c r="X264" s="9">
        <f>-IF(C264=1,LN(W264),LN(1-W264))</f>
        <v/>
      </c>
      <c r="Y264" s="10">
        <f>IF(W264&gt;$AC$34,1,0)</f>
        <v/>
      </c>
      <c r="Z264">
        <f>IF(Y264=C264,1,0)</f>
        <v/>
      </c>
    </row>
    <row r="265">
      <c r="A265">
        <f>'1 prepared data'!A258</f>
        <v/>
      </c>
      <c r="B265" s="5">
        <f>'1 prepared data'!U258</f>
        <v/>
      </c>
      <c r="C265">
        <f>'1 prepared data'!B258</f>
        <v/>
      </c>
      <c r="D265" s="7">
        <f>'1 prepared data'!C258</f>
        <v/>
      </c>
      <c r="E265" s="7">
        <f>'1 prepared data'!D258</f>
        <v/>
      </c>
      <c r="F265" s="7">
        <f>'1 prepared data'!E258</f>
        <v/>
      </c>
      <c r="G265" s="7">
        <f>'1 prepared data'!F258</f>
        <v/>
      </c>
      <c r="H265" s="7">
        <f>'1 prepared data'!G258</f>
        <v/>
      </c>
      <c r="I265" s="7">
        <f>'1 prepared data'!H258</f>
        <v/>
      </c>
      <c r="J265" s="7">
        <f>'1 prepared data'!I258</f>
        <v/>
      </c>
      <c r="K265" s="7">
        <f>'1 prepared data'!J258</f>
        <v/>
      </c>
      <c r="L265" s="7">
        <f>'1 prepared data'!K258</f>
        <v/>
      </c>
      <c r="M265" s="7">
        <f>'1 prepared data'!L258</f>
        <v/>
      </c>
      <c r="N265" s="7">
        <f>'1 prepared data'!M258</f>
        <v/>
      </c>
      <c r="O265" s="7">
        <f>'1 prepared data'!N258</f>
        <v/>
      </c>
      <c r="P265" s="7">
        <f>'1 prepared data'!O258</f>
        <v/>
      </c>
      <c r="Q265" s="7">
        <f>'1 prepared data'!P258</f>
        <v/>
      </c>
      <c r="R265" s="7">
        <f>'1 prepared data'!Q258</f>
        <v/>
      </c>
      <c r="S265" s="7">
        <f>'1 prepared data'!R258</f>
        <v/>
      </c>
      <c r="T265" s="7">
        <f>'1 prepared data'!S258</f>
        <v/>
      </c>
      <c r="U265" s="7">
        <f>'1 prepared data'!T258</f>
        <v/>
      </c>
      <c r="V265" s="8">
        <f>$AC$12+D265*$AC$13+E265*$AC$14+F265*$AC$15+G265*$AC$16+H265*$AC$17+I265*$AC$18+J265*$AC$19+K265*$AC$20+L265*$AC$21+M265*$AC$22+N265*$AC$23+O265*$AC$24+P265*$AC$25+Q265*$AC$26+R265*$AC$27+S265*$AC$28+T265*$AC$29+U265*$AC$30</f>
        <v/>
      </c>
      <c r="W265" s="8">
        <f>1/(1+EXP(-V265))</f>
        <v/>
      </c>
      <c r="X265" s="9">
        <f>-IF(C265=1,LN(W265),LN(1-W265))</f>
        <v/>
      </c>
      <c r="Y265" s="10">
        <f>IF(W265&gt;$AC$34,1,0)</f>
        <v/>
      </c>
      <c r="Z265">
        <f>IF(Y265=C265,1,0)</f>
        <v/>
      </c>
    </row>
    <row r="266">
      <c r="A266">
        <f>'1 prepared data'!A259</f>
        <v/>
      </c>
      <c r="B266" s="5">
        <f>'1 prepared data'!U259</f>
        <v/>
      </c>
      <c r="C266">
        <f>'1 prepared data'!B259</f>
        <v/>
      </c>
      <c r="D266" s="7">
        <f>'1 prepared data'!C259</f>
        <v/>
      </c>
      <c r="E266" s="7">
        <f>'1 prepared data'!D259</f>
        <v/>
      </c>
      <c r="F266" s="7">
        <f>'1 prepared data'!E259</f>
        <v/>
      </c>
      <c r="G266" s="7">
        <f>'1 prepared data'!F259</f>
        <v/>
      </c>
      <c r="H266" s="7">
        <f>'1 prepared data'!G259</f>
        <v/>
      </c>
      <c r="I266" s="7">
        <f>'1 prepared data'!H259</f>
        <v/>
      </c>
      <c r="J266" s="7">
        <f>'1 prepared data'!I259</f>
        <v/>
      </c>
      <c r="K266" s="7">
        <f>'1 prepared data'!J259</f>
        <v/>
      </c>
      <c r="L266" s="7">
        <f>'1 prepared data'!K259</f>
        <v/>
      </c>
      <c r="M266" s="7">
        <f>'1 prepared data'!L259</f>
        <v/>
      </c>
      <c r="N266" s="7">
        <f>'1 prepared data'!M259</f>
        <v/>
      </c>
      <c r="O266" s="7">
        <f>'1 prepared data'!N259</f>
        <v/>
      </c>
      <c r="P266" s="7">
        <f>'1 prepared data'!O259</f>
        <v/>
      </c>
      <c r="Q266" s="7">
        <f>'1 prepared data'!P259</f>
        <v/>
      </c>
      <c r="R266" s="7">
        <f>'1 prepared data'!Q259</f>
        <v/>
      </c>
      <c r="S266" s="7">
        <f>'1 prepared data'!R259</f>
        <v/>
      </c>
      <c r="T266" s="7">
        <f>'1 prepared data'!S259</f>
        <v/>
      </c>
      <c r="U266" s="7">
        <f>'1 prepared data'!T259</f>
        <v/>
      </c>
      <c r="V266" s="8">
        <f>$AC$12+D266*$AC$13+E266*$AC$14+F266*$AC$15+G266*$AC$16+H266*$AC$17+I266*$AC$18+J266*$AC$19+K266*$AC$20+L266*$AC$21+M266*$AC$22+N266*$AC$23+O266*$AC$24+P266*$AC$25+Q266*$AC$26+R266*$AC$27+S266*$AC$28+T266*$AC$29+U266*$AC$30</f>
        <v/>
      </c>
      <c r="W266" s="8">
        <f>1/(1+EXP(-V266))</f>
        <v/>
      </c>
      <c r="X266" s="9">
        <f>-IF(C266=1,LN(W266),LN(1-W266))</f>
        <v/>
      </c>
      <c r="Y266" s="10">
        <f>IF(W266&gt;$AC$34,1,0)</f>
        <v/>
      </c>
      <c r="Z266">
        <f>IF(Y266=C266,1,0)</f>
        <v/>
      </c>
    </row>
    <row r="267">
      <c r="A267">
        <f>'1 prepared data'!A260</f>
        <v/>
      </c>
      <c r="B267" s="5">
        <f>'1 prepared data'!U260</f>
        <v/>
      </c>
      <c r="C267">
        <f>'1 prepared data'!B260</f>
        <v/>
      </c>
      <c r="D267" s="7">
        <f>'1 prepared data'!C260</f>
        <v/>
      </c>
      <c r="E267" s="7">
        <f>'1 prepared data'!D260</f>
        <v/>
      </c>
      <c r="F267" s="7">
        <f>'1 prepared data'!E260</f>
        <v/>
      </c>
      <c r="G267" s="7">
        <f>'1 prepared data'!F260</f>
        <v/>
      </c>
      <c r="H267" s="7">
        <f>'1 prepared data'!G260</f>
        <v/>
      </c>
      <c r="I267" s="7">
        <f>'1 prepared data'!H260</f>
        <v/>
      </c>
      <c r="J267" s="7">
        <f>'1 prepared data'!I260</f>
        <v/>
      </c>
      <c r="K267" s="7">
        <f>'1 prepared data'!J260</f>
        <v/>
      </c>
      <c r="L267" s="7">
        <f>'1 prepared data'!K260</f>
        <v/>
      </c>
      <c r="M267" s="7">
        <f>'1 prepared data'!L260</f>
        <v/>
      </c>
      <c r="N267" s="7">
        <f>'1 prepared data'!M260</f>
        <v/>
      </c>
      <c r="O267" s="7">
        <f>'1 prepared data'!N260</f>
        <v/>
      </c>
      <c r="P267" s="7">
        <f>'1 prepared data'!O260</f>
        <v/>
      </c>
      <c r="Q267" s="7">
        <f>'1 prepared data'!P260</f>
        <v/>
      </c>
      <c r="R267" s="7">
        <f>'1 prepared data'!Q260</f>
        <v/>
      </c>
      <c r="S267" s="7">
        <f>'1 prepared data'!R260</f>
        <v/>
      </c>
      <c r="T267" s="7">
        <f>'1 prepared data'!S260</f>
        <v/>
      </c>
      <c r="U267" s="7">
        <f>'1 prepared data'!T260</f>
        <v/>
      </c>
      <c r="V267" s="8">
        <f>$AC$12+D267*$AC$13+E267*$AC$14+F267*$AC$15+G267*$AC$16+H267*$AC$17+I267*$AC$18+J267*$AC$19+K267*$AC$20+L267*$AC$21+M267*$AC$22+N267*$AC$23+O267*$AC$24+P267*$AC$25+Q267*$AC$26+R267*$AC$27+S267*$AC$28+T267*$AC$29+U267*$AC$30</f>
        <v/>
      </c>
      <c r="W267" s="8">
        <f>1/(1+EXP(-V267))</f>
        <v/>
      </c>
      <c r="X267" s="9">
        <f>-IF(C267=1,LN(W267),LN(1-W267))</f>
        <v/>
      </c>
      <c r="Y267" s="10">
        <f>IF(W267&gt;$AC$34,1,0)</f>
        <v/>
      </c>
      <c r="Z267">
        <f>IF(Y267=C267,1,0)</f>
        <v/>
      </c>
    </row>
    <row r="268">
      <c r="A268">
        <f>'1 prepared data'!A261</f>
        <v/>
      </c>
      <c r="B268" s="5">
        <f>'1 prepared data'!U261</f>
        <v/>
      </c>
      <c r="C268">
        <f>'1 prepared data'!B261</f>
        <v/>
      </c>
      <c r="D268" s="7">
        <f>'1 prepared data'!C261</f>
        <v/>
      </c>
      <c r="E268" s="7">
        <f>'1 prepared data'!D261</f>
        <v/>
      </c>
      <c r="F268" s="7">
        <f>'1 prepared data'!E261</f>
        <v/>
      </c>
      <c r="G268" s="7">
        <f>'1 prepared data'!F261</f>
        <v/>
      </c>
      <c r="H268" s="7">
        <f>'1 prepared data'!G261</f>
        <v/>
      </c>
      <c r="I268" s="7">
        <f>'1 prepared data'!H261</f>
        <v/>
      </c>
      <c r="J268" s="7">
        <f>'1 prepared data'!I261</f>
        <v/>
      </c>
      <c r="K268" s="7">
        <f>'1 prepared data'!J261</f>
        <v/>
      </c>
      <c r="L268" s="7">
        <f>'1 prepared data'!K261</f>
        <v/>
      </c>
      <c r="M268" s="7">
        <f>'1 prepared data'!L261</f>
        <v/>
      </c>
      <c r="N268" s="7">
        <f>'1 prepared data'!M261</f>
        <v/>
      </c>
      <c r="O268" s="7">
        <f>'1 prepared data'!N261</f>
        <v/>
      </c>
      <c r="P268" s="7">
        <f>'1 prepared data'!O261</f>
        <v/>
      </c>
      <c r="Q268" s="7">
        <f>'1 prepared data'!P261</f>
        <v/>
      </c>
      <c r="R268" s="7">
        <f>'1 prepared data'!Q261</f>
        <v/>
      </c>
      <c r="S268" s="7">
        <f>'1 prepared data'!R261</f>
        <v/>
      </c>
      <c r="T268" s="7">
        <f>'1 prepared data'!S261</f>
        <v/>
      </c>
      <c r="U268" s="7">
        <f>'1 prepared data'!T261</f>
        <v/>
      </c>
      <c r="V268" s="8">
        <f>$AC$12+D268*$AC$13+E268*$AC$14+F268*$AC$15+G268*$AC$16+H268*$AC$17+I268*$AC$18+J268*$AC$19+K268*$AC$20+L268*$AC$21+M268*$AC$22+N268*$AC$23+O268*$AC$24+P268*$AC$25+Q268*$AC$26+R268*$AC$27+S268*$AC$28+T268*$AC$29+U268*$AC$30</f>
        <v/>
      </c>
      <c r="W268" s="8">
        <f>1/(1+EXP(-V268))</f>
        <v/>
      </c>
      <c r="X268" s="9">
        <f>-IF(C268=1,LN(W268),LN(1-W268))</f>
        <v/>
      </c>
      <c r="Y268" s="10">
        <f>IF(W268&gt;$AC$34,1,0)</f>
        <v/>
      </c>
      <c r="Z268">
        <f>IF(Y268=C268,1,0)</f>
        <v/>
      </c>
    </row>
    <row r="269">
      <c r="A269">
        <f>'1 prepared data'!A262</f>
        <v/>
      </c>
      <c r="B269" s="5">
        <f>'1 prepared data'!U262</f>
        <v/>
      </c>
      <c r="C269">
        <f>'1 prepared data'!B262</f>
        <v/>
      </c>
      <c r="D269" s="7">
        <f>'1 prepared data'!C262</f>
        <v/>
      </c>
      <c r="E269" s="7">
        <f>'1 prepared data'!D262</f>
        <v/>
      </c>
      <c r="F269" s="7">
        <f>'1 prepared data'!E262</f>
        <v/>
      </c>
      <c r="G269" s="7">
        <f>'1 prepared data'!F262</f>
        <v/>
      </c>
      <c r="H269" s="7">
        <f>'1 prepared data'!G262</f>
        <v/>
      </c>
      <c r="I269" s="7">
        <f>'1 prepared data'!H262</f>
        <v/>
      </c>
      <c r="J269" s="7">
        <f>'1 prepared data'!I262</f>
        <v/>
      </c>
      <c r="K269" s="7">
        <f>'1 prepared data'!J262</f>
        <v/>
      </c>
      <c r="L269" s="7">
        <f>'1 prepared data'!K262</f>
        <v/>
      </c>
      <c r="M269" s="7">
        <f>'1 prepared data'!L262</f>
        <v/>
      </c>
      <c r="N269" s="7">
        <f>'1 prepared data'!M262</f>
        <v/>
      </c>
      <c r="O269" s="7">
        <f>'1 prepared data'!N262</f>
        <v/>
      </c>
      <c r="P269" s="7">
        <f>'1 prepared data'!O262</f>
        <v/>
      </c>
      <c r="Q269" s="7">
        <f>'1 prepared data'!P262</f>
        <v/>
      </c>
      <c r="R269" s="7">
        <f>'1 prepared data'!Q262</f>
        <v/>
      </c>
      <c r="S269" s="7">
        <f>'1 prepared data'!R262</f>
        <v/>
      </c>
      <c r="T269" s="7">
        <f>'1 prepared data'!S262</f>
        <v/>
      </c>
      <c r="U269" s="7">
        <f>'1 prepared data'!T262</f>
        <v/>
      </c>
      <c r="V269" s="8">
        <f>$AC$12+D269*$AC$13+E269*$AC$14+F269*$AC$15+G269*$AC$16+H269*$AC$17+I269*$AC$18+J269*$AC$19+K269*$AC$20+L269*$AC$21+M269*$AC$22+N269*$AC$23+O269*$AC$24+P269*$AC$25+Q269*$AC$26+R269*$AC$27+S269*$AC$28+T269*$AC$29+U269*$AC$30</f>
        <v/>
      </c>
      <c r="W269" s="8">
        <f>1/(1+EXP(-V269))</f>
        <v/>
      </c>
      <c r="X269" s="9">
        <f>-IF(C269=1,LN(W269),LN(1-W269))</f>
        <v/>
      </c>
      <c r="Y269" s="10">
        <f>IF(W269&gt;$AC$34,1,0)</f>
        <v/>
      </c>
      <c r="Z269">
        <f>IF(Y269=C269,1,0)</f>
        <v/>
      </c>
    </row>
    <row r="270">
      <c r="A270">
        <f>'1 prepared data'!A263</f>
        <v/>
      </c>
      <c r="B270" s="5">
        <f>'1 prepared data'!U263</f>
        <v/>
      </c>
      <c r="C270">
        <f>'1 prepared data'!B263</f>
        <v/>
      </c>
      <c r="D270" s="7">
        <f>'1 prepared data'!C263</f>
        <v/>
      </c>
      <c r="E270" s="7">
        <f>'1 prepared data'!D263</f>
        <v/>
      </c>
      <c r="F270" s="7">
        <f>'1 prepared data'!E263</f>
        <v/>
      </c>
      <c r="G270" s="7">
        <f>'1 prepared data'!F263</f>
        <v/>
      </c>
      <c r="H270" s="7">
        <f>'1 prepared data'!G263</f>
        <v/>
      </c>
      <c r="I270" s="7">
        <f>'1 prepared data'!H263</f>
        <v/>
      </c>
      <c r="J270" s="7">
        <f>'1 prepared data'!I263</f>
        <v/>
      </c>
      <c r="K270" s="7">
        <f>'1 prepared data'!J263</f>
        <v/>
      </c>
      <c r="L270" s="7">
        <f>'1 prepared data'!K263</f>
        <v/>
      </c>
      <c r="M270" s="7">
        <f>'1 prepared data'!L263</f>
        <v/>
      </c>
      <c r="N270" s="7">
        <f>'1 prepared data'!M263</f>
        <v/>
      </c>
      <c r="O270" s="7">
        <f>'1 prepared data'!N263</f>
        <v/>
      </c>
      <c r="P270" s="7">
        <f>'1 prepared data'!O263</f>
        <v/>
      </c>
      <c r="Q270" s="7">
        <f>'1 prepared data'!P263</f>
        <v/>
      </c>
      <c r="R270" s="7">
        <f>'1 prepared data'!Q263</f>
        <v/>
      </c>
      <c r="S270" s="7">
        <f>'1 prepared data'!R263</f>
        <v/>
      </c>
      <c r="T270" s="7">
        <f>'1 prepared data'!S263</f>
        <v/>
      </c>
      <c r="U270" s="7">
        <f>'1 prepared data'!T263</f>
        <v/>
      </c>
      <c r="V270" s="8">
        <f>$AC$12+D270*$AC$13+E270*$AC$14+F270*$AC$15+G270*$AC$16+H270*$AC$17+I270*$AC$18+J270*$AC$19+K270*$AC$20+L270*$AC$21+M270*$AC$22+N270*$AC$23+O270*$AC$24+P270*$AC$25+Q270*$AC$26+R270*$AC$27+S270*$AC$28+T270*$AC$29+U270*$AC$30</f>
        <v/>
      </c>
      <c r="W270" s="8">
        <f>1/(1+EXP(-V270))</f>
        <v/>
      </c>
      <c r="X270" s="9">
        <f>-IF(C270=1,LN(W270),LN(1-W270))</f>
        <v/>
      </c>
      <c r="Y270" s="10">
        <f>IF(W270&gt;$AC$34,1,0)</f>
        <v/>
      </c>
      <c r="Z270">
        <f>IF(Y270=C270,1,0)</f>
        <v/>
      </c>
    </row>
    <row r="271">
      <c r="A271">
        <f>'1 prepared data'!A264</f>
        <v/>
      </c>
      <c r="B271" s="5">
        <f>'1 prepared data'!U264</f>
        <v/>
      </c>
      <c r="C271">
        <f>'1 prepared data'!B264</f>
        <v/>
      </c>
      <c r="D271" s="7">
        <f>'1 prepared data'!C264</f>
        <v/>
      </c>
      <c r="E271" s="7">
        <f>'1 prepared data'!D264</f>
        <v/>
      </c>
      <c r="F271" s="7">
        <f>'1 prepared data'!E264</f>
        <v/>
      </c>
      <c r="G271" s="7">
        <f>'1 prepared data'!F264</f>
        <v/>
      </c>
      <c r="H271" s="7">
        <f>'1 prepared data'!G264</f>
        <v/>
      </c>
      <c r="I271" s="7">
        <f>'1 prepared data'!H264</f>
        <v/>
      </c>
      <c r="J271" s="7">
        <f>'1 prepared data'!I264</f>
        <v/>
      </c>
      <c r="K271" s="7">
        <f>'1 prepared data'!J264</f>
        <v/>
      </c>
      <c r="L271" s="7">
        <f>'1 prepared data'!K264</f>
        <v/>
      </c>
      <c r="M271" s="7">
        <f>'1 prepared data'!L264</f>
        <v/>
      </c>
      <c r="N271" s="7">
        <f>'1 prepared data'!M264</f>
        <v/>
      </c>
      <c r="O271" s="7">
        <f>'1 prepared data'!N264</f>
        <v/>
      </c>
      <c r="P271" s="7">
        <f>'1 prepared data'!O264</f>
        <v/>
      </c>
      <c r="Q271" s="7">
        <f>'1 prepared data'!P264</f>
        <v/>
      </c>
      <c r="R271" s="7">
        <f>'1 prepared data'!Q264</f>
        <v/>
      </c>
      <c r="S271" s="7">
        <f>'1 prepared data'!R264</f>
        <v/>
      </c>
      <c r="T271" s="7">
        <f>'1 prepared data'!S264</f>
        <v/>
      </c>
      <c r="U271" s="7">
        <f>'1 prepared data'!T264</f>
        <v/>
      </c>
      <c r="V271" s="8">
        <f>$AC$12+D271*$AC$13+E271*$AC$14+F271*$AC$15+G271*$AC$16+H271*$AC$17+I271*$AC$18+J271*$AC$19+K271*$AC$20+L271*$AC$21+M271*$AC$22+N271*$AC$23+O271*$AC$24+P271*$AC$25+Q271*$AC$26+R271*$AC$27+S271*$AC$28+T271*$AC$29+U271*$AC$30</f>
        <v/>
      </c>
      <c r="W271" s="8">
        <f>1/(1+EXP(-V271))</f>
        <v/>
      </c>
      <c r="X271" s="9">
        <f>-IF(C271=1,LN(W271),LN(1-W271))</f>
        <v/>
      </c>
      <c r="Y271" s="10">
        <f>IF(W271&gt;$AC$34,1,0)</f>
        <v/>
      </c>
      <c r="Z271">
        <f>IF(Y271=C271,1,0)</f>
        <v/>
      </c>
    </row>
    <row r="272">
      <c r="A272">
        <f>'1 prepared data'!A265</f>
        <v/>
      </c>
      <c r="B272" s="5">
        <f>'1 prepared data'!U265</f>
        <v/>
      </c>
      <c r="C272">
        <f>'1 prepared data'!B265</f>
        <v/>
      </c>
      <c r="D272" s="7">
        <f>'1 prepared data'!C265</f>
        <v/>
      </c>
      <c r="E272" s="7">
        <f>'1 prepared data'!D265</f>
        <v/>
      </c>
      <c r="F272" s="7">
        <f>'1 prepared data'!E265</f>
        <v/>
      </c>
      <c r="G272" s="7">
        <f>'1 prepared data'!F265</f>
        <v/>
      </c>
      <c r="H272" s="7">
        <f>'1 prepared data'!G265</f>
        <v/>
      </c>
      <c r="I272" s="7">
        <f>'1 prepared data'!H265</f>
        <v/>
      </c>
      <c r="J272" s="7">
        <f>'1 prepared data'!I265</f>
        <v/>
      </c>
      <c r="K272" s="7">
        <f>'1 prepared data'!J265</f>
        <v/>
      </c>
      <c r="L272" s="7">
        <f>'1 prepared data'!K265</f>
        <v/>
      </c>
      <c r="M272" s="7">
        <f>'1 prepared data'!L265</f>
        <v/>
      </c>
      <c r="N272" s="7">
        <f>'1 prepared data'!M265</f>
        <v/>
      </c>
      <c r="O272" s="7">
        <f>'1 prepared data'!N265</f>
        <v/>
      </c>
      <c r="P272" s="7">
        <f>'1 prepared data'!O265</f>
        <v/>
      </c>
      <c r="Q272" s="7">
        <f>'1 prepared data'!P265</f>
        <v/>
      </c>
      <c r="R272" s="7">
        <f>'1 prepared data'!Q265</f>
        <v/>
      </c>
      <c r="S272" s="7">
        <f>'1 prepared data'!R265</f>
        <v/>
      </c>
      <c r="T272" s="7">
        <f>'1 prepared data'!S265</f>
        <v/>
      </c>
      <c r="U272" s="7">
        <f>'1 prepared data'!T265</f>
        <v/>
      </c>
      <c r="V272" s="8">
        <f>$AC$12+D272*$AC$13+E272*$AC$14+F272*$AC$15+G272*$AC$16+H272*$AC$17+I272*$AC$18+J272*$AC$19+K272*$AC$20+L272*$AC$21+M272*$AC$22+N272*$AC$23+O272*$AC$24+P272*$AC$25+Q272*$AC$26+R272*$AC$27+S272*$AC$28+T272*$AC$29+U272*$AC$30</f>
        <v/>
      </c>
      <c r="W272" s="8">
        <f>1/(1+EXP(-V272))</f>
        <v/>
      </c>
      <c r="X272" s="9">
        <f>-IF(C272=1,LN(W272),LN(1-W272))</f>
        <v/>
      </c>
      <c r="Y272" s="10">
        <f>IF(W272&gt;$AC$34,1,0)</f>
        <v/>
      </c>
      <c r="Z272">
        <f>IF(Y272=C272,1,0)</f>
        <v/>
      </c>
    </row>
    <row r="273">
      <c r="A273">
        <f>'1 prepared data'!A266</f>
        <v/>
      </c>
      <c r="B273" s="5">
        <f>'1 prepared data'!U266</f>
        <v/>
      </c>
      <c r="C273">
        <f>'1 prepared data'!B266</f>
        <v/>
      </c>
      <c r="D273" s="7">
        <f>'1 prepared data'!C266</f>
        <v/>
      </c>
      <c r="E273" s="7">
        <f>'1 prepared data'!D266</f>
        <v/>
      </c>
      <c r="F273" s="7">
        <f>'1 prepared data'!E266</f>
        <v/>
      </c>
      <c r="G273" s="7">
        <f>'1 prepared data'!F266</f>
        <v/>
      </c>
      <c r="H273" s="7">
        <f>'1 prepared data'!G266</f>
        <v/>
      </c>
      <c r="I273" s="7">
        <f>'1 prepared data'!H266</f>
        <v/>
      </c>
      <c r="J273" s="7">
        <f>'1 prepared data'!I266</f>
        <v/>
      </c>
      <c r="K273" s="7">
        <f>'1 prepared data'!J266</f>
        <v/>
      </c>
      <c r="L273" s="7">
        <f>'1 prepared data'!K266</f>
        <v/>
      </c>
      <c r="M273" s="7">
        <f>'1 prepared data'!L266</f>
        <v/>
      </c>
      <c r="N273" s="7">
        <f>'1 prepared data'!M266</f>
        <v/>
      </c>
      <c r="O273" s="7">
        <f>'1 prepared data'!N266</f>
        <v/>
      </c>
      <c r="P273" s="7">
        <f>'1 prepared data'!O266</f>
        <v/>
      </c>
      <c r="Q273" s="7">
        <f>'1 prepared data'!P266</f>
        <v/>
      </c>
      <c r="R273" s="7">
        <f>'1 prepared data'!Q266</f>
        <v/>
      </c>
      <c r="S273" s="7">
        <f>'1 prepared data'!R266</f>
        <v/>
      </c>
      <c r="T273" s="7">
        <f>'1 prepared data'!S266</f>
        <v/>
      </c>
      <c r="U273" s="7">
        <f>'1 prepared data'!T266</f>
        <v/>
      </c>
      <c r="V273" s="8">
        <f>$AC$12+D273*$AC$13+E273*$AC$14+F273*$AC$15+G273*$AC$16+H273*$AC$17+I273*$AC$18+J273*$AC$19+K273*$AC$20+L273*$AC$21+M273*$AC$22+N273*$AC$23+O273*$AC$24+P273*$AC$25+Q273*$AC$26+R273*$AC$27+S273*$AC$28+T273*$AC$29+U273*$AC$30</f>
        <v/>
      </c>
      <c r="W273" s="8">
        <f>1/(1+EXP(-V273))</f>
        <v/>
      </c>
      <c r="X273" s="9">
        <f>-IF(C273=1,LN(W273),LN(1-W273))</f>
        <v/>
      </c>
      <c r="Y273" s="10">
        <f>IF(W273&gt;$AC$34,1,0)</f>
        <v/>
      </c>
      <c r="Z273">
        <f>IF(Y273=C273,1,0)</f>
        <v/>
      </c>
    </row>
    <row r="274">
      <c r="A274">
        <f>'1 prepared data'!A267</f>
        <v/>
      </c>
      <c r="B274" s="5">
        <f>'1 prepared data'!U267</f>
        <v/>
      </c>
      <c r="C274">
        <f>'1 prepared data'!B267</f>
        <v/>
      </c>
      <c r="D274" s="7">
        <f>'1 prepared data'!C267</f>
        <v/>
      </c>
      <c r="E274" s="7">
        <f>'1 prepared data'!D267</f>
        <v/>
      </c>
      <c r="F274" s="7">
        <f>'1 prepared data'!E267</f>
        <v/>
      </c>
      <c r="G274" s="7">
        <f>'1 prepared data'!F267</f>
        <v/>
      </c>
      <c r="H274" s="7">
        <f>'1 prepared data'!G267</f>
        <v/>
      </c>
      <c r="I274" s="7">
        <f>'1 prepared data'!H267</f>
        <v/>
      </c>
      <c r="J274" s="7">
        <f>'1 prepared data'!I267</f>
        <v/>
      </c>
      <c r="K274" s="7">
        <f>'1 prepared data'!J267</f>
        <v/>
      </c>
      <c r="L274" s="7">
        <f>'1 prepared data'!K267</f>
        <v/>
      </c>
      <c r="M274" s="7">
        <f>'1 prepared data'!L267</f>
        <v/>
      </c>
      <c r="N274" s="7">
        <f>'1 prepared data'!M267</f>
        <v/>
      </c>
      <c r="O274" s="7">
        <f>'1 prepared data'!N267</f>
        <v/>
      </c>
      <c r="P274" s="7">
        <f>'1 prepared data'!O267</f>
        <v/>
      </c>
      <c r="Q274" s="7">
        <f>'1 prepared data'!P267</f>
        <v/>
      </c>
      <c r="R274" s="7">
        <f>'1 prepared data'!Q267</f>
        <v/>
      </c>
      <c r="S274" s="7">
        <f>'1 prepared data'!R267</f>
        <v/>
      </c>
      <c r="T274" s="7">
        <f>'1 prepared data'!S267</f>
        <v/>
      </c>
      <c r="U274" s="7">
        <f>'1 prepared data'!T267</f>
        <v/>
      </c>
      <c r="V274" s="8">
        <f>$AC$12+D274*$AC$13+E274*$AC$14+F274*$AC$15+G274*$AC$16+H274*$AC$17+I274*$AC$18+J274*$AC$19+K274*$AC$20+L274*$AC$21+M274*$AC$22+N274*$AC$23+O274*$AC$24+P274*$AC$25+Q274*$AC$26+R274*$AC$27+S274*$AC$28+T274*$AC$29+U274*$AC$30</f>
        <v/>
      </c>
      <c r="W274" s="8">
        <f>1/(1+EXP(-V274))</f>
        <v/>
      </c>
      <c r="X274" s="9">
        <f>-IF(C274=1,LN(W274),LN(1-W274))</f>
        <v/>
      </c>
      <c r="Y274" s="10">
        <f>IF(W274&gt;$AC$34,1,0)</f>
        <v/>
      </c>
      <c r="Z274">
        <f>IF(Y274=C274,1,0)</f>
        <v/>
      </c>
    </row>
    <row r="275">
      <c r="A275">
        <f>'1 prepared data'!A268</f>
        <v/>
      </c>
      <c r="B275" s="5">
        <f>'1 prepared data'!U268</f>
        <v/>
      </c>
      <c r="C275">
        <f>'1 prepared data'!B268</f>
        <v/>
      </c>
      <c r="D275" s="7">
        <f>'1 prepared data'!C268</f>
        <v/>
      </c>
      <c r="E275" s="7">
        <f>'1 prepared data'!D268</f>
        <v/>
      </c>
      <c r="F275" s="7">
        <f>'1 prepared data'!E268</f>
        <v/>
      </c>
      <c r="G275" s="7">
        <f>'1 prepared data'!F268</f>
        <v/>
      </c>
      <c r="H275" s="7">
        <f>'1 prepared data'!G268</f>
        <v/>
      </c>
      <c r="I275" s="7">
        <f>'1 prepared data'!H268</f>
        <v/>
      </c>
      <c r="J275" s="7">
        <f>'1 prepared data'!I268</f>
        <v/>
      </c>
      <c r="K275" s="7">
        <f>'1 prepared data'!J268</f>
        <v/>
      </c>
      <c r="L275" s="7">
        <f>'1 prepared data'!K268</f>
        <v/>
      </c>
      <c r="M275" s="7">
        <f>'1 prepared data'!L268</f>
        <v/>
      </c>
      <c r="N275" s="7">
        <f>'1 prepared data'!M268</f>
        <v/>
      </c>
      <c r="O275" s="7">
        <f>'1 prepared data'!N268</f>
        <v/>
      </c>
      <c r="P275" s="7">
        <f>'1 prepared data'!O268</f>
        <v/>
      </c>
      <c r="Q275" s="7">
        <f>'1 prepared data'!P268</f>
        <v/>
      </c>
      <c r="R275" s="7">
        <f>'1 prepared data'!Q268</f>
        <v/>
      </c>
      <c r="S275" s="7">
        <f>'1 prepared data'!R268</f>
        <v/>
      </c>
      <c r="T275" s="7">
        <f>'1 prepared data'!S268</f>
        <v/>
      </c>
      <c r="U275" s="7">
        <f>'1 prepared data'!T268</f>
        <v/>
      </c>
      <c r="V275" s="8">
        <f>$AC$12+D275*$AC$13+E275*$AC$14+F275*$AC$15+G275*$AC$16+H275*$AC$17+I275*$AC$18+J275*$AC$19+K275*$AC$20+L275*$AC$21+M275*$AC$22+N275*$AC$23+O275*$AC$24+P275*$AC$25+Q275*$AC$26+R275*$AC$27+S275*$AC$28+T275*$AC$29+U275*$AC$30</f>
        <v/>
      </c>
      <c r="W275" s="8">
        <f>1/(1+EXP(-V275))</f>
        <v/>
      </c>
      <c r="X275" s="9">
        <f>-IF(C275=1,LN(W275),LN(1-W275))</f>
        <v/>
      </c>
      <c r="Y275" s="10">
        <f>IF(W275&gt;$AC$34,1,0)</f>
        <v/>
      </c>
      <c r="Z275">
        <f>IF(Y275=C275,1,0)</f>
        <v/>
      </c>
    </row>
    <row r="276">
      <c r="A276">
        <f>'1 prepared data'!A269</f>
        <v/>
      </c>
      <c r="B276" s="5">
        <f>'1 prepared data'!U269</f>
        <v/>
      </c>
      <c r="C276">
        <f>'1 prepared data'!B269</f>
        <v/>
      </c>
      <c r="D276" s="7">
        <f>'1 prepared data'!C269</f>
        <v/>
      </c>
      <c r="E276" s="7">
        <f>'1 prepared data'!D269</f>
        <v/>
      </c>
      <c r="F276" s="7">
        <f>'1 prepared data'!E269</f>
        <v/>
      </c>
      <c r="G276" s="7">
        <f>'1 prepared data'!F269</f>
        <v/>
      </c>
      <c r="H276" s="7">
        <f>'1 prepared data'!G269</f>
        <v/>
      </c>
      <c r="I276" s="7">
        <f>'1 prepared data'!H269</f>
        <v/>
      </c>
      <c r="J276" s="7">
        <f>'1 prepared data'!I269</f>
        <v/>
      </c>
      <c r="K276" s="7">
        <f>'1 prepared data'!J269</f>
        <v/>
      </c>
      <c r="L276" s="7">
        <f>'1 prepared data'!K269</f>
        <v/>
      </c>
      <c r="M276" s="7">
        <f>'1 prepared data'!L269</f>
        <v/>
      </c>
      <c r="N276" s="7">
        <f>'1 prepared data'!M269</f>
        <v/>
      </c>
      <c r="O276" s="7">
        <f>'1 prepared data'!N269</f>
        <v/>
      </c>
      <c r="P276" s="7">
        <f>'1 prepared data'!O269</f>
        <v/>
      </c>
      <c r="Q276" s="7">
        <f>'1 prepared data'!P269</f>
        <v/>
      </c>
      <c r="R276" s="7">
        <f>'1 prepared data'!Q269</f>
        <v/>
      </c>
      <c r="S276" s="7">
        <f>'1 prepared data'!R269</f>
        <v/>
      </c>
      <c r="T276" s="7">
        <f>'1 prepared data'!S269</f>
        <v/>
      </c>
      <c r="U276" s="7">
        <f>'1 prepared data'!T269</f>
        <v/>
      </c>
      <c r="V276" s="8">
        <f>$AC$12+D276*$AC$13+E276*$AC$14+F276*$AC$15+G276*$AC$16+H276*$AC$17+I276*$AC$18+J276*$AC$19+K276*$AC$20+L276*$AC$21+M276*$AC$22+N276*$AC$23+O276*$AC$24+P276*$AC$25+Q276*$AC$26+R276*$AC$27+S276*$AC$28+T276*$AC$29+U276*$AC$30</f>
        <v/>
      </c>
      <c r="W276" s="8">
        <f>1/(1+EXP(-V276))</f>
        <v/>
      </c>
      <c r="X276" s="9">
        <f>-IF(C276=1,LN(W276),LN(1-W276))</f>
        <v/>
      </c>
      <c r="Y276" s="10">
        <f>IF(W276&gt;$AC$34,1,0)</f>
        <v/>
      </c>
      <c r="Z276">
        <f>IF(Y276=C276,1,0)</f>
        <v/>
      </c>
    </row>
    <row r="277">
      <c r="A277">
        <f>'1 prepared data'!A270</f>
        <v/>
      </c>
      <c r="B277" s="5">
        <f>'1 prepared data'!U270</f>
        <v/>
      </c>
      <c r="C277">
        <f>'1 prepared data'!B270</f>
        <v/>
      </c>
      <c r="D277" s="7">
        <f>'1 prepared data'!C270</f>
        <v/>
      </c>
      <c r="E277" s="7">
        <f>'1 prepared data'!D270</f>
        <v/>
      </c>
      <c r="F277" s="7">
        <f>'1 prepared data'!E270</f>
        <v/>
      </c>
      <c r="G277" s="7">
        <f>'1 prepared data'!F270</f>
        <v/>
      </c>
      <c r="H277" s="7">
        <f>'1 prepared data'!G270</f>
        <v/>
      </c>
      <c r="I277" s="7">
        <f>'1 prepared data'!H270</f>
        <v/>
      </c>
      <c r="J277" s="7">
        <f>'1 prepared data'!I270</f>
        <v/>
      </c>
      <c r="K277" s="7">
        <f>'1 prepared data'!J270</f>
        <v/>
      </c>
      <c r="L277" s="7">
        <f>'1 prepared data'!K270</f>
        <v/>
      </c>
      <c r="M277" s="7">
        <f>'1 prepared data'!L270</f>
        <v/>
      </c>
      <c r="N277" s="7">
        <f>'1 prepared data'!M270</f>
        <v/>
      </c>
      <c r="O277" s="7">
        <f>'1 prepared data'!N270</f>
        <v/>
      </c>
      <c r="P277" s="7">
        <f>'1 prepared data'!O270</f>
        <v/>
      </c>
      <c r="Q277" s="7">
        <f>'1 prepared data'!P270</f>
        <v/>
      </c>
      <c r="R277" s="7">
        <f>'1 prepared data'!Q270</f>
        <v/>
      </c>
      <c r="S277" s="7">
        <f>'1 prepared data'!R270</f>
        <v/>
      </c>
      <c r="T277" s="7">
        <f>'1 prepared data'!S270</f>
        <v/>
      </c>
      <c r="U277" s="7">
        <f>'1 prepared data'!T270</f>
        <v/>
      </c>
      <c r="V277" s="8">
        <f>$AC$12+D277*$AC$13+E277*$AC$14+F277*$AC$15+G277*$AC$16+H277*$AC$17+I277*$AC$18+J277*$AC$19+K277*$AC$20+L277*$AC$21+M277*$AC$22+N277*$AC$23+O277*$AC$24+P277*$AC$25+Q277*$AC$26+R277*$AC$27+S277*$AC$28+T277*$AC$29+U277*$AC$30</f>
        <v/>
      </c>
      <c r="W277" s="8">
        <f>1/(1+EXP(-V277))</f>
        <v/>
      </c>
      <c r="X277" s="9">
        <f>-IF(C277=1,LN(W277),LN(1-W277))</f>
        <v/>
      </c>
      <c r="Y277" s="10">
        <f>IF(W277&gt;$AC$34,1,0)</f>
        <v/>
      </c>
      <c r="Z277">
        <f>IF(Y277=C277,1,0)</f>
        <v/>
      </c>
    </row>
    <row r="278">
      <c r="A278">
        <f>'1 prepared data'!A271</f>
        <v/>
      </c>
      <c r="B278" s="5">
        <f>'1 prepared data'!U271</f>
        <v/>
      </c>
      <c r="C278">
        <f>'1 prepared data'!B271</f>
        <v/>
      </c>
      <c r="D278" s="7">
        <f>'1 prepared data'!C271</f>
        <v/>
      </c>
      <c r="E278" s="7">
        <f>'1 prepared data'!D271</f>
        <v/>
      </c>
      <c r="F278" s="7">
        <f>'1 prepared data'!E271</f>
        <v/>
      </c>
      <c r="G278" s="7">
        <f>'1 prepared data'!F271</f>
        <v/>
      </c>
      <c r="H278" s="7">
        <f>'1 prepared data'!G271</f>
        <v/>
      </c>
      <c r="I278" s="7">
        <f>'1 prepared data'!H271</f>
        <v/>
      </c>
      <c r="J278" s="7">
        <f>'1 prepared data'!I271</f>
        <v/>
      </c>
      <c r="K278" s="7">
        <f>'1 prepared data'!J271</f>
        <v/>
      </c>
      <c r="L278" s="7">
        <f>'1 prepared data'!K271</f>
        <v/>
      </c>
      <c r="M278" s="7">
        <f>'1 prepared data'!L271</f>
        <v/>
      </c>
      <c r="N278" s="7">
        <f>'1 prepared data'!M271</f>
        <v/>
      </c>
      <c r="O278" s="7">
        <f>'1 prepared data'!N271</f>
        <v/>
      </c>
      <c r="P278" s="7">
        <f>'1 prepared data'!O271</f>
        <v/>
      </c>
      <c r="Q278" s="7">
        <f>'1 prepared data'!P271</f>
        <v/>
      </c>
      <c r="R278" s="7">
        <f>'1 prepared data'!Q271</f>
        <v/>
      </c>
      <c r="S278" s="7">
        <f>'1 prepared data'!R271</f>
        <v/>
      </c>
      <c r="T278" s="7">
        <f>'1 prepared data'!S271</f>
        <v/>
      </c>
      <c r="U278" s="7">
        <f>'1 prepared data'!T271</f>
        <v/>
      </c>
      <c r="V278" s="8">
        <f>$AC$12+D278*$AC$13+E278*$AC$14+F278*$AC$15+G278*$AC$16+H278*$AC$17+I278*$AC$18+J278*$AC$19+K278*$AC$20+L278*$AC$21+M278*$AC$22+N278*$AC$23+O278*$AC$24+P278*$AC$25+Q278*$AC$26+R278*$AC$27+S278*$AC$28+T278*$AC$29+U278*$AC$30</f>
        <v/>
      </c>
      <c r="W278" s="8">
        <f>1/(1+EXP(-V278))</f>
        <v/>
      </c>
      <c r="X278" s="9">
        <f>-IF(C278=1,LN(W278),LN(1-W278))</f>
        <v/>
      </c>
      <c r="Y278" s="10">
        <f>IF(W278&gt;$AC$34,1,0)</f>
        <v/>
      </c>
      <c r="Z278">
        <f>IF(Y278=C278,1,0)</f>
        <v/>
      </c>
    </row>
    <row r="279">
      <c r="A279">
        <f>'1 prepared data'!A272</f>
        <v/>
      </c>
      <c r="B279" s="5">
        <f>'1 prepared data'!U272</f>
        <v/>
      </c>
      <c r="C279">
        <f>'1 prepared data'!B272</f>
        <v/>
      </c>
      <c r="D279" s="7">
        <f>'1 prepared data'!C272</f>
        <v/>
      </c>
      <c r="E279" s="7">
        <f>'1 prepared data'!D272</f>
        <v/>
      </c>
      <c r="F279" s="7">
        <f>'1 prepared data'!E272</f>
        <v/>
      </c>
      <c r="G279" s="7">
        <f>'1 prepared data'!F272</f>
        <v/>
      </c>
      <c r="H279" s="7">
        <f>'1 prepared data'!G272</f>
        <v/>
      </c>
      <c r="I279" s="7">
        <f>'1 prepared data'!H272</f>
        <v/>
      </c>
      <c r="J279" s="7">
        <f>'1 prepared data'!I272</f>
        <v/>
      </c>
      <c r="K279" s="7">
        <f>'1 prepared data'!J272</f>
        <v/>
      </c>
      <c r="L279" s="7">
        <f>'1 prepared data'!K272</f>
        <v/>
      </c>
      <c r="M279" s="7">
        <f>'1 prepared data'!L272</f>
        <v/>
      </c>
      <c r="N279" s="7">
        <f>'1 prepared data'!M272</f>
        <v/>
      </c>
      <c r="O279" s="7">
        <f>'1 prepared data'!N272</f>
        <v/>
      </c>
      <c r="P279" s="7">
        <f>'1 prepared data'!O272</f>
        <v/>
      </c>
      <c r="Q279" s="7">
        <f>'1 prepared data'!P272</f>
        <v/>
      </c>
      <c r="R279" s="7">
        <f>'1 prepared data'!Q272</f>
        <v/>
      </c>
      <c r="S279" s="7">
        <f>'1 prepared data'!R272</f>
        <v/>
      </c>
      <c r="T279" s="7">
        <f>'1 prepared data'!S272</f>
        <v/>
      </c>
      <c r="U279" s="7">
        <f>'1 prepared data'!T272</f>
        <v/>
      </c>
      <c r="V279" s="8">
        <f>$AC$12+D279*$AC$13+E279*$AC$14+F279*$AC$15+G279*$AC$16+H279*$AC$17+I279*$AC$18+J279*$AC$19+K279*$AC$20+L279*$AC$21+M279*$AC$22+N279*$AC$23+O279*$AC$24+P279*$AC$25+Q279*$AC$26+R279*$AC$27+S279*$AC$28+T279*$AC$29+U279*$AC$30</f>
        <v/>
      </c>
      <c r="W279" s="8">
        <f>1/(1+EXP(-V279))</f>
        <v/>
      </c>
      <c r="X279" s="9">
        <f>-IF(C279=1,LN(W279),LN(1-W279))</f>
        <v/>
      </c>
      <c r="Y279" s="10">
        <f>IF(W279&gt;$AC$34,1,0)</f>
        <v/>
      </c>
      <c r="Z279">
        <f>IF(Y279=C279,1,0)</f>
        <v/>
      </c>
    </row>
    <row r="280">
      <c r="A280">
        <f>'1 prepared data'!A273</f>
        <v/>
      </c>
      <c r="B280" s="5">
        <f>'1 prepared data'!U273</f>
        <v/>
      </c>
      <c r="C280">
        <f>'1 prepared data'!B273</f>
        <v/>
      </c>
      <c r="D280" s="7">
        <f>'1 prepared data'!C273</f>
        <v/>
      </c>
      <c r="E280" s="7">
        <f>'1 prepared data'!D273</f>
        <v/>
      </c>
      <c r="F280" s="7">
        <f>'1 prepared data'!E273</f>
        <v/>
      </c>
      <c r="G280" s="7">
        <f>'1 prepared data'!F273</f>
        <v/>
      </c>
      <c r="H280" s="7">
        <f>'1 prepared data'!G273</f>
        <v/>
      </c>
      <c r="I280" s="7">
        <f>'1 prepared data'!H273</f>
        <v/>
      </c>
      <c r="J280" s="7">
        <f>'1 prepared data'!I273</f>
        <v/>
      </c>
      <c r="K280" s="7">
        <f>'1 prepared data'!J273</f>
        <v/>
      </c>
      <c r="L280" s="7">
        <f>'1 prepared data'!K273</f>
        <v/>
      </c>
      <c r="M280" s="7">
        <f>'1 prepared data'!L273</f>
        <v/>
      </c>
      <c r="N280" s="7">
        <f>'1 prepared data'!M273</f>
        <v/>
      </c>
      <c r="O280" s="7">
        <f>'1 prepared data'!N273</f>
        <v/>
      </c>
      <c r="P280" s="7">
        <f>'1 prepared data'!O273</f>
        <v/>
      </c>
      <c r="Q280" s="7">
        <f>'1 prepared data'!P273</f>
        <v/>
      </c>
      <c r="R280" s="7">
        <f>'1 prepared data'!Q273</f>
        <v/>
      </c>
      <c r="S280" s="7">
        <f>'1 prepared data'!R273</f>
        <v/>
      </c>
      <c r="T280" s="7">
        <f>'1 prepared data'!S273</f>
        <v/>
      </c>
      <c r="U280" s="7">
        <f>'1 prepared data'!T273</f>
        <v/>
      </c>
      <c r="V280" s="8">
        <f>$AC$12+D280*$AC$13+E280*$AC$14+F280*$AC$15+G280*$AC$16+H280*$AC$17+I280*$AC$18+J280*$AC$19+K280*$AC$20+L280*$AC$21+M280*$AC$22+N280*$AC$23+O280*$AC$24+P280*$AC$25+Q280*$AC$26+R280*$AC$27+S280*$AC$28+T280*$AC$29+U280*$AC$30</f>
        <v/>
      </c>
      <c r="W280" s="8">
        <f>1/(1+EXP(-V280))</f>
        <v/>
      </c>
      <c r="X280" s="9">
        <f>-IF(C280=1,LN(W280),LN(1-W280))</f>
        <v/>
      </c>
      <c r="Y280" s="10">
        <f>IF(W280&gt;$AC$34,1,0)</f>
        <v/>
      </c>
      <c r="Z280">
        <f>IF(Y280=C280,1,0)</f>
        <v/>
      </c>
    </row>
    <row r="281">
      <c r="A281">
        <f>'1 prepared data'!A274</f>
        <v/>
      </c>
      <c r="B281" s="5">
        <f>'1 prepared data'!U274</f>
        <v/>
      </c>
      <c r="C281">
        <f>'1 prepared data'!B274</f>
        <v/>
      </c>
      <c r="D281" s="7">
        <f>'1 prepared data'!C274</f>
        <v/>
      </c>
      <c r="E281" s="7">
        <f>'1 prepared data'!D274</f>
        <v/>
      </c>
      <c r="F281" s="7">
        <f>'1 prepared data'!E274</f>
        <v/>
      </c>
      <c r="G281" s="7">
        <f>'1 prepared data'!F274</f>
        <v/>
      </c>
      <c r="H281" s="7">
        <f>'1 prepared data'!G274</f>
        <v/>
      </c>
      <c r="I281" s="7">
        <f>'1 prepared data'!H274</f>
        <v/>
      </c>
      <c r="J281" s="7">
        <f>'1 prepared data'!I274</f>
        <v/>
      </c>
      <c r="K281" s="7">
        <f>'1 prepared data'!J274</f>
        <v/>
      </c>
      <c r="L281" s="7">
        <f>'1 prepared data'!K274</f>
        <v/>
      </c>
      <c r="M281" s="7">
        <f>'1 prepared data'!L274</f>
        <v/>
      </c>
      <c r="N281" s="7">
        <f>'1 prepared data'!M274</f>
        <v/>
      </c>
      <c r="O281" s="7">
        <f>'1 prepared data'!N274</f>
        <v/>
      </c>
      <c r="P281" s="7">
        <f>'1 prepared data'!O274</f>
        <v/>
      </c>
      <c r="Q281" s="7">
        <f>'1 prepared data'!P274</f>
        <v/>
      </c>
      <c r="R281" s="7">
        <f>'1 prepared data'!Q274</f>
        <v/>
      </c>
      <c r="S281" s="7">
        <f>'1 prepared data'!R274</f>
        <v/>
      </c>
      <c r="T281" s="7">
        <f>'1 prepared data'!S274</f>
        <v/>
      </c>
      <c r="U281" s="7">
        <f>'1 prepared data'!T274</f>
        <v/>
      </c>
      <c r="V281" s="8">
        <f>$AC$12+D281*$AC$13+E281*$AC$14+F281*$AC$15+G281*$AC$16+H281*$AC$17+I281*$AC$18+J281*$AC$19+K281*$AC$20+L281*$AC$21+M281*$AC$22+N281*$AC$23+O281*$AC$24+P281*$AC$25+Q281*$AC$26+R281*$AC$27+S281*$AC$28+T281*$AC$29+U281*$AC$30</f>
        <v/>
      </c>
      <c r="W281" s="8">
        <f>1/(1+EXP(-V281))</f>
        <v/>
      </c>
      <c r="X281" s="9">
        <f>-IF(C281=1,LN(W281),LN(1-W281))</f>
        <v/>
      </c>
      <c r="Y281" s="10">
        <f>IF(W281&gt;$AC$34,1,0)</f>
        <v/>
      </c>
      <c r="Z281">
        <f>IF(Y281=C281,1,0)</f>
        <v/>
      </c>
    </row>
    <row r="282">
      <c r="A282">
        <f>'1 prepared data'!A275</f>
        <v/>
      </c>
      <c r="B282" s="5">
        <f>'1 prepared data'!U275</f>
        <v/>
      </c>
      <c r="C282">
        <f>'1 prepared data'!B275</f>
        <v/>
      </c>
      <c r="D282" s="7">
        <f>'1 prepared data'!C275</f>
        <v/>
      </c>
      <c r="E282" s="7">
        <f>'1 prepared data'!D275</f>
        <v/>
      </c>
      <c r="F282" s="7">
        <f>'1 prepared data'!E275</f>
        <v/>
      </c>
      <c r="G282" s="7">
        <f>'1 prepared data'!F275</f>
        <v/>
      </c>
      <c r="H282" s="7">
        <f>'1 prepared data'!G275</f>
        <v/>
      </c>
      <c r="I282" s="7">
        <f>'1 prepared data'!H275</f>
        <v/>
      </c>
      <c r="J282" s="7">
        <f>'1 prepared data'!I275</f>
        <v/>
      </c>
      <c r="K282" s="7">
        <f>'1 prepared data'!J275</f>
        <v/>
      </c>
      <c r="L282" s="7">
        <f>'1 prepared data'!K275</f>
        <v/>
      </c>
      <c r="M282" s="7">
        <f>'1 prepared data'!L275</f>
        <v/>
      </c>
      <c r="N282" s="7">
        <f>'1 prepared data'!M275</f>
        <v/>
      </c>
      <c r="O282" s="7">
        <f>'1 prepared data'!N275</f>
        <v/>
      </c>
      <c r="P282" s="7">
        <f>'1 prepared data'!O275</f>
        <v/>
      </c>
      <c r="Q282" s="7">
        <f>'1 prepared data'!P275</f>
        <v/>
      </c>
      <c r="R282" s="7">
        <f>'1 prepared data'!Q275</f>
        <v/>
      </c>
      <c r="S282" s="7">
        <f>'1 prepared data'!R275</f>
        <v/>
      </c>
      <c r="T282" s="7">
        <f>'1 prepared data'!S275</f>
        <v/>
      </c>
      <c r="U282" s="7">
        <f>'1 prepared data'!T275</f>
        <v/>
      </c>
      <c r="V282" s="8">
        <f>$AC$12+D282*$AC$13+E282*$AC$14+F282*$AC$15+G282*$AC$16+H282*$AC$17+I282*$AC$18+J282*$AC$19+K282*$AC$20+L282*$AC$21+M282*$AC$22+N282*$AC$23+O282*$AC$24+P282*$AC$25+Q282*$AC$26+R282*$AC$27+S282*$AC$28+T282*$AC$29+U282*$AC$30</f>
        <v/>
      </c>
      <c r="W282" s="8">
        <f>1/(1+EXP(-V282))</f>
        <v/>
      </c>
      <c r="X282" s="9">
        <f>-IF(C282=1,LN(W282),LN(1-W282))</f>
        <v/>
      </c>
      <c r="Y282" s="10">
        <f>IF(W282&gt;$AC$34,1,0)</f>
        <v/>
      </c>
      <c r="Z282">
        <f>IF(Y282=C282,1,0)</f>
        <v/>
      </c>
    </row>
    <row r="283">
      <c r="A283">
        <f>'1 prepared data'!A276</f>
        <v/>
      </c>
      <c r="B283" s="5">
        <f>'1 prepared data'!U276</f>
        <v/>
      </c>
      <c r="C283">
        <f>'1 prepared data'!B276</f>
        <v/>
      </c>
      <c r="D283" s="7">
        <f>'1 prepared data'!C276</f>
        <v/>
      </c>
      <c r="E283" s="7">
        <f>'1 prepared data'!D276</f>
        <v/>
      </c>
      <c r="F283" s="7">
        <f>'1 prepared data'!E276</f>
        <v/>
      </c>
      <c r="G283" s="7">
        <f>'1 prepared data'!F276</f>
        <v/>
      </c>
      <c r="H283" s="7">
        <f>'1 prepared data'!G276</f>
        <v/>
      </c>
      <c r="I283" s="7">
        <f>'1 prepared data'!H276</f>
        <v/>
      </c>
      <c r="J283" s="7">
        <f>'1 prepared data'!I276</f>
        <v/>
      </c>
      <c r="K283" s="7">
        <f>'1 prepared data'!J276</f>
        <v/>
      </c>
      <c r="L283" s="7">
        <f>'1 prepared data'!K276</f>
        <v/>
      </c>
      <c r="M283" s="7">
        <f>'1 prepared data'!L276</f>
        <v/>
      </c>
      <c r="N283" s="7">
        <f>'1 prepared data'!M276</f>
        <v/>
      </c>
      <c r="O283" s="7">
        <f>'1 prepared data'!N276</f>
        <v/>
      </c>
      <c r="P283" s="7">
        <f>'1 prepared data'!O276</f>
        <v/>
      </c>
      <c r="Q283" s="7">
        <f>'1 prepared data'!P276</f>
        <v/>
      </c>
      <c r="R283" s="7">
        <f>'1 prepared data'!Q276</f>
        <v/>
      </c>
      <c r="S283" s="7">
        <f>'1 prepared data'!R276</f>
        <v/>
      </c>
      <c r="T283" s="7">
        <f>'1 prepared data'!S276</f>
        <v/>
      </c>
      <c r="U283" s="7">
        <f>'1 prepared data'!T276</f>
        <v/>
      </c>
      <c r="V283" s="8">
        <f>$AC$12+D283*$AC$13+E283*$AC$14+F283*$AC$15+G283*$AC$16+H283*$AC$17+I283*$AC$18+J283*$AC$19+K283*$AC$20+L283*$AC$21+M283*$AC$22+N283*$AC$23+O283*$AC$24+P283*$AC$25+Q283*$AC$26+R283*$AC$27+S283*$AC$28+T283*$AC$29+U283*$AC$30</f>
        <v/>
      </c>
      <c r="W283" s="8">
        <f>1/(1+EXP(-V283))</f>
        <v/>
      </c>
      <c r="X283" s="9">
        <f>-IF(C283=1,LN(W283),LN(1-W283))</f>
        <v/>
      </c>
      <c r="Y283" s="10">
        <f>IF(W283&gt;$AC$34,1,0)</f>
        <v/>
      </c>
      <c r="Z283">
        <f>IF(Y283=C283,1,0)</f>
        <v/>
      </c>
    </row>
    <row r="284">
      <c r="A284">
        <f>'1 prepared data'!A277</f>
        <v/>
      </c>
      <c r="B284" s="5">
        <f>'1 prepared data'!U277</f>
        <v/>
      </c>
      <c r="C284">
        <f>'1 prepared data'!B277</f>
        <v/>
      </c>
      <c r="D284" s="7">
        <f>'1 prepared data'!C277</f>
        <v/>
      </c>
      <c r="E284" s="7">
        <f>'1 prepared data'!D277</f>
        <v/>
      </c>
      <c r="F284" s="7">
        <f>'1 prepared data'!E277</f>
        <v/>
      </c>
      <c r="G284" s="7">
        <f>'1 prepared data'!F277</f>
        <v/>
      </c>
      <c r="H284" s="7">
        <f>'1 prepared data'!G277</f>
        <v/>
      </c>
      <c r="I284" s="7">
        <f>'1 prepared data'!H277</f>
        <v/>
      </c>
      <c r="J284" s="7">
        <f>'1 prepared data'!I277</f>
        <v/>
      </c>
      <c r="K284" s="7">
        <f>'1 prepared data'!J277</f>
        <v/>
      </c>
      <c r="L284" s="7">
        <f>'1 prepared data'!K277</f>
        <v/>
      </c>
      <c r="M284" s="7">
        <f>'1 prepared data'!L277</f>
        <v/>
      </c>
      <c r="N284" s="7">
        <f>'1 prepared data'!M277</f>
        <v/>
      </c>
      <c r="O284" s="7">
        <f>'1 prepared data'!N277</f>
        <v/>
      </c>
      <c r="P284" s="7">
        <f>'1 prepared data'!O277</f>
        <v/>
      </c>
      <c r="Q284" s="7">
        <f>'1 prepared data'!P277</f>
        <v/>
      </c>
      <c r="R284" s="7">
        <f>'1 prepared data'!Q277</f>
        <v/>
      </c>
      <c r="S284" s="7">
        <f>'1 prepared data'!R277</f>
        <v/>
      </c>
      <c r="T284" s="7">
        <f>'1 prepared data'!S277</f>
        <v/>
      </c>
      <c r="U284" s="7">
        <f>'1 prepared data'!T277</f>
        <v/>
      </c>
      <c r="V284" s="8">
        <f>$AC$12+D284*$AC$13+E284*$AC$14+F284*$AC$15+G284*$AC$16+H284*$AC$17+I284*$AC$18+J284*$AC$19+K284*$AC$20+L284*$AC$21+M284*$AC$22+N284*$AC$23+O284*$AC$24+P284*$AC$25+Q284*$AC$26+R284*$AC$27+S284*$AC$28+T284*$AC$29+U284*$AC$30</f>
        <v/>
      </c>
      <c r="W284" s="8">
        <f>1/(1+EXP(-V284))</f>
        <v/>
      </c>
      <c r="X284" s="9">
        <f>-IF(C284=1,LN(W284),LN(1-W284))</f>
        <v/>
      </c>
      <c r="Y284" s="10">
        <f>IF(W284&gt;$AC$34,1,0)</f>
        <v/>
      </c>
      <c r="Z284">
        <f>IF(Y284=C284,1,0)</f>
        <v/>
      </c>
    </row>
    <row r="285">
      <c r="A285">
        <f>'1 prepared data'!A278</f>
        <v/>
      </c>
      <c r="B285" s="5">
        <f>'1 prepared data'!U278</f>
        <v/>
      </c>
      <c r="C285">
        <f>'1 prepared data'!B278</f>
        <v/>
      </c>
      <c r="D285" s="7">
        <f>'1 prepared data'!C278</f>
        <v/>
      </c>
      <c r="E285" s="7">
        <f>'1 prepared data'!D278</f>
        <v/>
      </c>
      <c r="F285" s="7">
        <f>'1 prepared data'!E278</f>
        <v/>
      </c>
      <c r="G285" s="7">
        <f>'1 prepared data'!F278</f>
        <v/>
      </c>
      <c r="H285" s="7">
        <f>'1 prepared data'!G278</f>
        <v/>
      </c>
      <c r="I285" s="7">
        <f>'1 prepared data'!H278</f>
        <v/>
      </c>
      <c r="J285" s="7">
        <f>'1 prepared data'!I278</f>
        <v/>
      </c>
      <c r="K285" s="7">
        <f>'1 prepared data'!J278</f>
        <v/>
      </c>
      <c r="L285" s="7">
        <f>'1 prepared data'!K278</f>
        <v/>
      </c>
      <c r="M285" s="7">
        <f>'1 prepared data'!L278</f>
        <v/>
      </c>
      <c r="N285" s="7">
        <f>'1 prepared data'!M278</f>
        <v/>
      </c>
      <c r="O285" s="7">
        <f>'1 prepared data'!N278</f>
        <v/>
      </c>
      <c r="P285" s="7">
        <f>'1 prepared data'!O278</f>
        <v/>
      </c>
      <c r="Q285" s="7">
        <f>'1 prepared data'!P278</f>
        <v/>
      </c>
      <c r="R285" s="7">
        <f>'1 prepared data'!Q278</f>
        <v/>
      </c>
      <c r="S285" s="7">
        <f>'1 prepared data'!R278</f>
        <v/>
      </c>
      <c r="T285" s="7">
        <f>'1 prepared data'!S278</f>
        <v/>
      </c>
      <c r="U285" s="7">
        <f>'1 prepared data'!T278</f>
        <v/>
      </c>
      <c r="V285" s="8">
        <f>$AC$12+D285*$AC$13+E285*$AC$14+F285*$AC$15+G285*$AC$16+H285*$AC$17+I285*$AC$18+J285*$AC$19+K285*$AC$20+L285*$AC$21+M285*$AC$22+N285*$AC$23+O285*$AC$24+P285*$AC$25+Q285*$AC$26+R285*$AC$27+S285*$AC$28+T285*$AC$29+U285*$AC$30</f>
        <v/>
      </c>
      <c r="W285" s="8">
        <f>1/(1+EXP(-V285))</f>
        <v/>
      </c>
      <c r="X285" s="9">
        <f>-IF(C285=1,LN(W285),LN(1-W285))</f>
        <v/>
      </c>
      <c r="Y285" s="10">
        <f>IF(W285&gt;$AC$34,1,0)</f>
        <v/>
      </c>
      <c r="Z285">
        <f>IF(Y285=C285,1,0)</f>
        <v/>
      </c>
    </row>
    <row r="286">
      <c r="A286">
        <f>'1 prepared data'!A279</f>
        <v/>
      </c>
      <c r="B286" s="5">
        <f>'1 prepared data'!U279</f>
        <v/>
      </c>
      <c r="C286">
        <f>'1 prepared data'!B279</f>
        <v/>
      </c>
      <c r="D286" s="7">
        <f>'1 prepared data'!C279</f>
        <v/>
      </c>
      <c r="E286" s="7">
        <f>'1 prepared data'!D279</f>
        <v/>
      </c>
      <c r="F286" s="7">
        <f>'1 prepared data'!E279</f>
        <v/>
      </c>
      <c r="G286" s="7">
        <f>'1 prepared data'!F279</f>
        <v/>
      </c>
      <c r="H286" s="7">
        <f>'1 prepared data'!G279</f>
        <v/>
      </c>
      <c r="I286" s="7">
        <f>'1 prepared data'!H279</f>
        <v/>
      </c>
      <c r="J286" s="7">
        <f>'1 prepared data'!I279</f>
        <v/>
      </c>
      <c r="K286" s="7">
        <f>'1 prepared data'!J279</f>
        <v/>
      </c>
      <c r="L286" s="7">
        <f>'1 prepared data'!K279</f>
        <v/>
      </c>
      <c r="M286" s="7">
        <f>'1 prepared data'!L279</f>
        <v/>
      </c>
      <c r="N286" s="7">
        <f>'1 prepared data'!M279</f>
        <v/>
      </c>
      <c r="O286" s="7">
        <f>'1 prepared data'!N279</f>
        <v/>
      </c>
      <c r="P286" s="7">
        <f>'1 prepared data'!O279</f>
        <v/>
      </c>
      <c r="Q286" s="7">
        <f>'1 prepared data'!P279</f>
        <v/>
      </c>
      <c r="R286" s="7">
        <f>'1 prepared data'!Q279</f>
        <v/>
      </c>
      <c r="S286" s="7">
        <f>'1 prepared data'!R279</f>
        <v/>
      </c>
      <c r="T286" s="7">
        <f>'1 prepared data'!S279</f>
        <v/>
      </c>
      <c r="U286" s="7">
        <f>'1 prepared data'!T279</f>
        <v/>
      </c>
      <c r="V286" s="8">
        <f>$AC$12+D286*$AC$13+E286*$AC$14+F286*$AC$15+G286*$AC$16+H286*$AC$17+I286*$AC$18+J286*$AC$19+K286*$AC$20+L286*$AC$21+M286*$AC$22+N286*$AC$23+O286*$AC$24+P286*$AC$25+Q286*$AC$26+R286*$AC$27+S286*$AC$28+T286*$AC$29+U286*$AC$30</f>
        <v/>
      </c>
      <c r="W286" s="8">
        <f>1/(1+EXP(-V286))</f>
        <v/>
      </c>
      <c r="X286" s="9">
        <f>-IF(C286=1,LN(W286),LN(1-W286))</f>
        <v/>
      </c>
      <c r="Y286" s="10">
        <f>IF(W286&gt;$AC$34,1,0)</f>
        <v/>
      </c>
      <c r="Z286">
        <f>IF(Y286=C286,1,0)</f>
        <v/>
      </c>
    </row>
    <row r="287">
      <c r="A287">
        <f>'1 prepared data'!A280</f>
        <v/>
      </c>
      <c r="B287" s="5">
        <f>'1 prepared data'!U280</f>
        <v/>
      </c>
      <c r="C287">
        <f>'1 prepared data'!B280</f>
        <v/>
      </c>
      <c r="D287" s="7">
        <f>'1 prepared data'!C280</f>
        <v/>
      </c>
      <c r="E287" s="7">
        <f>'1 prepared data'!D280</f>
        <v/>
      </c>
      <c r="F287" s="7">
        <f>'1 prepared data'!E280</f>
        <v/>
      </c>
      <c r="G287" s="7">
        <f>'1 prepared data'!F280</f>
        <v/>
      </c>
      <c r="H287" s="7">
        <f>'1 prepared data'!G280</f>
        <v/>
      </c>
      <c r="I287" s="7">
        <f>'1 prepared data'!H280</f>
        <v/>
      </c>
      <c r="J287" s="7">
        <f>'1 prepared data'!I280</f>
        <v/>
      </c>
      <c r="K287" s="7">
        <f>'1 prepared data'!J280</f>
        <v/>
      </c>
      <c r="L287" s="7">
        <f>'1 prepared data'!K280</f>
        <v/>
      </c>
      <c r="M287" s="7">
        <f>'1 prepared data'!L280</f>
        <v/>
      </c>
      <c r="N287" s="7">
        <f>'1 prepared data'!M280</f>
        <v/>
      </c>
      <c r="O287" s="7">
        <f>'1 prepared data'!N280</f>
        <v/>
      </c>
      <c r="P287" s="7">
        <f>'1 prepared data'!O280</f>
        <v/>
      </c>
      <c r="Q287" s="7">
        <f>'1 prepared data'!P280</f>
        <v/>
      </c>
      <c r="R287" s="7">
        <f>'1 prepared data'!Q280</f>
        <v/>
      </c>
      <c r="S287" s="7">
        <f>'1 prepared data'!R280</f>
        <v/>
      </c>
      <c r="T287" s="7">
        <f>'1 prepared data'!S280</f>
        <v/>
      </c>
      <c r="U287" s="7">
        <f>'1 prepared data'!T280</f>
        <v/>
      </c>
      <c r="V287" s="8">
        <f>$AC$12+D287*$AC$13+E287*$AC$14+F287*$AC$15+G287*$AC$16+H287*$AC$17+I287*$AC$18+J287*$AC$19+K287*$AC$20+L287*$AC$21+M287*$AC$22+N287*$AC$23+O287*$AC$24+P287*$AC$25+Q287*$AC$26+R287*$AC$27+S287*$AC$28+T287*$AC$29+U287*$AC$30</f>
        <v/>
      </c>
      <c r="W287" s="8">
        <f>1/(1+EXP(-V287))</f>
        <v/>
      </c>
      <c r="X287" s="9">
        <f>-IF(C287=1,LN(W287),LN(1-W287))</f>
        <v/>
      </c>
      <c r="Y287" s="10">
        <f>IF(W287&gt;$AC$34,1,0)</f>
        <v/>
      </c>
      <c r="Z287">
        <f>IF(Y287=C287,1,0)</f>
        <v/>
      </c>
    </row>
    <row r="288">
      <c r="A288">
        <f>'1 prepared data'!A281</f>
        <v/>
      </c>
      <c r="B288" s="5">
        <f>'1 prepared data'!U281</f>
        <v/>
      </c>
      <c r="C288">
        <f>'1 prepared data'!B281</f>
        <v/>
      </c>
      <c r="D288" s="7">
        <f>'1 prepared data'!C281</f>
        <v/>
      </c>
      <c r="E288" s="7">
        <f>'1 prepared data'!D281</f>
        <v/>
      </c>
      <c r="F288" s="7">
        <f>'1 prepared data'!E281</f>
        <v/>
      </c>
      <c r="G288" s="7">
        <f>'1 prepared data'!F281</f>
        <v/>
      </c>
      <c r="H288" s="7">
        <f>'1 prepared data'!G281</f>
        <v/>
      </c>
      <c r="I288" s="7">
        <f>'1 prepared data'!H281</f>
        <v/>
      </c>
      <c r="J288" s="7">
        <f>'1 prepared data'!I281</f>
        <v/>
      </c>
      <c r="K288" s="7">
        <f>'1 prepared data'!J281</f>
        <v/>
      </c>
      <c r="L288" s="7">
        <f>'1 prepared data'!K281</f>
        <v/>
      </c>
      <c r="M288" s="7">
        <f>'1 prepared data'!L281</f>
        <v/>
      </c>
      <c r="N288" s="7">
        <f>'1 prepared data'!M281</f>
        <v/>
      </c>
      <c r="O288" s="7">
        <f>'1 prepared data'!N281</f>
        <v/>
      </c>
      <c r="P288" s="7">
        <f>'1 prepared data'!O281</f>
        <v/>
      </c>
      <c r="Q288" s="7">
        <f>'1 prepared data'!P281</f>
        <v/>
      </c>
      <c r="R288" s="7">
        <f>'1 prepared data'!Q281</f>
        <v/>
      </c>
      <c r="S288" s="7">
        <f>'1 prepared data'!R281</f>
        <v/>
      </c>
      <c r="T288" s="7">
        <f>'1 prepared data'!S281</f>
        <v/>
      </c>
      <c r="U288" s="7">
        <f>'1 prepared data'!T281</f>
        <v/>
      </c>
      <c r="V288" s="8">
        <f>$AC$12+D288*$AC$13+E288*$AC$14+F288*$AC$15+G288*$AC$16+H288*$AC$17+I288*$AC$18+J288*$AC$19+K288*$AC$20+L288*$AC$21+M288*$AC$22+N288*$AC$23+O288*$AC$24+P288*$AC$25+Q288*$AC$26+R288*$AC$27+S288*$AC$28+T288*$AC$29+U288*$AC$30</f>
        <v/>
      </c>
      <c r="W288" s="8">
        <f>1/(1+EXP(-V288))</f>
        <v/>
      </c>
      <c r="X288" s="9">
        <f>-IF(C288=1,LN(W288),LN(1-W288))</f>
        <v/>
      </c>
      <c r="Y288" s="10">
        <f>IF(W288&gt;$AC$34,1,0)</f>
        <v/>
      </c>
      <c r="Z288">
        <f>IF(Y288=C288,1,0)</f>
        <v/>
      </c>
    </row>
    <row r="289">
      <c r="A289">
        <f>'1 prepared data'!A282</f>
        <v/>
      </c>
      <c r="B289" s="5">
        <f>'1 prepared data'!U282</f>
        <v/>
      </c>
      <c r="C289">
        <f>'1 prepared data'!B282</f>
        <v/>
      </c>
      <c r="D289" s="7">
        <f>'1 prepared data'!C282</f>
        <v/>
      </c>
      <c r="E289" s="7">
        <f>'1 prepared data'!D282</f>
        <v/>
      </c>
      <c r="F289" s="7">
        <f>'1 prepared data'!E282</f>
        <v/>
      </c>
      <c r="G289" s="7">
        <f>'1 prepared data'!F282</f>
        <v/>
      </c>
      <c r="H289" s="7">
        <f>'1 prepared data'!G282</f>
        <v/>
      </c>
      <c r="I289" s="7">
        <f>'1 prepared data'!H282</f>
        <v/>
      </c>
      <c r="J289" s="7">
        <f>'1 prepared data'!I282</f>
        <v/>
      </c>
      <c r="K289" s="7">
        <f>'1 prepared data'!J282</f>
        <v/>
      </c>
      <c r="L289" s="7">
        <f>'1 prepared data'!K282</f>
        <v/>
      </c>
      <c r="M289" s="7">
        <f>'1 prepared data'!L282</f>
        <v/>
      </c>
      <c r="N289" s="7">
        <f>'1 prepared data'!M282</f>
        <v/>
      </c>
      <c r="O289" s="7">
        <f>'1 prepared data'!N282</f>
        <v/>
      </c>
      <c r="P289" s="7">
        <f>'1 prepared data'!O282</f>
        <v/>
      </c>
      <c r="Q289" s="7">
        <f>'1 prepared data'!P282</f>
        <v/>
      </c>
      <c r="R289" s="7">
        <f>'1 prepared data'!Q282</f>
        <v/>
      </c>
      <c r="S289" s="7">
        <f>'1 prepared data'!R282</f>
        <v/>
      </c>
      <c r="T289" s="7">
        <f>'1 prepared data'!S282</f>
        <v/>
      </c>
      <c r="U289" s="7">
        <f>'1 prepared data'!T282</f>
        <v/>
      </c>
      <c r="V289" s="8">
        <f>$AC$12+D289*$AC$13+E289*$AC$14+F289*$AC$15+G289*$AC$16+H289*$AC$17+I289*$AC$18+J289*$AC$19+K289*$AC$20+L289*$AC$21+M289*$AC$22+N289*$AC$23+O289*$AC$24+P289*$AC$25+Q289*$AC$26+R289*$AC$27+S289*$AC$28+T289*$AC$29+U289*$AC$30</f>
        <v/>
      </c>
      <c r="W289" s="8">
        <f>1/(1+EXP(-V289))</f>
        <v/>
      </c>
      <c r="X289" s="9">
        <f>-IF(C289=1,LN(W289),LN(1-W289))</f>
        <v/>
      </c>
      <c r="Y289" s="10">
        <f>IF(W289&gt;$AC$34,1,0)</f>
        <v/>
      </c>
      <c r="Z289">
        <f>IF(Y289=C289,1,0)</f>
        <v/>
      </c>
    </row>
    <row r="290">
      <c r="A290">
        <f>'1 prepared data'!A283</f>
        <v/>
      </c>
      <c r="B290" s="5">
        <f>'1 prepared data'!U283</f>
        <v/>
      </c>
      <c r="C290">
        <f>'1 prepared data'!B283</f>
        <v/>
      </c>
      <c r="D290" s="7">
        <f>'1 prepared data'!C283</f>
        <v/>
      </c>
      <c r="E290" s="7">
        <f>'1 prepared data'!D283</f>
        <v/>
      </c>
      <c r="F290" s="7">
        <f>'1 prepared data'!E283</f>
        <v/>
      </c>
      <c r="G290" s="7">
        <f>'1 prepared data'!F283</f>
        <v/>
      </c>
      <c r="H290" s="7">
        <f>'1 prepared data'!G283</f>
        <v/>
      </c>
      <c r="I290" s="7">
        <f>'1 prepared data'!H283</f>
        <v/>
      </c>
      <c r="J290" s="7">
        <f>'1 prepared data'!I283</f>
        <v/>
      </c>
      <c r="K290" s="7">
        <f>'1 prepared data'!J283</f>
        <v/>
      </c>
      <c r="L290" s="7">
        <f>'1 prepared data'!K283</f>
        <v/>
      </c>
      <c r="M290" s="7">
        <f>'1 prepared data'!L283</f>
        <v/>
      </c>
      <c r="N290" s="7">
        <f>'1 prepared data'!M283</f>
        <v/>
      </c>
      <c r="O290" s="7">
        <f>'1 prepared data'!N283</f>
        <v/>
      </c>
      <c r="P290" s="7">
        <f>'1 prepared data'!O283</f>
        <v/>
      </c>
      <c r="Q290" s="7">
        <f>'1 prepared data'!P283</f>
        <v/>
      </c>
      <c r="R290" s="7">
        <f>'1 prepared data'!Q283</f>
        <v/>
      </c>
      <c r="S290" s="7">
        <f>'1 prepared data'!R283</f>
        <v/>
      </c>
      <c r="T290" s="7">
        <f>'1 prepared data'!S283</f>
        <v/>
      </c>
      <c r="U290" s="7">
        <f>'1 prepared data'!T283</f>
        <v/>
      </c>
      <c r="V290" s="8">
        <f>$AC$12+D290*$AC$13+E290*$AC$14+F290*$AC$15+G290*$AC$16+H290*$AC$17+I290*$AC$18+J290*$AC$19+K290*$AC$20+L290*$AC$21+M290*$AC$22+N290*$AC$23+O290*$AC$24+P290*$AC$25+Q290*$AC$26+R290*$AC$27+S290*$AC$28+T290*$AC$29+U290*$AC$30</f>
        <v/>
      </c>
      <c r="W290" s="8">
        <f>1/(1+EXP(-V290))</f>
        <v/>
      </c>
      <c r="X290" s="9">
        <f>-IF(C290=1,LN(W290),LN(1-W290))</f>
        <v/>
      </c>
      <c r="Y290" s="10">
        <f>IF(W290&gt;$AC$34,1,0)</f>
        <v/>
      </c>
      <c r="Z290">
        <f>IF(Y290=C290,1,0)</f>
        <v/>
      </c>
    </row>
    <row r="291">
      <c r="A291">
        <f>'1 prepared data'!A284</f>
        <v/>
      </c>
      <c r="B291" s="5">
        <f>'1 prepared data'!U284</f>
        <v/>
      </c>
      <c r="C291">
        <f>'1 prepared data'!B284</f>
        <v/>
      </c>
      <c r="D291" s="7">
        <f>'1 prepared data'!C284</f>
        <v/>
      </c>
      <c r="E291" s="7">
        <f>'1 prepared data'!D284</f>
        <v/>
      </c>
      <c r="F291" s="7">
        <f>'1 prepared data'!E284</f>
        <v/>
      </c>
      <c r="G291" s="7">
        <f>'1 prepared data'!F284</f>
        <v/>
      </c>
      <c r="H291" s="7">
        <f>'1 prepared data'!G284</f>
        <v/>
      </c>
      <c r="I291" s="7">
        <f>'1 prepared data'!H284</f>
        <v/>
      </c>
      <c r="J291" s="7">
        <f>'1 prepared data'!I284</f>
        <v/>
      </c>
      <c r="K291" s="7">
        <f>'1 prepared data'!J284</f>
        <v/>
      </c>
      <c r="L291" s="7">
        <f>'1 prepared data'!K284</f>
        <v/>
      </c>
      <c r="M291" s="7">
        <f>'1 prepared data'!L284</f>
        <v/>
      </c>
      <c r="N291" s="7">
        <f>'1 prepared data'!M284</f>
        <v/>
      </c>
      <c r="O291" s="7">
        <f>'1 prepared data'!N284</f>
        <v/>
      </c>
      <c r="P291" s="7">
        <f>'1 prepared data'!O284</f>
        <v/>
      </c>
      <c r="Q291" s="7">
        <f>'1 prepared data'!P284</f>
        <v/>
      </c>
      <c r="R291" s="7">
        <f>'1 prepared data'!Q284</f>
        <v/>
      </c>
      <c r="S291" s="7">
        <f>'1 prepared data'!R284</f>
        <v/>
      </c>
      <c r="T291" s="7">
        <f>'1 prepared data'!S284</f>
        <v/>
      </c>
      <c r="U291" s="7">
        <f>'1 prepared data'!T284</f>
        <v/>
      </c>
      <c r="V291" s="8">
        <f>$AC$12+D291*$AC$13+E291*$AC$14+F291*$AC$15+G291*$AC$16+H291*$AC$17+I291*$AC$18+J291*$AC$19+K291*$AC$20+L291*$AC$21+M291*$AC$22+N291*$AC$23+O291*$AC$24+P291*$AC$25+Q291*$AC$26+R291*$AC$27+S291*$AC$28+T291*$AC$29+U291*$AC$30</f>
        <v/>
      </c>
      <c r="W291" s="8">
        <f>1/(1+EXP(-V291))</f>
        <v/>
      </c>
      <c r="X291" s="9">
        <f>-IF(C291=1,LN(W291),LN(1-W291))</f>
        <v/>
      </c>
      <c r="Y291" s="10">
        <f>IF(W291&gt;$AC$34,1,0)</f>
        <v/>
      </c>
      <c r="Z291">
        <f>IF(Y291=C291,1,0)</f>
        <v/>
      </c>
    </row>
    <row r="292">
      <c r="A292">
        <f>'1 prepared data'!A285</f>
        <v/>
      </c>
      <c r="B292" s="5">
        <f>'1 prepared data'!U285</f>
        <v/>
      </c>
      <c r="C292">
        <f>'1 prepared data'!B285</f>
        <v/>
      </c>
      <c r="D292" s="7">
        <f>'1 prepared data'!C285</f>
        <v/>
      </c>
      <c r="E292" s="7">
        <f>'1 prepared data'!D285</f>
        <v/>
      </c>
      <c r="F292" s="7">
        <f>'1 prepared data'!E285</f>
        <v/>
      </c>
      <c r="G292" s="7">
        <f>'1 prepared data'!F285</f>
        <v/>
      </c>
      <c r="H292" s="7">
        <f>'1 prepared data'!G285</f>
        <v/>
      </c>
      <c r="I292" s="7">
        <f>'1 prepared data'!H285</f>
        <v/>
      </c>
      <c r="J292" s="7">
        <f>'1 prepared data'!I285</f>
        <v/>
      </c>
      <c r="K292" s="7">
        <f>'1 prepared data'!J285</f>
        <v/>
      </c>
      <c r="L292" s="7">
        <f>'1 prepared data'!K285</f>
        <v/>
      </c>
      <c r="M292" s="7">
        <f>'1 prepared data'!L285</f>
        <v/>
      </c>
      <c r="N292" s="7">
        <f>'1 prepared data'!M285</f>
        <v/>
      </c>
      <c r="O292" s="7">
        <f>'1 prepared data'!N285</f>
        <v/>
      </c>
      <c r="P292" s="7">
        <f>'1 prepared data'!O285</f>
        <v/>
      </c>
      <c r="Q292" s="7">
        <f>'1 prepared data'!P285</f>
        <v/>
      </c>
      <c r="R292" s="7">
        <f>'1 prepared data'!Q285</f>
        <v/>
      </c>
      <c r="S292" s="7">
        <f>'1 prepared data'!R285</f>
        <v/>
      </c>
      <c r="T292" s="7">
        <f>'1 prepared data'!S285</f>
        <v/>
      </c>
      <c r="U292" s="7">
        <f>'1 prepared data'!T285</f>
        <v/>
      </c>
      <c r="V292" s="8">
        <f>$AC$12+D292*$AC$13+E292*$AC$14+F292*$AC$15+G292*$AC$16+H292*$AC$17+I292*$AC$18+J292*$AC$19+K292*$AC$20+L292*$AC$21+M292*$AC$22+N292*$AC$23+O292*$AC$24+P292*$AC$25+Q292*$AC$26+R292*$AC$27+S292*$AC$28+T292*$AC$29+U292*$AC$30</f>
        <v/>
      </c>
      <c r="W292" s="8">
        <f>1/(1+EXP(-V292))</f>
        <v/>
      </c>
      <c r="X292" s="9">
        <f>-IF(C292=1,LN(W292),LN(1-W292))</f>
        <v/>
      </c>
      <c r="Y292" s="10">
        <f>IF(W292&gt;$AC$34,1,0)</f>
        <v/>
      </c>
      <c r="Z292">
        <f>IF(Y292=C292,1,0)</f>
        <v/>
      </c>
    </row>
    <row r="293">
      <c r="A293">
        <f>'1 prepared data'!A286</f>
        <v/>
      </c>
      <c r="B293" s="5">
        <f>'1 prepared data'!U286</f>
        <v/>
      </c>
      <c r="C293">
        <f>'1 prepared data'!B286</f>
        <v/>
      </c>
      <c r="D293" s="7">
        <f>'1 prepared data'!C286</f>
        <v/>
      </c>
      <c r="E293" s="7">
        <f>'1 prepared data'!D286</f>
        <v/>
      </c>
      <c r="F293" s="7">
        <f>'1 prepared data'!E286</f>
        <v/>
      </c>
      <c r="G293" s="7">
        <f>'1 prepared data'!F286</f>
        <v/>
      </c>
      <c r="H293" s="7">
        <f>'1 prepared data'!G286</f>
        <v/>
      </c>
      <c r="I293" s="7">
        <f>'1 prepared data'!H286</f>
        <v/>
      </c>
      <c r="J293" s="7">
        <f>'1 prepared data'!I286</f>
        <v/>
      </c>
      <c r="K293" s="7">
        <f>'1 prepared data'!J286</f>
        <v/>
      </c>
      <c r="L293" s="7">
        <f>'1 prepared data'!K286</f>
        <v/>
      </c>
      <c r="M293" s="7">
        <f>'1 prepared data'!L286</f>
        <v/>
      </c>
      <c r="N293" s="7">
        <f>'1 prepared data'!M286</f>
        <v/>
      </c>
      <c r="O293" s="7">
        <f>'1 prepared data'!N286</f>
        <v/>
      </c>
      <c r="P293" s="7">
        <f>'1 prepared data'!O286</f>
        <v/>
      </c>
      <c r="Q293" s="7">
        <f>'1 prepared data'!P286</f>
        <v/>
      </c>
      <c r="R293" s="7">
        <f>'1 prepared data'!Q286</f>
        <v/>
      </c>
      <c r="S293" s="7">
        <f>'1 prepared data'!R286</f>
        <v/>
      </c>
      <c r="T293" s="7">
        <f>'1 prepared data'!S286</f>
        <v/>
      </c>
      <c r="U293" s="7">
        <f>'1 prepared data'!T286</f>
        <v/>
      </c>
      <c r="V293" s="8">
        <f>$AC$12+D293*$AC$13+E293*$AC$14+F293*$AC$15+G293*$AC$16+H293*$AC$17+I293*$AC$18+J293*$AC$19+K293*$AC$20+L293*$AC$21+M293*$AC$22+N293*$AC$23+O293*$AC$24+P293*$AC$25+Q293*$AC$26+R293*$AC$27+S293*$AC$28+T293*$AC$29+U293*$AC$30</f>
        <v/>
      </c>
      <c r="W293" s="8">
        <f>1/(1+EXP(-V293))</f>
        <v/>
      </c>
      <c r="X293" s="9">
        <f>-IF(C293=1,LN(W293),LN(1-W293))</f>
        <v/>
      </c>
      <c r="Y293" s="10">
        <f>IF(W293&gt;$AC$34,1,0)</f>
        <v/>
      </c>
      <c r="Z293">
        <f>IF(Y293=C293,1,0)</f>
        <v/>
      </c>
    </row>
    <row r="294">
      <c r="A294">
        <f>'1 prepared data'!A287</f>
        <v/>
      </c>
      <c r="B294" s="5">
        <f>'1 prepared data'!U287</f>
        <v/>
      </c>
      <c r="C294">
        <f>'1 prepared data'!B287</f>
        <v/>
      </c>
      <c r="D294" s="7">
        <f>'1 prepared data'!C287</f>
        <v/>
      </c>
      <c r="E294" s="7">
        <f>'1 prepared data'!D287</f>
        <v/>
      </c>
      <c r="F294" s="7">
        <f>'1 prepared data'!E287</f>
        <v/>
      </c>
      <c r="G294" s="7">
        <f>'1 prepared data'!F287</f>
        <v/>
      </c>
      <c r="H294" s="7">
        <f>'1 prepared data'!G287</f>
        <v/>
      </c>
      <c r="I294" s="7">
        <f>'1 prepared data'!H287</f>
        <v/>
      </c>
      <c r="J294" s="7">
        <f>'1 prepared data'!I287</f>
        <v/>
      </c>
      <c r="K294" s="7">
        <f>'1 prepared data'!J287</f>
        <v/>
      </c>
      <c r="L294" s="7">
        <f>'1 prepared data'!K287</f>
        <v/>
      </c>
      <c r="M294" s="7">
        <f>'1 prepared data'!L287</f>
        <v/>
      </c>
      <c r="N294" s="7">
        <f>'1 prepared data'!M287</f>
        <v/>
      </c>
      <c r="O294" s="7">
        <f>'1 prepared data'!N287</f>
        <v/>
      </c>
      <c r="P294" s="7">
        <f>'1 prepared data'!O287</f>
        <v/>
      </c>
      <c r="Q294" s="7">
        <f>'1 prepared data'!P287</f>
        <v/>
      </c>
      <c r="R294" s="7">
        <f>'1 prepared data'!Q287</f>
        <v/>
      </c>
      <c r="S294" s="7">
        <f>'1 prepared data'!R287</f>
        <v/>
      </c>
      <c r="T294" s="7">
        <f>'1 prepared data'!S287</f>
        <v/>
      </c>
      <c r="U294" s="7">
        <f>'1 prepared data'!T287</f>
        <v/>
      </c>
      <c r="V294" s="8">
        <f>$AC$12+D294*$AC$13+E294*$AC$14+F294*$AC$15+G294*$AC$16+H294*$AC$17+I294*$AC$18+J294*$AC$19+K294*$AC$20+L294*$AC$21+M294*$AC$22+N294*$AC$23+O294*$AC$24+P294*$AC$25+Q294*$AC$26+R294*$AC$27+S294*$AC$28+T294*$AC$29+U294*$AC$30</f>
        <v/>
      </c>
      <c r="W294" s="8">
        <f>1/(1+EXP(-V294))</f>
        <v/>
      </c>
      <c r="X294" s="9">
        <f>-IF(C294=1,LN(W294),LN(1-W294))</f>
        <v/>
      </c>
      <c r="Y294" s="10">
        <f>IF(W294&gt;$AC$34,1,0)</f>
        <v/>
      </c>
      <c r="Z294">
        <f>IF(Y294=C294,1,0)</f>
        <v/>
      </c>
    </row>
    <row r="295">
      <c r="A295">
        <f>'1 prepared data'!A288</f>
        <v/>
      </c>
      <c r="B295" s="5">
        <f>'1 prepared data'!U288</f>
        <v/>
      </c>
      <c r="C295">
        <f>'1 prepared data'!B288</f>
        <v/>
      </c>
      <c r="D295" s="7">
        <f>'1 prepared data'!C288</f>
        <v/>
      </c>
      <c r="E295" s="7">
        <f>'1 prepared data'!D288</f>
        <v/>
      </c>
      <c r="F295" s="7">
        <f>'1 prepared data'!E288</f>
        <v/>
      </c>
      <c r="G295" s="7">
        <f>'1 prepared data'!F288</f>
        <v/>
      </c>
      <c r="H295" s="7">
        <f>'1 prepared data'!G288</f>
        <v/>
      </c>
      <c r="I295" s="7">
        <f>'1 prepared data'!H288</f>
        <v/>
      </c>
      <c r="J295" s="7">
        <f>'1 prepared data'!I288</f>
        <v/>
      </c>
      <c r="K295" s="7">
        <f>'1 prepared data'!J288</f>
        <v/>
      </c>
      <c r="L295" s="7">
        <f>'1 prepared data'!K288</f>
        <v/>
      </c>
      <c r="M295" s="7">
        <f>'1 prepared data'!L288</f>
        <v/>
      </c>
      <c r="N295" s="7">
        <f>'1 prepared data'!M288</f>
        <v/>
      </c>
      <c r="O295" s="7">
        <f>'1 prepared data'!N288</f>
        <v/>
      </c>
      <c r="P295" s="7">
        <f>'1 prepared data'!O288</f>
        <v/>
      </c>
      <c r="Q295" s="7">
        <f>'1 prepared data'!P288</f>
        <v/>
      </c>
      <c r="R295" s="7">
        <f>'1 prepared data'!Q288</f>
        <v/>
      </c>
      <c r="S295" s="7">
        <f>'1 prepared data'!R288</f>
        <v/>
      </c>
      <c r="T295" s="7">
        <f>'1 prepared data'!S288</f>
        <v/>
      </c>
      <c r="U295" s="7">
        <f>'1 prepared data'!T288</f>
        <v/>
      </c>
      <c r="V295" s="8">
        <f>$AC$12+D295*$AC$13+E295*$AC$14+F295*$AC$15+G295*$AC$16+H295*$AC$17+I295*$AC$18+J295*$AC$19+K295*$AC$20+L295*$AC$21+M295*$AC$22+N295*$AC$23+O295*$AC$24+P295*$AC$25+Q295*$AC$26+R295*$AC$27+S295*$AC$28+T295*$AC$29+U295*$AC$30</f>
        <v/>
      </c>
      <c r="W295" s="8">
        <f>1/(1+EXP(-V295))</f>
        <v/>
      </c>
      <c r="X295" s="9">
        <f>-IF(C295=1,LN(W295),LN(1-W295))</f>
        <v/>
      </c>
      <c r="Y295" s="10">
        <f>IF(W295&gt;$AC$34,1,0)</f>
        <v/>
      </c>
      <c r="Z295">
        <f>IF(Y295=C295,1,0)</f>
        <v/>
      </c>
    </row>
    <row r="296">
      <c r="A296">
        <f>'1 prepared data'!A289</f>
        <v/>
      </c>
      <c r="B296" s="5">
        <f>'1 prepared data'!U289</f>
        <v/>
      </c>
      <c r="C296">
        <f>'1 prepared data'!B289</f>
        <v/>
      </c>
      <c r="D296" s="7">
        <f>'1 prepared data'!C289</f>
        <v/>
      </c>
      <c r="E296" s="7">
        <f>'1 prepared data'!D289</f>
        <v/>
      </c>
      <c r="F296" s="7">
        <f>'1 prepared data'!E289</f>
        <v/>
      </c>
      <c r="G296" s="7">
        <f>'1 prepared data'!F289</f>
        <v/>
      </c>
      <c r="H296" s="7">
        <f>'1 prepared data'!G289</f>
        <v/>
      </c>
      <c r="I296" s="7">
        <f>'1 prepared data'!H289</f>
        <v/>
      </c>
      <c r="J296" s="7">
        <f>'1 prepared data'!I289</f>
        <v/>
      </c>
      <c r="K296" s="7">
        <f>'1 prepared data'!J289</f>
        <v/>
      </c>
      <c r="L296" s="7">
        <f>'1 prepared data'!K289</f>
        <v/>
      </c>
      <c r="M296" s="7">
        <f>'1 prepared data'!L289</f>
        <v/>
      </c>
      <c r="N296" s="7">
        <f>'1 prepared data'!M289</f>
        <v/>
      </c>
      <c r="O296" s="7">
        <f>'1 prepared data'!N289</f>
        <v/>
      </c>
      <c r="P296" s="7">
        <f>'1 prepared data'!O289</f>
        <v/>
      </c>
      <c r="Q296" s="7">
        <f>'1 prepared data'!P289</f>
        <v/>
      </c>
      <c r="R296" s="7">
        <f>'1 prepared data'!Q289</f>
        <v/>
      </c>
      <c r="S296" s="7">
        <f>'1 prepared data'!R289</f>
        <v/>
      </c>
      <c r="T296" s="7">
        <f>'1 prepared data'!S289</f>
        <v/>
      </c>
      <c r="U296" s="7">
        <f>'1 prepared data'!T289</f>
        <v/>
      </c>
      <c r="V296" s="8">
        <f>$AC$12+D296*$AC$13+E296*$AC$14+F296*$AC$15+G296*$AC$16+H296*$AC$17+I296*$AC$18+J296*$AC$19+K296*$AC$20+L296*$AC$21+M296*$AC$22+N296*$AC$23+O296*$AC$24+P296*$AC$25+Q296*$AC$26+R296*$AC$27+S296*$AC$28+T296*$AC$29+U296*$AC$30</f>
        <v/>
      </c>
      <c r="W296" s="8">
        <f>1/(1+EXP(-V296))</f>
        <v/>
      </c>
      <c r="X296" s="9">
        <f>-IF(C296=1,LN(W296),LN(1-W296))</f>
        <v/>
      </c>
      <c r="Y296" s="10">
        <f>IF(W296&gt;$AC$34,1,0)</f>
        <v/>
      </c>
      <c r="Z296">
        <f>IF(Y296=C296,1,0)</f>
        <v/>
      </c>
    </row>
    <row r="297">
      <c r="A297">
        <f>'1 prepared data'!A290</f>
        <v/>
      </c>
      <c r="B297" s="5">
        <f>'1 prepared data'!U290</f>
        <v/>
      </c>
      <c r="C297">
        <f>'1 prepared data'!B290</f>
        <v/>
      </c>
      <c r="D297" s="7">
        <f>'1 prepared data'!C290</f>
        <v/>
      </c>
      <c r="E297" s="7">
        <f>'1 prepared data'!D290</f>
        <v/>
      </c>
      <c r="F297" s="7">
        <f>'1 prepared data'!E290</f>
        <v/>
      </c>
      <c r="G297" s="7">
        <f>'1 prepared data'!F290</f>
        <v/>
      </c>
      <c r="H297" s="7">
        <f>'1 prepared data'!G290</f>
        <v/>
      </c>
      <c r="I297" s="7">
        <f>'1 prepared data'!H290</f>
        <v/>
      </c>
      <c r="J297" s="7">
        <f>'1 prepared data'!I290</f>
        <v/>
      </c>
      <c r="K297" s="7">
        <f>'1 prepared data'!J290</f>
        <v/>
      </c>
      <c r="L297" s="7">
        <f>'1 prepared data'!K290</f>
        <v/>
      </c>
      <c r="M297" s="7">
        <f>'1 prepared data'!L290</f>
        <v/>
      </c>
      <c r="N297" s="7">
        <f>'1 prepared data'!M290</f>
        <v/>
      </c>
      <c r="O297" s="7">
        <f>'1 prepared data'!N290</f>
        <v/>
      </c>
      <c r="P297" s="7">
        <f>'1 prepared data'!O290</f>
        <v/>
      </c>
      <c r="Q297" s="7">
        <f>'1 prepared data'!P290</f>
        <v/>
      </c>
      <c r="R297" s="7">
        <f>'1 prepared data'!Q290</f>
        <v/>
      </c>
      <c r="S297" s="7">
        <f>'1 prepared data'!R290</f>
        <v/>
      </c>
      <c r="T297" s="7">
        <f>'1 prepared data'!S290</f>
        <v/>
      </c>
      <c r="U297" s="7">
        <f>'1 prepared data'!T290</f>
        <v/>
      </c>
      <c r="V297" s="8">
        <f>$AC$12+D297*$AC$13+E297*$AC$14+F297*$AC$15+G297*$AC$16+H297*$AC$17+I297*$AC$18+J297*$AC$19+K297*$AC$20+L297*$AC$21+M297*$AC$22+N297*$AC$23+O297*$AC$24+P297*$AC$25+Q297*$AC$26+R297*$AC$27+S297*$AC$28+T297*$AC$29+U297*$AC$30</f>
        <v/>
      </c>
      <c r="W297" s="8">
        <f>1/(1+EXP(-V297))</f>
        <v/>
      </c>
      <c r="X297" s="9">
        <f>-IF(C297=1,LN(W297),LN(1-W297))</f>
        <v/>
      </c>
      <c r="Y297" s="10">
        <f>IF(W297&gt;$AC$34,1,0)</f>
        <v/>
      </c>
      <c r="Z297">
        <f>IF(Y297=C297,1,0)</f>
        <v/>
      </c>
    </row>
    <row r="298">
      <c r="A298">
        <f>'1 prepared data'!A291</f>
        <v/>
      </c>
      <c r="B298" s="5">
        <f>'1 prepared data'!U291</f>
        <v/>
      </c>
      <c r="C298">
        <f>'1 prepared data'!B291</f>
        <v/>
      </c>
      <c r="D298" s="7">
        <f>'1 prepared data'!C291</f>
        <v/>
      </c>
      <c r="E298" s="7">
        <f>'1 prepared data'!D291</f>
        <v/>
      </c>
      <c r="F298" s="7">
        <f>'1 prepared data'!E291</f>
        <v/>
      </c>
      <c r="G298" s="7">
        <f>'1 prepared data'!F291</f>
        <v/>
      </c>
      <c r="H298" s="7">
        <f>'1 prepared data'!G291</f>
        <v/>
      </c>
      <c r="I298" s="7">
        <f>'1 prepared data'!H291</f>
        <v/>
      </c>
      <c r="J298" s="7">
        <f>'1 prepared data'!I291</f>
        <v/>
      </c>
      <c r="K298" s="7">
        <f>'1 prepared data'!J291</f>
        <v/>
      </c>
      <c r="L298" s="7">
        <f>'1 prepared data'!K291</f>
        <v/>
      </c>
      <c r="M298" s="7">
        <f>'1 prepared data'!L291</f>
        <v/>
      </c>
      <c r="N298" s="7">
        <f>'1 prepared data'!M291</f>
        <v/>
      </c>
      <c r="O298" s="7">
        <f>'1 prepared data'!N291</f>
        <v/>
      </c>
      <c r="P298" s="7">
        <f>'1 prepared data'!O291</f>
        <v/>
      </c>
      <c r="Q298" s="7">
        <f>'1 prepared data'!P291</f>
        <v/>
      </c>
      <c r="R298" s="7">
        <f>'1 prepared data'!Q291</f>
        <v/>
      </c>
      <c r="S298" s="7">
        <f>'1 prepared data'!R291</f>
        <v/>
      </c>
      <c r="T298" s="7">
        <f>'1 prepared data'!S291</f>
        <v/>
      </c>
      <c r="U298" s="7">
        <f>'1 prepared data'!T291</f>
        <v/>
      </c>
      <c r="V298" s="8">
        <f>$AC$12+D298*$AC$13+E298*$AC$14+F298*$AC$15+G298*$AC$16+H298*$AC$17+I298*$AC$18+J298*$AC$19+K298*$AC$20+L298*$AC$21+M298*$AC$22+N298*$AC$23+O298*$AC$24+P298*$AC$25+Q298*$AC$26+R298*$AC$27+S298*$AC$28+T298*$AC$29+U298*$AC$30</f>
        <v/>
      </c>
      <c r="W298" s="8">
        <f>1/(1+EXP(-V298))</f>
        <v/>
      </c>
      <c r="X298" s="9">
        <f>-IF(C298=1,LN(W298),LN(1-W298))</f>
        <v/>
      </c>
      <c r="Y298" s="10">
        <f>IF(W298&gt;$AC$34,1,0)</f>
        <v/>
      </c>
      <c r="Z298">
        <f>IF(Y298=C298,1,0)</f>
        <v/>
      </c>
    </row>
    <row r="299">
      <c r="A299">
        <f>'1 prepared data'!A292</f>
        <v/>
      </c>
      <c r="B299" s="5">
        <f>'1 prepared data'!U292</f>
        <v/>
      </c>
      <c r="C299">
        <f>'1 prepared data'!B292</f>
        <v/>
      </c>
      <c r="D299" s="7">
        <f>'1 prepared data'!C292</f>
        <v/>
      </c>
      <c r="E299" s="7">
        <f>'1 prepared data'!D292</f>
        <v/>
      </c>
      <c r="F299" s="7">
        <f>'1 prepared data'!E292</f>
        <v/>
      </c>
      <c r="G299" s="7">
        <f>'1 prepared data'!F292</f>
        <v/>
      </c>
      <c r="H299" s="7">
        <f>'1 prepared data'!G292</f>
        <v/>
      </c>
      <c r="I299" s="7">
        <f>'1 prepared data'!H292</f>
        <v/>
      </c>
      <c r="J299" s="7">
        <f>'1 prepared data'!I292</f>
        <v/>
      </c>
      <c r="K299" s="7">
        <f>'1 prepared data'!J292</f>
        <v/>
      </c>
      <c r="L299" s="7">
        <f>'1 prepared data'!K292</f>
        <v/>
      </c>
      <c r="M299" s="7">
        <f>'1 prepared data'!L292</f>
        <v/>
      </c>
      <c r="N299" s="7">
        <f>'1 prepared data'!M292</f>
        <v/>
      </c>
      <c r="O299" s="7">
        <f>'1 prepared data'!N292</f>
        <v/>
      </c>
      <c r="P299" s="7">
        <f>'1 prepared data'!O292</f>
        <v/>
      </c>
      <c r="Q299" s="7">
        <f>'1 prepared data'!P292</f>
        <v/>
      </c>
      <c r="R299" s="7">
        <f>'1 prepared data'!Q292</f>
        <v/>
      </c>
      <c r="S299" s="7">
        <f>'1 prepared data'!R292</f>
        <v/>
      </c>
      <c r="T299" s="7">
        <f>'1 prepared data'!S292</f>
        <v/>
      </c>
      <c r="U299" s="7">
        <f>'1 prepared data'!T292</f>
        <v/>
      </c>
      <c r="V299" s="8">
        <f>$AC$12+D299*$AC$13+E299*$AC$14+F299*$AC$15+G299*$AC$16+H299*$AC$17+I299*$AC$18+J299*$AC$19+K299*$AC$20+L299*$AC$21+M299*$AC$22+N299*$AC$23+O299*$AC$24+P299*$AC$25+Q299*$AC$26+R299*$AC$27+S299*$AC$28+T299*$AC$29+U299*$AC$30</f>
        <v/>
      </c>
      <c r="W299" s="8">
        <f>1/(1+EXP(-V299))</f>
        <v/>
      </c>
      <c r="X299" s="9">
        <f>-IF(C299=1,LN(W299),LN(1-W299))</f>
        <v/>
      </c>
      <c r="Y299" s="10">
        <f>IF(W299&gt;$AC$34,1,0)</f>
        <v/>
      </c>
      <c r="Z299">
        <f>IF(Y299=C299,1,0)</f>
        <v/>
      </c>
    </row>
    <row r="300">
      <c r="A300">
        <f>'1 prepared data'!A293</f>
        <v/>
      </c>
      <c r="B300" s="5">
        <f>'1 prepared data'!U293</f>
        <v/>
      </c>
      <c r="C300">
        <f>'1 prepared data'!B293</f>
        <v/>
      </c>
      <c r="D300" s="7">
        <f>'1 prepared data'!C293</f>
        <v/>
      </c>
      <c r="E300" s="7">
        <f>'1 prepared data'!D293</f>
        <v/>
      </c>
      <c r="F300" s="7">
        <f>'1 prepared data'!E293</f>
        <v/>
      </c>
      <c r="G300" s="7">
        <f>'1 prepared data'!F293</f>
        <v/>
      </c>
      <c r="H300" s="7">
        <f>'1 prepared data'!G293</f>
        <v/>
      </c>
      <c r="I300" s="7">
        <f>'1 prepared data'!H293</f>
        <v/>
      </c>
      <c r="J300" s="7">
        <f>'1 prepared data'!I293</f>
        <v/>
      </c>
      <c r="K300" s="7">
        <f>'1 prepared data'!J293</f>
        <v/>
      </c>
      <c r="L300" s="7">
        <f>'1 prepared data'!K293</f>
        <v/>
      </c>
      <c r="M300" s="7">
        <f>'1 prepared data'!L293</f>
        <v/>
      </c>
      <c r="N300" s="7">
        <f>'1 prepared data'!M293</f>
        <v/>
      </c>
      <c r="O300" s="7">
        <f>'1 prepared data'!N293</f>
        <v/>
      </c>
      <c r="P300" s="7">
        <f>'1 prepared data'!O293</f>
        <v/>
      </c>
      <c r="Q300" s="7">
        <f>'1 prepared data'!P293</f>
        <v/>
      </c>
      <c r="R300" s="7">
        <f>'1 prepared data'!Q293</f>
        <v/>
      </c>
      <c r="S300" s="7">
        <f>'1 prepared data'!R293</f>
        <v/>
      </c>
      <c r="T300" s="7">
        <f>'1 prepared data'!S293</f>
        <v/>
      </c>
      <c r="U300" s="7">
        <f>'1 prepared data'!T293</f>
        <v/>
      </c>
      <c r="V300" s="8">
        <f>$AC$12+D300*$AC$13+E300*$AC$14+F300*$AC$15+G300*$AC$16+H300*$AC$17+I300*$AC$18+J300*$AC$19+K300*$AC$20+L300*$AC$21+M300*$AC$22+N300*$AC$23+O300*$AC$24+P300*$AC$25+Q300*$AC$26+R300*$AC$27+S300*$AC$28+T300*$AC$29+U300*$AC$30</f>
        <v/>
      </c>
      <c r="W300" s="8">
        <f>1/(1+EXP(-V300))</f>
        <v/>
      </c>
      <c r="X300" s="9">
        <f>-IF(C300=1,LN(W300),LN(1-W300))</f>
        <v/>
      </c>
      <c r="Y300" s="10">
        <f>IF(W300&gt;$AC$34,1,0)</f>
        <v/>
      </c>
      <c r="Z300">
        <f>IF(Y300=C300,1,0)</f>
        <v/>
      </c>
    </row>
    <row r="301">
      <c r="A301">
        <f>'1 prepared data'!A294</f>
        <v/>
      </c>
      <c r="B301" s="5">
        <f>'1 prepared data'!U294</f>
        <v/>
      </c>
      <c r="C301">
        <f>'1 prepared data'!B294</f>
        <v/>
      </c>
      <c r="D301" s="7">
        <f>'1 prepared data'!C294</f>
        <v/>
      </c>
      <c r="E301" s="7">
        <f>'1 prepared data'!D294</f>
        <v/>
      </c>
      <c r="F301" s="7">
        <f>'1 prepared data'!E294</f>
        <v/>
      </c>
      <c r="G301" s="7">
        <f>'1 prepared data'!F294</f>
        <v/>
      </c>
      <c r="H301" s="7">
        <f>'1 prepared data'!G294</f>
        <v/>
      </c>
      <c r="I301" s="7">
        <f>'1 prepared data'!H294</f>
        <v/>
      </c>
      <c r="J301" s="7">
        <f>'1 prepared data'!I294</f>
        <v/>
      </c>
      <c r="K301" s="7">
        <f>'1 prepared data'!J294</f>
        <v/>
      </c>
      <c r="L301" s="7">
        <f>'1 prepared data'!K294</f>
        <v/>
      </c>
      <c r="M301" s="7">
        <f>'1 prepared data'!L294</f>
        <v/>
      </c>
      <c r="N301" s="7">
        <f>'1 prepared data'!M294</f>
        <v/>
      </c>
      <c r="O301" s="7">
        <f>'1 prepared data'!N294</f>
        <v/>
      </c>
      <c r="P301" s="7">
        <f>'1 prepared data'!O294</f>
        <v/>
      </c>
      <c r="Q301" s="7">
        <f>'1 prepared data'!P294</f>
        <v/>
      </c>
      <c r="R301" s="7">
        <f>'1 prepared data'!Q294</f>
        <v/>
      </c>
      <c r="S301" s="7">
        <f>'1 prepared data'!R294</f>
        <v/>
      </c>
      <c r="T301" s="7">
        <f>'1 prepared data'!S294</f>
        <v/>
      </c>
      <c r="U301" s="7">
        <f>'1 prepared data'!T294</f>
        <v/>
      </c>
      <c r="V301" s="8">
        <f>$AC$12+D301*$AC$13+E301*$AC$14+F301*$AC$15+G301*$AC$16+H301*$AC$17+I301*$AC$18+J301*$AC$19+K301*$AC$20+L301*$AC$21+M301*$AC$22+N301*$AC$23+O301*$AC$24+P301*$AC$25+Q301*$AC$26+R301*$AC$27+S301*$AC$28+T301*$AC$29+U301*$AC$30</f>
        <v/>
      </c>
      <c r="W301" s="8">
        <f>1/(1+EXP(-V301))</f>
        <v/>
      </c>
      <c r="X301" s="9">
        <f>-IF(C301=1,LN(W301),LN(1-W301))</f>
        <v/>
      </c>
      <c r="Y301" s="10">
        <f>IF(W301&gt;$AC$34,1,0)</f>
        <v/>
      </c>
      <c r="Z301">
        <f>IF(Y301=C301,1,0)</f>
        <v/>
      </c>
    </row>
    <row r="302">
      <c r="A302">
        <f>'1 prepared data'!A295</f>
        <v/>
      </c>
      <c r="B302" s="5">
        <f>'1 prepared data'!U295</f>
        <v/>
      </c>
      <c r="C302">
        <f>'1 prepared data'!B295</f>
        <v/>
      </c>
      <c r="D302" s="7">
        <f>'1 prepared data'!C295</f>
        <v/>
      </c>
      <c r="E302" s="7">
        <f>'1 prepared data'!D295</f>
        <v/>
      </c>
      <c r="F302" s="7">
        <f>'1 prepared data'!E295</f>
        <v/>
      </c>
      <c r="G302" s="7">
        <f>'1 prepared data'!F295</f>
        <v/>
      </c>
      <c r="H302" s="7">
        <f>'1 prepared data'!G295</f>
        <v/>
      </c>
      <c r="I302" s="7">
        <f>'1 prepared data'!H295</f>
        <v/>
      </c>
      <c r="J302" s="7">
        <f>'1 prepared data'!I295</f>
        <v/>
      </c>
      <c r="K302" s="7">
        <f>'1 prepared data'!J295</f>
        <v/>
      </c>
      <c r="L302" s="7">
        <f>'1 prepared data'!K295</f>
        <v/>
      </c>
      <c r="M302" s="7">
        <f>'1 prepared data'!L295</f>
        <v/>
      </c>
      <c r="N302" s="7">
        <f>'1 prepared data'!M295</f>
        <v/>
      </c>
      <c r="O302" s="7">
        <f>'1 prepared data'!N295</f>
        <v/>
      </c>
      <c r="P302" s="7">
        <f>'1 prepared data'!O295</f>
        <v/>
      </c>
      <c r="Q302" s="7">
        <f>'1 prepared data'!P295</f>
        <v/>
      </c>
      <c r="R302" s="7">
        <f>'1 prepared data'!Q295</f>
        <v/>
      </c>
      <c r="S302" s="7">
        <f>'1 prepared data'!R295</f>
        <v/>
      </c>
      <c r="T302" s="7">
        <f>'1 prepared data'!S295</f>
        <v/>
      </c>
      <c r="U302" s="7">
        <f>'1 prepared data'!T295</f>
        <v/>
      </c>
      <c r="V302" s="8">
        <f>$AC$12+D302*$AC$13+E302*$AC$14+F302*$AC$15+G302*$AC$16+H302*$AC$17+I302*$AC$18+J302*$AC$19+K302*$AC$20+L302*$AC$21+M302*$AC$22+N302*$AC$23+O302*$AC$24+P302*$AC$25+Q302*$AC$26+R302*$AC$27+S302*$AC$28+T302*$AC$29+U302*$AC$30</f>
        <v/>
      </c>
      <c r="W302" s="8">
        <f>1/(1+EXP(-V302))</f>
        <v/>
      </c>
      <c r="X302" s="9">
        <f>-IF(C302=1,LN(W302),LN(1-W302))</f>
        <v/>
      </c>
      <c r="Y302" s="10">
        <f>IF(W302&gt;$AC$34,1,0)</f>
        <v/>
      </c>
      <c r="Z302">
        <f>IF(Y302=C302,1,0)</f>
        <v/>
      </c>
    </row>
    <row r="303">
      <c r="A303">
        <f>'1 prepared data'!A296</f>
        <v/>
      </c>
      <c r="B303" s="5">
        <f>'1 prepared data'!U296</f>
        <v/>
      </c>
      <c r="C303">
        <f>'1 prepared data'!B296</f>
        <v/>
      </c>
      <c r="D303" s="7">
        <f>'1 prepared data'!C296</f>
        <v/>
      </c>
      <c r="E303" s="7">
        <f>'1 prepared data'!D296</f>
        <v/>
      </c>
      <c r="F303" s="7">
        <f>'1 prepared data'!E296</f>
        <v/>
      </c>
      <c r="G303" s="7">
        <f>'1 prepared data'!F296</f>
        <v/>
      </c>
      <c r="H303" s="7">
        <f>'1 prepared data'!G296</f>
        <v/>
      </c>
      <c r="I303" s="7">
        <f>'1 prepared data'!H296</f>
        <v/>
      </c>
      <c r="J303" s="7">
        <f>'1 prepared data'!I296</f>
        <v/>
      </c>
      <c r="K303" s="7">
        <f>'1 prepared data'!J296</f>
        <v/>
      </c>
      <c r="L303" s="7">
        <f>'1 prepared data'!K296</f>
        <v/>
      </c>
      <c r="M303" s="7">
        <f>'1 prepared data'!L296</f>
        <v/>
      </c>
      <c r="N303" s="7">
        <f>'1 prepared data'!M296</f>
        <v/>
      </c>
      <c r="O303" s="7">
        <f>'1 prepared data'!N296</f>
        <v/>
      </c>
      <c r="P303" s="7">
        <f>'1 prepared data'!O296</f>
        <v/>
      </c>
      <c r="Q303" s="7">
        <f>'1 prepared data'!P296</f>
        <v/>
      </c>
      <c r="R303" s="7">
        <f>'1 prepared data'!Q296</f>
        <v/>
      </c>
      <c r="S303" s="7">
        <f>'1 prepared data'!R296</f>
        <v/>
      </c>
      <c r="T303" s="7">
        <f>'1 prepared data'!S296</f>
        <v/>
      </c>
      <c r="U303" s="7">
        <f>'1 prepared data'!T296</f>
        <v/>
      </c>
      <c r="V303" s="8">
        <f>$AC$12+D303*$AC$13+E303*$AC$14+F303*$AC$15+G303*$AC$16+H303*$AC$17+I303*$AC$18+J303*$AC$19+K303*$AC$20+L303*$AC$21+M303*$AC$22+N303*$AC$23+O303*$AC$24+P303*$AC$25+Q303*$AC$26+R303*$AC$27+S303*$AC$28+T303*$AC$29+U303*$AC$30</f>
        <v/>
      </c>
      <c r="W303" s="8">
        <f>1/(1+EXP(-V303))</f>
        <v/>
      </c>
      <c r="X303" s="9">
        <f>-IF(C303=1,LN(W303),LN(1-W303))</f>
        <v/>
      </c>
      <c r="Y303" s="10">
        <f>IF(W303&gt;$AC$34,1,0)</f>
        <v/>
      </c>
      <c r="Z303">
        <f>IF(Y303=C303,1,0)</f>
        <v/>
      </c>
    </row>
    <row r="304">
      <c r="A304">
        <f>'1 prepared data'!A297</f>
        <v/>
      </c>
      <c r="B304" s="5">
        <f>'1 prepared data'!U297</f>
        <v/>
      </c>
      <c r="C304">
        <f>'1 prepared data'!B297</f>
        <v/>
      </c>
      <c r="D304" s="7">
        <f>'1 prepared data'!C297</f>
        <v/>
      </c>
      <c r="E304" s="7">
        <f>'1 prepared data'!D297</f>
        <v/>
      </c>
      <c r="F304" s="7">
        <f>'1 prepared data'!E297</f>
        <v/>
      </c>
      <c r="G304" s="7">
        <f>'1 prepared data'!F297</f>
        <v/>
      </c>
      <c r="H304" s="7">
        <f>'1 prepared data'!G297</f>
        <v/>
      </c>
      <c r="I304" s="7">
        <f>'1 prepared data'!H297</f>
        <v/>
      </c>
      <c r="J304" s="7">
        <f>'1 prepared data'!I297</f>
        <v/>
      </c>
      <c r="K304" s="7">
        <f>'1 prepared data'!J297</f>
        <v/>
      </c>
      <c r="L304" s="7">
        <f>'1 prepared data'!K297</f>
        <v/>
      </c>
      <c r="M304" s="7">
        <f>'1 prepared data'!L297</f>
        <v/>
      </c>
      <c r="N304" s="7">
        <f>'1 prepared data'!M297</f>
        <v/>
      </c>
      <c r="O304" s="7">
        <f>'1 prepared data'!N297</f>
        <v/>
      </c>
      <c r="P304" s="7">
        <f>'1 prepared data'!O297</f>
        <v/>
      </c>
      <c r="Q304" s="7">
        <f>'1 prepared data'!P297</f>
        <v/>
      </c>
      <c r="R304" s="7">
        <f>'1 prepared data'!Q297</f>
        <v/>
      </c>
      <c r="S304" s="7">
        <f>'1 prepared data'!R297</f>
        <v/>
      </c>
      <c r="T304" s="7">
        <f>'1 prepared data'!S297</f>
        <v/>
      </c>
      <c r="U304" s="7">
        <f>'1 prepared data'!T297</f>
        <v/>
      </c>
      <c r="V304" s="8">
        <f>$AC$12+D304*$AC$13+E304*$AC$14+F304*$AC$15+G304*$AC$16+H304*$AC$17+I304*$AC$18+J304*$AC$19+K304*$AC$20+L304*$AC$21+M304*$AC$22+N304*$AC$23+O304*$AC$24+P304*$AC$25+Q304*$AC$26+R304*$AC$27+S304*$AC$28+T304*$AC$29+U304*$AC$30</f>
        <v/>
      </c>
      <c r="W304" s="8">
        <f>1/(1+EXP(-V304))</f>
        <v/>
      </c>
      <c r="X304" s="9">
        <f>-IF(C304=1,LN(W304),LN(1-W304))</f>
        <v/>
      </c>
      <c r="Y304" s="10">
        <f>IF(W304&gt;$AC$34,1,0)</f>
        <v/>
      </c>
      <c r="Z304">
        <f>IF(Y304=C304,1,0)</f>
        <v/>
      </c>
    </row>
    <row r="305">
      <c r="A305">
        <f>'1 prepared data'!A298</f>
        <v/>
      </c>
      <c r="B305" s="5">
        <f>'1 prepared data'!U298</f>
        <v/>
      </c>
      <c r="C305">
        <f>'1 prepared data'!B298</f>
        <v/>
      </c>
      <c r="D305" s="7">
        <f>'1 prepared data'!C298</f>
        <v/>
      </c>
      <c r="E305" s="7">
        <f>'1 prepared data'!D298</f>
        <v/>
      </c>
      <c r="F305" s="7">
        <f>'1 prepared data'!E298</f>
        <v/>
      </c>
      <c r="G305" s="7">
        <f>'1 prepared data'!F298</f>
        <v/>
      </c>
      <c r="H305" s="7">
        <f>'1 prepared data'!G298</f>
        <v/>
      </c>
      <c r="I305" s="7">
        <f>'1 prepared data'!H298</f>
        <v/>
      </c>
      <c r="J305" s="7">
        <f>'1 prepared data'!I298</f>
        <v/>
      </c>
      <c r="K305" s="7">
        <f>'1 prepared data'!J298</f>
        <v/>
      </c>
      <c r="L305" s="7">
        <f>'1 prepared data'!K298</f>
        <v/>
      </c>
      <c r="M305" s="7">
        <f>'1 prepared data'!L298</f>
        <v/>
      </c>
      <c r="N305" s="7">
        <f>'1 prepared data'!M298</f>
        <v/>
      </c>
      <c r="O305" s="7">
        <f>'1 prepared data'!N298</f>
        <v/>
      </c>
      <c r="P305" s="7">
        <f>'1 prepared data'!O298</f>
        <v/>
      </c>
      <c r="Q305" s="7">
        <f>'1 prepared data'!P298</f>
        <v/>
      </c>
      <c r="R305" s="7">
        <f>'1 prepared data'!Q298</f>
        <v/>
      </c>
      <c r="S305" s="7">
        <f>'1 prepared data'!R298</f>
        <v/>
      </c>
      <c r="T305" s="7">
        <f>'1 prepared data'!S298</f>
        <v/>
      </c>
      <c r="U305" s="7">
        <f>'1 prepared data'!T298</f>
        <v/>
      </c>
      <c r="V305" s="8">
        <f>$AC$12+D305*$AC$13+E305*$AC$14+F305*$AC$15+G305*$AC$16+H305*$AC$17+I305*$AC$18+J305*$AC$19+K305*$AC$20+L305*$AC$21+M305*$AC$22+N305*$AC$23+O305*$AC$24+P305*$AC$25+Q305*$AC$26+R305*$AC$27+S305*$AC$28+T305*$AC$29+U305*$AC$30</f>
        <v/>
      </c>
      <c r="W305" s="8">
        <f>1/(1+EXP(-V305))</f>
        <v/>
      </c>
      <c r="X305" s="9">
        <f>-IF(C305=1,LN(W305),LN(1-W305))</f>
        <v/>
      </c>
      <c r="Y305" s="10">
        <f>IF(W305&gt;$AC$34,1,0)</f>
        <v/>
      </c>
      <c r="Z305">
        <f>IF(Y305=C305,1,0)</f>
        <v/>
      </c>
    </row>
    <row r="306">
      <c r="A306">
        <f>'1 prepared data'!A299</f>
        <v/>
      </c>
      <c r="B306" s="5">
        <f>'1 prepared data'!U299</f>
        <v/>
      </c>
      <c r="C306">
        <f>'1 prepared data'!B299</f>
        <v/>
      </c>
      <c r="D306" s="7">
        <f>'1 prepared data'!C299</f>
        <v/>
      </c>
      <c r="E306" s="7">
        <f>'1 prepared data'!D299</f>
        <v/>
      </c>
      <c r="F306" s="7">
        <f>'1 prepared data'!E299</f>
        <v/>
      </c>
      <c r="G306" s="7">
        <f>'1 prepared data'!F299</f>
        <v/>
      </c>
      <c r="H306" s="7">
        <f>'1 prepared data'!G299</f>
        <v/>
      </c>
      <c r="I306" s="7">
        <f>'1 prepared data'!H299</f>
        <v/>
      </c>
      <c r="J306" s="7">
        <f>'1 prepared data'!I299</f>
        <v/>
      </c>
      <c r="K306" s="7">
        <f>'1 prepared data'!J299</f>
        <v/>
      </c>
      <c r="L306" s="7">
        <f>'1 prepared data'!K299</f>
        <v/>
      </c>
      <c r="M306" s="7">
        <f>'1 prepared data'!L299</f>
        <v/>
      </c>
      <c r="N306" s="7">
        <f>'1 prepared data'!M299</f>
        <v/>
      </c>
      <c r="O306" s="7">
        <f>'1 prepared data'!N299</f>
        <v/>
      </c>
      <c r="P306" s="7">
        <f>'1 prepared data'!O299</f>
        <v/>
      </c>
      <c r="Q306" s="7">
        <f>'1 prepared data'!P299</f>
        <v/>
      </c>
      <c r="R306" s="7">
        <f>'1 prepared data'!Q299</f>
        <v/>
      </c>
      <c r="S306" s="7">
        <f>'1 prepared data'!R299</f>
        <v/>
      </c>
      <c r="T306" s="7">
        <f>'1 prepared data'!S299</f>
        <v/>
      </c>
      <c r="U306" s="7">
        <f>'1 prepared data'!T299</f>
        <v/>
      </c>
      <c r="V306" s="8">
        <f>$AC$12+D306*$AC$13+E306*$AC$14+F306*$AC$15+G306*$AC$16+H306*$AC$17+I306*$AC$18+J306*$AC$19+K306*$AC$20+L306*$AC$21+M306*$AC$22+N306*$AC$23+O306*$AC$24+P306*$AC$25+Q306*$AC$26+R306*$AC$27+S306*$AC$28+T306*$AC$29+U306*$AC$30</f>
        <v/>
      </c>
      <c r="W306" s="8">
        <f>1/(1+EXP(-V306))</f>
        <v/>
      </c>
      <c r="X306" s="9">
        <f>-IF(C306=1,LN(W306),LN(1-W306))</f>
        <v/>
      </c>
      <c r="Y306" s="10">
        <f>IF(W306&gt;$AC$34,1,0)</f>
        <v/>
      </c>
      <c r="Z306">
        <f>IF(Y306=C306,1,0)</f>
        <v/>
      </c>
    </row>
    <row r="307">
      <c r="A307">
        <f>'1 prepared data'!A300</f>
        <v/>
      </c>
      <c r="B307" s="5">
        <f>'1 prepared data'!U300</f>
        <v/>
      </c>
      <c r="C307">
        <f>'1 prepared data'!B300</f>
        <v/>
      </c>
      <c r="D307" s="7">
        <f>'1 prepared data'!C300</f>
        <v/>
      </c>
      <c r="E307" s="7">
        <f>'1 prepared data'!D300</f>
        <v/>
      </c>
      <c r="F307" s="7">
        <f>'1 prepared data'!E300</f>
        <v/>
      </c>
      <c r="G307" s="7">
        <f>'1 prepared data'!F300</f>
        <v/>
      </c>
      <c r="H307" s="7">
        <f>'1 prepared data'!G300</f>
        <v/>
      </c>
      <c r="I307" s="7">
        <f>'1 prepared data'!H300</f>
        <v/>
      </c>
      <c r="J307" s="7">
        <f>'1 prepared data'!I300</f>
        <v/>
      </c>
      <c r="K307" s="7">
        <f>'1 prepared data'!J300</f>
        <v/>
      </c>
      <c r="L307" s="7">
        <f>'1 prepared data'!K300</f>
        <v/>
      </c>
      <c r="M307" s="7">
        <f>'1 prepared data'!L300</f>
        <v/>
      </c>
      <c r="N307" s="7">
        <f>'1 prepared data'!M300</f>
        <v/>
      </c>
      <c r="O307" s="7">
        <f>'1 prepared data'!N300</f>
        <v/>
      </c>
      <c r="P307" s="7">
        <f>'1 prepared data'!O300</f>
        <v/>
      </c>
      <c r="Q307" s="7">
        <f>'1 prepared data'!P300</f>
        <v/>
      </c>
      <c r="R307" s="7">
        <f>'1 prepared data'!Q300</f>
        <v/>
      </c>
      <c r="S307" s="7">
        <f>'1 prepared data'!R300</f>
        <v/>
      </c>
      <c r="T307" s="7">
        <f>'1 prepared data'!S300</f>
        <v/>
      </c>
      <c r="U307" s="7">
        <f>'1 prepared data'!T300</f>
        <v/>
      </c>
      <c r="V307" s="8">
        <f>$AC$12+D307*$AC$13+E307*$AC$14+F307*$AC$15+G307*$AC$16+H307*$AC$17+I307*$AC$18+J307*$AC$19+K307*$AC$20+L307*$AC$21+M307*$AC$22+N307*$AC$23+O307*$AC$24+P307*$AC$25+Q307*$AC$26+R307*$AC$27+S307*$AC$28+T307*$AC$29+U307*$AC$30</f>
        <v/>
      </c>
      <c r="W307" s="8">
        <f>1/(1+EXP(-V307))</f>
        <v/>
      </c>
      <c r="X307" s="9">
        <f>-IF(C307=1,LN(W307),LN(1-W307))</f>
        <v/>
      </c>
      <c r="Y307" s="10">
        <f>IF(W307&gt;$AC$34,1,0)</f>
        <v/>
      </c>
      <c r="Z307">
        <f>IF(Y307=C307,1,0)</f>
        <v/>
      </c>
    </row>
    <row r="308">
      <c r="A308">
        <f>'1 prepared data'!A301</f>
        <v/>
      </c>
      <c r="B308" s="5">
        <f>'1 prepared data'!U301</f>
        <v/>
      </c>
      <c r="C308">
        <f>'1 prepared data'!B301</f>
        <v/>
      </c>
      <c r="D308" s="7">
        <f>'1 prepared data'!C301</f>
        <v/>
      </c>
      <c r="E308" s="7">
        <f>'1 prepared data'!D301</f>
        <v/>
      </c>
      <c r="F308" s="7">
        <f>'1 prepared data'!E301</f>
        <v/>
      </c>
      <c r="G308" s="7">
        <f>'1 prepared data'!F301</f>
        <v/>
      </c>
      <c r="H308" s="7">
        <f>'1 prepared data'!G301</f>
        <v/>
      </c>
      <c r="I308" s="7">
        <f>'1 prepared data'!H301</f>
        <v/>
      </c>
      <c r="J308" s="7">
        <f>'1 prepared data'!I301</f>
        <v/>
      </c>
      <c r="K308" s="7">
        <f>'1 prepared data'!J301</f>
        <v/>
      </c>
      <c r="L308" s="7">
        <f>'1 prepared data'!K301</f>
        <v/>
      </c>
      <c r="M308" s="7">
        <f>'1 prepared data'!L301</f>
        <v/>
      </c>
      <c r="N308" s="7">
        <f>'1 prepared data'!M301</f>
        <v/>
      </c>
      <c r="O308" s="7">
        <f>'1 prepared data'!N301</f>
        <v/>
      </c>
      <c r="P308" s="7">
        <f>'1 prepared data'!O301</f>
        <v/>
      </c>
      <c r="Q308" s="7">
        <f>'1 prepared data'!P301</f>
        <v/>
      </c>
      <c r="R308" s="7">
        <f>'1 prepared data'!Q301</f>
        <v/>
      </c>
      <c r="S308" s="7">
        <f>'1 prepared data'!R301</f>
        <v/>
      </c>
      <c r="T308" s="7">
        <f>'1 prepared data'!S301</f>
        <v/>
      </c>
      <c r="U308" s="7">
        <f>'1 prepared data'!T301</f>
        <v/>
      </c>
      <c r="V308" s="8">
        <f>$AC$12+D308*$AC$13+E308*$AC$14+F308*$AC$15+G308*$AC$16+H308*$AC$17+I308*$AC$18+J308*$AC$19+K308*$AC$20+L308*$AC$21+M308*$AC$22+N308*$AC$23+O308*$AC$24+P308*$AC$25+Q308*$AC$26+R308*$AC$27+S308*$AC$28+T308*$AC$29+U308*$AC$30</f>
        <v/>
      </c>
      <c r="W308" s="8">
        <f>1/(1+EXP(-V308))</f>
        <v/>
      </c>
      <c r="X308" s="9">
        <f>-IF(C308=1,LN(W308),LN(1-W308))</f>
        <v/>
      </c>
      <c r="Y308" s="10">
        <f>IF(W308&gt;$AC$34,1,0)</f>
        <v/>
      </c>
      <c r="Z308">
        <f>IF(Y308=C308,1,0)</f>
        <v/>
      </c>
    </row>
    <row r="309">
      <c r="A309">
        <f>'1 prepared data'!A302</f>
        <v/>
      </c>
      <c r="B309" s="5">
        <f>'1 prepared data'!U302</f>
        <v/>
      </c>
      <c r="C309">
        <f>'1 prepared data'!B302</f>
        <v/>
      </c>
      <c r="D309" s="7">
        <f>'1 prepared data'!C302</f>
        <v/>
      </c>
      <c r="E309" s="7">
        <f>'1 prepared data'!D302</f>
        <v/>
      </c>
      <c r="F309" s="7">
        <f>'1 prepared data'!E302</f>
        <v/>
      </c>
      <c r="G309" s="7">
        <f>'1 prepared data'!F302</f>
        <v/>
      </c>
      <c r="H309" s="7">
        <f>'1 prepared data'!G302</f>
        <v/>
      </c>
      <c r="I309" s="7">
        <f>'1 prepared data'!H302</f>
        <v/>
      </c>
      <c r="J309" s="7">
        <f>'1 prepared data'!I302</f>
        <v/>
      </c>
      <c r="K309" s="7">
        <f>'1 prepared data'!J302</f>
        <v/>
      </c>
      <c r="L309" s="7">
        <f>'1 prepared data'!K302</f>
        <v/>
      </c>
      <c r="M309" s="7">
        <f>'1 prepared data'!L302</f>
        <v/>
      </c>
      <c r="N309" s="7">
        <f>'1 prepared data'!M302</f>
        <v/>
      </c>
      <c r="O309" s="7">
        <f>'1 prepared data'!N302</f>
        <v/>
      </c>
      <c r="P309" s="7">
        <f>'1 prepared data'!O302</f>
        <v/>
      </c>
      <c r="Q309" s="7">
        <f>'1 prepared data'!P302</f>
        <v/>
      </c>
      <c r="R309" s="7">
        <f>'1 prepared data'!Q302</f>
        <v/>
      </c>
      <c r="S309" s="7">
        <f>'1 prepared data'!R302</f>
        <v/>
      </c>
      <c r="T309" s="7">
        <f>'1 prepared data'!S302</f>
        <v/>
      </c>
      <c r="U309" s="7">
        <f>'1 prepared data'!T302</f>
        <v/>
      </c>
      <c r="V309" s="8">
        <f>$AC$12+D309*$AC$13+E309*$AC$14+F309*$AC$15+G309*$AC$16+H309*$AC$17+I309*$AC$18+J309*$AC$19+K309*$AC$20+L309*$AC$21+M309*$AC$22+N309*$AC$23+O309*$AC$24+P309*$AC$25+Q309*$AC$26+R309*$AC$27+S309*$AC$28+T309*$AC$29+U309*$AC$30</f>
        <v/>
      </c>
      <c r="W309" s="8">
        <f>1/(1+EXP(-V309))</f>
        <v/>
      </c>
      <c r="X309" s="9">
        <f>-IF(C309=1,LN(W309),LN(1-W309))</f>
        <v/>
      </c>
      <c r="Y309" s="10">
        <f>IF(W309&gt;$AC$34,1,0)</f>
        <v/>
      </c>
      <c r="Z309">
        <f>IF(Y309=C309,1,0)</f>
        <v/>
      </c>
    </row>
    <row r="310">
      <c r="A310">
        <f>'1 prepared data'!A303</f>
        <v/>
      </c>
      <c r="B310" s="5">
        <f>'1 prepared data'!U303</f>
        <v/>
      </c>
      <c r="C310">
        <f>'1 prepared data'!B303</f>
        <v/>
      </c>
      <c r="D310" s="7">
        <f>'1 prepared data'!C303</f>
        <v/>
      </c>
      <c r="E310" s="7">
        <f>'1 prepared data'!D303</f>
        <v/>
      </c>
      <c r="F310" s="7">
        <f>'1 prepared data'!E303</f>
        <v/>
      </c>
      <c r="G310" s="7">
        <f>'1 prepared data'!F303</f>
        <v/>
      </c>
      <c r="H310" s="7">
        <f>'1 prepared data'!G303</f>
        <v/>
      </c>
      <c r="I310" s="7">
        <f>'1 prepared data'!H303</f>
        <v/>
      </c>
      <c r="J310" s="7">
        <f>'1 prepared data'!I303</f>
        <v/>
      </c>
      <c r="K310" s="7">
        <f>'1 prepared data'!J303</f>
        <v/>
      </c>
      <c r="L310" s="7">
        <f>'1 prepared data'!K303</f>
        <v/>
      </c>
      <c r="M310" s="7">
        <f>'1 prepared data'!L303</f>
        <v/>
      </c>
      <c r="N310" s="7">
        <f>'1 prepared data'!M303</f>
        <v/>
      </c>
      <c r="O310" s="7">
        <f>'1 prepared data'!N303</f>
        <v/>
      </c>
      <c r="P310" s="7">
        <f>'1 prepared data'!O303</f>
        <v/>
      </c>
      <c r="Q310" s="7">
        <f>'1 prepared data'!P303</f>
        <v/>
      </c>
      <c r="R310" s="7">
        <f>'1 prepared data'!Q303</f>
        <v/>
      </c>
      <c r="S310" s="7">
        <f>'1 prepared data'!R303</f>
        <v/>
      </c>
      <c r="T310" s="7">
        <f>'1 prepared data'!S303</f>
        <v/>
      </c>
      <c r="U310" s="7">
        <f>'1 prepared data'!T303</f>
        <v/>
      </c>
      <c r="V310" s="8">
        <f>$AC$12+D310*$AC$13+E310*$AC$14+F310*$AC$15+G310*$AC$16+H310*$AC$17+I310*$AC$18+J310*$AC$19+K310*$AC$20+L310*$AC$21+M310*$AC$22+N310*$AC$23+O310*$AC$24+P310*$AC$25+Q310*$AC$26+R310*$AC$27+S310*$AC$28+T310*$AC$29+U310*$AC$30</f>
        <v/>
      </c>
      <c r="W310" s="8">
        <f>1/(1+EXP(-V310))</f>
        <v/>
      </c>
      <c r="X310" s="9">
        <f>-IF(C310=1,LN(W310),LN(1-W310))</f>
        <v/>
      </c>
      <c r="Y310" s="10">
        <f>IF(W310&gt;$AC$34,1,0)</f>
        <v/>
      </c>
      <c r="Z310">
        <f>IF(Y310=C310,1,0)</f>
        <v/>
      </c>
    </row>
    <row r="311">
      <c r="A311">
        <f>'1 prepared data'!A304</f>
        <v/>
      </c>
      <c r="B311" s="5">
        <f>'1 prepared data'!U304</f>
        <v/>
      </c>
      <c r="C311">
        <f>'1 prepared data'!B304</f>
        <v/>
      </c>
      <c r="D311" s="7">
        <f>'1 prepared data'!C304</f>
        <v/>
      </c>
      <c r="E311" s="7">
        <f>'1 prepared data'!D304</f>
        <v/>
      </c>
      <c r="F311" s="7">
        <f>'1 prepared data'!E304</f>
        <v/>
      </c>
      <c r="G311" s="7">
        <f>'1 prepared data'!F304</f>
        <v/>
      </c>
      <c r="H311" s="7">
        <f>'1 prepared data'!G304</f>
        <v/>
      </c>
      <c r="I311" s="7">
        <f>'1 prepared data'!H304</f>
        <v/>
      </c>
      <c r="J311" s="7">
        <f>'1 prepared data'!I304</f>
        <v/>
      </c>
      <c r="K311" s="7">
        <f>'1 prepared data'!J304</f>
        <v/>
      </c>
      <c r="L311" s="7">
        <f>'1 prepared data'!K304</f>
        <v/>
      </c>
      <c r="M311" s="7">
        <f>'1 prepared data'!L304</f>
        <v/>
      </c>
      <c r="N311" s="7">
        <f>'1 prepared data'!M304</f>
        <v/>
      </c>
      <c r="O311" s="7">
        <f>'1 prepared data'!N304</f>
        <v/>
      </c>
      <c r="P311" s="7">
        <f>'1 prepared data'!O304</f>
        <v/>
      </c>
      <c r="Q311" s="7">
        <f>'1 prepared data'!P304</f>
        <v/>
      </c>
      <c r="R311" s="7">
        <f>'1 prepared data'!Q304</f>
        <v/>
      </c>
      <c r="S311" s="7">
        <f>'1 prepared data'!R304</f>
        <v/>
      </c>
      <c r="T311" s="7">
        <f>'1 prepared data'!S304</f>
        <v/>
      </c>
      <c r="U311" s="7">
        <f>'1 prepared data'!T304</f>
        <v/>
      </c>
      <c r="V311" s="8">
        <f>$AC$12+D311*$AC$13+E311*$AC$14+F311*$AC$15+G311*$AC$16+H311*$AC$17+I311*$AC$18+J311*$AC$19+K311*$AC$20+L311*$AC$21+M311*$AC$22+N311*$AC$23+O311*$AC$24+P311*$AC$25+Q311*$AC$26+R311*$AC$27+S311*$AC$28+T311*$AC$29+U311*$AC$30</f>
        <v/>
      </c>
      <c r="W311" s="8">
        <f>1/(1+EXP(-V311))</f>
        <v/>
      </c>
      <c r="X311" s="9">
        <f>-IF(C311=1,LN(W311),LN(1-W311))</f>
        <v/>
      </c>
      <c r="Y311" s="10">
        <f>IF(W311&gt;$AC$34,1,0)</f>
        <v/>
      </c>
      <c r="Z311">
        <f>IF(Y311=C311,1,0)</f>
        <v/>
      </c>
    </row>
    <row r="312">
      <c r="A312">
        <f>'1 prepared data'!A305</f>
        <v/>
      </c>
      <c r="B312" s="5">
        <f>'1 prepared data'!U305</f>
        <v/>
      </c>
      <c r="C312">
        <f>'1 prepared data'!B305</f>
        <v/>
      </c>
      <c r="D312" s="7">
        <f>'1 prepared data'!C305</f>
        <v/>
      </c>
      <c r="E312" s="7">
        <f>'1 prepared data'!D305</f>
        <v/>
      </c>
      <c r="F312" s="7">
        <f>'1 prepared data'!E305</f>
        <v/>
      </c>
      <c r="G312" s="7">
        <f>'1 prepared data'!F305</f>
        <v/>
      </c>
      <c r="H312" s="7">
        <f>'1 prepared data'!G305</f>
        <v/>
      </c>
      <c r="I312" s="7">
        <f>'1 prepared data'!H305</f>
        <v/>
      </c>
      <c r="J312" s="7">
        <f>'1 prepared data'!I305</f>
        <v/>
      </c>
      <c r="K312" s="7">
        <f>'1 prepared data'!J305</f>
        <v/>
      </c>
      <c r="L312" s="7">
        <f>'1 prepared data'!K305</f>
        <v/>
      </c>
      <c r="M312" s="7">
        <f>'1 prepared data'!L305</f>
        <v/>
      </c>
      <c r="N312" s="7">
        <f>'1 prepared data'!M305</f>
        <v/>
      </c>
      <c r="O312" s="7">
        <f>'1 prepared data'!N305</f>
        <v/>
      </c>
      <c r="P312" s="7">
        <f>'1 prepared data'!O305</f>
        <v/>
      </c>
      <c r="Q312" s="7">
        <f>'1 prepared data'!P305</f>
        <v/>
      </c>
      <c r="R312" s="7">
        <f>'1 prepared data'!Q305</f>
        <v/>
      </c>
      <c r="S312" s="7">
        <f>'1 prepared data'!R305</f>
        <v/>
      </c>
      <c r="T312" s="7">
        <f>'1 prepared data'!S305</f>
        <v/>
      </c>
      <c r="U312" s="7">
        <f>'1 prepared data'!T305</f>
        <v/>
      </c>
      <c r="V312" s="8">
        <f>$AC$12+D312*$AC$13+E312*$AC$14+F312*$AC$15+G312*$AC$16+H312*$AC$17+I312*$AC$18+J312*$AC$19+K312*$AC$20+L312*$AC$21+M312*$AC$22+N312*$AC$23+O312*$AC$24+P312*$AC$25+Q312*$AC$26+R312*$AC$27+S312*$AC$28+T312*$AC$29+U312*$AC$30</f>
        <v/>
      </c>
      <c r="W312" s="8">
        <f>1/(1+EXP(-V312))</f>
        <v/>
      </c>
      <c r="X312" s="9">
        <f>-IF(C312=1,LN(W312),LN(1-W312))</f>
        <v/>
      </c>
      <c r="Y312" s="10">
        <f>IF(W312&gt;$AC$34,1,0)</f>
        <v/>
      </c>
      <c r="Z312">
        <f>IF(Y312=C312,1,0)</f>
        <v/>
      </c>
    </row>
    <row r="313">
      <c r="A313">
        <f>'1 prepared data'!A306</f>
        <v/>
      </c>
      <c r="B313" s="5">
        <f>'1 prepared data'!U306</f>
        <v/>
      </c>
      <c r="C313">
        <f>'1 prepared data'!B306</f>
        <v/>
      </c>
      <c r="D313" s="7">
        <f>'1 prepared data'!C306</f>
        <v/>
      </c>
      <c r="E313" s="7">
        <f>'1 prepared data'!D306</f>
        <v/>
      </c>
      <c r="F313" s="7">
        <f>'1 prepared data'!E306</f>
        <v/>
      </c>
      <c r="G313" s="7">
        <f>'1 prepared data'!F306</f>
        <v/>
      </c>
      <c r="H313" s="7">
        <f>'1 prepared data'!G306</f>
        <v/>
      </c>
      <c r="I313" s="7">
        <f>'1 prepared data'!H306</f>
        <v/>
      </c>
      <c r="J313" s="7">
        <f>'1 prepared data'!I306</f>
        <v/>
      </c>
      <c r="K313" s="7">
        <f>'1 prepared data'!J306</f>
        <v/>
      </c>
      <c r="L313" s="7">
        <f>'1 prepared data'!K306</f>
        <v/>
      </c>
      <c r="M313" s="7">
        <f>'1 prepared data'!L306</f>
        <v/>
      </c>
      <c r="N313" s="7">
        <f>'1 prepared data'!M306</f>
        <v/>
      </c>
      <c r="O313" s="7">
        <f>'1 prepared data'!N306</f>
        <v/>
      </c>
      <c r="P313" s="7">
        <f>'1 prepared data'!O306</f>
        <v/>
      </c>
      <c r="Q313" s="7">
        <f>'1 prepared data'!P306</f>
        <v/>
      </c>
      <c r="R313" s="7">
        <f>'1 prepared data'!Q306</f>
        <v/>
      </c>
      <c r="S313" s="7">
        <f>'1 prepared data'!R306</f>
        <v/>
      </c>
      <c r="T313" s="7">
        <f>'1 prepared data'!S306</f>
        <v/>
      </c>
      <c r="U313" s="7">
        <f>'1 prepared data'!T306</f>
        <v/>
      </c>
      <c r="V313" s="8">
        <f>$AC$12+D313*$AC$13+E313*$AC$14+F313*$AC$15+G313*$AC$16+H313*$AC$17+I313*$AC$18+J313*$AC$19+K313*$AC$20+L313*$AC$21+M313*$AC$22+N313*$AC$23+O313*$AC$24+P313*$AC$25+Q313*$AC$26+R313*$AC$27+S313*$AC$28+T313*$AC$29+U313*$AC$30</f>
        <v/>
      </c>
      <c r="W313" s="8">
        <f>1/(1+EXP(-V313))</f>
        <v/>
      </c>
      <c r="X313" s="9">
        <f>-IF(C313=1,LN(W313),LN(1-W313))</f>
        <v/>
      </c>
      <c r="Y313" s="10">
        <f>IF(W313&gt;$AC$34,1,0)</f>
        <v/>
      </c>
      <c r="Z313">
        <f>IF(Y313=C313,1,0)</f>
        <v/>
      </c>
    </row>
    <row r="314">
      <c r="A314">
        <f>'1 prepared data'!A307</f>
        <v/>
      </c>
      <c r="B314" s="5">
        <f>'1 prepared data'!U307</f>
        <v/>
      </c>
      <c r="C314">
        <f>'1 prepared data'!B307</f>
        <v/>
      </c>
      <c r="D314" s="7">
        <f>'1 prepared data'!C307</f>
        <v/>
      </c>
      <c r="E314" s="7">
        <f>'1 prepared data'!D307</f>
        <v/>
      </c>
      <c r="F314" s="7">
        <f>'1 prepared data'!E307</f>
        <v/>
      </c>
      <c r="G314" s="7">
        <f>'1 prepared data'!F307</f>
        <v/>
      </c>
      <c r="H314" s="7">
        <f>'1 prepared data'!G307</f>
        <v/>
      </c>
      <c r="I314" s="7">
        <f>'1 prepared data'!H307</f>
        <v/>
      </c>
      <c r="J314" s="7">
        <f>'1 prepared data'!I307</f>
        <v/>
      </c>
      <c r="K314" s="7">
        <f>'1 prepared data'!J307</f>
        <v/>
      </c>
      <c r="L314" s="7">
        <f>'1 prepared data'!K307</f>
        <v/>
      </c>
      <c r="M314" s="7">
        <f>'1 prepared data'!L307</f>
        <v/>
      </c>
      <c r="N314" s="7">
        <f>'1 prepared data'!M307</f>
        <v/>
      </c>
      <c r="O314" s="7">
        <f>'1 prepared data'!N307</f>
        <v/>
      </c>
      <c r="P314" s="7">
        <f>'1 prepared data'!O307</f>
        <v/>
      </c>
      <c r="Q314" s="7">
        <f>'1 prepared data'!P307</f>
        <v/>
      </c>
      <c r="R314" s="7">
        <f>'1 prepared data'!Q307</f>
        <v/>
      </c>
      <c r="S314" s="7">
        <f>'1 prepared data'!R307</f>
        <v/>
      </c>
      <c r="T314" s="7">
        <f>'1 prepared data'!S307</f>
        <v/>
      </c>
      <c r="U314" s="7">
        <f>'1 prepared data'!T307</f>
        <v/>
      </c>
      <c r="V314" s="8">
        <f>$AC$12+D314*$AC$13+E314*$AC$14+F314*$AC$15+G314*$AC$16+H314*$AC$17+I314*$AC$18+J314*$AC$19+K314*$AC$20+L314*$AC$21+M314*$AC$22+N314*$AC$23+O314*$AC$24+P314*$AC$25+Q314*$AC$26+R314*$AC$27+S314*$AC$28+T314*$AC$29+U314*$AC$30</f>
        <v/>
      </c>
      <c r="W314" s="8">
        <f>1/(1+EXP(-V314))</f>
        <v/>
      </c>
      <c r="X314" s="9">
        <f>-IF(C314=1,LN(W314),LN(1-W314))</f>
        <v/>
      </c>
      <c r="Y314" s="10">
        <f>IF(W314&gt;$AC$34,1,0)</f>
        <v/>
      </c>
      <c r="Z314">
        <f>IF(Y314=C314,1,0)</f>
        <v/>
      </c>
    </row>
    <row r="315">
      <c r="A315">
        <f>'1 prepared data'!A308</f>
        <v/>
      </c>
      <c r="B315" s="5">
        <f>'1 prepared data'!U308</f>
        <v/>
      </c>
      <c r="C315">
        <f>'1 prepared data'!B308</f>
        <v/>
      </c>
      <c r="D315" s="7">
        <f>'1 prepared data'!C308</f>
        <v/>
      </c>
      <c r="E315" s="7">
        <f>'1 prepared data'!D308</f>
        <v/>
      </c>
      <c r="F315" s="7">
        <f>'1 prepared data'!E308</f>
        <v/>
      </c>
      <c r="G315" s="7">
        <f>'1 prepared data'!F308</f>
        <v/>
      </c>
      <c r="H315" s="7">
        <f>'1 prepared data'!G308</f>
        <v/>
      </c>
      <c r="I315" s="7">
        <f>'1 prepared data'!H308</f>
        <v/>
      </c>
      <c r="J315" s="7">
        <f>'1 prepared data'!I308</f>
        <v/>
      </c>
      <c r="K315" s="7">
        <f>'1 prepared data'!J308</f>
        <v/>
      </c>
      <c r="L315" s="7">
        <f>'1 prepared data'!K308</f>
        <v/>
      </c>
      <c r="M315" s="7">
        <f>'1 prepared data'!L308</f>
        <v/>
      </c>
      <c r="N315" s="7">
        <f>'1 prepared data'!M308</f>
        <v/>
      </c>
      <c r="O315" s="7">
        <f>'1 prepared data'!N308</f>
        <v/>
      </c>
      <c r="P315" s="7">
        <f>'1 prepared data'!O308</f>
        <v/>
      </c>
      <c r="Q315" s="7">
        <f>'1 prepared data'!P308</f>
        <v/>
      </c>
      <c r="R315" s="7">
        <f>'1 prepared data'!Q308</f>
        <v/>
      </c>
      <c r="S315" s="7">
        <f>'1 prepared data'!R308</f>
        <v/>
      </c>
      <c r="T315" s="7">
        <f>'1 prepared data'!S308</f>
        <v/>
      </c>
      <c r="U315" s="7">
        <f>'1 prepared data'!T308</f>
        <v/>
      </c>
      <c r="V315" s="8">
        <f>$AC$12+D315*$AC$13+E315*$AC$14+F315*$AC$15+G315*$AC$16+H315*$AC$17+I315*$AC$18+J315*$AC$19+K315*$AC$20+L315*$AC$21+M315*$AC$22+N315*$AC$23+O315*$AC$24+P315*$AC$25+Q315*$AC$26+R315*$AC$27+S315*$AC$28+T315*$AC$29+U315*$AC$30</f>
        <v/>
      </c>
      <c r="W315" s="8">
        <f>1/(1+EXP(-V315))</f>
        <v/>
      </c>
      <c r="X315" s="9">
        <f>-IF(C315=1,LN(W315),LN(1-W315))</f>
        <v/>
      </c>
      <c r="Y315" s="10">
        <f>IF(W315&gt;$AC$34,1,0)</f>
        <v/>
      </c>
      <c r="Z315">
        <f>IF(Y315=C315,1,0)</f>
        <v/>
      </c>
    </row>
    <row r="316">
      <c r="A316">
        <f>'1 prepared data'!A309</f>
        <v/>
      </c>
      <c r="B316" s="5">
        <f>'1 prepared data'!U309</f>
        <v/>
      </c>
      <c r="C316">
        <f>'1 prepared data'!B309</f>
        <v/>
      </c>
      <c r="D316" s="7">
        <f>'1 prepared data'!C309</f>
        <v/>
      </c>
      <c r="E316" s="7">
        <f>'1 prepared data'!D309</f>
        <v/>
      </c>
      <c r="F316" s="7">
        <f>'1 prepared data'!E309</f>
        <v/>
      </c>
      <c r="G316" s="7">
        <f>'1 prepared data'!F309</f>
        <v/>
      </c>
      <c r="H316" s="7">
        <f>'1 prepared data'!G309</f>
        <v/>
      </c>
      <c r="I316" s="7">
        <f>'1 prepared data'!H309</f>
        <v/>
      </c>
      <c r="J316" s="7">
        <f>'1 prepared data'!I309</f>
        <v/>
      </c>
      <c r="K316" s="7">
        <f>'1 prepared data'!J309</f>
        <v/>
      </c>
      <c r="L316" s="7">
        <f>'1 prepared data'!K309</f>
        <v/>
      </c>
      <c r="M316" s="7">
        <f>'1 prepared data'!L309</f>
        <v/>
      </c>
      <c r="N316" s="7">
        <f>'1 prepared data'!M309</f>
        <v/>
      </c>
      <c r="O316" s="7">
        <f>'1 prepared data'!N309</f>
        <v/>
      </c>
      <c r="P316" s="7">
        <f>'1 prepared data'!O309</f>
        <v/>
      </c>
      <c r="Q316" s="7">
        <f>'1 prepared data'!P309</f>
        <v/>
      </c>
      <c r="R316" s="7">
        <f>'1 prepared data'!Q309</f>
        <v/>
      </c>
      <c r="S316" s="7">
        <f>'1 prepared data'!R309</f>
        <v/>
      </c>
      <c r="T316" s="7">
        <f>'1 prepared data'!S309</f>
        <v/>
      </c>
      <c r="U316" s="7">
        <f>'1 prepared data'!T309</f>
        <v/>
      </c>
      <c r="V316" s="8">
        <f>$AC$12+D316*$AC$13+E316*$AC$14+F316*$AC$15+G316*$AC$16+H316*$AC$17+I316*$AC$18+J316*$AC$19+K316*$AC$20+L316*$AC$21+M316*$AC$22+N316*$AC$23+O316*$AC$24+P316*$AC$25+Q316*$AC$26+R316*$AC$27+S316*$AC$28+T316*$AC$29+U316*$AC$30</f>
        <v/>
      </c>
      <c r="W316" s="8">
        <f>1/(1+EXP(-V316))</f>
        <v/>
      </c>
      <c r="X316" s="9">
        <f>-IF(C316=1,LN(W316),LN(1-W316))</f>
        <v/>
      </c>
      <c r="Y316" s="10">
        <f>IF(W316&gt;$AC$34,1,0)</f>
        <v/>
      </c>
      <c r="Z316">
        <f>IF(Y316=C316,1,0)</f>
        <v/>
      </c>
    </row>
    <row r="317">
      <c r="A317">
        <f>'1 prepared data'!A310</f>
        <v/>
      </c>
      <c r="B317" s="5">
        <f>'1 prepared data'!U310</f>
        <v/>
      </c>
      <c r="C317">
        <f>'1 prepared data'!B310</f>
        <v/>
      </c>
      <c r="D317" s="7">
        <f>'1 prepared data'!C310</f>
        <v/>
      </c>
      <c r="E317" s="7">
        <f>'1 prepared data'!D310</f>
        <v/>
      </c>
      <c r="F317" s="7">
        <f>'1 prepared data'!E310</f>
        <v/>
      </c>
      <c r="G317" s="7">
        <f>'1 prepared data'!F310</f>
        <v/>
      </c>
      <c r="H317" s="7">
        <f>'1 prepared data'!G310</f>
        <v/>
      </c>
      <c r="I317" s="7">
        <f>'1 prepared data'!H310</f>
        <v/>
      </c>
      <c r="J317" s="7">
        <f>'1 prepared data'!I310</f>
        <v/>
      </c>
      <c r="K317" s="7">
        <f>'1 prepared data'!J310</f>
        <v/>
      </c>
      <c r="L317" s="7">
        <f>'1 prepared data'!K310</f>
        <v/>
      </c>
      <c r="M317" s="7">
        <f>'1 prepared data'!L310</f>
        <v/>
      </c>
      <c r="N317" s="7">
        <f>'1 prepared data'!M310</f>
        <v/>
      </c>
      <c r="O317" s="7">
        <f>'1 prepared data'!N310</f>
        <v/>
      </c>
      <c r="P317" s="7">
        <f>'1 prepared data'!O310</f>
        <v/>
      </c>
      <c r="Q317" s="7">
        <f>'1 prepared data'!P310</f>
        <v/>
      </c>
      <c r="R317" s="7">
        <f>'1 prepared data'!Q310</f>
        <v/>
      </c>
      <c r="S317" s="7">
        <f>'1 prepared data'!R310</f>
        <v/>
      </c>
      <c r="T317" s="7">
        <f>'1 prepared data'!S310</f>
        <v/>
      </c>
      <c r="U317" s="7">
        <f>'1 prepared data'!T310</f>
        <v/>
      </c>
      <c r="V317" s="8">
        <f>$AC$12+D317*$AC$13+E317*$AC$14+F317*$AC$15+G317*$AC$16+H317*$AC$17+I317*$AC$18+J317*$AC$19+K317*$AC$20+L317*$AC$21+M317*$AC$22+N317*$AC$23+O317*$AC$24+P317*$AC$25+Q317*$AC$26+R317*$AC$27+S317*$AC$28+T317*$AC$29+U317*$AC$30</f>
        <v/>
      </c>
      <c r="W317" s="8">
        <f>1/(1+EXP(-V317))</f>
        <v/>
      </c>
      <c r="X317" s="9">
        <f>-IF(C317=1,LN(W317),LN(1-W317))</f>
        <v/>
      </c>
      <c r="Y317" s="10">
        <f>IF(W317&gt;$AC$34,1,0)</f>
        <v/>
      </c>
      <c r="Z317">
        <f>IF(Y317=C317,1,0)</f>
        <v/>
      </c>
    </row>
    <row r="318">
      <c r="A318">
        <f>'1 prepared data'!A311</f>
        <v/>
      </c>
      <c r="B318" s="5">
        <f>'1 prepared data'!U311</f>
        <v/>
      </c>
      <c r="C318">
        <f>'1 prepared data'!B311</f>
        <v/>
      </c>
      <c r="D318" s="7">
        <f>'1 prepared data'!C311</f>
        <v/>
      </c>
      <c r="E318" s="7">
        <f>'1 prepared data'!D311</f>
        <v/>
      </c>
      <c r="F318" s="7">
        <f>'1 prepared data'!E311</f>
        <v/>
      </c>
      <c r="G318" s="7">
        <f>'1 prepared data'!F311</f>
        <v/>
      </c>
      <c r="H318" s="7">
        <f>'1 prepared data'!G311</f>
        <v/>
      </c>
      <c r="I318" s="7">
        <f>'1 prepared data'!H311</f>
        <v/>
      </c>
      <c r="J318" s="7">
        <f>'1 prepared data'!I311</f>
        <v/>
      </c>
      <c r="K318" s="7">
        <f>'1 prepared data'!J311</f>
        <v/>
      </c>
      <c r="L318" s="7">
        <f>'1 prepared data'!K311</f>
        <v/>
      </c>
      <c r="M318" s="7">
        <f>'1 prepared data'!L311</f>
        <v/>
      </c>
      <c r="N318" s="7">
        <f>'1 prepared data'!M311</f>
        <v/>
      </c>
      <c r="O318" s="7">
        <f>'1 prepared data'!N311</f>
        <v/>
      </c>
      <c r="P318" s="7">
        <f>'1 prepared data'!O311</f>
        <v/>
      </c>
      <c r="Q318" s="7">
        <f>'1 prepared data'!P311</f>
        <v/>
      </c>
      <c r="R318" s="7">
        <f>'1 prepared data'!Q311</f>
        <v/>
      </c>
      <c r="S318" s="7">
        <f>'1 prepared data'!R311</f>
        <v/>
      </c>
      <c r="T318" s="7">
        <f>'1 prepared data'!S311</f>
        <v/>
      </c>
      <c r="U318" s="7">
        <f>'1 prepared data'!T311</f>
        <v/>
      </c>
      <c r="V318" s="8">
        <f>$AC$12+D318*$AC$13+E318*$AC$14+F318*$AC$15+G318*$AC$16+H318*$AC$17+I318*$AC$18+J318*$AC$19+K318*$AC$20+L318*$AC$21+M318*$AC$22+N318*$AC$23+O318*$AC$24+P318*$AC$25+Q318*$AC$26+R318*$AC$27+S318*$AC$28+T318*$AC$29+U318*$AC$30</f>
        <v/>
      </c>
      <c r="W318" s="8">
        <f>1/(1+EXP(-V318))</f>
        <v/>
      </c>
      <c r="X318" s="9">
        <f>-IF(C318=1,LN(W318),LN(1-W318))</f>
        <v/>
      </c>
      <c r="Y318" s="10">
        <f>IF(W318&gt;$AC$34,1,0)</f>
        <v/>
      </c>
      <c r="Z318">
        <f>IF(Y318=C318,1,0)</f>
        <v/>
      </c>
    </row>
    <row r="319">
      <c r="A319">
        <f>'1 prepared data'!A312</f>
        <v/>
      </c>
      <c r="B319" s="5">
        <f>'1 prepared data'!U312</f>
        <v/>
      </c>
      <c r="C319">
        <f>'1 prepared data'!B312</f>
        <v/>
      </c>
      <c r="D319" s="7">
        <f>'1 prepared data'!C312</f>
        <v/>
      </c>
      <c r="E319" s="7">
        <f>'1 prepared data'!D312</f>
        <v/>
      </c>
      <c r="F319" s="7">
        <f>'1 prepared data'!E312</f>
        <v/>
      </c>
      <c r="G319" s="7">
        <f>'1 prepared data'!F312</f>
        <v/>
      </c>
      <c r="H319" s="7">
        <f>'1 prepared data'!G312</f>
        <v/>
      </c>
      <c r="I319" s="7">
        <f>'1 prepared data'!H312</f>
        <v/>
      </c>
      <c r="J319" s="7">
        <f>'1 prepared data'!I312</f>
        <v/>
      </c>
      <c r="K319" s="7">
        <f>'1 prepared data'!J312</f>
        <v/>
      </c>
      <c r="L319" s="7">
        <f>'1 prepared data'!K312</f>
        <v/>
      </c>
      <c r="M319" s="7">
        <f>'1 prepared data'!L312</f>
        <v/>
      </c>
      <c r="N319" s="7">
        <f>'1 prepared data'!M312</f>
        <v/>
      </c>
      <c r="O319" s="7">
        <f>'1 prepared data'!N312</f>
        <v/>
      </c>
      <c r="P319" s="7">
        <f>'1 prepared data'!O312</f>
        <v/>
      </c>
      <c r="Q319" s="7">
        <f>'1 prepared data'!P312</f>
        <v/>
      </c>
      <c r="R319" s="7">
        <f>'1 prepared data'!Q312</f>
        <v/>
      </c>
      <c r="S319" s="7">
        <f>'1 prepared data'!R312</f>
        <v/>
      </c>
      <c r="T319" s="7">
        <f>'1 prepared data'!S312</f>
        <v/>
      </c>
      <c r="U319" s="7">
        <f>'1 prepared data'!T312</f>
        <v/>
      </c>
      <c r="V319" s="8">
        <f>$AC$12+D319*$AC$13+E319*$AC$14+F319*$AC$15+G319*$AC$16+H319*$AC$17+I319*$AC$18+J319*$AC$19+K319*$AC$20+L319*$AC$21+M319*$AC$22+N319*$AC$23+O319*$AC$24+P319*$AC$25+Q319*$AC$26+R319*$AC$27+S319*$AC$28+T319*$AC$29+U319*$AC$30</f>
        <v/>
      </c>
      <c r="W319" s="8">
        <f>1/(1+EXP(-V319))</f>
        <v/>
      </c>
      <c r="X319" s="9">
        <f>-IF(C319=1,LN(W319),LN(1-W319))</f>
        <v/>
      </c>
      <c r="Y319" s="10">
        <f>IF(W319&gt;$AC$34,1,0)</f>
        <v/>
      </c>
      <c r="Z319">
        <f>IF(Y319=C319,1,0)</f>
        <v/>
      </c>
    </row>
    <row r="320">
      <c r="A320">
        <f>'1 prepared data'!A313</f>
        <v/>
      </c>
      <c r="B320" s="5">
        <f>'1 prepared data'!U313</f>
        <v/>
      </c>
      <c r="C320">
        <f>'1 prepared data'!B313</f>
        <v/>
      </c>
      <c r="D320" s="7">
        <f>'1 prepared data'!C313</f>
        <v/>
      </c>
      <c r="E320" s="7">
        <f>'1 prepared data'!D313</f>
        <v/>
      </c>
      <c r="F320" s="7">
        <f>'1 prepared data'!E313</f>
        <v/>
      </c>
      <c r="G320" s="7">
        <f>'1 prepared data'!F313</f>
        <v/>
      </c>
      <c r="H320" s="7">
        <f>'1 prepared data'!G313</f>
        <v/>
      </c>
      <c r="I320" s="7">
        <f>'1 prepared data'!H313</f>
        <v/>
      </c>
      <c r="J320" s="7">
        <f>'1 prepared data'!I313</f>
        <v/>
      </c>
      <c r="K320" s="7">
        <f>'1 prepared data'!J313</f>
        <v/>
      </c>
      <c r="L320" s="7">
        <f>'1 prepared data'!K313</f>
        <v/>
      </c>
      <c r="M320" s="7">
        <f>'1 prepared data'!L313</f>
        <v/>
      </c>
      <c r="N320" s="7">
        <f>'1 prepared data'!M313</f>
        <v/>
      </c>
      <c r="O320" s="7">
        <f>'1 prepared data'!N313</f>
        <v/>
      </c>
      <c r="P320" s="7">
        <f>'1 prepared data'!O313</f>
        <v/>
      </c>
      <c r="Q320" s="7">
        <f>'1 prepared data'!P313</f>
        <v/>
      </c>
      <c r="R320" s="7">
        <f>'1 prepared data'!Q313</f>
        <v/>
      </c>
      <c r="S320" s="7">
        <f>'1 prepared data'!R313</f>
        <v/>
      </c>
      <c r="T320" s="7">
        <f>'1 prepared data'!S313</f>
        <v/>
      </c>
      <c r="U320" s="7">
        <f>'1 prepared data'!T313</f>
        <v/>
      </c>
      <c r="V320" s="8">
        <f>$AC$12+D320*$AC$13+E320*$AC$14+F320*$AC$15+G320*$AC$16+H320*$AC$17+I320*$AC$18+J320*$AC$19+K320*$AC$20+L320*$AC$21+M320*$AC$22+N320*$AC$23+O320*$AC$24+P320*$AC$25+Q320*$AC$26+R320*$AC$27+S320*$AC$28+T320*$AC$29+U320*$AC$30</f>
        <v/>
      </c>
      <c r="W320" s="8">
        <f>1/(1+EXP(-V320))</f>
        <v/>
      </c>
      <c r="X320" s="9">
        <f>-IF(C320=1,LN(W320),LN(1-W320))</f>
        <v/>
      </c>
      <c r="Y320" s="10">
        <f>IF(W320&gt;$AC$34,1,0)</f>
        <v/>
      </c>
      <c r="Z320">
        <f>IF(Y320=C320,1,0)</f>
        <v/>
      </c>
    </row>
    <row r="321">
      <c r="A321">
        <f>'1 prepared data'!A314</f>
        <v/>
      </c>
      <c r="B321" s="5">
        <f>'1 prepared data'!U314</f>
        <v/>
      </c>
      <c r="C321">
        <f>'1 prepared data'!B314</f>
        <v/>
      </c>
      <c r="D321" s="7">
        <f>'1 prepared data'!C314</f>
        <v/>
      </c>
      <c r="E321" s="7">
        <f>'1 prepared data'!D314</f>
        <v/>
      </c>
      <c r="F321" s="7">
        <f>'1 prepared data'!E314</f>
        <v/>
      </c>
      <c r="G321" s="7">
        <f>'1 prepared data'!F314</f>
        <v/>
      </c>
      <c r="H321" s="7">
        <f>'1 prepared data'!G314</f>
        <v/>
      </c>
      <c r="I321" s="7">
        <f>'1 prepared data'!H314</f>
        <v/>
      </c>
      <c r="J321" s="7">
        <f>'1 prepared data'!I314</f>
        <v/>
      </c>
      <c r="K321" s="7">
        <f>'1 prepared data'!J314</f>
        <v/>
      </c>
      <c r="L321" s="7">
        <f>'1 prepared data'!K314</f>
        <v/>
      </c>
      <c r="M321" s="7">
        <f>'1 prepared data'!L314</f>
        <v/>
      </c>
      <c r="N321" s="7">
        <f>'1 prepared data'!M314</f>
        <v/>
      </c>
      <c r="O321" s="7">
        <f>'1 prepared data'!N314</f>
        <v/>
      </c>
      <c r="P321" s="7">
        <f>'1 prepared data'!O314</f>
        <v/>
      </c>
      <c r="Q321" s="7">
        <f>'1 prepared data'!P314</f>
        <v/>
      </c>
      <c r="R321" s="7">
        <f>'1 prepared data'!Q314</f>
        <v/>
      </c>
      <c r="S321" s="7">
        <f>'1 prepared data'!R314</f>
        <v/>
      </c>
      <c r="T321" s="7">
        <f>'1 prepared data'!S314</f>
        <v/>
      </c>
      <c r="U321" s="7">
        <f>'1 prepared data'!T314</f>
        <v/>
      </c>
      <c r="V321" s="8">
        <f>$AC$12+D321*$AC$13+E321*$AC$14+F321*$AC$15+G321*$AC$16+H321*$AC$17+I321*$AC$18+J321*$AC$19+K321*$AC$20+L321*$AC$21+M321*$AC$22+N321*$AC$23+O321*$AC$24+P321*$AC$25+Q321*$AC$26+R321*$AC$27+S321*$AC$28+T321*$AC$29+U321*$AC$30</f>
        <v/>
      </c>
      <c r="W321" s="8">
        <f>1/(1+EXP(-V321))</f>
        <v/>
      </c>
      <c r="X321" s="9">
        <f>-IF(C321=1,LN(W321),LN(1-W321))</f>
        <v/>
      </c>
      <c r="Y321" s="10">
        <f>IF(W321&gt;$AC$34,1,0)</f>
        <v/>
      </c>
      <c r="Z321">
        <f>IF(Y321=C321,1,0)</f>
        <v/>
      </c>
    </row>
    <row r="322">
      <c r="A322">
        <f>'1 prepared data'!A315</f>
        <v/>
      </c>
      <c r="B322" s="5">
        <f>'1 prepared data'!U315</f>
        <v/>
      </c>
      <c r="C322">
        <f>'1 prepared data'!B315</f>
        <v/>
      </c>
      <c r="D322" s="7">
        <f>'1 prepared data'!C315</f>
        <v/>
      </c>
      <c r="E322" s="7">
        <f>'1 prepared data'!D315</f>
        <v/>
      </c>
      <c r="F322" s="7">
        <f>'1 prepared data'!E315</f>
        <v/>
      </c>
      <c r="G322" s="7">
        <f>'1 prepared data'!F315</f>
        <v/>
      </c>
      <c r="H322" s="7">
        <f>'1 prepared data'!G315</f>
        <v/>
      </c>
      <c r="I322" s="7">
        <f>'1 prepared data'!H315</f>
        <v/>
      </c>
      <c r="J322" s="7">
        <f>'1 prepared data'!I315</f>
        <v/>
      </c>
      <c r="K322" s="7">
        <f>'1 prepared data'!J315</f>
        <v/>
      </c>
      <c r="L322" s="7">
        <f>'1 prepared data'!K315</f>
        <v/>
      </c>
      <c r="M322" s="7">
        <f>'1 prepared data'!L315</f>
        <v/>
      </c>
      <c r="N322" s="7">
        <f>'1 prepared data'!M315</f>
        <v/>
      </c>
      <c r="O322" s="7">
        <f>'1 prepared data'!N315</f>
        <v/>
      </c>
      <c r="P322" s="7">
        <f>'1 prepared data'!O315</f>
        <v/>
      </c>
      <c r="Q322" s="7">
        <f>'1 prepared data'!P315</f>
        <v/>
      </c>
      <c r="R322" s="7">
        <f>'1 prepared data'!Q315</f>
        <v/>
      </c>
      <c r="S322" s="7">
        <f>'1 prepared data'!R315</f>
        <v/>
      </c>
      <c r="T322" s="7">
        <f>'1 prepared data'!S315</f>
        <v/>
      </c>
      <c r="U322" s="7">
        <f>'1 prepared data'!T315</f>
        <v/>
      </c>
      <c r="V322" s="8">
        <f>$AC$12+D322*$AC$13+E322*$AC$14+F322*$AC$15+G322*$AC$16+H322*$AC$17+I322*$AC$18+J322*$AC$19+K322*$AC$20+L322*$AC$21+M322*$AC$22+N322*$AC$23+O322*$AC$24+P322*$AC$25+Q322*$AC$26+R322*$AC$27+S322*$AC$28+T322*$AC$29+U322*$AC$30</f>
        <v/>
      </c>
      <c r="W322" s="8">
        <f>1/(1+EXP(-V322))</f>
        <v/>
      </c>
      <c r="X322" s="9">
        <f>-IF(C322=1,LN(W322),LN(1-W322))</f>
        <v/>
      </c>
      <c r="Y322" s="10">
        <f>IF(W322&gt;$AC$34,1,0)</f>
        <v/>
      </c>
      <c r="Z322">
        <f>IF(Y322=C322,1,0)</f>
        <v/>
      </c>
    </row>
    <row r="323">
      <c r="A323">
        <f>'1 prepared data'!A316</f>
        <v/>
      </c>
      <c r="B323" s="5">
        <f>'1 prepared data'!U316</f>
        <v/>
      </c>
      <c r="C323">
        <f>'1 prepared data'!B316</f>
        <v/>
      </c>
      <c r="D323" s="7">
        <f>'1 prepared data'!C316</f>
        <v/>
      </c>
      <c r="E323" s="7">
        <f>'1 prepared data'!D316</f>
        <v/>
      </c>
      <c r="F323" s="7">
        <f>'1 prepared data'!E316</f>
        <v/>
      </c>
      <c r="G323" s="7">
        <f>'1 prepared data'!F316</f>
        <v/>
      </c>
      <c r="H323" s="7">
        <f>'1 prepared data'!G316</f>
        <v/>
      </c>
      <c r="I323" s="7">
        <f>'1 prepared data'!H316</f>
        <v/>
      </c>
      <c r="J323" s="7">
        <f>'1 prepared data'!I316</f>
        <v/>
      </c>
      <c r="K323" s="7">
        <f>'1 prepared data'!J316</f>
        <v/>
      </c>
      <c r="L323" s="7">
        <f>'1 prepared data'!K316</f>
        <v/>
      </c>
      <c r="M323" s="7">
        <f>'1 prepared data'!L316</f>
        <v/>
      </c>
      <c r="N323" s="7">
        <f>'1 prepared data'!M316</f>
        <v/>
      </c>
      <c r="O323" s="7">
        <f>'1 prepared data'!N316</f>
        <v/>
      </c>
      <c r="P323" s="7">
        <f>'1 prepared data'!O316</f>
        <v/>
      </c>
      <c r="Q323" s="7">
        <f>'1 prepared data'!P316</f>
        <v/>
      </c>
      <c r="R323" s="7">
        <f>'1 prepared data'!Q316</f>
        <v/>
      </c>
      <c r="S323" s="7">
        <f>'1 prepared data'!R316</f>
        <v/>
      </c>
      <c r="T323" s="7">
        <f>'1 prepared data'!S316</f>
        <v/>
      </c>
      <c r="U323" s="7">
        <f>'1 prepared data'!T316</f>
        <v/>
      </c>
      <c r="V323" s="8">
        <f>$AC$12+D323*$AC$13+E323*$AC$14+F323*$AC$15+G323*$AC$16+H323*$AC$17+I323*$AC$18+J323*$AC$19+K323*$AC$20+L323*$AC$21+M323*$AC$22+N323*$AC$23+O323*$AC$24+P323*$AC$25+Q323*$AC$26+R323*$AC$27+S323*$AC$28+T323*$AC$29+U323*$AC$30</f>
        <v/>
      </c>
      <c r="W323" s="8">
        <f>1/(1+EXP(-V323))</f>
        <v/>
      </c>
      <c r="X323" s="9">
        <f>-IF(C323=1,LN(W323),LN(1-W323))</f>
        <v/>
      </c>
      <c r="Y323" s="10">
        <f>IF(W323&gt;$AC$34,1,0)</f>
        <v/>
      </c>
      <c r="Z323">
        <f>IF(Y323=C323,1,0)</f>
        <v/>
      </c>
    </row>
    <row r="324">
      <c r="A324">
        <f>'1 prepared data'!A317</f>
        <v/>
      </c>
      <c r="B324" s="5">
        <f>'1 prepared data'!U317</f>
        <v/>
      </c>
      <c r="C324">
        <f>'1 prepared data'!B317</f>
        <v/>
      </c>
      <c r="D324" s="7">
        <f>'1 prepared data'!C317</f>
        <v/>
      </c>
      <c r="E324" s="7">
        <f>'1 prepared data'!D317</f>
        <v/>
      </c>
      <c r="F324" s="7">
        <f>'1 prepared data'!E317</f>
        <v/>
      </c>
      <c r="G324" s="7">
        <f>'1 prepared data'!F317</f>
        <v/>
      </c>
      <c r="H324" s="7">
        <f>'1 prepared data'!G317</f>
        <v/>
      </c>
      <c r="I324" s="7">
        <f>'1 prepared data'!H317</f>
        <v/>
      </c>
      <c r="J324" s="7">
        <f>'1 prepared data'!I317</f>
        <v/>
      </c>
      <c r="K324" s="7">
        <f>'1 prepared data'!J317</f>
        <v/>
      </c>
      <c r="L324" s="7">
        <f>'1 prepared data'!K317</f>
        <v/>
      </c>
      <c r="M324" s="7">
        <f>'1 prepared data'!L317</f>
        <v/>
      </c>
      <c r="N324" s="7">
        <f>'1 prepared data'!M317</f>
        <v/>
      </c>
      <c r="O324" s="7">
        <f>'1 prepared data'!N317</f>
        <v/>
      </c>
      <c r="P324" s="7">
        <f>'1 prepared data'!O317</f>
        <v/>
      </c>
      <c r="Q324" s="7">
        <f>'1 prepared data'!P317</f>
        <v/>
      </c>
      <c r="R324" s="7">
        <f>'1 prepared data'!Q317</f>
        <v/>
      </c>
      <c r="S324" s="7">
        <f>'1 prepared data'!R317</f>
        <v/>
      </c>
      <c r="T324" s="7">
        <f>'1 prepared data'!S317</f>
        <v/>
      </c>
      <c r="U324" s="7">
        <f>'1 prepared data'!T317</f>
        <v/>
      </c>
      <c r="V324" s="8">
        <f>$AC$12+D324*$AC$13+E324*$AC$14+F324*$AC$15+G324*$AC$16+H324*$AC$17+I324*$AC$18+J324*$AC$19+K324*$AC$20+L324*$AC$21+M324*$AC$22+N324*$AC$23+O324*$AC$24+P324*$AC$25+Q324*$AC$26+R324*$AC$27+S324*$AC$28+T324*$AC$29+U324*$AC$30</f>
        <v/>
      </c>
      <c r="W324" s="8">
        <f>1/(1+EXP(-V324))</f>
        <v/>
      </c>
      <c r="X324" s="9">
        <f>-IF(C324=1,LN(W324),LN(1-W324))</f>
        <v/>
      </c>
      <c r="Y324" s="10">
        <f>IF(W324&gt;$AC$34,1,0)</f>
        <v/>
      </c>
      <c r="Z324">
        <f>IF(Y324=C324,1,0)</f>
        <v/>
      </c>
    </row>
    <row r="325">
      <c r="A325">
        <f>'1 prepared data'!A318</f>
        <v/>
      </c>
      <c r="B325" s="5">
        <f>'1 prepared data'!U318</f>
        <v/>
      </c>
      <c r="C325">
        <f>'1 prepared data'!B318</f>
        <v/>
      </c>
      <c r="D325" s="7">
        <f>'1 prepared data'!C318</f>
        <v/>
      </c>
      <c r="E325" s="7">
        <f>'1 prepared data'!D318</f>
        <v/>
      </c>
      <c r="F325" s="7">
        <f>'1 prepared data'!E318</f>
        <v/>
      </c>
      <c r="G325" s="7">
        <f>'1 prepared data'!F318</f>
        <v/>
      </c>
      <c r="H325" s="7">
        <f>'1 prepared data'!G318</f>
        <v/>
      </c>
      <c r="I325" s="7">
        <f>'1 prepared data'!H318</f>
        <v/>
      </c>
      <c r="J325" s="7">
        <f>'1 prepared data'!I318</f>
        <v/>
      </c>
      <c r="K325" s="7">
        <f>'1 prepared data'!J318</f>
        <v/>
      </c>
      <c r="L325" s="7">
        <f>'1 prepared data'!K318</f>
        <v/>
      </c>
      <c r="M325" s="7">
        <f>'1 prepared data'!L318</f>
        <v/>
      </c>
      <c r="N325" s="7">
        <f>'1 prepared data'!M318</f>
        <v/>
      </c>
      <c r="O325" s="7">
        <f>'1 prepared data'!N318</f>
        <v/>
      </c>
      <c r="P325" s="7">
        <f>'1 prepared data'!O318</f>
        <v/>
      </c>
      <c r="Q325" s="7">
        <f>'1 prepared data'!P318</f>
        <v/>
      </c>
      <c r="R325" s="7">
        <f>'1 prepared data'!Q318</f>
        <v/>
      </c>
      <c r="S325" s="7">
        <f>'1 prepared data'!R318</f>
        <v/>
      </c>
      <c r="T325" s="7">
        <f>'1 prepared data'!S318</f>
        <v/>
      </c>
      <c r="U325" s="7">
        <f>'1 prepared data'!T318</f>
        <v/>
      </c>
      <c r="V325" s="8">
        <f>$AC$12+D325*$AC$13+E325*$AC$14+F325*$AC$15+G325*$AC$16+H325*$AC$17+I325*$AC$18+J325*$AC$19+K325*$AC$20+L325*$AC$21+M325*$AC$22+N325*$AC$23+O325*$AC$24+P325*$AC$25+Q325*$AC$26+R325*$AC$27+S325*$AC$28+T325*$AC$29+U325*$AC$30</f>
        <v/>
      </c>
      <c r="W325" s="8">
        <f>1/(1+EXP(-V325))</f>
        <v/>
      </c>
      <c r="X325" s="9">
        <f>-IF(C325=1,LN(W325),LN(1-W325))</f>
        <v/>
      </c>
      <c r="Y325" s="10">
        <f>IF(W325&gt;$AC$34,1,0)</f>
        <v/>
      </c>
      <c r="Z325">
        <f>IF(Y325=C325,1,0)</f>
        <v/>
      </c>
    </row>
    <row r="326">
      <c r="A326">
        <f>'1 prepared data'!A319</f>
        <v/>
      </c>
      <c r="B326" s="5">
        <f>'1 prepared data'!U319</f>
        <v/>
      </c>
      <c r="C326">
        <f>'1 prepared data'!B319</f>
        <v/>
      </c>
      <c r="D326" s="7">
        <f>'1 prepared data'!C319</f>
        <v/>
      </c>
      <c r="E326" s="7">
        <f>'1 prepared data'!D319</f>
        <v/>
      </c>
      <c r="F326" s="7">
        <f>'1 prepared data'!E319</f>
        <v/>
      </c>
      <c r="G326" s="7">
        <f>'1 prepared data'!F319</f>
        <v/>
      </c>
      <c r="H326" s="7">
        <f>'1 prepared data'!G319</f>
        <v/>
      </c>
      <c r="I326" s="7">
        <f>'1 prepared data'!H319</f>
        <v/>
      </c>
      <c r="J326" s="7">
        <f>'1 prepared data'!I319</f>
        <v/>
      </c>
      <c r="K326" s="7">
        <f>'1 prepared data'!J319</f>
        <v/>
      </c>
      <c r="L326" s="7">
        <f>'1 prepared data'!K319</f>
        <v/>
      </c>
      <c r="M326" s="7">
        <f>'1 prepared data'!L319</f>
        <v/>
      </c>
      <c r="N326" s="7">
        <f>'1 prepared data'!M319</f>
        <v/>
      </c>
      <c r="O326" s="7">
        <f>'1 prepared data'!N319</f>
        <v/>
      </c>
      <c r="P326" s="7">
        <f>'1 prepared data'!O319</f>
        <v/>
      </c>
      <c r="Q326" s="7">
        <f>'1 prepared data'!P319</f>
        <v/>
      </c>
      <c r="R326" s="7">
        <f>'1 prepared data'!Q319</f>
        <v/>
      </c>
      <c r="S326" s="7">
        <f>'1 prepared data'!R319</f>
        <v/>
      </c>
      <c r="T326" s="7">
        <f>'1 prepared data'!S319</f>
        <v/>
      </c>
      <c r="U326" s="7">
        <f>'1 prepared data'!T319</f>
        <v/>
      </c>
      <c r="V326" s="8">
        <f>$AC$12+D326*$AC$13+E326*$AC$14+F326*$AC$15+G326*$AC$16+H326*$AC$17+I326*$AC$18+J326*$AC$19+K326*$AC$20+L326*$AC$21+M326*$AC$22+N326*$AC$23+O326*$AC$24+P326*$AC$25+Q326*$AC$26+R326*$AC$27+S326*$AC$28+T326*$AC$29+U326*$AC$30</f>
        <v/>
      </c>
      <c r="W326" s="8">
        <f>1/(1+EXP(-V326))</f>
        <v/>
      </c>
      <c r="X326" s="9">
        <f>-IF(C326=1,LN(W326),LN(1-W326))</f>
        <v/>
      </c>
      <c r="Y326" s="10">
        <f>IF(W326&gt;$AC$34,1,0)</f>
        <v/>
      </c>
      <c r="Z326">
        <f>IF(Y326=C326,1,0)</f>
        <v/>
      </c>
    </row>
    <row r="327">
      <c r="A327">
        <f>'1 prepared data'!A320</f>
        <v/>
      </c>
      <c r="B327" s="5">
        <f>'1 prepared data'!U320</f>
        <v/>
      </c>
      <c r="C327">
        <f>'1 prepared data'!B320</f>
        <v/>
      </c>
      <c r="D327" s="7">
        <f>'1 prepared data'!C320</f>
        <v/>
      </c>
      <c r="E327" s="7">
        <f>'1 prepared data'!D320</f>
        <v/>
      </c>
      <c r="F327" s="7">
        <f>'1 prepared data'!E320</f>
        <v/>
      </c>
      <c r="G327" s="7">
        <f>'1 prepared data'!F320</f>
        <v/>
      </c>
      <c r="H327" s="7">
        <f>'1 prepared data'!G320</f>
        <v/>
      </c>
      <c r="I327" s="7">
        <f>'1 prepared data'!H320</f>
        <v/>
      </c>
      <c r="J327" s="7">
        <f>'1 prepared data'!I320</f>
        <v/>
      </c>
      <c r="K327" s="7">
        <f>'1 prepared data'!J320</f>
        <v/>
      </c>
      <c r="L327" s="7">
        <f>'1 prepared data'!K320</f>
        <v/>
      </c>
      <c r="M327" s="7">
        <f>'1 prepared data'!L320</f>
        <v/>
      </c>
      <c r="N327" s="7">
        <f>'1 prepared data'!M320</f>
        <v/>
      </c>
      <c r="O327" s="7">
        <f>'1 prepared data'!N320</f>
        <v/>
      </c>
      <c r="P327" s="7">
        <f>'1 prepared data'!O320</f>
        <v/>
      </c>
      <c r="Q327" s="7">
        <f>'1 prepared data'!P320</f>
        <v/>
      </c>
      <c r="R327" s="7">
        <f>'1 prepared data'!Q320</f>
        <v/>
      </c>
      <c r="S327" s="7">
        <f>'1 prepared data'!R320</f>
        <v/>
      </c>
      <c r="T327" s="7">
        <f>'1 prepared data'!S320</f>
        <v/>
      </c>
      <c r="U327" s="7">
        <f>'1 prepared data'!T320</f>
        <v/>
      </c>
      <c r="V327" s="8">
        <f>$AC$12+D327*$AC$13+E327*$AC$14+F327*$AC$15+G327*$AC$16+H327*$AC$17+I327*$AC$18+J327*$AC$19+K327*$AC$20+L327*$AC$21+M327*$AC$22+N327*$AC$23+O327*$AC$24+P327*$AC$25+Q327*$AC$26+R327*$AC$27+S327*$AC$28+T327*$AC$29+U327*$AC$30</f>
        <v/>
      </c>
      <c r="W327" s="8">
        <f>1/(1+EXP(-V327))</f>
        <v/>
      </c>
      <c r="X327" s="9">
        <f>-IF(C327=1,LN(W327),LN(1-W327))</f>
        <v/>
      </c>
      <c r="Y327" s="10">
        <f>IF(W327&gt;$AC$34,1,0)</f>
        <v/>
      </c>
      <c r="Z327">
        <f>IF(Y327=C327,1,0)</f>
        <v/>
      </c>
    </row>
    <row r="328">
      <c r="A328">
        <f>'1 prepared data'!A321</f>
        <v/>
      </c>
      <c r="B328" s="5">
        <f>'1 prepared data'!U321</f>
        <v/>
      </c>
      <c r="C328">
        <f>'1 prepared data'!B321</f>
        <v/>
      </c>
      <c r="D328" s="7">
        <f>'1 prepared data'!C321</f>
        <v/>
      </c>
      <c r="E328" s="7">
        <f>'1 prepared data'!D321</f>
        <v/>
      </c>
      <c r="F328" s="7">
        <f>'1 prepared data'!E321</f>
        <v/>
      </c>
      <c r="G328" s="7">
        <f>'1 prepared data'!F321</f>
        <v/>
      </c>
      <c r="H328" s="7">
        <f>'1 prepared data'!G321</f>
        <v/>
      </c>
      <c r="I328" s="7">
        <f>'1 prepared data'!H321</f>
        <v/>
      </c>
      <c r="J328" s="7">
        <f>'1 prepared data'!I321</f>
        <v/>
      </c>
      <c r="K328" s="7">
        <f>'1 prepared data'!J321</f>
        <v/>
      </c>
      <c r="L328" s="7">
        <f>'1 prepared data'!K321</f>
        <v/>
      </c>
      <c r="M328" s="7">
        <f>'1 prepared data'!L321</f>
        <v/>
      </c>
      <c r="N328" s="7">
        <f>'1 prepared data'!M321</f>
        <v/>
      </c>
      <c r="O328" s="7">
        <f>'1 prepared data'!N321</f>
        <v/>
      </c>
      <c r="P328" s="7">
        <f>'1 prepared data'!O321</f>
        <v/>
      </c>
      <c r="Q328" s="7">
        <f>'1 prepared data'!P321</f>
        <v/>
      </c>
      <c r="R328" s="7">
        <f>'1 prepared data'!Q321</f>
        <v/>
      </c>
      <c r="S328" s="7">
        <f>'1 prepared data'!R321</f>
        <v/>
      </c>
      <c r="T328" s="7">
        <f>'1 prepared data'!S321</f>
        <v/>
      </c>
      <c r="U328" s="7">
        <f>'1 prepared data'!T321</f>
        <v/>
      </c>
      <c r="V328" s="8">
        <f>$AC$12+D328*$AC$13+E328*$AC$14+F328*$AC$15+G328*$AC$16+H328*$AC$17+I328*$AC$18+J328*$AC$19+K328*$AC$20+L328*$AC$21+M328*$AC$22+N328*$AC$23+O328*$AC$24+P328*$AC$25+Q328*$AC$26+R328*$AC$27+S328*$AC$28+T328*$AC$29+U328*$AC$30</f>
        <v/>
      </c>
      <c r="W328" s="8">
        <f>1/(1+EXP(-V328))</f>
        <v/>
      </c>
      <c r="X328" s="9">
        <f>-IF(C328=1,LN(W328),LN(1-W328))</f>
        <v/>
      </c>
      <c r="Y328" s="10">
        <f>IF(W328&gt;$AC$34,1,0)</f>
        <v/>
      </c>
      <c r="Z328">
        <f>IF(Y328=C328,1,0)</f>
        <v/>
      </c>
    </row>
    <row r="329">
      <c r="A329">
        <f>'1 prepared data'!A322</f>
        <v/>
      </c>
      <c r="B329" s="5">
        <f>'1 prepared data'!U322</f>
        <v/>
      </c>
      <c r="C329">
        <f>'1 prepared data'!B322</f>
        <v/>
      </c>
      <c r="D329" s="7">
        <f>'1 prepared data'!C322</f>
        <v/>
      </c>
      <c r="E329" s="7">
        <f>'1 prepared data'!D322</f>
        <v/>
      </c>
      <c r="F329" s="7">
        <f>'1 prepared data'!E322</f>
        <v/>
      </c>
      <c r="G329" s="7">
        <f>'1 prepared data'!F322</f>
        <v/>
      </c>
      <c r="H329" s="7">
        <f>'1 prepared data'!G322</f>
        <v/>
      </c>
      <c r="I329" s="7">
        <f>'1 prepared data'!H322</f>
        <v/>
      </c>
      <c r="J329" s="7">
        <f>'1 prepared data'!I322</f>
        <v/>
      </c>
      <c r="K329" s="7">
        <f>'1 prepared data'!J322</f>
        <v/>
      </c>
      <c r="L329" s="7">
        <f>'1 prepared data'!K322</f>
        <v/>
      </c>
      <c r="M329" s="7">
        <f>'1 prepared data'!L322</f>
        <v/>
      </c>
      <c r="N329" s="7">
        <f>'1 prepared data'!M322</f>
        <v/>
      </c>
      <c r="O329" s="7">
        <f>'1 prepared data'!N322</f>
        <v/>
      </c>
      <c r="P329" s="7">
        <f>'1 prepared data'!O322</f>
        <v/>
      </c>
      <c r="Q329" s="7">
        <f>'1 prepared data'!P322</f>
        <v/>
      </c>
      <c r="R329" s="7">
        <f>'1 prepared data'!Q322</f>
        <v/>
      </c>
      <c r="S329" s="7">
        <f>'1 prepared data'!R322</f>
        <v/>
      </c>
      <c r="T329" s="7">
        <f>'1 prepared data'!S322</f>
        <v/>
      </c>
      <c r="U329" s="7">
        <f>'1 prepared data'!T322</f>
        <v/>
      </c>
      <c r="V329" s="8">
        <f>$AC$12+D329*$AC$13+E329*$AC$14+F329*$AC$15+G329*$AC$16+H329*$AC$17+I329*$AC$18+J329*$AC$19+K329*$AC$20+L329*$AC$21+M329*$AC$22+N329*$AC$23+O329*$AC$24+P329*$AC$25+Q329*$AC$26+R329*$AC$27+S329*$AC$28+T329*$AC$29+U329*$AC$30</f>
        <v/>
      </c>
      <c r="W329" s="8">
        <f>1/(1+EXP(-V329))</f>
        <v/>
      </c>
      <c r="X329" s="9">
        <f>-IF(C329=1,LN(W329),LN(1-W329))</f>
        <v/>
      </c>
      <c r="Y329" s="10">
        <f>IF(W329&gt;$AC$34,1,0)</f>
        <v/>
      </c>
      <c r="Z329">
        <f>IF(Y329=C329,1,0)</f>
        <v/>
      </c>
    </row>
    <row r="330">
      <c r="A330">
        <f>'1 prepared data'!A323</f>
        <v/>
      </c>
      <c r="B330" s="5">
        <f>'1 prepared data'!U323</f>
        <v/>
      </c>
      <c r="C330">
        <f>'1 prepared data'!B323</f>
        <v/>
      </c>
      <c r="D330" s="7">
        <f>'1 prepared data'!C323</f>
        <v/>
      </c>
      <c r="E330" s="7">
        <f>'1 prepared data'!D323</f>
        <v/>
      </c>
      <c r="F330" s="7">
        <f>'1 prepared data'!E323</f>
        <v/>
      </c>
      <c r="G330" s="7">
        <f>'1 prepared data'!F323</f>
        <v/>
      </c>
      <c r="H330" s="7">
        <f>'1 prepared data'!G323</f>
        <v/>
      </c>
      <c r="I330" s="7">
        <f>'1 prepared data'!H323</f>
        <v/>
      </c>
      <c r="J330" s="7">
        <f>'1 prepared data'!I323</f>
        <v/>
      </c>
      <c r="K330" s="7">
        <f>'1 prepared data'!J323</f>
        <v/>
      </c>
      <c r="L330" s="7">
        <f>'1 prepared data'!K323</f>
        <v/>
      </c>
      <c r="M330" s="7">
        <f>'1 prepared data'!L323</f>
        <v/>
      </c>
      <c r="N330" s="7">
        <f>'1 prepared data'!M323</f>
        <v/>
      </c>
      <c r="O330" s="7">
        <f>'1 prepared data'!N323</f>
        <v/>
      </c>
      <c r="P330" s="7">
        <f>'1 prepared data'!O323</f>
        <v/>
      </c>
      <c r="Q330" s="7">
        <f>'1 prepared data'!P323</f>
        <v/>
      </c>
      <c r="R330" s="7">
        <f>'1 prepared data'!Q323</f>
        <v/>
      </c>
      <c r="S330" s="7">
        <f>'1 prepared data'!R323</f>
        <v/>
      </c>
      <c r="T330" s="7">
        <f>'1 prepared data'!S323</f>
        <v/>
      </c>
      <c r="U330" s="7">
        <f>'1 prepared data'!T323</f>
        <v/>
      </c>
      <c r="V330" s="8">
        <f>$AC$12+D330*$AC$13+E330*$AC$14+F330*$AC$15+G330*$AC$16+H330*$AC$17+I330*$AC$18+J330*$AC$19+K330*$AC$20+L330*$AC$21+M330*$AC$22+N330*$AC$23+O330*$AC$24+P330*$AC$25+Q330*$AC$26+R330*$AC$27+S330*$AC$28+T330*$AC$29+U330*$AC$30</f>
        <v/>
      </c>
      <c r="W330" s="8">
        <f>1/(1+EXP(-V330))</f>
        <v/>
      </c>
      <c r="X330" s="9">
        <f>-IF(C330=1,LN(W330),LN(1-W330))</f>
        <v/>
      </c>
      <c r="Y330" s="10">
        <f>IF(W330&gt;$AC$34,1,0)</f>
        <v/>
      </c>
      <c r="Z330">
        <f>IF(Y330=C330,1,0)</f>
        <v/>
      </c>
    </row>
    <row r="331">
      <c r="A331">
        <f>'1 prepared data'!A324</f>
        <v/>
      </c>
      <c r="B331" s="5">
        <f>'1 prepared data'!U324</f>
        <v/>
      </c>
      <c r="C331">
        <f>'1 prepared data'!B324</f>
        <v/>
      </c>
      <c r="D331" s="7">
        <f>'1 prepared data'!C324</f>
        <v/>
      </c>
      <c r="E331" s="7">
        <f>'1 prepared data'!D324</f>
        <v/>
      </c>
      <c r="F331" s="7">
        <f>'1 prepared data'!E324</f>
        <v/>
      </c>
      <c r="G331" s="7">
        <f>'1 prepared data'!F324</f>
        <v/>
      </c>
      <c r="H331" s="7">
        <f>'1 prepared data'!G324</f>
        <v/>
      </c>
      <c r="I331" s="7">
        <f>'1 prepared data'!H324</f>
        <v/>
      </c>
      <c r="J331" s="7">
        <f>'1 prepared data'!I324</f>
        <v/>
      </c>
      <c r="K331" s="7">
        <f>'1 prepared data'!J324</f>
        <v/>
      </c>
      <c r="L331" s="7">
        <f>'1 prepared data'!K324</f>
        <v/>
      </c>
      <c r="M331" s="7">
        <f>'1 prepared data'!L324</f>
        <v/>
      </c>
      <c r="N331" s="7">
        <f>'1 prepared data'!M324</f>
        <v/>
      </c>
      <c r="O331" s="7">
        <f>'1 prepared data'!N324</f>
        <v/>
      </c>
      <c r="P331" s="7">
        <f>'1 prepared data'!O324</f>
        <v/>
      </c>
      <c r="Q331" s="7">
        <f>'1 prepared data'!P324</f>
        <v/>
      </c>
      <c r="R331" s="7">
        <f>'1 prepared data'!Q324</f>
        <v/>
      </c>
      <c r="S331" s="7">
        <f>'1 prepared data'!R324</f>
        <v/>
      </c>
      <c r="T331" s="7">
        <f>'1 prepared data'!S324</f>
        <v/>
      </c>
      <c r="U331" s="7">
        <f>'1 prepared data'!T324</f>
        <v/>
      </c>
      <c r="V331" s="8">
        <f>$AC$12+D331*$AC$13+E331*$AC$14+F331*$AC$15+G331*$AC$16+H331*$AC$17+I331*$AC$18+J331*$AC$19+K331*$AC$20+L331*$AC$21+M331*$AC$22+N331*$AC$23+O331*$AC$24+P331*$AC$25+Q331*$AC$26+R331*$AC$27+S331*$AC$28+T331*$AC$29+U331*$AC$30</f>
        <v/>
      </c>
      <c r="W331" s="8">
        <f>1/(1+EXP(-V331))</f>
        <v/>
      </c>
      <c r="X331" s="9">
        <f>-IF(C331=1,LN(W331),LN(1-W331))</f>
        <v/>
      </c>
      <c r="Y331" s="10">
        <f>IF(W331&gt;$AC$34,1,0)</f>
        <v/>
      </c>
      <c r="Z331">
        <f>IF(Y331=C331,1,0)</f>
        <v/>
      </c>
    </row>
    <row r="332">
      <c r="A332">
        <f>'1 prepared data'!A325</f>
        <v/>
      </c>
      <c r="B332" s="5">
        <f>'1 prepared data'!U325</f>
        <v/>
      </c>
      <c r="C332">
        <f>'1 prepared data'!B325</f>
        <v/>
      </c>
      <c r="D332" s="7">
        <f>'1 prepared data'!C325</f>
        <v/>
      </c>
      <c r="E332" s="7">
        <f>'1 prepared data'!D325</f>
        <v/>
      </c>
      <c r="F332" s="7">
        <f>'1 prepared data'!E325</f>
        <v/>
      </c>
      <c r="G332" s="7">
        <f>'1 prepared data'!F325</f>
        <v/>
      </c>
      <c r="H332" s="7">
        <f>'1 prepared data'!G325</f>
        <v/>
      </c>
      <c r="I332" s="7">
        <f>'1 prepared data'!H325</f>
        <v/>
      </c>
      <c r="J332" s="7">
        <f>'1 prepared data'!I325</f>
        <v/>
      </c>
      <c r="K332" s="7">
        <f>'1 prepared data'!J325</f>
        <v/>
      </c>
      <c r="L332" s="7">
        <f>'1 prepared data'!K325</f>
        <v/>
      </c>
      <c r="M332" s="7">
        <f>'1 prepared data'!L325</f>
        <v/>
      </c>
      <c r="N332" s="7">
        <f>'1 prepared data'!M325</f>
        <v/>
      </c>
      <c r="O332" s="7">
        <f>'1 prepared data'!N325</f>
        <v/>
      </c>
      <c r="P332" s="7">
        <f>'1 prepared data'!O325</f>
        <v/>
      </c>
      <c r="Q332" s="7">
        <f>'1 prepared data'!P325</f>
        <v/>
      </c>
      <c r="R332" s="7">
        <f>'1 prepared data'!Q325</f>
        <v/>
      </c>
      <c r="S332" s="7">
        <f>'1 prepared data'!R325</f>
        <v/>
      </c>
      <c r="T332" s="7">
        <f>'1 prepared data'!S325</f>
        <v/>
      </c>
      <c r="U332" s="7">
        <f>'1 prepared data'!T325</f>
        <v/>
      </c>
      <c r="V332" s="8">
        <f>$AC$12+D332*$AC$13+E332*$AC$14+F332*$AC$15+G332*$AC$16+H332*$AC$17+I332*$AC$18+J332*$AC$19+K332*$AC$20+L332*$AC$21+M332*$AC$22+N332*$AC$23+O332*$AC$24+P332*$AC$25+Q332*$AC$26+R332*$AC$27+S332*$AC$28+T332*$AC$29+U332*$AC$30</f>
        <v/>
      </c>
      <c r="W332" s="8">
        <f>1/(1+EXP(-V332))</f>
        <v/>
      </c>
      <c r="X332" s="9">
        <f>-IF(C332=1,LN(W332),LN(1-W332))</f>
        <v/>
      </c>
      <c r="Y332" s="10">
        <f>IF(W332&gt;$AC$34,1,0)</f>
        <v/>
      </c>
      <c r="Z332">
        <f>IF(Y332=C332,1,0)</f>
        <v/>
      </c>
    </row>
    <row r="333">
      <c r="A333">
        <f>'1 prepared data'!A326</f>
        <v/>
      </c>
      <c r="B333" s="5">
        <f>'1 prepared data'!U326</f>
        <v/>
      </c>
      <c r="C333">
        <f>'1 prepared data'!B326</f>
        <v/>
      </c>
      <c r="D333" s="7">
        <f>'1 prepared data'!C326</f>
        <v/>
      </c>
      <c r="E333" s="7">
        <f>'1 prepared data'!D326</f>
        <v/>
      </c>
      <c r="F333" s="7">
        <f>'1 prepared data'!E326</f>
        <v/>
      </c>
      <c r="G333" s="7">
        <f>'1 prepared data'!F326</f>
        <v/>
      </c>
      <c r="H333" s="7">
        <f>'1 prepared data'!G326</f>
        <v/>
      </c>
      <c r="I333" s="7">
        <f>'1 prepared data'!H326</f>
        <v/>
      </c>
      <c r="J333" s="7">
        <f>'1 prepared data'!I326</f>
        <v/>
      </c>
      <c r="K333" s="7">
        <f>'1 prepared data'!J326</f>
        <v/>
      </c>
      <c r="L333" s="7">
        <f>'1 prepared data'!K326</f>
        <v/>
      </c>
      <c r="M333" s="7">
        <f>'1 prepared data'!L326</f>
        <v/>
      </c>
      <c r="N333" s="7">
        <f>'1 prepared data'!M326</f>
        <v/>
      </c>
      <c r="O333" s="7">
        <f>'1 prepared data'!N326</f>
        <v/>
      </c>
      <c r="P333" s="7">
        <f>'1 prepared data'!O326</f>
        <v/>
      </c>
      <c r="Q333" s="7">
        <f>'1 prepared data'!P326</f>
        <v/>
      </c>
      <c r="R333" s="7">
        <f>'1 prepared data'!Q326</f>
        <v/>
      </c>
      <c r="S333" s="7">
        <f>'1 prepared data'!R326</f>
        <v/>
      </c>
      <c r="T333" s="7">
        <f>'1 prepared data'!S326</f>
        <v/>
      </c>
      <c r="U333" s="7">
        <f>'1 prepared data'!T326</f>
        <v/>
      </c>
      <c r="V333" s="8">
        <f>$AC$12+D333*$AC$13+E333*$AC$14+F333*$AC$15+G333*$AC$16+H333*$AC$17+I333*$AC$18+J333*$AC$19+K333*$AC$20+L333*$AC$21+M333*$AC$22+N333*$AC$23+O333*$AC$24+P333*$AC$25+Q333*$AC$26+R333*$AC$27+S333*$AC$28+T333*$AC$29+U333*$AC$30</f>
        <v/>
      </c>
      <c r="W333" s="8">
        <f>1/(1+EXP(-V333))</f>
        <v/>
      </c>
      <c r="X333" s="9">
        <f>-IF(C333=1,LN(W333),LN(1-W333))</f>
        <v/>
      </c>
      <c r="Y333" s="10">
        <f>IF(W333&gt;$AC$34,1,0)</f>
        <v/>
      </c>
      <c r="Z333">
        <f>IF(Y333=C333,1,0)</f>
        <v/>
      </c>
    </row>
    <row r="334">
      <c r="A334">
        <f>'1 prepared data'!A327</f>
        <v/>
      </c>
      <c r="B334" s="5">
        <f>'1 prepared data'!U327</f>
        <v/>
      </c>
      <c r="C334">
        <f>'1 prepared data'!B327</f>
        <v/>
      </c>
      <c r="D334" s="7">
        <f>'1 prepared data'!C327</f>
        <v/>
      </c>
      <c r="E334" s="7">
        <f>'1 prepared data'!D327</f>
        <v/>
      </c>
      <c r="F334" s="7">
        <f>'1 prepared data'!E327</f>
        <v/>
      </c>
      <c r="G334" s="7">
        <f>'1 prepared data'!F327</f>
        <v/>
      </c>
      <c r="H334" s="7">
        <f>'1 prepared data'!G327</f>
        <v/>
      </c>
      <c r="I334" s="7">
        <f>'1 prepared data'!H327</f>
        <v/>
      </c>
      <c r="J334" s="7">
        <f>'1 prepared data'!I327</f>
        <v/>
      </c>
      <c r="K334" s="7">
        <f>'1 prepared data'!J327</f>
        <v/>
      </c>
      <c r="L334" s="7">
        <f>'1 prepared data'!K327</f>
        <v/>
      </c>
      <c r="M334" s="7">
        <f>'1 prepared data'!L327</f>
        <v/>
      </c>
      <c r="N334" s="7">
        <f>'1 prepared data'!M327</f>
        <v/>
      </c>
      <c r="O334" s="7">
        <f>'1 prepared data'!N327</f>
        <v/>
      </c>
      <c r="P334" s="7">
        <f>'1 prepared data'!O327</f>
        <v/>
      </c>
      <c r="Q334" s="7">
        <f>'1 prepared data'!P327</f>
        <v/>
      </c>
      <c r="R334" s="7">
        <f>'1 prepared data'!Q327</f>
        <v/>
      </c>
      <c r="S334" s="7">
        <f>'1 prepared data'!R327</f>
        <v/>
      </c>
      <c r="T334" s="7">
        <f>'1 prepared data'!S327</f>
        <v/>
      </c>
      <c r="U334" s="7">
        <f>'1 prepared data'!T327</f>
        <v/>
      </c>
      <c r="V334" s="8">
        <f>$AC$12+D334*$AC$13+E334*$AC$14+F334*$AC$15+G334*$AC$16+H334*$AC$17+I334*$AC$18+J334*$AC$19+K334*$AC$20+L334*$AC$21+M334*$AC$22+N334*$AC$23+O334*$AC$24+P334*$AC$25+Q334*$AC$26+R334*$AC$27+S334*$AC$28+T334*$AC$29+U334*$AC$30</f>
        <v/>
      </c>
      <c r="W334" s="8">
        <f>1/(1+EXP(-V334))</f>
        <v/>
      </c>
      <c r="X334" s="9">
        <f>-IF(C334=1,LN(W334),LN(1-W334))</f>
        <v/>
      </c>
      <c r="Y334" s="10">
        <f>IF(W334&gt;$AC$34,1,0)</f>
        <v/>
      </c>
      <c r="Z334">
        <f>IF(Y334=C334,1,0)</f>
        <v/>
      </c>
    </row>
    <row r="335">
      <c r="A335">
        <f>'1 prepared data'!A328</f>
        <v/>
      </c>
      <c r="B335" s="5">
        <f>'1 prepared data'!U328</f>
        <v/>
      </c>
      <c r="C335">
        <f>'1 prepared data'!B328</f>
        <v/>
      </c>
      <c r="D335" s="7">
        <f>'1 prepared data'!C328</f>
        <v/>
      </c>
      <c r="E335" s="7">
        <f>'1 prepared data'!D328</f>
        <v/>
      </c>
      <c r="F335" s="7">
        <f>'1 prepared data'!E328</f>
        <v/>
      </c>
      <c r="G335" s="7">
        <f>'1 prepared data'!F328</f>
        <v/>
      </c>
      <c r="H335" s="7">
        <f>'1 prepared data'!G328</f>
        <v/>
      </c>
      <c r="I335" s="7">
        <f>'1 prepared data'!H328</f>
        <v/>
      </c>
      <c r="J335" s="7">
        <f>'1 prepared data'!I328</f>
        <v/>
      </c>
      <c r="K335" s="7">
        <f>'1 prepared data'!J328</f>
        <v/>
      </c>
      <c r="L335" s="7">
        <f>'1 prepared data'!K328</f>
        <v/>
      </c>
      <c r="M335" s="7">
        <f>'1 prepared data'!L328</f>
        <v/>
      </c>
      <c r="N335" s="7">
        <f>'1 prepared data'!M328</f>
        <v/>
      </c>
      <c r="O335" s="7">
        <f>'1 prepared data'!N328</f>
        <v/>
      </c>
      <c r="P335" s="7">
        <f>'1 prepared data'!O328</f>
        <v/>
      </c>
      <c r="Q335" s="7">
        <f>'1 prepared data'!P328</f>
        <v/>
      </c>
      <c r="R335" s="7">
        <f>'1 prepared data'!Q328</f>
        <v/>
      </c>
      <c r="S335" s="7">
        <f>'1 prepared data'!R328</f>
        <v/>
      </c>
      <c r="T335" s="7">
        <f>'1 prepared data'!S328</f>
        <v/>
      </c>
      <c r="U335" s="7">
        <f>'1 prepared data'!T328</f>
        <v/>
      </c>
      <c r="V335" s="8">
        <f>$AC$12+D335*$AC$13+E335*$AC$14+F335*$AC$15+G335*$AC$16+H335*$AC$17+I335*$AC$18+J335*$AC$19+K335*$AC$20+L335*$AC$21+M335*$AC$22+N335*$AC$23+O335*$AC$24+P335*$AC$25+Q335*$AC$26+R335*$AC$27+S335*$AC$28+T335*$AC$29+U335*$AC$30</f>
        <v/>
      </c>
      <c r="W335" s="8">
        <f>1/(1+EXP(-V335))</f>
        <v/>
      </c>
      <c r="X335" s="9">
        <f>-IF(C335=1,LN(W335),LN(1-W335))</f>
        <v/>
      </c>
      <c r="Y335" s="10">
        <f>IF(W335&gt;$AC$34,1,0)</f>
        <v/>
      </c>
      <c r="Z335">
        <f>IF(Y335=C335,1,0)</f>
        <v/>
      </c>
    </row>
    <row r="336">
      <c r="A336">
        <f>'1 prepared data'!A329</f>
        <v/>
      </c>
      <c r="B336" s="5">
        <f>'1 prepared data'!U329</f>
        <v/>
      </c>
      <c r="C336">
        <f>'1 prepared data'!B329</f>
        <v/>
      </c>
      <c r="D336" s="7">
        <f>'1 prepared data'!C329</f>
        <v/>
      </c>
      <c r="E336" s="7">
        <f>'1 prepared data'!D329</f>
        <v/>
      </c>
      <c r="F336" s="7">
        <f>'1 prepared data'!E329</f>
        <v/>
      </c>
      <c r="G336" s="7">
        <f>'1 prepared data'!F329</f>
        <v/>
      </c>
      <c r="H336" s="7">
        <f>'1 prepared data'!G329</f>
        <v/>
      </c>
      <c r="I336" s="7">
        <f>'1 prepared data'!H329</f>
        <v/>
      </c>
      <c r="J336" s="7">
        <f>'1 prepared data'!I329</f>
        <v/>
      </c>
      <c r="K336" s="7">
        <f>'1 prepared data'!J329</f>
        <v/>
      </c>
      <c r="L336" s="7">
        <f>'1 prepared data'!K329</f>
        <v/>
      </c>
      <c r="M336" s="7">
        <f>'1 prepared data'!L329</f>
        <v/>
      </c>
      <c r="N336" s="7">
        <f>'1 prepared data'!M329</f>
        <v/>
      </c>
      <c r="O336" s="7">
        <f>'1 prepared data'!N329</f>
        <v/>
      </c>
      <c r="P336" s="7">
        <f>'1 prepared data'!O329</f>
        <v/>
      </c>
      <c r="Q336" s="7">
        <f>'1 prepared data'!P329</f>
        <v/>
      </c>
      <c r="R336" s="7">
        <f>'1 prepared data'!Q329</f>
        <v/>
      </c>
      <c r="S336" s="7">
        <f>'1 prepared data'!R329</f>
        <v/>
      </c>
      <c r="T336" s="7">
        <f>'1 prepared data'!S329</f>
        <v/>
      </c>
      <c r="U336" s="7">
        <f>'1 prepared data'!T329</f>
        <v/>
      </c>
      <c r="V336" s="8">
        <f>$AC$12+D336*$AC$13+E336*$AC$14+F336*$AC$15+G336*$AC$16+H336*$AC$17+I336*$AC$18+J336*$AC$19+K336*$AC$20+L336*$AC$21+M336*$AC$22+N336*$AC$23+O336*$AC$24+P336*$AC$25+Q336*$AC$26+R336*$AC$27+S336*$AC$28+T336*$AC$29+U336*$AC$30</f>
        <v/>
      </c>
      <c r="W336" s="8">
        <f>1/(1+EXP(-V336))</f>
        <v/>
      </c>
      <c r="X336" s="9">
        <f>-IF(C336=1,LN(W336),LN(1-W336))</f>
        <v/>
      </c>
      <c r="Y336" s="10">
        <f>IF(W336&gt;$AC$34,1,0)</f>
        <v/>
      </c>
      <c r="Z336">
        <f>IF(Y336=C336,1,0)</f>
        <v/>
      </c>
    </row>
    <row r="337">
      <c r="A337">
        <f>'1 prepared data'!A330</f>
        <v/>
      </c>
      <c r="B337" s="5">
        <f>'1 prepared data'!U330</f>
        <v/>
      </c>
      <c r="C337">
        <f>'1 prepared data'!B330</f>
        <v/>
      </c>
      <c r="D337" s="7">
        <f>'1 prepared data'!C330</f>
        <v/>
      </c>
      <c r="E337" s="7">
        <f>'1 prepared data'!D330</f>
        <v/>
      </c>
      <c r="F337" s="7">
        <f>'1 prepared data'!E330</f>
        <v/>
      </c>
      <c r="G337" s="7">
        <f>'1 prepared data'!F330</f>
        <v/>
      </c>
      <c r="H337" s="7">
        <f>'1 prepared data'!G330</f>
        <v/>
      </c>
      <c r="I337" s="7">
        <f>'1 prepared data'!H330</f>
        <v/>
      </c>
      <c r="J337" s="7">
        <f>'1 prepared data'!I330</f>
        <v/>
      </c>
      <c r="K337" s="7">
        <f>'1 prepared data'!J330</f>
        <v/>
      </c>
      <c r="L337" s="7">
        <f>'1 prepared data'!K330</f>
        <v/>
      </c>
      <c r="M337" s="7">
        <f>'1 prepared data'!L330</f>
        <v/>
      </c>
      <c r="N337" s="7">
        <f>'1 prepared data'!M330</f>
        <v/>
      </c>
      <c r="O337" s="7">
        <f>'1 prepared data'!N330</f>
        <v/>
      </c>
      <c r="P337" s="7">
        <f>'1 prepared data'!O330</f>
        <v/>
      </c>
      <c r="Q337" s="7">
        <f>'1 prepared data'!P330</f>
        <v/>
      </c>
      <c r="R337" s="7">
        <f>'1 prepared data'!Q330</f>
        <v/>
      </c>
      <c r="S337" s="7">
        <f>'1 prepared data'!R330</f>
        <v/>
      </c>
      <c r="T337" s="7">
        <f>'1 prepared data'!S330</f>
        <v/>
      </c>
      <c r="U337" s="7">
        <f>'1 prepared data'!T330</f>
        <v/>
      </c>
      <c r="V337" s="8">
        <f>$AC$12+D337*$AC$13+E337*$AC$14+F337*$AC$15+G337*$AC$16+H337*$AC$17+I337*$AC$18+J337*$AC$19+K337*$AC$20+L337*$AC$21+M337*$AC$22+N337*$AC$23+O337*$AC$24+P337*$AC$25+Q337*$AC$26+R337*$AC$27+S337*$AC$28+T337*$AC$29+U337*$AC$30</f>
        <v/>
      </c>
      <c r="W337" s="8">
        <f>1/(1+EXP(-V337))</f>
        <v/>
      </c>
      <c r="X337" s="9">
        <f>-IF(C337=1,LN(W337),LN(1-W337))</f>
        <v/>
      </c>
      <c r="Y337" s="10">
        <f>IF(W337&gt;$AC$34,1,0)</f>
        <v/>
      </c>
      <c r="Z337">
        <f>IF(Y337=C337,1,0)</f>
        <v/>
      </c>
    </row>
    <row r="338">
      <c r="A338">
        <f>'1 prepared data'!A331</f>
        <v/>
      </c>
      <c r="B338" s="5">
        <f>'1 prepared data'!U331</f>
        <v/>
      </c>
      <c r="C338">
        <f>'1 prepared data'!B331</f>
        <v/>
      </c>
      <c r="D338" s="7">
        <f>'1 prepared data'!C331</f>
        <v/>
      </c>
      <c r="E338" s="7">
        <f>'1 prepared data'!D331</f>
        <v/>
      </c>
      <c r="F338" s="7">
        <f>'1 prepared data'!E331</f>
        <v/>
      </c>
      <c r="G338" s="7">
        <f>'1 prepared data'!F331</f>
        <v/>
      </c>
      <c r="H338" s="7">
        <f>'1 prepared data'!G331</f>
        <v/>
      </c>
      <c r="I338" s="7">
        <f>'1 prepared data'!H331</f>
        <v/>
      </c>
      <c r="J338" s="7">
        <f>'1 prepared data'!I331</f>
        <v/>
      </c>
      <c r="K338" s="7">
        <f>'1 prepared data'!J331</f>
        <v/>
      </c>
      <c r="L338" s="7">
        <f>'1 prepared data'!K331</f>
        <v/>
      </c>
      <c r="M338" s="7">
        <f>'1 prepared data'!L331</f>
        <v/>
      </c>
      <c r="N338" s="7">
        <f>'1 prepared data'!M331</f>
        <v/>
      </c>
      <c r="O338" s="7">
        <f>'1 prepared data'!N331</f>
        <v/>
      </c>
      <c r="P338" s="7">
        <f>'1 prepared data'!O331</f>
        <v/>
      </c>
      <c r="Q338" s="7">
        <f>'1 prepared data'!P331</f>
        <v/>
      </c>
      <c r="R338" s="7">
        <f>'1 prepared data'!Q331</f>
        <v/>
      </c>
      <c r="S338" s="7">
        <f>'1 prepared data'!R331</f>
        <v/>
      </c>
      <c r="T338" s="7">
        <f>'1 prepared data'!S331</f>
        <v/>
      </c>
      <c r="U338" s="7">
        <f>'1 prepared data'!T331</f>
        <v/>
      </c>
      <c r="V338" s="8">
        <f>$AC$12+D338*$AC$13+E338*$AC$14+F338*$AC$15+G338*$AC$16+H338*$AC$17+I338*$AC$18+J338*$AC$19+K338*$AC$20+L338*$AC$21+M338*$AC$22+N338*$AC$23+O338*$AC$24+P338*$AC$25+Q338*$AC$26+R338*$AC$27+S338*$AC$28+T338*$AC$29+U338*$AC$30</f>
        <v/>
      </c>
      <c r="W338" s="8">
        <f>1/(1+EXP(-V338))</f>
        <v/>
      </c>
      <c r="X338" s="9">
        <f>-IF(C338=1,LN(W338),LN(1-W338))</f>
        <v/>
      </c>
      <c r="Y338" s="10">
        <f>IF(W338&gt;$AC$34,1,0)</f>
        <v/>
      </c>
      <c r="Z338">
        <f>IF(Y338=C338,1,0)</f>
        <v/>
      </c>
    </row>
    <row r="339">
      <c r="A339">
        <f>'1 prepared data'!A332</f>
        <v/>
      </c>
      <c r="B339" s="5">
        <f>'1 prepared data'!U332</f>
        <v/>
      </c>
      <c r="C339">
        <f>'1 prepared data'!B332</f>
        <v/>
      </c>
      <c r="D339" s="7">
        <f>'1 prepared data'!C332</f>
        <v/>
      </c>
      <c r="E339" s="7">
        <f>'1 prepared data'!D332</f>
        <v/>
      </c>
      <c r="F339" s="7">
        <f>'1 prepared data'!E332</f>
        <v/>
      </c>
      <c r="G339" s="7">
        <f>'1 prepared data'!F332</f>
        <v/>
      </c>
      <c r="H339" s="7">
        <f>'1 prepared data'!G332</f>
        <v/>
      </c>
      <c r="I339" s="7">
        <f>'1 prepared data'!H332</f>
        <v/>
      </c>
      <c r="J339" s="7">
        <f>'1 prepared data'!I332</f>
        <v/>
      </c>
      <c r="K339" s="7">
        <f>'1 prepared data'!J332</f>
        <v/>
      </c>
      <c r="L339" s="7">
        <f>'1 prepared data'!K332</f>
        <v/>
      </c>
      <c r="M339" s="7">
        <f>'1 prepared data'!L332</f>
        <v/>
      </c>
      <c r="N339" s="7">
        <f>'1 prepared data'!M332</f>
        <v/>
      </c>
      <c r="O339" s="7">
        <f>'1 prepared data'!N332</f>
        <v/>
      </c>
      <c r="P339" s="7">
        <f>'1 prepared data'!O332</f>
        <v/>
      </c>
      <c r="Q339" s="7">
        <f>'1 prepared data'!P332</f>
        <v/>
      </c>
      <c r="R339" s="7">
        <f>'1 prepared data'!Q332</f>
        <v/>
      </c>
      <c r="S339" s="7">
        <f>'1 prepared data'!R332</f>
        <v/>
      </c>
      <c r="T339" s="7">
        <f>'1 prepared data'!S332</f>
        <v/>
      </c>
      <c r="U339" s="7">
        <f>'1 prepared data'!T332</f>
        <v/>
      </c>
      <c r="V339" s="8">
        <f>$AC$12+D339*$AC$13+E339*$AC$14+F339*$AC$15+G339*$AC$16+H339*$AC$17+I339*$AC$18+J339*$AC$19+K339*$AC$20+L339*$AC$21+M339*$AC$22+N339*$AC$23+O339*$AC$24+P339*$AC$25+Q339*$AC$26+R339*$AC$27+S339*$AC$28+T339*$AC$29+U339*$AC$30</f>
        <v/>
      </c>
      <c r="W339" s="8">
        <f>1/(1+EXP(-V339))</f>
        <v/>
      </c>
      <c r="X339" s="9">
        <f>-IF(C339=1,LN(W339),LN(1-W339))</f>
        <v/>
      </c>
      <c r="Y339" s="10">
        <f>IF(W339&gt;$AC$34,1,0)</f>
        <v/>
      </c>
      <c r="Z339">
        <f>IF(Y339=C339,1,0)</f>
        <v/>
      </c>
    </row>
    <row r="340">
      <c r="A340">
        <f>'1 prepared data'!A333</f>
        <v/>
      </c>
      <c r="B340" s="5">
        <f>'1 prepared data'!U333</f>
        <v/>
      </c>
      <c r="C340">
        <f>'1 prepared data'!B333</f>
        <v/>
      </c>
      <c r="D340" s="7">
        <f>'1 prepared data'!C333</f>
        <v/>
      </c>
      <c r="E340" s="7">
        <f>'1 prepared data'!D333</f>
        <v/>
      </c>
      <c r="F340" s="7">
        <f>'1 prepared data'!E333</f>
        <v/>
      </c>
      <c r="G340" s="7">
        <f>'1 prepared data'!F333</f>
        <v/>
      </c>
      <c r="H340" s="7">
        <f>'1 prepared data'!G333</f>
        <v/>
      </c>
      <c r="I340" s="7">
        <f>'1 prepared data'!H333</f>
        <v/>
      </c>
      <c r="J340" s="7">
        <f>'1 prepared data'!I333</f>
        <v/>
      </c>
      <c r="K340" s="7">
        <f>'1 prepared data'!J333</f>
        <v/>
      </c>
      <c r="L340" s="7">
        <f>'1 prepared data'!K333</f>
        <v/>
      </c>
      <c r="M340" s="7">
        <f>'1 prepared data'!L333</f>
        <v/>
      </c>
      <c r="N340" s="7">
        <f>'1 prepared data'!M333</f>
        <v/>
      </c>
      <c r="O340" s="7">
        <f>'1 prepared data'!N333</f>
        <v/>
      </c>
      <c r="P340" s="7">
        <f>'1 prepared data'!O333</f>
        <v/>
      </c>
      <c r="Q340" s="7">
        <f>'1 prepared data'!P333</f>
        <v/>
      </c>
      <c r="R340" s="7">
        <f>'1 prepared data'!Q333</f>
        <v/>
      </c>
      <c r="S340" s="7">
        <f>'1 prepared data'!R333</f>
        <v/>
      </c>
      <c r="T340" s="7">
        <f>'1 prepared data'!S333</f>
        <v/>
      </c>
      <c r="U340" s="7">
        <f>'1 prepared data'!T333</f>
        <v/>
      </c>
      <c r="V340" s="8">
        <f>$AC$12+D340*$AC$13+E340*$AC$14+F340*$AC$15+G340*$AC$16+H340*$AC$17+I340*$AC$18+J340*$AC$19+K340*$AC$20+L340*$AC$21+M340*$AC$22+N340*$AC$23+O340*$AC$24+P340*$AC$25+Q340*$AC$26+R340*$AC$27+S340*$AC$28+T340*$AC$29+U340*$AC$30</f>
        <v/>
      </c>
      <c r="W340" s="8">
        <f>1/(1+EXP(-V340))</f>
        <v/>
      </c>
      <c r="X340" s="9">
        <f>-IF(C340=1,LN(W340),LN(1-W340))</f>
        <v/>
      </c>
      <c r="Y340" s="10">
        <f>IF(W340&gt;$AC$34,1,0)</f>
        <v/>
      </c>
      <c r="Z340">
        <f>IF(Y340=C340,1,0)</f>
        <v/>
      </c>
    </row>
    <row r="341">
      <c r="A341">
        <f>'1 prepared data'!A334</f>
        <v/>
      </c>
      <c r="B341" s="5">
        <f>'1 prepared data'!U334</f>
        <v/>
      </c>
      <c r="C341">
        <f>'1 prepared data'!B334</f>
        <v/>
      </c>
      <c r="D341" s="7">
        <f>'1 prepared data'!C334</f>
        <v/>
      </c>
      <c r="E341" s="7">
        <f>'1 prepared data'!D334</f>
        <v/>
      </c>
      <c r="F341" s="7">
        <f>'1 prepared data'!E334</f>
        <v/>
      </c>
      <c r="G341" s="7">
        <f>'1 prepared data'!F334</f>
        <v/>
      </c>
      <c r="H341" s="7">
        <f>'1 prepared data'!G334</f>
        <v/>
      </c>
      <c r="I341" s="7">
        <f>'1 prepared data'!H334</f>
        <v/>
      </c>
      <c r="J341" s="7">
        <f>'1 prepared data'!I334</f>
        <v/>
      </c>
      <c r="K341" s="7">
        <f>'1 prepared data'!J334</f>
        <v/>
      </c>
      <c r="L341" s="7">
        <f>'1 prepared data'!K334</f>
        <v/>
      </c>
      <c r="M341" s="7">
        <f>'1 prepared data'!L334</f>
        <v/>
      </c>
      <c r="N341" s="7">
        <f>'1 prepared data'!M334</f>
        <v/>
      </c>
      <c r="O341" s="7">
        <f>'1 prepared data'!N334</f>
        <v/>
      </c>
      <c r="P341" s="7">
        <f>'1 prepared data'!O334</f>
        <v/>
      </c>
      <c r="Q341" s="7">
        <f>'1 prepared data'!P334</f>
        <v/>
      </c>
      <c r="R341" s="7">
        <f>'1 prepared data'!Q334</f>
        <v/>
      </c>
      <c r="S341" s="7">
        <f>'1 prepared data'!R334</f>
        <v/>
      </c>
      <c r="T341" s="7">
        <f>'1 prepared data'!S334</f>
        <v/>
      </c>
      <c r="U341" s="7">
        <f>'1 prepared data'!T334</f>
        <v/>
      </c>
      <c r="V341" s="8">
        <f>$AC$12+D341*$AC$13+E341*$AC$14+F341*$AC$15+G341*$AC$16+H341*$AC$17+I341*$AC$18+J341*$AC$19+K341*$AC$20+L341*$AC$21+M341*$AC$22+N341*$AC$23+O341*$AC$24+P341*$AC$25+Q341*$AC$26+R341*$AC$27+S341*$AC$28+T341*$AC$29+U341*$AC$30</f>
        <v/>
      </c>
      <c r="W341" s="8">
        <f>1/(1+EXP(-V341))</f>
        <v/>
      </c>
      <c r="X341" s="9">
        <f>-IF(C341=1,LN(W341),LN(1-W341))</f>
        <v/>
      </c>
      <c r="Y341" s="10">
        <f>IF(W341&gt;$AC$34,1,0)</f>
        <v/>
      </c>
      <c r="Z341">
        <f>IF(Y341=C341,1,0)</f>
        <v/>
      </c>
    </row>
    <row r="342">
      <c r="A342">
        <f>'1 prepared data'!A335</f>
        <v/>
      </c>
      <c r="B342" s="5">
        <f>'1 prepared data'!U335</f>
        <v/>
      </c>
      <c r="C342">
        <f>'1 prepared data'!B335</f>
        <v/>
      </c>
      <c r="D342" s="7">
        <f>'1 prepared data'!C335</f>
        <v/>
      </c>
      <c r="E342" s="7">
        <f>'1 prepared data'!D335</f>
        <v/>
      </c>
      <c r="F342" s="7">
        <f>'1 prepared data'!E335</f>
        <v/>
      </c>
      <c r="G342" s="7">
        <f>'1 prepared data'!F335</f>
        <v/>
      </c>
      <c r="H342" s="7">
        <f>'1 prepared data'!G335</f>
        <v/>
      </c>
      <c r="I342" s="7">
        <f>'1 prepared data'!H335</f>
        <v/>
      </c>
      <c r="J342" s="7">
        <f>'1 prepared data'!I335</f>
        <v/>
      </c>
      <c r="K342" s="7">
        <f>'1 prepared data'!J335</f>
        <v/>
      </c>
      <c r="L342" s="7">
        <f>'1 prepared data'!K335</f>
        <v/>
      </c>
      <c r="M342" s="7">
        <f>'1 prepared data'!L335</f>
        <v/>
      </c>
      <c r="N342" s="7">
        <f>'1 prepared data'!M335</f>
        <v/>
      </c>
      <c r="O342" s="7">
        <f>'1 prepared data'!N335</f>
        <v/>
      </c>
      <c r="P342" s="7">
        <f>'1 prepared data'!O335</f>
        <v/>
      </c>
      <c r="Q342" s="7">
        <f>'1 prepared data'!P335</f>
        <v/>
      </c>
      <c r="R342" s="7">
        <f>'1 prepared data'!Q335</f>
        <v/>
      </c>
      <c r="S342" s="7">
        <f>'1 prepared data'!R335</f>
        <v/>
      </c>
      <c r="T342" s="7">
        <f>'1 prepared data'!S335</f>
        <v/>
      </c>
      <c r="U342" s="7">
        <f>'1 prepared data'!T335</f>
        <v/>
      </c>
      <c r="V342" s="8">
        <f>$AC$12+D342*$AC$13+E342*$AC$14+F342*$AC$15+G342*$AC$16+H342*$AC$17+I342*$AC$18+J342*$AC$19+K342*$AC$20+L342*$AC$21+M342*$AC$22+N342*$AC$23+O342*$AC$24+P342*$AC$25+Q342*$AC$26+R342*$AC$27+S342*$AC$28+T342*$AC$29+U342*$AC$30</f>
        <v/>
      </c>
      <c r="W342" s="8">
        <f>1/(1+EXP(-V342))</f>
        <v/>
      </c>
      <c r="X342" s="9">
        <f>-IF(C342=1,LN(W342),LN(1-W342))</f>
        <v/>
      </c>
      <c r="Y342" s="10">
        <f>IF(W342&gt;$AC$34,1,0)</f>
        <v/>
      </c>
      <c r="Z342">
        <f>IF(Y342=C342,1,0)</f>
        <v/>
      </c>
    </row>
    <row r="343">
      <c r="A343">
        <f>'1 prepared data'!A336</f>
        <v/>
      </c>
      <c r="B343" s="5">
        <f>'1 prepared data'!U336</f>
        <v/>
      </c>
      <c r="C343">
        <f>'1 prepared data'!B336</f>
        <v/>
      </c>
      <c r="D343" s="7">
        <f>'1 prepared data'!C336</f>
        <v/>
      </c>
      <c r="E343" s="7">
        <f>'1 prepared data'!D336</f>
        <v/>
      </c>
      <c r="F343" s="7">
        <f>'1 prepared data'!E336</f>
        <v/>
      </c>
      <c r="G343" s="7">
        <f>'1 prepared data'!F336</f>
        <v/>
      </c>
      <c r="H343" s="7">
        <f>'1 prepared data'!G336</f>
        <v/>
      </c>
      <c r="I343" s="7">
        <f>'1 prepared data'!H336</f>
        <v/>
      </c>
      <c r="J343" s="7">
        <f>'1 prepared data'!I336</f>
        <v/>
      </c>
      <c r="K343" s="7">
        <f>'1 prepared data'!J336</f>
        <v/>
      </c>
      <c r="L343" s="7">
        <f>'1 prepared data'!K336</f>
        <v/>
      </c>
      <c r="M343" s="7">
        <f>'1 prepared data'!L336</f>
        <v/>
      </c>
      <c r="N343" s="7">
        <f>'1 prepared data'!M336</f>
        <v/>
      </c>
      <c r="O343" s="7">
        <f>'1 prepared data'!N336</f>
        <v/>
      </c>
      <c r="P343" s="7">
        <f>'1 prepared data'!O336</f>
        <v/>
      </c>
      <c r="Q343" s="7">
        <f>'1 prepared data'!P336</f>
        <v/>
      </c>
      <c r="R343" s="7">
        <f>'1 prepared data'!Q336</f>
        <v/>
      </c>
      <c r="S343" s="7">
        <f>'1 prepared data'!R336</f>
        <v/>
      </c>
      <c r="T343" s="7">
        <f>'1 prepared data'!S336</f>
        <v/>
      </c>
      <c r="U343" s="7">
        <f>'1 prepared data'!T336</f>
        <v/>
      </c>
      <c r="V343" s="8">
        <f>$AC$12+D343*$AC$13+E343*$AC$14+F343*$AC$15+G343*$AC$16+H343*$AC$17+I343*$AC$18+J343*$AC$19+K343*$AC$20+L343*$AC$21+M343*$AC$22+N343*$AC$23+O343*$AC$24+P343*$AC$25+Q343*$AC$26+R343*$AC$27+S343*$AC$28+T343*$AC$29+U343*$AC$30</f>
        <v/>
      </c>
      <c r="W343" s="8">
        <f>1/(1+EXP(-V343))</f>
        <v/>
      </c>
      <c r="X343" s="9">
        <f>-IF(C343=1,LN(W343),LN(1-W343))</f>
        <v/>
      </c>
      <c r="Y343" s="10">
        <f>IF(W343&gt;$AC$34,1,0)</f>
        <v/>
      </c>
      <c r="Z343">
        <f>IF(Y343=C343,1,0)</f>
        <v/>
      </c>
    </row>
    <row r="344">
      <c r="A344">
        <f>'1 prepared data'!A337</f>
        <v/>
      </c>
      <c r="B344" s="5">
        <f>'1 prepared data'!U337</f>
        <v/>
      </c>
      <c r="C344">
        <f>'1 prepared data'!B337</f>
        <v/>
      </c>
      <c r="D344" s="7">
        <f>'1 prepared data'!C337</f>
        <v/>
      </c>
      <c r="E344" s="7">
        <f>'1 prepared data'!D337</f>
        <v/>
      </c>
      <c r="F344" s="7">
        <f>'1 prepared data'!E337</f>
        <v/>
      </c>
      <c r="G344" s="7">
        <f>'1 prepared data'!F337</f>
        <v/>
      </c>
      <c r="H344" s="7">
        <f>'1 prepared data'!G337</f>
        <v/>
      </c>
      <c r="I344" s="7">
        <f>'1 prepared data'!H337</f>
        <v/>
      </c>
      <c r="J344" s="7">
        <f>'1 prepared data'!I337</f>
        <v/>
      </c>
      <c r="K344" s="7">
        <f>'1 prepared data'!J337</f>
        <v/>
      </c>
      <c r="L344" s="7">
        <f>'1 prepared data'!K337</f>
        <v/>
      </c>
      <c r="M344" s="7">
        <f>'1 prepared data'!L337</f>
        <v/>
      </c>
      <c r="N344" s="7">
        <f>'1 prepared data'!M337</f>
        <v/>
      </c>
      <c r="O344" s="7">
        <f>'1 prepared data'!N337</f>
        <v/>
      </c>
      <c r="P344" s="7">
        <f>'1 prepared data'!O337</f>
        <v/>
      </c>
      <c r="Q344" s="7">
        <f>'1 prepared data'!P337</f>
        <v/>
      </c>
      <c r="R344" s="7">
        <f>'1 prepared data'!Q337</f>
        <v/>
      </c>
      <c r="S344" s="7">
        <f>'1 prepared data'!R337</f>
        <v/>
      </c>
      <c r="T344" s="7">
        <f>'1 prepared data'!S337</f>
        <v/>
      </c>
      <c r="U344" s="7">
        <f>'1 prepared data'!T337</f>
        <v/>
      </c>
      <c r="V344" s="8">
        <f>$AC$12+D344*$AC$13+E344*$AC$14+F344*$AC$15+G344*$AC$16+H344*$AC$17+I344*$AC$18+J344*$AC$19+K344*$AC$20+L344*$AC$21+M344*$AC$22+N344*$AC$23+O344*$AC$24+P344*$AC$25+Q344*$AC$26+R344*$AC$27+S344*$AC$28+T344*$AC$29+U344*$AC$30</f>
        <v/>
      </c>
      <c r="W344" s="8">
        <f>1/(1+EXP(-V344))</f>
        <v/>
      </c>
      <c r="X344" s="9">
        <f>-IF(C344=1,LN(W344),LN(1-W344))</f>
        <v/>
      </c>
      <c r="Y344" s="10">
        <f>IF(W344&gt;$AC$34,1,0)</f>
        <v/>
      </c>
      <c r="Z344">
        <f>IF(Y344=C344,1,0)</f>
        <v/>
      </c>
    </row>
    <row r="345">
      <c r="A345">
        <f>'1 prepared data'!A338</f>
        <v/>
      </c>
      <c r="B345" s="5">
        <f>'1 prepared data'!U338</f>
        <v/>
      </c>
      <c r="C345">
        <f>'1 prepared data'!B338</f>
        <v/>
      </c>
      <c r="D345" s="7">
        <f>'1 prepared data'!C338</f>
        <v/>
      </c>
      <c r="E345" s="7">
        <f>'1 prepared data'!D338</f>
        <v/>
      </c>
      <c r="F345" s="7">
        <f>'1 prepared data'!E338</f>
        <v/>
      </c>
      <c r="G345" s="7">
        <f>'1 prepared data'!F338</f>
        <v/>
      </c>
      <c r="H345" s="7">
        <f>'1 prepared data'!G338</f>
        <v/>
      </c>
      <c r="I345" s="7">
        <f>'1 prepared data'!H338</f>
        <v/>
      </c>
      <c r="J345" s="7">
        <f>'1 prepared data'!I338</f>
        <v/>
      </c>
      <c r="K345" s="7">
        <f>'1 prepared data'!J338</f>
        <v/>
      </c>
      <c r="L345" s="7">
        <f>'1 prepared data'!K338</f>
        <v/>
      </c>
      <c r="M345" s="7">
        <f>'1 prepared data'!L338</f>
        <v/>
      </c>
      <c r="N345" s="7">
        <f>'1 prepared data'!M338</f>
        <v/>
      </c>
      <c r="O345" s="7">
        <f>'1 prepared data'!N338</f>
        <v/>
      </c>
      <c r="P345" s="7">
        <f>'1 prepared data'!O338</f>
        <v/>
      </c>
      <c r="Q345" s="7">
        <f>'1 prepared data'!P338</f>
        <v/>
      </c>
      <c r="R345" s="7">
        <f>'1 prepared data'!Q338</f>
        <v/>
      </c>
      <c r="S345" s="7">
        <f>'1 prepared data'!R338</f>
        <v/>
      </c>
      <c r="T345" s="7">
        <f>'1 prepared data'!S338</f>
        <v/>
      </c>
      <c r="U345" s="7">
        <f>'1 prepared data'!T338</f>
        <v/>
      </c>
      <c r="V345" s="8">
        <f>$AC$12+D345*$AC$13+E345*$AC$14+F345*$AC$15+G345*$AC$16+H345*$AC$17+I345*$AC$18+J345*$AC$19+K345*$AC$20+L345*$AC$21+M345*$AC$22+N345*$AC$23+O345*$AC$24+P345*$AC$25+Q345*$AC$26+R345*$AC$27+S345*$AC$28+T345*$AC$29+U345*$AC$30</f>
        <v/>
      </c>
      <c r="W345" s="8">
        <f>1/(1+EXP(-V345))</f>
        <v/>
      </c>
      <c r="X345" s="9">
        <f>-IF(C345=1,LN(W345),LN(1-W345))</f>
        <v/>
      </c>
      <c r="Y345" s="10">
        <f>IF(W345&gt;$AC$34,1,0)</f>
        <v/>
      </c>
      <c r="Z345">
        <f>IF(Y345=C345,1,0)</f>
        <v/>
      </c>
    </row>
    <row r="346">
      <c r="A346">
        <f>'1 prepared data'!A339</f>
        <v/>
      </c>
      <c r="B346" s="5">
        <f>'1 prepared data'!U339</f>
        <v/>
      </c>
      <c r="C346">
        <f>'1 prepared data'!B339</f>
        <v/>
      </c>
      <c r="D346" s="7">
        <f>'1 prepared data'!C339</f>
        <v/>
      </c>
      <c r="E346" s="7">
        <f>'1 prepared data'!D339</f>
        <v/>
      </c>
      <c r="F346" s="7">
        <f>'1 prepared data'!E339</f>
        <v/>
      </c>
      <c r="G346" s="7">
        <f>'1 prepared data'!F339</f>
        <v/>
      </c>
      <c r="H346" s="7">
        <f>'1 prepared data'!G339</f>
        <v/>
      </c>
      <c r="I346" s="7">
        <f>'1 prepared data'!H339</f>
        <v/>
      </c>
      <c r="J346" s="7">
        <f>'1 prepared data'!I339</f>
        <v/>
      </c>
      <c r="K346" s="7">
        <f>'1 prepared data'!J339</f>
        <v/>
      </c>
      <c r="L346" s="7">
        <f>'1 prepared data'!K339</f>
        <v/>
      </c>
      <c r="M346" s="7">
        <f>'1 prepared data'!L339</f>
        <v/>
      </c>
      <c r="N346" s="7">
        <f>'1 prepared data'!M339</f>
        <v/>
      </c>
      <c r="O346" s="7">
        <f>'1 prepared data'!N339</f>
        <v/>
      </c>
      <c r="P346" s="7">
        <f>'1 prepared data'!O339</f>
        <v/>
      </c>
      <c r="Q346" s="7">
        <f>'1 prepared data'!P339</f>
        <v/>
      </c>
      <c r="R346" s="7">
        <f>'1 prepared data'!Q339</f>
        <v/>
      </c>
      <c r="S346" s="7">
        <f>'1 prepared data'!R339</f>
        <v/>
      </c>
      <c r="T346" s="7">
        <f>'1 prepared data'!S339</f>
        <v/>
      </c>
      <c r="U346" s="7">
        <f>'1 prepared data'!T339</f>
        <v/>
      </c>
      <c r="V346" s="8">
        <f>$AC$12+D346*$AC$13+E346*$AC$14+F346*$AC$15+G346*$AC$16+H346*$AC$17+I346*$AC$18+J346*$AC$19+K346*$AC$20+L346*$AC$21+M346*$AC$22+N346*$AC$23+O346*$AC$24+P346*$AC$25+Q346*$AC$26+R346*$AC$27+S346*$AC$28+T346*$AC$29+U346*$AC$30</f>
        <v/>
      </c>
      <c r="W346" s="8">
        <f>1/(1+EXP(-V346))</f>
        <v/>
      </c>
      <c r="X346" s="9">
        <f>-IF(C346=1,LN(W346),LN(1-W346))</f>
        <v/>
      </c>
      <c r="Y346" s="10">
        <f>IF(W346&gt;$AC$34,1,0)</f>
        <v/>
      </c>
      <c r="Z346">
        <f>IF(Y346=C346,1,0)</f>
        <v/>
      </c>
    </row>
    <row r="347">
      <c r="A347">
        <f>'1 prepared data'!A340</f>
        <v/>
      </c>
      <c r="B347" s="5">
        <f>'1 prepared data'!U340</f>
        <v/>
      </c>
      <c r="C347">
        <f>'1 prepared data'!B340</f>
        <v/>
      </c>
      <c r="D347" s="7">
        <f>'1 prepared data'!C340</f>
        <v/>
      </c>
      <c r="E347" s="7">
        <f>'1 prepared data'!D340</f>
        <v/>
      </c>
      <c r="F347" s="7">
        <f>'1 prepared data'!E340</f>
        <v/>
      </c>
      <c r="G347" s="7">
        <f>'1 prepared data'!F340</f>
        <v/>
      </c>
      <c r="H347" s="7">
        <f>'1 prepared data'!G340</f>
        <v/>
      </c>
      <c r="I347" s="7">
        <f>'1 prepared data'!H340</f>
        <v/>
      </c>
      <c r="J347" s="7">
        <f>'1 prepared data'!I340</f>
        <v/>
      </c>
      <c r="K347" s="7">
        <f>'1 prepared data'!J340</f>
        <v/>
      </c>
      <c r="L347" s="7">
        <f>'1 prepared data'!K340</f>
        <v/>
      </c>
      <c r="M347" s="7">
        <f>'1 prepared data'!L340</f>
        <v/>
      </c>
      <c r="N347" s="7">
        <f>'1 prepared data'!M340</f>
        <v/>
      </c>
      <c r="O347" s="7">
        <f>'1 prepared data'!N340</f>
        <v/>
      </c>
      <c r="P347" s="7">
        <f>'1 prepared data'!O340</f>
        <v/>
      </c>
      <c r="Q347" s="7">
        <f>'1 prepared data'!P340</f>
        <v/>
      </c>
      <c r="R347" s="7">
        <f>'1 prepared data'!Q340</f>
        <v/>
      </c>
      <c r="S347" s="7">
        <f>'1 prepared data'!R340</f>
        <v/>
      </c>
      <c r="T347" s="7">
        <f>'1 prepared data'!S340</f>
        <v/>
      </c>
      <c r="U347" s="7">
        <f>'1 prepared data'!T340</f>
        <v/>
      </c>
      <c r="V347" s="8">
        <f>$AC$12+D347*$AC$13+E347*$AC$14+F347*$AC$15+G347*$AC$16+H347*$AC$17+I347*$AC$18+J347*$AC$19+K347*$AC$20+L347*$AC$21+M347*$AC$22+N347*$AC$23+O347*$AC$24+P347*$AC$25+Q347*$AC$26+R347*$AC$27+S347*$AC$28+T347*$AC$29+U347*$AC$30</f>
        <v/>
      </c>
      <c r="W347" s="8">
        <f>1/(1+EXP(-V347))</f>
        <v/>
      </c>
      <c r="X347" s="9">
        <f>-IF(C347=1,LN(W347),LN(1-W347))</f>
        <v/>
      </c>
      <c r="Y347" s="10">
        <f>IF(W347&gt;$AC$34,1,0)</f>
        <v/>
      </c>
      <c r="Z347">
        <f>IF(Y347=C347,1,0)</f>
        <v/>
      </c>
    </row>
    <row r="348">
      <c r="A348">
        <f>'1 prepared data'!A341</f>
        <v/>
      </c>
      <c r="B348" s="5">
        <f>'1 prepared data'!U341</f>
        <v/>
      </c>
      <c r="C348">
        <f>'1 prepared data'!B341</f>
        <v/>
      </c>
      <c r="D348" s="7">
        <f>'1 prepared data'!C341</f>
        <v/>
      </c>
      <c r="E348" s="7">
        <f>'1 prepared data'!D341</f>
        <v/>
      </c>
      <c r="F348" s="7">
        <f>'1 prepared data'!E341</f>
        <v/>
      </c>
      <c r="G348" s="7">
        <f>'1 prepared data'!F341</f>
        <v/>
      </c>
      <c r="H348" s="7">
        <f>'1 prepared data'!G341</f>
        <v/>
      </c>
      <c r="I348" s="7">
        <f>'1 prepared data'!H341</f>
        <v/>
      </c>
      <c r="J348" s="7">
        <f>'1 prepared data'!I341</f>
        <v/>
      </c>
      <c r="K348" s="7">
        <f>'1 prepared data'!J341</f>
        <v/>
      </c>
      <c r="L348" s="7">
        <f>'1 prepared data'!K341</f>
        <v/>
      </c>
      <c r="M348" s="7">
        <f>'1 prepared data'!L341</f>
        <v/>
      </c>
      <c r="N348" s="7">
        <f>'1 prepared data'!M341</f>
        <v/>
      </c>
      <c r="O348" s="7">
        <f>'1 prepared data'!N341</f>
        <v/>
      </c>
      <c r="P348" s="7">
        <f>'1 prepared data'!O341</f>
        <v/>
      </c>
      <c r="Q348" s="7">
        <f>'1 prepared data'!P341</f>
        <v/>
      </c>
      <c r="R348" s="7">
        <f>'1 prepared data'!Q341</f>
        <v/>
      </c>
      <c r="S348" s="7">
        <f>'1 prepared data'!R341</f>
        <v/>
      </c>
      <c r="T348" s="7">
        <f>'1 prepared data'!S341</f>
        <v/>
      </c>
      <c r="U348" s="7">
        <f>'1 prepared data'!T341</f>
        <v/>
      </c>
      <c r="V348" s="8">
        <f>$AC$12+D348*$AC$13+E348*$AC$14+F348*$AC$15+G348*$AC$16+H348*$AC$17+I348*$AC$18+J348*$AC$19+K348*$AC$20+L348*$AC$21+M348*$AC$22+N348*$AC$23+O348*$AC$24+P348*$AC$25+Q348*$AC$26+R348*$AC$27+S348*$AC$28+T348*$AC$29+U348*$AC$30</f>
        <v/>
      </c>
      <c r="W348" s="8">
        <f>1/(1+EXP(-V348))</f>
        <v/>
      </c>
      <c r="X348" s="9">
        <f>-IF(C348=1,LN(W348),LN(1-W348))</f>
        <v/>
      </c>
      <c r="Y348" s="10">
        <f>IF(W348&gt;$AC$34,1,0)</f>
        <v/>
      </c>
      <c r="Z348">
        <f>IF(Y348=C348,1,0)</f>
        <v/>
      </c>
    </row>
    <row r="349">
      <c r="A349">
        <f>'1 prepared data'!A342</f>
        <v/>
      </c>
      <c r="B349" s="5">
        <f>'1 prepared data'!U342</f>
        <v/>
      </c>
      <c r="C349">
        <f>'1 prepared data'!B342</f>
        <v/>
      </c>
      <c r="D349" s="7">
        <f>'1 prepared data'!C342</f>
        <v/>
      </c>
      <c r="E349" s="7">
        <f>'1 prepared data'!D342</f>
        <v/>
      </c>
      <c r="F349" s="7">
        <f>'1 prepared data'!E342</f>
        <v/>
      </c>
      <c r="G349" s="7">
        <f>'1 prepared data'!F342</f>
        <v/>
      </c>
      <c r="H349" s="7">
        <f>'1 prepared data'!G342</f>
        <v/>
      </c>
      <c r="I349" s="7">
        <f>'1 prepared data'!H342</f>
        <v/>
      </c>
      <c r="J349" s="7">
        <f>'1 prepared data'!I342</f>
        <v/>
      </c>
      <c r="K349" s="7">
        <f>'1 prepared data'!J342</f>
        <v/>
      </c>
      <c r="L349" s="7">
        <f>'1 prepared data'!K342</f>
        <v/>
      </c>
      <c r="M349" s="7">
        <f>'1 prepared data'!L342</f>
        <v/>
      </c>
      <c r="N349" s="7">
        <f>'1 prepared data'!M342</f>
        <v/>
      </c>
      <c r="O349" s="7">
        <f>'1 prepared data'!N342</f>
        <v/>
      </c>
      <c r="P349" s="7">
        <f>'1 prepared data'!O342</f>
        <v/>
      </c>
      <c r="Q349" s="7">
        <f>'1 prepared data'!P342</f>
        <v/>
      </c>
      <c r="R349" s="7">
        <f>'1 prepared data'!Q342</f>
        <v/>
      </c>
      <c r="S349" s="7">
        <f>'1 prepared data'!R342</f>
        <v/>
      </c>
      <c r="T349" s="7">
        <f>'1 prepared data'!S342</f>
        <v/>
      </c>
      <c r="U349" s="7">
        <f>'1 prepared data'!T342</f>
        <v/>
      </c>
      <c r="V349" s="8">
        <f>$AC$12+D349*$AC$13+E349*$AC$14+F349*$AC$15+G349*$AC$16+H349*$AC$17+I349*$AC$18+J349*$AC$19+K349*$AC$20+L349*$AC$21+M349*$AC$22+N349*$AC$23+O349*$AC$24+P349*$AC$25+Q349*$AC$26+R349*$AC$27+S349*$AC$28+T349*$AC$29+U349*$AC$30</f>
        <v/>
      </c>
      <c r="W349" s="8">
        <f>1/(1+EXP(-V349))</f>
        <v/>
      </c>
      <c r="X349" s="9">
        <f>-IF(C349=1,LN(W349),LN(1-W349))</f>
        <v/>
      </c>
      <c r="Y349" s="10">
        <f>IF(W349&gt;$AC$34,1,0)</f>
        <v/>
      </c>
      <c r="Z349">
        <f>IF(Y349=C349,1,0)</f>
        <v/>
      </c>
    </row>
    <row r="350">
      <c r="A350">
        <f>'1 prepared data'!A343</f>
        <v/>
      </c>
      <c r="B350" s="5">
        <f>'1 prepared data'!U343</f>
        <v/>
      </c>
      <c r="C350">
        <f>'1 prepared data'!B343</f>
        <v/>
      </c>
      <c r="D350" s="7">
        <f>'1 prepared data'!C343</f>
        <v/>
      </c>
      <c r="E350" s="7">
        <f>'1 prepared data'!D343</f>
        <v/>
      </c>
      <c r="F350" s="7">
        <f>'1 prepared data'!E343</f>
        <v/>
      </c>
      <c r="G350" s="7">
        <f>'1 prepared data'!F343</f>
        <v/>
      </c>
      <c r="H350" s="7">
        <f>'1 prepared data'!G343</f>
        <v/>
      </c>
      <c r="I350" s="7">
        <f>'1 prepared data'!H343</f>
        <v/>
      </c>
      <c r="J350" s="7">
        <f>'1 prepared data'!I343</f>
        <v/>
      </c>
      <c r="K350" s="7">
        <f>'1 prepared data'!J343</f>
        <v/>
      </c>
      <c r="L350" s="7">
        <f>'1 prepared data'!K343</f>
        <v/>
      </c>
      <c r="M350" s="7">
        <f>'1 prepared data'!L343</f>
        <v/>
      </c>
      <c r="N350" s="7">
        <f>'1 prepared data'!M343</f>
        <v/>
      </c>
      <c r="O350" s="7">
        <f>'1 prepared data'!N343</f>
        <v/>
      </c>
      <c r="P350" s="7">
        <f>'1 prepared data'!O343</f>
        <v/>
      </c>
      <c r="Q350" s="7">
        <f>'1 prepared data'!P343</f>
        <v/>
      </c>
      <c r="R350" s="7">
        <f>'1 prepared data'!Q343</f>
        <v/>
      </c>
      <c r="S350" s="7">
        <f>'1 prepared data'!R343</f>
        <v/>
      </c>
      <c r="T350" s="7">
        <f>'1 prepared data'!S343</f>
        <v/>
      </c>
      <c r="U350" s="7">
        <f>'1 prepared data'!T343</f>
        <v/>
      </c>
      <c r="V350" s="8">
        <f>$AC$12+D350*$AC$13+E350*$AC$14+F350*$AC$15+G350*$AC$16+H350*$AC$17+I350*$AC$18+J350*$AC$19+K350*$AC$20+L350*$AC$21+M350*$AC$22+N350*$AC$23+O350*$AC$24+P350*$AC$25+Q350*$AC$26+R350*$AC$27+S350*$AC$28+T350*$AC$29+U350*$AC$30</f>
        <v/>
      </c>
      <c r="W350" s="8">
        <f>1/(1+EXP(-V350))</f>
        <v/>
      </c>
      <c r="X350" s="9">
        <f>-IF(C350=1,LN(W350),LN(1-W350))</f>
        <v/>
      </c>
      <c r="Y350" s="10">
        <f>IF(W350&gt;$AC$34,1,0)</f>
        <v/>
      </c>
      <c r="Z350">
        <f>IF(Y350=C350,1,0)</f>
        <v/>
      </c>
    </row>
    <row r="351">
      <c r="A351">
        <f>'1 prepared data'!A344</f>
        <v/>
      </c>
      <c r="B351" s="5">
        <f>'1 prepared data'!U344</f>
        <v/>
      </c>
      <c r="C351">
        <f>'1 prepared data'!B344</f>
        <v/>
      </c>
      <c r="D351" s="7">
        <f>'1 prepared data'!C344</f>
        <v/>
      </c>
      <c r="E351" s="7">
        <f>'1 prepared data'!D344</f>
        <v/>
      </c>
      <c r="F351" s="7">
        <f>'1 prepared data'!E344</f>
        <v/>
      </c>
      <c r="G351" s="7">
        <f>'1 prepared data'!F344</f>
        <v/>
      </c>
      <c r="H351" s="7">
        <f>'1 prepared data'!G344</f>
        <v/>
      </c>
      <c r="I351" s="7">
        <f>'1 prepared data'!H344</f>
        <v/>
      </c>
      <c r="J351" s="7">
        <f>'1 prepared data'!I344</f>
        <v/>
      </c>
      <c r="K351" s="7">
        <f>'1 prepared data'!J344</f>
        <v/>
      </c>
      <c r="L351" s="7">
        <f>'1 prepared data'!K344</f>
        <v/>
      </c>
      <c r="M351" s="7">
        <f>'1 prepared data'!L344</f>
        <v/>
      </c>
      <c r="N351" s="7">
        <f>'1 prepared data'!M344</f>
        <v/>
      </c>
      <c r="O351" s="7">
        <f>'1 prepared data'!N344</f>
        <v/>
      </c>
      <c r="P351" s="7">
        <f>'1 prepared data'!O344</f>
        <v/>
      </c>
      <c r="Q351" s="7">
        <f>'1 prepared data'!P344</f>
        <v/>
      </c>
      <c r="R351" s="7">
        <f>'1 prepared data'!Q344</f>
        <v/>
      </c>
      <c r="S351" s="7">
        <f>'1 prepared data'!R344</f>
        <v/>
      </c>
      <c r="T351" s="7">
        <f>'1 prepared data'!S344</f>
        <v/>
      </c>
      <c r="U351" s="7">
        <f>'1 prepared data'!T344</f>
        <v/>
      </c>
      <c r="V351" s="8">
        <f>$AC$12+D351*$AC$13+E351*$AC$14+F351*$AC$15+G351*$AC$16+H351*$AC$17+I351*$AC$18+J351*$AC$19+K351*$AC$20+L351*$AC$21+M351*$AC$22+N351*$AC$23+O351*$AC$24+P351*$AC$25+Q351*$AC$26+R351*$AC$27+S351*$AC$28+T351*$AC$29+U351*$AC$30</f>
        <v/>
      </c>
      <c r="W351" s="8">
        <f>1/(1+EXP(-V351))</f>
        <v/>
      </c>
      <c r="X351" s="9">
        <f>-IF(C351=1,LN(W351),LN(1-W351))</f>
        <v/>
      </c>
      <c r="Y351" s="10">
        <f>IF(W351&gt;$AC$34,1,0)</f>
        <v/>
      </c>
      <c r="Z351">
        <f>IF(Y351=C351,1,0)</f>
        <v/>
      </c>
    </row>
    <row r="352">
      <c r="A352">
        <f>'1 prepared data'!A345</f>
        <v/>
      </c>
      <c r="B352" s="5">
        <f>'1 prepared data'!U345</f>
        <v/>
      </c>
      <c r="C352">
        <f>'1 prepared data'!B345</f>
        <v/>
      </c>
      <c r="D352" s="7">
        <f>'1 prepared data'!C345</f>
        <v/>
      </c>
      <c r="E352" s="7">
        <f>'1 prepared data'!D345</f>
        <v/>
      </c>
      <c r="F352" s="7">
        <f>'1 prepared data'!E345</f>
        <v/>
      </c>
      <c r="G352" s="7">
        <f>'1 prepared data'!F345</f>
        <v/>
      </c>
      <c r="H352" s="7">
        <f>'1 prepared data'!G345</f>
        <v/>
      </c>
      <c r="I352" s="7">
        <f>'1 prepared data'!H345</f>
        <v/>
      </c>
      <c r="J352" s="7">
        <f>'1 prepared data'!I345</f>
        <v/>
      </c>
      <c r="K352" s="7">
        <f>'1 prepared data'!J345</f>
        <v/>
      </c>
      <c r="L352" s="7">
        <f>'1 prepared data'!K345</f>
        <v/>
      </c>
      <c r="M352" s="7">
        <f>'1 prepared data'!L345</f>
        <v/>
      </c>
      <c r="N352" s="7">
        <f>'1 prepared data'!M345</f>
        <v/>
      </c>
      <c r="O352" s="7">
        <f>'1 prepared data'!N345</f>
        <v/>
      </c>
      <c r="P352" s="7">
        <f>'1 prepared data'!O345</f>
        <v/>
      </c>
      <c r="Q352" s="7">
        <f>'1 prepared data'!P345</f>
        <v/>
      </c>
      <c r="R352" s="7">
        <f>'1 prepared data'!Q345</f>
        <v/>
      </c>
      <c r="S352" s="7">
        <f>'1 prepared data'!R345</f>
        <v/>
      </c>
      <c r="T352" s="7">
        <f>'1 prepared data'!S345</f>
        <v/>
      </c>
      <c r="U352" s="7">
        <f>'1 prepared data'!T345</f>
        <v/>
      </c>
      <c r="V352" s="8">
        <f>$AC$12+D352*$AC$13+E352*$AC$14+F352*$AC$15+G352*$AC$16+H352*$AC$17+I352*$AC$18+J352*$AC$19+K352*$AC$20+L352*$AC$21+M352*$AC$22+N352*$AC$23+O352*$AC$24+P352*$AC$25+Q352*$AC$26+R352*$AC$27+S352*$AC$28+T352*$AC$29+U352*$AC$30</f>
        <v/>
      </c>
      <c r="W352" s="8">
        <f>1/(1+EXP(-V352))</f>
        <v/>
      </c>
      <c r="X352" s="9">
        <f>-IF(C352=1,LN(W352),LN(1-W352))</f>
        <v/>
      </c>
      <c r="Y352" s="10">
        <f>IF(W352&gt;$AC$34,1,0)</f>
        <v/>
      </c>
      <c r="Z352">
        <f>IF(Y352=C352,1,0)</f>
        <v/>
      </c>
    </row>
    <row r="353">
      <c r="A353">
        <f>'1 prepared data'!A346</f>
        <v/>
      </c>
      <c r="B353" s="5">
        <f>'1 prepared data'!U346</f>
        <v/>
      </c>
      <c r="C353">
        <f>'1 prepared data'!B346</f>
        <v/>
      </c>
      <c r="D353" s="7">
        <f>'1 prepared data'!C346</f>
        <v/>
      </c>
      <c r="E353" s="7">
        <f>'1 prepared data'!D346</f>
        <v/>
      </c>
      <c r="F353" s="7">
        <f>'1 prepared data'!E346</f>
        <v/>
      </c>
      <c r="G353" s="7">
        <f>'1 prepared data'!F346</f>
        <v/>
      </c>
      <c r="H353" s="7">
        <f>'1 prepared data'!G346</f>
        <v/>
      </c>
      <c r="I353" s="7">
        <f>'1 prepared data'!H346</f>
        <v/>
      </c>
      <c r="J353" s="7">
        <f>'1 prepared data'!I346</f>
        <v/>
      </c>
      <c r="K353" s="7">
        <f>'1 prepared data'!J346</f>
        <v/>
      </c>
      <c r="L353" s="7">
        <f>'1 prepared data'!K346</f>
        <v/>
      </c>
      <c r="M353" s="7">
        <f>'1 prepared data'!L346</f>
        <v/>
      </c>
      <c r="N353" s="7">
        <f>'1 prepared data'!M346</f>
        <v/>
      </c>
      <c r="O353" s="7">
        <f>'1 prepared data'!N346</f>
        <v/>
      </c>
      <c r="P353" s="7">
        <f>'1 prepared data'!O346</f>
        <v/>
      </c>
      <c r="Q353" s="7">
        <f>'1 prepared data'!P346</f>
        <v/>
      </c>
      <c r="R353" s="7">
        <f>'1 prepared data'!Q346</f>
        <v/>
      </c>
      <c r="S353" s="7">
        <f>'1 prepared data'!R346</f>
        <v/>
      </c>
      <c r="T353" s="7">
        <f>'1 prepared data'!S346</f>
        <v/>
      </c>
      <c r="U353" s="7">
        <f>'1 prepared data'!T346</f>
        <v/>
      </c>
      <c r="V353" s="8">
        <f>$AC$12+D353*$AC$13+E353*$AC$14+F353*$AC$15+G353*$AC$16+H353*$AC$17+I353*$AC$18+J353*$AC$19+K353*$AC$20+L353*$AC$21+M353*$AC$22+N353*$AC$23+O353*$AC$24+P353*$AC$25+Q353*$AC$26+R353*$AC$27+S353*$AC$28+T353*$AC$29+U353*$AC$30</f>
        <v/>
      </c>
      <c r="W353" s="8">
        <f>1/(1+EXP(-V353))</f>
        <v/>
      </c>
      <c r="X353" s="9">
        <f>-IF(C353=1,LN(W353),LN(1-W353))</f>
        <v/>
      </c>
      <c r="Y353" s="10">
        <f>IF(W353&gt;$AC$34,1,0)</f>
        <v/>
      </c>
      <c r="Z353">
        <f>IF(Y353=C353,1,0)</f>
        <v/>
      </c>
    </row>
    <row r="354">
      <c r="A354">
        <f>'1 prepared data'!A347</f>
        <v/>
      </c>
      <c r="B354" s="5">
        <f>'1 prepared data'!U347</f>
        <v/>
      </c>
      <c r="C354">
        <f>'1 prepared data'!B347</f>
        <v/>
      </c>
      <c r="D354" s="7">
        <f>'1 prepared data'!C347</f>
        <v/>
      </c>
      <c r="E354" s="7">
        <f>'1 prepared data'!D347</f>
        <v/>
      </c>
      <c r="F354" s="7">
        <f>'1 prepared data'!E347</f>
        <v/>
      </c>
      <c r="G354" s="7">
        <f>'1 prepared data'!F347</f>
        <v/>
      </c>
      <c r="H354" s="7">
        <f>'1 prepared data'!G347</f>
        <v/>
      </c>
      <c r="I354" s="7">
        <f>'1 prepared data'!H347</f>
        <v/>
      </c>
      <c r="J354" s="7">
        <f>'1 prepared data'!I347</f>
        <v/>
      </c>
      <c r="K354" s="7">
        <f>'1 prepared data'!J347</f>
        <v/>
      </c>
      <c r="L354" s="7">
        <f>'1 prepared data'!K347</f>
        <v/>
      </c>
      <c r="M354" s="7">
        <f>'1 prepared data'!L347</f>
        <v/>
      </c>
      <c r="N354" s="7">
        <f>'1 prepared data'!M347</f>
        <v/>
      </c>
      <c r="O354" s="7">
        <f>'1 prepared data'!N347</f>
        <v/>
      </c>
      <c r="P354" s="7">
        <f>'1 prepared data'!O347</f>
        <v/>
      </c>
      <c r="Q354" s="7">
        <f>'1 prepared data'!P347</f>
        <v/>
      </c>
      <c r="R354" s="7">
        <f>'1 prepared data'!Q347</f>
        <v/>
      </c>
      <c r="S354" s="7">
        <f>'1 prepared data'!R347</f>
        <v/>
      </c>
      <c r="T354" s="7">
        <f>'1 prepared data'!S347</f>
        <v/>
      </c>
      <c r="U354" s="7">
        <f>'1 prepared data'!T347</f>
        <v/>
      </c>
      <c r="V354" s="8">
        <f>$AC$12+D354*$AC$13+E354*$AC$14+F354*$AC$15+G354*$AC$16+H354*$AC$17+I354*$AC$18+J354*$AC$19+K354*$AC$20+L354*$AC$21+M354*$AC$22+N354*$AC$23+O354*$AC$24+P354*$AC$25+Q354*$AC$26+R354*$AC$27+S354*$AC$28+T354*$AC$29+U354*$AC$30</f>
        <v/>
      </c>
      <c r="W354" s="8">
        <f>1/(1+EXP(-V354))</f>
        <v/>
      </c>
      <c r="X354" s="9">
        <f>-IF(C354=1,LN(W354),LN(1-W354))</f>
        <v/>
      </c>
      <c r="Y354" s="10">
        <f>IF(W354&gt;$AC$34,1,0)</f>
        <v/>
      </c>
      <c r="Z354">
        <f>IF(Y354=C354,1,0)</f>
        <v/>
      </c>
    </row>
    <row r="355">
      <c r="A355">
        <f>'1 prepared data'!A348</f>
        <v/>
      </c>
      <c r="B355" s="5">
        <f>'1 prepared data'!U348</f>
        <v/>
      </c>
      <c r="C355">
        <f>'1 prepared data'!B348</f>
        <v/>
      </c>
      <c r="D355" s="7">
        <f>'1 prepared data'!C348</f>
        <v/>
      </c>
      <c r="E355" s="7">
        <f>'1 prepared data'!D348</f>
        <v/>
      </c>
      <c r="F355" s="7">
        <f>'1 prepared data'!E348</f>
        <v/>
      </c>
      <c r="G355" s="7">
        <f>'1 prepared data'!F348</f>
        <v/>
      </c>
      <c r="H355" s="7">
        <f>'1 prepared data'!G348</f>
        <v/>
      </c>
      <c r="I355" s="7">
        <f>'1 prepared data'!H348</f>
        <v/>
      </c>
      <c r="J355" s="7">
        <f>'1 prepared data'!I348</f>
        <v/>
      </c>
      <c r="K355" s="7">
        <f>'1 prepared data'!J348</f>
        <v/>
      </c>
      <c r="L355" s="7">
        <f>'1 prepared data'!K348</f>
        <v/>
      </c>
      <c r="M355" s="7">
        <f>'1 prepared data'!L348</f>
        <v/>
      </c>
      <c r="N355" s="7">
        <f>'1 prepared data'!M348</f>
        <v/>
      </c>
      <c r="O355" s="7">
        <f>'1 prepared data'!N348</f>
        <v/>
      </c>
      <c r="P355" s="7">
        <f>'1 prepared data'!O348</f>
        <v/>
      </c>
      <c r="Q355" s="7">
        <f>'1 prepared data'!P348</f>
        <v/>
      </c>
      <c r="R355" s="7">
        <f>'1 prepared data'!Q348</f>
        <v/>
      </c>
      <c r="S355" s="7">
        <f>'1 prepared data'!R348</f>
        <v/>
      </c>
      <c r="T355" s="7">
        <f>'1 prepared data'!S348</f>
        <v/>
      </c>
      <c r="U355" s="7">
        <f>'1 prepared data'!T348</f>
        <v/>
      </c>
      <c r="V355" s="8">
        <f>$AC$12+D355*$AC$13+E355*$AC$14+F355*$AC$15+G355*$AC$16+H355*$AC$17+I355*$AC$18+J355*$AC$19+K355*$AC$20+L355*$AC$21+M355*$AC$22+N355*$AC$23+O355*$AC$24+P355*$AC$25+Q355*$AC$26+R355*$AC$27+S355*$AC$28+T355*$AC$29+U355*$AC$30</f>
        <v/>
      </c>
      <c r="W355" s="8">
        <f>1/(1+EXP(-V355))</f>
        <v/>
      </c>
      <c r="X355" s="9">
        <f>-IF(C355=1,LN(W355),LN(1-W355))</f>
        <v/>
      </c>
      <c r="Y355" s="10">
        <f>IF(W355&gt;$AC$34,1,0)</f>
        <v/>
      </c>
      <c r="Z355">
        <f>IF(Y355=C355,1,0)</f>
        <v/>
      </c>
    </row>
    <row r="356">
      <c r="A356">
        <f>'1 prepared data'!A349</f>
        <v/>
      </c>
      <c r="B356" s="5">
        <f>'1 prepared data'!U349</f>
        <v/>
      </c>
      <c r="C356">
        <f>'1 prepared data'!B349</f>
        <v/>
      </c>
      <c r="D356" s="7">
        <f>'1 prepared data'!C349</f>
        <v/>
      </c>
      <c r="E356" s="7">
        <f>'1 prepared data'!D349</f>
        <v/>
      </c>
      <c r="F356" s="7">
        <f>'1 prepared data'!E349</f>
        <v/>
      </c>
      <c r="G356" s="7">
        <f>'1 prepared data'!F349</f>
        <v/>
      </c>
      <c r="H356" s="7">
        <f>'1 prepared data'!G349</f>
        <v/>
      </c>
      <c r="I356" s="7">
        <f>'1 prepared data'!H349</f>
        <v/>
      </c>
      <c r="J356" s="7">
        <f>'1 prepared data'!I349</f>
        <v/>
      </c>
      <c r="K356" s="7">
        <f>'1 prepared data'!J349</f>
        <v/>
      </c>
      <c r="L356" s="7">
        <f>'1 prepared data'!K349</f>
        <v/>
      </c>
      <c r="M356" s="7">
        <f>'1 prepared data'!L349</f>
        <v/>
      </c>
      <c r="N356" s="7">
        <f>'1 prepared data'!M349</f>
        <v/>
      </c>
      <c r="O356" s="7">
        <f>'1 prepared data'!N349</f>
        <v/>
      </c>
      <c r="P356" s="7">
        <f>'1 prepared data'!O349</f>
        <v/>
      </c>
      <c r="Q356" s="7">
        <f>'1 prepared data'!P349</f>
        <v/>
      </c>
      <c r="R356" s="7">
        <f>'1 prepared data'!Q349</f>
        <v/>
      </c>
      <c r="S356" s="7">
        <f>'1 prepared data'!R349</f>
        <v/>
      </c>
      <c r="T356" s="7">
        <f>'1 prepared data'!S349</f>
        <v/>
      </c>
      <c r="U356" s="7">
        <f>'1 prepared data'!T349</f>
        <v/>
      </c>
      <c r="V356" s="8">
        <f>$AC$12+D356*$AC$13+E356*$AC$14+F356*$AC$15+G356*$AC$16+H356*$AC$17+I356*$AC$18+J356*$AC$19+K356*$AC$20+L356*$AC$21+M356*$AC$22+N356*$AC$23+O356*$AC$24+P356*$AC$25+Q356*$AC$26+R356*$AC$27+S356*$AC$28+T356*$AC$29+U356*$AC$30</f>
        <v/>
      </c>
      <c r="W356" s="8">
        <f>1/(1+EXP(-V356))</f>
        <v/>
      </c>
      <c r="X356" s="9">
        <f>-IF(C356=1,LN(W356),LN(1-W356))</f>
        <v/>
      </c>
      <c r="Y356" s="10">
        <f>IF(W356&gt;$AC$34,1,0)</f>
        <v/>
      </c>
      <c r="Z356">
        <f>IF(Y356=C356,1,0)</f>
        <v/>
      </c>
    </row>
    <row r="357">
      <c r="A357">
        <f>'1 prepared data'!A350</f>
        <v/>
      </c>
      <c r="B357" s="5">
        <f>'1 prepared data'!U350</f>
        <v/>
      </c>
      <c r="C357">
        <f>'1 prepared data'!B350</f>
        <v/>
      </c>
      <c r="D357" s="7">
        <f>'1 prepared data'!C350</f>
        <v/>
      </c>
      <c r="E357" s="7">
        <f>'1 prepared data'!D350</f>
        <v/>
      </c>
      <c r="F357" s="7">
        <f>'1 prepared data'!E350</f>
        <v/>
      </c>
      <c r="G357" s="7">
        <f>'1 prepared data'!F350</f>
        <v/>
      </c>
      <c r="H357" s="7">
        <f>'1 prepared data'!G350</f>
        <v/>
      </c>
      <c r="I357" s="7">
        <f>'1 prepared data'!H350</f>
        <v/>
      </c>
      <c r="J357" s="7">
        <f>'1 prepared data'!I350</f>
        <v/>
      </c>
      <c r="K357" s="7">
        <f>'1 prepared data'!J350</f>
        <v/>
      </c>
      <c r="L357" s="7">
        <f>'1 prepared data'!K350</f>
        <v/>
      </c>
      <c r="M357" s="7">
        <f>'1 prepared data'!L350</f>
        <v/>
      </c>
      <c r="N357" s="7">
        <f>'1 prepared data'!M350</f>
        <v/>
      </c>
      <c r="O357" s="7">
        <f>'1 prepared data'!N350</f>
        <v/>
      </c>
      <c r="P357" s="7">
        <f>'1 prepared data'!O350</f>
        <v/>
      </c>
      <c r="Q357" s="7">
        <f>'1 prepared data'!P350</f>
        <v/>
      </c>
      <c r="R357" s="7">
        <f>'1 prepared data'!Q350</f>
        <v/>
      </c>
      <c r="S357" s="7">
        <f>'1 prepared data'!R350</f>
        <v/>
      </c>
      <c r="T357" s="7">
        <f>'1 prepared data'!S350</f>
        <v/>
      </c>
      <c r="U357" s="7">
        <f>'1 prepared data'!T350</f>
        <v/>
      </c>
      <c r="V357" s="8">
        <f>$AC$12+D357*$AC$13+E357*$AC$14+F357*$AC$15+G357*$AC$16+H357*$AC$17+I357*$AC$18+J357*$AC$19+K357*$AC$20+L357*$AC$21+M357*$AC$22+N357*$AC$23+O357*$AC$24+P357*$AC$25+Q357*$AC$26+R357*$AC$27+S357*$AC$28+T357*$AC$29+U357*$AC$30</f>
        <v/>
      </c>
      <c r="W357" s="8">
        <f>1/(1+EXP(-V357))</f>
        <v/>
      </c>
      <c r="X357" s="9">
        <f>-IF(C357=1,LN(W357),LN(1-W357))</f>
        <v/>
      </c>
      <c r="Y357" s="10">
        <f>IF(W357&gt;$AC$34,1,0)</f>
        <v/>
      </c>
      <c r="Z357">
        <f>IF(Y357=C357,1,0)</f>
        <v/>
      </c>
    </row>
    <row r="358">
      <c r="A358">
        <f>'1 prepared data'!A351</f>
        <v/>
      </c>
      <c r="B358" s="5">
        <f>'1 prepared data'!U351</f>
        <v/>
      </c>
      <c r="C358">
        <f>'1 prepared data'!B351</f>
        <v/>
      </c>
      <c r="D358" s="7">
        <f>'1 prepared data'!C351</f>
        <v/>
      </c>
      <c r="E358" s="7">
        <f>'1 prepared data'!D351</f>
        <v/>
      </c>
      <c r="F358" s="7">
        <f>'1 prepared data'!E351</f>
        <v/>
      </c>
      <c r="G358" s="7">
        <f>'1 prepared data'!F351</f>
        <v/>
      </c>
      <c r="H358" s="7">
        <f>'1 prepared data'!G351</f>
        <v/>
      </c>
      <c r="I358" s="7">
        <f>'1 prepared data'!H351</f>
        <v/>
      </c>
      <c r="J358" s="7">
        <f>'1 prepared data'!I351</f>
        <v/>
      </c>
      <c r="K358" s="7">
        <f>'1 prepared data'!J351</f>
        <v/>
      </c>
      <c r="L358" s="7">
        <f>'1 prepared data'!K351</f>
        <v/>
      </c>
      <c r="M358" s="7">
        <f>'1 prepared data'!L351</f>
        <v/>
      </c>
      <c r="N358" s="7">
        <f>'1 prepared data'!M351</f>
        <v/>
      </c>
      <c r="O358" s="7">
        <f>'1 prepared data'!N351</f>
        <v/>
      </c>
      <c r="P358" s="7">
        <f>'1 prepared data'!O351</f>
        <v/>
      </c>
      <c r="Q358" s="7">
        <f>'1 prepared data'!P351</f>
        <v/>
      </c>
      <c r="R358" s="7">
        <f>'1 prepared data'!Q351</f>
        <v/>
      </c>
      <c r="S358" s="7">
        <f>'1 prepared data'!R351</f>
        <v/>
      </c>
      <c r="T358" s="7">
        <f>'1 prepared data'!S351</f>
        <v/>
      </c>
      <c r="U358" s="7">
        <f>'1 prepared data'!T351</f>
        <v/>
      </c>
      <c r="V358" s="8">
        <f>$AC$12+D358*$AC$13+E358*$AC$14+F358*$AC$15+G358*$AC$16+H358*$AC$17+I358*$AC$18+J358*$AC$19+K358*$AC$20+L358*$AC$21+M358*$AC$22+N358*$AC$23+O358*$AC$24+P358*$AC$25+Q358*$AC$26+R358*$AC$27+S358*$AC$28+T358*$AC$29+U358*$AC$30</f>
        <v/>
      </c>
      <c r="W358" s="8">
        <f>1/(1+EXP(-V358))</f>
        <v/>
      </c>
      <c r="X358" s="9">
        <f>-IF(C358=1,LN(W358),LN(1-W358))</f>
        <v/>
      </c>
      <c r="Y358" s="10">
        <f>IF(W358&gt;$AC$34,1,0)</f>
        <v/>
      </c>
      <c r="Z358">
        <f>IF(Y358=C358,1,0)</f>
        <v/>
      </c>
    </row>
    <row r="359">
      <c r="A359">
        <f>'1 prepared data'!A352</f>
        <v/>
      </c>
      <c r="B359" s="5">
        <f>'1 prepared data'!U352</f>
        <v/>
      </c>
      <c r="C359">
        <f>'1 prepared data'!B352</f>
        <v/>
      </c>
      <c r="D359" s="7">
        <f>'1 prepared data'!C352</f>
        <v/>
      </c>
      <c r="E359" s="7">
        <f>'1 prepared data'!D352</f>
        <v/>
      </c>
      <c r="F359" s="7">
        <f>'1 prepared data'!E352</f>
        <v/>
      </c>
      <c r="G359" s="7">
        <f>'1 prepared data'!F352</f>
        <v/>
      </c>
      <c r="H359" s="7">
        <f>'1 prepared data'!G352</f>
        <v/>
      </c>
      <c r="I359" s="7">
        <f>'1 prepared data'!H352</f>
        <v/>
      </c>
      <c r="J359" s="7">
        <f>'1 prepared data'!I352</f>
        <v/>
      </c>
      <c r="K359" s="7">
        <f>'1 prepared data'!J352</f>
        <v/>
      </c>
      <c r="L359" s="7">
        <f>'1 prepared data'!K352</f>
        <v/>
      </c>
      <c r="M359" s="7">
        <f>'1 prepared data'!L352</f>
        <v/>
      </c>
      <c r="N359" s="7">
        <f>'1 prepared data'!M352</f>
        <v/>
      </c>
      <c r="O359" s="7">
        <f>'1 prepared data'!N352</f>
        <v/>
      </c>
      <c r="P359" s="7">
        <f>'1 prepared data'!O352</f>
        <v/>
      </c>
      <c r="Q359" s="7">
        <f>'1 prepared data'!P352</f>
        <v/>
      </c>
      <c r="R359" s="7">
        <f>'1 prepared data'!Q352</f>
        <v/>
      </c>
      <c r="S359" s="7">
        <f>'1 prepared data'!R352</f>
        <v/>
      </c>
      <c r="T359" s="7">
        <f>'1 prepared data'!S352</f>
        <v/>
      </c>
      <c r="U359" s="7">
        <f>'1 prepared data'!T352</f>
        <v/>
      </c>
      <c r="V359" s="8">
        <f>$AC$12+D359*$AC$13+E359*$AC$14+F359*$AC$15+G359*$AC$16+H359*$AC$17+I359*$AC$18+J359*$AC$19+K359*$AC$20+L359*$AC$21+M359*$AC$22+N359*$AC$23+O359*$AC$24+P359*$AC$25+Q359*$AC$26+R359*$AC$27+S359*$AC$28+T359*$AC$29+U359*$AC$30</f>
        <v/>
      </c>
      <c r="W359" s="8">
        <f>1/(1+EXP(-V359))</f>
        <v/>
      </c>
      <c r="X359" s="9">
        <f>-IF(C359=1,LN(W359),LN(1-W359))</f>
        <v/>
      </c>
      <c r="Y359" s="10">
        <f>IF(W359&gt;$AC$34,1,0)</f>
        <v/>
      </c>
      <c r="Z359">
        <f>IF(Y359=C359,1,0)</f>
        <v/>
      </c>
    </row>
    <row r="360">
      <c r="A360">
        <f>'1 prepared data'!A353</f>
        <v/>
      </c>
      <c r="B360" s="5">
        <f>'1 prepared data'!U353</f>
        <v/>
      </c>
      <c r="C360">
        <f>'1 prepared data'!B353</f>
        <v/>
      </c>
      <c r="D360" s="7">
        <f>'1 prepared data'!C353</f>
        <v/>
      </c>
      <c r="E360" s="7">
        <f>'1 prepared data'!D353</f>
        <v/>
      </c>
      <c r="F360" s="7">
        <f>'1 prepared data'!E353</f>
        <v/>
      </c>
      <c r="G360" s="7">
        <f>'1 prepared data'!F353</f>
        <v/>
      </c>
      <c r="H360" s="7">
        <f>'1 prepared data'!G353</f>
        <v/>
      </c>
      <c r="I360" s="7">
        <f>'1 prepared data'!H353</f>
        <v/>
      </c>
      <c r="J360" s="7">
        <f>'1 prepared data'!I353</f>
        <v/>
      </c>
      <c r="K360" s="7">
        <f>'1 prepared data'!J353</f>
        <v/>
      </c>
      <c r="L360" s="7">
        <f>'1 prepared data'!K353</f>
        <v/>
      </c>
      <c r="M360" s="7">
        <f>'1 prepared data'!L353</f>
        <v/>
      </c>
      <c r="N360" s="7">
        <f>'1 prepared data'!M353</f>
        <v/>
      </c>
      <c r="O360" s="7">
        <f>'1 prepared data'!N353</f>
        <v/>
      </c>
      <c r="P360" s="7">
        <f>'1 prepared data'!O353</f>
        <v/>
      </c>
      <c r="Q360" s="7">
        <f>'1 prepared data'!P353</f>
        <v/>
      </c>
      <c r="R360" s="7">
        <f>'1 prepared data'!Q353</f>
        <v/>
      </c>
      <c r="S360" s="7">
        <f>'1 prepared data'!R353</f>
        <v/>
      </c>
      <c r="T360" s="7">
        <f>'1 prepared data'!S353</f>
        <v/>
      </c>
      <c r="U360" s="7">
        <f>'1 prepared data'!T353</f>
        <v/>
      </c>
      <c r="V360" s="8">
        <f>$AC$12+D360*$AC$13+E360*$AC$14+F360*$AC$15+G360*$AC$16+H360*$AC$17+I360*$AC$18+J360*$AC$19+K360*$AC$20+L360*$AC$21+M360*$AC$22+N360*$AC$23+O360*$AC$24+P360*$AC$25+Q360*$AC$26+R360*$AC$27+S360*$AC$28+T360*$AC$29+U360*$AC$30</f>
        <v/>
      </c>
      <c r="W360" s="8">
        <f>1/(1+EXP(-V360))</f>
        <v/>
      </c>
      <c r="X360" s="9">
        <f>-IF(C360=1,LN(W360),LN(1-W360))</f>
        <v/>
      </c>
      <c r="Y360" s="10">
        <f>IF(W360&gt;$AC$34,1,0)</f>
        <v/>
      </c>
      <c r="Z360">
        <f>IF(Y360=C360,1,0)</f>
        <v/>
      </c>
    </row>
    <row r="361">
      <c r="A361">
        <f>'1 prepared data'!A354</f>
        <v/>
      </c>
      <c r="B361" s="5">
        <f>'1 prepared data'!U354</f>
        <v/>
      </c>
      <c r="C361">
        <f>'1 prepared data'!B354</f>
        <v/>
      </c>
      <c r="D361" s="7">
        <f>'1 prepared data'!C354</f>
        <v/>
      </c>
      <c r="E361" s="7">
        <f>'1 prepared data'!D354</f>
        <v/>
      </c>
      <c r="F361" s="7">
        <f>'1 prepared data'!E354</f>
        <v/>
      </c>
      <c r="G361" s="7">
        <f>'1 prepared data'!F354</f>
        <v/>
      </c>
      <c r="H361" s="7">
        <f>'1 prepared data'!G354</f>
        <v/>
      </c>
      <c r="I361" s="7">
        <f>'1 prepared data'!H354</f>
        <v/>
      </c>
      <c r="J361" s="7">
        <f>'1 prepared data'!I354</f>
        <v/>
      </c>
      <c r="K361" s="7">
        <f>'1 prepared data'!J354</f>
        <v/>
      </c>
      <c r="L361" s="7">
        <f>'1 prepared data'!K354</f>
        <v/>
      </c>
      <c r="M361" s="7">
        <f>'1 prepared data'!L354</f>
        <v/>
      </c>
      <c r="N361" s="7">
        <f>'1 prepared data'!M354</f>
        <v/>
      </c>
      <c r="O361" s="7">
        <f>'1 prepared data'!N354</f>
        <v/>
      </c>
      <c r="P361" s="7">
        <f>'1 prepared data'!O354</f>
        <v/>
      </c>
      <c r="Q361" s="7">
        <f>'1 prepared data'!P354</f>
        <v/>
      </c>
      <c r="R361" s="7">
        <f>'1 prepared data'!Q354</f>
        <v/>
      </c>
      <c r="S361" s="7">
        <f>'1 prepared data'!R354</f>
        <v/>
      </c>
      <c r="T361" s="7">
        <f>'1 prepared data'!S354</f>
        <v/>
      </c>
      <c r="U361" s="7">
        <f>'1 prepared data'!T354</f>
        <v/>
      </c>
      <c r="V361" s="8">
        <f>$AC$12+D361*$AC$13+E361*$AC$14+F361*$AC$15+G361*$AC$16+H361*$AC$17+I361*$AC$18+J361*$AC$19+K361*$AC$20+L361*$AC$21+M361*$AC$22+N361*$AC$23+O361*$AC$24+P361*$AC$25+Q361*$AC$26+R361*$AC$27+S361*$AC$28+T361*$AC$29+U361*$AC$30</f>
        <v/>
      </c>
      <c r="W361" s="8">
        <f>1/(1+EXP(-V361))</f>
        <v/>
      </c>
      <c r="X361" s="9">
        <f>-IF(C361=1,LN(W361),LN(1-W361))</f>
        <v/>
      </c>
      <c r="Y361" s="10">
        <f>IF(W361&gt;$AC$34,1,0)</f>
        <v/>
      </c>
      <c r="Z361">
        <f>IF(Y361=C361,1,0)</f>
        <v/>
      </c>
    </row>
    <row r="362">
      <c r="A362">
        <f>'1 prepared data'!A355</f>
        <v/>
      </c>
      <c r="B362" s="5">
        <f>'1 prepared data'!U355</f>
        <v/>
      </c>
      <c r="C362">
        <f>'1 prepared data'!B355</f>
        <v/>
      </c>
      <c r="D362" s="7">
        <f>'1 prepared data'!C355</f>
        <v/>
      </c>
      <c r="E362" s="7">
        <f>'1 prepared data'!D355</f>
        <v/>
      </c>
      <c r="F362" s="7">
        <f>'1 prepared data'!E355</f>
        <v/>
      </c>
      <c r="G362" s="7">
        <f>'1 prepared data'!F355</f>
        <v/>
      </c>
      <c r="H362" s="7">
        <f>'1 prepared data'!G355</f>
        <v/>
      </c>
      <c r="I362" s="7">
        <f>'1 prepared data'!H355</f>
        <v/>
      </c>
      <c r="J362" s="7">
        <f>'1 prepared data'!I355</f>
        <v/>
      </c>
      <c r="K362" s="7">
        <f>'1 prepared data'!J355</f>
        <v/>
      </c>
      <c r="L362" s="7">
        <f>'1 prepared data'!K355</f>
        <v/>
      </c>
      <c r="M362" s="7">
        <f>'1 prepared data'!L355</f>
        <v/>
      </c>
      <c r="N362" s="7">
        <f>'1 prepared data'!M355</f>
        <v/>
      </c>
      <c r="O362" s="7">
        <f>'1 prepared data'!N355</f>
        <v/>
      </c>
      <c r="P362" s="7">
        <f>'1 prepared data'!O355</f>
        <v/>
      </c>
      <c r="Q362" s="7">
        <f>'1 prepared data'!P355</f>
        <v/>
      </c>
      <c r="R362" s="7">
        <f>'1 prepared data'!Q355</f>
        <v/>
      </c>
      <c r="S362" s="7">
        <f>'1 prepared data'!R355</f>
        <v/>
      </c>
      <c r="T362" s="7">
        <f>'1 prepared data'!S355</f>
        <v/>
      </c>
      <c r="U362" s="7">
        <f>'1 prepared data'!T355</f>
        <v/>
      </c>
      <c r="V362" s="8">
        <f>$AC$12+D362*$AC$13+E362*$AC$14+F362*$AC$15+G362*$AC$16+H362*$AC$17+I362*$AC$18+J362*$AC$19+K362*$AC$20+L362*$AC$21+M362*$AC$22+N362*$AC$23+O362*$AC$24+P362*$AC$25+Q362*$AC$26+R362*$AC$27+S362*$AC$28+T362*$AC$29+U362*$AC$30</f>
        <v/>
      </c>
      <c r="W362" s="8">
        <f>1/(1+EXP(-V362))</f>
        <v/>
      </c>
      <c r="X362" s="9">
        <f>-IF(C362=1,LN(W362),LN(1-W362))</f>
        <v/>
      </c>
      <c r="Y362" s="10">
        <f>IF(W362&gt;$AC$34,1,0)</f>
        <v/>
      </c>
      <c r="Z362">
        <f>IF(Y362=C362,1,0)</f>
        <v/>
      </c>
    </row>
    <row r="363">
      <c r="A363">
        <f>'1 prepared data'!A356</f>
        <v/>
      </c>
      <c r="B363" s="5">
        <f>'1 prepared data'!U356</f>
        <v/>
      </c>
      <c r="C363">
        <f>'1 prepared data'!B356</f>
        <v/>
      </c>
      <c r="D363" s="7">
        <f>'1 prepared data'!C356</f>
        <v/>
      </c>
      <c r="E363" s="7">
        <f>'1 prepared data'!D356</f>
        <v/>
      </c>
      <c r="F363" s="7">
        <f>'1 prepared data'!E356</f>
        <v/>
      </c>
      <c r="G363" s="7">
        <f>'1 prepared data'!F356</f>
        <v/>
      </c>
      <c r="H363" s="7">
        <f>'1 prepared data'!G356</f>
        <v/>
      </c>
      <c r="I363" s="7">
        <f>'1 prepared data'!H356</f>
        <v/>
      </c>
      <c r="J363" s="7">
        <f>'1 prepared data'!I356</f>
        <v/>
      </c>
      <c r="K363" s="7">
        <f>'1 prepared data'!J356</f>
        <v/>
      </c>
      <c r="L363" s="7">
        <f>'1 prepared data'!K356</f>
        <v/>
      </c>
      <c r="M363" s="7">
        <f>'1 prepared data'!L356</f>
        <v/>
      </c>
      <c r="N363" s="7">
        <f>'1 prepared data'!M356</f>
        <v/>
      </c>
      <c r="O363" s="7">
        <f>'1 prepared data'!N356</f>
        <v/>
      </c>
      <c r="P363" s="7">
        <f>'1 prepared data'!O356</f>
        <v/>
      </c>
      <c r="Q363" s="7">
        <f>'1 prepared data'!P356</f>
        <v/>
      </c>
      <c r="R363" s="7">
        <f>'1 prepared data'!Q356</f>
        <v/>
      </c>
      <c r="S363" s="7">
        <f>'1 prepared data'!R356</f>
        <v/>
      </c>
      <c r="T363" s="7">
        <f>'1 prepared data'!S356</f>
        <v/>
      </c>
      <c r="U363" s="7">
        <f>'1 prepared data'!T356</f>
        <v/>
      </c>
      <c r="V363" s="8">
        <f>$AC$12+D363*$AC$13+E363*$AC$14+F363*$AC$15+G363*$AC$16+H363*$AC$17+I363*$AC$18+J363*$AC$19+K363*$AC$20+L363*$AC$21+M363*$AC$22+N363*$AC$23+O363*$AC$24+P363*$AC$25+Q363*$AC$26+R363*$AC$27+S363*$AC$28+T363*$AC$29+U363*$AC$30</f>
        <v/>
      </c>
      <c r="W363" s="8">
        <f>1/(1+EXP(-V363))</f>
        <v/>
      </c>
      <c r="X363" s="9">
        <f>-IF(C363=1,LN(W363),LN(1-W363))</f>
        <v/>
      </c>
      <c r="Y363" s="10">
        <f>IF(W363&gt;$AC$34,1,0)</f>
        <v/>
      </c>
      <c r="Z363">
        <f>IF(Y363=C363,1,0)</f>
        <v/>
      </c>
    </row>
    <row r="364">
      <c r="A364">
        <f>'1 prepared data'!A357</f>
        <v/>
      </c>
      <c r="B364" s="5">
        <f>'1 prepared data'!U357</f>
        <v/>
      </c>
      <c r="C364">
        <f>'1 prepared data'!B357</f>
        <v/>
      </c>
      <c r="D364" s="7">
        <f>'1 prepared data'!C357</f>
        <v/>
      </c>
      <c r="E364" s="7">
        <f>'1 prepared data'!D357</f>
        <v/>
      </c>
      <c r="F364" s="7">
        <f>'1 prepared data'!E357</f>
        <v/>
      </c>
      <c r="G364" s="7">
        <f>'1 prepared data'!F357</f>
        <v/>
      </c>
      <c r="H364" s="7">
        <f>'1 prepared data'!G357</f>
        <v/>
      </c>
      <c r="I364" s="7">
        <f>'1 prepared data'!H357</f>
        <v/>
      </c>
      <c r="J364" s="7">
        <f>'1 prepared data'!I357</f>
        <v/>
      </c>
      <c r="K364" s="7">
        <f>'1 prepared data'!J357</f>
        <v/>
      </c>
      <c r="L364" s="7">
        <f>'1 prepared data'!K357</f>
        <v/>
      </c>
      <c r="M364" s="7">
        <f>'1 prepared data'!L357</f>
        <v/>
      </c>
      <c r="N364" s="7">
        <f>'1 prepared data'!M357</f>
        <v/>
      </c>
      <c r="O364" s="7">
        <f>'1 prepared data'!N357</f>
        <v/>
      </c>
      <c r="P364" s="7">
        <f>'1 prepared data'!O357</f>
        <v/>
      </c>
      <c r="Q364" s="7">
        <f>'1 prepared data'!P357</f>
        <v/>
      </c>
      <c r="R364" s="7">
        <f>'1 prepared data'!Q357</f>
        <v/>
      </c>
      <c r="S364" s="7">
        <f>'1 prepared data'!R357</f>
        <v/>
      </c>
      <c r="T364" s="7">
        <f>'1 prepared data'!S357</f>
        <v/>
      </c>
      <c r="U364" s="7">
        <f>'1 prepared data'!T357</f>
        <v/>
      </c>
      <c r="V364" s="8">
        <f>$AC$12+D364*$AC$13+E364*$AC$14+F364*$AC$15+G364*$AC$16+H364*$AC$17+I364*$AC$18+J364*$AC$19+K364*$AC$20+L364*$AC$21+M364*$AC$22+N364*$AC$23+O364*$AC$24+P364*$AC$25+Q364*$AC$26+R364*$AC$27+S364*$AC$28+T364*$AC$29+U364*$AC$30</f>
        <v/>
      </c>
      <c r="W364" s="8">
        <f>1/(1+EXP(-V364))</f>
        <v/>
      </c>
      <c r="X364" s="9">
        <f>-IF(C364=1,LN(W364),LN(1-W364))</f>
        <v/>
      </c>
      <c r="Y364" s="10">
        <f>IF(W364&gt;$AC$34,1,0)</f>
        <v/>
      </c>
      <c r="Z364">
        <f>IF(Y364=C364,1,0)</f>
        <v/>
      </c>
    </row>
    <row r="365">
      <c r="A365">
        <f>'1 prepared data'!A358</f>
        <v/>
      </c>
      <c r="B365" s="5">
        <f>'1 prepared data'!U358</f>
        <v/>
      </c>
      <c r="C365">
        <f>'1 prepared data'!B358</f>
        <v/>
      </c>
      <c r="D365" s="7">
        <f>'1 prepared data'!C358</f>
        <v/>
      </c>
      <c r="E365" s="7">
        <f>'1 prepared data'!D358</f>
        <v/>
      </c>
      <c r="F365" s="7">
        <f>'1 prepared data'!E358</f>
        <v/>
      </c>
      <c r="G365" s="7">
        <f>'1 prepared data'!F358</f>
        <v/>
      </c>
      <c r="H365" s="7">
        <f>'1 prepared data'!G358</f>
        <v/>
      </c>
      <c r="I365" s="7">
        <f>'1 prepared data'!H358</f>
        <v/>
      </c>
      <c r="J365" s="7">
        <f>'1 prepared data'!I358</f>
        <v/>
      </c>
      <c r="K365" s="7">
        <f>'1 prepared data'!J358</f>
        <v/>
      </c>
      <c r="L365" s="7">
        <f>'1 prepared data'!K358</f>
        <v/>
      </c>
      <c r="M365" s="7">
        <f>'1 prepared data'!L358</f>
        <v/>
      </c>
      <c r="N365" s="7">
        <f>'1 prepared data'!M358</f>
        <v/>
      </c>
      <c r="O365" s="7">
        <f>'1 prepared data'!N358</f>
        <v/>
      </c>
      <c r="P365" s="7">
        <f>'1 prepared data'!O358</f>
        <v/>
      </c>
      <c r="Q365" s="7">
        <f>'1 prepared data'!P358</f>
        <v/>
      </c>
      <c r="R365" s="7">
        <f>'1 prepared data'!Q358</f>
        <v/>
      </c>
      <c r="S365" s="7">
        <f>'1 prepared data'!R358</f>
        <v/>
      </c>
      <c r="T365" s="7">
        <f>'1 prepared data'!S358</f>
        <v/>
      </c>
      <c r="U365" s="7">
        <f>'1 prepared data'!T358</f>
        <v/>
      </c>
      <c r="V365" s="8">
        <f>$AC$12+D365*$AC$13+E365*$AC$14+F365*$AC$15+G365*$AC$16+H365*$AC$17+I365*$AC$18+J365*$AC$19+K365*$AC$20+L365*$AC$21+M365*$AC$22+N365*$AC$23+O365*$AC$24+P365*$AC$25+Q365*$AC$26+R365*$AC$27+S365*$AC$28+T365*$AC$29+U365*$AC$30</f>
        <v/>
      </c>
      <c r="W365" s="8">
        <f>1/(1+EXP(-V365))</f>
        <v/>
      </c>
      <c r="X365" s="9">
        <f>-IF(C365=1,LN(W365),LN(1-W365))</f>
        <v/>
      </c>
      <c r="Y365" s="10">
        <f>IF(W365&gt;$AC$34,1,0)</f>
        <v/>
      </c>
      <c r="Z365">
        <f>IF(Y365=C365,1,0)</f>
        <v/>
      </c>
    </row>
    <row r="366">
      <c r="A366">
        <f>'1 prepared data'!A359</f>
        <v/>
      </c>
      <c r="B366" s="5">
        <f>'1 prepared data'!U359</f>
        <v/>
      </c>
      <c r="C366">
        <f>'1 prepared data'!B359</f>
        <v/>
      </c>
      <c r="D366" s="7">
        <f>'1 prepared data'!C359</f>
        <v/>
      </c>
      <c r="E366" s="7">
        <f>'1 prepared data'!D359</f>
        <v/>
      </c>
      <c r="F366" s="7">
        <f>'1 prepared data'!E359</f>
        <v/>
      </c>
      <c r="G366" s="7">
        <f>'1 prepared data'!F359</f>
        <v/>
      </c>
      <c r="H366" s="7">
        <f>'1 prepared data'!G359</f>
        <v/>
      </c>
      <c r="I366" s="7">
        <f>'1 prepared data'!H359</f>
        <v/>
      </c>
      <c r="J366" s="7">
        <f>'1 prepared data'!I359</f>
        <v/>
      </c>
      <c r="K366" s="7">
        <f>'1 prepared data'!J359</f>
        <v/>
      </c>
      <c r="L366" s="7">
        <f>'1 prepared data'!K359</f>
        <v/>
      </c>
      <c r="M366" s="7">
        <f>'1 prepared data'!L359</f>
        <v/>
      </c>
      <c r="N366" s="7">
        <f>'1 prepared data'!M359</f>
        <v/>
      </c>
      <c r="O366" s="7">
        <f>'1 prepared data'!N359</f>
        <v/>
      </c>
      <c r="P366" s="7">
        <f>'1 prepared data'!O359</f>
        <v/>
      </c>
      <c r="Q366" s="7">
        <f>'1 prepared data'!P359</f>
        <v/>
      </c>
      <c r="R366" s="7">
        <f>'1 prepared data'!Q359</f>
        <v/>
      </c>
      <c r="S366" s="7">
        <f>'1 prepared data'!R359</f>
        <v/>
      </c>
      <c r="T366" s="7">
        <f>'1 prepared data'!S359</f>
        <v/>
      </c>
      <c r="U366" s="7">
        <f>'1 prepared data'!T359</f>
        <v/>
      </c>
      <c r="V366" s="8">
        <f>$AC$12+D366*$AC$13+E366*$AC$14+F366*$AC$15+G366*$AC$16+H366*$AC$17+I366*$AC$18+J366*$AC$19+K366*$AC$20+L366*$AC$21+M366*$AC$22+N366*$AC$23+O366*$AC$24+P366*$AC$25+Q366*$AC$26+R366*$AC$27+S366*$AC$28+T366*$AC$29+U366*$AC$30</f>
        <v/>
      </c>
      <c r="W366" s="8">
        <f>1/(1+EXP(-V366))</f>
        <v/>
      </c>
      <c r="X366" s="9">
        <f>-IF(C366=1,LN(W366),LN(1-W366))</f>
        <v/>
      </c>
      <c r="Y366" s="10">
        <f>IF(W366&gt;$AC$34,1,0)</f>
        <v/>
      </c>
      <c r="Z366">
        <f>IF(Y366=C366,1,0)</f>
        <v/>
      </c>
    </row>
    <row r="367">
      <c r="A367">
        <f>'1 prepared data'!A360</f>
        <v/>
      </c>
      <c r="B367" s="5">
        <f>'1 prepared data'!U360</f>
        <v/>
      </c>
      <c r="C367">
        <f>'1 prepared data'!B360</f>
        <v/>
      </c>
      <c r="D367" s="7">
        <f>'1 prepared data'!C360</f>
        <v/>
      </c>
      <c r="E367" s="7">
        <f>'1 prepared data'!D360</f>
        <v/>
      </c>
      <c r="F367" s="7">
        <f>'1 prepared data'!E360</f>
        <v/>
      </c>
      <c r="G367" s="7">
        <f>'1 prepared data'!F360</f>
        <v/>
      </c>
      <c r="H367" s="7">
        <f>'1 prepared data'!G360</f>
        <v/>
      </c>
      <c r="I367" s="7">
        <f>'1 prepared data'!H360</f>
        <v/>
      </c>
      <c r="J367" s="7">
        <f>'1 prepared data'!I360</f>
        <v/>
      </c>
      <c r="K367" s="7">
        <f>'1 prepared data'!J360</f>
        <v/>
      </c>
      <c r="L367" s="7">
        <f>'1 prepared data'!K360</f>
        <v/>
      </c>
      <c r="M367" s="7">
        <f>'1 prepared data'!L360</f>
        <v/>
      </c>
      <c r="N367" s="7">
        <f>'1 prepared data'!M360</f>
        <v/>
      </c>
      <c r="O367" s="7">
        <f>'1 prepared data'!N360</f>
        <v/>
      </c>
      <c r="P367" s="7">
        <f>'1 prepared data'!O360</f>
        <v/>
      </c>
      <c r="Q367" s="7">
        <f>'1 prepared data'!P360</f>
        <v/>
      </c>
      <c r="R367" s="7">
        <f>'1 prepared data'!Q360</f>
        <v/>
      </c>
      <c r="S367" s="7">
        <f>'1 prepared data'!R360</f>
        <v/>
      </c>
      <c r="T367" s="7">
        <f>'1 prepared data'!S360</f>
        <v/>
      </c>
      <c r="U367" s="7">
        <f>'1 prepared data'!T360</f>
        <v/>
      </c>
      <c r="V367" s="8">
        <f>$AC$12+D367*$AC$13+E367*$AC$14+F367*$AC$15+G367*$AC$16+H367*$AC$17+I367*$AC$18+J367*$AC$19+K367*$AC$20+L367*$AC$21+M367*$AC$22+N367*$AC$23+O367*$AC$24+P367*$AC$25+Q367*$AC$26+R367*$AC$27+S367*$AC$28+T367*$AC$29+U367*$AC$30</f>
        <v/>
      </c>
      <c r="W367" s="8">
        <f>1/(1+EXP(-V367))</f>
        <v/>
      </c>
      <c r="X367" s="9">
        <f>-IF(C367=1,LN(W367),LN(1-W367))</f>
        <v/>
      </c>
      <c r="Y367" s="10">
        <f>IF(W367&gt;$AC$34,1,0)</f>
        <v/>
      </c>
      <c r="Z367">
        <f>IF(Y367=C367,1,0)</f>
        <v/>
      </c>
    </row>
    <row r="368">
      <c r="A368">
        <f>'1 prepared data'!A361</f>
        <v/>
      </c>
      <c r="B368" s="5">
        <f>'1 prepared data'!U361</f>
        <v/>
      </c>
      <c r="C368">
        <f>'1 prepared data'!B361</f>
        <v/>
      </c>
      <c r="D368" s="7">
        <f>'1 prepared data'!C361</f>
        <v/>
      </c>
      <c r="E368" s="7">
        <f>'1 prepared data'!D361</f>
        <v/>
      </c>
      <c r="F368" s="7">
        <f>'1 prepared data'!E361</f>
        <v/>
      </c>
      <c r="G368" s="7">
        <f>'1 prepared data'!F361</f>
        <v/>
      </c>
      <c r="H368" s="7">
        <f>'1 prepared data'!G361</f>
        <v/>
      </c>
      <c r="I368" s="7">
        <f>'1 prepared data'!H361</f>
        <v/>
      </c>
      <c r="J368" s="7">
        <f>'1 prepared data'!I361</f>
        <v/>
      </c>
      <c r="K368" s="7">
        <f>'1 prepared data'!J361</f>
        <v/>
      </c>
      <c r="L368" s="7">
        <f>'1 prepared data'!K361</f>
        <v/>
      </c>
      <c r="M368" s="7">
        <f>'1 prepared data'!L361</f>
        <v/>
      </c>
      <c r="N368" s="7">
        <f>'1 prepared data'!M361</f>
        <v/>
      </c>
      <c r="O368" s="7">
        <f>'1 prepared data'!N361</f>
        <v/>
      </c>
      <c r="P368" s="7">
        <f>'1 prepared data'!O361</f>
        <v/>
      </c>
      <c r="Q368" s="7">
        <f>'1 prepared data'!P361</f>
        <v/>
      </c>
      <c r="R368" s="7">
        <f>'1 prepared data'!Q361</f>
        <v/>
      </c>
      <c r="S368" s="7">
        <f>'1 prepared data'!R361</f>
        <v/>
      </c>
      <c r="T368" s="7">
        <f>'1 prepared data'!S361</f>
        <v/>
      </c>
      <c r="U368" s="7">
        <f>'1 prepared data'!T361</f>
        <v/>
      </c>
      <c r="V368" s="8">
        <f>$AC$12+D368*$AC$13+E368*$AC$14+F368*$AC$15+G368*$AC$16+H368*$AC$17+I368*$AC$18+J368*$AC$19+K368*$AC$20+L368*$AC$21+M368*$AC$22+N368*$AC$23+O368*$AC$24+P368*$AC$25+Q368*$AC$26+R368*$AC$27+S368*$AC$28+T368*$AC$29+U368*$AC$30</f>
        <v/>
      </c>
      <c r="W368" s="8">
        <f>1/(1+EXP(-V368))</f>
        <v/>
      </c>
      <c r="X368" s="9">
        <f>-IF(C368=1,LN(W368),LN(1-W368))</f>
        <v/>
      </c>
      <c r="Y368" s="10">
        <f>IF(W368&gt;$AC$34,1,0)</f>
        <v/>
      </c>
      <c r="Z368">
        <f>IF(Y368=C368,1,0)</f>
        <v/>
      </c>
    </row>
    <row r="369">
      <c r="A369">
        <f>'1 prepared data'!A362</f>
        <v/>
      </c>
      <c r="B369" s="5">
        <f>'1 prepared data'!U362</f>
        <v/>
      </c>
      <c r="C369">
        <f>'1 prepared data'!B362</f>
        <v/>
      </c>
      <c r="D369" s="7">
        <f>'1 prepared data'!C362</f>
        <v/>
      </c>
      <c r="E369" s="7">
        <f>'1 prepared data'!D362</f>
        <v/>
      </c>
      <c r="F369" s="7">
        <f>'1 prepared data'!E362</f>
        <v/>
      </c>
      <c r="G369" s="7">
        <f>'1 prepared data'!F362</f>
        <v/>
      </c>
      <c r="H369" s="7">
        <f>'1 prepared data'!G362</f>
        <v/>
      </c>
      <c r="I369" s="7">
        <f>'1 prepared data'!H362</f>
        <v/>
      </c>
      <c r="J369" s="7">
        <f>'1 prepared data'!I362</f>
        <v/>
      </c>
      <c r="K369" s="7">
        <f>'1 prepared data'!J362</f>
        <v/>
      </c>
      <c r="L369" s="7">
        <f>'1 prepared data'!K362</f>
        <v/>
      </c>
      <c r="M369" s="7">
        <f>'1 prepared data'!L362</f>
        <v/>
      </c>
      <c r="N369" s="7">
        <f>'1 prepared data'!M362</f>
        <v/>
      </c>
      <c r="O369" s="7">
        <f>'1 prepared data'!N362</f>
        <v/>
      </c>
      <c r="P369" s="7">
        <f>'1 prepared data'!O362</f>
        <v/>
      </c>
      <c r="Q369" s="7">
        <f>'1 prepared data'!P362</f>
        <v/>
      </c>
      <c r="R369" s="7">
        <f>'1 prepared data'!Q362</f>
        <v/>
      </c>
      <c r="S369" s="7">
        <f>'1 prepared data'!R362</f>
        <v/>
      </c>
      <c r="T369" s="7">
        <f>'1 prepared data'!S362</f>
        <v/>
      </c>
      <c r="U369" s="7">
        <f>'1 prepared data'!T362</f>
        <v/>
      </c>
      <c r="V369" s="8">
        <f>$AC$12+D369*$AC$13+E369*$AC$14+F369*$AC$15+G369*$AC$16+H369*$AC$17+I369*$AC$18+J369*$AC$19+K369*$AC$20+L369*$AC$21+M369*$AC$22+N369*$AC$23+O369*$AC$24+P369*$AC$25+Q369*$AC$26+R369*$AC$27+S369*$AC$28+T369*$AC$29+U369*$AC$30</f>
        <v/>
      </c>
      <c r="W369" s="8">
        <f>1/(1+EXP(-V369))</f>
        <v/>
      </c>
      <c r="X369" s="9">
        <f>-IF(C369=1,LN(W369),LN(1-W369))</f>
        <v/>
      </c>
      <c r="Y369" s="10">
        <f>IF(W369&gt;$AC$34,1,0)</f>
        <v/>
      </c>
      <c r="Z369">
        <f>IF(Y369=C369,1,0)</f>
        <v/>
      </c>
    </row>
    <row r="370">
      <c r="A370">
        <f>'1 prepared data'!A363</f>
        <v/>
      </c>
      <c r="B370" s="5">
        <f>'1 prepared data'!U363</f>
        <v/>
      </c>
      <c r="C370">
        <f>'1 prepared data'!B363</f>
        <v/>
      </c>
      <c r="D370" s="7">
        <f>'1 prepared data'!C363</f>
        <v/>
      </c>
      <c r="E370" s="7">
        <f>'1 prepared data'!D363</f>
        <v/>
      </c>
      <c r="F370" s="7">
        <f>'1 prepared data'!E363</f>
        <v/>
      </c>
      <c r="G370" s="7">
        <f>'1 prepared data'!F363</f>
        <v/>
      </c>
      <c r="H370" s="7">
        <f>'1 prepared data'!G363</f>
        <v/>
      </c>
      <c r="I370" s="7">
        <f>'1 prepared data'!H363</f>
        <v/>
      </c>
      <c r="J370" s="7">
        <f>'1 prepared data'!I363</f>
        <v/>
      </c>
      <c r="K370" s="7">
        <f>'1 prepared data'!J363</f>
        <v/>
      </c>
      <c r="L370" s="7">
        <f>'1 prepared data'!K363</f>
        <v/>
      </c>
      <c r="M370" s="7">
        <f>'1 prepared data'!L363</f>
        <v/>
      </c>
      <c r="N370" s="7">
        <f>'1 prepared data'!M363</f>
        <v/>
      </c>
      <c r="O370" s="7">
        <f>'1 prepared data'!N363</f>
        <v/>
      </c>
      <c r="P370" s="7">
        <f>'1 prepared data'!O363</f>
        <v/>
      </c>
      <c r="Q370" s="7">
        <f>'1 prepared data'!P363</f>
        <v/>
      </c>
      <c r="R370" s="7">
        <f>'1 prepared data'!Q363</f>
        <v/>
      </c>
      <c r="S370" s="7">
        <f>'1 prepared data'!R363</f>
        <v/>
      </c>
      <c r="T370" s="7">
        <f>'1 prepared data'!S363</f>
        <v/>
      </c>
      <c r="U370" s="7">
        <f>'1 prepared data'!T363</f>
        <v/>
      </c>
      <c r="V370" s="8">
        <f>$AC$12+D370*$AC$13+E370*$AC$14+F370*$AC$15+G370*$AC$16+H370*$AC$17+I370*$AC$18+J370*$AC$19+K370*$AC$20+L370*$AC$21+M370*$AC$22+N370*$AC$23+O370*$AC$24+P370*$AC$25+Q370*$AC$26+R370*$AC$27+S370*$AC$28+T370*$AC$29+U370*$AC$30</f>
        <v/>
      </c>
      <c r="W370" s="8">
        <f>1/(1+EXP(-V370))</f>
        <v/>
      </c>
      <c r="X370" s="9">
        <f>-IF(C370=1,LN(W370),LN(1-W370))</f>
        <v/>
      </c>
      <c r="Y370" s="10">
        <f>IF(W370&gt;$AC$34,1,0)</f>
        <v/>
      </c>
      <c r="Z370">
        <f>IF(Y370=C370,1,0)</f>
        <v/>
      </c>
    </row>
    <row r="371">
      <c r="A371">
        <f>'1 prepared data'!A364</f>
        <v/>
      </c>
      <c r="B371" s="5">
        <f>'1 prepared data'!U364</f>
        <v/>
      </c>
      <c r="C371">
        <f>'1 prepared data'!B364</f>
        <v/>
      </c>
      <c r="D371" s="7">
        <f>'1 prepared data'!C364</f>
        <v/>
      </c>
      <c r="E371" s="7">
        <f>'1 prepared data'!D364</f>
        <v/>
      </c>
      <c r="F371" s="7">
        <f>'1 prepared data'!E364</f>
        <v/>
      </c>
      <c r="G371" s="7">
        <f>'1 prepared data'!F364</f>
        <v/>
      </c>
      <c r="H371" s="7">
        <f>'1 prepared data'!G364</f>
        <v/>
      </c>
      <c r="I371" s="7">
        <f>'1 prepared data'!H364</f>
        <v/>
      </c>
      <c r="J371" s="7">
        <f>'1 prepared data'!I364</f>
        <v/>
      </c>
      <c r="K371" s="7">
        <f>'1 prepared data'!J364</f>
        <v/>
      </c>
      <c r="L371" s="7">
        <f>'1 prepared data'!K364</f>
        <v/>
      </c>
      <c r="M371" s="7">
        <f>'1 prepared data'!L364</f>
        <v/>
      </c>
      <c r="N371" s="7">
        <f>'1 prepared data'!M364</f>
        <v/>
      </c>
      <c r="O371" s="7">
        <f>'1 prepared data'!N364</f>
        <v/>
      </c>
      <c r="P371" s="7">
        <f>'1 prepared data'!O364</f>
        <v/>
      </c>
      <c r="Q371" s="7">
        <f>'1 prepared data'!P364</f>
        <v/>
      </c>
      <c r="R371" s="7">
        <f>'1 prepared data'!Q364</f>
        <v/>
      </c>
      <c r="S371" s="7">
        <f>'1 prepared data'!R364</f>
        <v/>
      </c>
      <c r="T371" s="7">
        <f>'1 prepared data'!S364</f>
        <v/>
      </c>
      <c r="U371" s="7">
        <f>'1 prepared data'!T364</f>
        <v/>
      </c>
      <c r="V371" s="8">
        <f>$AC$12+D371*$AC$13+E371*$AC$14+F371*$AC$15+G371*$AC$16+H371*$AC$17+I371*$AC$18+J371*$AC$19+K371*$AC$20+L371*$AC$21+M371*$AC$22+N371*$AC$23+O371*$AC$24+P371*$AC$25+Q371*$AC$26+R371*$AC$27+S371*$AC$28+T371*$AC$29+U371*$AC$30</f>
        <v/>
      </c>
      <c r="W371" s="8">
        <f>1/(1+EXP(-V371))</f>
        <v/>
      </c>
      <c r="X371" s="9">
        <f>-IF(C371=1,LN(W371),LN(1-W371))</f>
        <v/>
      </c>
      <c r="Y371" s="10">
        <f>IF(W371&gt;$AC$34,1,0)</f>
        <v/>
      </c>
      <c r="Z371">
        <f>IF(Y371=C371,1,0)</f>
        <v/>
      </c>
    </row>
    <row r="372">
      <c r="A372">
        <f>'1 prepared data'!A365</f>
        <v/>
      </c>
      <c r="B372" s="5">
        <f>'1 prepared data'!U365</f>
        <v/>
      </c>
      <c r="C372">
        <f>'1 prepared data'!B365</f>
        <v/>
      </c>
      <c r="D372" s="7">
        <f>'1 prepared data'!C365</f>
        <v/>
      </c>
      <c r="E372" s="7">
        <f>'1 prepared data'!D365</f>
        <v/>
      </c>
      <c r="F372" s="7">
        <f>'1 prepared data'!E365</f>
        <v/>
      </c>
      <c r="G372" s="7">
        <f>'1 prepared data'!F365</f>
        <v/>
      </c>
      <c r="H372" s="7">
        <f>'1 prepared data'!G365</f>
        <v/>
      </c>
      <c r="I372" s="7">
        <f>'1 prepared data'!H365</f>
        <v/>
      </c>
      <c r="J372" s="7">
        <f>'1 prepared data'!I365</f>
        <v/>
      </c>
      <c r="K372" s="7">
        <f>'1 prepared data'!J365</f>
        <v/>
      </c>
      <c r="L372" s="7">
        <f>'1 prepared data'!K365</f>
        <v/>
      </c>
      <c r="M372" s="7">
        <f>'1 prepared data'!L365</f>
        <v/>
      </c>
      <c r="N372" s="7">
        <f>'1 prepared data'!M365</f>
        <v/>
      </c>
      <c r="O372" s="7">
        <f>'1 prepared data'!N365</f>
        <v/>
      </c>
      <c r="P372" s="7">
        <f>'1 prepared data'!O365</f>
        <v/>
      </c>
      <c r="Q372" s="7">
        <f>'1 prepared data'!P365</f>
        <v/>
      </c>
      <c r="R372" s="7">
        <f>'1 prepared data'!Q365</f>
        <v/>
      </c>
      <c r="S372" s="7">
        <f>'1 prepared data'!R365</f>
        <v/>
      </c>
      <c r="T372" s="7">
        <f>'1 prepared data'!S365</f>
        <v/>
      </c>
      <c r="U372" s="7">
        <f>'1 prepared data'!T365</f>
        <v/>
      </c>
      <c r="V372" s="8">
        <f>$AC$12+D372*$AC$13+E372*$AC$14+F372*$AC$15+G372*$AC$16+H372*$AC$17+I372*$AC$18+J372*$AC$19+K372*$AC$20+L372*$AC$21+M372*$AC$22+N372*$AC$23+O372*$AC$24+P372*$AC$25+Q372*$AC$26+R372*$AC$27+S372*$AC$28+T372*$AC$29+U372*$AC$30</f>
        <v/>
      </c>
      <c r="W372" s="8">
        <f>1/(1+EXP(-V372))</f>
        <v/>
      </c>
      <c r="X372" s="9">
        <f>-IF(C372=1,LN(W372),LN(1-W372))</f>
        <v/>
      </c>
      <c r="Y372" s="10">
        <f>IF(W372&gt;$AC$34,1,0)</f>
        <v/>
      </c>
      <c r="Z372">
        <f>IF(Y372=C372,1,0)</f>
        <v/>
      </c>
    </row>
    <row r="373">
      <c r="A373">
        <f>'1 prepared data'!A366</f>
        <v/>
      </c>
      <c r="B373" s="5">
        <f>'1 prepared data'!U366</f>
        <v/>
      </c>
      <c r="C373">
        <f>'1 prepared data'!B366</f>
        <v/>
      </c>
      <c r="D373" s="7">
        <f>'1 prepared data'!C366</f>
        <v/>
      </c>
      <c r="E373" s="7">
        <f>'1 prepared data'!D366</f>
        <v/>
      </c>
      <c r="F373" s="7">
        <f>'1 prepared data'!E366</f>
        <v/>
      </c>
      <c r="G373" s="7">
        <f>'1 prepared data'!F366</f>
        <v/>
      </c>
      <c r="H373" s="7">
        <f>'1 prepared data'!G366</f>
        <v/>
      </c>
      <c r="I373" s="7">
        <f>'1 prepared data'!H366</f>
        <v/>
      </c>
      <c r="J373" s="7">
        <f>'1 prepared data'!I366</f>
        <v/>
      </c>
      <c r="K373" s="7">
        <f>'1 prepared data'!J366</f>
        <v/>
      </c>
      <c r="L373" s="7">
        <f>'1 prepared data'!K366</f>
        <v/>
      </c>
      <c r="M373" s="7">
        <f>'1 prepared data'!L366</f>
        <v/>
      </c>
      <c r="N373" s="7">
        <f>'1 prepared data'!M366</f>
        <v/>
      </c>
      <c r="O373" s="7">
        <f>'1 prepared data'!N366</f>
        <v/>
      </c>
      <c r="P373" s="7">
        <f>'1 prepared data'!O366</f>
        <v/>
      </c>
      <c r="Q373" s="7">
        <f>'1 prepared data'!P366</f>
        <v/>
      </c>
      <c r="R373" s="7">
        <f>'1 prepared data'!Q366</f>
        <v/>
      </c>
      <c r="S373" s="7">
        <f>'1 prepared data'!R366</f>
        <v/>
      </c>
      <c r="T373" s="7">
        <f>'1 prepared data'!S366</f>
        <v/>
      </c>
      <c r="U373" s="7">
        <f>'1 prepared data'!T366</f>
        <v/>
      </c>
      <c r="V373" s="8">
        <f>$AC$12+D373*$AC$13+E373*$AC$14+F373*$AC$15+G373*$AC$16+H373*$AC$17+I373*$AC$18+J373*$AC$19+K373*$AC$20+L373*$AC$21+M373*$AC$22+N373*$AC$23+O373*$AC$24+P373*$AC$25+Q373*$AC$26+R373*$AC$27+S373*$AC$28+T373*$AC$29+U373*$AC$30</f>
        <v/>
      </c>
      <c r="W373" s="8">
        <f>1/(1+EXP(-V373))</f>
        <v/>
      </c>
      <c r="X373" s="9">
        <f>-IF(C373=1,LN(W373),LN(1-W373))</f>
        <v/>
      </c>
      <c r="Y373" s="10">
        <f>IF(W373&gt;$AC$34,1,0)</f>
        <v/>
      </c>
      <c r="Z373">
        <f>IF(Y373=C373,1,0)</f>
        <v/>
      </c>
    </row>
    <row r="374">
      <c r="A374">
        <f>'1 prepared data'!A367</f>
        <v/>
      </c>
      <c r="B374" s="5">
        <f>'1 prepared data'!U367</f>
        <v/>
      </c>
      <c r="C374">
        <f>'1 prepared data'!B367</f>
        <v/>
      </c>
      <c r="D374" s="7">
        <f>'1 prepared data'!C367</f>
        <v/>
      </c>
      <c r="E374" s="7">
        <f>'1 prepared data'!D367</f>
        <v/>
      </c>
      <c r="F374" s="7">
        <f>'1 prepared data'!E367</f>
        <v/>
      </c>
      <c r="G374" s="7">
        <f>'1 prepared data'!F367</f>
        <v/>
      </c>
      <c r="H374" s="7">
        <f>'1 prepared data'!G367</f>
        <v/>
      </c>
      <c r="I374" s="7">
        <f>'1 prepared data'!H367</f>
        <v/>
      </c>
      <c r="J374" s="7">
        <f>'1 prepared data'!I367</f>
        <v/>
      </c>
      <c r="K374" s="7">
        <f>'1 prepared data'!J367</f>
        <v/>
      </c>
      <c r="L374" s="7">
        <f>'1 prepared data'!K367</f>
        <v/>
      </c>
      <c r="M374" s="7">
        <f>'1 prepared data'!L367</f>
        <v/>
      </c>
      <c r="N374" s="7">
        <f>'1 prepared data'!M367</f>
        <v/>
      </c>
      <c r="O374" s="7">
        <f>'1 prepared data'!N367</f>
        <v/>
      </c>
      <c r="P374" s="7">
        <f>'1 prepared data'!O367</f>
        <v/>
      </c>
      <c r="Q374" s="7">
        <f>'1 prepared data'!P367</f>
        <v/>
      </c>
      <c r="R374" s="7">
        <f>'1 prepared data'!Q367</f>
        <v/>
      </c>
      <c r="S374" s="7">
        <f>'1 prepared data'!R367</f>
        <v/>
      </c>
      <c r="T374" s="7">
        <f>'1 prepared data'!S367</f>
        <v/>
      </c>
      <c r="U374" s="7">
        <f>'1 prepared data'!T367</f>
        <v/>
      </c>
      <c r="V374" s="8">
        <f>$AC$12+D374*$AC$13+E374*$AC$14+F374*$AC$15+G374*$AC$16+H374*$AC$17+I374*$AC$18+J374*$AC$19+K374*$AC$20+L374*$AC$21+M374*$AC$22+N374*$AC$23+O374*$AC$24+P374*$AC$25+Q374*$AC$26+R374*$AC$27+S374*$AC$28+T374*$AC$29+U374*$AC$30</f>
        <v/>
      </c>
      <c r="W374" s="8">
        <f>1/(1+EXP(-V374))</f>
        <v/>
      </c>
      <c r="X374" s="9">
        <f>-IF(C374=1,LN(W374),LN(1-W374))</f>
        <v/>
      </c>
      <c r="Y374" s="10">
        <f>IF(W374&gt;$AC$34,1,0)</f>
        <v/>
      </c>
      <c r="Z374">
        <f>IF(Y374=C374,1,0)</f>
        <v/>
      </c>
    </row>
    <row r="375">
      <c r="A375">
        <f>'1 prepared data'!A368</f>
        <v/>
      </c>
      <c r="B375" s="5">
        <f>'1 prepared data'!U368</f>
        <v/>
      </c>
      <c r="C375">
        <f>'1 prepared data'!B368</f>
        <v/>
      </c>
      <c r="D375" s="7">
        <f>'1 prepared data'!C368</f>
        <v/>
      </c>
      <c r="E375" s="7">
        <f>'1 prepared data'!D368</f>
        <v/>
      </c>
      <c r="F375" s="7">
        <f>'1 prepared data'!E368</f>
        <v/>
      </c>
      <c r="G375" s="7">
        <f>'1 prepared data'!F368</f>
        <v/>
      </c>
      <c r="H375" s="7">
        <f>'1 prepared data'!G368</f>
        <v/>
      </c>
      <c r="I375" s="7">
        <f>'1 prepared data'!H368</f>
        <v/>
      </c>
      <c r="J375" s="7">
        <f>'1 prepared data'!I368</f>
        <v/>
      </c>
      <c r="K375" s="7">
        <f>'1 prepared data'!J368</f>
        <v/>
      </c>
      <c r="L375" s="7">
        <f>'1 prepared data'!K368</f>
        <v/>
      </c>
      <c r="M375" s="7">
        <f>'1 prepared data'!L368</f>
        <v/>
      </c>
      <c r="N375" s="7">
        <f>'1 prepared data'!M368</f>
        <v/>
      </c>
      <c r="O375" s="7">
        <f>'1 prepared data'!N368</f>
        <v/>
      </c>
      <c r="P375" s="7">
        <f>'1 prepared data'!O368</f>
        <v/>
      </c>
      <c r="Q375" s="7">
        <f>'1 prepared data'!P368</f>
        <v/>
      </c>
      <c r="R375" s="7">
        <f>'1 prepared data'!Q368</f>
        <v/>
      </c>
      <c r="S375" s="7">
        <f>'1 prepared data'!R368</f>
        <v/>
      </c>
      <c r="T375" s="7">
        <f>'1 prepared data'!S368</f>
        <v/>
      </c>
      <c r="U375" s="7">
        <f>'1 prepared data'!T368</f>
        <v/>
      </c>
      <c r="V375" s="8">
        <f>$AC$12+D375*$AC$13+E375*$AC$14+F375*$AC$15+G375*$AC$16+H375*$AC$17+I375*$AC$18+J375*$AC$19+K375*$AC$20+L375*$AC$21+M375*$AC$22+N375*$AC$23+O375*$AC$24+P375*$AC$25+Q375*$AC$26+R375*$AC$27+S375*$AC$28+T375*$AC$29+U375*$AC$30</f>
        <v/>
      </c>
      <c r="W375" s="8">
        <f>1/(1+EXP(-V375))</f>
        <v/>
      </c>
      <c r="X375" s="9">
        <f>-IF(C375=1,LN(W375),LN(1-W375))</f>
        <v/>
      </c>
      <c r="Y375" s="10">
        <f>IF(W375&gt;$AC$34,1,0)</f>
        <v/>
      </c>
      <c r="Z375">
        <f>IF(Y375=C375,1,0)</f>
        <v/>
      </c>
    </row>
    <row r="376">
      <c r="A376">
        <f>'1 prepared data'!A369</f>
        <v/>
      </c>
      <c r="B376" s="5">
        <f>'1 prepared data'!U369</f>
        <v/>
      </c>
      <c r="C376">
        <f>'1 prepared data'!B369</f>
        <v/>
      </c>
      <c r="D376" s="7">
        <f>'1 prepared data'!C369</f>
        <v/>
      </c>
      <c r="E376" s="7">
        <f>'1 prepared data'!D369</f>
        <v/>
      </c>
      <c r="F376" s="7">
        <f>'1 prepared data'!E369</f>
        <v/>
      </c>
      <c r="G376" s="7">
        <f>'1 prepared data'!F369</f>
        <v/>
      </c>
      <c r="H376" s="7">
        <f>'1 prepared data'!G369</f>
        <v/>
      </c>
      <c r="I376" s="7">
        <f>'1 prepared data'!H369</f>
        <v/>
      </c>
      <c r="J376" s="7">
        <f>'1 prepared data'!I369</f>
        <v/>
      </c>
      <c r="K376" s="7">
        <f>'1 prepared data'!J369</f>
        <v/>
      </c>
      <c r="L376" s="7">
        <f>'1 prepared data'!K369</f>
        <v/>
      </c>
      <c r="M376" s="7">
        <f>'1 prepared data'!L369</f>
        <v/>
      </c>
      <c r="N376" s="7">
        <f>'1 prepared data'!M369</f>
        <v/>
      </c>
      <c r="O376" s="7">
        <f>'1 prepared data'!N369</f>
        <v/>
      </c>
      <c r="P376" s="7">
        <f>'1 prepared data'!O369</f>
        <v/>
      </c>
      <c r="Q376" s="7">
        <f>'1 prepared data'!P369</f>
        <v/>
      </c>
      <c r="R376" s="7">
        <f>'1 prepared data'!Q369</f>
        <v/>
      </c>
      <c r="S376" s="7">
        <f>'1 prepared data'!R369</f>
        <v/>
      </c>
      <c r="T376" s="7">
        <f>'1 prepared data'!S369</f>
        <v/>
      </c>
      <c r="U376" s="7">
        <f>'1 prepared data'!T369</f>
        <v/>
      </c>
      <c r="V376" s="8">
        <f>$AC$12+D376*$AC$13+E376*$AC$14+F376*$AC$15+G376*$AC$16+H376*$AC$17+I376*$AC$18+J376*$AC$19+K376*$AC$20+L376*$AC$21+M376*$AC$22+N376*$AC$23+O376*$AC$24+P376*$AC$25+Q376*$AC$26+R376*$AC$27+S376*$AC$28+T376*$AC$29+U376*$AC$30</f>
        <v/>
      </c>
      <c r="W376" s="8">
        <f>1/(1+EXP(-V376))</f>
        <v/>
      </c>
      <c r="X376" s="9">
        <f>-IF(C376=1,LN(W376),LN(1-W376))</f>
        <v/>
      </c>
      <c r="Y376" s="10">
        <f>IF(W376&gt;$AC$34,1,0)</f>
        <v/>
      </c>
      <c r="Z376">
        <f>IF(Y376=C376,1,0)</f>
        <v/>
      </c>
    </row>
    <row r="377">
      <c r="A377">
        <f>'1 prepared data'!A370</f>
        <v/>
      </c>
      <c r="B377" s="5">
        <f>'1 prepared data'!U370</f>
        <v/>
      </c>
      <c r="C377">
        <f>'1 prepared data'!B370</f>
        <v/>
      </c>
      <c r="D377" s="7">
        <f>'1 prepared data'!C370</f>
        <v/>
      </c>
      <c r="E377" s="7">
        <f>'1 prepared data'!D370</f>
        <v/>
      </c>
      <c r="F377" s="7">
        <f>'1 prepared data'!E370</f>
        <v/>
      </c>
      <c r="G377" s="7">
        <f>'1 prepared data'!F370</f>
        <v/>
      </c>
      <c r="H377" s="7">
        <f>'1 prepared data'!G370</f>
        <v/>
      </c>
      <c r="I377" s="7">
        <f>'1 prepared data'!H370</f>
        <v/>
      </c>
      <c r="J377" s="7">
        <f>'1 prepared data'!I370</f>
        <v/>
      </c>
      <c r="K377" s="7">
        <f>'1 prepared data'!J370</f>
        <v/>
      </c>
      <c r="L377" s="7">
        <f>'1 prepared data'!K370</f>
        <v/>
      </c>
      <c r="M377" s="7">
        <f>'1 prepared data'!L370</f>
        <v/>
      </c>
      <c r="N377" s="7">
        <f>'1 prepared data'!M370</f>
        <v/>
      </c>
      <c r="O377" s="7">
        <f>'1 prepared data'!N370</f>
        <v/>
      </c>
      <c r="P377" s="7">
        <f>'1 prepared data'!O370</f>
        <v/>
      </c>
      <c r="Q377" s="7">
        <f>'1 prepared data'!P370</f>
        <v/>
      </c>
      <c r="R377" s="7">
        <f>'1 prepared data'!Q370</f>
        <v/>
      </c>
      <c r="S377" s="7">
        <f>'1 prepared data'!R370</f>
        <v/>
      </c>
      <c r="T377" s="7">
        <f>'1 prepared data'!S370</f>
        <v/>
      </c>
      <c r="U377" s="7">
        <f>'1 prepared data'!T370</f>
        <v/>
      </c>
      <c r="V377" s="8">
        <f>$AC$12+D377*$AC$13+E377*$AC$14+F377*$AC$15+G377*$AC$16+H377*$AC$17+I377*$AC$18+J377*$AC$19+K377*$AC$20+L377*$AC$21+M377*$AC$22+N377*$AC$23+O377*$AC$24+P377*$AC$25+Q377*$AC$26+R377*$AC$27+S377*$AC$28+T377*$AC$29+U377*$AC$30</f>
        <v/>
      </c>
      <c r="W377" s="8">
        <f>1/(1+EXP(-V377))</f>
        <v/>
      </c>
      <c r="X377" s="9">
        <f>-IF(C377=1,LN(W377),LN(1-W377))</f>
        <v/>
      </c>
      <c r="Y377" s="10">
        <f>IF(W377&gt;$AC$34,1,0)</f>
        <v/>
      </c>
      <c r="Z377">
        <f>IF(Y377=C377,1,0)</f>
        <v/>
      </c>
    </row>
    <row r="378">
      <c r="A378">
        <f>'1 prepared data'!A371</f>
        <v/>
      </c>
      <c r="B378" s="5">
        <f>'1 prepared data'!U371</f>
        <v/>
      </c>
      <c r="C378">
        <f>'1 prepared data'!B371</f>
        <v/>
      </c>
      <c r="D378" s="7">
        <f>'1 prepared data'!C371</f>
        <v/>
      </c>
      <c r="E378" s="7">
        <f>'1 prepared data'!D371</f>
        <v/>
      </c>
      <c r="F378" s="7">
        <f>'1 prepared data'!E371</f>
        <v/>
      </c>
      <c r="G378" s="7">
        <f>'1 prepared data'!F371</f>
        <v/>
      </c>
      <c r="H378" s="7">
        <f>'1 prepared data'!G371</f>
        <v/>
      </c>
      <c r="I378" s="7">
        <f>'1 prepared data'!H371</f>
        <v/>
      </c>
      <c r="J378" s="7">
        <f>'1 prepared data'!I371</f>
        <v/>
      </c>
      <c r="K378" s="7">
        <f>'1 prepared data'!J371</f>
        <v/>
      </c>
      <c r="L378" s="7">
        <f>'1 prepared data'!K371</f>
        <v/>
      </c>
      <c r="M378" s="7">
        <f>'1 prepared data'!L371</f>
        <v/>
      </c>
      <c r="N378" s="7">
        <f>'1 prepared data'!M371</f>
        <v/>
      </c>
      <c r="O378" s="7">
        <f>'1 prepared data'!N371</f>
        <v/>
      </c>
      <c r="P378" s="7">
        <f>'1 prepared data'!O371</f>
        <v/>
      </c>
      <c r="Q378" s="7">
        <f>'1 prepared data'!P371</f>
        <v/>
      </c>
      <c r="R378" s="7">
        <f>'1 prepared data'!Q371</f>
        <v/>
      </c>
      <c r="S378" s="7">
        <f>'1 prepared data'!R371</f>
        <v/>
      </c>
      <c r="T378" s="7">
        <f>'1 prepared data'!S371</f>
        <v/>
      </c>
      <c r="U378" s="7">
        <f>'1 prepared data'!T371</f>
        <v/>
      </c>
      <c r="V378" s="8">
        <f>$AC$12+D378*$AC$13+E378*$AC$14+F378*$AC$15+G378*$AC$16+H378*$AC$17+I378*$AC$18+J378*$AC$19+K378*$AC$20+L378*$AC$21+M378*$AC$22+N378*$AC$23+O378*$AC$24+P378*$AC$25+Q378*$AC$26+R378*$AC$27+S378*$AC$28+T378*$AC$29+U378*$AC$30</f>
        <v/>
      </c>
      <c r="W378" s="8">
        <f>1/(1+EXP(-V378))</f>
        <v/>
      </c>
      <c r="X378" s="9">
        <f>-IF(C378=1,LN(W378),LN(1-W378))</f>
        <v/>
      </c>
      <c r="Y378" s="10">
        <f>IF(W378&gt;$AC$34,1,0)</f>
        <v/>
      </c>
      <c r="Z378">
        <f>IF(Y378=C378,1,0)</f>
        <v/>
      </c>
    </row>
    <row r="379">
      <c r="A379">
        <f>'1 prepared data'!A372</f>
        <v/>
      </c>
      <c r="B379" s="5">
        <f>'1 prepared data'!U372</f>
        <v/>
      </c>
      <c r="C379">
        <f>'1 prepared data'!B372</f>
        <v/>
      </c>
      <c r="D379" s="7">
        <f>'1 prepared data'!C372</f>
        <v/>
      </c>
      <c r="E379" s="7">
        <f>'1 prepared data'!D372</f>
        <v/>
      </c>
      <c r="F379" s="7">
        <f>'1 prepared data'!E372</f>
        <v/>
      </c>
      <c r="G379" s="7">
        <f>'1 prepared data'!F372</f>
        <v/>
      </c>
      <c r="H379" s="7">
        <f>'1 prepared data'!G372</f>
        <v/>
      </c>
      <c r="I379" s="7">
        <f>'1 prepared data'!H372</f>
        <v/>
      </c>
      <c r="J379" s="7">
        <f>'1 prepared data'!I372</f>
        <v/>
      </c>
      <c r="K379" s="7">
        <f>'1 prepared data'!J372</f>
        <v/>
      </c>
      <c r="L379" s="7">
        <f>'1 prepared data'!K372</f>
        <v/>
      </c>
      <c r="M379" s="7">
        <f>'1 prepared data'!L372</f>
        <v/>
      </c>
      <c r="N379" s="7">
        <f>'1 prepared data'!M372</f>
        <v/>
      </c>
      <c r="O379" s="7">
        <f>'1 prepared data'!N372</f>
        <v/>
      </c>
      <c r="P379" s="7">
        <f>'1 prepared data'!O372</f>
        <v/>
      </c>
      <c r="Q379" s="7">
        <f>'1 prepared data'!P372</f>
        <v/>
      </c>
      <c r="R379" s="7">
        <f>'1 prepared data'!Q372</f>
        <v/>
      </c>
      <c r="S379" s="7">
        <f>'1 prepared data'!R372</f>
        <v/>
      </c>
      <c r="T379" s="7">
        <f>'1 prepared data'!S372</f>
        <v/>
      </c>
      <c r="U379" s="7">
        <f>'1 prepared data'!T372</f>
        <v/>
      </c>
      <c r="V379" s="8">
        <f>$AC$12+D379*$AC$13+E379*$AC$14+F379*$AC$15+G379*$AC$16+H379*$AC$17+I379*$AC$18+J379*$AC$19+K379*$AC$20+L379*$AC$21+M379*$AC$22+N379*$AC$23+O379*$AC$24+P379*$AC$25+Q379*$AC$26+R379*$AC$27+S379*$AC$28+T379*$AC$29+U379*$AC$30</f>
        <v/>
      </c>
      <c r="W379" s="8">
        <f>1/(1+EXP(-V379))</f>
        <v/>
      </c>
      <c r="X379" s="9">
        <f>-IF(C379=1,LN(W379),LN(1-W379))</f>
        <v/>
      </c>
      <c r="Y379" s="10">
        <f>IF(W379&gt;$AC$34,1,0)</f>
        <v/>
      </c>
      <c r="Z379">
        <f>IF(Y379=C379,1,0)</f>
        <v/>
      </c>
    </row>
    <row r="380">
      <c r="A380">
        <f>'1 prepared data'!A373</f>
        <v/>
      </c>
      <c r="B380" s="5">
        <f>'1 prepared data'!U373</f>
        <v/>
      </c>
      <c r="C380">
        <f>'1 prepared data'!B373</f>
        <v/>
      </c>
      <c r="D380" s="7">
        <f>'1 prepared data'!C373</f>
        <v/>
      </c>
      <c r="E380" s="7">
        <f>'1 prepared data'!D373</f>
        <v/>
      </c>
      <c r="F380" s="7">
        <f>'1 prepared data'!E373</f>
        <v/>
      </c>
      <c r="G380" s="7">
        <f>'1 prepared data'!F373</f>
        <v/>
      </c>
      <c r="H380" s="7">
        <f>'1 prepared data'!G373</f>
        <v/>
      </c>
      <c r="I380" s="7">
        <f>'1 prepared data'!H373</f>
        <v/>
      </c>
      <c r="J380" s="7">
        <f>'1 prepared data'!I373</f>
        <v/>
      </c>
      <c r="K380" s="7">
        <f>'1 prepared data'!J373</f>
        <v/>
      </c>
      <c r="L380" s="7">
        <f>'1 prepared data'!K373</f>
        <v/>
      </c>
      <c r="M380" s="7">
        <f>'1 prepared data'!L373</f>
        <v/>
      </c>
      <c r="N380" s="7">
        <f>'1 prepared data'!M373</f>
        <v/>
      </c>
      <c r="O380" s="7">
        <f>'1 prepared data'!N373</f>
        <v/>
      </c>
      <c r="P380" s="7">
        <f>'1 prepared data'!O373</f>
        <v/>
      </c>
      <c r="Q380" s="7">
        <f>'1 prepared data'!P373</f>
        <v/>
      </c>
      <c r="R380" s="7">
        <f>'1 prepared data'!Q373</f>
        <v/>
      </c>
      <c r="S380" s="7">
        <f>'1 prepared data'!R373</f>
        <v/>
      </c>
      <c r="T380" s="7">
        <f>'1 prepared data'!S373</f>
        <v/>
      </c>
      <c r="U380" s="7">
        <f>'1 prepared data'!T373</f>
        <v/>
      </c>
      <c r="V380" s="8">
        <f>$AC$12+D380*$AC$13+E380*$AC$14+F380*$AC$15+G380*$AC$16+H380*$AC$17+I380*$AC$18+J380*$AC$19+K380*$AC$20+L380*$AC$21+M380*$AC$22+N380*$AC$23+O380*$AC$24+P380*$AC$25+Q380*$AC$26+R380*$AC$27+S380*$AC$28+T380*$AC$29+U380*$AC$30</f>
        <v/>
      </c>
      <c r="W380" s="8">
        <f>1/(1+EXP(-V380))</f>
        <v/>
      </c>
      <c r="X380" s="9">
        <f>-IF(C380=1,LN(W380),LN(1-W380))</f>
        <v/>
      </c>
      <c r="Y380" s="10">
        <f>IF(W380&gt;$AC$34,1,0)</f>
        <v/>
      </c>
      <c r="Z380">
        <f>IF(Y380=C380,1,0)</f>
        <v/>
      </c>
    </row>
    <row r="381">
      <c r="A381">
        <f>'1 prepared data'!A374</f>
        <v/>
      </c>
      <c r="B381" s="5">
        <f>'1 prepared data'!U374</f>
        <v/>
      </c>
      <c r="C381">
        <f>'1 prepared data'!B374</f>
        <v/>
      </c>
      <c r="D381" s="7">
        <f>'1 prepared data'!C374</f>
        <v/>
      </c>
      <c r="E381" s="7">
        <f>'1 prepared data'!D374</f>
        <v/>
      </c>
      <c r="F381" s="7">
        <f>'1 prepared data'!E374</f>
        <v/>
      </c>
      <c r="G381" s="7">
        <f>'1 prepared data'!F374</f>
        <v/>
      </c>
      <c r="H381" s="7">
        <f>'1 prepared data'!G374</f>
        <v/>
      </c>
      <c r="I381" s="7">
        <f>'1 prepared data'!H374</f>
        <v/>
      </c>
      <c r="J381" s="7">
        <f>'1 prepared data'!I374</f>
        <v/>
      </c>
      <c r="K381" s="7">
        <f>'1 prepared data'!J374</f>
        <v/>
      </c>
      <c r="L381" s="7">
        <f>'1 prepared data'!K374</f>
        <v/>
      </c>
      <c r="M381" s="7">
        <f>'1 prepared data'!L374</f>
        <v/>
      </c>
      <c r="N381" s="7">
        <f>'1 prepared data'!M374</f>
        <v/>
      </c>
      <c r="O381" s="7">
        <f>'1 prepared data'!N374</f>
        <v/>
      </c>
      <c r="P381" s="7">
        <f>'1 prepared data'!O374</f>
        <v/>
      </c>
      <c r="Q381" s="7">
        <f>'1 prepared data'!P374</f>
        <v/>
      </c>
      <c r="R381" s="7">
        <f>'1 prepared data'!Q374</f>
        <v/>
      </c>
      <c r="S381" s="7">
        <f>'1 prepared data'!R374</f>
        <v/>
      </c>
      <c r="T381" s="7">
        <f>'1 prepared data'!S374</f>
        <v/>
      </c>
      <c r="U381" s="7">
        <f>'1 prepared data'!T374</f>
        <v/>
      </c>
      <c r="V381" s="8">
        <f>$AC$12+D381*$AC$13+E381*$AC$14+F381*$AC$15+G381*$AC$16+H381*$AC$17+I381*$AC$18+J381*$AC$19+K381*$AC$20+L381*$AC$21+M381*$AC$22+N381*$AC$23+O381*$AC$24+P381*$AC$25+Q381*$AC$26+R381*$AC$27+S381*$AC$28+T381*$AC$29+U381*$AC$30</f>
        <v/>
      </c>
      <c r="W381" s="8">
        <f>1/(1+EXP(-V381))</f>
        <v/>
      </c>
      <c r="X381" s="9">
        <f>-IF(C381=1,LN(W381),LN(1-W381))</f>
        <v/>
      </c>
      <c r="Y381" s="10">
        <f>IF(W381&gt;$AC$34,1,0)</f>
        <v/>
      </c>
      <c r="Z381">
        <f>IF(Y381=C381,1,0)</f>
        <v/>
      </c>
    </row>
    <row r="382">
      <c r="A382">
        <f>'1 prepared data'!A375</f>
        <v/>
      </c>
      <c r="B382" s="5">
        <f>'1 prepared data'!U375</f>
        <v/>
      </c>
      <c r="C382">
        <f>'1 prepared data'!B375</f>
        <v/>
      </c>
      <c r="D382" s="7">
        <f>'1 prepared data'!C375</f>
        <v/>
      </c>
      <c r="E382" s="7">
        <f>'1 prepared data'!D375</f>
        <v/>
      </c>
      <c r="F382" s="7">
        <f>'1 prepared data'!E375</f>
        <v/>
      </c>
      <c r="G382" s="7">
        <f>'1 prepared data'!F375</f>
        <v/>
      </c>
      <c r="H382" s="7">
        <f>'1 prepared data'!G375</f>
        <v/>
      </c>
      <c r="I382" s="7">
        <f>'1 prepared data'!H375</f>
        <v/>
      </c>
      <c r="J382" s="7">
        <f>'1 prepared data'!I375</f>
        <v/>
      </c>
      <c r="K382" s="7">
        <f>'1 prepared data'!J375</f>
        <v/>
      </c>
      <c r="L382" s="7">
        <f>'1 prepared data'!K375</f>
        <v/>
      </c>
      <c r="M382" s="7">
        <f>'1 prepared data'!L375</f>
        <v/>
      </c>
      <c r="N382" s="7">
        <f>'1 prepared data'!M375</f>
        <v/>
      </c>
      <c r="O382" s="7">
        <f>'1 prepared data'!N375</f>
        <v/>
      </c>
      <c r="P382" s="7">
        <f>'1 prepared data'!O375</f>
        <v/>
      </c>
      <c r="Q382" s="7">
        <f>'1 prepared data'!P375</f>
        <v/>
      </c>
      <c r="R382" s="7">
        <f>'1 prepared data'!Q375</f>
        <v/>
      </c>
      <c r="S382" s="7">
        <f>'1 prepared data'!R375</f>
        <v/>
      </c>
      <c r="T382" s="7">
        <f>'1 prepared data'!S375</f>
        <v/>
      </c>
      <c r="U382" s="7">
        <f>'1 prepared data'!T375</f>
        <v/>
      </c>
      <c r="V382" s="8">
        <f>$AC$12+D382*$AC$13+E382*$AC$14+F382*$AC$15+G382*$AC$16+H382*$AC$17+I382*$AC$18+J382*$AC$19+K382*$AC$20+L382*$AC$21+M382*$AC$22+N382*$AC$23+O382*$AC$24+P382*$AC$25+Q382*$AC$26+R382*$AC$27+S382*$AC$28+T382*$AC$29+U382*$AC$30</f>
        <v/>
      </c>
      <c r="W382" s="8">
        <f>1/(1+EXP(-V382))</f>
        <v/>
      </c>
      <c r="X382" s="9">
        <f>-IF(C382=1,LN(W382),LN(1-W382))</f>
        <v/>
      </c>
      <c r="Y382" s="10">
        <f>IF(W382&gt;$AC$34,1,0)</f>
        <v/>
      </c>
      <c r="Z382">
        <f>IF(Y382=C382,1,0)</f>
        <v/>
      </c>
    </row>
    <row r="383">
      <c r="A383">
        <f>'1 prepared data'!A376</f>
        <v/>
      </c>
      <c r="B383" s="5">
        <f>'1 prepared data'!U376</f>
        <v/>
      </c>
      <c r="C383">
        <f>'1 prepared data'!B376</f>
        <v/>
      </c>
      <c r="D383" s="7">
        <f>'1 prepared data'!C376</f>
        <v/>
      </c>
      <c r="E383" s="7">
        <f>'1 prepared data'!D376</f>
        <v/>
      </c>
      <c r="F383" s="7">
        <f>'1 prepared data'!E376</f>
        <v/>
      </c>
      <c r="G383" s="7">
        <f>'1 prepared data'!F376</f>
        <v/>
      </c>
      <c r="H383" s="7">
        <f>'1 prepared data'!G376</f>
        <v/>
      </c>
      <c r="I383" s="7">
        <f>'1 prepared data'!H376</f>
        <v/>
      </c>
      <c r="J383" s="7">
        <f>'1 prepared data'!I376</f>
        <v/>
      </c>
      <c r="K383" s="7">
        <f>'1 prepared data'!J376</f>
        <v/>
      </c>
      <c r="L383" s="7">
        <f>'1 prepared data'!K376</f>
        <v/>
      </c>
      <c r="M383" s="7">
        <f>'1 prepared data'!L376</f>
        <v/>
      </c>
      <c r="N383" s="7">
        <f>'1 prepared data'!M376</f>
        <v/>
      </c>
      <c r="O383" s="7">
        <f>'1 prepared data'!N376</f>
        <v/>
      </c>
      <c r="P383" s="7">
        <f>'1 prepared data'!O376</f>
        <v/>
      </c>
      <c r="Q383" s="7">
        <f>'1 prepared data'!P376</f>
        <v/>
      </c>
      <c r="R383" s="7">
        <f>'1 prepared data'!Q376</f>
        <v/>
      </c>
      <c r="S383" s="7">
        <f>'1 prepared data'!R376</f>
        <v/>
      </c>
      <c r="T383" s="7">
        <f>'1 prepared data'!S376</f>
        <v/>
      </c>
      <c r="U383" s="7">
        <f>'1 prepared data'!T376</f>
        <v/>
      </c>
      <c r="V383" s="8">
        <f>$AC$12+D383*$AC$13+E383*$AC$14+F383*$AC$15+G383*$AC$16+H383*$AC$17+I383*$AC$18+J383*$AC$19+K383*$AC$20+L383*$AC$21+M383*$AC$22+N383*$AC$23+O383*$AC$24+P383*$AC$25+Q383*$AC$26+R383*$AC$27+S383*$AC$28+T383*$AC$29+U383*$AC$30</f>
        <v/>
      </c>
      <c r="W383" s="8">
        <f>1/(1+EXP(-V383))</f>
        <v/>
      </c>
      <c r="X383" s="9">
        <f>-IF(C383=1,LN(W383),LN(1-W383))</f>
        <v/>
      </c>
      <c r="Y383" s="10">
        <f>IF(W383&gt;$AC$34,1,0)</f>
        <v/>
      </c>
      <c r="Z383">
        <f>IF(Y383=C383,1,0)</f>
        <v/>
      </c>
    </row>
    <row r="384">
      <c r="A384">
        <f>'1 prepared data'!A377</f>
        <v/>
      </c>
      <c r="B384" s="5">
        <f>'1 prepared data'!U377</f>
        <v/>
      </c>
      <c r="C384">
        <f>'1 prepared data'!B377</f>
        <v/>
      </c>
      <c r="D384" s="7">
        <f>'1 prepared data'!C377</f>
        <v/>
      </c>
      <c r="E384" s="7">
        <f>'1 prepared data'!D377</f>
        <v/>
      </c>
      <c r="F384" s="7">
        <f>'1 prepared data'!E377</f>
        <v/>
      </c>
      <c r="G384" s="7">
        <f>'1 prepared data'!F377</f>
        <v/>
      </c>
      <c r="H384" s="7">
        <f>'1 prepared data'!G377</f>
        <v/>
      </c>
      <c r="I384" s="7">
        <f>'1 prepared data'!H377</f>
        <v/>
      </c>
      <c r="J384" s="7">
        <f>'1 prepared data'!I377</f>
        <v/>
      </c>
      <c r="K384" s="7">
        <f>'1 prepared data'!J377</f>
        <v/>
      </c>
      <c r="L384" s="7">
        <f>'1 prepared data'!K377</f>
        <v/>
      </c>
      <c r="M384" s="7">
        <f>'1 prepared data'!L377</f>
        <v/>
      </c>
      <c r="N384" s="7">
        <f>'1 prepared data'!M377</f>
        <v/>
      </c>
      <c r="O384" s="7">
        <f>'1 prepared data'!N377</f>
        <v/>
      </c>
      <c r="P384" s="7">
        <f>'1 prepared data'!O377</f>
        <v/>
      </c>
      <c r="Q384" s="7">
        <f>'1 prepared data'!P377</f>
        <v/>
      </c>
      <c r="R384" s="7">
        <f>'1 prepared data'!Q377</f>
        <v/>
      </c>
      <c r="S384" s="7">
        <f>'1 prepared data'!R377</f>
        <v/>
      </c>
      <c r="T384" s="7">
        <f>'1 prepared data'!S377</f>
        <v/>
      </c>
      <c r="U384" s="7">
        <f>'1 prepared data'!T377</f>
        <v/>
      </c>
      <c r="V384" s="8">
        <f>$AC$12+D384*$AC$13+E384*$AC$14+F384*$AC$15+G384*$AC$16+H384*$AC$17+I384*$AC$18+J384*$AC$19+K384*$AC$20+L384*$AC$21+M384*$AC$22+N384*$AC$23+O384*$AC$24+P384*$AC$25+Q384*$AC$26+R384*$AC$27+S384*$AC$28+T384*$AC$29+U384*$AC$30</f>
        <v/>
      </c>
      <c r="W384" s="8">
        <f>1/(1+EXP(-V384))</f>
        <v/>
      </c>
      <c r="X384" s="9">
        <f>-IF(C384=1,LN(W384),LN(1-W384))</f>
        <v/>
      </c>
      <c r="Y384" s="10">
        <f>IF(W384&gt;$AC$34,1,0)</f>
        <v/>
      </c>
      <c r="Z384">
        <f>IF(Y384=C384,1,0)</f>
        <v/>
      </c>
    </row>
    <row r="385">
      <c r="A385">
        <f>'1 prepared data'!A378</f>
        <v/>
      </c>
      <c r="B385" s="5">
        <f>'1 prepared data'!U378</f>
        <v/>
      </c>
      <c r="C385">
        <f>'1 prepared data'!B378</f>
        <v/>
      </c>
      <c r="D385" s="7">
        <f>'1 prepared data'!C378</f>
        <v/>
      </c>
      <c r="E385" s="7">
        <f>'1 prepared data'!D378</f>
        <v/>
      </c>
      <c r="F385" s="7">
        <f>'1 prepared data'!E378</f>
        <v/>
      </c>
      <c r="G385" s="7">
        <f>'1 prepared data'!F378</f>
        <v/>
      </c>
      <c r="H385" s="7">
        <f>'1 prepared data'!G378</f>
        <v/>
      </c>
      <c r="I385" s="7">
        <f>'1 prepared data'!H378</f>
        <v/>
      </c>
      <c r="J385" s="7">
        <f>'1 prepared data'!I378</f>
        <v/>
      </c>
      <c r="K385" s="7">
        <f>'1 prepared data'!J378</f>
        <v/>
      </c>
      <c r="L385" s="7">
        <f>'1 prepared data'!K378</f>
        <v/>
      </c>
      <c r="M385" s="7">
        <f>'1 prepared data'!L378</f>
        <v/>
      </c>
      <c r="N385" s="7">
        <f>'1 prepared data'!M378</f>
        <v/>
      </c>
      <c r="O385" s="7">
        <f>'1 prepared data'!N378</f>
        <v/>
      </c>
      <c r="P385" s="7">
        <f>'1 prepared data'!O378</f>
        <v/>
      </c>
      <c r="Q385" s="7">
        <f>'1 prepared data'!P378</f>
        <v/>
      </c>
      <c r="R385" s="7">
        <f>'1 prepared data'!Q378</f>
        <v/>
      </c>
      <c r="S385" s="7">
        <f>'1 prepared data'!R378</f>
        <v/>
      </c>
      <c r="T385" s="7">
        <f>'1 prepared data'!S378</f>
        <v/>
      </c>
      <c r="U385" s="7">
        <f>'1 prepared data'!T378</f>
        <v/>
      </c>
      <c r="V385" s="8">
        <f>$AC$12+D385*$AC$13+E385*$AC$14+F385*$AC$15+G385*$AC$16+H385*$AC$17+I385*$AC$18+J385*$AC$19+K385*$AC$20+L385*$AC$21+M385*$AC$22+N385*$AC$23+O385*$AC$24+P385*$AC$25+Q385*$AC$26+R385*$AC$27+S385*$AC$28+T385*$AC$29+U385*$AC$30</f>
        <v/>
      </c>
      <c r="W385" s="8">
        <f>1/(1+EXP(-V385))</f>
        <v/>
      </c>
      <c r="X385" s="9">
        <f>-IF(C385=1,LN(W385),LN(1-W385))</f>
        <v/>
      </c>
      <c r="Y385" s="10">
        <f>IF(W385&gt;$AC$34,1,0)</f>
        <v/>
      </c>
      <c r="Z385">
        <f>IF(Y385=C385,1,0)</f>
        <v/>
      </c>
    </row>
    <row r="386">
      <c r="A386">
        <f>'1 prepared data'!A379</f>
        <v/>
      </c>
      <c r="B386" s="5">
        <f>'1 prepared data'!U379</f>
        <v/>
      </c>
      <c r="C386">
        <f>'1 prepared data'!B379</f>
        <v/>
      </c>
      <c r="D386" s="7">
        <f>'1 prepared data'!C379</f>
        <v/>
      </c>
      <c r="E386" s="7">
        <f>'1 prepared data'!D379</f>
        <v/>
      </c>
      <c r="F386" s="7">
        <f>'1 prepared data'!E379</f>
        <v/>
      </c>
      <c r="G386" s="7">
        <f>'1 prepared data'!F379</f>
        <v/>
      </c>
      <c r="H386" s="7">
        <f>'1 prepared data'!G379</f>
        <v/>
      </c>
      <c r="I386" s="7">
        <f>'1 prepared data'!H379</f>
        <v/>
      </c>
      <c r="J386" s="7">
        <f>'1 prepared data'!I379</f>
        <v/>
      </c>
      <c r="K386" s="7">
        <f>'1 prepared data'!J379</f>
        <v/>
      </c>
      <c r="L386" s="7">
        <f>'1 prepared data'!K379</f>
        <v/>
      </c>
      <c r="M386" s="7">
        <f>'1 prepared data'!L379</f>
        <v/>
      </c>
      <c r="N386" s="7">
        <f>'1 prepared data'!M379</f>
        <v/>
      </c>
      <c r="O386" s="7">
        <f>'1 prepared data'!N379</f>
        <v/>
      </c>
      <c r="P386" s="7">
        <f>'1 prepared data'!O379</f>
        <v/>
      </c>
      <c r="Q386" s="7">
        <f>'1 prepared data'!P379</f>
        <v/>
      </c>
      <c r="R386" s="7">
        <f>'1 prepared data'!Q379</f>
        <v/>
      </c>
      <c r="S386" s="7">
        <f>'1 prepared data'!R379</f>
        <v/>
      </c>
      <c r="T386" s="7">
        <f>'1 prepared data'!S379</f>
        <v/>
      </c>
      <c r="U386" s="7">
        <f>'1 prepared data'!T379</f>
        <v/>
      </c>
      <c r="V386" s="8">
        <f>$AC$12+D386*$AC$13+E386*$AC$14+F386*$AC$15+G386*$AC$16+H386*$AC$17+I386*$AC$18+J386*$AC$19+K386*$AC$20+L386*$AC$21+M386*$AC$22+N386*$AC$23+O386*$AC$24+P386*$AC$25+Q386*$AC$26+R386*$AC$27+S386*$AC$28+T386*$AC$29+U386*$AC$30</f>
        <v/>
      </c>
      <c r="W386" s="8">
        <f>1/(1+EXP(-V386))</f>
        <v/>
      </c>
      <c r="X386" s="9">
        <f>-IF(C386=1,LN(W386),LN(1-W386))</f>
        <v/>
      </c>
      <c r="Y386" s="10">
        <f>IF(W386&gt;$AC$34,1,0)</f>
        <v/>
      </c>
      <c r="Z386">
        <f>IF(Y386=C386,1,0)</f>
        <v/>
      </c>
    </row>
    <row r="387">
      <c r="A387">
        <f>'1 prepared data'!A380</f>
        <v/>
      </c>
      <c r="B387" s="5">
        <f>'1 prepared data'!U380</f>
        <v/>
      </c>
      <c r="C387">
        <f>'1 prepared data'!B380</f>
        <v/>
      </c>
      <c r="D387" s="7">
        <f>'1 prepared data'!C380</f>
        <v/>
      </c>
      <c r="E387" s="7">
        <f>'1 prepared data'!D380</f>
        <v/>
      </c>
      <c r="F387" s="7">
        <f>'1 prepared data'!E380</f>
        <v/>
      </c>
      <c r="G387" s="7">
        <f>'1 prepared data'!F380</f>
        <v/>
      </c>
      <c r="H387" s="7">
        <f>'1 prepared data'!G380</f>
        <v/>
      </c>
      <c r="I387" s="7">
        <f>'1 prepared data'!H380</f>
        <v/>
      </c>
      <c r="J387" s="7">
        <f>'1 prepared data'!I380</f>
        <v/>
      </c>
      <c r="K387" s="7">
        <f>'1 prepared data'!J380</f>
        <v/>
      </c>
      <c r="L387" s="7">
        <f>'1 prepared data'!K380</f>
        <v/>
      </c>
      <c r="M387" s="7">
        <f>'1 prepared data'!L380</f>
        <v/>
      </c>
      <c r="N387" s="7">
        <f>'1 prepared data'!M380</f>
        <v/>
      </c>
      <c r="O387" s="7">
        <f>'1 prepared data'!N380</f>
        <v/>
      </c>
      <c r="P387" s="7">
        <f>'1 prepared data'!O380</f>
        <v/>
      </c>
      <c r="Q387" s="7">
        <f>'1 prepared data'!P380</f>
        <v/>
      </c>
      <c r="R387" s="7">
        <f>'1 prepared data'!Q380</f>
        <v/>
      </c>
      <c r="S387" s="7">
        <f>'1 prepared data'!R380</f>
        <v/>
      </c>
      <c r="T387" s="7">
        <f>'1 prepared data'!S380</f>
        <v/>
      </c>
      <c r="U387" s="7">
        <f>'1 prepared data'!T380</f>
        <v/>
      </c>
      <c r="V387" s="8">
        <f>$AC$12+D387*$AC$13+E387*$AC$14+F387*$AC$15+G387*$AC$16+H387*$AC$17+I387*$AC$18+J387*$AC$19+K387*$AC$20+L387*$AC$21+M387*$AC$22+N387*$AC$23+O387*$AC$24+P387*$AC$25+Q387*$AC$26+R387*$AC$27+S387*$AC$28+T387*$AC$29+U387*$AC$30</f>
        <v/>
      </c>
      <c r="W387" s="8">
        <f>1/(1+EXP(-V387))</f>
        <v/>
      </c>
      <c r="X387" s="9">
        <f>-IF(C387=1,LN(W387),LN(1-W387))</f>
        <v/>
      </c>
      <c r="Y387" s="10">
        <f>IF(W387&gt;$AC$34,1,0)</f>
        <v/>
      </c>
      <c r="Z387">
        <f>IF(Y387=C387,1,0)</f>
        <v/>
      </c>
    </row>
    <row r="388">
      <c r="A388">
        <f>'1 prepared data'!A381</f>
        <v/>
      </c>
      <c r="B388" s="5">
        <f>'1 prepared data'!U381</f>
        <v/>
      </c>
      <c r="C388">
        <f>'1 prepared data'!B381</f>
        <v/>
      </c>
      <c r="D388" s="7">
        <f>'1 prepared data'!C381</f>
        <v/>
      </c>
      <c r="E388" s="7">
        <f>'1 prepared data'!D381</f>
        <v/>
      </c>
      <c r="F388" s="7">
        <f>'1 prepared data'!E381</f>
        <v/>
      </c>
      <c r="G388" s="7">
        <f>'1 prepared data'!F381</f>
        <v/>
      </c>
      <c r="H388" s="7">
        <f>'1 prepared data'!G381</f>
        <v/>
      </c>
      <c r="I388" s="7">
        <f>'1 prepared data'!H381</f>
        <v/>
      </c>
      <c r="J388" s="7">
        <f>'1 prepared data'!I381</f>
        <v/>
      </c>
      <c r="K388" s="7">
        <f>'1 prepared data'!J381</f>
        <v/>
      </c>
      <c r="L388" s="7">
        <f>'1 prepared data'!K381</f>
        <v/>
      </c>
      <c r="M388" s="7">
        <f>'1 prepared data'!L381</f>
        <v/>
      </c>
      <c r="N388" s="7">
        <f>'1 prepared data'!M381</f>
        <v/>
      </c>
      <c r="O388" s="7">
        <f>'1 prepared data'!N381</f>
        <v/>
      </c>
      <c r="P388" s="7">
        <f>'1 prepared data'!O381</f>
        <v/>
      </c>
      <c r="Q388" s="7">
        <f>'1 prepared data'!P381</f>
        <v/>
      </c>
      <c r="R388" s="7">
        <f>'1 prepared data'!Q381</f>
        <v/>
      </c>
      <c r="S388" s="7">
        <f>'1 prepared data'!R381</f>
        <v/>
      </c>
      <c r="T388" s="7">
        <f>'1 prepared data'!S381</f>
        <v/>
      </c>
      <c r="U388" s="7">
        <f>'1 prepared data'!T381</f>
        <v/>
      </c>
      <c r="V388" s="8">
        <f>$AC$12+D388*$AC$13+E388*$AC$14+F388*$AC$15+G388*$AC$16+H388*$AC$17+I388*$AC$18+J388*$AC$19+K388*$AC$20+L388*$AC$21+M388*$AC$22+N388*$AC$23+O388*$AC$24+P388*$AC$25+Q388*$AC$26+R388*$AC$27+S388*$AC$28+T388*$AC$29+U388*$AC$30</f>
        <v/>
      </c>
      <c r="W388" s="8">
        <f>1/(1+EXP(-V388))</f>
        <v/>
      </c>
      <c r="X388" s="9">
        <f>-IF(C388=1,LN(W388),LN(1-W388))</f>
        <v/>
      </c>
      <c r="Y388" s="10">
        <f>IF(W388&gt;$AC$34,1,0)</f>
        <v/>
      </c>
      <c r="Z388">
        <f>IF(Y388=C388,1,0)</f>
        <v/>
      </c>
    </row>
    <row r="389">
      <c r="A389">
        <f>'1 prepared data'!A382</f>
        <v/>
      </c>
      <c r="B389" s="5">
        <f>'1 prepared data'!U382</f>
        <v/>
      </c>
      <c r="C389">
        <f>'1 prepared data'!B382</f>
        <v/>
      </c>
      <c r="D389" s="7">
        <f>'1 prepared data'!C382</f>
        <v/>
      </c>
      <c r="E389" s="7">
        <f>'1 prepared data'!D382</f>
        <v/>
      </c>
      <c r="F389" s="7">
        <f>'1 prepared data'!E382</f>
        <v/>
      </c>
      <c r="G389" s="7">
        <f>'1 prepared data'!F382</f>
        <v/>
      </c>
      <c r="H389" s="7">
        <f>'1 prepared data'!G382</f>
        <v/>
      </c>
      <c r="I389" s="7">
        <f>'1 prepared data'!H382</f>
        <v/>
      </c>
      <c r="J389" s="7">
        <f>'1 prepared data'!I382</f>
        <v/>
      </c>
      <c r="K389" s="7">
        <f>'1 prepared data'!J382</f>
        <v/>
      </c>
      <c r="L389" s="7">
        <f>'1 prepared data'!K382</f>
        <v/>
      </c>
      <c r="M389" s="7">
        <f>'1 prepared data'!L382</f>
        <v/>
      </c>
      <c r="N389" s="7">
        <f>'1 prepared data'!M382</f>
        <v/>
      </c>
      <c r="O389" s="7">
        <f>'1 prepared data'!N382</f>
        <v/>
      </c>
      <c r="P389" s="7">
        <f>'1 prepared data'!O382</f>
        <v/>
      </c>
      <c r="Q389" s="7">
        <f>'1 prepared data'!P382</f>
        <v/>
      </c>
      <c r="R389" s="7">
        <f>'1 prepared data'!Q382</f>
        <v/>
      </c>
      <c r="S389" s="7">
        <f>'1 prepared data'!R382</f>
        <v/>
      </c>
      <c r="T389" s="7">
        <f>'1 prepared data'!S382</f>
        <v/>
      </c>
      <c r="U389" s="7">
        <f>'1 prepared data'!T382</f>
        <v/>
      </c>
      <c r="V389" s="8">
        <f>$AC$12+D389*$AC$13+E389*$AC$14+F389*$AC$15+G389*$AC$16+H389*$AC$17+I389*$AC$18+J389*$AC$19+K389*$AC$20+L389*$AC$21+M389*$AC$22+N389*$AC$23+O389*$AC$24+P389*$AC$25+Q389*$AC$26+R389*$AC$27+S389*$AC$28+T389*$AC$29+U389*$AC$30</f>
        <v/>
      </c>
      <c r="W389" s="8">
        <f>1/(1+EXP(-V389))</f>
        <v/>
      </c>
      <c r="X389" s="9">
        <f>-IF(C389=1,LN(W389),LN(1-W389))</f>
        <v/>
      </c>
      <c r="Y389" s="10">
        <f>IF(W389&gt;$AC$34,1,0)</f>
        <v/>
      </c>
      <c r="Z389">
        <f>IF(Y389=C389,1,0)</f>
        <v/>
      </c>
    </row>
    <row r="390">
      <c r="A390">
        <f>'1 prepared data'!A383</f>
        <v/>
      </c>
      <c r="B390" s="5">
        <f>'1 prepared data'!U383</f>
        <v/>
      </c>
      <c r="C390">
        <f>'1 prepared data'!B383</f>
        <v/>
      </c>
      <c r="D390" s="7">
        <f>'1 prepared data'!C383</f>
        <v/>
      </c>
      <c r="E390" s="7">
        <f>'1 prepared data'!D383</f>
        <v/>
      </c>
      <c r="F390" s="7">
        <f>'1 prepared data'!E383</f>
        <v/>
      </c>
      <c r="G390" s="7">
        <f>'1 prepared data'!F383</f>
        <v/>
      </c>
      <c r="H390" s="7">
        <f>'1 prepared data'!G383</f>
        <v/>
      </c>
      <c r="I390" s="7">
        <f>'1 prepared data'!H383</f>
        <v/>
      </c>
      <c r="J390" s="7">
        <f>'1 prepared data'!I383</f>
        <v/>
      </c>
      <c r="K390" s="7">
        <f>'1 prepared data'!J383</f>
        <v/>
      </c>
      <c r="L390" s="7">
        <f>'1 prepared data'!K383</f>
        <v/>
      </c>
      <c r="M390" s="7">
        <f>'1 prepared data'!L383</f>
        <v/>
      </c>
      <c r="N390" s="7">
        <f>'1 prepared data'!M383</f>
        <v/>
      </c>
      <c r="O390" s="7">
        <f>'1 prepared data'!N383</f>
        <v/>
      </c>
      <c r="P390" s="7">
        <f>'1 prepared data'!O383</f>
        <v/>
      </c>
      <c r="Q390" s="7">
        <f>'1 prepared data'!P383</f>
        <v/>
      </c>
      <c r="R390" s="7">
        <f>'1 prepared data'!Q383</f>
        <v/>
      </c>
      <c r="S390" s="7">
        <f>'1 prepared data'!R383</f>
        <v/>
      </c>
      <c r="T390" s="7">
        <f>'1 prepared data'!S383</f>
        <v/>
      </c>
      <c r="U390" s="7">
        <f>'1 prepared data'!T383</f>
        <v/>
      </c>
      <c r="V390" s="8">
        <f>$AC$12+D390*$AC$13+E390*$AC$14+F390*$AC$15+G390*$AC$16+H390*$AC$17+I390*$AC$18+J390*$AC$19+K390*$AC$20+L390*$AC$21+M390*$AC$22+N390*$AC$23+O390*$AC$24+P390*$AC$25+Q390*$AC$26+R390*$AC$27+S390*$AC$28+T390*$AC$29+U390*$AC$30</f>
        <v/>
      </c>
      <c r="W390" s="8">
        <f>1/(1+EXP(-V390))</f>
        <v/>
      </c>
      <c r="X390" s="9">
        <f>-IF(C390=1,LN(W390),LN(1-W390))</f>
        <v/>
      </c>
      <c r="Y390" s="10">
        <f>IF(W390&gt;$AC$34,1,0)</f>
        <v/>
      </c>
      <c r="Z390">
        <f>IF(Y390=C390,1,0)</f>
        <v/>
      </c>
    </row>
    <row r="391">
      <c r="A391">
        <f>'1 prepared data'!A384</f>
        <v/>
      </c>
      <c r="B391" s="5">
        <f>'1 prepared data'!U384</f>
        <v/>
      </c>
      <c r="C391">
        <f>'1 prepared data'!B384</f>
        <v/>
      </c>
      <c r="D391" s="7">
        <f>'1 prepared data'!C384</f>
        <v/>
      </c>
      <c r="E391" s="7">
        <f>'1 prepared data'!D384</f>
        <v/>
      </c>
      <c r="F391" s="7">
        <f>'1 prepared data'!E384</f>
        <v/>
      </c>
      <c r="G391" s="7">
        <f>'1 prepared data'!F384</f>
        <v/>
      </c>
      <c r="H391" s="7">
        <f>'1 prepared data'!G384</f>
        <v/>
      </c>
      <c r="I391" s="7">
        <f>'1 prepared data'!H384</f>
        <v/>
      </c>
      <c r="J391" s="7">
        <f>'1 prepared data'!I384</f>
        <v/>
      </c>
      <c r="K391" s="7">
        <f>'1 prepared data'!J384</f>
        <v/>
      </c>
      <c r="L391" s="7">
        <f>'1 prepared data'!K384</f>
        <v/>
      </c>
      <c r="M391" s="7">
        <f>'1 prepared data'!L384</f>
        <v/>
      </c>
      <c r="N391" s="7">
        <f>'1 prepared data'!M384</f>
        <v/>
      </c>
      <c r="O391" s="7">
        <f>'1 prepared data'!N384</f>
        <v/>
      </c>
      <c r="P391" s="7">
        <f>'1 prepared data'!O384</f>
        <v/>
      </c>
      <c r="Q391" s="7">
        <f>'1 prepared data'!P384</f>
        <v/>
      </c>
      <c r="R391" s="7">
        <f>'1 prepared data'!Q384</f>
        <v/>
      </c>
      <c r="S391" s="7">
        <f>'1 prepared data'!R384</f>
        <v/>
      </c>
      <c r="T391" s="7">
        <f>'1 prepared data'!S384</f>
        <v/>
      </c>
      <c r="U391" s="7">
        <f>'1 prepared data'!T384</f>
        <v/>
      </c>
      <c r="V391" s="8">
        <f>$AC$12+D391*$AC$13+E391*$AC$14+F391*$AC$15+G391*$AC$16+H391*$AC$17+I391*$AC$18+J391*$AC$19+K391*$AC$20+L391*$AC$21+M391*$AC$22+N391*$AC$23+O391*$AC$24+P391*$AC$25+Q391*$AC$26+R391*$AC$27+S391*$AC$28+T391*$AC$29+U391*$AC$30</f>
        <v/>
      </c>
      <c r="W391" s="8">
        <f>1/(1+EXP(-V391))</f>
        <v/>
      </c>
      <c r="X391" s="9">
        <f>-IF(C391=1,LN(W391),LN(1-W391))</f>
        <v/>
      </c>
      <c r="Y391" s="10">
        <f>IF(W391&gt;$AC$34,1,0)</f>
        <v/>
      </c>
      <c r="Z391">
        <f>IF(Y391=C391,1,0)</f>
        <v/>
      </c>
    </row>
    <row r="392">
      <c r="A392">
        <f>'1 prepared data'!A385</f>
        <v/>
      </c>
      <c r="B392" s="5">
        <f>'1 prepared data'!U385</f>
        <v/>
      </c>
      <c r="C392">
        <f>'1 prepared data'!B385</f>
        <v/>
      </c>
      <c r="D392" s="7">
        <f>'1 prepared data'!C385</f>
        <v/>
      </c>
      <c r="E392" s="7">
        <f>'1 prepared data'!D385</f>
        <v/>
      </c>
      <c r="F392" s="7">
        <f>'1 prepared data'!E385</f>
        <v/>
      </c>
      <c r="G392" s="7">
        <f>'1 prepared data'!F385</f>
        <v/>
      </c>
      <c r="H392" s="7">
        <f>'1 prepared data'!G385</f>
        <v/>
      </c>
      <c r="I392" s="7">
        <f>'1 prepared data'!H385</f>
        <v/>
      </c>
      <c r="J392" s="7">
        <f>'1 prepared data'!I385</f>
        <v/>
      </c>
      <c r="K392" s="7">
        <f>'1 prepared data'!J385</f>
        <v/>
      </c>
      <c r="L392" s="7">
        <f>'1 prepared data'!K385</f>
        <v/>
      </c>
      <c r="M392" s="7">
        <f>'1 prepared data'!L385</f>
        <v/>
      </c>
      <c r="N392" s="7">
        <f>'1 prepared data'!M385</f>
        <v/>
      </c>
      <c r="O392" s="7">
        <f>'1 prepared data'!N385</f>
        <v/>
      </c>
      <c r="P392" s="7">
        <f>'1 prepared data'!O385</f>
        <v/>
      </c>
      <c r="Q392" s="7">
        <f>'1 prepared data'!P385</f>
        <v/>
      </c>
      <c r="R392" s="7">
        <f>'1 prepared data'!Q385</f>
        <v/>
      </c>
      <c r="S392" s="7">
        <f>'1 prepared data'!R385</f>
        <v/>
      </c>
      <c r="T392" s="7">
        <f>'1 prepared data'!S385</f>
        <v/>
      </c>
      <c r="U392" s="7">
        <f>'1 prepared data'!T385</f>
        <v/>
      </c>
      <c r="V392" s="8">
        <f>$AC$12+D392*$AC$13+E392*$AC$14+F392*$AC$15+G392*$AC$16+H392*$AC$17+I392*$AC$18+J392*$AC$19+K392*$AC$20+L392*$AC$21+M392*$AC$22+N392*$AC$23+O392*$AC$24+P392*$AC$25+Q392*$AC$26+R392*$AC$27+S392*$AC$28+T392*$AC$29+U392*$AC$30</f>
        <v/>
      </c>
      <c r="W392" s="8">
        <f>1/(1+EXP(-V392))</f>
        <v/>
      </c>
      <c r="X392" s="9">
        <f>-IF(C392=1,LN(W392),LN(1-W392))</f>
        <v/>
      </c>
      <c r="Y392" s="10">
        <f>IF(W392&gt;$AC$34,1,0)</f>
        <v/>
      </c>
      <c r="Z392">
        <f>IF(Y392=C392,1,0)</f>
        <v/>
      </c>
    </row>
    <row r="393">
      <c r="A393">
        <f>'1 prepared data'!A386</f>
        <v/>
      </c>
      <c r="B393" s="5">
        <f>'1 prepared data'!U386</f>
        <v/>
      </c>
      <c r="C393">
        <f>'1 prepared data'!B386</f>
        <v/>
      </c>
      <c r="D393" s="7">
        <f>'1 prepared data'!C386</f>
        <v/>
      </c>
      <c r="E393" s="7">
        <f>'1 prepared data'!D386</f>
        <v/>
      </c>
      <c r="F393" s="7">
        <f>'1 prepared data'!E386</f>
        <v/>
      </c>
      <c r="G393" s="7">
        <f>'1 prepared data'!F386</f>
        <v/>
      </c>
      <c r="H393" s="7">
        <f>'1 prepared data'!G386</f>
        <v/>
      </c>
      <c r="I393" s="7">
        <f>'1 prepared data'!H386</f>
        <v/>
      </c>
      <c r="J393" s="7">
        <f>'1 prepared data'!I386</f>
        <v/>
      </c>
      <c r="K393" s="7">
        <f>'1 prepared data'!J386</f>
        <v/>
      </c>
      <c r="L393" s="7">
        <f>'1 prepared data'!K386</f>
        <v/>
      </c>
      <c r="M393" s="7">
        <f>'1 prepared data'!L386</f>
        <v/>
      </c>
      <c r="N393" s="7">
        <f>'1 prepared data'!M386</f>
        <v/>
      </c>
      <c r="O393" s="7">
        <f>'1 prepared data'!N386</f>
        <v/>
      </c>
      <c r="P393" s="7">
        <f>'1 prepared data'!O386</f>
        <v/>
      </c>
      <c r="Q393" s="7">
        <f>'1 prepared data'!P386</f>
        <v/>
      </c>
      <c r="R393" s="7">
        <f>'1 prepared data'!Q386</f>
        <v/>
      </c>
      <c r="S393" s="7">
        <f>'1 prepared data'!R386</f>
        <v/>
      </c>
      <c r="T393" s="7">
        <f>'1 prepared data'!S386</f>
        <v/>
      </c>
      <c r="U393" s="7">
        <f>'1 prepared data'!T386</f>
        <v/>
      </c>
      <c r="V393" s="8">
        <f>$AC$12+D393*$AC$13+E393*$AC$14+F393*$AC$15+G393*$AC$16+H393*$AC$17+I393*$AC$18+J393*$AC$19+K393*$AC$20+L393*$AC$21+M393*$AC$22+N393*$AC$23+O393*$AC$24+P393*$AC$25+Q393*$AC$26+R393*$AC$27+S393*$AC$28+T393*$AC$29+U393*$AC$30</f>
        <v/>
      </c>
      <c r="W393" s="8">
        <f>1/(1+EXP(-V393))</f>
        <v/>
      </c>
      <c r="X393" s="9">
        <f>-IF(C393=1,LN(W393),LN(1-W393))</f>
        <v/>
      </c>
      <c r="Y393" s="10">
        <f>IF(W393&gt;$AC$34,1,0)</f>
        <v/>
      </c>
      <c r="Z393">
        <f>IF(Y393=C393,1,0)</f>
        <v/>
      </c>
    </row>
    <row r="394">
      <c r="A394">
        <f>'1 prepared data'!A387</f>
        <v/>
      </c>
      <c r="B394" s="5">
        <f>'1 prepared data'!U387</f>
        <v/>
      </c>
      <c r="C394">
        <f>'1 prepared data'!B387</f>
        <v/>
      </c>
      <c r="D394" s="7">
        <f>'1 prepared data'!C387</f>
        <v/>
      </c>
      <c r="E394" s="7">
        <f>'1 prepared data'!D387</f>
        <v/>
      </c>
      <c r="F394" s="7">
        <f>'1 prepared data'!E387</f>
        <v/>
      </c>
      <c r="G394" s="7">
        <f>'1 prepared data'!F387</f>
        <v/>
      </c>
      <c r="H394" s="7">
        <f>'1 prepared data'!G387</f>
        <v/>
      </c>
      <c r="I394" s="7">
        <f>'1 prepared data'!H387</f>
        <v/>
      </c>
      <c r="J394" s="7">
        <f>'1 prepared data'!I387</f>
        <v/>
      </c>
      <c r="K394" s="7">
        <f>'1 prepared data'!J387</f>
        <v/>
      </c>
      <c r="L394" s="7">
        <f>'1 prepared data'!K387</f>
        <v/>
      </c>
      <c r="M394" s="7">
        <f>'1 prepared data'!L387</f>
        <v/>
      </c>
      <c r="N394" s="7">
        <f>'1 prepared data'!M387</f>
        <v/>
      </c>
      <c r="O394" s="7">
        <f>'1 prepared data'!N387</f>
        <v/>
      </c>
      <c r="P394" s="7">
        <f>'1 prepared data'!O387</f>
        <v/>
      </c>
      <c r="Q394" s="7">
        <f>'1 prepared data'!P387</f>
        <v/>
      </c>
      <c r="R394" s="7">
        <f>'1 prepared data'!Q387</f>
        <v/>
      </c>
      <c r="S394" s="7">
        <f>'1 prepared data'!R387</f>
        <v/>
      </c>
      <c r="T394" s="7">
        <f>'1 prepared data'!S387</f>
        <v/>
      </c>
      <c r="U394" s="7">
        <f>'1 prepared data'!T387</f>
        <v/>
      </c>
      <c r="V394" s="8">
        <f>$AC$12+D394*$AC$13+E394*$AC$14+F394*$AC$15+G394*$AC$16+H394*$AC$17+I394*$AC$18+J394*$AC$19+K394*$AC$20+L394*$AC$21+M394*$AC$22+N394*$AC$23+O394*$AC$24+P394*$AC$25+Q394*$AC$26+R394*$AC$27+S394*$AC$28+T394*$AC$29+U394*$AC$30</f>
        <v/>
      </c>
      <c r="W394" s="8">
        <f>1/(1+EXP(-V394))</f>
        <v/>
      </c>
      <c r="X394" s="9">
        <f>-IF(C394=1,LN(W394),LN(1-W394))</f>
        <v/>
      </c>
      <c r="Y394" s="10">
        <f>IF(W394&gt;$AC$34,1,0)</f>
        <v/>
      </c>
      <c r="Z394">
        <f>IF(Y394=C394,1,0)</f>
        <v/>
      </c>
    </row>
    <row r="395">
      <c r="A395">
        <f>'1 prepared data'!A388</f>
        <v/>
      </c>
      <c r="B395" s="5">
        <f>'1 prepared data'!U388</f>
        <v/>
      </c>
      <c r="C395">
        <f>'1 prepared data'!B388</f>
        <v/>
      </c>
      <c r="D395" s="7">
        <f>'1 prepared data'!C388</f>
        <v/>
      </c>
      <c r="E395" s="7">
        <f>'1 prepared data'!D388</f>
        <v/>
      </c>
      <c r="F395" s="7">
        <f>'1 prepared data'!E388</f>
        <v/>
      </c>
      <c r="G395" s="7">
        <f>'1 prepared data'!F388</f>
        <v/>
      </c>
      <c r="H395" s="7">
        <f>'1 prepared data'!G388</f>
        <v/>
      </c>
      <c r="I395" s="7">
        <f>'1 prepared data'!H388</f>
        <v/>
      </c>
      <c r="J395" s="7">
        <f>'1 prepared data'!I388</f>
        <v/>
      </c>
      <c r="K395" s="7">
        <f>'1 prepared data'!J388</f>
        <v/>
      </c>
      <c r="L395" s="7">
        <f>'1 prepared data'!K388</f>
        <v/>
      </c>
      <c r="M395" s="7">
        <f>'1 prepared data'!L388</f>
        <v/>
      </c>
      <c r="N395" s="7">
        <f>'1 prepared data'!M388</f>
        <v/>
      </c>
      <c r="O395" s="7">
        <f>'1 prepared data'!N388</f>
        <v/>
      </c>
      <c r="P395" s="7">
        <f>'1 prepared data'!O388</f>
        <v/>
      </c>
      <c r="Q395" s="7">
        <f>'1 prepared data'!P388</f>
        <v/>
      </c>
      <c r="R395" s="7">
        <f>'1 prepared data'!Q388</f>
        <v/>
      </c>
      <c r="S395" s="7">
        <f>'1 prepared data'!R388</f>
        <v/>
      </c>
      <c r="T395" s="7">
        <f>'1 prepared data'!S388</f>
        <v/>
      </c>
      <c r="U395" s="7">
        <f>'1 prepared data'!T388</f>
        <v/>
      </c>
      <c r="V395" s="8">
        <f>$AC$12+D395*$AC$13+E395*$AC$14+F395*$AC$15+G395*$AC$16+H395*$AC$17+I395*$AC$18+J395*$AC$19+K395*$AC$20+L395*$AC$21+M395*$AC$22+N395*$AC$23+O395*$AC$24+P395*$AC$25+Q395*$AC$26+R395*$AC$27+S395*$AC$28+T395*$AC$29+U395*$AC$30</f>
        <v/>
      </c>
      <c r="W395" s="8">
        <f>1/(1+EXP(-V395))</f>
        <v/>
      </c>
      <c r="X395" s="9">
        <f>-IF(C395=1,LN(W395),LN(1-W395))</f>
        <v/>
      </c>
      <c r="Y395" s="10">
        <f>IF(W395&gt;$AC$34,1,0)</f>
        <v/>
      </c>
      <c r="Z395">
        <f>IF(Y395=C395,1,0)</f>
        <v/>
      </c>
    </row>
    <row r="396">
      <c r="A396">
        <f>'1 prepared data'!A389</f>
        <v/>
      </c>
      <c r="B396" s="5">
        <f>'1 prepared data'!U389</f>
        <v/>
      </c>
      <c r="C396">
        <f>'1 prepared data'!B389</f>
        <v/>
      </c>
      <c r="D396" s="7">
        <f>'1 prepared data'!C389</f>
        <v/>
      </c>
      <c r="E396" s="7">
        <f>'1 prepared data'!D389</f>
        <v/>
      </c>
      <c r="F396" s="7">
        <f>'1 prepared data'!E389</f>
        <v/>
      </c>
      <c r="G396" s="7">
        <f>'1 prepared data'!F389</f>
        <v/>
      </c>
      <c r="H396" s="7">
        <f>'1 prepared data'!G389</f>
        <v/>
      </c>
      <c r="I396" s="7">
        <f>'1 prepared data'!H389</f>
        <v/>
      </c>
      <c r="J396" s="7">
        <f>'1 prepared data'!I389</f>
        <v/>
      </c>
      <c r="K396" s="7">
        <f>'1 prepared data'!J389</f>
        <v/>
      </c>
      <c r="L396" s="7">
        <f>'1 prepared data'!K389</f>
        <v/>
      </c>
      <c r="M396" s="7">
        <f>'1 prepared data'!L389</f>
        <v/>
      </c>
      <c r="N396" s="7">
        <f>'1 prepared data'!M389</f>
        <v/>
      </c>
      <c r="O396" s="7">
        <f>'1 prepared data'!N389</f>
        <v/>
      </c>
      <c r="P396" s="7">
        <f>'1 prepared data'!O389</f>
        <v/>
      </c>
      <c r="Q396" s="7">
        <f>'1 prepared data'!P389</f>
        <v/>
      </c>
      <c r="R396" s="7">
        <f>'1 prepared data'!Q389</f>
        <v/>
      </c>
      <c r="S396" s="7">
        <f>'1 prepared data'!R389</f>
        <v/>
      </c>
      <c r="T396" s="7">
        <f>'1 prepared data'!S389</f>
        <v/>
      </c>
      <c r="U396" s="7">
        <f>'1 prepared data'!T389</f>
        <v/>
      </c>
      <c r="V396" s="8">
        <f>$AC$12+D396*$AC$13+E396*$AC$14+F396*$AC$15+G396*$AC$16+H396*$AC$17+I396*$AC$18+J396*$AC$19+K396*$AC$20+L396*$AC$21+M396*$AC$22+N396*$AC$23+O396*$AC$24+P396*$AC$25+Q396*$AC$26+R396*$AC$27+S396*$AC$28+T396*$AC$29+U396*$AC$30</f>
        <v/>
      </c>
      <c r="W396" s="8">
        <f>1/(1+EXP(-V396))</f>
        <v/>
      </c>
      <c r="X396" s="9">
        <f>-IF(C396=1,LN(W396),LN(1-W396))</f>
        <v/>
      </c>
      <c r="Y396" s="10">
        <f>IF(W396&gt;$AC$34,1,0)</f>
        <v/>
      </c>
      <c r="Z396">
        <f>IF(Y396=C396,1,0)</f>
        <v/>
      </c>
    </row>
    <row r="397">
      <c r="A397">
        <f>'1 prepared data'!A390</f>
        <v/>
      </c>
      <c r="B397" s="5">
        <f>'1 prepared data'!U390</f>
        <v/>
      </c>
      <c r="C397">
        <f>'1 prepared data'!B390</f>
        <v/>
      </c>
      <c r="D397" s="7">
        <f>'1 prepared data'!C390</f>
        <v/>
      </c>
      <c r="E397" s="7">
        <f>'1 prepared data'!D390</f>
        <v/>
      </c>
      <c r="F397" s="7">
        <f>'1 prepared data'!E390</f>
        <v/>
      </c>
      <c r="G397" s="7">
        <f>'1 prepared data'!F390</f>
        <v/>
      </c>
      <c r="H397" s="7">
        <f>'1 prepared data'!G390</f>
        <v/>
      </c>
      <c r="I397" s="7">
        <f>'1 prepared data'!H390</f>
        <v/>
      </c>
      <c r="J397" s="7">
        <f>'1 prepared data'!I390</f>
        <v/>
      </c>
      <c r="K397" s="7">
        <f>'1 prepared data'!J390</f>
        <v/>
      </c>
      <c r="L397" s="7">
        <f>'1 prepared data'!K390</f>
        <v/>
      </c>
      <c r="M397" s="7">
        <f>'1 prepared data'!L390</f>
        <v/>
      </c>
      <c r="N397" s="7">
        <f>'1 prepared data'!M390</f>
        <v/>
      </c>
      <c r="O397" s="7">
        <f>'1 prepared data'!N390</f>
        <v/>
      </c>
      <c r="P397" s="7">
        <f>'1 prepared data'!O390</f>
        <v/>
      </c>
      <c r="Q397" s="7">
        <f>'1 prepared data'!P390</f>
        <v/>
      </c>
      <c r="R397" s="7">
        <f>'1 prepared data'!Q390</f>
        <v/>
      </c>
      <c r="S397" s="7">
        <f>'1 prepared data'!R390</f>
        <v/>
      </c>
      <c r="T397" s="7">
        <f>'1 prepared data'!S390</f>
        <v/>
      </c>
      <c r="U397" s="7">
        <f>'1 prepared data'!T390</f>
        <v/>
      </c>
      <c r="V397" s="8">
        <f>$AC$12+D397*$AC$13+E397*$AC$14+F397*$AC$15+G397*$AC$16+H397*$AC$17+I397*$AC$18+J397*$AC$19+K397*$AC$20+L397*$AC$21+M397*$AC$22+N397*$AC$23+O397*$AC$24+P397*$AC$25+Q397*$AC$26+R397*$AC$27+S397*$AC$28+T397*$AC$29+U397*$AC$30</f>
        <v/>
      </c>
      <c r="W397" s="8">
        <f>1/(1+EXP(-V397))</f>
        <v/>
      </c>
      <c r="X397" s="9">
        <f>-IF(C397=1,LN(W397),LN(1-W397))</f>
        <v/>
      </c>
      <c r="Y397" s="10">
        <f>IF(W397&gt;$AC$34,1,0)</f>
        <v/>
      </c>
      <c r="Z397">
        <f>IF(Y397=C397,1,0)</f>
        <v/>
      </c>
    </row>
    <row r="398">
      <c r="A398">
        <f>'1 prepared data'!A391</f>
        <v/>
      </c>
      <c r="B398" s="5">
        <f>'1 prepared data'!U391</f>
        <v/>
      </c>
      <c r="C398">
        <f>'1 prepared data'!B391</f>
        <v/>
      </c>
      <c r="D398" s="7">
        <f>'1 prepared data'!C391</f>
        <v/>
      </c>
      <c r="E398" s="7">
        <f>'1 prepared data'!D391</f>
        <v/>
      </c>
      <c r="F398" s="7">
        <f>'1 prepared data'!E391</f>
        <v/>
      </c>
      <c r="G398" s="7">
        <f>'1 prepared data'!F391</f>
        <v/>
      </c>
      <c r="H398" s="7">
        <f>'1 prepared data'!G391</f>
        <v/>
      </c>
      <c r="I398" s="7">
        <f>'1 prepared data'!H391</f>
        <v/>
      </c>
      <c r="J398" s="7">
        <f>'1 prepared data'!I391</f>
        <v/>
      </c>
      <c r="K398" s="7">
        <f>'1 prepared data'!J391</f>
        <v/>
      </c>
      <c r="L398" s="7">
        <f>'1 prepared data'!K391</f>
        <v/>
      </c>
      <c r="M398" s="7">
        <f>'1 prepared data'!L391</f>
        <v/>
      </c>
      <c r="N398" s="7">
        <f>'1 prepared data'!M391</f>
        <v/>
      </c>
      <c r="O398" s="7">
        <f>'1 prepared data'!N391</f>
        <v/>
      </c>
      <c r="P398" s="7">
        <f>'1 prepared data'!O391</f>
        <v/>
      </c>
      <c r="Q398" s="7">
        <f>'1 prepared data'!P391</f>
        <v/>
      </c>
      <c r="R398" s="7">
        <f>'1 prepared data'!Q391</f>
        <v/>
      </c>
      <c r="S398" s="7">
        <f>'1 prepared data'!R391</f>
        <v/>
      </c>
      <c r="T398" s="7">
        <f>'1 prepared data'!S391</f>
        <v/>
      </c>
      <c r="U398" s="7">
        <f>'1 prepared data'!T391</f>
        <v/>
      </c>
      <c r="V398" s="8">
        <f>$AC$12+D398*$AC$13+E398*$AC$14+F398*$AC$15+G398*$AC$16+H398*$AC$17+I398*$AC$18+J398*$AC$19+K398*$AC$20+L398*$AC$21+M398*$AC$22+N398*$AC$23+O398*$AC$24+P398*$AC$25+Q398*$AC$26+R398*$AC$27+S398*$AC$28+T398*$AC$29+U398*$AC$30</f>
        <v/>
      </c>
      <c r="W398" s="8">
        <f>1/(1+EXP(-V398))</f>
        <v/>
      </c>
      <c r="X398" s="9">
        <f>-IF(C398=1,LN(W398),LN(1-W398))</f>
        <v/>
      </c>
      <c r="Y398" s="10">
        <f>IF(W398&gt;$AC$34,1,0)</f>
        <v/>
      </c>
      <c r="Z398">
        <f>IF(Y398=C398,1,0)</f>
        <v/>
      </c>
    </row>
    <row r="399">
      <c r="A399">
        <f>'1 prepared data'!A392</f>
        <v/>
      </c>
      <c r="B399" s="5">
        <f>'1 prepared data'!U392</f>
        <v/>
      </c>
      <c r="C399">
        <f>'1 prepared data'!B392</f>
        <v/>
      </c>
      <c r="D399" s="7">
        <f>'1 prepared data'!C392</f>
        <v/>
      </c>
      <c r="E399" s="7">
        <f>'1 prepared data'!D392</f>
        <v/>
      </c>
      <c r="F399" s="7">
        <f>'1 prepared data'!E392</f>
        <v/>
      </c>
      <c r="G399" s="7">
        <f>'1 prepared data'!F392</f>
        <v/>
      </c>
      <c r="H399" s="7">
        <f>'1 prepared data'!G392</f>
        <v/>
      </c>
      <c r="I399" s="7">
        <f>'1 prepared data'!H392</f>
        <v/>
      </c>
      <c r="J399" s="7">
        <f>'1 prepared data'!I392</f>
        <v/>
      </c>
      <c r="K399" s="7">
        <f>'1 prepared data'!J392</f>
        <v/>
      </c>
      <c r="L399" s="7">
        <f>'1 prepared data'!K392</f>
        <v/>
      </c>
      <c r="M399" s="7">
        <f>'1 prepared data'!L392</f>
        <v/>
      </c>
      <c r="N399" s="7">
        <f>'1 prepared data'!M392</f>
        <v/>
      </c>
      <c r="O399" s="7">
        <f>'1 prepared data'!N392</f>
        <v/>
      </c>
      <c r="P399" s="7">
        <f>'1 prepared data'!O392</f>
        <v/>
      </c>
      <c r="Q399" s="7">
        <f>'1 prepared data'!P392</f>
        <v/>
      </c>
      <c r="R399" s="7">
        <f>'1 prepared data'!Q392</f>
        <v/>
      </c>
      <c r="S399" s="7">
        <f>'1 prepared data'!R392</f>
        <v/>
      </c>
      <c r="T399" s="7">
        <f>'1 prepared data'!S392</f>
        <v/>
      </c>
      <c r="U399" s="7">
        <f>'1 prepared data'!T392</f>
        <v/>
      </c>
      <c r="V399" s="8">
        <f>$AC$12+D399*$AC$13+E399*$AC$14+F399*$AC$15+G399*$AC$16+H399*$AC$17+I399*$AC$18+J399*$AC$19+K399*$AC$20+L399*$AC$21+M399*$AC$22+N399*$AC$23+O399*$AC$24+P399*$AC$25+Q399*$AC$26+R399*$AC$27+S399*$AC$28+T399*$AC$29+U399*$AC$30</f>
        <v/>
      </c>
      <c r="W399" s="8">
        <f>1/(1+EXP(-V399))</f>
        <v/>
      </c>
      <c r="X399" s="9">
        <f>-IF(C399=1,LN(W399),LN(1-W399))</f>
        <v/>
      </c>
      <c r="Y399" s="10">
        <f>IF(W399&gt;$AC$34,1,0)</f>
        <v/>
      </c>
      <c r="Z399">
        <f>IF(Y399=C399,1,0)</f>
        <v/>
      </c>
    </row>
    <row r="400">
      <c r="A400">
        <f>'1 prepared data'!A393</f>
        <v/>
      </c>
      <c r="B400" s="5">
        <f>'1 prepared data'!U393</f>
        <v/>
      </c>
      <c r="C400">
        <f>'1 prepared data'!B393</f>
        <v/>
      </c>
      <c r="D400" s="7">
        <f>'1 prepared data'!C393</f>
        <v/>
      </c>
      <c r="E400" s="7">
        <f>'1 prepared data'!D393</f>
        <v/>
      </c>
      <c r="F400" s="7">
        <f>'1 prepared data'!E393</f>
        <v/>
      </c>
      <c r="G400" s="7">
        <f>'1 prepared data'!F393</f>
        <v/>
      </c>
      <c r="H400" s="7">
        <f>'1 prepared data'!G393</f>
        <v/>
      </c>
      <c r="I400" s="7">
        <f>'1 prepared data'!H393</f>
        <v/>
      </c>
      <c r="J400" s="7">
        <f>'1 prepared data'!I393</f>
        <v/>
      </c>
      <c r="K400" s="7">
        <f>'1 prepared data'!J393</f>
        <v/>
      </c>
      <c r="L400" s="7">
        <f>'1 prepared data'!K393</f>
        <v/>
      </c>
      <c r="M400" s="7">
        <f>'1 prepared data'!L393</f>
        <v/>
      </c>
      <c r="N400" s="7">
        <f>'1 prepared data'!M393</f>
        <v/>
      </c>
      <c r="O400" s="7">
        <f>'1 prepared data'!N393</f>
        <v/>
      </c>
      <c r="P400" s="7">
        <f>'1 prepared data'!O393</f>
        <v/>
      </c>
      <c r="Q400" s="7">
        <f>'1 prepared data'!P393</f>
        <v/>
      </c>
      <c r="R400" s="7">
        <f>'1 prepared data'!Q393</f>
        <v/>
      </c>
      <c r="S400" s="7">
        <f>'1 prepared data'!R393</f>
        <v/>
      </c>
      <c r="T400" s="7">
        <f>'1 prepared data'!S393</f>
        <v/>
      </c>
      <c r="U400" s="7">
        <f>'1 prepared data'!T393</f>
        <v/>
      </c>
      <c r="V400" s="8">
        <f>$AC$12+D400*$AC$13+E400*$AC$14+F400*$AC$15+G400*$AC$16+H400*$AC$17+I400*$AC$18+J400*$AC$19+K400*$AC$20+L400*$AC$21+M400*$AC$22+N400*$AC$23+O400*$AC$24+P400*$AC$25+Q400*$AC$26+R400*$AC$27+S400*$AC$28+T400*$AC$29+U400*$AC$30</f>
        <v/>
      </c>
      <c r="W400" s="8">
        <f>1/(1+EXP(-V400))</f>
        <v/>
      </c>
      <c r="X400" s="9">
        <f>-IF(C400=1,LN(W400),LN(1-W400))</f>
        <v/>
      </c>
      <c r="Y400" s="10">
        <f>IF(W400&gt;$AC$34,1,0)</f>
        <v/>
      </c>
      <c r="Z400">
        <f>IF(Y400=C400,1,0)</f>
        <v/>
      </c>
    </row>
    <row r="401">
      <c r="A401">
        <f>'1 prepared data'!A394</f>
        <v/>
      </c>
      <c r="B401" s="5">
        <f>'1 prepared data'!U394</f>
        <v/>
      </c>
      <c r="C401">
        <f>'1 prepared data'!B394</f>
        <v/>
      </c>
      <c r="D401" s="7">
        <f>'1 prepared data'!C394</f>
        <v/>
      </c>
      <c r="E401" s="7">
        <f>'1 prepared data'!D394</f>
        <v/>
      </c>
      <c r="F401" s="7">
        <f>'1 prepared data'!E394</f>
        <v/>
      </c>
      <c r="G401" s="7">
        <f>'1 prepared data'!F394</f>
        <v/>
      </c>
      <c r="H401" s="7">
        <f>'1 prepared data'!G394</f>
        <v/>
      </c>
      <c r="I401" s="7">
        <f>'1 prepared data'!H394</f>
        <v/>
      </c>
      <c r="J401" s="7">
        <f>'1 prepared data'!I394</f>
        <v/>
      </c>
      <c r="K401" s="7">
        <f>'1 prepared data'!J394</f>
        <v/>
      </c>
      <c r="L401" s="7">
        <f>'1 prepared data'!K394</f>
        <v/>
      </c>
      <c r="M401" s="7">
        <f>'1 prepared data'!L394</f>
        <v/>
      </c>
      <c r="N401" s="7">
        <f>'1 prepared data'!M394</f>
        <v/>
      </c>
      <c r="O401" s="7">
        <f>'1 prepared data'!N394</f>
        <v/>
      </c>
      <c r="P401" s="7">
        <f>'1 prepared data'!O394</f>
        <v/>
      </c>
      <c r="Q401" s="7">
        <f>'1 prepared data'!P394</f>
        <v/>
      </c>
      <c r="R401" s="7">
        <f>'1 prepared data'!Q394</f>
        <v/>
      </c>
      <c r="S401" s="7">
        <f>'1 prepared data'!R394</f>
        <v/>
      </c>
      <c r="T401" s="7">
        <f>'1 prepared data'!S394</f>
        <v/>
      </c>
      <c r="U401" s="7">
        <f>'1 prepared data'!T394</f>
        <v/>
      </c>
      <c r="V401" s="8">
        <f>$AC$12+D401*$AC$13+E401*$AC$14+F401*$AC$15+G401*$AC$16+H401*$AC$17+I401*$AC$18+J401*$AC$19+K401*$AC$20+L401*$AC$21+M401*$AC$22+N401*$AC$23+O401*$AC$24+P401*$AC$25+Q401*$AC$26+R401*$AC$27+S401*$AC$28+T401*$AC$29+U401*$AC$30</f>
        <v/>
      </c>
      <c r="W401" s="8">
        <f>1/(1+EXP(-V401))</f>
        <v/>
      </c>
      <c r="X401" s="9">
        <f>-IF(C401=1,LN(W401),LN(1-W401))</f>
        <v/>
      </c>
      <c r="Y401" s="10">
        <f>IF(W401&gt;$AC$34,1,0)</f>
        <v/>
      </c>
      <c r="Z401">
        <f>IF(Y401=C401,1,0)</f>
        <v/>
      </c>
    </row>
    <row r="402">
      <c r="A402">
        <f>'1 prepared data'!A395</f>
        <v/>
      </c>
      <c r="B402" s="5">
        <f>'1 prepared data'!U395</f>
        <v/>
      </c>
      <c r="C402">
        <f>'1 prepared data'!B395</f>
        <v/>
      </c>
      <c r="D402" s="7">
        <f>'1 prepared data'!C395</f>
        <v/>
      </c>
      <c r="E402" s="7">
        <f>'1 prepared data'!D395</f>
        <v/>
      </c>
      <c r="F402" s="7">
        <f>'1 prepared data'!E395</f>
        <v/>
      </c>
      <c r="G402" s="7">
        <f>'1 prepared data'!F395</f>
        <v/>
      </c>
      <c r="H402" s="7">
        <f>'1 prepared data'!G395</f>
        <v/>
      </c>
      <c r="I402" s="7">
        <f>'1 prepared data'!H395</f>
        <v/>
      </c>
      <c r="J402" s="7">
        <f>'1 prepared data'!I395</f>
        <v/>
      </c>
      <c r="K402" s="7">
        <f>'1 prepared data'!J395</f>
        <v/>
      </c>
      <c r="L402" s="7">
        <f>'1 prepared data'!K395</f>
        <v/>
      </c>
      <c r="M402" s="7">
        <f>'1 prepared data'!L395</f>
        <v/>
      </c>
      <c r="N402" s="7">
        <f>'1 prepared data'!M395</f>
        <v/>
      </c>
      <c r="O402" s="7">
        <f>'1 prepared data'!N395</f>
        <v/>
      </c>
      <c r="P402" s="7">
        <f>'1 prepared data'!O395</f>
        <v/>
      </c>
      <c r="Q402" s="7">
        <f>'1 prepared data'!P395</f>
        <v/>
      </c>
      <c r="R402" s="7">
        <f>'1 prepared data'!Q395</f>
        <v/>
      </c>
      <c r="S402" s="7">
        <f>'1 prepared data'!R395</f>
        <v/>
      </c>
      <c r="T402" s="7">
        <f>'1 prepared data'!S395</f>
        <v/>
      </c>
      <c r="U402" s="7">
        <f>'1 prepared data'!T395</f>
        <v/>
      </c>
      <c r="V402" s="8">
        <f>$AC$12+D402*$AC$13+E402*$AC$14+F402*$AC$15+G402*$AC$16+H402*$AC$17+I402*$AC$18+J402*$AC$19+K402*$AC$20+L402*$AC$21+M402*$AC$22+N402*$AC$23+O402*$AC$24+P402*$AC$25+Q402*$AC$26+R402*$AC$27+S402*$AC$28+T402*$AC$29+U402*$AC$30</f>
        <v/>
      </c>
      <c r="W402" s="8">
        <f>1/(1+EXP(-V402))</f>
        <v/>
      </c>
      <c r="X402" s="9">
        <f>-IF(C402=1,LN(W402),LN(1-W402))</f>
        <v/>
      </c>
      <c r="Y402" s="10">
        <f>IF(W402&gt;$AC$34,1,0)</f>
        <v/>
      </c>
      <c r="Z402">
        <f>IF(Y402=C402,1,0)</f>
        <v/>
      </c>
    </row>
    <row r="403">
      <c r="A403">
        <f>'1 prepared data'!A396</f>
        <v/>
      </c>
      <c r="B403" s="5">
        <f>'1 prepared data'!U396</f>
        <v/>
      </c>
      <c r="C403">
        <f>'1 prepared data'!B396</f>
        <v/>
      </c>
      <c r="D403" s="7">
        <f>'1 prepared data'!C396</f>
        <v/>
      </c>
      <c r="E403" s="7">
        <f>'1 prepared data'!D396</f>
        <v/>
      </c>
      <c r="F403" s="7">
        <f>'1 prepared data'!E396</f>
        <v/>
      </c>
      <c r="G403" s="7">
        <f>'1 prepared data'!F396</f>
        <v/>
      </c>
      <c r="H403" s="7">
        <f>'1 prepared data'!G396</f>
        <v/>
      </c>
      <c r="I403" s="7">
        <f>'1 prepared data'!H396</f>
        <v/>
      </c>
      <c r="J403" s="7">
        <f>'1 prepared data'!I396</f>
        <v/>
      </c>
      <c r="K403" s="7">
        <f>'1 prepared data'!J396</f>
        <v/>
      </c>
      <c r="L403" s="7">
        <f>'1 prepared data'!K396</f>
        <v/>
      </c>
      <c r="M403" s="7">
        <f>'1 prepared data'!L396</f>
        <v/>
      </c>
      <c r="N403" s="7">
        <f>'1 prepared data'!M396</f>
        <v/>
      </c>
      <c r="O403" s="7">
        <f>'1 prepared data'!N396</f>
        <v/>
      </c>
      <c r="P403" s="7">
        <f>'1 prepared data'!O396</f>
        <v/>
      </c>
      <c r="Q403" s="7">
        <f>'1 prepared data'!P396</f>
        <v/>
      </c>
      <c r="R403" s="7">
        <f>'1 prepared data'!Q396</f>
        <v/>
      </c>
      <c r="S403" s="7">
        <f>'1 prepared data'!R396</f>
        <v/>
      </c>
      <c r="T403" s="7">
        <f>'1 prepared data'!S396</f>
        <v/>
      </c>
      <c r="U403" s="7">
        <f>'1 prepared data'!T396</f>
        <v/>
      </c>
      <c r="V403" s="8">
        <f>$AC$12+D403*$AC$13+E403*$AC$14+F403*$AC$15+G403*$AC$16+H403*$AC$17+I403*$AC$18+J403*$AC$19+K403*$AC$20+L403*$AC$21+M403*$AC$22+N403*$AC$23+O403*$AC$24+P403*$AC$25+Q403*$AC$26+R403*$AC$27+S403*$AC$28+T403*$AC$29+U403*$AC$30</f>
        <v/>
      </c>
      <c r="W403" s="8">
        <f>1/(1+EXP(-V403))</f>
        <v/>
      </c>
      <c r="X403" s="9">
        <f>-IF(C403=1,LN(W403),LN(1-W403))</f>
        <v/>
      </c>
      <c r="Y403" s="10">
        <f>IF(W403&gt;$AC$34,1,0)</f>
        <v/>
      </c>
      <c r="Z403">
        <f>IF(Y403=C403,1,0)</f>
        <v/>
      </c>
    </row>
    <row r="404">
      <c r="A404">
        <f>'1 prepared data'!A397</f>
        <v/>
      </c>
      <c r="B404" s="5">
        <f>'1 prepared data'!U397</f>
        <v/>
      </c>
      <c r="C404">
        <f>'1 prepared data'!B397</f>
        <v/>
      </c>
      <c r="D404" s="7">
        <f>'1 prepared data'!C397</f>
        <v/>
      </c>
      <c r="E404" s="7">
        <f>'1 prepared data'!D397</f>
        <v/>
      </c>
      <c r="F404" s="7">
        <f>'1 prepared data'!E397</f>
        <v/>
      </c>
      <c r="G404" s="7">
        <f>'1 prepared data'!F397</f>
        <v/>
      </c>
      <c r="H404" s="7">
        <f>'1 prepared data'!G397</f>
        <v/>
      </c>
      <c r="I404" s="7">
        <f>'1 prepared data'!H397</f>
        <v/>
      </c>
      <c r="J404" s="7">
        <f>'1 prepared data'!I397</f>
        <v/>
      </c>
      <c r="K404" s="7">
        <f>'1 prepared data'!J397</f>
        <v/>
      </c>
      <c r="L404" s="7">
        <f>'1 prepared data'!K397</f>
        <v/>
      </c>
      <c r="M404" s="7">
        <f>'1 prepared data'!L397</f>
        <v/>
      </c>
      <c r="N404" s="7">
        <f>'1 prepared data'!M397</f>
        <v/>
      </c>
      <c r="O404" s="7">
        <f>'1 prepared data'!N397</f>
        <v/>
      </c>
      <c r="P404" s="7">
        <f>'1 prepared data'!O397</f>
        <v/>
      </c>
      <c r="Q404" s="7">
        <f>'1 prepared data'!P397</f>
        <v/>
      </c>
      <c r="R404" s="7">
        <f>'1 prepared data'!Q397</f>
        <v/>
      </c>
      <c r="S404" s="7">
        <f>'1 prepared data'!R397</f>
        <v/>
      </c>
      <c r="T404" s="7">
        <f>'1 prepared data'!S397</f>
        <v/>
      </c>
      <c r="U404" s="7">
        <f>'1 prepared data'!T397</f>
        <v/>
      </c>
      <c r="V404" s="8">
        <f>$AC$12+D404*$AC$13+E404*$AC$14+F404*$AC$15+G404*$AC$16+H404*$AC$17+I404*$AC$18+J404*$AC$19+K404*$AC$20+L404*$AC$21+M404*$AC$22+N404*$AC$23+O404*$AC$24+P404*$AC$25+Q404*$AC$26+R404*$AC$27+S404*$AC$28+T404*$AC$29+U404*$AC$30</f>
        <v/>
      </c>
      <c r="W404" s="8">
        <f>1/(1+EXP(-V404))</f>
        <v/>
      </c>
      <c r="X404" s="9">
        <f>-IF(C404=1,LN(W404),LN(1-W404))</f>
        <v/>
      </c>
      <c r="Y404" s="10">
        <f>IF(W404&gt;$AC$34,1,0)</f>
        <v/>
      </c>
      <c r="Z404">
        <f>IF(Y404=C404,1,0)</f>
        <v/>
      </c>
    </row>
    <row r="405">
      <c r="A405">
        <f>'1 prepared data'!A398</f>
        <v/>
      </c>
      <c r="B405" s="5">
        <f>'1 prepared data'!U398</f>
        <v/>
      </c>
      <c r="C405">
        <f>'1 prepared data'!B398</f>
        <v/>
      </c>
      <c r="D405" s="7">
        <f>'1 prepared data'!C398</f>
        <v/>
      </c>
      <c r="E405" s="7">
        <f>'1 prepared data'!D398</f>
        <v/>
      </c>
      <c r="F405" s="7">
        <f>'1 prepared data'!E398</f>
        <v/>
      </c>
      <c r="G405" s="7">
        <f>'1 prepared data'!F398</f>
        <v/>
      </c>
      <c r="H405" s="7">
        <f>'1 prepared data'!G398</f>
        <v/>
      </c>
      <c r="I405" s="7">
        <f>'1 prepared data'!H398</f>
        <v/>
      </c>
      <c r="J405" s="7">
        <f>'1 prepared data'!I398</f>
        <v/>
      </c>
      <c r="K405" s="7">
        <f>'1 prepared data'!J398</f>
        <v/>
      </c>
      <c r="L405" s="7">
        <f>'1 prepared data'!K398</f>
        <v/>
      </c>
      <c r="M405" s="7">
        <f>'1 prepared data'!L398</f>
        <v/>
      </c>
      <c r="N405" s="7">
        <f>'1 prepared data'!M398</f>
        <v/>
      </c>
      <c r="O405" s="7">
        <f>'1 prepared data'!N398</f>
        <v/>
      </c>
      <c r="P405" s="7">
        <f>'1 prepared data'!O398</f>
        <v/>
      </c>
      <c r="Q405" s="7">
        <f>'1 prepared data'!P398</f>
        <v/>
      </c>
      <c r="R405" s="7">
        <f>'1 prepared data'!Q398</f>
        <v/>
      </c>
      <c r="S405" s="7">
        <f>'1 prepared data'!R398</f>
        <v/>
      </c>
      <c r="T405" s="7">
        <f>'1 prepared data'!S398</f>
        <v/>
      </c>
      <c r="U405" s="7">
        <f>'1 prepared data'!T398</f>
        <v/>
      </c>
      <c r="V405" s="8">
        <f>$AC$12+D405*$AC$13+E405*$AC$14+F405*$AC$15+G405*$AC$16+H405*$AC$17+I405*$AC$18+J405*$AC$19+K405*$AC$20+L405*$AC$21+M405*$AC$22+N405*$AC$23+O405*$AC$24+P405*$AC$25+Q405*$AC$26+R405*$AC$27+S405*$AC$28+T405*$AC$29+U405*$AC$30</f>
        <v/>
      </c>
      <c r="W405" s="8">
        <f>1/(1+EXP(-V405))</f>
        <v/>
      </c>
      <c r="X405" s="9">
        <f>-IF(C405=1,LN(W405),LN(1-W405))</f>
        <v/>
      </c>
      <c r="Y405" s="10">
        <f>IF(W405&gt;$AC$34,1,0)</f>
        <v/>
      </c>
      <c r="Z405">
        <f>IF(Y405=C405,1,0)</f>
        <v/>
      </c>
    </row>
    <row r="406">
      <c r="A406">
        <f>'1 prepared data'!A399</f>
        <v/>
      </c>
      <c r="B406" s="5">
        <f>'1 prepared data'!U399</f>
        <v/>
      </c>
      <c r="C406">
        <f>'1 prepared data'!B399</f>
        <v/>
      </c>
      <c r="D406" s="7">
        <f>'1 prepared data'!C399</f>
        <v/>
      </c>
      <c r="E406" s="7">
        <f>'1 prepared data'!D399</f>
        <v/>
      </c>
      <c r="F406" s="7">
        <f>'1 prepared data'!E399</f>
        <v/>
      </c>
      <c r="G406" s="7">
        <f>'1 prepared data'!F399</f>
        <v/>
      </c>
      <c r="H406" s="7">
        <f>'1 prepared data'!G399</f>
        <v/>
      </c>
      <c r="I406" s="7">
        <f>'1 prepared data'!H399</f>
        <v/>
      </c>
      <c r="J406" s="7">
        <f>'1 prepared data'!I399</f>
        <v/>
      </c>
      <c r="K406" s="7">
        <f>'1 prepared data'!J399</f>
        <v/>
      </c>
      <c r="L406" s="7">
        <f>'1 prepared data'!K399</f>
        <v/>
      </c>
      <c r="M406" s="7">
        <f>'1 prepared data'!L399</f>
        <v/>
      </c>
      <c r="N406" s="7">
        <f>'1 prepared data'!M399</f>
        <v/>
      </c>
      <c r="O406" s="7">
        <f>'1 prepared data'!N399</f>
        <v/>
      </c>
      <c r="P406" s="7">
        <f>'1 prepared data'!O399</f>
        <v/>
      </c>
      <c r="Q406" s="7">
        <f>'1 prepared data'!P399</f>
        <v/>
      </c>
      <c r="R406" s="7">
        <f>'1 prepared data'!Q399</f>
        <v/>
      </c>
      <c r="S406" s="7">
        <f>'1 prepared data'!R399</f>
        <v/>
      </c>
      <c r="T406" s="7">
        <f>'1 prepared data'!S399</f>
        <v/>
      </c>
      <c r="U406" s="7">
        <f>'1 prepared data'!T399</f>
        <v/>
      </c>
      <c r="V406" s="8">
        <f>$AC$12+D406*$AC$13+E406*$AC$14+F406*$AC$15+G406*$AC$16+H406*$AC$17+I406*$AC$18+J406*$AC$19+K406*$AC$20+L406*$AC$21+M406*$AC$22+N406*$AC$23+O406*$AC$24+P406*$AC$25+Q406*$AC$26+R406*$AC$27+S406*$AC$28+T406*$AC$29+U406*$AC$30</f>
        <v/>
      </c>
      <c r="W406" s="8">
        <f>1/(1+EXP(-V406))</f>
        <v/>
      </c>
      <c r="X406" s="9">
        <f>-IF(C406=1,LN(W406),LN(1-W406))</f>
        <v/>
      </c>
      <c r="Y406" s="10">
        <f>IF(W406&gt;$AC$34,1,0)</f>
        <v/>
      </c>
      <c r="Z406">
        <f>IF(Y406=C406,1,0)</f>
        <v/>
      </c>
    </row>
    <row r="407">
      <c r="A407">
        <f>'1 prepared data'!A400</f>
        <v/>
      </c>
      <c r="B407" s="5">
        <f>'1 prepared data'!U400</f>
        <v/>
      </c>
      <c r="C407">
        <f>'1 prepared data'!B400</f>
        <v/>
      </c>
      <c r="D407" s="7">
        <f>'1 prepared data'!C400</f>
        <v/>
      </c>
      <c r="E407" s="7">
        <f>'1 prepared data'!D400</f>
        <v/>
      </c>
      <c r="F407" s="7">
        <f>'1 prepared data'!E400</f>
        <v/>
      </c>
      <c r="G407" s="7">
        <f>'1 prepared data'!F400</f>
        <v/>
      </c>
      <c r="H407" s="7">
        <f>'1 prepared data'!G400</f>
        <v/>
      </c>
      <c r="I407" s="7">
        <f>'1 prepared data'!H400</f>
        <v/>
      </c>
      <c r="J407" s="7">
        <f>'1 prepared data'!I400</f>
        <v/>
      </c>
      <c r="K407" s="7">
        <f>'1 prepared data'!J400</f>
        <v/>
      </c>
      <c r="L407" s="7">
        <f>'1 prepared data'!K400</f>
        <v/>
      </c>
      <c r="M407" s="7">
        <f>'1 prepared data'!L400</f>
        <v/>
      </c>
      <c r="N407" s="7">
        <f>'1 prepared data'!M400</f>
        <v/>
      </c>
      <c r="O407" s="7">
        <f>'1 prepared data'!N400</f>
        <v/>
      </c>
      <c r="P407" s="7">
        <f>'1 prepared data'!O400</f>
        <v/>
      </c>
      <c r="Q407" s="7">
        <f>'1 prepared data'!P400</f>
        <v/>
      </c>
      <c r="R407" s="7">
        <f>'1 prepared data'!Q400</f>
        <v/>
      </c>
      <c r="S407" s="7">
        <f>'1 prepared data'!R400</f>
        <v/>
      </c>
      <c r="T407" s="7">
        <f>'1 prepared data'!S400</f>
        <v/>
      </c>
      <c r="U407" s="7">
        <f>'1 prepared data'!T400</f>
        <v/>
      </c>
      <c r="V407" s="8">
        <f>$AC$12+D407*$AC$13+E407*$AC$14+F407*$AC$15+G407*$AC$16+H407*$AC$17+I407*$AC$18+J407*$AC$19+K407*$AC$20+L407*$AC$21+M407*$AC$22+N407*$AC$23+O407*$AC$24+P407*$AC$25+Q407*$AC$26+R407*$AC$27+S407*$AC$28+T407*$AC$29+U407*$AC$30</f>
        <v/>
      </c>
      <c r="W407" s="8">
        <f>1/(1+EXP(-V407))</f>
        <v/>
      </c>
      <c r="X407" s="9">
        <f>-IF(C407=1,LN(W407),LN(1-W407))</f>
        <v/>
      </c>
      <c r="Y407" s="10">
        <f>IF(W407&gt;$AC$34,1,0)</f>
        <v/>
      </c>
      <c r="Z407">
        <f>IF(Y407=C407,1,0)</f>
        <v/>
      </c>
    </row>
    <row r="408">
      <c r="A408">
        <f>'1 prepared data'!A401</f>
        <v/>
      </c>
      <c r="B408" s="5">
        <f>'1 prepared data'!U401</f>
        <v/>
      </c>
      <c r="C408">
        <f>'1 prepared data'!B401</f>
        <v/>
      </c>
      <c r="D408" s="7">
        <f>'1 prepared data'!C401</f>
        <v/>
      </c>
      <c r="E408" s="7">
        <f>'1 prepared data'!D401</f>
        <v/>
      </c>
      <c r="F408" s="7">
        <f>'1 prepared data'!E401</f>
        <v/>
      </c>
      <c r="G408" s="7">
        <f>'1 prepared data'!F401</f>
        <v/>
      </c>
      <c r="H408" s="7">
        <f>'1 prepared data'!G401</f>
        <v/>
      </c>
      <c r="I408" s="7">
        <f>'1 prepared data'!H401</f>
        <v/>
      </c>
      <c r="J408" s="7">
        <f>'1 prepared data'!I401</f>
        <v/>
      </c>
      <c r="K408" s="7">
        <f>'1 prepared data'!J401</f>
        <v/>
      </c>
      <c r="L408" s="7">
        <f>'1 prepared data'!K401</f>
        <v/>
      </c>
      <c r="M408" s="7">
        <f>'1 prepared data'!L401</f>
        <v/>
      </c>
      <c r="N408" s="7">
        <f>'1 prepared data'!M401</f>
        <v/>
      </c>
      <c r="O408" s="7">
        <f>'1 prepared data'!N401</f>
        <v/>
      </c>
      <c r="P408" s="7">
        <f>'1 prepared data'!O401</f>
        <v/>
      </c>
      <c r="Q408" s="7">
        <f>'1 prepared data'!P401</f>
        <v/>
      </c>
      <c r="R408" s="7">
        <f>'1 prepared data'!Q401</f>
        <v/>
      </c>
      <c r="S408" s="7">
        <f>'1 prepared data'!R401</f>
        <v/>
      </c>
      <c r="T408" s="7">
        <f>'1 prepared data'!S401</f>
        <v/>
      </c>
      <c r="U408" s="7">
        <f>'1 prepared data'!T401</f>
        <v/>
      </c>
      <c r="V408" s="8">
        <f>$AC$12+D408*$AC$13+E408*$AC$14+F408*$AC$15+G408*$AC$16+H408*$AC$17+I408*$AC$18+J408*$AC$19+K408*$AC$20+L408*$AC$21+M408*$AC$22+N408*$AC$23+O408*$AC$24+P408*$AC$25+Q408*$AC$26+R408*$AC$27+S408*$AC$28+T408*$AC$29+U408*$AC$30</f>
        <v/>
      </c>
      <c r="W408" s="8">
        <f>1/(1+EXP(-V408))</f>
        <v/>
      </c>
      <c r="X408" s="9">
        <f>-IF(C408=1,LN(W408),LN(1-W408))</f>
        <v/>
      </c>
      <c r="Y408" s="10">
        <f>IF(W408&gt;$AC$34,1,0)</f>
        <v/>
      </c>
      <c r="Z408">
        <f>IF(Y408=C408,1,0)</f>
        <v/>
      </c>
    </row>
    <row r="409">
      <c r="A409">
        <f>'1 prepared data'!A402</f>
        <v/>
      </c>
      <c r="B409" s="5">
        <f>'1 prepared data'!U402</f>
        <v/>
      </c>
      <c r="C409">
        <f>'1 prepared data'!B402</f>
        <v/>
      </c>
      <c r="D409" s="7">
        <f>'1 prepared data'!C402</f>
        <v/>
      </c>
      <c r="E409" s="7">
        <f>'1 prepared data'!D402</f>
        <v/>
      </c>
      <c r="F409" s="7">
        <f>'1 prepared data'!E402</f>
        <v/>
      </c>
      <c r="G409" s="7">
        <f>'1 prepared data'!F402</f>
        <v/>
      </c>
      <c r="H409" s="7">
        <f>'1 prepared data'!G402</f>
        <v/>
      </c>
      <c r="I409" s="7">
        <f>'1 prepared data'!H402</f>
        <v/>
      </c>
      <c r="J409" s="7">
        <f>'1 prepared data'!I402</f>
        <v/>
      </c>
      <c r="K409" s="7">
        <f>'1 prepared data'!J402</f>
        <v/>
      </c>
      <c r="L409" s="7">
        <f>'1 prepared data'!K402</f>
        <v/>
      </c>
      <c r="M409" s="7">
        <f>'1 prepared data'!L402</f>
        <v/>
      </c>
      <c r="N409" s="7">
        <f>'1 prepared data'!M402</f>
        <v/>
      </c>
      <c r="O409" s="7">
        <f>'1 prepared data'!N402</f>
        <v/>
      </c>
      <c r="P409" s="7">
        <f>'1 prepared data'!O402</f>
        <v/>
      </c>
      <c r="Q409" s="7">
        <f>'1 prepared data'!P402</f>
        <v/>
      </c>
      <c r="R409" s="7">
        <f>'1 prepared data'!Q402</f>
        <v/>
      </c>
      <c r="S409" s="7">
        <f>'1 prepared data'!R402</f>
        <v/>
      </c>
      <c r="T409" s="7">
        <f>'1 prepared data'!S402</f>
        <v/>
      </c>
      <c r="U409" s="7">
        <f>'1 prepared data'!T402</f>
        <v/>
      </c>
      <c r="V409" s="8">
        <f>$AC$12+D409*$AC$13+E409*$AC$14+F409*$AC$15+G409*$AC$16+H409*$AC$17+I409*$AC$18+J409*$AC$19+K409*$AC$20+L409*$AC$21+M409*$AC$22+N409*$AC$23+O409*$AC$24+P409*$AC$25+Q409*$AC$26+R409*$AC$27+S409*$AC$28+T409*$AC$29+U409*$AC$30</f>
        <v/>
      </c>
      <c r="W409" s="8">
        <f>1/(1+EXP(-V409))</f>
        <v/>
      </c>
      <c r="X409" s="9">
        <f>-IF(C409=1,LN(W409),LN(1-W409))</f>
        <v/>
      </c>
      <c r="Y409" s="10">
        <f>IF(W409&gt;$AC$34,1,0)</f>
        <v/>
      </c>
      <c r="Z409">
        <f>IF(Y409=C409,1,0)</f>
        <v/>
      </c>
    </row>
    <row r="410">
      <c r="A410">
        <f>'1 prepared data'!A403</f>
        <v/>
      </c>
      <c r="B410" s="5">
        <f>'1 prepared data'!U403</f>
        <v/>
      </c>
      <c r="C410">
        <f>'1 prepared data'!B403</f>
        <v/>
      </c>
      <c r="D410" s="7">
        <f>'1 prepared data'!C403</f>
        <v/>
      </c>
      <c r="E410" s="7">
        <f>'1 prepared data'!D403</f>
        <v/>
      </c>
      <c r="F410" s="7">
        <f>'1 prepared data'!E403</f>
        <v/>
      </c>
      <c r="G410" s="7">
        <f>'1 prepared data'!F403</f>
        <v/>
      </c>
      <c r="H410" s="7">
        <f>'1 prepared data'!G403</f>
        <v/>
      </c>
      <c r="I410" s="7">
        <f>'1 prepared data'!H403</f>
        <v/>
      </c>
      <c r="J410" s="7">
        <f>'1 prepared data'!I403</f>
        <v/>
      </c>
      <c r="K410" s="7">
        <f>'1 prepared data'!J403</f>
        <v/>
      </c>
      <c r="L410" s="7">
        <f>'1 prepared data'!K403</f>
        <v/>
      </c>
      <c r="M410" s="7">
        <f>'1 prepared data'!L403</f>
        <v/>
      </c>
      <c r="N410" s="7">
        <f>'1 prepared data'!M403</f>
        <v/>
      </c>
      <c r="O410" s="7">
        <f>'1 prepared data'!N403</f>
        <v/>
      </c>
      <c r="P410" s="7">
        <f>'1 prepared data'!O403</f>
        <v/>
      </c>
      <c r="Q410" s="7">
        <f>'1 prepared data'!P403</f>
        <v/>
      </c>
      <c r="R410" s="7">
        <f>'1 prepared data'!Q403</f>
        <v/>
      </c>
      <c r="S410" s="7">
        <f>'1 prepared data'!R403</f>
        <v/>
      </c>
      <c r="T410" s="7">
        <f>'1 prepared data'!S403</f>
        <v/>
      </c>
      <c r="U410" s="7">
        <f>'1 prepared data'!T403</f>
        <v/>
      </c>
      <c r="V410" s="8">
        <f>$AC$12+D410*$AC$13+E410*$AC$14+F410*$AC$15+G410*$AC$16+H410*$AC$17+I410*$AC$18+J410*$AC$19+K410*$AC$20+L410*$AC$21+M410*$AC$22+N410*$AC$23+O410*$AC$24+P410*$AC$25+Q410*$AC$26+R410*$AC$27+S410*$AC$28+T410*$AC$29+U410*$AC$30</f>
        <v/>
      </c>
      <c r="W410" s="8">
        <f>1/(1+EXP(-V410))</f>
        <v/>
      </c>
      <c r="X410" s="9">
        <f>-IF(C410=1,LN(W410),LN(1-W410))</f>
        <v/>
      </c>
      <c r="Y410" s="10">
        <f>IF(W410&gt;$AC$34,1,0)</f>
        <v/>
      </c>
      <c r="Z410">
        <f>IF(Y410=C410,1,0)</f>
        <v/>
      </c>
    </row>
    <row r="411">
      <c r="A411">
        <f>'1 prepared data'!A404</f>
        <v/>
      </c>
      <c r="B411" s="5">
        <f>'1 prepared data'!U404</f>
        <v/>
      </c>
      <c r="C411">
        <f>'1 prepared data'!B404</f>
        <v/>
      </c>
      <c r="D411" s="7">
        <f>'1 prepared data'!C404</f>
        <v/>
      </c>
      <c r="E411" s="7">
        <f>'1 prepared data'!D404</f>
        <v/>
      </c>
      <c r="F411" s="7">
        <f>'1 prepared data'!E404</f>
        <v/>
      </c>
      <c r="G411" s="7">
        <f>'1 prepared data'!F404</f>
        <v/>
      </c>
      <c r="H411" s="7">
        <f>'1 prepared data'!G404</f>
        <v/>
      </c>
      <c r="I411" s="7">
        <f>'1 prepared data'!H404</f>
        <v/>
      </c>
      <c r="J411" s="7">
        <f>'1 prepared data'!I404</f>
        <v/>
      </c>
      <c r="K411" s="7">
        <f>'1 prepared data'!J404</f>
        <v/>
      </c>
      <c r="L411" s="7">
        <f>'1 prepared data'!K404</f>
        <v/>
      </c>
      <c r="M411" s="7">
        <f>'1 prepared data'!L404</f>
        <v/>
      </c>
      <c r="N411" s="7">
        <f>'1 prepared data'!M404</f>
        <v/>
      </c>
      <c r="O411" s="7">
        <f>'1 prepared data'!N404</f>
        <v/>
      </c>
      <c r="P411" s="7">
        <f>'1 prepared data'!O404</f>
        <v/>
      </c>
      <c r="Q411" s="7">
        <f>'1 prepared data'!P404</f>
        <v/>
      </c>
      <c r="R411" s="7">
        <f>'1 prepared data'!Q404</f>
        <v/>
      </c>
      <c r="S411" s="7">
        <f>'1 prepared data'!R404</f>
        <v/>
      </c>
      <c r="T411" s="7">
        <f>'1 prepared data'!S404</f>
        <v/>
      </c>
      <c r="U411" s="7">
        <f>'1 prepared data'!T404</f>
        <v/>
      </c>
      <c r="V411" s="8">
        <f>$AC$12+D411*$AC$13+E411*$AC$14+F411*$AC$15+G411*$AC$16+H411*$AC$17+I411*$AC$18+J411*$AC$19+K411*$AC$20+L411*$AC$21+M411*$AC$22+N411*$AC$23+O411*$AC$24+P411*$AC$25+Q411*$AC$26+R411*$AC$27+S411*$AC$28+T411*$AC$29+U411*$AC$30</f>
        <v/>
      </c>
      <c r="W411" s="8">
        <f>1/(1+EXP(-V411))</f>
        <v/>
      </c>
      <c r="X411" s="9">
        <f>-IF(C411=1,LN(W411),LN(1-W411))</f>
        <v/>
      </c>
      <c r="Y411" s="10">
        <f>IF(W411&gt;$AC$34,1,0)</f>
        <v/>
      </c>
      <c r="Z411">
        <f>IF(Y411=C411,1,0)</f>
        <v/>
      </c>
    </row>
    <row r="412">
      <c r="A412">
        <f>'1 prepared data'!A405</f>
        <v/>
      </c>
      <c r="B412" s="5">
        <f>'1 prepared data'!U405</f>
        <v/>
      </c>
      <c r="C412">
        <f>'1 prepared data'!B405</f>
        <v/>
      </c>
      <c r="D412" s="7">
        <f>'1 prepared data'!C405</f>
        <v/>
      </c>
      <c r="E412" s="7">
        <f>'1 prepared data'!D405</f>
        <v/>
      </c>
      <c r="F412" s="7">
        <f>'1 prepared data'!E405</f>
        <v/>
      </c>
      <c r="G412" s="7">
        <f>'1 prepared data'!F405</f>
        <v/>
      </c>
      <c r="H412" s="7">
        <f>'1 prepared data'!G405</f>
        <v/>
      </c>
      <c r="I412" s="7">
        <f>'1 prepared data'!H405</f>
        <v/>
      </c>
      <c r="J412" s="7">
        <f>'1 prepared data'!I405</f>
        <v/>
      </c>
      <c r="K412" s="7">
        <f>'1 prepared data'!J405</f>
        <v/>
      </c>
      <c r="L412" s="7">
        <f>'1 prepared data'!K405</f>
        <v/>
      </c>
      <c r="M412" s="7">
        <f>'1 prepared data'!L405</f>
        <v/>
      </c>
      <c r="N412" s="7">
        <f>'1 prepared data'!M405</f>
        <v/>
      </c>
      <c r="O412" s="7">
        <f>'1 prepared data'!N405</f>
        <v/>
      </c>
      <c r="P412" s="7">
        <f>'1 prepared data'!O405</f>
        <v/>
      </c>
      <c r="Q412" s="7">
        <f>'1 prepared data'!P405</f>
        <v/>
      </c>
      <c r="R412" s="7">
        <f>'1 prepared data'!Q405</f>
        <v/>
      </c>
      <c r="S412" s="7">
        <f>'1 prepared data'!R405</f>
        <v/>
      </c>
      <c r="T412" s="7">
        <f>'1 prepared data'!S405</f>
        <v/>
      </c>
      <c r="U412" s="7">
        <f>'1 prepared data'!T405</f>
        <v/>
      </c>
      <c r="V412" s="8">
        <f>$AC$12+D412*$AC$13+E412*$AC$14+F412*$AC$15+G412*$AC$16+H412*$AC$17+I412*$AC$18+J412*$AC$19+K412*$AC$20+L412*$AC$21+M412*$AC$22+N412*$AC$23+O412*$AC$24+P412*$AC$25+Q412*$AC$26+R412*$AC$27+S412*$AC$28+T412*$AC$29+U412*$AC$30</f>
        <v/>
      </c>
      <c r="W412" s="8">
        <f>1/(1+EXP(-V412))</f>
        <v/>
      </c>
      <c r="X412" s="9">
        <f>-IF(C412=1,LN(W412),LN(1-W412))</f>
        <v/>
      </c>
      <c r="Y412" s="10">
        <f>IF(W412&gt;$AC$34,1,0)</f>
        <v/>
      </c>
      <c r="Z412">
        <f>IF(Y412=C412,1,0)</f>
        <v/>
      </c>
    </row>
    <row r="413">
      <c r="A413">
        <f>'1 prepared data'!A406</f>
        <v/>
      </c>
      <c r="B413" s="5">
        <f>'1 prepared data'!U406</f>
        <v/>
      </c>
      <c r="C413">
        <f>'1 prepared data'!B406</f>
        <v/>
      </c>
      <c r="D413" s="7">
        <f>'1 prepared data'!C406</f>
        <v/>
      </c>
      <c r="E413" s="7">
        <f>'1 prepared data'!D406</f>
        <v/>
      </c>
      <c r="F413" s="7">
        <f>'1 prepared data'!E406</f>
        <v/>
      </c>
      <c r="G413" s="7">
        <f>'1 prepared data'!F406</f>
        <v/>
      </c>
      <c r="H413" s="7">
        <f>'1 prepared data'!G406</f>
        <v/>
      </c>
      <c r="I413" s="7">
        <f>'1 prepared data'!H406</f>
        <v/>
      </c>
      <c r="J413" s="7">
        <f>'1 prepared data'!I406</f>
        <v/>
      </c>
      <c r="K413" s="7">
        <f>'1 prepared data'!J406</f>
        <v/>
      </c>
      <c r="L413" s="7">
        <f>'1 prepared data'!K406</f>
        <v/>
      </c>
      <c r="M413" s="7">
        <f>'1 prepared data'!L406</f>
        <v/>
      </c>
      <c r="N413" s="7">
        <f>'1 prepared data'!M406</f>
        <v/>
      </c>
      <c r="O413" s="7">
        <f>'1 prepared data'!N406</f>
        <v/>
      </c>
      <c r="P413" s="7">
        <f>'1 prepared data'!O406</f>
        <v/>
      </c>
      <c r="Q413" s="7">
        <f>'1 prepared data'!P406</f>
        <v/>
      </c>
      <c r="R413" s="7">
        <f>'1 prepared data'!Q406</f>
        <v/>
      </c>
      <c r="S413" s="7">
        <f>'1 prepared data'!R406</f>
        <v/>
      </c>
      <c r="T413" s="7">
        <f>'1 prepared data'!S406</f>
        <v/>
      </c>
      <c r="U413" s="7">
        <f>'1 prepared data'!T406</f>
        <v/>
      </c>
      <c r="V413" s="8">
        <f>$AC$12+D413*$AC$13+E413*$AC$14+F413*$AC$15+G413*$AC$16+H413*$AC$17+I413*$AC$18+J413*$AC$19+K413*$AC$20+L413*$AC$21+M413*$AC$22+N413*$AC$23+O413*$AC$24+P413*$AC$25+Q413*$AC$26+R413*$AC$27+S413*$AC$28+T413*$AC$29+U413*$AC$30</f>
        <v/>
      </c>
      <c r="W413" s="8">
        <f>1/(1+EXP(-V413))</f>
        <v/>
      </c>
      <c r="X413" s="9">
        <f>-IF(C413=1,LN(W413),LN(1-W413))</f>
        <v/>
      </c>
      <c r="Y413" s="10">
        <f>IF(W413&gt;$AC$34,1,0)</f>
        <v/>
      </c>
      <c r="Z413">
        <f>IF(Y413=C413,1,0)</f>
        <v/>
      </c>
    </row>
    <row r="414">
      <c r="A414">
        <f>'1 prepared data'!A407</f>
        <v/>
      </c>
      <c r="B414" s="5">
        <f>'1 prepared data'!U407</f>
        <v/>
      </c>
      <c r="C414">
        <f>'1 prepared data'!B407</f>
        <v/>
      </c>
      <c r="D414" s="7">
        <f>'1 prepared data'!C407</f>
        <v/>
      </c>
      <c r="E414" s="7">
        <f>'1 prepared data'!D407</f>
        <v/>
      </c>
      <c r="F414" s="7">
        <f>'1 prepared data'!E407</f>
        <v/>
      </c>
      <c r="G414" s="7">
        <f>'1 prepared data'!F407</f>
        <v/>
      </c>
      <c r="H414" s="7">
        <f>'1 prepared data'!G407</f>
        <v/>
      </c>
      <c r="I414" s="7">
        <f>'1 prepared data'!H407</f>
        <v/>
      </c>
      <c r="J414" s="7">
        <f>'1 prepared data'!I407</f>
        <v/>
      </c>
      <c r="K414" s="7">
        <f>'1 prepared data'!J407</f>
        <v/>
      </c>
      <c r="L414" s="7">
        <f>'1 prepared data'!K407</f>
        <v/>
      </c>
      <c r="M414" s="7">
        <f>'1 prepared data'!L407</f>
        <v/>
      </c>
      <c r="N414" s="7">
        <f>'1 prepared data'!M407</f>
        <v/>
      </c>
      <c r="O414" s="7">
        <f>'1 prepared data'!N407</f>
        <v/>
      </c>
      <c r="P414" s="7">
        <f>'1 prepared data'!O407</f>
        <v/>
      </c>
      <c r="Q414" s="7">
        <f>'1 prepared data'!P407</f>
        <v/>
      </c>
      <c r="R414" s="7">
        <f>'1 prepared data'!Q407</f>
        <v/>
      </c>
      <c r="S414" s="7">
        <f>'1 prepared data'!R407</f>
        <v/>
      </c>
      <c r="T414" s="7">
        <f>'1 prepared data'!S407</f>
        <v/>
      </c>
      <c r="U414" s="7">
        <f>'1 prepared data'!T407</f>
        <v/>
      </c>
      <c r="V414" s="8">
        <f>$AC$12+D414*$AC$13+E414*$AC$14+F414*$AC$15+G414*$AC$16+H414*$AC$17+I414*$AC$18+J414*$AC$19+K414*$AC$20+L414*$AC$21+M414*$AC$22+N414*$AC$23+O414*$AC$24+P414*$AC$25+Q414*$AC$26+R414*$AC$27+S414*$AC$28+T414*$AC$29+U414*$AC$30</f>
        <v/>
      </c>
      <c r="W414" s="8">
        <f>1/(1+EXP(-V414))</f>
        <v/>
      </c>
      <c r="X414" s="9">
        <f>-IF(C414=1,LN(W414),LN(1-W414))</f>
        <v/>
      </c>
      <c r="Y414" s="10">
        <f>IF(W414&gt;$AC$34,1,0)</f>
        <v/>
      </c>
      <c r="Z414">
        <f>IF(Y414=C414,1,0)</f>
        <v/>
      </c>
    </row>
    <row r="415">
      <c r="A415">
        <f>'1 prepared data'!A408</f>
        <v/>
      </c>
      <c r="B415" s="5">
        <f>'1 prepared data'!U408</f>
        <v/>
      </c>
      <c r="C415">
        <f>'1 prepared data'!B408</f>
        <v/>
      </c>
      <c r="D415" s="7">
        <f>'1 prepared data'!C408</f>
        <v/>
      </c>
      <c r="E415" s="7">
        <f>'1 prepared data'!D408</f>
        <v/>
      </c>
      <c r="F415" s="7">
        <f>'1 prepared data'!E408</f>
        <v/>
      </c>
      <c r="G415" s="7">
        <f>'1 prepared data'!F408</f>
        <v/>
      </c>
      <c r="H415" s="7">
        <f>'1 prepared data'!G408</f>
        <v/>
      </c>
      <c r="I415" s="7">
        <f>'1 prepared data'!H408</f>
        <v/>
      </c>
      <c r="J415" s="7">
        <f>'1 prepared data'!I408</f>
        <v/>
      </c>
      <c r="K415" s="7">
        <f>'1 prepared data'!J408</f>
        <v/>
      </c>
      <c r="L415" s="7">
        <f>'1 prepared data'!K408</f>
        <v/>
      </c>
      <c r="M415" s="7">
        <f>'1 prepared data'!L408</f>
        <v/>
      </c>
      <c r="N415" s="7">
        <f>'1 prepared data'!M408</f>
        <v/>
      </c>
      <c r="O415" s="7">
        <f>'1 prepared data'!N408</f>
        <v/>
      </c>
      <c r="P415" s="7">
        <f>'1 prepared data'!O408</f>
        <v/>
      </c>
      <c r="Q415" s="7">
        <f>'1 prepared data'!P408</f>
        <v/>
      </c>
      <c r="R415" s="7">
        <f>'1 prepared data'!Q408</f>
        <v/>
      </c>
      <c r="S415" s="7">
        <f>'1 prepared data'!R408</f>
        <v/>
      </c>
      <c r="T415" s="7">
        <f>'1 prepared data'!S408</f>
        <v/>
      </c>
      <c r="U415" s="7">
        <f>'1 prepared data'!T408</f>
        <v/>
      </c>
      <c r="V415" s="8">
        <f>$AC$12+D415*$AC$13+E415*$AC$14+F415*$AC$15+G415*$AC$16+H415*$AC$17+I415*$AC$18+J415*$AC$19+K415*$AC$20+L415*$AC$21+M415*$AC$22+N415*$AC$23+O415*$AC$24+P415*$AC$25+Q415*$AC$26+R415*$AC$27+S415*$AC$28+T415*$AC$29+U415*$AC$30</f>
        <v/>
      </c>
      <c r="W415" s="8">
        <f>1/(1+EXP(-V415))</f>
        <v/>
      </c>
      <c r="X415" s="9">
        <f>-IF(C415=1,LN(W415),LN(1-W415))</f>
        <v/>
      </c>
      <c r="Y415" s="10">
        <f>IF(W415&gt;$AC$34,1,0)</f>
        <v/>
      </c>
      <c r="Z415">
        <f>IF(Y415=C415,1,0)</f>
        <v/>
      </c>
    </row>
    <row r="416">
      <c r="A416">
        <f>'1 prepared data'!A409</f>
        <v/>
      </c>
      <c r="B416" s="5">
        <f>'1 prepared data'!U409</f>
        <v/>
      </c>
      <c r="C416">
        <f>'1 prepared data'!B409</f>
        <v/>
      </c>
      <c r="D416" s="7">
        <f>'1 prepared data'!C409</f>
        <v/>
      </c>
      <c r="E416" s="7">
        <f>'1 prepared data'!D409</f>
        <v/>
      </c>
      <c r="F416" s="7">
        <f>'1 prepared data'!E409</f>
        <v/>
      </c>
      <c r="G416" s="7">
        <f>'1 prepared data'!F409</f>
        <v/>
      </c>
      <c r="H416" s="7">
        <f>'1 prepared data'!G409</f>
        <v/>
      </c>
      <c r="I416" s="7">
        <f>'1 prepared data'!H409</f>
        <v/>
      </c>
      <c r="J416" s="7">
        <f>'1 prepared data'!I409</f>
        <v/>
      </c>
      <c r="K416" s="7">
        <f>'1 prepared data'!J409</f>
        <v/>
      </c>
      <c r="L416" s="7">
        <f>'1 prepared data'!K409</f>
        <v/>
      </c>
      <c r="M416" s="7">
        <f>'1 prepared data'!L409</f>
        <v/>
      </c>
      <c r="N416" s="7">
        <f>'1 prepared data'!M409</f>
        <v/>
      </c>
      <c r="O416" s="7">
        <f>'1 prepared data'!N409</f>
        <v/>
      </c>
      <c r="P416" s="7">
        <f>'1 prepared data'!O409</f>
        <v/>
      </c>
      <c r="Q416" s="7">
        <f>'1 prepared data'!P409</f>
        <v/>
      </c>
      <c r="R416" s="7">
        <f>'1 prepared data'!Q409</f>
        <v/>
      </c>
      <c r="S416" s="7">
        <f>'1 prepared data'!R409</f>
        <v/>
      </c>
      <c r="T416" s="7">
        <f>'1 prepared data'!S409</f>
        <v/>
      </c>
      <c r="U416" s="7">
        <f>'1 prepared data'!T409</f>
        <v/>
      </c>
      <c r="V416" s="8">
        <f>$AC$12+D416*$AC$13+E416*$AC$14+F416*$AC$15+G416*$AC$16+H416*$AC$17+I416*$AC$18+J416*$AC$19+K416*$AC$20+L416*$AC$21+M416*$AC$22+N416*$AC$23+O416*$AC$24+P416*$AC$25+Q416*$AC$26+R416*$AC$27+S416*$AC$28+T416*$AC$29+U416*$AC$30</f>
        <v/>
      </c>
      <c r="W416" s="8">
        <f>1/(1+EXP(-V416))</f>
        <v/>
      </c>
      <c r="X416" s="9">
        <f>-IF(C416=1,LN(W416),LN(1-W416))</f>
        <v/>
      </c>
      <c r="Y416" s="10">
        <f>IF(W416&gt;$AC$34,1,0)</f>
        <v/>
      </c>
      <c r="Z416">
        <f>IF(Y416=C416,1,0)</f>
        <v/>
      </c>
    </row>
    <row r="417">
      <c r="A417">
        <f>'1 prepared data'!A410</f>
        <v/>
      </c>
      <c r="B417" s="5">
        <f>'1 prepared data'!U410</f>
        <v/>
      </c>
      <c r="C417">
        <f>'1 prepared data'!B410</f>
        <v/>
      </c>
      <c r="D417" s="7">
        <f>'1 prepared data'!C410</f>
        <v/>
      </c>
      <c r="E417" s="7">
        <f>'1 prepared data'!D410</f>
        <v/>
      </c>
      <c r="F417" s="7">
        <f>'1 prepared data'!E410</f>
        <v/>
      </c>
      <c r="G417" s="7">
        <f>'1 prepared data'!F410</f>
        <v/>
      </c>
      <c r="H417" s="7">
        <f>'1 prepared data'!G410</f>
        <v/>
      </c>
      <c r="I417" s="7">
        <f>'1 prepared data'!H410</f>
        <v/>
      </c>
      <c r="J417" s="7">
        <f>'1 prepared data'!I410</f>
        <v/>
      </c>
      <c r="K417" s="7">
        <f>'1 prepared data'!J410</f>
        <v/>
      </c>
      <c r="L417" s="7">
        <f>'1 prepared data'!K410</f>
        <v/>
      </c>
      <c r="M417" s="7">
        <f>'1 prepared data'!L410</f>
        <v/>
      </c>
      <c r="N417" s="7">
        <f>'1 prepared data'!M410</f>
        <v/>
      </c>
      <c r="O417" s="7">
        <f>'1 prepared data'!N410</f>
        <v/>
      </c>
      <c r="P417" s="7">
        <f>'1 prepared data'!O410</f>
        <v/>
      </c>
      <c r="Q417" s="7">
        <f>'1 prepared data'!P410</f>
        <v/>
      </c>
      <c r="R417" s="7">
        <f>'1 prepared data'!Q410</f>
        <v/>
      </c>
      <c r="S417" s="7">
        <f>'1 prepared data'!R410</f>
        <v/>
      </c>
      <c r="T417" s="7">
        <f>'1 prepared data'!S410</f>
        <v/>
      </c>
      <c r="U417" s="7">
        <f>'1 prepared data'!T410</f>
        <v/>
      </c>
      <c r="V417" s="8">
        <f>$AC$12+D417*$AC$13+E417*$AC$14+F417*$AC$15+G417*$AC$16+H417*$AC$17+I417*$AC$18+J417*$AC$19+K417*$AC$20+L417*$AC$21+M417*$AC$22+N417*$AC$23+O417*$AC$24+P417*$AC$25+Q417*$AC$26+R417*$AC$27+S417*$AC$28+T417*$AC$29+U417*$AC$30</f>
        <v/>
      </c>
      <c r="W417" s="8">
        <f>1/(1+EXP(-V417))</f>
        <v/>
      </c>
      <c r="X417" s="9">
        <f>-IF(C417=1,LN(W417),LN(1-W417))</f>
        <v/>
      </c>
      <c r="Y417" s="10">
        <f>IF(W417&gt;$AC$34,1,0)</f>
        <v/>
      </c>
      <c r="Z417">
        <f>IF(Y417=C417,1,0)</f>
        <v/>
      </c>
    </row>
    <row r="418">
      <c r="A418">
        <f>'1 prepared data'!A411</f>
        <v/>
      </c>
      <c r="B418" s="5">
        <f>'1 prepared data'!U411</f>
        <v/>
      </c>
      <c r="C418">
        <f>'1 prepared data'!B411</f>
        <v/>
      </c>
      <c r="D418" s="7">
        <f>'1 prepared data'!C411</f>
        <v/>
      </c>
      <c r="E418" s="7">
        <f>'1 prepared data'!D411</f>
        <v/>
      </c>
      <c r="F418" s="7">
        <f>'1 prepared data'!E411</f>
        <v/>
      </c>
      <c r="G418" s="7">
        <f>'1 prepared data'!F411</f>
        <v/>
      </c>
      <c r="H418" s="7">
        <f>'1 prepared data'!G411</f>
        <v/>
      </c>
      <c r="I418" s="7">
        <f>'1 prepared data'!H411</f>
        <v/>
      </c>
      <c r="J418" s="7">
        <f>'1 prepared data'!I411</f>
        <v/>
      </c>
      <c r="K418" s="7">
        <f>'1 prepared data'!J411</f>
        <v/>
      </c>
      <c r="L418" s="7">
        <f>'1 prepared data'!K411</f>
        <v/>
      </c>
      <c r="M418" s="7">
        <f>'1 prepared data'!L411</f>
        <v/>
      </c>
      <c r="N418" s="7">
        <f>'1 prepared data'!M411</f>
        <v/>
      </c>
      <c r="O418" s="7">
        <f>'1 prepared data'!N411</f>
        <v/>
      </c>
      <c r="P418" s="7">
        <f>'1 prepared data'!O411</f>
        <v/>
      </c>
      <c r="Q418" s="7">
        <f>'1 prepared data'!P411</f>
        <v/>
      </c>
      <c r="R418" s="7">
        <f>'1 prepared data'!Q411</f>
        <v/>
      </c>
      <c r="S418" s="7">
        <f>'1 prepared data'!R411</f>
        <v/>
      </c>
      <c r="T418" s="7">
        <f>'1 prepared data'!S411</f>
        <v/>
      </c>
      <c r="U418" s="7">
        <f>'1 prepared data'!T411</f>
        <v/>
      </c>
      <c r="V418" s="8">
        <f>$AC$12+D418*$AC$13+E418*$AC$14+F418*$AC$15+G418*$AC$16+H418*$AC$17+I418*$AC$18+J418*$AC$19+K418*$AC$20+L418*$AC$21+M418*$AC$22+N418*$AC$23+O418*$AC$24+P418*$AC$25+Q418*$AC$26+R418*$AC$27+S418*$AC$28+T418*$AC$29+U418*$AC$30</f>
        <v/>
      </c>
      <c r="W418" s="8">
        <f>1/(1+EXP(-V418))</f>
        <v/>
      </c>
      <c r="X418" s="9">
        <f>-IF(C418=1,LN(W418),LN(1-W418))</f>
        <v/>
      </c>
      <c r="Y418" s="10">
        <f>IF(W418&gt;$AC$34,1,0)</f>
        <v/>
      </c>
      <c r="Z418">
        <f>IF(Y418=C418,1,0)</f>
        <v/>
      </c>
    </row>
    <row r="419">
      <c r="A419">
        <f>'1 prepared data'!A412</f>
        <v/>
      </c>
      <c r="B419" s="5">
        <f>'1 prepared data'!U412</f>
        <v/>
      </c>
      <c r="C419">
        <f>'1 prepared data'!B412</f>
        <v/>
      </c>
      <c r="D419" s="7">
        <f>'1 prepared data'!C412</f>
        <v/>
      </c>
      <c r="E419" s="7">
        <f>'1 prepared data'!D412</f>
        <v/>
      </c>
      <c r="F419" s="7">
        <f>'1 prepared data'!E412</f>
        <v/>
      </c>
      <c r="G419" s="7">
        <f>'1 prepared data'!F412</f>
        <v/>
      </c>
      <c r="H419" s="7">
        <f>'1 prepared data'!G412</f>
        <v/>
      </c>
      <c r="I419" s="7">
        <f>'1 prepared data'!H412</f>
        <v/>
      </c>
      <c r="J419" s="7">
        <f>'1 prepared data'!I412</f>
        <v/>
      </c>
      <c r="K419" s="7">
        <f>'1 prepared data'!J412</f>
        <v/>
      </c>
      <c r="L419" s="7">
        <f>'1 prepared data'!K412</f>
        <v/>
      </c>
      <c r="M419" s="7">
        <f>'1 prepared data'!L412</f>
        <v/>
      </c>
      <c r="N419" s="7">
        <f>'1 prepared data'!M412</f>
        <v/>
      </c>
      <c r="O419" s="7">
        <f>'1 prepared data'!N412</f>
        <v/>
      </c>
      <c r="P419" s="7">
        <f>'1 prepared data'!O412</f>
        <v/>
      </c>
      <c r="Q419" s="7">
        <f>'1 prepared data'!P412</f>
        <v/>
      </c>
      <c r="R419" s="7">
        <f>'1 prepared data'!Q412</f>
        <v/>
      </c>
      <c r="S419" s="7">
        <f>'1 prepared data'!R412</f>
        <v/>
      </c>
      <c r="T419" s="7">
        <f>'1 prepared data'!S412</f>
        <v/>
      </c>
      <c r="U419" s="7">
        <f>'1 prepared data'!T412</f>
        <v/>
      </c>
      <c r="V419" s="8">
        <f>$AC$12+D419*$AC$13+E419*$AC$14+F419*$AC$15+G419*$AC$16+H419*$AC$17+I419*$AC$18+J419*$AC$19+K419*$AC$20+L419*$AC$21+M419*$AC$22+N419*$AC$23+O419*$AC$24+P419*$AC$25+Q419*$AC$26+R419*$AC$27+S419*$AC$28+T419*$AC$29+U419*$AC$30</f>
        <v/>
      </c>
      <c r="W419" s="8">
        <f>1/(1+EXP(-V419))</f>
        <v/>
      </c>
      <c r="X419" s="9">
        <f>-IF(C419=1,LN(W419),LN(1-W419))</f>
        <v/>
      </c>
      <c r="Y419" s="10">
        <f>IF(W419&gt;$AC$34,1,0)</f>
        <v/>
      </c>
      <c r="Z419">
        <f>IF(Y419=C419,1,0)</f>
        <v/>
      </c>
    </row>
    <row r="420">
      <c r="A420">
        <f>'1 prepared data'!A413</f>
        <v/>
      </c>
      <c r="B420" s="5">
        <f>'1 prepared data'!U413</f>
        <v/>
      </c>
      <c r="C420">
        <f>'1 prepared data'!B413</f>
        <v/>
      </c>
      <c r="D420" s="7">
        <f>'1 prepared data'!C413</f>
        <v/>
      </c>
      <c r="E420" s="7">
        <f>'1 prepared data'!D413</f>
        <v/>
      </c>
      <c r="F420" s="7">
        <f>'1 prepared data'!E413</f>
        <v/>
      </c>
      <c r="G420" s="7">
        <f>'1 prepared data'!F413</f>
        <v/>
      </c>
      <c r="H420" s="7">
        <f>'1 prepared data'!G413</f>
        <v/>
      </c>
      <c r="I420" s="7">
        <f>'1 prepared data'!H413</f>
        <v/>
      </c>
      <c r="J420" s="7">
        <f>'1 prepared data'!I413</f>
        <v/>
      </c>
      <c r="K420" s="7">
        <f>'1 prepared data'!J413</f>
        <v/>
      </c>
      <c r="L420" s="7">
        <f>'1 prepared data'!K413</f>
        <v/>
      </c>
      <c r="M420" s="7">
        <f>'1 prepared data'!L413</f>
        <v/>
      </c>
      <c r="N420" s="7">
        <f>'1 prepared data'!M413</f>
        <v/>
      </c>
      <c r="O420" s="7">
        <f>'1 prepared data'!N413</f>
        <v/>
      </c>
      <c r="P420" s="7">
        <f>'1 prepared data'!O413</f>
        <v/>
      </c>
      <c r="Q420" s="7">
        <f>'1 prepared data'!P413</f>
        <v/>
      </c>
      <c r="R420" s="7">
        <f>'1 prepared data'!Q413</f>
        <v/>
      </c>
      <c r="S420" s="7">
        <f>'1 prepared data'!R413</f>
        <v/>
      </c>
      <c r="T420" s="7">
        <f>'1 prepared data'!S413</f>
        <v/>
      </c>
      <c r="U420" s="7">
        <f>'1 prepared data'!T413</f>
        <v/>
      </c>
      <c r="V420" s="8">
        <f>$AC$12+D420*$AC$13+E420*$AC$14+F420*$AC$15+G420*$AC$16+H420*$AC$17+I420*$AC$18+J420*$AC$19+K420*$AC$20+L420*$AC$21+M420*$AC$22+N420*$AC$23+O420*$AC$24+P420*$AC$25+Q420*$AC$26+R420*$AC$27+S420*$AC$28+T420*$AC$29+U420*$AC$30</f>
        <v/>
      </c>
      <c r="W420" s="8">
        <f>1/(1+EXP(-V420))</f>
        <v/>
      </c>
      <c r="X420" s="9">
        <f>-IF(C420=1,LN(W420),LN(1-W420))</f>
        <v/>
      </c>
      <c r="Y420" s="10">
        <f>IF(W420&gt;$AC$34,1,0)</f>
        <v/>
      </c>
      <c r="Z420">
        <f>IF(Y420=C420,1,0)</f>
        <v/>
      </c>
    </row>
    <row r="421">
      <c r="A421">
        <f>'1 prepared data'!A414</f>
        <v/>
      </c>
      <c r="B421" s="5">
        <f>'1 prepared data'!U414</f>
        <v/>
      </c>
      <c r="C421">
        <f>'1 prepared data'!B414</f>
        <v/>
      </c>
      <c r="D421" s="7">
        <f>'1 prepared data'!C414</f>
        <v/>
      </c>
      <c r="E421" s="7">
        <f>'1 prepared data'!D414</f>
        <v/>
      </c>
      <c r="F421" s="7">
        <f>'1 prepared data'!E414</f>
        <v/>
      </c>
      <c r="G421" s="7">
        <f>'1 prepared data'!F414</f>
        <v/>
      </c>
      <c r="H421" s="7">
        <f>'1 prepared data'!G414</f>
        <v/>
      </c>
      <c r="I421" s="7">
        <f>'1 prepared data'!H414</f>
        <v/>
      </c>
      <c r="J421" s="7">
        <f>'1 prepared data'!I414</f>
        <v/>
      </c>
      <c r="K421" s="7">
        <f>'1 prepared data'!J414</f>
        <v/>
      </c>
      <c r="L421" s="7">
        <f>'1 prepared data'!K414</f>
        <v/>
      </c>
      <c r="M421" s="7">
        <f>'1 prepared data'!L414</f>
        <v/>
      </c>
      <c r="N421" s="7">
        <f>'1 prepared data'!M414</f>
        <v/>
      </c>
      <c r="O421" s="7">
        <f>'1 prepared data'!N414</f>
        <v/>
      </c>
      <c r="P421" s="7">
        <f>'1 prepared data'!O414</f>
        <v/>
      </c>
      <c r="Q421" s="7">
        <f>'1 prepared data'!P414</f>
        <v/>
      </c>
      <c r="R421" s="7">
        <f>'1 prepared data'!Q414</f>
        <v/>
      </c>
      <c r="S421" s="7">
        <f>'1 prepared data'!R414</f>
        <v/>
      </c>
      <c r="T421" s="7">
        <f>'1 prepared data'!S414</f>
        <v/>
      </c>
      <c r="U421" s="7">
        <f>'1 prepared data'!T414</f>
        <v/>
      </c>
      <c r="V421" s="8">
        <f>$AC$12+D421*$AC$13+E421*$AC$14+F421*$AC$15+G421*$AC$16+H421*$AC$17+I421*$AC$18+J421*$AC$19+K421*$AC$20+L421*$AC$21+M421*$AC$22+N421*$AC$23+O421*$AC$24+P421*$AC$25+Q421*$AC$26+R421*$AC$27+S421*$AC$28+T421*$AC$29+U421*$AC$30</f>
        <v/>
      </c>
      <c r="W421" s="8">
        <f>1/(1+EXP(-V421))</f>
        <v/>
      </c>
      <c r="X421" s="9">
        <f>-IF(C421=1,LN(W421),LN(1-W421))</f>
        <v/>
      </c>
      <c r="Y421" s="10">
        <f>IF(W421&gt;$AC$34,1,0)</f>
        <v/>
      </c>
      <c r="Z421">
        <f>IF(Y421=C421,1,0)</f>
        <v/>
      </c>
    </row>
    <row r="422">
      <c r="A422">
        <f>'1 prepared data'!A415</f>
        <v/>
      </c>
      <c r="B422" s="5">
        <f>'1 prepared data'!U415</f>
        <v/>
      </c>
      <c r="C422">
        <f>'1 prepared data'!B415</f>
        <v/>
      </c>
      <c r="D422" s="7">
        <f>'1 prepared data'!C415</f>
        <v/>
      </c>
      <c r="E422" s="7">
        <f>'1 prepared data'!D415</f>
        <v/>
      </c>
      <c r="F422" s="7">
        <f>'1 prepared data'!E415</f>
        <v/>
      </c>
      <c r="G422" s="7">
        <f>'1 prepared data'!F415</f>
        <v/>
      </c>
      <c r="H422" s="7">
        <f>'1 prepared data'!G415</f>
        <v/>
      </c>
      <c r="I422" s="7">
        <f>'1 prepared data'!H415</f>
        <v/>
      </c>
      <c r="J422" s="7">
        <f>'1 prepared data'!I415</f>
        <v/>
      </c>
      <c r="K422" s="7">
        <f>'1 prepared data'!J415</f>
        <v/>
      </c>
      <c r="L422" s="7">
        <f>'1 prepared data'!K415</f>
        <v/>
      </c>
      <c r="M422" s="7">
        <f>'1 prepared data'!L415</f>
        <v/>
      </c>
      <c r="N422" s="7">
        <f>'1 prepared data'!M415</f>
        <v/>
      </c>
      <c r="O422" s="7">
        <f>'1 prepared data'!N415</f>
        <v/>
      </c>
      <c r="P422" s="7">
        <f>'1 prepared data'!O415</f>
        <v/>
      </c>
      <c r="Q422" s="7">
        <f>'1 prepared data'!P415</f>
        <v/>
      </c>
      <c r="R422" s="7">
        <f>'1 prepared data'!Q415</f>
        <v/>
      </c>
      <c r="S422" s="7">
        <f>'1 prepared data'!R415</f>
        <v/>
      </c>
      <c r="T422" s="7">
        <f>'1 prepared data'!S415</f>
        <v/>
      </c>
      <c r="U422" s="7">
        <f>'1 prepared data'!T415</f>
        <v/>
      </c>
      <c r="V422" s="8">
        <f>$AC$12+D422*$AC$13+E422*$AC$14+F422*$AC$15+G422*$AC$16+H422*$AC$17+I422*$AC$18+J422*$AC$19+K422*$AC$20+L422*$AC$21+M422*$AC$22+N422*$AC$23+O422*$AC$24+P422*$AC$25+Q422*$AC$26+R422*$AC$27+S422*$AC$28+T422*$AC$29+U422*$AC$30</f>
        <v/>
      </c>
      <c r="W422" s="8">
        <f>1/(1+EXP(-V422))</f>
        <v/>
      </c>
      <c r="X422" s="9">
        <f>-IF(C422=1,LN(W422),LN(1-W422))</f>
        <v/>
      </c>
      <c r="Y422" s="10">
        <f>IF(W422&gt;$AC$34,1,0)</f>
        <v/>
      </c>
      <c r="Z422">
        <f>IF(Y422=C422,1,0)</f>
        <v/>
      </c>
    </row>
    <row r="423">
      <c r="A423">
        <f>'1 prepared data'!A416</f>
        <v/>
      </c>
      <c r="B423" s="5">
        <f>'1 prepared data'!U416</f>
        <v/>
      </c>
      <c r="C423">
        <f>'1 prepared data'!B416</f>
        <v/>
      </c>
      <c r="D423" s="7">
        <f>'1 prepared data'!C416</f>
        <v/>
      </c>
      <c r="E423" s="7">
        <f>'1 prepared data'!D416</f>
        <v/>
      </c>
      <c r="F423" s="7">
        <f>'1 prepared data'!E416</f>
        <v/>
      </c>
      <c r="G423" s="7">
        <f>'1 prepared data'!F416</f>
        <v/>
      </c>
      <c r="H423" s="7">
        <f>'1 prepared data'!G416</f>
        <v/>
      </c>
      <c r="I423" s="7">
        <f>'1 prepared data'!H416</f>
        <v/>
      </c>
      <c r="J423" s="7">
        <f>'1 prepared data'!I416</f>
        <v/>
      </c>
      <c r="K423" s="7">
        <f>'1 prepared data'!J416</f>
        <v/>
      </c>
      <c r="L423" s="7">
        <f>'1 prepared data'!K416</f>
        <v/>
      </c>
      <c r="M423" s="7">
        <f>'1 prepared data'!L416</f>
        <v/>
      </c>
      <c r="N423" s="7">
        <f>'1 prepared data'!M416</f>
        <v/>
      </c>
      <c r="O423" s="7">
        <f>'1 prepared data'!N416</f>
        <v/>
      </c>
      <c r="P423" s="7">
        <f>'1 prepared data'!O416</f>
        <v/>
      </c>
      <c r="Q423" s="7">
        <f>'1 prepared data'!P416</f>
        <v/>
      </c>
      <c r="R423" s="7">
        <f>'1 prepared data'!Q416</f>
        <v/>
      </c>
      <c r="S423" s="7">
        <f>'1 prepared data'!R416</f>
        <v/>
      </c>
      <c r="T423" s="7">
        <f>'1 prepared data'!S416</f>
        <v/>
      </c>
      <c r="U423" s="7">
        <f>'1 prepared data'!T416</f>
        <v/>
      </c>
      <c r="V423" s="8">
        <f>$AC$12+D423*$AC$13+E423*$AC$14+F423*$AC$15+G423*$AC$16+H423*$AC$17+I423*$AC$18+J423*$AC$19+K423*$AC$20+L423*$AC$21+M423*$AC$22+N423*$AC$23+O423*$AC$24+P423*$AC$25+Q423*$AC$26+R423*$AC$27+S423*$AC$28+T423*$AC$29+U423*$AC$30</f>
        <v/>
      </c>
      <c r="W423" s="8">
        <f>1/(1+EXP(-V423))</f>
        <v/>
      </c>
      <c r="X423" s="9">
        <f>-IF(C423=1,LN(W423),LN(1-W423))</f>
        <v/>
      </c>
      <c r="Y423" s="10">
        <f>IF(W423&gt;$AC$34,1,0)</f>
        <v/>
      </c>
      <c r="Z423">
        <f>IF(Y423=C423,1,0)</f>
        <v/>
      </c>
    </row>
    <row r="424">
      <c r="A424">
        <f>'1 prepared data'!A417</f>
        <v/>
      </c>
      <c r="B424" s="5">
        <f>'1 prepared data'!U417</f>
        <v/>
      </c>
      <c r="C424">
        <f>'1 prepared data'!B417</f>
        <v/>
      </c>
      <c r="D424" s="7">
        <f>'1 prepared data'!C417</f>
        <v/>
      </c>
      <c r="E424" s="7">
        <f>'1 prepared data'!D417</f>
        <v/>
      </c>
      <c r="F424" s="7">
        <f>'1 prepared data'!E417</f>
        <v/>
      </c>
      <c r="G424" s="7">
        <f>'1 prepared data'!F417</f>
        <v/>
      </c>
      <c r="H424" s="7">
        <f>'1 prepared data'!G417</f>
        <v/>
      </c>
      <c r="I424" s="7">
        <f>'1 prepared data'!H417</f>
        <v/>
      </c>
      <c r="J424" s="7">
        <f>'1 prepared data'!I417</f>
        <v/>
      </c>
      <c r="K424" s="7">
        <f>'1 prepared data'!J417</f>
        <v/>
      </c>
      <c r="L424" s="7">
        <f>'1 prepared data'!K417</f>
        <v/>
      </c>
      <c r="M424" s="7">
        <f>'1 prepared data'!L417</f>
        <v/>
      </c>
      <c r="N424" s="7">
        <f>'1 prepared data'!M417</f>
        <v/>
      </c>
      <c r="O424" s="7">
        <f>'1 prepared data'!N417</f>
        <v/>
      </c>
      <c r="P424" s="7">
        <f>'1 prepared data'!O417</f>
        <v/>
      </c>
      <c r="Q424" s="7">
        <f>'1 prepared data'!P417</f>
        <v/>
      </c>
      <c r="R424" s="7">
        <f>'1 prepared data'!Q417</f>
        <v/>
      </c>
      <c r="S424" s="7">
        <f>'1 prepared data'!R417</f>
        <v/>
      </c>
      <c r="T424" s="7">
        <f>'1 prepared data'!S417</f>
        <v/>
      </c>
      <c r="U424" s="7">
        <f>'1 prepared data'!T417</f>
        <v/>
      </c>
      <c r="V424" s="8">
        <f>$AC$12+D424*$AC$13+E424*$AC$14+F424*$AC$15+G424*$AC$16+H424*$AC$17+I424*$AC$18+J424*$AC$19+K424*$AC$20+L424*$AC$21+M424*$AC$22+N424*$AC$23+O424*$AC$24+P424*$AC$25+Q424*$AC$26+R424*$AC$27+S424*$AC$28+T424*$AC$29+U424*$AC$30</f>
        <v/>
      </c>
      <c r="W424" s="8">
        <f>1/(1+EXP(-V424))</f>
        <v/>
      </c>
      <c r="X424" s="9">
        <f>-IF(C424=1,LN(W424),LN(1-W424))</f>
        <v/>
      </c>
      <c r="Y424" s="10">
        <f>IF(W424&gt;$AC$34,1,0)</f>
        <v/>
      </c>
      <c r="Z424">
        <f>IF(Y424=C424,1,0)</f>
        <v/>
      </c>
    </row>
    <row r="425">
      <c r="A425">
        <f>'1 prepared data'!A418</f>
        <v/>
      </c>
      <c r="B425" s="5">
        <f>'1 prepared data'!U418</f>
        <v/>
      </c>
      <c r="C425">
        <f>'1 prepared data'!B418</f>
        <v/>
      </c>
      <c r="D425" s="7">
        <f>'1 prepared data'!C418</f>
        <v/>
      </c>
      <c r="E425" s="7">
        <f>'1 prepared data'!D418</f>
        <v/>
      </c>
      <c r="F425" s="7">
        <f>'1 prepared data'!E418</f>
        <v/>
      </c>
      <c r="G425" s="7">
        <f>'1 prepared data'!F418</f>
        <v/>
      </c>
      <c r="H425" s="7">
        <f>'1 prepared data'!G418</f>
        <v/>
      </c>
      <c r="I425" s="7">
        <f>'1 prepared data'!H418</f>
        <v/>
      </c>
      <c r="J425" s="7">
        <f>'1 prepared data'!I418</f>
        <v/>
      </c>
      <c r="K425" s="7">
        <f>'1 prepared data'!J418</f>
        <v/>
      </c>
      <c r="L425" s="7">
        <f>'1 prepared data'!K418</f>
        <v/>
      </c>
      <c r="M425" s="7">
        <f>'1 prepared data'!L418</f>
        <v/>
      </c>
      <c r="N425" s="7">
        <f>'1 prepared data'!M418</f>
        <v/>
      </c>
      <c r="O425" s="7">
        <f>'1 prepared data'!N418</f>
        <v/>
      </c>
      <c r="P425" s="7">
        <f>'1 prepared data'!O418</f>
        <v/>
      </c>
      <c r="Q425" s="7">
        <f>'1 prepared data'!P418</f>
        <v/>
      </c>
      <c r="R425" s="7">
        <f>'1 prepared data'!Q418</f>
        <v/>
      </c>
      <c r="S425" s="7">
        <f>'1 prepared data'!R418</f>
        <v/>
      </c>
      <c r="T425" s="7">
        <f>'1 prepared data'!S418</f>
        <v/>
      </c>
      <c r="U425" s="7">
        <f>'1 prepared data'!T418</f>
        <v/>
      </c>
      <c r="V425" s="8">
        <f>$AC$12+D425*$AC$13+E425*$AC$14+F425*$AC$15+G425*$AC$16+H425*$AC$17+I425*$AC$18+J425*$AC$19+K425*$AC$20+L425*$AC$21+M425*$AC$22+N425*$AC$23+O425*$AC$24+P425*$AC$25+Q425*$AC$26+R425*$AC$27+S425*$AC$28+T425*$AC$29+U425*$AC$30</f>
        <v/>
      </c>
      <c r="W425" s="8">
        <f>1/(1+EXP(-V425))</f>
        <v/>
      </c>
      <c r="X425" s="9">
        <f>-IF(C425=1,LN(W425),LN(1-W425))</f>
        <v/>
      </c>
      <c r="Y425" s="10">
        <f>IF(W425&gt;$AC$34,1,0)</f>
        <v/>
      </c>
      <c r="Z425">
        <f>IF(Y425=C425,1,0)</f>
        <v/>
      </c>
    </row>
    <row r="426">
      <c r="A426">
        <f>'1 prepared data'!A419</f>
        <v/>
      </c>
      <c r="B426" s="5">
        <f>'1 prepared data'!U419</f>
        <v/>
      </c>
      <c r="C426">
        <f>'1 prepared data'!B419</f>
        <v/>
      </c>
      <c r="D426" s="7">
        <f>'1 prepared data'!C419</f>
        <v/>
      </c>
      <c r="E426" s="7">
        <f>'1 prepared data'!D419</f>
        <v/>
      </c>
      <c r="F426" s="7">
        <f>'1 prepared data'!E419</f>
        <v/>
      </c>
      <c r="G426" s="7">
        <f>'1 prepared data'!F419</f>
        <v/>
      </c>
      <c r="H426" s="7">
        <f>'1 prepared data'!G419</f>
        <v/>
      </c>
      <c r="I426" s="7">
        <f>'1 prepared data'!H419</f>
        <v/>
      </c>
      <c r="J426" s="7">
        <f>'1 prepared data'!I419</f>
        <v/>
      </c>
      <c r="K426" s="7">
        <f>'1 prepared data'!J419</f>
        <v/>
      </c>
      <c r="L426" s="7">
        <f>'1 prepared data'!K419</f>
        <v/>
      </c>
      <c r="M426" s="7">
        <f>'1 prepared data'!L419</f>
        <v/>
      </c>
      <c r="N426" s="7">
        <f>'1 prepared data'!M419</f>
        <v/>
      </c>
      <c r="O426" s="7">
        <f>'1 prepared data'!N419</f>
        <v/>
      </c>
      <c r="P426" s="7">
        <f>'1 prepared data'!O419</f>
        <v/>
      </c>
      <c r="Q426" s="7">
        <f>'1 prepared data'!P419</f>
        <v/>
      </c>
      <c r="R426" s="7">
        <f>'1 prepared data'!Q419</f>
        <v/>
      </c>
      <c r="S426" s="7">
        <f>'1 prepared data'!R419</f>
        <v/>
      </c>
      <c r="T426" s="7">
        <f>'1 prepared data'!S419</f>
        <v/>
      </c>
      <c r="U426" s="7">
        <f>'1 prepared data'!T419</f>
        <v/>
      </c>
      <c r="V426" s="8">
        <f>$AC$12+D426*$AC$13+E426*$AC$14+F426*$AC$15+G426*$AC$16+H426*$AC$17+I426*$AC$18+J426*$AC$19+K426*$AC$20+L426*$AC$21+M426*$AC$22+N426*$AC$23+O426*$AC$24+P426*$AC$25+Q426*$AC$26+R426*$AC$27+S426*$AC$28+T426*$AC$29+U426*$AC$30</f>
        <v/>
      </c>
      <c r="W426" s="8">
        <f>1/(1+EXP(-V426))</f>
        <v/>
      </c>
      <c r="X426" s="9">
        <f>-IF(C426=1,LN(W426),LN(1-W426))</f>
        <v/>
      </c>
      <c r="Y426" s="10">
        <f>IF(W426&gt;$AC$34,1,0)</f>
        <v/>
      </c>
      <c r="Z426">
        <f>IF(Y426=C426,1,0)</f>
        <v/>
      </c>
    </row>
    <row r="427">
      <c r="A427">
        <f>'1 prepared data'!A420</f>
        <v/>
      </c>
      <c r="B427" s="5">
        <f>'1 prepared data'!U420</f>
        <v/>
      </c>
      <c r="C427">
        <f>'1 prepared data'!B420</f>
        <v/>
      </c>
      <c r="D427" s="7">
        <f>'1 prepared data'!C420</f>
        <v/>
      </c>
      <c r="E427" s="7">
        <f>'1 prepared data'!D420</f>
        <v/>
      </c>
      <c r="F427" s="7">
        <f>'1 prepared data'!E420</f>
        <v/>
      </c>
      <c r="G427" s="7">
        <f>'1 prepared data'!F420</f>
        <v/>
      </c>
      <c r="H427" s="7">
        <f>'1 prepared data'!G420</f>
        <v/>
      </c>
      <c r="I427" s="7">
        <f>'1 prepared data'!H420</f>
        <v/>
      </c>
      <c r="J427" s="7">
        <f>'1 prepared data'!I420</f>
        <v/>
      </c>
      <c r="K427" s="7">
        <f>'1 prepared data'!J420</f>
        <v/>
      </c>
      <c r="L427" s="7">
        <f>'1 prepared data'!K420</f>
        <v/>
      </c>
      <c r="M427" s="7">
        <f>'1 prepared data'!L420</f>
        <v/>
      </c>
      <c r="N427" s="7">
        <f>'1 prepared data'!M420</f>
        <v/>
      </c>
      <c r="O427" s="7">
        <f>'1 prepared data'!N420</f>
        <v/>
      </c>
      <c r="P427" s="7">
        <f>'1 prepared data'!O420</f>
        <v/>
      </c>
      <c r="Q427" s="7">
        <f>'1 prepared data'!P420</f>
        <v/>
      </c>
      <c r="R427" s="7">
        <f>'1 prepared data'!Q420</f>
        <v/>
      </c>
      <c r="S427" s="7">
        <f>'1 prepared data'!R420</f>
        <v/>
      </c>
      <c r="T427" s="7">
        <f>'1 prepared data'!S420</f>
        <v/>
      </c>
      <c r="U427" s="7">
        <f>'1 prepared data'!T420</f>
        <v/>
      </c>
      <c r="V427" s="8">
        <f>$AC$12+D427*$AC$13+E427*$AC$14+F427*$AC$15+G427*$AC$16+H427*$AC$17+I427*$AC$18+J427*$AC$19+K427*$AC$20+L427*$AC$21+M427*$AC$22+N427*$AC$23+O427*$AC$24+P427*$AC$25+Q427*$AC$26+R427*$AC$27+S427*$AC$28+T427*$AC$29+U427*$AC$30</f>
        <v/>
      </c>
      <c r="W427" s="8">
        <f>1/(1+EXP(-V427))</f>
        <v/>
      </c>
      <c r="X427" s="9">
        <f>-IF(C427=1,LN(W427),LN(1-W427))</f>
        <v/>
      </c>
      <c r="Y427" s="10">
        <f>IF(W427&gt;$AC$34,1,0)</f>
        <v/>
      </c>
      <c r="Z427">
        <f>IF(Y427=C427,1,0)</f>
        <v/>
      </c>
    </row>
    <row r="428">
      <c r="A428">
        <f>'1 prepared data'!A421</f>
        <v/>
      </c>
      <c r="B428" s="5">
        <f>'1 prepared data'!U421</f>
        <v/>
      </c>
      <c r="C428">
        <f>'1 prepared data'!B421</f>
        <v/>
      </c>
      <c r="D428" s="7">
        <f>'1 prepared data'!C421</f>
        <v/>
      </c>
      <c r="E428" s="7">
        <f>'1 prepared data'!D421</f>
        <v/>
      </c>
      <c r="F428" s="7">
        <f>'1 prepared data'!E421</f>
        <v/>
      </c>
      <c r="G428" s="7">
        <f>'1 prepared data'!F421</f>
        <v/>
      </c>
      <c r="H428" s="7">
        <f>'1 prepared data'!G421</f>
        <v/>
      </c>
      <c r="I428" s="7">
        <f>'1 prepared data'!H421</f>
        <v/>
      </c>
      <c r="J428" s="7">
        <f>'1 prepared data'!I421</f>
        <v/>
      </c>
      <c r="K428" s="7">
        <f>'1 prepared data'!J421</f>
        <v/>
      </c>
      <c r="L428" s="7">
        <f>'1 prepared data'!K421</f>
        <v/>
      </c>
      <c r="M428" s="7">
        <f>'1 prepared data'!L421</f>
        <v/>
      </c>
      <c r="N428" s="7">
        <f>'1 prepared data'!M421</f>
        <v/>
      </c>
      <c r="O428" s="7">
        <f>'1 prepared data'!N421</f>
        <v/>
      </c>
      <c r="P428" s="7">
        <f>'1 prepared data'!O421</f>
        <v/>
      </c>
      <c r="Q428" s="7">
        <f>'1 prepared data'!P421</f>
        <v/>
      </c>
      <c r="R428" s="7">
        <f>'1 prepared data'!Q421</f>
        <v/>
      </c>
      <c r="S428" s="7">
        <f>'1 prepared data'!R421</f>
        <v/>
      </c>
      <c r="T428" s="7">
        <f>'1 prepared data'!S421</f>
        <v/>
      </c>
      <c r="U428" s="7">
        <f>'1 prepared data'!T421</f>
        <v/>
      </c>
      <c r="V428" s="8">
        <f>$AC$12+D428*$AC$13+E428*$AC$14+F428*$AC$15+G428*$AC$16+H428*$AC$17+I428*$AC$18+J428*$AC$19+K428*$AC$20+L428*$AC$21+M428*$AC$22+N428*$AC$23+O428*$AC$24+P428*$AC$25+Q428*$AC$26+R428*$AC$27+S428*$AC$28+T428*$AC$29+U428*$AC$30</f>
        <v/>
      </c>
      <c r="W428" s="8">
        <f>1/(1+EXP(-V428))</f>
        <v/>
      </c>
      <c r="X428" s="9">
        <f>-IF(C428=1,LN(W428),LN(1-W428))</f>
        <v/>
      </c>
      <c r="Y428" s="10">
        <f>IF(W428&gt;$AC$34,1,0)</f>
        <v/>
      </c>
      <c r="Z428">
        <f>IF(Y428=C428,1,0)</f>
        <v/>
      </c>
    </row>
    <row r="429">
      <c r="A429">
        <f>'1 prepared data'!A422</f>
        <v/>
      </c>
      <c r="B429" s="5">
        <f>'1 prepared data'!U422</f>
        <v/>
      </c>
      <c r="C429">
        <f>'1 prepared data'!B422</f>
        <v/>
      </c>
      <c r="D429" s="7">
        <f>'1 prepared data'!C422</f>
        <v/>
      </c>
      <c r="E429" s="7">
        <f>'1 prepared data'!D422</f>
        <v/>
      </c>
      <c r="F429" s="7">
        <f>'1 prepared data'!E422</f>
        <v/>
      </c>
      <c r="G429" s="7">
        <f>'1 prepared data'!F422</f>
        <v/>
      </c>
      <c r="H429" s="7">
        <f>'1 prepared data'!G422</f>
        <v/>
      </c>
      <c r="I429" s="7">
        <f>'1 prepared data'!H422</f>
        <v/>
      </c>
      <c r="J429" s="7">
        <f>'1 prepared data'!I422</f>
        <v/>
      </c>
      <c r="K429" s="7">
        <f>'1 prepared data'!J422</f>
        <v/>
      </c>
      <c r="L429" s="7">
        <f>'1 prepared data'!K422</f>
        <v/>
      </c>
      <c r="M429" s="7">
        <f>'1 prepared data'!L422</f>
        <v/>
      </c>
      <c r="N429" s="7">
        <f>'1 prepared data'!M422</f>
        <v/>
      </c>
      <c r="O429" s="7">
        <f>'1 prepared data'!N422</f>
        <v/>
      </c>
      <c r="P429" s="7">
        <f>'1 prepared data'!O422</f>
        <v/>
      </c>
      <c r="Q429" s="7">
        <f>'1 prepared data'!P422</f>
        <v/>
      </c>
      <c r="R429" s="7">
        <f>'1 prepared data'!Q422</f>
        <v/>
      </c>
      <c r="S429" s="7">
        <f>'1 prepared data'!R422</f>
        <v/>
      </c>
      <c r="T429" s="7">
        <f>'1 prepared data'!S422</f>
        <v/>
      </c>
      <c r="U429" s="7">
        <f>'1 prepared data'!T422</f>
        <v/>
      </c>
      <c r="V429" s="8">
        <f>$AC$12+D429*$AC$13+E429*$AC$14+F429*$AC$15+G429*$AC$16+H429*$AC$17+I429*$AC$18+J429*$AC$19+K429*$AC$20+L429*$AC$21+M429*$AC$22+N429*$AC$23+O429*$AC$24+P429*$AC$25+Q429*$AC$26+R429*$AC$27+S429*$AC$28+T429*$AC$29+U429*$AC$30</f>
        <v/>
      </c>
      <c r="W429" s="8">
        <f>1/(1+EXP(-V429))</f>
        <v/>
      </c>
      <c r="X429" s="9">
        <f>-IF(C429=1,LN(W429),LN(1-W429))</f>
        <v/>
      </c>
      <c r="Y429" s="10">
        <f>IF(W429&gt;$AC$34,1,0)</f>
        <v/>
      </c>
      <c r="Z429">
        <f>IF(Y429=C429,1,0)</f>
        <v/>
      </c>
    </row>
    <row r="430">
      <c r="A430">
        <f>'1 prepared data'!A423</f>
        <v/>
      </c>
      <c r="B430" s="5">
        <f>'1 prepared data'!U423</f>
        <v/>
      </c>
      <c r="C430">
        <f>'1 prepared data'!B423</f>
        <v/>
      </c>
      <c r="D430" s="7">
        <f>'1 prepared data'!C423</f>
        <v/>
      </c>
      <c r="E430" s="7">
        <f>'1 prepared data'!D423</f>
        <v/>
      </c>
      <c r="F430" s="7">
        <f>'1 prepared data'!E423</f>
        <v/>
      </c>
      <c r="G430" s="7">
        <f>'1 prepared data'!F423</f>
        <v/>
      </c>
      <c r="H430" s="7">
        <f>'1 prepared data'!G423</f>
        <v/>
      </c>
      <c r="I430" s="7">
        <f>'1 prepared data'!H423</f>
        <v/>
      </c>
      <c r="J430" s="7">
        <f>'1 prepared data'!I423</f>
        <v/>
      </c>
      <c r="K430" s="7">
        <f>'1 prepared data'!J423</f>
        <v/>
      </c>
      <c r="L430" s="7">
        <f>'1 prepared data'!K423</f>
        <v/>
      </c>
      <c r="M430" s="7">
        <f>'1 prepared data'!L423</f>
        <v/>
      </c>
      <c r="N430" s="7">
        <f>'1 prepared data'!M423</f>
        <v/>
      </c>
      <c r="O430" s="7">
        <f>'1 prepared data'!N423</f>
        <v/>
      </c>
      <c r="P430" s="7">
        <f>'1 prepared data'!O423</f>
        <v/>
      </c>
      <c r="Q430" s="7">
        <f>'1 prepared data'!P423</f>
        <v/>
      </c>
      <c r="R430" s="7">
        <f>'1 prepared data'!Q423</f>
        <v/>
      </c>
      <c r="S430" s="7">
        <f>'1 prepared data'!R423</f>
        <v/>
      </c>
      <c r="T430" s="7">
        <f>'1 prepared data'!S423</f>
        <v/>
      </c>
      <c r="U430" s="7">
        <f>'1 prepared data'!T423</f>
        <v/>
      </c>
      <c r="V430" s="8">
        <f>$AC$12+D430*$AC$13+E430*$AC$14+F430*$AC$15+G430*$AC$16+H430*$AC$17+I430*$AC$18+J430*$AC$19+K430*$AC$20+L430*$AC$21+M430*$AC$22+N430*$AC$23+O430*$AC$24+P430*$AC$25+Q430*$AC$26+R430*$AC$27+S430*$AC$28+T430*$AC$29+U430*$AC$30</f>
        <v/>
      </c>
      <c r="W430" s="8">
        <f>1/(1+EXP(-V430))</f>
        <v/>
      </c>
      <c r="X430" s="9">
        <f>-IF(C430=1,LN(W430),LN(1-W430))</f>
        <v/>
      </c>
      <c r="Y430" s="10">
        <f>IF(W430&gt;$AC$34,1,0)</f>
        <v/>
      </c>
      <c r="Z430">
        <f>IF(Y430=C430,1,0)</f>
        <v/>
      </c>
    </row>
    <row r="431">
      <c r="A431">
        <f>'1 prepared data'!A424</f>
        <v/>
      </c>
      <c r="B431" s="5">
        <f>'1 prepared data'!U424</f>
        <v/>
      </c>
      <c r="C431">
        <f>'1 prepared data'!B424</f>
        <v/>
      </c>
      <c r="D431" s="7">
        <f>'1 prepared data'!C424</f>
        <v/>
      </c>
      <c r="E431" s="7">
        <f>'1 prepared data'!D424</f>
        <v/>
      </c>
      <c r="F431" s="7">
        <f>'1 prepared data'!E424</f>
        <v/>
      </c>
      <c r="G431" s="7">
        <f>'1 prepared data'!F424</f>
        <v/>
      </c>
      <c r="H431" s="7">
        <f>'1 prepared data'!G424</f>
        <v/>
      </c>
      <c r="I431" s="7">
        <f>'1 prepared data'!H424</f>
        <v/>
      </c>
      <c r="J431" s="7">
        <f>'1 prepared data'!I424</f>
        <v/>
      </c>
      <c r="K431" s="7">
        <f>'1 prepared data'!J424</f>
        <v/>
      </c>
      <c r="L431" s="7">
        <f>'1 prepared data'!K424</f>
        <v/>
      </c>
      <c r="M431" s="7">
        <f>'1 prepared data'!L424</f>
        <v/>
      </c>
      <c r="N431" s="7">
        <f>'1 prepared data'!M424</f>
        <v/>
      </c>
      <c r="O431" s="7">
        <f>'1 prepared data'!N424</f>
        <v/>
      </c>
      <c r="P431" s="7">
        <f>'1 prepared data'!O424</f>
        <v/>
      </c>
      <c r="Q431" s="7">
        <f>'1 prepared data'!P424</f>
        <v/>
      </c>
      <c r="R431" s="7">
        <f>'1 prepared data'!Q424</f>
        <v/>
      </c>
      <c r="S431" s="7">
        <f>'1 prepared data'!R424</f>
        <v/>
      </c>
      <c r="T431" s="7">
        <f>'1 prepared data'!S424</f>
        <v/>
      </c>
      <c r="U431" s="7">
        <f>'1 prepared data'!T424</f>
        <v/>
      </c>
      <c r="V431" s="8">
        <f>$AC$12+D431*$AC$13+E431*$AC$14+F431*$AC$15+G431*$AC$16+H431*$AC$17+I431*$AC$18+J431*$AC$19+K431*$AC$20+L431*$AC$21+M431*$AC$22+N431*$AC$23+O431*$AC$24+P431*$AC$25+Q431*$AC$26+R431*$AC$27+S431*$AC$28+T431*$AC$29+U431*$AC$30</f>
        <v/>
      </c>
      <c r="W431" s="8">
        <f>1/(1+EXP(-V431))</f>
        <v/>
      </c>
      <c r="X431" s="9">
        <f>-IF(C431=1,LN(W431),LN(1-W431))</f>
        <v/>
      </c>
      <c r="Y431" s="10">
        <f>IF(W431&gt;$AC$34,1,0)</f>
        <v/>
      </c>
      <c r="Z431">
        <f>IF(Y431=C431,1,0)</f>
        <v/>
      </c>
    </row>
    <row r="432">
      <c r="A432">
        <f>'1 prepared data'!A425</f>
        <v/>
      </c>
      <c r="B432" s="5">
        <f>'1 prepared data'!U425</f>
        <v/>
      </c>
      <c r="C432">
        <f>'1 prepared data'!B425</f>
        <v/>
      </c>
      <c r="D432" s="7">
        <f>'1 prepared data'!C425</f>
        <v/>
      </c>
      <c r="E432" s="7">
        <f>'1 prepared data'!D425</f>
        <v/>
      </c>
      <c r="F432" s="7">
        <f>'1 prepared data'!E425</f>
        <v/>
      </c>
      <c r="G432" s="7">
        <f>'1 prepared data'!F425</f>
        <v/>
      </c>
      <c r="H432" s="7">
        <f>'1 prepared data'!G425</f>
        <v/>
      </c>
      <c r="I432" s="7">
        <f>'1 prepared data'!H425</f>
        <v/>
      </c>
      <c r="J432" s="7">
        <f>'1 prepared data'!I425</f>
        <v/>
      </c>
      <c r="K432" s="7">
        <f>'1 prepared data'!J425</f>
        <v/>
      </c>
      <c r="L432" s="7">
        <f>'1 prepared data'!K425</f>
        <v/>
      </c>
      <c r="M432" s="7">
        <f>'1 prepared data'!L425</f>
        <v/>
      </c>
      <c r="N432" s="7">
        <f>'1 prepared data'!M425</f>
        <v/>
      </c>
      <c r="O432" s="7">
        <f>'1 prepared data'!N425</f>
        <v/>
      </c>
      <c r="P432" s="7">
        <f>'1 prepared data'!O425</f>
        <v/>
      </c>
      <c r="Q432" s="7">
        <f>'1 prepared data'!P425</f>
        <v/>
      </c>
      <c r="R432" s="7">
        <f>'1 prepared data'!Q425</f>
        <v/>
      </c>
      <c r="S432" s="7">
        <f>'1 prepared data'!R425</f>
        <v/>
      </c>
      <c r="T432" s="7">
        <f>'1 prepared data'!S425</f>
        <v/>
      </c>
      <c r="U432" s="7">
        <f>'1 prepared data'!T425</f>
        <v/>
      </c>
      <c r="V432" s="8">
        <f>$AC$12+D432*$AC$13+E432*$AC$14+F432*$AC$15+G432*$AC$16+H432*$AC$17+I432*$AC$18+J432*$AC$19+K432*$AC$20+L432*$AC$21+M432*$AC$22+N432*$AC$23+O432*$AC$24+P432*$AC$25+Q432*$AC$26+R432*$AC$27+S432*$AC$28+T432*$AC$29+U432*$AC$30</f>
        <v/>
      </c>
      <c r="W432" s="8">
        <f>1/(1+EXP(-V432))</f>
        <v/>
      </c>
      <c r="X432" s="9">
        <f>-IF(C432=1,LN(W432),LN(1-W432))</f>
        <v/>
      </c>
      <c r="Y432" s="10">
        <f>IF(W432&gt;$AC$34,1,0)</f>
        <v/>
      </c>
      <c r="Z432">
        <f>IF(Y432=C432,1,0)</f>
        <v/>
      </c>
    </row>
    <row r="433">
      <c r="A433">
        <f>'1 prepared data'!A426</f>
        <v/>
      </c>
      <c r="B433" s="5">
        <f>'1 prepared data'!U426</f>
        <v/>
      </c>
      <c r="C433">
        <f>'1 prepared data'!B426</f>
        <v/>
      </c>
      <c r="D433" s="7">
        <f>'1 prepared data'!C426</f>
        <v/>
      </c>
      <c r="E433" s="7">
        <f>'1 prepared data'!D426</f>
        <v/>
      </c>
      <c r="F433" s="7">
        <f>'1 prepared data'!E426</f>
        <v/>
      </c>
      <c r="G433" s="7">
        <f>'1 prepared data'!F426</f>
        <v/>
      </c>
      <c r="H433" s="7">
        <f>'1 prepared data'!G426</f>
        <v/>
      </c>
      <c r="I433" s="7">
        <f>'1 prepared data'!H426</f>
        <v/>
      </c>
      <c r="J433" s="7">
        <f>'1 prepared data'!I426</f>
        <v/>
      </c>
      <c r="K433" s="7">
        <f>'1 prepared data'!J426</f>
        <v/>
      </c>
      <c r="L433" s="7">
        <f>'1 prepared data'!K426</f>
        <v/>
      </c>
      <c r="M433" s="7">
        <f>'1 prepared data'!L426</f>
        <v/>
      </c>
      <c r="N433" s="7">
        <f>'1 prepared data'!M426</f>
        <v/>
      </c>
      <c r="O433" s="7">
        <f>'1 prepared data'!N426</f>
        <v/>
      </c>
      <c r="P433" s="7">
        <f>'1 prepared data'!O426</f>
        <v/>
      </c>
      <c r="Q433" s="7">
        <f>'1 prepared data'!P426</f>
        <v/>
      </c>
      <c r="R433" s="7">
        <f>'1 prepared data'!Q426</f>
        <v/>
      </c>
      <c r="S433" s="7">
        <f>'1 prepared data'!R426</f>
        <v/>
      </c>
      <c r="T433" s="7">
        <f>'1 prepared data'!S426</f>
        <v/>
      </c>
      <c r="U433" s="7">
        <f>'1 prepared data'!T426</f>
        <v/>
      </c>
      <c r="V433" s="8">
        <f>$AC$12+D433*$AC$13+E433*$AC$14+F433*$AC$15+G433*$AC$16+H433*$AC$17+I433*$AC$18+J433*$AC$19+K433*$AC$20+L433*$AC$21+M433*$AC$22+N433*$AC$23+O433*$AC$24+P433*$AC$25+Q433*$AC$26+R433*$AC$27+S433*$AC$28+T433*$AC$29+U433*$AC$30</f>
        <v/>
      </c>
      <c r="W433" s="8">
        <f>1/(1+EXP(-V433))</f>
        <v/>
      </c>
      <c r="X433" s="9">
        <f>-IF(C433=1,LN(W433),LN(1-W433))</f>
        <v/>
      </c>
      <c r="Y433" s="10">
        <f>IF(W433&gt;$AC$34,1,0)</f>
        <v/>
      </c>
      <c r="Z433">
        <f>IF(Y433=C433,1,0)</f>
        <v/>
      </c>
    </row>
    <row r="434">
      <c r="A434">
        <f>'1 prepared data'!A427</f>
        <v/>
      </c>
      <c r="B434" s="5">
        <f>'1 prepared data'!U427</f>
        <v/>
      </c>
      <c r="C434">
        <f>'1 prepared data'!B427</f>
        <v/>
      </c>
      <c r="D434" s="7">
        <f>'1 prepared data'!C427</f>
        <v/>
      </c>
      <c r="E434" s="7">
        <f>'1 prepared data'!D427</f>
        <v/>
      </c>
      <c r="F434" s="7">
        <f>'1 prepared data'!E427</f>
        <v/>
      </c>
      <c r="G434" s="7">
        <f>'1 prepared data'!F427</f>
        <v/>
      </c>
      <c r="H434" s="7">
        <f>'1 prepared data'!G427</f>
        <v/>
      </c>
      <c r="I434" s="7">
        <f>'1 prepared data'!H427</f>
        <v/>
      </c>
      <c r="J434" s="7">
        <f>'1 prepared data'!I427</f>
        <v/>
      </c>
      <c r="K434" s="7">
        <f>'1 prepared data'!J427</f>
        <v/>
      </c>
      <c r="L434" s="7">
        <f>'1 prepared data'!K427</f>
        <v/>
      </c>
      <c r="M434" s="7">
        <f>'1 prepared data'!L427</f>
        <v/>
      </c>
      <c r="N434" s="7">
        <f>'1 prepared data'!M427</f>
        <v/>
      </c>
      <c r="O434" s="7">
        <f>'1 prepared data'!N427</f>
        <v/>
      </c>
      <c r="P434" s="7">
        <f>'1 prepared data'!O427</f>
        <v/>
      </c>
      <c r="Q434" s="7">
        <f>'1 prepared data'!P427</f>
        <v/>
      </c>
      <c r="R434" s="7">
        <f>'1 prepared data'!Q427</f>
        <v/>
      </c>
      <c r="S434" s="7">
        <f>'1 prepared data'!R427</f>
        <v/>
      </c>
      <c r="T434" s="7">
        <f>'1 prepared data'!S427</f>
        <v/>
      </c>
      <c r="U434" s="7">
        <f>'1 prepared data'!T427</f>
        <v/>
      </c>
      <c r="V434" s="8">
        <f>$AC$12+D434*$AC$13+E434*$AC$14+F434*$AC$15+G434*$AC$16+H434*$AC$17+I434*$AC$18+J434*$AC$19+K434*$AC$20+L434*$AC$21+M434*$AC$22+N434*$AC$23+O434*$AC$24+P434*$AC$25+Q434*$AC$26+R434*$AC$27+S434*$AC$28+T434*$AC$29+U434*$AC$30</f>
        <v/>
      </c>
      <c r="W434" s="8">
        <f>1/(1+EXP(-V434))</f>
        <v/>
      </c>
      <c r="X434" s="9">
        <f>-IF(C434=1,LN(W434),LN(1-W434))</f>
        <v/>
      </c>
      <c r="Y434" s="10">
        <f>IF(W434&gt;$AC$34,1,0)</f>
        <v/>
      </c>
      <c r="Z434">
        <f>IF(Y434=C434,1,0)</f>
        <v/>
      </c>
    </row>
    <row r="435">
      <c r="A435">
        <f>'1 prepared data'!A428</f>
        <v/>
      </c>
      <c r="B435" s="5">
        <f>'1 prepared data'!U428</f>
        <v/>
      </c>
      <c r="C435">
        <f>'1 prepared data'!B428</f>
        <v/>
      </c>
      <c r="D435" s="7">
        <f>'1 prepared data'!C428</f>
        <v/>
      </c>
      <c r="E435" s="7">
        <f>'1 prepared data'!D428</f>
        <v/>
      </c>
      <c r="F435" s="7">
        <f>'1 prepared data'!E428</f>
        <v/>
      </c>
      <c r="G435" s="7">
        <f>'1 prepared data'!F428</f>
        <v/>
      </c>
      <c r="H435" s="7">
        <f>'1 prepared data'!G428</f>
        <v/>
      </c>
      <c r="I435" s="7">
        <f>'1 prepared data'!H428</f>
        <v/>
      </c>
      <c r="J435" s="7">
        <f>'1 prepared data'!I428</f>
        <v/>
      </c>
      <c r="K435" s="7">
        <f>'1 prepared data'!J428</f>
        <v/>
      </c>
      <c r="L435" s="7">
        <f>'1 prepared data'!K428</f>
        <v/>
      </c>
      <c r="M435" s="7">
        <f>'1 prepared data'!L428</f>
        <v/>
      </c>
      <c r="N435" s="7">
        <f>'1 prepared data'!M428</f>
        <v/>
      </c>
      <c r="O435" s="7">
        <f>'1 prepared data'!N428</f>
        <v/>
      </c>
      <c r="P435" s="7">
        <f>'1 prepared data'!O428</f>
        <v/>
      </c>
      <c r="Q435" s="7">
        <f>'1 prepared data'!P428</f>
        <v/>
      </c>
      <c r="R435" s="7">
        <f>'1 prepared data'!Q428</f>
        <v/>
      </c>
      <c r="S435" s="7">
        <f>'1 prepared data'!R428</f>
        <v/>
      </c>
      <c r="T435" s="7">
        <f>'1 prepared data'!S428</f>
        <v/>
      </c>
      <c r="U435" s="7">
        <f>'1 prepared data'!T428</f>
        <v/>
      </c>
      <c r="V435" s="8">
        <f>$AC$12+D435*$AC$13+E435*$AC$14+F435*$AC$15+G435*$AC$16+H435*$AC$17+I435*$AC$18+J435*$AC$19+K435*$AC$20+L435*$AC$21+M435*$AC$22+N435*$AC$23+O435*$AC$24+P435*$AC$25+Q435*$AC$26+R435*$AC$27+S435*$AC$28+T435*$AC$29+U435*$AC$30</f>
        <v/>
      </c>
      <c r="W435" s="8">
        <f>1/(1+EXP(-V435))</f>
        <v/>
      </c>
      <c r="X435" s="9">
        <f>-IF(C435=1,LN(W435),LN(1-W435))</f>
        <v/>
      </c>
      <c r="Y435" s="10">
        <f>IF(W435&gt;$AC$34,1,0)</f>
        <v/>
      </c>
      <c r="Z435">
        <f>IF(Y435=C435,1,0)</f>
        <v/>
      </c>
    </row>
    <row r="436">
      <c r="A436">
        <f>'1 prepared data'!A429</f>
        <v/>
      </c>
      <c r="B436" s="5">
        <f>'1 prepared data'!U429</f>
        <v/>
      </c>
      <c r="C436">
        <f>'1 prepared data'!B429</f>
        <v/>
      </c>
      <c r="D436" s="7">
        <f>'1 prepared data'!C429</f>
        <v/>
      </c>
      <c r="E436" s="7">
        <f>'1 prepared data'!D429</f>
        <v/>
      </c>
      <c r="F436" s="7">
        <f>'1 prepared data'!E429</f>
        <v/>
      </c>
      <c r="G436" s="7">
        <f>'1 prepared data'!F429</f>
        <v/>
      </c>
      <c r="H436" s="7">
        <f>'1 prepared data'!G429</f>
        <v/>
      </c>
      <c r="I436" s="7">
        <f>'1 prepared data'!H429</f>
        <v/>
      </c>
      <c r="J436" s="7">
        <f>'1 prepared data'!I429</f>
        <v/>
      </c>
      <c r="K436" s="7">
        <f>'1 prepared data'!J429</f>
        <v/>
      </c>
      <c r="L436" s="7">
        <f>'1 prepared data'!K429</f>
        <v/>
      </c>
      <c r="M436" s="7">
        <f>'1 prepared data'!L429</f>
        <v/>
      </c>
      <c r="N436" s="7">
        <f>'1 prepared data'!M429</f>
        <v/>
      </c>
      <c r="O436" s="7">
        <f>'1 prepared data'!N429</f>
        <v/>
      </c>
      <c r="P436" s="7">
        <f>'1 prepared data'!O429</f>
        <v/>
      </c>
      <c r="Q436" s="7">
        <f>'1 prepared data'!P429</f>
        <v/>
      </c>
      <c r="R436" s="7">
        <f>'1 prepared data'!Q429</f>
        <v/>
      </c>
      <c r="S436" s="7">
        <f>'1 prepared data'!R429</f>
        <v/>
      </c>
      <c r="T436" s="7">
        <f>'1 prepared data'!S429</f>
        <v/>
      </c>
      <c r="U436" s="7">
        <f>'1 prepared data'!T429</f>
        <v/>
      </c>
      <c r="V436" s="8">
        <f>$AC$12+D436*$AC$13+E436*$AC$14+F436*$AC$15+G436*$AC$16+H436*$AC$17+I436*$AC$18+J436*$AC$19+K436*$AC$20+L436*$AC$21+M436*$AC$22+N436*$AC$23+O436*$AC$24+P436*$AC$25+Q436*$AC$26+R436*$AC$27+S436*$AC$28+T436*$AC$29+U436*$AC$30</f>
        <v/>
      </c>
      <c r="W436" s="8">
        <f>1/(1+EXP(-V436))</f>
        <v/>
      </c>
      <c r="X436" s="9">
        <f>-IF(C436=1,LN(W436),LN(1-W436))</f>
        <v/>
      </c>
      <c r="Y436" s="10">
        <f>IF(W436&gt;$AC$34,1,0)</f>
        <v/>
      </c>
      <c r="Z436">
        <f>IF(Y436=C436,1,0)</f>
        <v/>
      </c>
    </row>
    <row r="437">
      <c r="A437">
        <f>'1 prepared data'!A430</f>
        <v/>
      </c>
      <c r="B437" s="5">
        <f>'1 prepared data'!U430</f>
        <v/>
      </c>
      <c r="C437">
        <f>'1 prepared data'!B430</f>
        <v/>
      </c>
      <c r="D437" s="7">
        <f>'1 prepared data'!C430</f>
        <v/>
      </c>
      <c r="E437" s="7">
        <f>'1 prepared data'!D430</f>
        <v/>
      </c>
      <c r="F437" s="7">
        <f>'1 prepared data'!E430</f>
        <v/>
      </c>
      <c r="G437" s="7">
        <f>'1 prepared data'!F430</f>
        <v/>
      </c>
      <c r="H437" s="7">
        <f>'1 prepared data'!G430</f>
        <v/>
      </c>
      <c r="I437" s="7">
        <f>'1 prepared data'!H430</f>
        <v/>
      </c>
      <c r="J437" s="7">
        <f>'1 prepared data'!I430</f>
        <v/>
      </c>
      <c r="K437" s="7">
        <f>'1 prepared data'!J430</f>
        <v/>
      </c>
      <c r="L437" s="7">
        <f>'1 prepared data'!K430</f>
        <v/>
      </c>
      <c r="M437" s="7">
        <f>'1 prepared data'!L430</f>
        <v/>
      </c>
      <c r="N437" s="7">
        <f>'1 prepared data'!M430</f>
        <v/>
      </c>
      <c r="O437" s="7">
        <f>'1 prepared data'!N430</f>
        <v/>
      </c>
      <c r="P437" s="7">
        <f>'1 prepared data'!O430</f>
        <v/>
      </c>
      <c r="Q437" s="7">
        <f>'1 prepared data'!P430</f>
        <v/>
      </c>
      <c r="R437" s="7">
        <f>'1 prepared data'!Q430</f>
        <v/>
      </c>
      <c r="S437" s="7">
        <f>'1 prepared data'!R430</f>
        <v/>
      </c>
      <c r="T437" s="7">
        <f>'1 prepared data'!S430</f>
        <v/>
      </c>
      <c r="U437" s="7">
        <f>'1 prepared data'!T430</f>
        <v/>
      </c>
      <c r="V437" s="8">
        <f>$AC$12+D437*$AC$13+E437*$AC$14+F437*$AC$15+G437*$AC$16+H437*$AC$17+I437*$AC$18+J437*$AC$19+K437*$AC$20+L437*$AC$21+M437*$AC$22+N437*$AC$23+O437*$AC$24+P437*$AC$25+Q437*$AC$26+R437*$AC$27+S437*$AC$28+T437*$AC$29+U437*$AC$30</f>
        <v/>
      </c>
      <c r="W437" s="8">
        <f>1/(1+EXP(-V437))</f>
        <v/>
      </c>
      <c r="X437" s="9">
        <f>-IF(C437=1,LN(W437),LN(1-W437))</f>
        <v/>
      </c>
      <c r="Y437" s="10">
        <f>IF(W437&gt;$AC$34,1,0)</f>
        <v/>
      </c>
      <c r="Z437">
        <f>IF(Y437=C437,1,0)</f>
        <v/>
      </c>
    </row>
    <row r="438">
      <c r="A438">
        <f>'1 prepared data'!A431</f>
        <v/>
      </c>
      <c r="B438" s="5">
        <f>'1 prepared data'!U431</f>
        <v/>
      </c>
      <c r="C438">
        <f>'1 prepared data'!B431</f>
        <v/>
      </c>
      <c r="D438" s="7">
        <f>'1 prepared data'!C431</f>
        <v/>
      </c>
      <c r="E438" s="7">
        <f>'1 prepared data'!D431</f>
        <v/>
      </c>
      <c r="F438" s="7">
        <f>'1 prepared data'!E431</f>
        <v/>
      </c>
      <c r="G438" s="7">
        <f>'1 prepared data'!F431</f>
        <v/>
      </c>
      <c r="H438" s="7">
        <f>'1 prepared data'!G431</f>
        <v/>
      </c>
      <c r="I438" s="7">
        <f>'1 prepared data'!H431</f>
        <v/>
      </c>
      <c r="J438" s="7">
        <f>'1 prepared data'!I431</f>
        <v/>
      </c>
      <c r="K438" s="7">
        <f>'1 prepared data'!J431</f>
        <v/>
      </c>
      <c r="L438" s="7">
        <f>'1 prepared data'!K431</f>
        <v/>
      </c>
      <c r="M438" s="7">
        <f>'1 prepared data'!L431</f>
        <v/>
      </c>
      <c r="N438" s="7">
        <f>'1 prepared data'!M431</f>
        <v/>
      </c>
      <c r="O438" s="7">
        <f>'1 prepared data'!N431</f>
        <v/>
      </c>
      <c r="P438" s="7">
        <f>'1 prepared data'!O431</f>
        <v/>
      </c>
      <c r="Q438" s="7">
        <f>'1 prepared data'!P431</f>
        <v/>
      </c>
      <c r="R438" s="7">
        <f>'1 prepared data'!Q431</f>
        <v/>
      </c>
      <c r="S438" s="7">
        <f>'1 prepared data'!R431</f>
        <v/>
      </c>
      <c r="T438" s="7">
        <f>'1 prepared data'!S431</f>
        <v/>
      </c>
      <c r="U438" s="7">
        <f>'1 prepared data'!T431</f>
        <v/>
      </c>
      <c r="V438" s="8">
        <f>$AC$12+D438*$AC$13+E438*$AC$14+F438*$AC$15+G438*$AC$16+H438*$AC$17+I438*$AC$18+J438*$AC$19+K438*$AC$20+L438*$AC$21+M438*$AC$22+N438*$AC$23+O438*$AC$24+P438*$AC$25+Q438*$AC$26+R438*$AC$27+S438*$AC$28+T438*$AC$29+U438*$AC$30</f>
        <v/>
      </c>
      <c r="W438" s="8">
        <f>1/(1+EXP(-V438))</f>
        <v/>
      </c>
      <c r="X438" s="9">
        <f>-IF(C438=1,LN(W438),LN(1-W438))</f>
        <v/>
      </c>
      <c r="Y438" s="10">
        <f>IF(W438&gt;$AC$34,1,0)</f>
        <v/>
      </c>
      <c r="Z438">
        <f>IF(Y438=C438,1,0)</f>
        <v/>
      </c>
    </row>
    <row r="439">
      <c r="A439">
        <f>'1 prepared data'!A432</f>
        <v/>
      </c>
      <c r="B439" s="5">
        <f>'1 prepared data'!U432</f>
        <v/>
      </c>
      <c r="C439">
        <f>'1 prepared data'!B432</f>
        <v/>
      </c>
      <c r="D439" s="7">
        <f>'1 prepared data'!C432</f>
        <v/>
      </c>
      <c r="E439" s="7">
        <f>'1 prepared data'!D432</f>
        <v/>
      </c>
      <c r="F439" s="7">
        <f>'1 prepared data'!E432</f>
        <v/>
      </c>
      <c r="G439" s="7">
        <f>'1 prepared data'!F432</f>
        <v/>
      </c>
      <c r="H439" s="7">
        <f>'1 prepared data'!G432</f>
        <v/>
      </c>
      <c r="I439" s="7">
        <f>'1 prepared data'!H432</f>
        <v/>
      </c>
      <c r="J439" s="7">
        <f>'1 prepared data'!I432</f>
        <v/>
      </c>
      <c r="K439" s="7">
        <f>'1 prepared data'!J432</f>
        <v/>
      </c>
      <c r="L439" s="7">
        <f>'1 prepared data'!K432</f>
        <v/>
      </c>
      <c r="M439" s="7">
        <f>'1 prepared data'!L432</f>
        <v/>
      </c>
      <c r="N439" s="7">
        <f>'1 prepared data'!M432</f>
        <v/>
      </c>
      <c r="O439" s="7">
        <f>'1 prepared data'!N432</f>
        <v/>
      </c>
      <c r="P439" s="7">
        <f>'1 prepared data'!O432</f>
        <v/>
      </c>
      <c r="Q439" s="7">
        <f>'1 prepared data'!P432</f>
        <v/>
      </c>
      <c r="R439" s="7">
        <f>'1 prepared data'!Q432</f>
        <v/>
      </c>
      <c r="S439" s="7">
        <f>'1 prepared data'!R432</f>
        <v/>
      </c>
      <c r="T439" s="7">
        <f>'1 prepared data'!S432</f>
        <v/>
      </c>
      <c r="U439" s="7">
        <f>'1 prepared data'!T432</f>
        <v/>
      </c>
      <c r="V439" s="8">
        <f>$AC$12+D439*$AC$13+E439*$AC$14+F439*$AC$15+G439*$AC$16+H439*$AC$17+I439*$AC$18+J439*$AC$19+K439*$AC$20+L439*$AC$21+M439*$AC$22+N439*$AC$23+O439*$AC$24+P439*$AC$25+Q439*$AC$26+R439*$AC$27+S439*$AC$28+T439*$AC$29+U439*$AC$30</f>
        <v/>
      </c>
      <c r="W439" s="8">
        <f>1/(1+EXP(-V439))</f>
        <v/>
      </c>
      <c r="X439" s="9">
        <f>-IF(C439=1,LN(W439),LN(1-W439))</f>
        <v/>
      </c>
      <c r="Y439" s="10">
        <f>IF(W439&gt;$AC$34,1,0)</f>
        <v/>
      </c>
      <c r="Z439">
        <f>IF(Y439=C439,1,0)</f>
        <v/>
      </c>
    </row>
    <row r="440">
      <c r="A440">
        <f>'1 prepared data'!A433</f>
        <v/>
      </c>
      <c r="B440" s="5">
        <f>'1 prepared data'!U433</f>
        <v/>
      </c>
      <c r="C440">
        <f>'1 prepared data'!B433</f>
        <v/>
      </c>
      <c r="D440" s="7">
        <f>'1 prepared data'!C433</f>
        <v/>
      </c>
      <c r="E440" s="7">
        <f>'1 prepared data'!D433</f>
        <v/>
      </c>
      <c r="F440" s="7">
        <f>'1 prepared data'!E433</f>
        <v/>
      </c>
      <c r="G440" s="7">
        <f>'1 prepared data'!F433</f>
        <v/>
      </c>
      <c r="H440" s="7">
        <f>'1 prepared data'!G433</f>
        <v/>
      </c>
      <c r="I440" s="7">
        <f>'1 prepared data'!H433</f>
        <v/>
      </c>
      <c r="J440" s="7">
        <f>'1 prepared data'!I433</f>
        <v/>
      </c>
      <c r="K440" s="7">
        <f>'1 prepared data'!J433</f>
        <v/>
      </c>
      <c r="L440" s="7">
        <f>'1 prepared data'!K433</f>
        <v/>
      </c>
      <c r="M440" s="7">
        <f>'1 prepared data'!L433</f>
        <v/>
      </c>
      <c r="N440" s="7">
        <f>'1 prepared data'!M433</f>
        <v/>
      </c>
      <c r="O440" s="7">
        <f>'1 prepared data'!N433</f>
        <v/>
      </c>
      <c r="P440" s="7">
        <f>'1 prepared data'!O433</f>
        <v/>
      </c>
      <c r="Q440" s="7">
        <f>'1 prepared data'!P433</f>
        <v/>
      </c>
      <c r="R440" s="7">
        <f>'1 prepared data'!Q433</f>
        <v/>
      </c>
      <c r="S440" s="7">
        <f>'1 prepared data'!R433</f>
        <v/>
      </c>
      <c r="T440" s="7">
        <f>'1 prepared data'!S433</f>
        <v/>
      </c>
      <c r="U440" s="7">
        <f>'1 prepared data'!T433</f>
        <v/>
      </c>
      <c r="V440" s="8">
        <f>$AC$12+D440*$AC$13+E440*$AC$14+F440*$AC$15+G440*$AC$16+H440*$AC$17+I440*$AC$18+J440*$AC$19+K440*$AC$20+L440*$AC$21+M440*$AC$22+N440*$AC$23+O440*$AC$24+P440*$AC$25+Q440*$AC$26+R440*$AC$27+S440*$AC$28+T440*$AC$29+U440*$AC$30</f>
        <v/>
      </c>
      <c r="W440" s="8">
        <f>1/(1+EXP(-V440))</f>
        <v/>
      </c>
      <c r="X440" s="9">
        <f>-IF(C440=1,LN(W440),LN(1-W440))</f>
        <v/>
      </c>
      <c r="Y440" s="10">
        <f>IF(W440&gt;$AC$34,1,0)</f>
        <v/>
      </c>
      <c r="Z440">
        <f>IF(Y440=C440,1,0)</f>
        <v/>
      </c>
    </row>
    <row r="441">
      <c r="A441">
        <f>'1 prepared data'!A434</f>
        <v/>
      </c>
      <c r="B441" s="5">
        <f>'1 prepared data'!U434</f>
        <v/>
      </c>
      <c r="C441">
        <f>'1 prepared data'!B434</f>
        <v/>
      </c>
      <c r="D441" s="7">
        <f>'1 prepared data'!C434</f>
        <v/>
      </c>
      <c r="E441" s="7">
        <f>'1 prepared data'!D434</f>
        <v/>
      </c>
      <c r="F441" s="7">
        <f>'1 prepared data'!E434</f>
        <v/>
      </c>
      <c r="G441" s="7">
        <f>'1 prepared data'!F434</f>
        <v/>
      </c>
      <c r="H441" s="7">
        <f>'1 prepared data'!G434</f>
        <v/>
      </c>
      <c r="I441" s="7">
        <f>'1 prepared data'!H434</f>
        <v/>
      </c>
      <c r="J441" s="7">
        <f>'1 prepared data'!I434</f>
        <v/>
      </c>
      <c r="K441" s="7">
        <f>'1 prepared data'!J434</f>
        <v/>
      </c>
      <c r="L441" s="7">
        <f>'1 prepared data'!K434</f>
        <v/>
      </c>
      <c r="M441" s="7">
        <f>'1 prepared data'!L434</f>
        <v/>
      </c>
      <c r="N441" s="7">
        <f>'1 prepared data'!M434</f>
        <v/>
      </c>
      <c r="O441" s="7">
        <f>'1 prepared data'!N434</f>
        <v/>
      </c>
      <c r="P441" s="7">
        <f>'1 prepared data'!O434</f>
        <v/>
      </c>
      <c r="Q441" s="7">
        <f>'1 prepared data'!P434</f>
        <v/>
      </c>
      <c r="R441" s="7">
        <f>'1 prepared data'!Q434</f>
        <v/>
      </c>
      <c r="S441" s="7">
        <f>'1 prepared data'!R434</f>
        <v/>
      </c>
      <c r="T441" s="7">
        <f>'1 prepared data'!S434</f>
        <v/>
      </c>
      <c r="U441" s="7">
        <f>'1 prepared data'!T434</f>
        <v/>
      </c>
      <c r="V441" s="8">
        <f>$AC$12+D441*$AC$13+E441*$AC$14+F441*$AC$15+G441*$AC$16+H441*$AC$17+I441*$AC$18+J441*$AC$19+K441*$AC$20+L441*$AC$21+M441*$AC$22+N441*$AC$23+O441*$AC$24+P441*$AC$25+Q441*$AC$26+R441*$AC$27+S441*$AC$28+T441*$AC$29+U441*$AC$30</f>
        <v/>
      </c>
      <c r="W441" s="8">
        <f>1/(1+EXP(-V441))</f>
        <v/>
      </c>
      <c r="X441" s="9">
        <f>-IF(C441=1,LN(W441),LN(1-W441))</f>
        <v/>
      </c>
      <c r="Y441" s="10">
        <f>IF(W441&gt;$AC$34,1,0)</f>
        <v/>
      </c>
      <c r="Z441">
        <f>IF(Y441=C441,1,0)</f>
        <v/>
      </c>
    </row>
    <row r="442">
      <c r="A442">
        <f>'1 prepared data'!A435</f>
        <v/>
      </c>
      <c r="B442" s="5">
        <f>'1 prepared data'!U435</f>
        <v/>
      </c>
      <c r="C442">
        <f>'1 prepared data'!B435</f>
        <v/>
      </c>
      <c r="D442" s="7">
        <f>'1 prepared data'!C435</f>
        <v/>
      </c>
      <c r="E442" s="7">
        <f>'1 prepared data'!D435</f>
        <v/>
      </c>
      <c r="F442" s="7">
        <f>'1 prepared data'!E435</f>
        <v/>
      </c>
      <c r="G442" s="7">
        <f>'1 prepared data'!F435</f>
        <v/>
      </c>
      <c r="H442" s="7">
        <f>'1 prepared data'!G435</f>
        <v/>
      </c>
      <c r="I442" s="7">
        <f>'1 prepared data'!H435</f>
        <v/>
      </c>
      <c r="J442" s="7">
        <f>'1 prepared data'!I435</f>
        <v/>
      </c>
      <c r="K442" s="7">
        <f>'1 prepared data'!J435</f>
        <v/>
      </c>
      <c r="L442" s="7">
        <f>'1 prepared data'!K435</f>
        <v/>
      </c>
      <c r="M442" s="7">
        <f>'1 prepared data'!L435</f>
        <v/>
      </c>
      <c r="N442" s="7">
        <f>'1 prepared data'!M435</f>
        <v/>
      </c>
      <c r="O442" s="7">
        <f>'1 prepared data'!N435</f>
        <v/>
      </c>
      <c r="P442" s="7">
        <f>'1 prepared data'!O435</f>
        <v/>
      </c>
      <c r="Q442" s="7">
        <f>'1 prepared data'!P435</f>
        <v/>
      </c>
      <c r="R442" s="7">
        <f>'1 prepared data'!Q435</f>
        <v/>
      </c>
      <c r="S442" s="7">
        <f>'1 prepared data'!R435</f>
        <v/>
      </c>
      <c r="T442" s="7">
        <f>'1 prepared data'!S435</f>
        <v/>
      </c>
      <c r="U442" s="7">
        <f>'1 prepared data'!T435</f>
        <v/>
      </c>
      <c r="V442" s="8">
        <f>$AC$12+D442*$AC$13+E442*$AC$14+F442*$AC$15+G442*$AC$16+H442*$AC$17+I442*$AC$18+J442*$AC$19+K442*$AC$20+L442*$AC$21+M442*$AC$22+N442*$AC$23+O442*$AC$24+P442*$AC$25+Q442*$AC$26+R442*$AC$27+S442*$AC$28+T442*$AC$29+U442*$AC$30</f>
        <v/>
      </c>
      <c r="W442" s="8">
        <f>1/(1+EXP(-V442))</f>
        <v/>
      </c>
      <c r="X442" s="9">
        <f>-IF(C442=1,LN(W442),LN(1-W442))</f>
        <v/>
      </c>
      <c r="Y442" s="10">
        <f>IF(W442&gt;$AC$34,1,0)</f>
        <v/>
      </c>
      <c r="Z442">
        <f>IF(Y442=C442,1,0)</f>
        <v/>
      </c>
    </row>
    <row r="443">
      <c r="A443">
        <f>'1 prepared data'!A436</f>
        <v/>
      </c>
      <c r="B443" s="5">
        <f>'1 prepared data'!U436</f>
        <v/>
      </c>
      <c r="C443">
        <f>'1 prepared data'!B436</f>
        <v/>
      </c>
      <c r="D443" s="7">
        <f>'1 prepared data'!C436</f>
        <v/>
      </c>
      <c r="E443" s="7">
        <f>'1 prepared data'!D436</f>
        <v/>
      </c>
      <c r="F443" s="7">
        <f>'1 prepared data'!E436</f>
        <v/>
      </c>
      <c r="G443" s="7">
        <f>'1 prepared data'!F436</f>
        <v/>
      </c>
      <c r="H443" s="7">
        <f>'1 prepared data'!G436</f>
        <v/>
      </c>
      <c r="I443" s="7">
        <f>'1 prepared data'!H436</f>
        <v/>
      </c>
      <c r="J443" s="7">
        <f>'1 prepared data'!I436</f>
        <v/>
      </c>
      <c r="K443" s="7">
        <f>'1 prepared data'!J436</f>
        <v/>
      </c>
      <c r="L443" s="7">
        <f>'1 prepared data'!K436</f>
        <v/>
      </c>
      <c r="M443" s="7">
        <f>'1 prepared data'!L436</f>
        <v/>
      </c>
      <c r="N443" s="7">
        <f>'1 prepared data'!M436</f>
        <v/>
      </c>
      <c r="O443" s="7">
        <f>'1 prepared data'!N436</f>
        <v/>
      </c>
      <c r="P443" s="7">
        <f>'1 prepared data'!O436</f>
        <v/>
      </c>
      <c r="Q443" s="7">
        <f>'1 prepared data'!P436</f>
        <v/>
      </c>
      <c r="R443" s="7">
        <f>'1 prepared data'!Q436</f>
        <v/>
      </c>
      <c r="S443" s="7">
        <f>'1 prepared data'!R436</f>
        <v/>
      </c>
      <c r="T443" s="7">
        <f>'1 prepared data'!S436</f>
        <v/>
      </c>
      <c r="U443" s="7">
        <f>'1 prepared data'!T436</f>
        <v/>
      </c>
      <c r="V443" s="8">
        <f>$AC$12+D443*$AC$13+E443*$AC$14+F443*$AC$15+G443*$AC$16+H443*$AC$17+I443*$AC$18+J443*$AC$19+K443*$AC$20+L443*$AC$21+M443*$AC$22+N443*$AC$23+O443*$AC$24+P443*$AC$25+Q443*$AC$26+R443*$AC$27+S443*$AC$28+T443*$AC$29+U443*$AC$30</f>
        <v/>
      </c>
      <c r="W443" s="8">
        <f>1/(1+EXP(-V443))</f>
        <v/>
      </c>
      <c r="X443" s="9">
        <f>-IF(C443=1,LN(W443),LN(1-W443))</f>
        <v/>
      </c>
      <c r="Y443" s="10">
        <f>IF(W443&gt;$AC$34,1,0)</f>
        <v/>
      </c>
      <c r="Z443">
        <f>IF(Y443=C443,1,0)</f>
        <v/>
      </c>
    </row>
    <row r="444">
      <c r="A444">
        <f>'1 prepared data'!A437</f>
        <v/>
      </c>
      <c r="B444" s="5">
        <f>'1 prepared data'!U437</f>
        <v/>
      </c>
      <c r="C444">
        <f>'1 prepared data'!B437</f>
        <v/>
      </c>
      <c r="D444" s="7">
        <f>'1 prepared data'!C437</f>
        <v/>
      </c>
      <c r="E444" s="7">
        <f>'1 prepared data'!D437</f>
        <v/>
      </c>
      <c r="F444" s="7">
        <f>'1 prepared data'!E437</f>
        <v/>
      </c>
      <c r="G444" s="7">
        <f>'1 prepared data'!F437</f>
        <v/>
      </c>
      <c r="H444" s="7">
        <f>'1 prepared data'!G437</f>
        <v/>
      </c>
      <c r="I444" s="7">
        <f>'1 prepared data'!H437</f>
        <v/>
      </c>
      <c r="J444" s="7">
        <f>'1 prepared data'!I437</f>
        <v/>
      </c>
      <c r="K444" s="7">
        <f>'1 prepared data'!J437</f>
        <v/>
      </c>
      <c r="L444" s="7">
        <f>'1 prepared data'!K437</f>
        <v/>
      </c>
      <c r="M444" s="7">
        <f>'1 prepared data'!L437</f>
        <v/>
      </c>
      <c r="N444" s="7">
        <f>'1 prepared data'!M437</f>
        <v/>
      </c>
      <c r="O444" s="7">
        <f>'1 prepared data'!N437</f>
        <v/>
      </c>
      <c r="P444" s="7">
        <f>'1 prepared data'!O437</f>
        <v/>
      </c>
      <c r="Q444" s="7">
        <f>'1 prepared data'!P437</f>
        <v/>
      </c>
      <c r="R444" s="7">
        <f>'1 prepared data'!Q437</f>
        <v/>
      </c>
      <c r="S444" s="7">
        <f>'1 prepared data'!R437</f>
        <v/>
      </c>
      <c r="T444" s="7">
        <f>'1 prepared data'!S437</f>
        <v/>
      </c>
      <c r="U444" s="7">
        <f>'1 prepared data'!T437</f>
        <v/>
      </c>
      <c r="V444" s="8">
        <f>$AC$12+D444*$AC$13+E444*$AC$14+F444*$AC$15+G444*$AC$16+H444*$AC$17+I444*$AC$18+J444*$AC$19+K444*$AC$20+L444*$AC$21+M444*$AC$22+N444*$AC$23+O444*$AC$24+P444*$AC$25+Q444*$AC$26+R444*$AC$27+S444*$AC$28+T444*$AC$29+U444*$AC$30</f>
        <v/>
      </c>
      <c r="W444" s="8">
        <f>1/(1+EXP(-V444))</f>
        <v/>
      </c>
      <c r="X444" s="9">
        <f>-IF(C444=1,LN(W444),LN(1-W444))</f>
        <v/>
      </c>
      <c r="Y444" s="10">
        <f>IF(W444&gt;$AC$34,1,0)</f>
        <v/>
      </c>
      <c r="Z444">
        <f>IF(Y444=C444,1,0)</f>
        <v/>
      </c>
    </row>
    <row r="445">
      <c r="A445">
        <f>'1 prepared data'!A438</f>
        <v/>
      </c>
      <c r="B445" s="5">
        <f>'1 prepared data'!U438</f>
        <v/>
      </c>
      <c r="C445">
        <f>'1 prepared data'!B438</f>
        <v/>
      </c>
      <c r="D445" s="7">
        <f>'1 prepared data'!C438</f>
        <v/>
      </c>
      <c r="E445" s="7">
        <f>'1 prepared data'!D438</f>
        <v/>
      </c>
      <c r="F445" s="7">
        <f>'1 prepared data'!E438</f>
        <v/>
      </c>
      <c r="G445" s="7">
        <f>'1 prepared data'!F438</f>
        <v/>
      </c>
      <c r="H445" s="7">
        <f>'1 prepared data'!G438</f>
        <v/>
      </c>
      <c r="I445" s="7">
        <f>'1 prepared data'!H438</f>
        <v/>
      </c>
      <c r="J445" s="7">
        <f>'1 prepared data'!I438</f>
        <v/>
      </c>
      <c r="K445" s="7">
        <f>'1 prepared data'!J438</f>
        <v/>
      </c>
      <c r="L445" s="7">
        <f>'1 prepared data'!K438</f>
        <v/>
      </c>
      <c r="M445" s="7">
        <f>'1 prepared data'!L438</f>
        <v/>
      </c>
      <c r="N445" s="7">
        <f>'1 prepared data'!M438</f>
        <v/>
      </c>
      <c r="O445" s="7">
        <f>'1 prepared data'!N438</f>
        <v/>
      </c>
      <c r="P445" s="7">
        <f>'1 prepared data'!O438</f>
        <v/>
      </c>
      <c r="Q445" s="7">
        <f>'1 prepared data'!P438</f>
        <v/>
      </c>
      <c r="R445" s="7">
        <f>'1 prepared data'!Q438</f>
        <v/>
      </c>
      <c r="S445" s="7">
        <f>'1 prepared data'!R438</f>
        <v/>
      </c>
      <c r="T445" s="7">
        <f>'1 prepared data'!S438</f>
        <v/>
      </c>
      <c r="U445" s="7">
        <f>'1 prepared data'!T438</f>
        <v/>
      </c>
      <c r="V445" s="8">
        <f>$AC$12+D445*$AC$13+E445*$AC$14+F445*$AC$15+G445*$AC$16+H445*$AC$17+I445*$AC$18+J445*$AC$19+K445*$AC$20+L445*$AC$21+M445*$AC$22+N445*$AC$23+O445*$AC$24+P445*$AC$25+Q445*$AC$26+R445*$AC$27+S445*$AC$28+T445*$AC$29+U445*$AC$30</f>
        <v/>
      </c>
      <c r="W445" s="8">
        <f>1/(1+EXP(-V445))</f>
        <v/>
      </c>
      <c r="X445" s="9">
        <f>-IF(C445=1,LN(W445),LN(1-W445))</f>
        <v/>
      </c>
      <c r="Y445" s="10">
        <f>IF(W445&gt;$AC$34,1,0)</f>
        <v/>
      </c>
      <c r="Z445">
        <f>IF(Y445=C445,1,0)</f>
        <v/>
      </c>
    </row>
    <row r="446">
      <c r="A446">
        <f>'1 prepared data'!A439</f>
        <v/>
      </c>
      <c r="B446" s="5">
        <f>'1 prepared data'!U439</f>
        <v/>
      </c>
      <c r="C446">
        <f>'1 prepared data'!B439</f>
        <v/>
      </c>
      <c r="D446" s="7">
        <f>'1 prepared data'!C439</f>
        <v/>
      </c>
      <c r="E446" s="7">
        <f>'1 prepared data'!D439</f>
        <v/>
      </c>
      <c r="F446" s="7">
        <f>'1 prepared data'!E439</f>
        <v/>
      </c>
      <c r="G446" s="7">
        <f>'1 prepared data'!F439</f>
        <v/>
      </c>
      <c r="H446" s="7">
        <f>'1 prepared data'!G439</f>
        <v/>
      </c>
      <c r="I446" s="7">
        <f>'1 prepared data'!H439</f>
        <v/>
      </c>
      <c r="J446" s="7">
        <f>'1 prepared data'!I439</f>
        <v/>
      </c>
      <c r="K446" s="7">
        <f>'1 prepared data'!J439</f>
        <v/>
      </c>
      <c r="L446" s="7">
        <f>'1 prepared data'!K439</f>
        <v/>
      </c>
      <c r="M446" s="7">
        <f>'1 prepared data'!L439</f>
        <v/>
      </c>
      <c r="N446" s="7">
        <f>'1 prepared data'!M439</f>
        <v/>
      </c>
      <c r="O446" s="7">
        <f>'1 prepared data'!N439</f>
        <v/>
      </c>
      <c r="P446" s="7">
        <f>'1 prepared data'!O439</f>
        <v/>
      </c>
      <c r="Q446" s="7">
        <f>'1 prepared data'!P439</f>
        <v/>
      </c>
      <c r="R446" s="7">
        <f>'1 prepared data'!Q439</f>
        <v/>
      </c>
      <c r="S446" s="7">
        <f>'1 prepared data'!R439</f>
        <v/>
      </c>
      <c r="T446" s="7">
        <f>'1 prepared data'!S439</f>
        <v/>
      </c>
      <c r="U446" s="7">
        <f>'1 prepared data'!T439</f>
        <v/>
      </c>
      <c r="V446" s="8">
        <f>$AC$12+D446*$AC$13+E446*$AC$14+F446*$AC$15+G446*$AC$16+H446*$AC$17+I446*$AC$18+J446*$AC$19+K446*$AC$20+L446*$AC$21+M446*$AC$22+N446*$AC$23+O446*$AC$24+P446*$AC$25+Q446*$AC$26+R446*$AC$27+S446*$AC$28+T446*$AC$29+U446*$AC$30</f>
        <v/>
      </c>
      <c r="W446" s="8">
        <f>1/(1+EXP(-V446))</f>
        <v/>
      </c>
      <c r="X446" s="9">
        <f>-IF(C446=1,LN(W446),LN(1-W446))</f>
        <v/>
      </c>
      <c r="Y446" s="10">
        <f>IF(W446&gt;$AC$34,1,0)</f>
        <v/>
      </c>
      <c r="Z446">
        <f>IF(Y446=C446,1,0)</f>
        <v/>
      </c>
    </row>
    <row r="447">
      <c r="A447">
        <f>'1 prepared data'!A440</f>
        <v/>
      </c>
      <c r="B447" s="5">
        <f>'1 prepared data'!U440</f>
        <v/>
      </c>
      <c r="C447">
        <f>'1 prepared data'!B440</f>
        <v/>
      </c>
      <c r="D447" s="7">
        <f>'1 prepared data'!C440</f>
        <v/>
      </c>
      <c r="E447" s="7">
        <f>'1 prepared data'!D440</f>
        <v/>
      </c>
      <c r="F447" s="7">
        <f>'1 prepared data'!E440</f>
        <v/>
      </c>
      <c r="G447" s="7">
        <f>'1 prepared data'!F440</f>
        <v/>
      </c>
      <c r="H447" s="7">
        <f>'1 prepared data'!G440</f>
        <v/>
      </c>
      <c r="I447" s="7">
        <f>'1 prepared data'!H440</f>
        <v/>
      </c>
      <c r="J447" s="7">
        <f>'1 prepared data'!I440</f>
        <v/>
      </c>
      <c r="K447" s="7">
        <f>'1 prepared data'!J440</f>
        <v/>
      </c>
      <c r="L447" s="7">
        <f>'1 prepared data'!K440</f>
        <v/>
      </c>
      <c r="M447" s="7">
        <f>'1 prepared data'!L440</f>
        <v/>
      </c>
      <c r="N447" s="7">
        <f>'1 prepared data'!M440</f>
        <v/>
      </c>
      <c r="O447" s="7">
        <f>'1 prepared data'!N440</f>
        <v/>
      </c>
      <c r="P447" s="7">
        <f>'1 prepared data'!O440</f>
        <v/>
      </c>
      <c r="Q447" s="7">
        <f>'1 prepared data'!P440</f>
        <v/>
      </c>
      <c r="R447" s="7">
        <f>'1 prepared data'!Q440</f>
        <v/>
      </c>
      <c r="S447" s="7">
        <f>'1 prepared data'!R440</f>
        <v/>
      </c>
      <c r="T447" s="7">
        <f>'1 prepared data'!S440</f>
        <v/>
      </c>
      <c r="U447" s="7">
        <f>'1 prepared data'!T440</f>
        <v/>
      </c>
      <c r="V447" s="8">
        <f>$AC$12+D447*$AC$13+E447*$AC$14+F447*$AC$15+G447*$AC$16+H447*$AC$17+I447*$AC$18+J447*$AC$19+K447*$AC$20+L447*$AC$21+M447*$AC$22+N447*$AC$23+O447*$AC$24+P447*$AC$25+Q447*$AC$26+R447*$AC$27+S447*$AC$28+T447*$AC$29+U447*$AC$30</f>
        <v/>
      </c>
      <c r="W447" s="8">
        <f>1/(1+EXP(-V447))</f>
        <v/>
      </c>
      <c r="X447" s="9">
        <f>-IF(C447=1,LN(W447),LN(1-W447))</f>
        <v/>
      </c>
      <c r="Y447" s="10">
        <f>IF(W447&gt;$AC$34,1,0)</f>
        <v/>
      </c>
      <c r="Z447">
        <f>IF(Y447=C447,1,0)</f>
        <v/>
      </c>
    </row>
    <row r="448">
      <c r="A448">
        <f>'1 prepared data'!A441</f>
        <v/>
      </c>
      <c r="B448" s="5">
        <f>'1 prepared data'!U441</f>
        <v/>
      </c>
      <c r="C448">
        <f>'1 prepared data'!B441</f>
        <v/>
      </c>
      <c r="D448" s="7">
        <f>'1 prepared data'!C441</f>
        <v/>
      </c>
      <c r="E448" s="7">
        <f>'1 prepared data'!D441</f>
        <v/>
      </c>
      <c r="F448" s="7">
        <f>'1 prepared data'!E441</f>
        <v/>
      </c>
      <c r="G448" s="7">
        <f>'1 prepared data'!F441</f>
        <v/>
      </c>
      <c r="H448" s="7">
        <f>'1 prepared data'!G441</f>
        <v/>
      </c>
      <c r="I448" s="7">
        <f>'1 prepared data'!H441</f>
        <v/>
      </c>
      <c r="J448" s="7">
        <f>'1 prepared data'!I441</f>
        <v/>
      </c>
      <c r="K448" s="7">
        <f>'1 prepared data'!J441</f>
        <v/>
      </c>
      <c r="L448" s="7">
        <f>'1 prepared data'!K441</f>
        <v/>
      </c>
      <c r="M448" s="7">
        <f>'1 prepared data'!L441</f>
        <v/>
      </c>
      <c r="N448" s="7">
        <f>'1 prepared data'!M441</f>
        <v/>
      </c>
      <c r="O448" s="7">
        <f>'1 prepared data'!N441</f>
        <v/>
      </c>
      <c r="P448" s="7">
        <f>'1 prepared data'!O441</f>
        <v/>
      </c>
      <c r="Q448" s="7">
        <f>'1 prepared data'!P441</f>
        <v/>
      </c>
      <c r="R448" s="7">
        <f>'1 prepared data'!Q441</f>
        <v/>
      </c>
      <c r="S448" s="7">
        <f>'1 prepared data'!R441</f>
        <v/>
      </c>
      <c r="T448" s="7">
        <f>'1 prepared data'!S441</f>
        <v/>
      </c>
      <c r="U448" s="7">
        <f>'1 prepared data'!T441</f>
        <v/>
      </c>
      <c r="V448" s="8">
        <f>$AC$12+D448*$AC$13+E448*$AC$14+F448*$AC$15+G448*$AC$16+H448*$AC$17+I448*$AC$18+J448*$AC$19+K448*$AC$20+L448*$AC$21+M448*$AC$22+N448*$AC$23+O448*$AC$24+P448*$AC$25+Q448*$AC$26+R448*$AC$27+S448*$AC$28+T448*$AC$29+U448*$AC$30</f>
        <v/>
      </c>
      <c r="W448" s="8">
        <f>1/(1+EXP(-V448))</f>
        <v/>
      </c>
      <c r="X448" s="9">
        <f>-IF(C448=1,LN(W448),LN(1-W448))</f>
        <v/>
      </c>
      <c r="Y448" s="10">
        <f>IF(W448&gt;$AC$34,1,0)</f>
        <v/>
      </c>
      <c r="Z448">
        <f>IF(Y448=C448,1,0)</f>
        <v/>
      </c>
    </row>
    <row r="449">
      <c r="A449">
        <f>'1 prepared data'!A442</f>
        <v/>
      </c>
      <c r="B449" s="5">
        <f>'1 prepared data'!U442</f>
        <v/>
      </c>
      <c r="C449">
        <f>'1 prepared data'!B442</f>
        <v/>
      </c>
      <c r="D449" s="7">
        <f>'1 prepared data'!C442</f>
        <v/>
      </c>
      <c r="E449" s="7">
        <f>'1 prepared data'!D442</f>
        <v/>
      </c>
      <c r="F449" s="7">
        <f>'1 prepared data'!E442</f>
        <v/>
      </c>
      <c r="G449" s="7">
        <f>'1 prepared data'!F442</f>
        <v/>
      </c>
      <c r="H449" s="7">
        <f>'1 prepared data'!G442</f>
        <v/>
      </c>
      <c r="I449" s="7">
        <f>'1 prepared data'!H442</f>
        <v/>
      </c>
      <c r="J449" s="7">
        <f>'1 prepared data'!I442</f>
        <v/>
      </c>
      <c r="K449" s="7">
        <f>'1 prepared data'!J442</f>
        <v/>
      </c>
      <c r="L449" s="7">
        <f>'1 prepared data'!K442</f>
        <v/>
      </c>
      <c r="M449" s="7">
        <f>'1 prepared data'!L442</f>
        <v/>
      </c>
      <c r="N449" s="7">
        <f>'1 prepared data'!M442</f>
        <v/>
      </c>
      <c r="O449" s="7">
        <f>'1 prepared data'!N442</f>
        <v/>
      </c>
      <c r="P449" s="7">
        <f>'1 prepared data'!O442</f>
        <v/>
      </c>
      <c r="Q449" s="7">
        <f>'1 prepared data'!P442</f>
        <v/>
      </c>
      <c r="R449" s="7">
        <f>'1 prepared data'!Q442</f>
        <v/>
      </c>
      <c r="S449" s="7">
        <f>'1 prepared data'!R442</f>
        <v/>
      </c>
      <c r="T449" s="7">
        <f>'1 prepared data'!S442</f>
        <v/>
      </c>
      <c r="U449" s="7">
        <f>'1 prepared data'!T442</f>
        <v/>
      </c>
      <c r="V449" s="8">
        <f>$AC$12+D449*$AC$13+E449*$AC$14+F449*$AC$15+G449*$AC$16+H449*$AC$17+I449*$AC$18+J449*$AC$19+K449*$AC$20+L449*$AC$21+M449*$AC$22+N449*$AC$23+O449*$AC$24+P449*$AC$25+Q449*$AC$26+R449*$AC$27+S449*$AC$28+T449*$AC$29+U449*$AC$30</f>
        <v/>
      </c>
      <c r="W449" s="8">
        <f>1/(1+EXP(-V449))</f>
        <v/>
      </c>
      <c r="X449" s="9">
        <f>-IF(C449=1,LN(W449),LN(1-W449))</f>
        <v/>
      </c>
      <c r="Y449" s="10">
        <f>IF(W449&gt;$AC$34,1,0)</f>
        <v/>
      </c>
      <c r="Z449">
        <f>IF(Y449=C449,1,0)</f>
        <v/>
      </c>
    </row>
    <row r="450">
      <c r="A450">
        <f>'1 prepared data'!A443</f>
        <v/>
      </c>
      <c r="B450" s="5">
        <f>'1 prepared data'!U443</f>
        <v/>
      </c>
      <c r="C450">
        <f>'1 prepared data'!B443</f>
        <v/>
      </c>
      <c r="D450" s="7">
        <f>'1 prepared data'!C443</f>
        <v/>
      </c>
      <c r="E450" s="7">
        <f>'1 prepared data'!D443</f>
        <v/>
      </c>
      <c r="F450" s="7">
        <f>'1 prepared data'!E443</f>
        <v/>
      </c>
      <c r="G450" s="7">
        <f>'1 prepared data'!F443</f>
        <v/>
      </c>
      <c r="H450" s="7">
        <f>'1 prepared data'!G443</f>
        <v/>
      </c>
      <c r="I450" s="7">
        <f>'1 prepared data'!H443</f>
        <v/>
      </c>
      <c r="J450" s="7">
        <f>'1 prepared data'!I443</f>
        <v/>
      </c>
      <c r="K450" s="7">
        <f>'1 prepared data'!J443</f>
        <v/>
      </c>
      <c r="L450" s="7">
        <f>'1 prepared data'!K443</f>
        <v/>
      </c>
      <c r="M450" s="7">
        <f>'1 prepared data'!L443</f>
        <v/>
      </c>
      <c r="N450" s="7">
        <f>'1 prepared data'!M443</f>
        <v/>
      </c>
      <c r="O450" s="7">
        <f>'1 prepared data'!N443</f>
        <v/>
      </c>
      <c r="P450" s="7">
        <f>'1 prepared data'!O443</f>
        <v/>
      </c>
      <c r="Q450" s="7">
        <f>'1 prepared data'!P443</f>
        <v/>
      </c>
      <c r="R450" s="7">
        <f>'1 prepared data'!Q443</f>
        <v/>
      </c>
      <c r="S450" s="7">
        <f>'1 prepared data'!R443</f>
        <v/>
      </c>
      <c r="T450" s="7">
        <f>'1 prepared data'!S443</f>
        <v/>
      </c>
      <c r="U450" s="7">
        <f>'1 prepared data'!T443</f>
        <v/>
      </c>
      <c r="V450" s="8">
        <f>$AC$12+D450*$AC$13+E450*$AC$14+F450*$AC$15+G450*$AC$16+H450*$AC$17+I450*$AC$18+J450*$AC$19+K450*$AC$20+L450*$AC$21+M450*$AC$22+N450*$AC$23+O450*$AC$24+P450*$AC$25+Q450*$AC$26+R450*$AC$27+S450*$AC$28+T450*$AC$29+U450*$AC$30</f>
        <v/>
      </c>
      <c r="W450" s="8">
        <f>1/(1+EXP(-V450))</f>
        <v/>
      </c>
      <c r="X450" s="9">
        <f>-IF(C450=1,LN(W450),LN(1-W450))</f>
        <v/>
      </c>
      <c r="Y450" s="10">
        <f>IF(W450&gt;$AC$34,1,0)</f>
        <v/>
      </c>
      <c r="Z450">
        <f>IF(Y450=C450,1,0)</f>
        <v/>
      </c>
    </row>
    <row r="451">
      <c r="A451">
        <f>'1 prepared data'!A444</f>
        <v/>
      </c>
      <c r="B451" s="5">
        <f>'1 prepared data'!U444</f>
        <v/>
      </c>
      <c r="C451">
        <f>'1 prepared data'!B444</f>
        <v/>
      </c>
      <c r="D451" s="7">
        <f>'1 prepared data'!C444</f>
        <v/>
      </c>
      <c r="E451" s="7">
        <f>'1 prepared data'!D444</f>
        <v/>
      </c>
      <c r="F451" s="7">
        <f>'1 prepared data'!E444</f>
        <v/>
      </c>
      <c r="G451" s="7">
        <f>'1 prepared data'!F444</f>
        <v/>
      </c>
      <c r="H451" s="7">
        <f>'1 prepared data'!G444</f>
        <v/>
      </c>
      <c r="I451" s="7">
        <f>'1 prepared data'!H444</f>
        <v/>
      </c>
      <c r="J451" s="7">
        <f>'1 prepared data'!I444</f>
        <v/>
      </c>
      <c r="K451" s="7">
        <f>'1 prepared data'!J444</f>
        <v/>
      </c>
      <c r="L451" s="7">
        <f>'1 prepared data'!K444</f>
        <v/>
      </c>
      <c r="M451" s="7">
        <f>'1 prepared data'!L444</f>
        <v/>
      </c>
      <c r="N451" s="7">
        <f>'1 prepared data'!M444</f>
        <v/>
      </c>
      <c r="O451" s="7">
        <f>'1 prepared data'!N444</f>
        <v/>
      </c>
      <c r="P451" s="7">
        <f>'1 prepared data'!O444</f>
        <v/>
      </c>
      <c r="Q451" s="7">
        <f>'1 prepared data'!P444</f>
        <v/>
      </c>
      <c r="R451" s="7">
        <f>'1 prepared data'!Q444</f>
        <v/>
      </c>
      <c r="S451" s="7">
        <f>'1 prepared data'!R444</f>
        <v/>
      </c>
      <c r="T451" s="7">
        <f>'1 prepared data'!S444</f>
        <v/>
      </c>
      <c r="U451" s="7">
        <f>'1 prepared data'!T444</f>
        <v/>
      </c>
      <c r="V451" s="8">
        <f>$AC$12+D451*$AC$13+E451*$AC$14+F451*$AC$15+G451*$AC$16+H451*$AC$17+I451*$AC$18+J451*$AC$19+K451*$AC$20+L451*$AC$21+M451*$AC$22+N451*$AC$23+O451*$AC$24+P451*$AC$25+Q451*$AC$26+R451*$AC$27+S451*$AC$28+T451*$AC$29+U451*$AC$30</f>
        <v/>
      </c>
      <c r="W451" s="8">
        <f>1/(1+EXP(-V451))</f>
        <v/>
      </c>
      <c r="X451" s="9">
        <f>-IF(C451=1,LN(W451),LN(1-W451))</f>
        <v/>
      </c>
      <c r="Y451" s="10">
        <f>IF(W451&gt;$AC$34,1,0)</f>
        <v/>
      </c>
      <c r="Z451">
        <f>IF(Y451=C451,1,0)</f>
        <v/>
      </c>
    </row>
    <row r="452">
      <c r="A452">
        <f>'1 prepared data'!A445</f>
        <v/>
      </c>
      <c r="B452" s="5">
        <f>'1 prepared data'!U445</f>
        <v/>
      </c>
      <c r="C452">
        <f>'1 prepared data'!B445</f>
        <v/>
      </c>
      <c r="D452" s="7">
        <f>'1 prepared data'!C445</f>
        <v/>
      </c>
      <c r="E452" s="7">
        <f>'1 prepared data'!D445</f>
        <v/>
      </c>
      <c r="F452" s="7">
        <f>'1 prepared data'!E445</f>
        <v/>
      </c>
      <c r="G452" s="7">
        <f>'1 prepared data'!F445</f>
        <v/>
      </c>
      <c r="H452" s="7">
        <f>'1 prepared data'!G445</f>
        <v/>
      </c>
      <c r="I452" s="7">
        <f>'1 prepared data'!H445</f>
        <v/>
      </c>
      <c r="J452" s="7">
        <f>'1 prepared data'!I445</f>
        <v/>
      </c>
      <c r="K452" s="7">
        <f>'1 prepared data'!J445</f>
        <v/>
      </c>
      <c r="L452" s="7">
        <f>'1 prepared data'!K445</f>
        <v/>
      </c>
      <c r="M452" s="7">
        <f>'1 prepared data'!L445</f>
        <v/>
      </c>
      <c r="N452" s="7">
        <f>'1 prepared data'!M445</f>
        <v/>
      </c>
      <c r="O452" s="7">
        <f>'1 prepared data'!N445</f>
        <v/>
      </c>
      <c r="P452" s="7">
        <f>'1 prepared data'!O445</f>
        <v/>
      </c>
      <c r="Q452" s="7">
        <f>'1 prepared data'!P445</f>
        <v/>
      </c>
      <c r="R452" s="7">
        <f>'1 prepared data'!Q445</f>
        <v/>
      </c>
      <c r="S452" s="7">
        <f>'1 prepared data'!R445</f>
        <v/>
      </c>
      <c r="T452" s="7">
        <f>'1 prepared data'!S445</f>
        <v/>
      </c>
      <c r="U452" s="7">
        <f>'1 prepared data'!T445</f>
        <v/>
      </c>
      <c r="V452" s="8">
        <f>$AC$12+D452*$AC$13+E452*$AC$14+F452*$AC$15+G452*$AC$16+H452*$AC$17+I452*$AC$18+J452*$AC$19+K452*$AC$20+L452*$AC$21+M452*$AC$22+N452*$AC$23+O452*$AC$24+P452*$AC$25+Q452*$AC$26+R452*$AC$27+S452*$AC$28+T452*$AC$29+U452*$AC$30</f>
        <v/>
      </c>
      <c r="W452" s="8">
        <f>1/(1+EXP(-V452))</f>
        <v/>
      </c>
      <c r="X452" s="9">
        <f>-IF(C452=1,LN(W452),LN(1-W452))</f>
        <v/>
      </c>
      <c r="Y452" s="10">
        <f>IF(W452&gt;$AC$34,1,0)</f>
        <v/>
      </c>
      <c r="Z452">
        <f>IF(Y452=C452,1,0)</f>
        <v/>
      </c>
    </row>
    <row r="453">
      <c r="A453">
        <f>'1 prepared data'!A446</f>
        <v/>
      </c>
      <c r="B453" s="5">
        <f>'1 prepared data'!U446</f>
        <v/>
      </c>
      <c r="C453">
        <f>'1 prepared data'!B446</f>
        <v/>
      </c>
      <c r="D453" s="7">
        <f>'1 prepared data'!C446</f>
        <v/>
      </c>
      <c r="E453" s="7">
        <f>'1 prepared data'!D446</f>
        <v/>
      </c>
      <c r="F453" s="7">
        <f>'1 prepared data'!E446</f>
        <v/>
      </c>
      <c r="G453" s="7">
        <f>'1 prepared data'!F446</f>
        <v/>
      </c>
      <c r="H453" s="7">
        <f>'1 prepared data'!G446</f>
        <v/>
      </c>
      <c r="I453" s="7">
        <f>'1 prepared data'!H446</f>
        <v/>
      </c>
      <c r="J453" s="7">
        <f>'1 prepared data'!I446</f>
        <v/>
      </c>
      <c r="K453" s="7">
        <f>'1 prepared data'!J446</f>
        <v/>
      </c>
      <c r="L453" s="7">
        <f>'1 prepared data'!K446</f>
        <v/>
      </c>
      <c r="M453" s="7">
        <f>'1 prepared data'!L446</f>
        <v/>
      </c>
      <c r="N453" s="7">
        <f>'1 prepared data'!M446</f>
        <v/>
      </c>
      <c r="O453" s="7">
        <f>'1 prepared data'!N446</f>
        <v/>
      </c>
      <c r="P453" s="7">
        <f>'1 prepared data'!O446</f>
        <v/>
      </c>
      <c r="Q453" s="7">
        <f>'1 prepared data'!P446</f>
        <v/>
      </c>
      <c r="R453" s="7">
        <f>'1 prepared data'!Q446</f>
        <v/>
      </c>
      <c r="S453" s="7">
        <f>'1 prepared data'!R446</f>
        <v/>
      </c>
      <c r="T453" s="7">
        <f>'1 prepared data'!S446</f>
        <v/>
      </c>
      <c r="U453" s="7">
        <f>'1 prepared data'!T446</f>
        <v/>
      </c>
      <c r="V453" s="8">
        <f>$AC$12+D453*$AC$13+E453*$AC$14+F453*$AC$15+G453*$AC$16+H453*$AC$17+I453*$AC$18+J453*$AC$19+K453*$AC$20+L453*$AC$21+M453*$AC$22+N453*$AC$23+O453*$AC$24+P453*$AC$25+Q453*$AC$26+R453*$AC$27+S453*$AC$28+T453*$AC$29+U453*$AC$30</f>
        <v/>
      </c>
      <c r="W453" s="8">
        <f>1/(1+EXP(-V453))</f>
        <v/>
      </c>
      <c r="X453" s="9">
        <f>-IF(C453=1,LN(W453),LN(1-W453))</f>
        <v/>
      </c>
      <c r="Y453" s="10">
        <f>IF(W453&gt;$AC$34,1,0)</f>
        <v/>
      </c>
      <c r="Z453">
        <f>IF(Y453=C453,1,0)</f>
        <v/>
      </c>
    </row>
    <row r="454">
      <c r="A454">
        <f>'1 prepared data'!A447</f>
        <v/>
      </c>
      <c r="B454" s="5">
        <f>'1 prepared data'!U447</f>
        <v/>
      </c>
      <c r="C454">
        <f>'1 prepared data'!B447</f>
        <v/>
      </c>
      <c r="D454" s="7">
        <f>'1 prepared data'!C447</f>
        <v/>
      </c>
      <c r="E454" s="7">
        <f>'1 prepared data'!D447</f>
        <v/>
      </c>
      <c r="F454" s="7">
        <f>'1 prepared data'!E447</f>
        <v/>
      </c>
      <c r="G454" s="7">
        <f>'1 prepared data'!F447</f>
        <v/>
      </c>
      <c r="H454" s="7">
        <f>'1 prepared data'!G447</f>
        <v/>
      </c>
      <c r="I454" s="7">
        <f>'1 prepared data'!H447</f>
        <v/>
      </c>
      <c r="J454" s="7">
        <f>'1 prepared data'!I447</f>
        <v/>
      </c>
      <c r="K454" s="7">
        <f>'1 prepared data'!J447</f>
        <v/>
      </c>
      <c r="L454" s="7">
        <f>'1 prepared data'!K447</f>
        <v/>
      </c>
      <c r="M454" s="7">
        <f>'1 prepared data'!L447</f>
        <v/>
      </c>
      <c r="N454" s="7">
        <f>'1 prepared data'!M447</f>
        <v/>
      </c>
      <c r="O454" s="7">
        <f>'1 prepared data'!N447</f>
        <v/>
      </c>
      <c r="P454" s="7">
        <f>'1 prepared data'!O447</f>
        <v/>
      </c>
      <c r="Q454" s="7">
        <f>'1 prepared data'!P447</f>
        <v/>
      </c>
      <c r="R454" s="7">
        <f>'1 prepared data'!Q447</f>
        <v/>
      </c>
      <c r="S454" s="7">
        <f>'1 prepared data'!R447</f>
        <v/>
      </c>
      <c r="T454" s="7">
        <f>'1 prepared data'!S447</f>
        <v/>
      </c>
      <c r="U454" s="7">
        <f>'1 prepared data'!T447</f>
        <v/>
      </c>
      <c r="V454" s="8">
        <f>$AC$12+D454*$AC$13+E454*$AC$14+F454*$AC$15+G454*$AC$16+H454*$AC$17+I454*$AC$18+J454*$AC$19+K454*$AC$20+L454*$AC$21+M454*$AC$22+N454*$AC$23+O454*$AC$24+P454*$AC$25+Q454*$AC$26+R454*$AC$27+S454*$AC$28+T454*$AC$29+U454*$AC$30</f>
        <v/>
      </c>
      <c r="W454" s="8">
        <f>1/(1+EXP(-V454))</f>
        <v/>
      </c>
      <c r="X454" s="9">
        <f>-IF(C454=1,LN(W454),LN(1-W454))</f>
        <v/>
      </c>
      <c r="Y454" s="10">
        <f>IF(W454&gt;$AC$34,1,0)</f>
        <v/>
      </c>
      <c r="Z454">
        <f>IF(Y454=C454,1,0)</f>
        <v/>
      </c>
    </row>
    <row r="455">
      <c r="A455">
        <f>'1 prepared data'!A448</f>
        <v/>
      </c>
      <c r="B455" s="5">
        <f>'1 prepared data'!U448</f>
        <v/>
      </c>
      <c r="C455">
        <f>'1 prepared data'!B448</f>
        <v/>
      </c>
      <c r="D455" s="7">
        <f>'1 prepared data'!C448</f>
        <v/>
      </c>
      <c r="E455" s="7">
        <f>'1 prepared data'!D448</f>
        <v/>
      </c>
      <c r="F455" s="7">
        <f>'1 prepared data'!E448</f>
        <v/>
      </c>
      <c r="G455" s="7">
        <f>'1 prepared data'!F448</f>
        <v/>
      </c>
      <c r="H455" s="7">
        <f>'1 prepared data'!G448</f>
        <v/>
      </c>
      <c r="I455" s="7">
        <f>'1 prepared data'!H448</f>
        <v/>
      </c>
      <c r="J455" s="7">
        <f>'1 prepared data'!I448</f>
        <v/>
      </c>
      <c r="K455" s="7">
        <f>'1 prepared data'!J448</f>
        <v/>
      </c>
      <c r="L455" s="7">
        <f>'1 prepared data'!K448</f>
        <v/>
      </c>
      <c r="M455" s="7">
        <f>'1 prepared data'!L448</f>
        <v/>
      </c>
      <c r="N455" s="7">
        <f>'1 prepared data'!M448</f>
        <v/>
      </c>
      <c r="O455" s="7">
        <f>'1 prepared data'!N448</f>
        <v/>
      </c>
      <c r="P455" s="7">
        <f>'1 prepared data'!O448</f>
        <v/>
      </c>
      <c r="Q455" s="7">
        <f>'1 prepared data'!P448</f>
        <v/>
      </c>
      <c r="R455" s="7">
        <f>'1 prepared data'!Q448</f>
        <v/>
      </c>
      <c r="S455" s="7">
        <f>'1 prepared data'!R448</f>
        <v/>
      </c>
      <c r="T455" s="7">
        <f>'1 prepared data'!S448</f>
        <v/>
      </c>
      <c r="U455" s="7">
        <f>'1 prepared data'!T448</f>
        <v/>
      </c>
      <c r="V455" s="8">
        <f>$AC$12+D455*$AC$13+E455*$AC$14+F455*$AC$15+G455*$AC$16+H455*$AC$17+I455*$AC$18+J455*$AC$19+K455*$AC$20+L455*$AC$21+M455*$AC$22+N455*$AC$23+O455*$AC$24+P455*$AC$25+Q455*$AC$26+R455*$AC$27+S455*$AC$28+T455*$AC$29+U455*$AC$30</f>
        <v/>
      </c>
      <c r="W455" s="8">
        <f>1/(1+EXP(-V455))</f>
        <v/>
      </c>
      <c r="X455" s="9">
        <f>-IF(C455=1,LN(W455),LN(1-W455))</f>
        <v/>
      </c>
      <c r="Y455" s="10">
        <f>IF(W455&gt;$AC$34,1,0)</f>
        <v/>
      </c>
      <c r="Z455">
        <f>IF(Y455=C455,1,0)</f>
        <v/>
      </c>
    </row>
    <row r="456">
      <c r="A456">
        <f>'1 prepared data'!A449</f>
        <v/>
      </c>
      <c r="B456" s="5">
        <f>'1 prepared data'!U449</f>
        <v/>
      </c>
      <c r="C456">
        <f>'1 prepared data'!B449</f>
        <v/>
      </c>
      <c r="D456" s="7">
        <f>'1 prepared data'!C449</f>
        <v/>
      </c>
      <c r="E456" s="7">
        <f>'1 prepared data'!D449</f>
        <v/>
      </c>
      <c r="F456" s="7">
        <f>'1 prepared data'!E449</f>
        <v/>
      </c>
      <c r="G456" s="7">
        <f>'1 prepared data'!F449</f>
        <v/>
      </c>
      <c r="H456" s="7">
        <f>'1 prepared data'!G449</f>
        <v/>
      </c>
      <c r="I456" s="7">
        <f>'1 prepared data'!H449</f>
        <v/>
      </c>
      <c r="J456" s="7">
        <f>'1 prepared data'!I449</f>
        <v/>
      </c>
      <c r="K456" s="7">
        <f>'1 prepared data'!J449</f>
        <v/>
      </c>
      <c r="L456" s="7">
        <f>'1 prepared data'!K449</f>
        <v/>
      </c>
      <c r="M456" s="7">
        <f>'1 prepared data'!L449</f>
        <v/>
      </c>
      <c r="N456" s="7">
        <f>'1 prepared data'!M449</f>
        <v/>
      </c>
      <c r="O456" s="7">
        <f>'1 prepared data'!N449</f>
        <v/>
      </c>
      <c r="P456" s="7">
        <f>'1 prepared data'!O449</f>
        <v/>
      </c>
      <c r="Q456" s="7">
        <f>'1 prepared data'!P449</f>
        <v/>
      </c>
      <c r="R456" s="7">
        <f>'1 prepared data'!Q449</f>
        <v/>
      </c>
      <c r="S456" s="7">
        <f>'1 prepared data'!R449</f>
        <v/>
      </c>
      <c r="T456" s="7">
        <f>'1 prepared data'!S449</f>
        <v/>
      </c>
      <c r="U456" s="7">
        <f>'1 prepared data'!T449</f>
        <v/>
      </c>
      <c r="V456" s="8">
        <f>$AC$12+D456*$AC$13+E456*$AC$14+F456*$AC$15+G456*$AC$16+H456*$AC$17+I456*$AC$18+J456*$AC$19+K456*$AC$20+L456*$AC$21+M456*$AC$22+N456*$AC$23+O456*$AC$24+P456*$AC$25+Q456*$AC$26+R456*$AC$27+S456*$AC$28+T456*$AC$29+U456*$AC$30</f>
        <v/>
      </c>
      <c r="W456" s="8">
        <f>1/(1+EXP(-V456))</f>
        <v/>
      </c>
      <c r="X456" s="9">
        <f>-IF(C456=1,LN(W456),LN(1-W456))</f>
        <v/>
      </c>
      <c r="Y456" s="10">
        <f>IF(W456&gt;$AC$34,1,0)</f>
        <v/>
      </c>
      <c r="Z456">
        <f>IF(Y456=C456,1,0)</f>
        <v/>
      </c>
    </row>
    <row r="457">
      <c r="A457">
        <f>'1 prepared data'!A450</f>
        <v/>
      </c>
      <c r="B457" s="5">
        <f>'1 prepared data'!U450</f>
        <v/>
      </c>
      <c r="C457">
        <f>'1 prepared data'!B450</f>
        <v/>
      </c>
      <c r="D457" s="7">
        <f>'1 prepared data'!C450</f>
        <v/>
      </c>
      <c r="E457" s="7">
        <f>'1 prepared data'!D450</f>
        <v/>
      </c>
      <c r="F457" s="7">
        <f>'1 prepared data'!E450</f>
        <v/>
      </c>
      <c r="G457" s="7">
        <f>'1 prepared data'!F450</f>
        <v/>
      </c>
      <c r="H457" s="7">
        <f>'1 prepared data'!G450</f>
        <v/>
      </c>
      <c r="I457" s="7">
        <f>'1 prepared data'!H450</f>
        <v/>
      </c>
      <c r="J457" s="7">
        <f>'1 prepared data'!I450</f>
        <v/>
      </c>
      <c r="K457" s="7">
        <f>'1 prepared data'!J450</f>
        <v/>
      </c>
      <c r="L457" s="7">
        <f>'1 prepared data'!K450</f>
        <v/>
      </c>
      <c r="M457" s="7">
        <f>'1 prepared data'!L450</f>
        <v/>
      </c>
      <c r="N457" s="7">
        <f>'1 prepared data'!M450</f>
        <v/>
      </c>
      <c r="O457" s="7">
        <f>'1 prepared data'!N450</f>
        <v/>
      </c>
      <c r="P457" s="7">
        <f>'1 prepared data'!O450</f>
        <v/>
      </c>
      <c r="Q457" s="7">
        <f>'1 prepared data'!P450</f>
        <v/>
      </c>
      <c r="R457" s="7">
        <f>'1 prepared data'!Q450</f>
        <v/>
      </c>
      <c r="S457" s="7">
        <f>'1 prepared data'!R450</f>
        <v/>
      </c>
      <c r="T457" s="7">
        <f>'1 prepared data'!S450</f>
        <v/>
      </c>
      <c r="U457" s="7">
        <f>'1 prepared data'!T450</f>
        <v/>
      </c>
      <c r="V457" s="8">
        <f>$AC$12+D457*$AC$13+E457*$AC$14+F457*$AC$15+G457*$AC$16+H457*$AC$17+I457*$AC$18+J457*$AC$19+K457*$AC$20+L457*$AC$21+M457*$AC$22+N457*$AC$23+O457*$AC$24+P457*$AC$25+Q457*$AC$26+R457*$AC$27+S457*$AC$28+T457*$AC$29+U457*$AC$30</f>
        <v/>
      </c>
      <c r="W457" s="8">
        <f>1/(1+EXP(-V457))</f>
        <v/>
      </c>
      <c r="X457" s="9">
        <f>-IF(C457=1,LN(W457),LN(1-W457))</f>
        <v/>
      </c>
      <c r="Y457" s="10">
        <f>IF(W457&gt;$AC$34,1,0)</f>
        <v/>
      </c>
      <c r="Z457">
        <f>IF(Y457=C457,1,0)</f>
        <v/>
      </c>
    </row>
    <row r="458">
      <c r="A458">
        <f>'1 prepared data'!A451</f>
        <v/>
      </c>
      <c r="B458" s="5">
        <f>'1 prepared data'!U451</f>
        <v/>
      </c>
      <c r="C458">
        <f>'1 prepared data'!B451</f>
        <v/>
      </c>
      <c r="D458" s="7">
        <f>'1 prepared data'!C451</f>
        <v/>
      </c>
      <c r="E458" s="7">
        <f>'1 prepared data'!D451</f>
        <v/>
      </c>
      <c r="F458" s="7">
        <f>'1 prepared data'!E451</f>
        <v/>
      </c>
      <c r="G458" s="7">
        <f>'1 prepared data'!F451</f>
        <v/>
      </c>
      <c r="H458" s="7">
        <f>'1 prepared data'!G451</f>
        <v/>
      </c>
      <c r="I458" s="7">
        <f>'1 prepared data'!H451</f>
        <v/>
      </c>
      <c r="J458" s="7">
        <f>'1 prepared data'!I451</f>
        <v/>
      </c>
      <c r="K458" s="7">
        <f>'1 prepared data'!J451</f>
        <v/>
      </c>
      <c r="L458" s="7">
        <f>'1 prepared data'!K451</f>
        <v/>
      </c>
      <c r="M458" s="7">
        <f>'1 prepared data'!L451</f>
        <v/>
      </c>
      <c r="N458" s="7">
        <f>'1 prepared data'!M451</f>
        <v/>
      </c>
      <c r="O458" s="7">
        <f>'1 prepared data'!N451</f>
        <v/>
      </c>
      <c r="P458" s="7">
        <f>'1 prepared data'!O451</f>
        <v/>
      </c>
      <c r="Q458" s="7">
        <f>'1 prepared data'!P451</f>
        <v/>
      </c>
      <c r="R458" s="7">
        <f>'1 prepared data'!Q451</f>
        <v/>
      </c>
      <c r="S458" s="7">
        <f>'1 prepared data'!R451</f>
        <v/>
      </c>
      <c r="T458" s="7">
        <f>'1 prepared data'!S451</f>
        <v/>
      </c>
      <c r="U458" s="7">
        <f>'1 prepared data'!T451</f>
        <v/>
      </c>
      <c r="V458" s="8">
        <f>$AC$12+D458*$AC$13+E458*$AC$14+F458*$AC$15+G458*$AC$16+H458*$AC$17+I458*$AC$18+J458*$AC$19+K458*$AC$20+L458*$AC$21+M458*$AC$22+N458*$AC$23+O458*$AC$24+P458*$AC$25+Q458*$AC$26+R458*$AC$27+S458*$AC$28+T458*$AC$29+U458*$AC$30</f>
        <v/>
      </c>
      <c r="W458" s="8">
        <f>1/(1+EXP(-V458))</f>
        <v/>
      </c>
      <c r="X458" s="9">
        <f>-IF(C458=1,LN(W458),LN(1-W458))</f>
        <v/>
      </c>
      <c r="Y458" s="10">
        <f>IF(W458&gt;$AC$34,1,0)</f>
        <v/>
      </c>
      <c r="Z458">
        <f>IF(Y458=C458,1,0)</f>
        <v/>
      </c>
    </row>
    <row r="459">
      <c r="A459">
        <f>'1 prepared data'!A452</f>
        <v/>
      </c>
      <c r="B459" s="5">
        <f>'1 prepared data'!U452</f>
        <v/>
      </c>
      <c r="C459">
        <f>'1 prepared data'!B452</f>
        <v/>
      </c>
      <c r="D459" s="7">
        <f>'1 prepared data'!C452</f>
        <v/>
      </c>
      <c r="E459" s="7">
        <f>'1 prepared data'!D452</f>
        <v/>
      </c>
      <c r="F459" s="7">
        <f>'1 prepared data'!E452</f>
        <v/>
      </c>
      <c r="G459" s="7">
        <f>'1 prepared data'!F452</f>
        <v/>
      </c>
      <c r="H459" s="7">
        <f>'1 prepared data'!G452</f>
        <v/>
      </c>
      <c r="I459" s="7">
        <f>'1 prepared data'!H452</f>
        <v/>
      </c>
      <c r="J459" s="7">
        <f>'1 prepared data'!I452</f>
        <v/>
      </c>
      <c r="K459" s="7">
        <f>'1 prepared data'!J452</f>
        <v/>
      </c>
      <c r="L459" s="7">
        <f>'1 prepared data'!K452</f>
        <v/>
      </c>
      <c r="M459" s="7">
        <f>'1 prepared data'!L452</f>
        <v/>
      </c>
      <c r="N459" s="7">
        <f>'1 prepared data'!M452</f>
        <v/>
      </c>
      <c r="O459" s="7">
        <f>'1 prepared data'!N452</f>
        <v/>
      </c>
      <c r="P459" s="7">
        <f>'1 prepared data'!O452</f>
        <v/>
      </c>
      <c r="Q459" s="7">
        <f>'1 prepared data'!P452</f>
        <v/>
      </c>
      <c r="R459" s="7">
        <f>'1 prepared data'!Q452</f>
        <v/>
      </c>
      <c r="S459" s="7">
        <f>'1 prepared data'!R452</f>
        <v/>
      </c>
      <c r="T459" s="7">
        <f>'1 prepared data'!S452</f>
        <v/>
      </c>
      <c r="U459" s="7">
        <f>'1 prepared data'!T452</f>
        <v/>
      </c>
      <c r="V459" s="8">
        <f>$AC$12+D459*$AC$13+E459*$AC$14+F459*$AC$15+G459*$AC$16+H459*$AC$17+I459*$AC$18+J459*$AC$19+K459*$AC$20+L459*$AC$21+M459*$AC$22+N459*$AC$23+O459*$AC$24+P459*$AC$25+Q459*$AC$26+R459*$AC$27+S459*$AC$28+T459*$AC$29+U459*$AC$30</f>
        <v/>
      </c>
      <c r="W459" s="8">
        <f>1/(1+EXP(-V459))</f>
        <v/>
      </c>
      <c r="X459" s="9">
        <f>-IF(C459=1,LN(W459),LN(1-W459))</f>
        <v/>
      </c>
      <c r="Y459" s="10">
        <f>IF(W459&gt;$AC$34,1,0)</f>
        <v/>
      </c>
      <c r="Z459">
        <f>IF(Y459=C459,1,0)</f>
        <v/>
      </c>
    </row>
    <row r="460">
      <c r="A460">
        <f>'1 prepared data'!A453</f>
        <v/>
      </c>
      <c r="B460" s="5">
        <f>'1 prepared data'!U453</f>
        <v/>
      </c>
      <c r="C460">
        <f>'1 prepared data'!B453</f>
        <v/>
      </c>
      <c r="D460" s="7">
        <f>'1 prepared data'!C453</f>
        <v/>
      </c>
      <c r="E460" s="7">
        <f>'1 prepared data'!D453</f>
        <v/>
      </c>
      <c r="F460" s="7">
        <f>'1 prepared data'!E453</f>
        <v/>
      </c>
      <c r="G460" s="7">
        <f>'1 prepared data'!F453</f>
        <v/>
      </c>
      <c r="H460" s="7">
        <f>'1 prepared data'!G453</f>
        <v/>
      </c>
      <c r="I460" s="7">
        <f>'1 prepared data'!H453</f>
        <v/>
      </c>
      <c r="J460" s="7">
        <f>'1 prepared data'!I453</f>
        <v/>
      </c>
      <c r="K460" s="7">
        <f>'1 prepared data'!J453</f>
        <v/>
      </c>
      <c r="L460" s="7">
        <f>'1 prepared data'!K453</f>
        <v/>
      </c>
      <c r="M460" s="7">
        <f>'1 prepared data'!L453</f>
        <v/>
      </c>
      <c r="N460" s="7">
        <f>'1 prepared data'!M453</f>
        <v/>
      </c>
      <c r="O460" s="7">
        <f>'1 prepared data'!N453</f>
        <v/>
      </c>
      <c r="P460" s="7">
        <f>'1 prepared data'!O453</f>
        <v/>
      </c>
      <c r="Q460" s="7">
        <f>'1 prepared data'!P453</f>
        <v/>
      </c>
      <c r="R460" s="7">
        <f>'1 prepared data'!Q453</f>
        <v/>
      </c>
      <c r="S460" s="7">
        <f>'1 prepared data'!R453</f>
        <v/>
      </c>
      <c r="T460" s="7">
        <f>'1 prepared data'!S453</f>
        <v/>
      </c>
      <c r="U460" s="7">
        <f>'1 prepared data'!T453</f>
        <v/>
      </c>
      <c r="V460" s="8">
        <f>$AC$12+D460*$AC$13+E460*$AC$14+F460*$AC$15+G460*$AC$16+H460*$AC$17+I460*$AC$18+J460*$AC$19+K460*$AC$20+L460*$AC$21+M460*$AC$22+N460*$AC$23+O460*$AC$24+P460*$AC$25+Q460*$AC$26+R460*$AC$27+S460*$AC$28+T460*$AC$29+U460*$AC$30</f>
        <v/>
      </c>
      <c r="W460" s="8">
        <f>1/(1+EXP(-V460))</f>
        <v/>
      </c>
      <c r="X460" s="9">
        <f>-IF(C460=1,LN(W460),LN(1-W460))</f>
        <v/>
      </c>
      <c r="Y460" s="10">
        <f>IF(W460&gt;$AC$34,1,0)</f>
        <v/>
      </c>
      <c r="Z460">
        <f>IF(Y460=C460,1,0)</f>
        <v/>
      </c>
    </row>
    <row r="461">
      <c r="A461">
        <f>'1 prepared data'!A454</f>
        <v/>
      </c>
      <c r="B461" s="5">
        <f>'1 prepared data'!U454</f>
        <v/>
      </c>
      <c r="C461">
        <f>'1 prepared data'!B454</f>
        <v/>
      </c>
      <c r="D461" s="7">
        <f>'1 prepared data'!C454</f>
        <v/>
      </c>
      <c r="E461" s="7">
        <f>'1 prepared data'!D454</f>
        <v/>
      </c>
      <c r="F461" s="7">
        <f>'1 prepared data'!E454</f>
        <v/>
      </c>
      <c r="G461" s="7">
        <f>'1 prepared data'!F454</f>
        <v/>
      </c>
      <c r="H461" s="7">
        <f>'1 prepared data'!G454</f>
        <v/>
      </c>
      <c r="I461" s="7">
        <f>'1 prepared data'!H454</f>
        <v/>
      </c>
      <c r="J461" s="7">
        <f>'1 prepared data'!I454</f>
        <v/>
      </c>
      <c r="K461" s="7">
        <f>'1 prepared data'!J454</f>
        <v/>
      </c>
      <c r="L461" s="7">
        <f>'1 prepared data'!K454</f>
        <v/>
      </c>
      <c r="M461" s="7">
        <f>'1 prepared data'!L454</f>
        <v/>
      </c>
      <c r="N461" s="7">
        <f>'1 prepared data'!M454</f>
        <v/>
      </c>
      <c r="O461" s="7">
        <f>'1 prepared data'!N454</f>
        <v/>
      </c>
      <c r="P461" s="7">
        <f>'1 prepared data'!O454</f>
        <v/>
      </c>
      <c r="Q461" s="7">
        <f>'1 prepared data'!P454</f>
        <v/>
      </c>
      <c r="R461" s="7">
        <f>'1 prepared data'!Q454</f>
        <v/>
      </c>
      <c r="S461" s="7">
        <f>'1 prepared data'!R454</f>
        <v/>
      </c>
      <c r="T461" s="7">
        <f>'1 prepared data'!S454</f>
        <v/>
      </c>
      <c r="U461" s="7">
        <f>'1 prepared data'!T454</f>
        <v/>
      </c>
      <c r="V461" s="8">
        <f>$AC$12+D461*$AC$13+E461*$AC$14+F461*$AC$15+G461*$AC$16+H461*$AC$17+I461*$AC$18+J461*$AC$19+K461*$AC$20+L461*$AC$21+M461*$AC$22+N461*$AC$23+O461*$AC$24+P461*$AC$25+Q461*$AC$26+R461*$AC$27+S461*$AC$28+T461*$AC$29+U461*$AC$30</f>
        <v/>
      </c>
      <c r="W461" s="8">
        <f>1/(1+EXP(-V461))</f>
        <v/>
      </c>
      <c r="X461" s="9">
        <f>-IF(C461=1,LN(W461),LN(1-W461))</f>
        <v/>
      </c>
      <c r="Y461" s="10">
        <f>IF(W461&gt;$AC$34,1,0)</f>
        <v/>
      </c>
      <c r="Z461">
        <f>IF(Y461=C461,1,0)</f>
        <v/>
      </c>
    </row>
    <row r="462">
      <c r="A462">
        <f>'1 prepared data'!A455</f>
        <v/>
      </c>
      <c r="B462" s="5">
        <f>'1 prepared data'!U455</f>
        <v/>
      </c>
      <c r="C462">
        <f>'1 prepared data'!B455</f>
        <v/>
      </c>
      <c r="D462" s="7">
        <f>'1 prepared data'!C455</f>
        <v/>
      </c>
      <c r="E462" s="7">
        <f>'1 prepared data'!D455</f>
        <v/>
      </c>
      <c r="F462" s="7">
        <f>'1 prepared data'!E455</f>
        <v/>
      </c>
      <c r="G462" s="7">
        <f>'1 prepared data'!F455</f>
        <v/>
      </c>
      <c r="H462" s="7">
        <f>'1 prepared data'!G455</f>
        <v/>
      </c>
      <c r="I462" s="7">
        <f>'1 prepared data'!H455</f>
        <v/>
      </c>
      <c r="J462" s="7">
        <f>'1 prepared data'!I455</f>
        <v/>
      </c>
      <c r="K462" s="7">
        <f>'1 prepared data'!J455</f>
        <v/>
      </c>
      <c r="L462" s="7">
        <f>'1 prepared data'!K455</f>
        <v/>
      </c>
      <c r="M462" s="7">
        <f>'1 prepared data'!L455</f>
        <v/>
      </c>
      <c r="N462" s="7">
        <f>'1 prepared data'!M455</f>
        <v/>
      </c>
      <c r="O462" s="7">
        <f>'1 prepared data'!N455</f>
        <v/>
      </c>
      <c r="P462" s="7">
        <f>'1 prepared data'!O455</f>
        <v/>
      </c>
      <c r="Q462" s="7">
        <f>'1 prepared data'!P455</f>
        <v/>
      </c>
      <c r="R462" s="7">
        <f>'1 prepared data'!Q455</f>
        <v/>
      </c>
      <c r="S462" s="7">
        <f>'1 prepared data'!R455</f>
        <v/>
      </c>
      <c r="T462" s="7">
        <f>'1 prepared data'!S455</f>
        <v/>
      </c>
      <c r="U462" s="7">
        <f>'1 prepared data'!T455</f>
        <v/>
      </c>
      <c r="V462" s="8">
        <f>$AC$12+D462*$AC$13+E462*$AC$14+F462*$AC$15+G462*$AC$16+H462*$AC$17+I462*$AC$18+J462*$AC$19+K462*$AC$20+L462*$AC$21+M462*$AC$22+N462*$AC$23+O462*$AC$24+P462*$AC$25+Q462*$AC$26+R462*$AC$27+S462*$AC$28+T462*$AC$29+U462*$AC$30</f>
        <v/>
      </c>
      <c r="W462" s="8">
        <f>1/(1+EXP(-V462))</f>
        <v/>
      </c>
      <c r="X462" s="9">
        <f>-IF(C462=1,LN(W462),LN(1-W462))</f>
        <v/>
      </c>
      <c r="Y462" s="10">
        <f>IF(W462&gt;$AC$34,1,0)</f>
        <v/>
      </c>
      <c r="Z462">
        <f>IF(Y462=C462,1,0)</f>
        <v/>
      </c>
    </row>
    <row r="463">
      <c r="A463">
        <f>'1 prepared data'!A456</f>
        <v/>
      </c>
      <c r="B463" s="5">
        <f>'1 prepared data'!U456</f>
        <v/>
      </c>
      <c r="C463">
        <f>'1 prepared data'!B456</f>
        <v/>
      </c>
      <c r="D463" s="7">
        <f>'1 prepared data'!C456</f>
        <v/>
      </c>
      <c r="E463" s="7">
        <f>'1 prepared data'!D456</f>
        <v/>
      </c>
      <c r="F463" s="7">
        <f>'1 prepared data'!E456</f>
        <v/>
      </c>
      <c r="G463" s="7">
        <f>'1 prepared data'!F456</f>
        <v/>
      </c>
      <c r="H463" s="7">
        <f>'1 prepared data'!G456</f>
        <v/>
      </c>
      <c r="I463" s="7">
        <f>'1 prepared data'!H456</f>
        <v/>
      </c>
      <c r="J463" s="7">
        <f>'1 prepared data'!I456</f>
        <v/>
      </c>
      <c r="K463" s="7">
        <f>'1 prepared data'!J456</f>
        <v/>
      </c>
      <c r="L463" s="7">
        <f>'1 prepared data'!K456</f>
        <v/>
      </c>
      <c r="M463" s="7">
        <f>'1 prepared data'!L456</f>
        <v/>
      </c>
      <c r="N463" s="7">
        <f>'1 prepared data'!M456</f>
        <v/>
      </c>
      <c r="O463" s="7">
        <f>'1 prepared data'!N456</f>
        <v/>
      </c>
      <c r="P463" s="7">
        <f>'1 prepared data'!O456</f>
        <v/>
      </c>
      <c r="Q463" s="7">
        <f>'1 prepared data'!P456</f>
        <v/>
      </c>
      <c r="R463" s="7">
        <f>'1 prepared data'!Q456</f>
        <v/>
      </c>
      <c r="S463" s="7">
        <f>'1 prepared data'!R456</f>
        <v/>
      </c>
      <c r="T463" s="7">
        <f>'1 prepared data'!S456</f>
        <v/>
      </c>
      <c r="U463" s="7">
        <f>'1 prepared data'!T456</f>
        <v/>
      </c>
      <c r="V463" s="8">
        <f>$AC$12+D463*$AC$13+E463*$AC$14+F463*$AC$15+G463*$AC$16+H463*$AC$17+I463*$AC$18+J463*$AC$19+K463*$AC$20+L463*$AC$21+M463*$AC$22+N463*$AC$23+O463*$AC$24+P463*$AC$25+Q463*$AC$26+R463*$AC$27+S463*$AC$28+T463*$AC$29+U463*$AC$30</f>
        <v/>
      </c>
      <c r="W463" s="8">
        <f>1/(1+EXP(-V463))</f>
        <v/>
      </c>
      <c r="X463" s="9">
        <f>-IF(C463=1,LN(W463),LN(1-W463))</f>
        <v/>
      </c>
      <c r="Y463" s="10">
        <f>IF(W463&gt;$AC$34,1,0)</f>
        <v/>
      </c>
      <c r="Z463">
        <f>IF(Y463=C463,1,0)</f>
        <v/>
      </c>
    </row>
    <row r="464">
      <c r="A464">
        <f>'1 prepared data'!A457</f>
        <v/>
      </c>
      <c r="B464" s="5">
        <f>'1 prepared data'!U457</f>
        <v/>
      </c>
      <c r="C464">
        <f>'1 prepared data'!B457</f>
        <v/>
      </c>
      <c r="D464" s="7">
        <f>'1 prepared data'!C457</f>
        <v/>
      </c>
      <c r="E464" s="7">
        <f>'1 prepared data'!D457</f>
        <v/>
      </c>
      <c r="F464" s="7">
        <f>'1 prepared data'!E457</f>
        <v/>
      </c>
      <c r="G464" s="7">
        <f>'1 prepared data'!F457</f>
        <v/>
      </c>
      <c r="H464" s="7">
        <f>'1 prepared data'!G457</f>
        <v/>
      </c>
      <c r="I464" s="7">
        <f>'1 prepared data'!H457</f>
        <v/>
      </c>
      <c r="J464" s="7">
        <f>'1 prepared data'!I457</f>
        <v/>
      </c>
      <c r="K464" s="7">
        <f>'1 prepared data'!J457</f>
        <v/>
      </c>
      <c r="L464" s="7">
        <f>'1 prepared data'!K457</f>
        <v/>
      </c>
      <c r="M464" s="7">
        <f>'1 prepared data'!L457</f>
        <v/>
      </c>
      <c r="N464" s="7">
        <f>'1 prepared data'!M457</f>
        <v/>
      </c>
      <c r="O464" s="7">
        <f>'1 prepared data'!N457</f>
        <v/>
      </c>
      <c r="P464" s="7">
        <f>'1 prepared data'!O457</f>
        <v/>
      </c>
      <c r="Q464" s="7">
        <f>'1 prepared data'!P457</f>
        <v/>
      </c>
      <c r="R464" s="7">
        <f>'1 prepared data'!Q457</f>
        <v/>
      </c>
      <c r="S464" s="7">
        <f>'1 prepared data'!R457</f>
        <v/>
      </c>
      <c r="T464" s="7">
        <f>'1 prepared data'!S457</f>
        <v/>
      </c>
      <c r="U464" s="7">
        <f>'1 prepared data'!T457</f>
        <v/>
      </c>
      <c r="V464" s="8">
        <f>$AC$12+D464*$AC$13+E464*$AC$14+F464*$AC$15+G464*$AC$16+H464*$AC$17+I464*$AC$18+J464*$AC$19+K464*$AC$20+L464*$AC$21+M464*$AC$22+N464*$AC$23+O464*$AC$24+P464*$AC$25+Q464*$AC$26+R464*$AC$27+S464*$AC$28+T464*$AC$29+U464*$AC$30</f>
        <v/>
      </c>
      <c r="W464" s="8">
        <f>1/(1+EXP(-V464))</f>
        <v/>
      </c>
      <c r="X464" s="9">
        <f>-IF(C464=1,LN(W464),LN(1-W464))</f>
        <v/>
      </c>
      <c r="Y464" s="10">
        <f>IF(W464&gt;$AC$34,1,0)</f>
        <v/>
      </c>
      <c r="Z464">
        <f>IF(Y464=C464,1,0)</f>
        <v/>
      </c>
    </row>
    <row r="465">
      <c r="A465">
        <f>'1 prepared data'!A458</f>
        <v/>
      </c>
      <c r="B465" s="5">
        <f>'1 prepared data'!U458</f>
        <v/>
      </c>
      <c r="C465">
        <f>'1 prepared data'!B458</f>
        <v/>
      </c>
      <c r="D465" s="7">
        <f>'1 prepared data'!C458</f>
        <v/>
      </c>
      <c r="E465" s="7">
        <f>'1 prepared data'!D458</f>
        <v/>
      </c>
      <c r="F465" s="7">
        <f>'1 prepared data'!E458</f>
        <v/>
      </c>
      <c r="G465" s="7">
        <f>'1 prepared data'!F458</f>
        <v/>
      </c>
      <c r="H465" s="7">
        <f>'1 prepared data'!G458</f>
        <v/>
      </c>
      <c r="I465" s="7">
        <f>'1 prepared data'!H458</f>
        <v/>
      </c>
      <c r="J465" s="7">
        <f>'1 prepared data'!I458</f>
        <v/>
      </c>
      <c r="K465" s="7">
        <f>'1 prepared data'!J458</f>
        <v/>
      </c>
      <c r="L465" s="7">
        <f>'1 prepared data'!K458</f>
        <v/>
      </c>
      <c r="M465" s="7">
        <f>'1 prepared data'!L458</f>
        <v/>
      </c>
      <c r="N465" s="7">
        <f>'1 prepared data'!M458</f>
        <v/>
      </c>
      <c r="O465" s="7">
        <f>'1 prepared data'!N458</f>
        <v/>
      </c>
      <c r="P465" s="7">
        <f>'1 prepared data'!O458</f>
        <v/>
      </c>
      <c r="Q465" s="7">
        <f>'1 prepared data'!P458</f>
        <v/>
      </c>
      <c r="R465" s="7">
        <f>'1 prepared data'!Q458</f>
        <v/>
      </c>
      <c r="S465" s="7">
        <f>'1 prepared data'!R458</f>
        <v/>
      </c>
      <c r="T465" s="7">
        <f>'1 prepared data'!S458</f>
        <v/>
      </c>
      <c r="U465" s="7">
        <f>'1 prepared data'!T458</f>
        <v/>
      </c>
      <c r="V465" s="8">
        <f>$AC$12+D465*$AC$13+E465*$AC$14+F465*$AC$15+G465*$AC$16+H465*$AC$17+I465*$AC$18+J465*$AC$19+K465*$AC$20+L465*$AC$21+M465*$AC$22+N465*$AC$23+O465*$AC$24+P465*$AC$25+Q465*$AC$26+R465*$AC$27+S465*$AC$28+T465*$AC$29+U465*$AC$30</f>
        <v/>
      </c>
      <c r="W465" s="8">
        <f>1/(1+EXP(-V465))</f>
        <v/>
      </c>
      <c r="X465" s="9">
        <f>-IF(C465=1,LN(W465),LN(1-W465))</f>
        <v/>
      </c>
      <c r="Y465" s="10">
        <f>IF(W465&gt;$AC$34,1,0)</f>
        <v/>
      </c>
      <c r="Z465">
        <f>IF(Y465=C465,1,0)</f>
        <v/>
      </c>
    </row>
    <row r="466">
      <c r="A466">
        <f>'1 prepared data'!A459</f>
        <v/>
      </c>
      <c r="B466" s="5">
        <f>'1 prepared data'!U459</f>
        <v/>
      </c>
      <c r="C466">
        <f>'1 prepared data'!B459</f>
        <v/>
      </c>
      <c r="D466" s="7">
        <f>'1 prepared data'!C459</f>
        <v/>
      </c>
      <c r="E466" s="7">
        <f>'1 prepared data'!D459</f>
        <v/>
      </c>
      <c r="F466" s="7">
        <f>'1 prepared data'!E459</f>
        <v/>
      </c>
      <c r="G466" s="7">
        <f>'1 prepared data'!F459</f>
        <v/>
      </c>
      <c r="H466" s="7">
        <f>'1 prepared data'!G459</f>
        <v/>
      </c>
      <c r="I466" s="7">
        <f>'1 prepared data'!H459</f>
        <v/>
      </c>
      <c r="J466" s="7">
        <f>'1 prepared data'!I459</f>
        <v/>
      </c>
      <c r="K466" s="7">
        <f>'1 prepared data'!J459</f>
        <v/>
      </c>
      <c r="L466" s="7">
        <f>'1 prepared data'!K459</f>
        <v/>
      </c>
      <c r="M466" s="7">
        <f>'1 prepared data'!L459</f>
        <v/>
      </c>
      <c r="N466" s="7">
        <f>'1 prepared data'!M459</f>
        <v/>
      </c>
      <c r="O466" s="7">
        <f>'1 prepared data'!N459</f>
        <v/>
      </c>
      <c r="P466" s="7">
        <f>'1 prepared data'!O459</f>
        <v/>
      </c>
      <c r="Q466" s="7">
        <f>'1 prepared data'!P459</f>
        <v/>
      </c>
      <c r="R466" s="7">
        <f>'1 prepared data'!Q459</f>
        <v/>
      </c>
      <c r="S466" s="7">
        <f>'1 prepared data'!R459</f>
        <v/>
      </c>
      <c r="T466" s="7">
        <f>'1 prepared data'!S459</f>
        <v/>
      </c>
      <c r="U466" s="7">
        <f>'1 prepared data'!T459</f>
        <v/>
      </c>
      <c r="V466" s="8">
        <f>$AC$12+D466*$AC$13+E466*$AC$14+F466*$AC$15+G466*$AC$16+H466*$AC$17+I466*$AC$18+J466*$AC$19+K466*$AC$20+L466*$AC$21+M466*$AC$22+N466*$AC$23+O466*$AC$24+P466*$AC$25+Q466*$AC$26+R466*$AC$27+S466*$AC$28+T466*$AC$29+U466*$AC$30</f>
        <v/>
      </c>
      <c r="W466" s="8">
        <f>1/(1+EXP(-V466))</f>
        <v/>
      </c>
      <c r="X466" s="9">
        <f>-IF(C466=1,LN(W466),LN(1-W466))</f>
        <v/>
      </c>
      <c r="Y466" s="10">
        <f>IF(W466&gt;$AC$34,1,0)</f>
        <v/>
      </c>
      <c r="Z466">
        <f>IF(Y466=C466,1,0)</f>
        <v/>
      </c>
    </row>
    <row r="467">
      <c r="A467">
        <f>'1 prepared data'!A460</f>
        <v/>
      </c>
      <c r="B467" s="5">
        <f>'1 prepared data'!U460</f>
        <v/>
      </c>
      <c r="C467">
        <f>'1 prepared data'!B460</f>
        <v/>
      </c>
      <c r="D467" s="7">
        <f>'1 prepared data'!C460</f>
        <v/>
      </c>
      <c r="E467" s="7">
        <f>'1 prepared data'!D460</f>
        <v/>
      </c>
      <c r="F467" s="7">
        <f>'1 prepared data'!E460</f>
        <v/>
      </c>
      <c r="G467" s="7">
        <f>'1 prepared data'!F460</f>
        <v/>
      </c>
      <c r="H467" s="7">
        <f>'1 prepared data'!G460</f>
        <v/>
      </c>
      <c r="I467" s="7">
        <f>'1 prepared data'!H460</f>
        <v/>
      </c>
      <c r="J467" s="7">
        <f>'1 prepared data'!I460</f>
        <v/>
      </c>
      <c r="K467" s="7">
        <f>'1 prepared data'!J460</f>
        <v/>
      </c>
      <c r="L467" s="7">
        <f>'1 prepared data'!K460</f>
        <v/>
      </c>
      <c r="M467" s="7">
        <f>'1 prepared data'!L460</f>
        <v/>
      </c>
      <c r="N467" s="7">
        <f>'1 prepared data'!M460</f>
        <v/>
      </c>
      <c r="O467" s="7">
        <f>'1 prepared data'!N460</f>
        <v/>
      </c>
      <c r="P467" s="7">
        <f>'1 prepared data'!O460</f>
        <v/>
      </c>
      <c r="Q467" s="7">
        <f>'1 prepared data'!P460</f>
        <v/>
      </c>
      <c r="R467" s="7">
        <f>'1 prepared data'!Q460</f>
        <v/>
      </c>
      <c r="S467" s="7">
        <f>'1 prepared data'!R460</f>
        <v/>
      </c>
      <c r="T467" s="7">
        <f>'1 prepared data'!S460</f>
        <v/>
      </c>
      <c r="U467" s="7">
        <f>'1 prepared data'!T460</f>
        <v/>
      </c>
      <c r="V467" s="8">
        <f>$AC$12+D467*$AC$13+E467*$AC$14+F467*$AC$15+G467*$AC$16+H467*$AC$17+I467*$AC$18+J467*$AC$19+K467*$AC$20+L467*$AC$21+M467*$AC$22+N467*$AC$23+O467*$AC$24+P467*$AC$25+Q467*$AC$26+R467*$AC$27+S467*$AC$28+T467*$AC$29+U467*$AC$30</f>
        <v/>
      </c>
      <c r="W467" s="8">
        <f>1/(1+EXP(-V467))</f>
        <v/>
      </c>
      <c r="X467" s="9">
        <f>-IF(C467=1,LN(W467),LN(1-W467))</f>
        <v/>
      </c>
      <c r="Y467" s="10">
        <f>IF(W467&gt;$AC$34,1,0)</f>
        <v/>
      </c>
      <c r="Z467">
        <f>IF(Y467=C467,1,0)</f>
        <v/>
      </c>
    </row>
    <row r="468">
      <c r="A468">
        <f>'1 prepared data'!A461</f>
        <v/>
      </c>
      <c r="B468" s="5">
        <f>'1 prepared data'!U461</f>
        <v/>
      </c>
      <c r="C468">
        <f>'1 prepared data'!B461</f>
        <v/>
      </c>
      <c r="D468" s="7">
        <f>'1 prepared data'!C461</f>
        <v/>
      </c>
      <c r="E468" s="7">
        <f>'1 prepared data'!D461</f>
        <v/>
      </c>
      <c r="F468" s="7">
        <f>'1 prepared data'!E461</f>
        <v/>
      </c>
      <c r="G468" s="7">
        <f>'1 prepared data'!F461</f>
        <v/>
      </c>
      <c r="H468" s="7">
        <f>'1 prepared data'!G461</f>
        <v/>
      </c>
      <c r="I468" s="7">
        <f>'1 prepared data'!H461</f>
        <v/>
      </c>
      <c r="J468" s="7">
        <f>'1 prepared data'!I461</f>
        <v/>
      </c>
      <c r="K468" s="7">
        <f>'1 prepared data'!J461</f>
        <v/>
      </c>
      <c r="L468" s="7">
        <f>'1 prepared data'!K461</f>
        <v/>
      </c>
      <c r="M468" s="7">
        <f>'1 prepared data'!L461</f>
        <v/>
      </c>
      <c r="N468" s="7">
        <f>'1 prepared data'!M461</f>
        <v/>
      </c>
      <c r="O468" s="7">
        <f>'1 prepared data'!N461</f>
        <v/>
      </c>
      <c r="P468" s="7">
        <f>'1 prepared data'!O461</f>
        <v/>
      </c>
      <c r="Q468" s="7">
        <f>'1 prepared data'!P461</f>
        <v/>
      </c>
      <c r="R468" s="7">
        <f>'1 prepared data'!Q461</f>
        <v/>
      </c>
      <c r="S468" s="7">
        <f>'1 prepared data'!R461</f>
        <v/>
      </c>
      <c r="T468" s="7">
        <f>'1 prepared data'!S461</f>
        <v/>
      </c>
      <c r="U468" s="7">
        <f>'1 prepared data'!T461</f>
        <v/>
      </c>
      <c r="V468" s="8">
        <f>$AC$12+D468*$AC$13+E468*$AC$14+F468*$AC$15+G468*$AC$16+H468*$AC$17+I468*$AC$18+J468*$AC$19+K468*$AC$20+L468*$AC$21+M468*$AC$22+N468*$AC$23+O468*$AC$24+P468*$AC$25+Q468*$AC$26+R468*$AC$27+S468*$AC$28+T468*$AC$29+U468*$AC$30</f>
        <v/>
      </c>
      <c r="W468" s="8">
        <f>1/(1+EXP(-V468))</f>
        <v/>
      </c>
      <c r="X468" s="9">
        <f>-IF(C468=1,LN(W468),LN(1-W468))</f>
        <v/>
      </c>
      <c r="Y468" s="10">
        <f>IF(W468&gt;$AC$34,1,0)</f>
        <v/>
      </c>
      <c r="Z468">
        <f>IF(Y468=C468,1,0)</f>
        <v/>
      </c>
    </row>
    <row r="469">
      <c r="A469">
        <f>'1 prepared data'!A462</f>
        <v/>
      </c>
      <c r="B469" s="5">
        <f>'1 prepared data'!U462</f>
        <v/>
      </c>
      <c r="C469">
        <f>'1 prepared data'!B462</f>
        <v/>
      </c>
      <c r="D469" s="7">
        <f>'1 prepared data'!C462</f>
        <v/>
      </c>
      <c r="E469" s="7">
        <f>'1 prepared data'!D462</f>
        <v/>
      </c>
      <c r="F469" s="7">
        <f>'1 prepared data'!E462</f>
        <v/>
      </c>
      <c r="G469" s="7">
        <f>'1 prepared data'!F462</f>
        <v/>
      </c>
      <c r="H469" s="7">
        <f>'1 prepared data'!G462</f>
        <v/>
      </c>
      <c r="I469" s="7">
        <f>'1 prepared data'!H462</f>
        <v/>
      </c>
      <c r="J469" s="7">
        <f>'1 prepared data'!I462</f>
        <v/>
      </c>
      <c r="K469" s="7">
        <f>'1 prepared data'!J462</f>
        <v/>
      </c>
      <c r="L469" s="7">
        <f>'1 prepared data'!K462</f>
        <v/>
      </c>
      <c r="M469" s="7">
        <f>'1 prepared data'!L462</f>
        <v/>
      </c>
      <c r="N469" s="7">
        <f>'1 prepared data'!M462</f>
        <v/>
      </c>
      <c r="O469" s="7">
        <f>'1 prepared data'!N462</f>
        <v/>
      </c>
      <c r="P469" s="7">
        <f>'1 prepared data'!O462</f>
        <v/>
      </c>
      <c r="Q469" s="7">
        <f>'1 prepared data'!P462</f>
        <v/>
      </c>
      <c r="R469" s="7">
        <f>'1 prepared data'!Q462</f>
        <v/>
      </c>
      <c r="S469" s="7">
        <f>'1 prepared data'!R462</f>
        <v/>
      </c>
      <c r="T469" s="7">
        <f>'1 prepared data'!S462</f>
        <v/>
      </c>
      <c r="U469" s="7">
        <f>'1 prepared data'!T462</f>
        <v/>
      </c>
      <c r="V469" s="8">
        <f>$AC$12+D469*$AC$13+E469*$AC$14+F469*$AC$15+G469*$AC$16+H469*$AC$17+I469*$AC$18+J469*$AC$19+K469*$AC$20+L469*$AC$21+M469*$AC$22+N469*$AC$23+O469*$AC$24+P469*$AC$25+Q469*$AC$26+R469*$AC$27+S469*$AC$28+T469*$AC$29+U469*$AC$30</f>
        <v/>
      </c>
      <c r="W469" s="8">
        <f>1/(1+EXP(-V469))</f>
        <v/>
      </c>
      <c r="X469" s="9">
        <f>-IF(C469=1,LN(W469),LN(1-W469))</f>
        <v/>
      </c>
      <c r="Y469" s="10">
        <f>IF(W469&gt;$AC$34,1,0)</f>
        <v/>
      </c>
      <c r="Z469">
        <f>IF(Y469=C469,1,0)</f>
        <v/>
      </c>
    </row>
    <row r="470">
      <c r="A470">
        <f>'1 prepared data'!A463</f>
        <v/>
      </c>
      <c r="B470" s="5">
        <f>'1 prepared data'!U463</f>
        <v/>
      </c>
      <c r="C470">
        <f>'1 prepared data'!B463</f>
        <v/>
      </c>
      <c r="D470" s="7">
        <f>'1 prepared data'!C463</f>
        <v/>
      </c>
      <c r="E470" s="7">
        <f>'1 prepared data'!D463</f>
        <v/>
      </c>
      <c r="F470" s="7">
        <f>'1 prepared data'!E463</f>
        <v/>
      </c>
      <c r="G470" s="7">
        <f>'1 prepared data'!F463</f>
        <v/>
      </c>
      <c r="H470" s="7">
        <f>'1 prepared data'!G463</f>
        <v/>
      </c>
      <c r="I470" s="7">
        <f>'1 prepared data'!H463</f>
        <v/>
      </c>
      <c r="J470" s="7">
        <f>'1 prepared data'!I463</f>
        <v/>
      </c>
      <c r="K470" s="7">
        <f>'1 prepared data'!J463</f>
        <v/>
      </c>
      <c r="L470" s="7">
        <f>'1 prepared data'!K463</f>
        <v/>
      </c>
      <c r="M470" s="7">
        <f>'1 prepared data'!L463</f>
        <v/>
      </c>
      <c r="N470" s="7">
        <f>'1 prepared data'!M463</f>
        <v/>
      </c>
      <c r="O470" s="7">
        <f>'1 prepared data'!N463</f>
        <v/>
      </c>
      <c r="P470" s="7">
        <f>'1 prepared data'!O463</f>
        <v/>
      </c>
      <c r="Q470" s="7">
        <f>'1 prepared data'!P463</f>
        <v/>
      </c>
      <c r="R470" s="7">
        <f>'1 prepared data'!Q463</f>
        <v/>
      </c>
      <c r="S470" s="7">
        <f>'1 prepared data'!R463</f>
        <v/>
      </c>
      <c r="T470" s="7">
        <f>'1 prepared data'!S463</f>
        <v/>
      </c>
      <c r="U470" s="7">
        <f>'1 prepared data'!T463</f>
        <v/>
      </c>
      <c r="V470" s="8">
        <f>$AC$12+D470*$AC$13+E470*$AC$14+F470*$AC$15+G470*$AC$16+H470*$AC$17+I470*$AC$18+J470*$AC$19+K470*$AC$20+L470*$AC$21+M470*$AC$22+N470*$AC$23+O470*$AC$24+P470*$AC$25+Q470*$AC$26+R470*$AC$27+S470*$AC$28+T470*$AC$29+U470*$AC$30</f>
        <v/>
      </c>
      <c r="W470" s="8">
        <f>1/(1+EXP(-V470))</f>
        <v/>
      </c>
      <c r="X470" s="9">
        <f>-IF(C470=1,LN(W470),LN(1-W470))</f>
        <v/>
      </c>
      <c r="Y470" s="10">
        <f>IF(W470&gt;$AC$34,1,0)</f>
        <v/>
      </c>
      <c r="Z470">
        <f>IF(Y470=C470,1,0)</f>
        <v/>
      </c>
    </row>
    <row r="471">
      <c r="A471">
        <f>'1 prepared data'!A464</f>
        <v/>
      </c>
      <c r="B471" s="5">
        <f>'1 prepared data'!U464</f>
        <v/>
      </c>
      <c r="C471">
        <f>'1 prepared data'!B464</f>
        <v/>
      </c>
      <c r="D471" s="7">
        <f>'1 prepared data'!C464</f>
        <v/>
      </c>
      <c r="E471" s="7">
        <f>'1 prepared data'!D464</f>
        <v/>
      </c>
      <c r="F471" s="7">
        <f>'1 prepared data'!E464</f>
        <v/>
      </c>
      <c r="G471" s="7">
        <f>'1 prepared data'!F464</f>
        <v/>
      </c>
      <c r="H471" s="7">
        <f>'1 prepared data'!G464</f>
        <v/>
      </c>
      <c r="I471" s="7">
        <f>'1 prepared data'!H464</f>
        <v/>
      </c>
      <c r="J471" s="7">
        <f>'1 prepared data'!I464</f>
        <v/>
      </c>
      <c r="K471" s="7">
        <f>'1 prepared data'!J464</f>
        <v/>
      </c>
      <c r="L471" s="7">
        <f>'1 prepared data'!K464</f>
        <v/>
      </c>
      <c r="M471" s="7">
        <f>'1 prepared data'!L464</f>
        <v/>
      </c>
      <c r="N471" s="7">
        <f>'1 prepared data'!M464</f>
        <v/>
      </c>
      <c r="O471" s="7">
        <f>'1 prepared data'!N464</f>
        <v/>
      </c>
      <c r="P471" s="7">
        <f>'1 prepared data'!O464</f>
        <v/>
      </c>
      <c r="Q471" s="7">
        <f>'1 prepared data'!P464</f>
        <v/>
      </c>
      <c r="R471" s="7">
        <f>'1 prepared data'!Q464</f>
        <v/>
      </c>
      <c r="S471" s="7">
        <f>'1 prepared data'!R464</f>
        <v/>
      </c>
      <c r="T471" s="7">
        <f>'1 prepared data'!S464</f>
        <v/>
      </c>
      <c r="U471" s="7">
        <f>'1 prepared data'!T464</f>
        <v/>
      </c>
      <c r="V471" s="8">
        <f>$AC$12+D471*$AC$13+E471*$AC$14+F471*$AC$15+G471*$AC$16+H471*$AC$17+I471*$AC$18+J471*$AC$19+K471*$AC$20+L471*$AC$21+M471*$AC$22+N471*$AC$23+O471*$AC$24+P471*$AC$25+Q471*$AC$26+R471*$AC$27+S471*$AC$28+T471*$AC$29+U471*$AC$30</f>
        <v/>
      </c>
      <c r="W471" s="8">
        <f>1/(1+EXP(-V471))</f>
        <v/>
      </c>
      <c r="X471" s="9">
        <f>-IF(C471=1,LN(W471),LN(1-W471))</f>
        <v/>
      </c>
      <c r="Y471" s="10">
        <f>IF(W471&gt;$AC$34,1,0)</f>
        <v/>
      </c>
      <c r="Z471">
        <f>IF(Y471=C471,1,0)</f>
        <v/>
      </c>
    </row>
    <row r="472">
      <c r="A472">
        <f>'1 prepared data'!A465</f>
        <v/>
      </c>
      <c r="B472" s="5">
        <f>'1 prepared data'!U465</f>
        <v/>
      </c>
      <c r="C472">
        <f>'1 prepared data'!B465</f>
        <v/>
      </c>
      <c r="D472" s="7">
        <f>'1 prepared data'!C465</f>
        <v/>
      </c>
      <c r="E472" s="7">
        <f>'1 prepared data'!D465</f>
        <v/>
      </c>
      <c r="F472" s="7">
        <f>'1 prepared data'!E465</f>
        <v/>
      </c>
      <c r="G472" s="7">
        <f>'1 prepared data'!F465</f>
        <v/>
      </c>
      <c r="H472" s="7">
        <f>'1 prepared data'!G465</f>
        <v/>
      </c>
      <c r="I472" s="7">
        <f>'1 prepared data'!H465</f>
        <v/>
      </c>
      <c r="J472" s="7">
        <f>'1 prepared data'!I465</f>
        <v/>
      </c>
      <c r="K472" s="7">
        <f>'1 prepared data'!J465</f>
        <v/>
      </c>
      <c r="L472" s="7">
        <f>'1 prepared data'!K465</f>
        <v/>
      </c>
      <c r="M472" s="7">
        <f>'1 prepared data'!L465</f>
        <v/>
      </c>
      <c r="N472" s="7">
        <f>'1 prepared data'!M465</f>
        <v/>
      </c>
      <c r="O472" s="7">
        <f>'1 prepared data'!N465</f>
        <v/>
      </c>
      <c r="P472" s="7">
        <f>'1 prepared data'!O465</f>
        <v/>
      </c>
      <c r="Q472" s="7">
        <f>'1 prepared data'!P465</f>
        <v/>
      </c>
      <c r="R472" s="7">
        <f>'1 prepared data'!Q465</f>
        <v/>
      </c>
      <c r="S472" s="7">
        <f>'1 prepared data'!R465</f>
        <v/>
      </c>
      <c r="T472" s="7">
        <f>'1 prepared data'!S465</f>
        <v/>
      </c>
      <c r="U472" s="7">
        <f>'1 prepared data'!T465</f>
        <v/>
      </c>
      <c r="V472" s="8">
        <f>$AC$12+D472*$AC$13+E472*$AC$14+F472*$AC$15+G472*$AC$16+H472*$AC$17+I472*$AC$18+J472*$AC$19+K472*$AC$20+L472*$AC$21+M472*$AC$22+N472*$AC$23+O472*$AC$24+P472*$AC$25+Q472*$AC$26+R472*$AC$27+S472*$AC$28+T472*$AC$29+U472*$AC$30</f>
        <v/>
      </c>
      <c r="W472" s="8">
        <f>1/(1+EXP(-V472))</f>
        <v/>
      </c>
      <c r="X472" s="9">
        <f>-IF(C472=1,LN(W472),LN(1-W472))</f>
        <v/>
      </c>
      <c r="Y472" s="10">
        <f>IF(W472&gt;$AC$34,1,0)</f>
        <v/>
      </c>
      <c r="Z472">
        <f>IF(Y472=C472,1,0)</f>
        <v/>
      </c>
    </row>
    <row r="473">
      <c r="A473">
        <f>'1 prepared data'!A466</f>
        <v/>
      </c>
      <c r="B473" s="5">
        <f>'1 prepared data'!U466</f>
        <v/>
      </c>
      <c r="C473">
        <f>'1 prepared data'!B466</f>
        <v/>
      </c>
      <c r="D473" s="7">
        <f>'1 prepared data'!C466</f>
        <v/>
      </c>
      <c r="E473" s="7">
        <f>'1 prepared data'!D466</f>
        <v/>
      </c>
      <c r="F473" s="7">
        <f>'1 prepared data'!E466</f>
        <v/>
      </c>
      <c r="G473" s="7">
        <f>'1 prepared data'!F466</f>
        <v/>
      </c>
      <c r="H473" s="7">
        <f>'1 prepared data'!G466</f>
        <v/>
      </c>
      <c r="I473" s="7">
        <f>'1 prepared data'!H466</f>
        <v/>
      </c>
      <c r="J473" s="7">
        <f>'1 prepared data'!I466</f>
        <v/>
      </c>
      <c r="K473" s="7">
        <f>'1 prepared data'!J466</f>
        <v/>
      </c>
      <c r="L473" s="7">
        <f>'1 prepared data'!K466</f>
        <v/>
      </c>
      <c r="M473" s="7">
        <f>'1 prepared data'!L466</f>
        <v/>
      </c>
      <c r="N473" s="7">
        <f>'1 prepared data'!M466</f>
        <v/>
      </c>
      <c r="O473" s="7">
        <f>'1 prepared data'!N466</f>
        <v/>
      </c>
      <c r="P473" s="7">
        <f>'1 prepared data'!O466</f>
        <v/>
      </c>
      <c r="Q473" s="7">
        <f>'1 prepared data'!P466</f>
        <v/>
      </c>
      <c r="R473" s="7">
        <f>'1 prepared data'!Q466</f>
        <v/>
      </c>
      <c r="S473" s="7">
        <f>'1 prepared data'!R466</f>
        <v/>
      </c>
      <c r="T473" s="7">
        <f>'1 prepared data'!S466</f>
        <v/>
      </c>
      <c r="U473" s="7">
        <f>'1 prepared data'!T466</f>
        <v/>
      </c>
      <c r="V473" s="8">
        <f>$AC$12+D473*$AC$13+E473*$AC$14+F473*$AC$15+G473*$AC$16+H473*$AC$17+I473*$AC$18+J473*$AC$19+K473*$AC$20+L473*$AC$21+M473*$AC$22+N473*$AC$23+O473*$AC$24+P473*$AC$25+Q473*$AC$26+R473*$AC$27+S473*$AC$28+T473*$AC$29+U473*$AC$30</f>
        <v/>
      </c>
      <c r="W473" s="8">
        <f>1/(1+EXP(-V473))</f>
        <v/>
      </c>
      <c r="X473" s="9">
        <f>-IF(C473=1,LN(W473),LN(1-W473))</f>
        <v/>
      </c>
      <c r="Y473" s="10">
        <f>IF(W473&gt;$AC$34,1,0)</f>
        <v/>
      </c>
      <c r="Z473">
        <f>IF(Y473=C473,1,0)</f>
        <v/>
      </c>
    </row>
    <row r="474">
      <c r="A474">
        <f>'1 prepared data'!A467</f>
        <v/>
      </c>
      <c r="B474" s="5">
        <f>'1 prepared data'!U467</f>
        <v/>
      </c>
      <c r="C474">
        <f>'1 prepared data'!B467</f>
        <v/>
      </c>
      <c r="D474" s="7">
        <f>'1 prepared data'!C467</f>
        <v/>
      </c>
      <c r="E474" s="7">
        <f>'1 prepared data'!D467</f>
        <v/>
      </c>
      <c r="F474" s="7">
        <f>'1 prepared data'!E467</f>
        <v/>
      </c>
      <c r="G474" s="7">
        <f>'1 prepared data'!F467</f>
        <v/>
      </c>
      <c r="H474" s="7">
        <f>'1 prepared data'!G467</f>
        <v/>
      </c>
      <c r="I474" s="7">
        <f>'1 prepared data'!H467</f>
        <v/>
      </c>
      <c r="J474" s="7">
        <f>'1 prepared data'!I467</f>
        <v/>
      </c>
      <c r="K474" s="7">
        <f>'1 prepared data'!J467</f>
        <v/>
      </c>
      <c r="L474" s="7">
        <f>'1 prepared data'!K467</f>
        <v/>
      </c>
      <c r="M474" s="7">
        <f>'1 prepared data'!L467</f>
        <v/>
      </c>
      <c r="N474" s="7">
        <f>'1 prepared data'!M467</f>
        <v/>
      </c>
      <c r="O474" s="7">
        <f>'1 prepared data'!N467</f>
        <v/>
      </c>
      <c r="P474" s="7">
        <f>'1 prepared data'!O467</f>
        <v/>
      </c>
      <c r="Q474" s="7">
        <f>'1 prepared data'!P467</f>
        <v/>
      </c>
      <c r="R474" s="7">
        <f>'1 prepared data'!Q467</f>
        <v/>
      </c>
      <c r="S474" s="7">
        <f>'1 prepared data'!R467</f>
        <v/>
      </c>
      <c r="T474" s="7">
        <f>'1 prepared data'!S467</f>
        <v/>
      </c>
      <c r="U474" s="7">
        <f>'1 prepared data'!T467</f>
        <v/>
      </c>
      <c r="V474" s="8">
        <f>$AC$12+D474*$AC$13+E474*$AC$14+F474*$AC$15+G474*$AC$16+H474*$AC$17+I474*$AC$18+J474*$AC$19+K474*$AC$20+L474*$AC$21+M474*$AC$22+N474*$AC$23+O474*$AC$24+P474*$AC$25+Q474*$AC$26+R474*$AC$27+S474*$AC$28+T474*$AC$29+U474*$AC$30</f>
        <v/>
      </c>
      <c r="W474" s="8">
        <f>1/(1+EXP(-V474))</f>
        <v/>
      </c>
      <c r="X474" s="9">
        <f>-IF(C474=1,LN(W474),LN(1-W474))</f>
        <v/>
      </c>
      <c r="Y474" s="10">
        <f>IF(W474&gt;$AC$34,1,0)</f>
        <v/>
      </c>
      <c r="Z474">
        <f>IF(Y474=C474,1,0)</f>
        <v/>
      </c>
    </row>
    <row r="475">
      <c r="A475">
        <f>'1 prepared data'!A468</f>
        <v/>
      </c>
      <c r="B475" s="5">
        <f>'1 prepared data'!U468</f>
        <v/>
      </c>
      <c r="C475">
        <f>'1 prepared data'!B468</f>
        <v/>
      </c>
      <c r="D475" s="7">
        <f>'1 prepared data'!C468</f>
        <v/>
      </c>
      <c r="E475" s="7">
        <f>'1 prepared data'!D468</f>
        <v/>
      </c>
      <c r="F475" s="7">
        <f>'1 prepared data'!E468</f>
        <v/>
      </c>
      <c r="G475" s="7">
        <f>'1 prepared data'!F468</f>
        <v/>
      </c>
      <c r="H475" s="7">
        <f>'1 prepared data'!G468</f>
        <v/>
      </c>
      <c r="I475" s="7">
        <f>'1 prepared data'!H468</f>
        <v/>
      </c>
      <c r="J475" s="7">
        <f>'1 prepared data'!I468</f>
        <v/>
      </c>
      <c r="K475" s="7">
        <f>'1 prepared data'!J468</f>
        <v/>
      </c>
      <c r="L475" s="7">
        <f>'1 prepared data'!K468</f>
        <v/>
      </c>
      <c r="M475" s="7">
        <f>'1 prepared data'!L468</f>
        <v/>
      </c>
      <c r="N475" s="7">
        <f>'1 prepared data'!M468</f>
        <v/>
      </c>
      <c r="O475" s="7">
        <f>'1 prepared data'!N468</f>
        <v/>
      </c>
      <c r="P475" s="7">
        <f>'1 prepared data'!O468</f>
        <v/>
      </c>
      <c r="Q475" s="7">
        <f>'1 prepared data'!P468</f>
        <v/>
      </c>
      <c r="R475" s="7">
        <f>'1 prepared data'!Q468</f>
        <v/>
      </c>
      <c r="S475" s="7">
        <f>'1 prepared data'!R468</f>
        <v/>
      </c>
      <c r="T475" s="7">
        <f>'1 prepared data'!S468</f>
        <v/>
      </c>
      <c r="U475" s="7">
        <f>'1 prepared data'!T468</f>
        <v/>
      </c>
      <c r="V475" s="8">
        <f>$AC$12+D475*$AC$13+E475*$AC$14+F475*$AC$15+G475*$AC$16+H475*$AC$17+I475*$AC$18+J475*$AC$19+K475*$AC$20+L475*$AC$21+M475*$AC$22+N475*$AC$23+O475*$AC$24+P475*$AC$25+Q475*$AC$26+R475*$AC$27+S475*$AC$28+T475*$AC$29+U475*$AC$30</f>
        <v/>
      </c>
      <c r="W475" s="8">
        <f>1/(1+EXP(-V475))</f>
        <v/>
      </c>
      <c r="X475" s="9">
        <f>-IF(C475=1,LN(W475),LN(1-W475))</f>
        <v/>
      </c>
      <c r="Y475" s="10">
        <f>IF(W475&gt;$AC$34,1,0)</f>
        <v/>
      </c>
      <c r="Z475">
        <f>IF(Y475=C475,1,0)</f>
        <v/>
      </c>
    </row>
    <row r="476">
      <c r="A476">
        <f>'1 prepared data'!A469</f>
        <v/>
      </c>
      <c r="B476" s="5">
        <f>'1 prepared data'!U469</f>
        <v/>
      </c>
      <c r="C476">
        <f>'1 prepared data'!B469</f>
        <v/>
      </c>
      <c r="D476" s="7">
        <f>'1 prepared data'!C469</f>
        <v/>
      </c>
      <c r="E476" s="7">
        <f>'1 prepared data'!D469</f>
        <v/>
      </c>
      <c r="F476" s="7">
        <f>'1 prepared data'!E469</f>
        <v/>
      </c>
      <c r="G476" s="7">
        <f>'1 prepared data'!F469</f>
        <v/>
      </c>
      <c r="H476" s="7">
        <f>'1 prepared data'!G469</f>
        <v/>
      </c>
      <c r="I476" s="7">
        <f>'1 prepared data'!H469</f>
        <v/>
      </c>
      <c r="J476" s="7">
        <f>'1 prepared data'!I469</f>
        <v/>
      </c>
      <c r="K476" s="7">
        <f>'1 prepared data'!J469</f>
        <v/>
      </c>
      <c r="L476" s="7">
        <f>'1 prepared data'!K469</f>
        <v/>
      </c>
      <c r="M476" s="7">
        <f>'1 prepared data'!L469</f>
        <v/>
      </c>
      <c r="N476" s="7">
        <f>'1 prepared data'!M469</f>
        <v/>
      </c>
      <c r="O476" s="7">
        <f>'1 prepared data'!N469</f>
        <v/>
      </c>
      <c r="P476" s="7">
        <f>'1 prepared data'!O469</f>
        <v/>
      </c>
      <c r="Q476" s="7">
        <f>'1 prepared data'!P469</f>
        <v/>
      </c>
      <c r="R476" s="7">
        <f>'1 prepared data'!Q469</f>
        <v/>
      </c>
      <c r="S476" s="7">
        <f>'1 prepared data'!R469</f>
        <v/>
      </c>
      <c r="T476" s="7">
        <f>'1 prepared data'!S469</f>
        <v/>
      </c>
      <c r="U476" s="7">
        <f>'1 prepared data'!T469</f>
        <v/>
      </c>
      <c r="V476" s="8">
        <f>$AC$12+D476*$AC$13+E476*$AC$14+F476*$AC$15+G476*$AC$16+H476*$AC$17+I476*$AC$18+J476*$AC$19+K476*$AC$20+L476*$AC$21+M476*$AC$22+N476*$AC$23+O476*$AC$24+P476*$AC$25+Q476*$AC$26+R476*$AC$27+S476*$AC$28+T476*$AC$29+U476*$AC$30</f>
        <v/>
      </c>
      <c r="W476" s="8">
        <f>1/(1+EXP(-V476))</f>
        <v/>
      </c>
      <c r="X476" s="9">
        <f>-IF(C476=1,LN(W476),LN(1-W476))</f>
        <v/>
      </c>
      <c r="Y476" s="10">
        <f>IF(W476&gt;$AC$34,1,0)</f>
        <v/>
      </c>
      <c r="Z476">
        <f>IF(Y476=C476,1,0)</f>
        <v/>
      </c>
    </row>
    <row r="477">
      <c r="A477">
        <f>'1 prepared data'!A470</f>
        <v/>
      </c>
      <c r="B477" s="5">
        <f>'1 prepared data'!U470</f>
        <v/>
      </c>
      <c r="C477">
        <f>'1 prepared data'!B470</f>
        <v/>
      </c>
      <c r="D477" s="7">
        <f>'1 prepared data'!C470</f>
        <v/>
      </c>
      <c r="E477" s="7">
        <f>'1 prepared data'!D470</f>
        <v/>
      </c>
      <c r="F477" s="7">
        <f>'1 prepared data'!E470</f>
        <v/>
      </c>
      <c r="G477" s="7">
        <f>'1 prepared data'!F470</f>
        <v/>
      </c>
      <c r="H477" s="7">
        <f>'1 prepared data'!G470</f>
        <v/>
      </c>
      <c r="I477" s="7">
        <f>'1 prepared data'!H470</f>
        <v/>
      </c>
      <c r="J477" s="7">
        <f>'1 prepared data'!I470</f>
        <v/>
      </c>
      <c r="K477" s="7">
        <f>'1 prepared data'!J470</f>
        <v/>
      </c>
      <c r="L477" s="7">
        <f>'1 prepared data'!K470</f>
        <v/>
      </c>
      <c r="M477" s="7">
        <f>'1 prepared data'!L470</f>
        <v/>
      </c>
      <c r="N477" s="7">
        <f>'1 prepared data'!M470</f>
        <v/>
      </c>
      <c r="O477" s="7">
        <f>'1 prepared data'!N470</f>
        <v/>
      </c>
      <c r="P477" s="7">
        <f>'1 prepared data'!O470</f>
        <v/>
      </c>
      <c r="Q477" s="7">
        <f>'1 prepared data'!P470</f>
        <v/>
      </c>
      <c r="R477" s="7">
        <f>'1 prepared data'!Q470</f>
        <v/>
      </c>
      <c r="S477" s="7">
        <f>'1 prepared data'!R470</f>
        <v/>
      </c>
      <c r="T477" s="7">
        <f>'1 prepared data'!S470</f>
        <v/>
      </c>
      <c r="U477" s="7">
        <f>'1 prepared data'!T470</f>
        <v/>
      </c>
      <c r="V477" s="8">
        <f>$AC$12+D477*$AC$13+E477*$AC$14+F477*$AC$15+G477*$AC$16+H477*$AC$17+I477*$AC$18+J477*$AC$19+K477*$AC$20+L477*$AC$21+M477*$AC$22+N477*$AC$23+O477*$AC$24+P477*$AC$25+Q477*$AC$26+R477*$AC$27+S477*$AC$28+T477*$AC$29+U477*$AC$30</f>
        <v/>
      </c>
      <c r="W477" s="8">
        <f>1/(1+EXP(-V477))</f>
        <v/>
      </c>
      <c r="X477" s="9">
        <f>-IF(C477=1,LN(W477),LN(1-W477))</f>
        <v/>
      </c>
      <c r="Y477" s="10">
        <f>IF(W477&gt;$AC$34,1,0)</f>
        <v/>
      </c>
      <c r="Z477">
        <f>IF(Y477=C477,1,0)</f>
        <v/>
      </c>
    </row>
    <row r="478">
      <c r="A478">
        <f>'1 prepared data'!A471</f>
        <v/>
      </c>
      <c r="B478" s="5">
        <f>'1 prepared data'!U471</f>
        <v/>
      </c>
      <c r="C478">
        <f>'1 prepared data'!B471</f>
        <v/>
      </c>
      <c r="D478" s="7">
        <f>'1 prepared data'!C471</f>
        <v/>
      </c>
      <c r="E478" s="7">
        <f>'1 prepared data'!D471</f>
        <v/>
      </c>
      <c r="F478" s="7">
        <f>'1 prepared data'!E471</f>
        <v/>
      </c>
      <c r="G478" s="7">
        <f>'1 prepared data'!F471</f>
        <v/>
      </c>
      <c r="H478" s="7">
        <f>'1 prepared data'!G471</f>
        <v/>
      </c>
      <c r="I478" s="7">
        <f>'1 prepared data'!H471</f>
        <v/>
      </c>
      <c r="J478" s="7">
        <f>'1 prepared data'!I471</f>
        <v/>
      </c>
      <c r="K478" s="7">
        <f>'1 prepared data'!J471</f>
        <v/>
      </c>
      <c r="L478" s="7">
        <f>'1 prepared data'!K471</f>
        <v/>
      </c>
      <c r="M478" s="7">
        <f>'1 prepared data'!L471</f>
        <v/>
      </c>
      <c r="N478" s="7">
        <f>'1 prepared data'!M471</f>
        <v/>
      </c>
      <c r="O478" s="7">
        <f>'1 prepared data'!N471</f>
        <v/>
      </c>
      <c r="P478" s="7">
        <f>'1 prepared data'!O471</f>
        <v/>
      </c>
      <c r="Q478" s="7">
        <f>'1 prepared data'!P471</f>
        <v/>
      </c>
      <c r="R478" s="7">
        <f>'1 prepared data'!Q471</f>
        <v/>
      </c>
      <c r="S478" s="7">
        <f>'1 prepared data'!R471</f>
        <v/>
      </c>
      <c r="T478" s="7">
        <f>'1 prepared data'!S471</f>
        <v/>
      </c>
      <c r="U478" s="7">
        <f>'1 prepared data'!T471</f>
        <v/>
      </c>
      <c r="V478" s="8">
        <f>$AC$12+D478*$AC$13+E478*$AC$14+F478*$AC$15+G478*$AC$16+H478*$AC$17+I478*$AC$18+J478*$AC$19+K478*$AC$20+L478*$AC$21+M478*$AC$22+N478*$AC$23+O478*$AC$24+P478*$AC$25+Q478*$AC$26+R478*$AC$27+S478*$AC$28+T478*$AC$29+U478*$AC$30</f>
        <v/>
      </c>
      <c r="W478" s="8">
        <f>1/(1+EXP(-V478))</f>
        <v/>
      </c>
      <c r="X478" s="9">
        <f>-IF(C478=1,LN(W478),LN(1-W478))</f>
        <v/>
      </c>
      <c r="Y478" s="10">
        <f>IF(W478&gt;$AC$34,1,0)</f>
        <v/>
      </c>
      <c r="Z478">
        <f>IF(Y478=C478,1,0)</f>
        <v/>
      </c>
    </row>
    <row r="479">
      <c r="A479">
        <f>'1 prepared data'!A472</f>
        <v/>
      </c>
      <c r="B479" s="5">
        <f>'1 prepared data'!U472</f>
        <v/>
      </c>
      <c r="C479">
        <f>'1 prepared data'!B472</f>
        <v/>
      </c>
      <c r="D479" s="7">
        <f>'1 prepared data'!C472</f>
        <v/>
      </c>
      <c r="E479" s="7">
        <f>'1 prepared data'!D472</f>
        <v/>
      </c>
      <c r="F479" s="7">
        <f>'1 prepared data'!E472</f>
        <v/>
      </c>
      <c r="G479" s="7">
        <f>'1 prepared data'!F472</f>
        <v/>
      </c>
      <c r="H479" s="7">
        <f>'1 prepared data'!G472</f>
        <v/>
      </c>
      <c r="I479" s="7">
        <f>'1 prepared data'!H472</f>
        <v/>
      </c>
      <c r="J479" s="7">
        <f>'1 prepared data'!I472</f>
        <v/>
      </c>
      <c r="K479" s="7">
        <f>'1 prepared data'!J472</f>
        <v/>
      </c>
      <c r="L479" s="7">
        <f>'1 prepared data'!K472</f>
        <v/>
      </c>
      <c r="M479" s="7">
        <f>'1 prepared data'!L472</f>
        <v/>
      </c>
      <c r="N479" s="7">
        <f>'1 prepared data'!M472</f>
        <v/>
      </c>
      <c r="O479" s="7">
        <f>'1 prepared data'!N472</f>
        <v/>
      </c>
      <c r="P479" s="7">
        <f>'1 prepared data'!O472</f>
        <v/>
      </c>
      <c r="Q479" s="7">
        <f>'1 prepared data'!P472</f>
        <v/>
      </c>
      <c r="R479" s="7">
        <f>'1 prepared data'!Q472</f>
        <v/>
      </c>
      <c r="S479" s="7">
        <f>'1 prepared data'!R472</f>
        <v/>
      </c>
      <c r="T479" s="7">
        <f>'1 prepared data'!S472</f>
        <v/>
      </c>
      <c r="U479" s="7">
        <f>'1 prepared data'!T472</f>
        <v/>
      </c>
      <c r="V479" s="8">
        <f>$AC$12+D479*$AC$13+E479*$AC$14+F479*$AC$15+G479*$AC$16+H479*$AC$17+I479*$AC$18+J479*$AC$19+K479*$AC$20+L479*$AC$21+M479*$AC$22+N479*$AC$23+O479*$AC$24+P479*$AC$25+Q479*$AC$26+R479*$AC$27+S479*$AC$28+T479*$AC$29+U479*$AC$30</f>
        <v/>
      </c>
      <c r="W479" s="8">
        <f>1/(1+EXP(-V479))</f>
        <v/>
      </c>
      <c r="X479" s="9">
        <f>-IF(C479=1,LN(W479),LN(1-W479))</f>
        <v/>
      </c>
      <c r="Y479" s="10">
        <f>IF(W479&gt;$AC$34,1,0)</f>
        <v/>
      </c>
      <c r="Z479">
        <f>IF(Y479=C479,1,0)</f>
        <v/>
      </c>
    </row>
    <row r="480">
      <c r="A480">
        <f>'1 prepared data'!A473</f>
        <v/>
      </c>
      <c r="B480" s="5">
        <f>'1 prepared data'!U473</f>
        <v/>
      </c>
      <c r="C480">
        <f>'1 prepared data'!B473</f>
        <v/>
      </c>
      <c r="D480" s="7">
        <f>'1 prepared data'!C473</f>
        <v/>
      </c>
      <c r="E480" s="7">
        <f>'1 prepared data'!D473</f>
        <v/>
      </c>
      <c r="F480" s="7">
        <f>'1 prepared data'!E473</f>
        <v/>
      </c>
      <c r="G480" s="7">
        <f>'1 prepared data'!F473</f>
        <v/>
      </c>
      <c r="H480" s="7">
        <f>'1 prepared data'!G473</f>
        <v/>
      </c>
      <c r="I480" s="7">
        <f>'1 prepared data'!H473</f>
        <v/>
      </c>
      <c r="J480" s="7">
        <f>'1 prepared data'!I473</f>
        <v/>
      </c>
      <c r="K480" s="7">
        <f>'1 prepared data'!J473</f>
        <v/>
      </c>
      <c r="L480" s="7">
        <f>'1 prepared data'!K473</f>
        <v/>
      </c>
      <c r="M480" s="7">
        <f>'1 prepared data'!L473</f>
        <v/>
      </c>
      <c r="N480" s="7">
        <f>'1 prepared data'!M473</f>
        <v/>
      </c>
      <c r="O480" s="7">
        <f>'1 prepared data'!N473</f>
        <v/>
      </c>
      <c r="P480" s="7">
        <f>'1 prepared data'!O473</f>
        <v/>
      </c>
      <c r="Q480" s="7">
        <f>'1 prepared data'!P473</f>
        <v/>
      </c>
      <c r="R480" s="7">
        <f>'1 prepared data'!Q473</f>
        <v/>
      </c>
      <c r="S480" s="7">
        <f>'1 prepared data'!R473</f>
        <v/>
      </c>
      <c r="T480" s="7">
        <f>'1 prepared data'!S473</f>
        <v/>
      </c>
      <c r="U480" s="7">
        <f>'1 prepared data'!T473</f>
        <v/>
      </c>
      <c r="V480" s="8">
        <f>$AC$12+D480*$AC$13+E480*$AC$14+F480*$AC$15+G480*$AC$16+H480*$AC$17+I480*$AC$18+J480*$AC$19+K480*$AC$20+L480*$AC$21+M480*$AC$22+N480*$AC$23+O480*$AC$24+P480*$AC$25+Q480*$AC$26+R480*$AC$27+S480*$AC$28+T480*$AC$29+U480*$AC$30</f>
        <v/>
      </c>
      <c r="W480" s="8">
        <f>1/(1+EXP(-V480))</f>
        <v/>
      </c>
      <c r="X480" s="9">
        <f>-IF(C480=1,LN(W480),LN(1-W480))</f>
        <v/>
      </c>
      <c r="Y480" s="10">
        <f>IF(W480&gt;$AC$34,1,0)</f>
        <v/>
      </c>
      <c r="Z480">
        <f>IF(Y480=C480,1,0)</f>
        <v/>
      </c>
    </row>
    <row r="481">
      <c r="A481">
        <f>'1 prepared data'!A474</f>
        <v/>
      </c>
      <c r="B481" s="5">
        <f>'1 prepared data'!U474</f>
        <v/>
      </c>
      <c r="C481">
        <f>'1 prepared data'!B474</f>
        <v/>
      </c>
      <c r="D481" s="7">
        <f>'1 prepared data'!C474</f>
        <v/>
      </c>
      <c r="E481" s="7">
        <f>'1 prepared data'!D474</f>
        <v/>
      </c>
      <c r="F481" s="7">
        <f>'1 prepared data'!E474</f>
        <v/>
      </c>
      <c r="G481" s="7">
        <f>'1 prepared data'!F474</f>
        <v/>
      </c>
      <c r="H481" s="7">
        <f>'1 prepared data'!G474</f>
        <v/>
      </c>
      <c r="I481" s="7">
        <f>'1 prepared data'!H474</f>
        <v/>
      </c>
      <c r="J481" s="7">
        <f>'1 prepared data'!I474</f>
        <v/>
      </c>
      <c r="K481" s="7">
        <f>'1 prepared data'!J474</f>
        <v/>
      </c>
      <c r="L481" s="7">
        <f>'1 prepared data'!K474</f>
        <v/>
      </c>
      <c r="M481" s="7">
        <f>'1 prepared data'!L474</f>
        <v/>
      </c>
      <c r="N481" s="7">
        <f>'1 prepared data'!M474</f>
        <v/>
      </c>
      <c r="O481" s="7">
        <f>'1 prepared data'!N474</f>
        <v/>
      </c>
      <c r="P481" s="7">
        <f>'1 prepared data'!O474</f>
        <v/>
      </c>
      <c r="Q481" s="7">
        <f>'1 prepared data'!P474</f>
        <v/>
      </c>
      <c r="R481" s="7">
        <f>'1 prepared data'!Q474</f>
        <v/>
      </c>
      <c r="S481" s="7">
        <f>'1 prepared data'!R474</f>
        <v/>
      </c>
      <c r="T481" s="7">
        <f>'1 prepared data'!S474</f>
        <v/>
      </c>
      <c r="U481" s="7">
        <f>'1 prepared data'!T474</f>
        <v/>
      </c>
      <c r="V481" s="8">
        <f>$AC$12+D481*$AC$13+E481*$AC$14+F481*$AC$15+G481*$AC$16+H481*$AC$17+I481*$AC$18+J481*$AC$19+K481*$AC$20+L481*$AC$21+M481*$AC$22+N481*$AC$23+O481*$AC$24+P481*$AC$25+Q481*$AC$26+R481*$AC$27+S481*$AC$28+T481*$AC$29+U481*$AC$30</f>
        <v/>
      </c>
      <c r="W481" s="8">
        <f>1/(1+EXP(-V481))</f>
        <v/>
      </c>
      <c r="X481" s="9">
        <f>-IF(C481=1,LN(W481),LN(1-W481))</f>
        <v/>
      </c>
      <c r="Y481" s="10">
        <f>IF(W481&gt;$AC$34,1,0)</f>
        <v/>
      </c>
      <c r="Z481">
        <f>IF(Y481=C481,1,0)</f>
        <v/>
      </c>
    </row>
    <row r="482">
      <c r="A482">
        <f>'1 prepared data'!A475</f>
        <v/>
      </c>
      <c r="B482" s="5">
        <f>'1 prepared data'!U475</f>
        <v/>
      </c>
      <c r="C482">
        <f>'1 prepared data'!B475</f>
        <v/>
      </c>
      <c r="D482" s="7">
        <f>'1 prepared data'!C475</f>
        <v/>
      </c>
      <c r="E482" s="7">
        <f>'1 prepared data'!D475</f>
        <v/>
      </c>
      <c r="F482" s="7">
        <f>'1 prepared data'!E475</f>
        <v/>
      </c>
      <c r="G482" s="7">
        <f>'1 prepared data'!F475</f>
        <v/>
      </c>
      <c r="H482" s="7">
        <f>'1 prepared data'!G475</f>
        <v/>
      </c>
      <c r="I482" s="7">
        <f>'1 prepared data'!H475</f>
        <v/>
      </c>
      <c r="J482" s="7">
        <f>'1 prepared data'!I475</f>
        <v/>
      </c>
      <c r="K482" s="7">
        <f>'1 prepared data'!J475</f>
        <v/>
      </c>
      <c r="L482" s="7">
        <f>'1 prepared data'!K475</f>
        <v/>
      </c>
      <c r="M482" s="7">
        <f>'1 prepared data'!L475</f>
        <v/>
      </c>
      <c r="N482" s="7">
        <f>'1 prepared data'!M475</f>
        <v/>
      </c>
      <c r="O482" s="7">
        <f>'1 prepared data'!N475</f>
        <v/>
      </c>
      <c r="P482" s="7">
        <f>'1 prepared data'!O475</f>
        <v/>
      </c>
      <c r="Q482" s="7">
        <f>'1 prepared data'!P475</f>
        <v/>
      </c>
      <c r="R482" s="7">
        <f>'1 prepared data'!Q475</f>
        <v/>
      </c>
      <c r="S482" s="7">
        <f>'1 prepared data'!R475</f>
        <v/>
      </c>
      <c r="T482" s="7">
        <f>'1 prepared data'!S475</f>
        <v/>
      </c>
      <c r="U482" s="7">
        <f>'1 prepared data'!T475</f>
        <v/>
      </c>
      <c r="V482" s="8">
        <f>$AC$12+D482*$AC$13+E482*$AC$14+F482*$AC$15+G482*$AC$16+H482*$AC$17+I482*$AC$18+J482*$AC$19+K482*$AC$20+L482*$AC$21+M482*$AC$22+N482*$AC$23+O482*$AC$24+P482*$AC$25+Q482*$AC$26+R482*$AC$27+S482*$AC$28+T482*$AC$29+U482*$AC$30</f>
        <v/>
      </c>
      <c r="W482" s="8">
        <f>1/(1+EXP(-V482))</f>
        <v/>
      </c>
      <c r="X482" s="9">
        <f>-IF(C482=1,LN(W482),LN(1-W482))</f>
        <v/>
      </c>
      <c r="Y482" s="10">
        <f>IF(W482&gt;$AC$34,1,0)</f>
        <v/>
      </c>
      <c r="Z482">
        <f>IF(Y482=C482,1,0)</f>
        <v/>
      </c>
    </row>
    <row r="483">
      <c r="A483">
        <f>'1 prepared data'!A476</f>
        <v/>
      </c>
      <c r="B483" s="5">
        <f>'1 prepared data'!U476</f>
        <v/>
      </c>
      <c r="C483">
        <f>'1 prepared data'!B476</f>
        <v/>
      </c>
      <c r="D483" s="7">
        <f>'1 prepared data'!C476</f>
        <v/>
      </c>
      <c r="E483" s="7">
        <f>'1 prepared data'!D476</f>
        <v/>
      </c>
      <c r="F483" s="7">
        <f>'1 prepared data'!E476</f>
        <v/>
      </c>
      <c r="G483" s="7">
        <f>'1 prepared data'!F476</f>
        <v/>
      </c>
      <c r="H483" s="7">
        <f>'1 prepared data'!G476</f>
        <v/>
      </c>
      <c r="I483" s="7">
        <f>'1 prepared data'!H476</f>
        <v/>
      </c>
      <c r="J483" s="7">
        <f>'1 prepared data'!I476</f>
        <v/>
      </c>
      <c r="K483" s="7">
        <f>'1 prepared data'!J476</f>
        <v/>
      </c>
      <c r="L483" s="7">
        <f>'1 prepared data'!K476</f>
        <v/>
      </c>
      <c r="M483" s="7">
        <f>'1 prepared data'!L476</f>
        <v/>
      </c>
      <c r="N483" s="7">
        <f>'1 prepared data'!M476</f>
        <v/>
      </c>
      <c r="O483" s="7">
        <f>'1 prepared data'!N476</f>
        <v/>
      </c>
      <c r="P483" s="7">
        <f>'1 prepared data'!O476</f>
        <v/>
      </c>
      <c r="Q483" s="7">
        <f>'1 prepared data'!P476</f>
        <v/>
      </c>
      <c r="R483" s="7">
        <f>'1 prepared data'!Q476</f>
        <v/>
      </c>
      <c r="S483" s="7">
        <f>'1 prepared data'!R476</f>
        <v/>
      </c>
      <c r="T483" s="7">
        <f>'1 prepared data'!S476</f>
        <v/>
      </c>
      <c r="U483" s="7">
        <f>'1 prepared data'!T476</f>
        <v/>
      </c>
      <c r="V483" s="8">
        <f>$AC$12+D483*$AC$13+E483*$AC$14+F483*$AC$15+G483*$AC$16+H483*$AC$17+I483*$AC$18+J483*$AC$19+K483*$AC$20+L483*$AC$21+M483*$AC$22+N483*$AC$23+O483*$AC$24+P483*$AC$25+Q483*$AC$26+R483*$AC$27+S483*$AC$28+T483*$AC$29+U483*$AC$30</f>
        <v/>
      </c>
      <c r="W483" s="8">
        <f>1/(1+EXP(-V483))</f>
        <v/>
      </c>
      <c r="X483" s="9">
        <f>-IF(C483=1,LN(W483),LN(1-W483))</f>
        <v/>
      </c>
      <c r="Y483" s="10">
        <f>IF(W483&gt;$AC$34,1,0)</f>
        <v/>
      </c>
      <c r="Z483">
        <f>IF(Y483=C483,1,0)</f>
        <v/>
      </c>
    </row>
    <row r="484">
      <c r="A484">
        <f>'1 prepared data'!A477</f>
        <v/>
      </c>
      <c r="B484" s="5">
        <f>'1 prepared data'!U477</f>
        <v/>
      </c>
      <c r="C484">
        <f>'1 prepared data'!B477</f>
        <v/>
      </c>
      <c r="D484" s="7">
        <f>'1 prepared data'!C477</f>
        <v/>
      </c>
      <c r="E484" s="7">
        <f>'1 prepared data'!D477</f>
        <v/>
      </c>
      <c r="F484" s="7">
        <f>'1 prepared data'!E477</f>
        <v/>
      </c>
      <c r="G484" s="7">
        <f>'1 prepared data'!F477</f>
        <v/>
      </c>
      <c r="H484" s="7">
        <f>'1 prepared data'!G477</f>
        <v/>
      </c>
      <c r="I484" s="7">
        <f>'1 prepared data'!H477</f>
        <v/>
      </c>
      <c r="J484" s="7">
        <f>'1 prepared data'!I477</f>
        <v/>
      </c>
      <c r="K484" s="7">
        <f>'1 prepared data'!J477</f>
        <v/>
      </c>
      <c r="L484" s="7">
        <f>'1 prepared data'!K477</f>
        <v/>
      </c>
      <c r="M484" s="7">
        <f>'1 prepared data'!L477</f>
        <v/>
      </c>
      <c r="N484" s="7">
        <f>'1 prepared data'!M477</f>
        <v/>
      </c>
      <c r="O484" s="7">
        <f>'1 prepared data'!N477</f>
        <v/>
      </c>
      <c r="P484" s="7">
        <f>'1 prepared data'!O477</f>
        <v/>
      </c>
      <c r="Q484" s="7">
        <f>'1 prepared data'!P477</f>
        <v/>
      </c>
      <c r="R484" s="7">
        <f>'1 prepared data'!Q477</f>
        <v/>
      </c>
      <c r="S484" s="7">
        <f>'1 prepared data'!R477</f>
        <v/>
      </c>
      <c r="T484" s="7">
        <f>'1 prepared data'!S477</f>
        <v/>
      </c>
      <c r="U484" s="7">
        <f>'1 prepared data'!T477</f>
        <v/>
      </c>
      <c r="V484" s="8">
        <f>$AC$12+D484*$AC$13+E484*$AC$14+F484*$AC$15+G484*$AC$16+H484*$AC$17+I484*$AC$18+J484*$AC$19+K484*$AC$20+L484*$AC$21+M484*$AC$22+N484*$AC$23+O484*$AC$24+P484*$AC$25+Q484*$AC$26+R484*$AC$27+S484*$AC$28+T484*$AC$29+U484*$AC$30</f>
        <v/>
      </c>
      <c r="W484" s="8">
        <f>1/(1+EXP(-V484))</f>
        <v/>
      </c>
      <c r="X484" s="9">
        <f>-IF(C484=1,LN(W484),LN(1-W484))</f>
        <v/>
      </c>
      <c r="Y484" s="10">
        <f>IF(W484&gt;$AC$34,1,0)</f>
        <v/>
      </c>
      <c r="Z484">
        <f>IF(Y484=C484,1,0)</f>
        <v/>
      </c>
    </row>
    <row r="485">
      <c r="A485">
        <f>'1 prepared data'!A478</f>
        <v/>
      </c>
      <c r="B485" s="5">
        <f>'1 prepared data'!U478</f>
        <v/>
      </c>
      <c r="C485">
        <f>'1 prepared data'!B478</f>
        <v/>
      </c>
      <c r="D485" s="7">
        <f>'1 prepared data'!C478</f>
        <v/>
      </c>
      <c r="E485" s="7">
        <f>'1 prepared data'!D478</f>
        <v/>
      </c>
      <c r="F485" s="7">
        <f>'1 prepared data'!E478</f>
        <v/>
      </c>
      <c r="G485" s="7">
        <f>'1 prepared data'!F478</f>
        <v/>
      </c>
      <c r="H485" s="7">
        <f>'1 prepared data'!G478</f>
        <v/>
      </c>
      <c r="I485" s="7">
        <f>'1 prepared data'!H478</f>
        <v/>
      </c>
      <c r="J485" s="7">
        <f>'1 prepared data'!I478</f>
        <v/>
      </c>
      <c r="K485" s="7">
        <f>'1 prepared data'!J478</f>
        <v/>
      </c>
      <c r="L485" s="7">
        <f>'1 prepared data'!K478</f>
        <v/>
      </c>
      <c r="M485" s="7">
        <f>'1 prepared data'!L478</f>
        <v/>
      </c>
      <c r="N485" s="7">
        <f>'1 prepared data'!M478</f>
        <v/>
      </c>
      <c r="O485" s="7">
        <f>'1 prepared data'!N478</f>
        <v/>
      </c>
      <c r="P485" s="7">
        <f>'1 prepared data'!O478</f>
        <v/>
      </c>
      <c r="Q485" s="7">
        <f>'1 prepared data'!P478</f>
        <v/>
      </c>
      <c r="R485" s="7">
        <f>'1 prepared data'!Q478</f>
        <v/>
      </c>
      <c r="S485" s="7">
        <f>'1 prepared data'!R478</f>
        <v/>
      </c>
      <c r="T485" s="7">
        <f>'1 prepared data'!S478</f>
        <v/>
      </c>
      <c r="U485" s="7">
        <f>'1 prepared data'!T478</f>
        <v/>
      </c>
      <c r="V485" s="8">
        <f>$AC$12+D485*$AC$13+E485*$AC$14+F485*$AC$15+G485*$AC$16+H485*$AC$17+I485*$AC$18+J485*$AC$19+K485*$AC$20+L485*$AC$21+M485*$AC$22+N485*$AC$23+O485*$AC$24+P485*$AC$25+Q485*$AC$26+R485*$AC$27+S485*$AC$28+T485*$AC$29+U485*$AC$30</f>
        <v/>
      </c>
      <c r="W485" s="8">
        <f>1/(1+EXP(-V485))</f>
        <v/>
      </c>
      <c r="X485" s="9">
        <f>-IF(C485=1,LN(W485),LN(1-W485))</f>
        <v/>
      </c>
      <c r="Y485" s="10">
        <f>IF(W485&gt;$AC$34,1,0)</f>
        <v/>
      </c>
      <c r="Z485">
        <f>IF(Y485=C485,1,0)</f>
        <v/>
      </c>
    </row>
    <row r="486">
      <c r="A486">
        <f>'1 prepared data'!A479</f>
        <v/>
      </c>
      <c r="B486" s="5">
        <f>'1 prepared data'!U479</f>
        <v/>
      </c>
      <c r="C486">
        <f>'1 prepared data'!B479</f>
        <v/>
      </c>
      <c r="D486" s="7">
        <f>'1 prepared data'!C479</f>
        <v/>
      </c>
      <c r="E486" s="7">
        <f>'1 prepared data'!D479</f>
        <v/>
      </c>
      <c r="F486" s="7">
        <f>'1 prepared data'!E479</f>
        <v/>
      </c>
      <c r="G486" s="7">
        <f>'1 prepared data'!F479</f>
        <v/>
      </c>
      <c r="H486" s="7">
        <f>'1 prepared data'!G479</f>
        <v/>
      </c>
      <c r="I486" s="7">
        <f>'1 prepared data'!H479</f>
        <v/>
      </c>
      <c r="J486" s="7">
        <f>'1 prepared data'!I479</f>
        <v/>
      </c>
      <c r="K486" s="7">
        <f>'1 prepared data'!J479</f>
        <v/>
      </c>
      <c r="L486" s="7">
        <f>'1 prepared data'!K479</f>
        <v/>
      </c>
      <c r="M486" s="7">
        <f>'1 prepared data'!L479</f>
        <v/>
      </c>
      <c r="N486" s="7">
        <f>'1 prepared data'!M479</f>
        <v/>
      </c>
      <c r="O486" s="7">
        <f>'1 prepared data'!N479</f>
        <v/>
      </c>
      <c r="P486" s="7">
        <f>'1 prepared data'!O479</f>
        <v/>
      </c>
      <c r="Q486" s="7">
        <f>'1 prepared data'!P479</f>
        <v/>
      </c>
      <c r="R486" s="7">
        <f>'1 prepared data'!Q479</f>
        <v/>
      </c>
      <c r="S486" s="7">
        <f>'1 prepared data'!R479</f>
        <v/>
      </c>
      <c r="T486" s="7">
        <f>'1 prepared data'!S479</f>
        <v/>
      </c>
      <c r="U486" s="7">
        <f>'1 prepared data'!T479</f>
        <v/>
      </c>
      <c r="V486" s="8">
        <f>$AC$12+D486*$AC$13+E486*$AC$14+F486*$AC$15+G486*$AC$16+H486*$AC$17+I486*$AC$18+J486*$AC$19+K486*$AC$20+L486*$AC$21+M486*$AC$22+N486*$AC$23+O486*$AC$24+P486*$AC$25+Q486*$AC$26+R486*$AC$27+S486*$AC$28+T486*$AC$29+U486*$AC$30</f>
        <v/>
      </c>
      <c r="W486" s="8">
        <f>1/(1+EXP(-V486))</f>
        <v/>
      </c>
      <c r="X486" s="9">
        <f>-IF(C486=1,LN(W486),LN(1-W486))</f>
        <v/>
      </c>
      <c r="Y486" s="10">
        <f>IF(W486&gt;$AC$34,1,0)</f>
        <v/>
      </c>
      <c r="Z486">
        <f>IF(Y486=C486,1,0)</f>
        <v/>
      </c>
    </row>
    <row r="487">
      <c r="A487">
        <f>'1 prepared data'!A480</f>
        <v/>
      </c>
      <c r="B487" s="5">
        <f>'1 prepared data'!U480</f>
        <v/>
      </c>
      <c r="C487">
        <f>'1 prepared data'!B480</f>
        <v/>
      </c>
      <c r="D487" s="7">
        <f>'1 prepared data'!C480</f>
        <v/>
      </c>
      <c r="E487" s="7">
        <f>'1 prepared data'!D480</f>
        <v/>
      </c>
      <c r="F487" s="7">
        <f>'1 prepared data'!E480</f>
        <v/>
      </c>
      <c r="G487" s="7">
        <f>'1 prepared data'!F480</f>
        <v/>
      </c>
      <c r="H487" s="7">
        <f>'1 prepared data'!G480</f>
        <v/>
      </c>
      <c r="I487" s="7">
        <f>'1 prepared data'!H480</f>
        <v/>
      </c>
      <c r="J487" s="7">
        <f>'1 prepared data'!I480</f>
        <v/>
      </c>
      <c r="K487" s="7">
        <f>'1 prepared data'!J480</f>
        <v/>
      </c>
      <c r="L487" s="7">
        <f>'1 prepared data'!K480</f>
        <v/>
      </c>
      <c r="M487" s="7">
        <f>'1 prepared data'!L480</f>
        <v/>
      </c>
      <c r="N487" s="7">
        <f>'1 prepared data'!M480</f>
        <v/>
      </c>
      <c r="O487" s="7">
        <f>'1 prepared data'!N480</f>
        <v/>
      </c>
      <c r="P487" s="7">
        <f>'1 prepared data'!O480</f>
        <v/>
      </c>
      <c r="Q487" s="7">
        <f>'1 prepared data'!P480</f>
        <v/>
      </c>
      <c r="R487" s="7">
        <f>'1 prepared data'!Q480</f>
        <v/>
      </c>
      <c r="S487" s="7">
        <f>'1 prepared data'!R480</f>
        <v/>
      </c>
      <c r="T487" s="7">
        <f>'1 prepared data'!S480</f>
        <v/>
      </c>
      <c r="U487" s="7">
        <f>'1 prepared data'!T480</f>
        <v/>
      </c>
      <c r="V487" s="8">
        <f>$AC$12+D487*$AC$13+E487*$AC$14+F487*$AC$15+G487*$AC$16+H487*$AC$17+I487*$AC$18+J487*$AC$19+K487*$AC$20+L487*$AC$21+M487*$AC$22+N487*$AC$23+O487*$AC$24+P487*$AC$25+Q487*$AC$26+R487*$AC$27+S487*$AC$28+T487*$AC$29+U487*$AC$30</f>
        <v/>
      </c>
      <c r="W487" s="8">
        <f>1/(1+EXP(-V487))</f>
        <v/>
      </c>
      <c r="X487" s="9">
        <f>-IF(C487=1,LN(W487),LN(1-W487))</f>
        <v/>
      </c>
      <c r="Y487" s="10">
        <f>IF(W487&gt;$AC$34,1,0)</f>
        <v/>
      </c>
      <c r="Z487">
        <f>IF(Y487=C487,1,0)</f>
        <v/>
      </c>
    </row>
    <row r="488">
      <c r="A488">
        <f>'1 prepared data'!A481</f>
        <v/>
      </c>
      <c r="B488" s="5">
        <f>'1 prepared data'!U481</f>
        <v/>
      </c>
      <c r="C488">
        <f>'1 prepared data'!B481</f>
        <v/>
      </c>
      <c r="D488" s="7">
        <f>'1 prepared data'!C481</f>
        <v/>
      </c>
      <c r="E488" s="7">
        <f>'1 prepared data'!D481</f>
        <v/>
      </c>
      <c r="F488" s="7">
        <f>'1 prepared data'!E481</f>
        <v/>
      </c>
      <c r="G488" s="7">
        <f>'1 prepared data'!F481</f>
        <v/>
      </c>
      <c r="H488" s="7">
        <f>'1 prepared data'!G481</f>
        <v/>
      </c>
      <c r="I488" s="7">
        <f>'1 prepared data'!H481</f>
        <v/>
      </c>
      <c r="J488" s="7">
        <f>'1 prepared data'!I481</f>
        <v/>
      </c>
      <c r="K488" s="7">
        <f>'1 prepared data'!J481</f>
        <v/>
      </c>
      <c r="L488" s="7">
        <f>'1 prepared data'!K481</f>
        <v/>
      </c>
      <c r="M488" s="7">
        <f>'1 prepared data'!L481</f>
        <v/>
      </c>
      <c r="N488" s="7">
        <f>'1 prepared data'!M481</f>
        <v/>
      </c>
      <c r="O488" s="7">
        <f>'1 prepared data'!N481</f>
        <v/>
      </c>
      <c r="P488" s="7">
        <f>'1 prepared data'!O481</f>
        <v/>
      </c>
      <c r="Q488" s="7">
        <f>'1 prepared data'!P481</f>
        <v/>
      </c>
      <c r="R488" s="7">
        <f>'1 prepared data'!Q481</f>
        <v/>
      </c>
      <c r="S488" s="7">
        <f>'1 prepared data'!R481</f>
        <v/>
      </c>
      <c r="T488" s="7">
        <f>'1 prepared data'!S481</f>
        <v/>
      </c>
      <c r="U488" s="7">
        <f>'1 prepared data'!T481</f>
        <v/>
      </c>
      <c r="V488" s="8">
        <f>$AC$12+D488*$AC$13+E488*$AC$14+F488*$AC$15+G488*$AC$16+H488*$AC$17+I488*$AC$18+J488*$AC$19+K488*$AC$20+L488*$AC$21+M488*$AC$22+N488*$AC$23+O488*$AC$24+P488*$AC$25+Q488*$AC$26+R488*$AC$27+S488*$AC$28+T488*$AC$29+U488*$AC$30</f>
        <v/>
      </c>
      <c r="W488" s="8">
        <f>1/(1+EXP(-V488))</f>
        <v/>
      </c>
      <c r="X488" s="9">
        <f>-IF(C488=1,LN(W488),LN(1-W488))</f>
        <v/>
      </c>
      <c r="Y488" s="10">
        <f>IF(W488&gt;$AC$34,1,0)</f>
        <v/>
      </c>
      <c r="Z488">
        <f>IF(Y488=C488,1,0)</f>
        <v/>
      </c>
    </row>
    <row r="489">
      <c r="A489">
        <f>'1 prepared data'!A482</f>
        <v/>
      </c>
      <c r="B489" s="5">
        <f>'1 prepared data'!U482</f>
        <v/>
      </c>
      <c r="C489">
        <f>'1 prepared data'!B482</f>
        <v/>
      </c>
      <c r="D489" s="7">
        <f>'1 prepared data'!C482</f>
        <v/>
      </c>
      <c r="E489" s="7">
        <f>'1 prepared data'!D482</f>
        <v/>
      </c>
      <c r="F489" s="7">
        <f>'1 prepared data'!E482</f>
        <v/>
      </c>
      <c r="G489" s="7">
        <f>'1 prepared data'!F482</f>
        <v/>
      </c>
      <c r="H489" s="7">
        <f>'1 prepared data'!G482</f>
        <v/>
      </c>
      <c r="I489" s="7">
        <f>'1 prepared data'!H482</f>
        <v/>
      </c>
      <c r="J489" s="7">
        <f>'1 prepared data'!I482</f>
        <v/>
      </c>
      <c r="K489" s="7">
        <f>'1 prepared data'!J482</f>
        <v/>
      </c>
      <c r="L489" s="7">
        <f>'1 prepared data'!K482</f>
        <v/>
      </c>
      <c r="M489" s="7">
        <f>'1 prepared data'!L482</f>
        <v/>
      </c>
      <c r="N489" s="7">
        <f>'1 prepared data'!M482</f>
        <v/>
      </c>
      <c r="O489" s="7">
        <f>'1 prepared data'!N482</f>
        <v/>
      </c>
      <c r="P489" s="7">
        <f>'1 prepared data'!O482</f>
        <v/>
      </c>
      <c r="Q489" s="7">
        <f>'1 prepared data'!P482</f>
        <v/>
      </c>
      <c r="R489" s="7">
        <f>'1 prepared data'!Q482</f>
        <v/>
      </c>
      <c r="S489" s="7">
        <f>'1 prepared data'!R482</f>
        <v/>
      </c>
      <c r="T489" s="7">
        <f>'1 prepared data'!S482</f>
        <v/>
      </c>
      <c r="U489" s="7">
        <f>'1 prepared data'!T482</f>
        <v/>
      </c>
      <c r="V489" s="8">
        <f>$AC$12+D489*$AC$13+E489*$AC$14+F489*$AC$15+G489*$AC$16+H489*$AC$17+I489*$AC$18+J489*$AC$19+K489*$AC$20+L489*$AC$21+M489*$AC$22+N489*$AC$23+O489*$AC$24+P489*$AC$25+Q489*$AC$26+R489*$AC$27+S489*$AC$28+T489*$AC$29+U489*$AC$30</f>
        <v/>
      </c>
      <c r="W489" s="8">
        <f>1/(1+EXP(-V489))</f>
        <v/>
      </c>
      <c r="X489" s="9">
        <f>-IF(C489=1,LN(W489),LN(1-W489))</f>
        <v/>
      </c>
      <c r="Y489" s="10">
        <f>IF(W489&gt;$AC$34,1,0)</f>
        <v/>
      </c>
      <c r="Z489">
        <f>IF(Y489=C489,1,0)</f>
        <v/>
      </c>
    </row>
    <row r="490">
      <c r="A490">
        <f>'1 prepared data'!A483</f>
        <v/>
      </c>
      <c r="B490" s="5">
        <f>'1 prepared data'!U483</f>
        <v/>
      </c>
      <c r="C490">
        <f>'1 prepared data'!B483</f>
        <v/>
      </c>
      <c r="D490" s="7">
        <f>'1 prepared data'!C483</f>
        <v/>
      </c>
      <c r="E490" s="7">
        <f>'1 prepared data'!D483</f>
        <v/>
      </c>
      <c r="F490" s="7">
        <f>'1 prepared data'!E483</f>
        <v/>
      </c>
      <c r="G490" s="7">
        <f>'1 prepared data'!F483</f>
        <v/>
      </c>
      <c r="H490" s="7">
        <f>'1 prepared data'!G483</f>
        <v/>
      </c>
      <c r="I490" s="7">
        <f>'1 prepared data'!H483</f>
        <v/>
      </c>
      <c r="J490" s="7">
        <f>'1 prepared data'!I483</f>
        <v/>
      </c>
      <c r="K490" s="7">
        <f>'1 prepared data'!J483</f>
        <v/>
      </c>
      <c r="L490" s="7">
        <f>'1 prepared data'!K483</f>
        <v/>
      </c>
      <c r="M490" s="7">
        <f>'1 prepared data'!L483</f>
        <v/>
      </c>
      <c r="N490" s="7">
        <f>'1 prepared data'!M483</f>
        <v/>
      </c>
      <c r="O490" s="7">
        <f>'1 prepared data'!N483</f>
        <v/>
      </c>
      <c r="P490" s="7">
        <f>'1 prepared data'!O483</f>
        <v/>
      </c>
      <c r="Q490" s="7">
        <f>'1 prepared data'!P483</f>
        <v/>
      </c>
      <c r="R490" s="7">
        <f>'1 prepared data'!Q483</f>
        <v/>
      </c>
      <c r="S490" s="7">
        <f>'1 prepared data'!R483</f>
        <v/>
      </c>
      <c r="T490" s="7">
        <f>'1 prepared data'!S483</f>
        <v/>
      </c>
      <c r="U490" s="7">
        <f>'1 prepared data'!T483</f>
        <v/>
      </c>
      <c r="V490" s="8">
        <f>$AC$12+D490*$AC$13+E490*$AC$14+F490*$AC$15+G490*$AC$16+H490*$AC$17+I490*$AC$18+J490*$AC$19+K490*$AC$20+L490*$AC$21+M490*$AC$22+N490*$AC$23+O490*$AC$24+P490*$AC$25+Q490*$AC$26+R490*$AC$27+S490*$AC$28+T490*$AC$29+U490*$AC$30</f>
        <v/>
      </c>
      <c r="W490" s="8">
        <f>1/(1+EXP(-V490))</f>
        <v/>
      </c>
      <c r="X490" s="9">
        <f>-IF(C490=1,LN(W490),LN(1-W490))</f>
        <v/>
      </c>
      <c r="Y490" s="10">
        <f>IF(W490&gt;$AC$34,1,0)</f>
        <v/>
      </c>
      <c r="Z490">
        <f>IF(Y490=C490,1,0)</f>
        <v/>
      </c>
    </row>
    <row r="491">
      <c r="A491">
        <f>'1 prepared data'!A484</f>
        <v/>
      </c>
      <c r="B491" s="5">
        <f>'1 prepared data'!U484</f>
        <v/>
      </c>
      <c r="C491">
        <f>'1 prepared data'!B484</f>
        <v/>
      </c>
      <c r="D491" s="7">
        <f>'1 prepared data'!C484</f>
        <v/>
      </c>
      <c r="E491" s="7">
        <f>'1 prepared data'!D484</f>
        <v/>
      </c>
      <c r="F491" s="7">
        <f>'1 prepared data'!E484</f>
        <v/>
      </c>
      <c r="G491" s="7">
        <f>'1 prepared data'!F484</f>
        <v/>
      </c>
      <c r="H491" s="7">
        <f>'1 prepared data'!G484</f>
        <v/>
      </c>
      <c r="I491" s="7">
        <f>'1 prepared data'!H484</f>
        <v/>
      </c>
      <c r="J491" s="7">
        <f>'1 prepared data'!I484</f>
        <v/>
      </c>
      <c r="K491" s="7">
        <f>'1 prepared data'!J484</f>
        <v/>
      </c>
      <c r="L491" s="7">
        <f>'1 prepared data'!K484</f>
        <v/>
      </c>
      <c r="M491" s="7">
        <f>'1 prepared data'!L484</f>
        <v/>
      </c>
      <c r="N491" s="7">
        <f>'1 prepared data'!M484</f>
        <v/>
      </c>
      <c r="O491" s="7">
        <f>'1 prepared data'!N484</f>
        <v/>
      </c>
      <c r="P491" s="7">
        <f>'1 prepared data'!O484</f>
        <v/>
      </c>
      <c r="Q491" s="7">
        <f>'1 prepared data'!P484</f>
        <v/>
      </c>
      <c r="R491" s="7">
        <f>'1 prepared data'!Q484</f>
        <v/>
      </c>
      <c r="S491" s="7">
        <f>'1 prepared data'!R484</f>
        <v/>
      </c>
      <c r="T491" s="7">
        <f>'1 prepared data'!S484</f>
        <v/>
      </c>
      <c r="U491" s="7">
        <f>'1 prepared data'!T484</f>
        <v/>
      </c>
      <c r="V491" s="8">
        <f>$AC$12+D491*$AC$13+E491*$AC$14+F491*$AC$15+G491*$AC$16+H491*$AC$17+I491*$AC$18+J491*$AC$19+K491*$AC$20+L491*$AC$21+M491*$AC$22+N491*$AC$23+O491*$AC$24+P491*$AC$25+Q491*$AC$26+R491*$AC$27+S491*$AC$28+T491*$AC$29+U491*$AC$30</f>
        <v/>
      </c>
      <c r="W491" s="8">
        <f>1/(1+EXP(-V491))</f>
        <v/>
      </c>
      <c r="X491" s="9">
        <f>-IF(C491=1,LN(W491),LN(1-W491))</f>
        <v/>
      </c>
      <c r="Y491" s="10">
        <f>IF(W491&gt;$AC$34,1,0)</f>
        <v/>
      </c>
      <c r="Z491">
        <f>IF(Y491=C491,1,0)</f>
        <v/>
      </c>
    </row>
    <row r="492">
      <c r="A492">
        <f>'1 prepared data'!A485</f>
        <v/>
      </c>
      <c r="B492" s="5">
        <f>'1 prepared data'!U485</f>
        <v/>
      </c>
      <c r="C492">
        <f>'1 prepared data'!B485</f>
        <v/>
      </c>
      <c r="D492" s="7">
        <f>'1 prepared data'!C485</f>
        <v/>
      </c>
      <c r="E492" s="7">
        <f>'1 prepared data'!D485</f>
        <v/>
      </c>
      <c r="F492" s="7">
        <f>'1 prepared data'!E485</f>
        <v/>
      </c>
      <c r="G492" s="7">
        <f>'1 prepared data'!F485</f>
        <v/>
      </c>
      <c r="H492" s="7">
        <f>'1 prepared data'!G485</f>
        <v/>
      </c>
      <c r="I492" s="7">
        <f>'1 prepared data'!H485</f>
        <v/>
      </c>
      <c r="J492" s="7">
        <f>'1 prepared data'!I485</f>
        <v/>
      </c>
      <c r="K492" s="7">
        <f>'1 prepared data'!J485</f>
        <v/>
      </c>
      <c r="L492" s="7">
        <f>'1 prepared data'!K485</f>
        <v/>
      </c>
      <c r="M492" s="7">
        <f>'1 prepared data'!L485</f>
        <v/>
      </c>
      <c r="N492" s="7">
        <f>'1 prepared data'!M485</f>
        <v/>
      </c>
      <c r="O492" s="7">
        <f>'1 prepared data'!N485</f>
        <v/>
      </c>
      <c r="P492" s="7">
        <f>'1 prepared data'!O485</f>
        <v/>
      </c>
      <c r="Q492" s="7">
        <f>'1 prepared data'!P485</f>
        <v/>
      </c>
      <c r="R492" s="7">
        <f>'1 prepared data'!Q485</f>
        <v/>
      </c>
      <c r="S492" s="7">
        <f>'1 prepared data'!R485</f>
        <v/>
      </c>
      <c r="T492" s="7">
        <f>'1 prepared data'!S485</f>
        <v/>
      </c>
      <c r="U492" s="7">
        <f>'1 prepared data'!T485</f>
        <v/>
      </c>
      <c r="V492" s="8">
        <f>$AC$12+D492*$AC$13+E492*$AC$14+F492*$AC$15+G492*$AC$16+H492*$AC$17+I492*$AC$18+J492*$AC$19+K492*$AC$20+L492*$AC$21+M492*$AC$22+N492*$AC$23+O492*$AC$24+P492*$AC$25+Q492*$AC$26+R492*$AC$27+S492*$AC$28+T492*$AC$29+U492*$AC$30</f>
        <v/>
      </c>
      <c r="W492" s="8">
        <f>1/(1+EXP(-V492))</f>
        <v/>
      </c>
      <c r="X492" s="9">
        <f>-IF(C492=1,LN(W492),LN(1-W492))</f>
        <v/>
      </c>
      <c r="Y492" s="10">
        <f>IF(W492&gt;$AC$34,1,0)</f>
        <v/>
      </c>
      <c r="Z492">
        <f>IF(Y492=C492,1,0)</f>
        <v/>
      </c>
    </row>
    <row r="493">
      <c r="A493">
        <f>'1 prepared data'!A486</f>
        <v/>
      </c>
      <c r="B493" s="5">
        <f>'1 prepared data'!U486</f>
        <v/>
      </c>
      <c r="C493">
        <f>'1 prepared data'!B486</f>
        <v/>
      </c>
      <c r="D493" s="7">
        <f>'1 prepared data'!C486</f>
        <v/>
      </c>
      <c r="E493" s="7">
        <f>'1 prepared data'!D486</f>
        <v/>
      </c>
      <c r="F493" s="7">
        <f>'1 prepared data'!E486</f>
        <v/>
      </c>
      <c r="G493" s="7">
        <f>'1 prepared data'!F486</f>
        <v/>
      </c>
      <c r="H493" s="7">
        <f>'1 prepared data'!G486</f>
        <v/>
      </c>
      <c r="I493" s="7">
        <f>'1 prepared data'!H486</f>
        <v/>
      </c>
      <c r="J493" s="7">
        <f>'1 prepared data'!I486</f>
        <v/>
      </c>
      <c r="K493" s="7">
        <f>'1 prepared data'!J486</f>
        <v/>
      </c>
      <c r="L493" s="7">
        <f>'1 prepared data'!K486</f>
        <v/>
      </c>
      <c r="M493" s="7">
        <f>'1 prepared data'!L486</f>
        <v/>
      </c>
      <c r="N493" s="7">
        <f>'1 prepared data'!M486</f>
        <v/>
      </c>
      <c r="O493" s="7">
        <f>'1 prepared data'!N486</f>
        <v/>
      </c>
      <c r="P493" s="7">
        <f>'1 prepared data'!O486</f>
        <v/>
      </c>
      <c r="Q493" s="7">
        <f>'1 prepared data'!P486</f>
        <v/>
      </c>
      <c r="R493" s="7">
        <f>'1 prepared data'!Q486</f>
        <v/>
      </c>
      <c r="S493" s="7">
        <f>'1 prepared data'!R486</f>
        <v/>
      </c>
      <c r="T493" s="7">
        <f>'1 prepared data'!S486</f>
        <v/>
      </c>
      <c r="U493" s="7">
        <f>'1 prepared data'!T486</f>
        <v/>
      </c>
      <c r="V493" s="8">
        <f>$AC$12+D493*$AC$13+E493*$AC$14+F493*$AC$15+G493*$AC$16+H493*$AC$17+I493*$AC$18+J493*$AC$19+K493*$AC$20+L493*$AC$21+M493*$AC$22+N493*$AC$23+O493*$AC$24+P493*$AC$25+Q493*$AC$26+R493*$AC$27+S493*$AC$28+T493*$AC$29+U493*$AC$30</f>
        <v/>
      </c>
      <c r="W493" s="8">
        <f>1/(1+EXP(-V493))</f>
        <v/>
      </c>
      <c r="X493" s="9">
        <f>-IF(C493=1,LN(W493),LN(1-W493))</f>
        <v/>
      </c>
      <c r="Y493" s="10">
        <f>IF(W493&gt;$AC$34,1,0)</f>
        <v/>
      </c>
      <c r="Z493">
        <f>IF(Y493=C493,1,0)</f>
        <v/>
      </c>
    </row>
    <row r="494">
      <c r="A494">
        <f>'1 prepared data'!A487</f>
        <v/>
      </c>
      <c r="B494" s="5">
        <f>'1 prepared data'!U487</f>
        <v/>
      </c>
      <c r="C494">
        <f>'1 prepared data'!B487</f>
        <v/>
      </c>
      <c r="D494" s="7">
        <f>'1 prepared data'!C487</f>
        <v/>
      </c>
      <c r="E494" s="7">
        <f>'1 prepared data'!D487</f>
        <v/>
      </c>
      <c r="F494" s="7">
        <f>'1 prepared data'!E487</f>
        <v/>
      </c>
      <c r="G494" s="7">
        <f>'1 prepared data'!F487</f>
        <v/>
      </c>
      <c r="H494" s="7">
        <f>'1 prepared data'!G487</f>
        <v/>
      </c>
      <c r="I494" s="7">
        <f>'1 prepared data'!H487</f>
        <v/>
      </c>
      <c r="J494" s="7">
        <f>'1 prepared data'!I487</f>
        <v/>
      </c>
      <c r="K494" s="7">
        <f>'1 prepared data'!J487</f>
        <v/>
      </c>
      <c r="L494" s="7">
        <f>'1 prepared data'!K487</f>
        <v/>
      </c>
      <c r="M494" s="7">
        <f>'1 prepared data'!L487</f>
        <v/>
      </c>
      <c r="N494" s="7">
        <f>'1 prepared data'!M487</f>
        <v/>
      </c>
      <c r="O494" s="7">
        <f>'1 prepared data'!N487</f>
        <v/>
      </c>
      <c r="P494" s="7">
        <f>'1 prepared data'!O487</f>
        <v/>
      </c>
      <c r="Q494" s="7">
        <f>'1 prepared data'!P487</f>
        <v/>
      </c>
      <c r="R494" s="7">
        <f>'1 prepared data'!Q487</f>
        <v/>
      </c>
      <c r="S494" s="7">
        <f>'1 prepared data'!R487</f>
        <v/>
      </c>
      <c r="T494" s="7">
        <f>'1 prepared data'!S487</f>
        <v/>
      </c>
      <c r="U494" s="7">
        <f>'1 prepared data'!T487</f>
        <v/>
      </c>
      <c r="V494" s="8">
        <f>$AC$12+D494*$AC$13+E494*$AC$14+F494*$AC$15+G494*$AC$16+H494*$AC$17+I494*$AC$18+J494*$AC$19+K494*$AC$20+L494*$AC$21+M494*$AC$22+N494*$AC$23+O494*$AC$24+P494*$AC$25+Q494*$AC$26+R494*$AC$27+S494*$AC$28+T494*$AC$29+U494*$AC$30</f>
        <v/>
      </c>
      <c r="W494" s="8">
        <f>1/(1+EXP(-V494))</f>
        <v/>
      </c>
      <c r="X494" s="9">
        <f>-IF(C494=1,LN(W494),LN(1-W494))</f>
        <v/>
      </c>
      <c r="Y494" s="10">
        <f>IF(W494&gt;$AC$34,1,0)</f>
        <v/>
      </c>
      <c r="Z494">
        <f>IF(Y494=C494,1,0)</f>
        <v/>
      </c>
    </row>
    <row r="495">
      <c r="A495">
        <f>'1 prepared data'!A488</f>
        <v/>
      </c>
      <c r="B495" s="5">
        <f>'1 prepared data'!U488</f>
        <v/>
      </c>
      <c r="C495">
        <f>'1 prepared data'!B488</f>
        <v/>
      </c>
      <c r="D495" s="7">
        <f>'1 prepared data'!C488</f>
        <v/>
      </c>
      <c r="E495" s="7">
        <f>'1 prepared data'!D488</f>
        <v/>
      </c>
      <c r="F495" s="7">
        <f>'1 prepared data'!E488</f>
        <v/>
      </c>
      <c r="G495" s="7">
        <f>'1 prepared data'!F488</f>
        <v/>
      </c>
      <c r="H495" s="7">
        <f>'1 prepared data'!G488</f>
        <v/>
      </c>
      <c r="I495" s="7">
        <f>'1 prepared data'!H488</f>
        <v/>
      </c>
      <c r="J495" s="7">
        <f>'1 prepared data'!I488</f>
        <v/>
      </c>
      <c r="K495" s="7">
        <f>'1 prepared data'!J488</f>
        <v/>
      </c>
      <c r="L495" s="7">
        <f>'1 prepared data'!K488</f>
        <v/>
      </c>
      <c r="M495" s="7">
        <f>'1 prepared data'!L488</f>
        <v/>
      </c>
      <c r="N495" s="7">
        <f>'1 prepared data'!M488</f>
        <v/>
      </c>
      <c r="O495" s="7">
        <f>'1 prepared data'!N488</f>
        <v/>
      </c>
      <c r="P495" s="7">
        <f>'1 prepared data'!O488</f>
        <v/>
      </c>
      <c r="Q495" s="7">
        <f>'1 prepared data'!P488</f>
        <v/>
      </c>
      <c r="R495" s="7">
        <f>'1 prepared data'!Q488</f>
        <v/>
      </c>
      <c r="S495" s="7">
        <f>'1 prepared data'!R488</f>
        <v/>
      </c>
      <c r="T495" s="7">
        <f>'1 prepared data'!S488</f>
        <v/>
      </c>
      <c r="U495" s="7">
        <f>'1 prepared data'!T488</f>
        <v/>
      </c>
      <c r="V495" s="8">
        <f>$AC$12+D495*$AC$13+E495*$AC$14+F495*$AC$15+G495*$AC$16+H495*$AC$17+I495*$AC$18+J495*$AC$19+K495*$AC$20+L495*$AC$21+M495*$AC$22+N495*$AC$23+O495*$AC$24+P495*$AC$25+Q495*$AC$26+R495*$AC$27+S495*$AC$28+T495*$AC$29+U495*$AC$30</f>
        <v/>
      </c>
      <c r="W495" s="8">
        <f>1/(1+EXP(-V495))</f>
        <v/>
      </c>
      <c r="X495" s="9">
        <f>-IF(C495=1,LN(W495),LN(1-W495))</f>
        <v/>
      </c>
      <c r="Y495" s="10">
        <f>IF(W495&gt;$AC$34,1,0)</f>
        <v/>
      </c>
      <c r="Z495">
        <f>IF(Y495=C495,1,0)</f>
        <v/>
      </c>
    </row>
    <row r="496">
      <c r="A496">
        <f>'1 prepared data'!A489</f>
        <v/>
      </c>
      <c r="B496" s="5">
        <f>'1 prepared data'!U489</f>
        <v/>
      </c>
      <c r="C496">
        <f>'1 prepared data'!B489</f>
        <v/>
      </c>
      <c r="D496" s="7">
        <f>'1 prepared data'!C489</f>
        <v/>
      </c>
      <c r="E496" s="7">
        <f>'1 prepared data'!D489</f>
        <v/>
      </c>
      <c r="F496" s="7">
        <f>'1 prepared data'!E489</f>
        <v/>
      </c>
      <c r="G496" s="7">
        <f>'1 prepared data'!F489</f>
        <v/>
      </c>
      <c r="H496" s="7">
        <f>'1 prepared data'!G489</f>
        <v/>
      </c>
      <c r="I496" s="7">
        <f>'1 prepared data'!H489</f>
        <v/>
      </c>
      <c r="J496" s="7">
        <f>'1 prepared data'!I489</f>
        <v/>
      </c>
      <c r="K496" s="7">
        <f>'1 prepared data'!J489</f>
        <v/>
      </c>
      <c r="L496" s="7">
        <f>'1 prepared data'!K489</f>
        <v/>
      </c>
      <c r="M496" s="7">
        <f>'1 prepared data'!L489</f>
        <v/>
      </c>
      <c r="N496" s="7">
        <f>'1 prepared data'!M489</f>
        <v/>
      </c>
      <c r="O496" s="7">
        <f>'1 prepared data'!N489</f>
        <v/>
      </c>
      <c r="P496" s="7">
        <f>'1 prepared data'!O489</f>
        <v/>
      </c>
      <c r="Q496" s="7">
        <f>'1 prepared data'!P489</f>
        <v/>
      </c>
      <c r="R496" s="7">
        <f>'1 prepared data'!Q489</f>
        <v/>
      </c>
      <c r="S496" s="7">
        <f>'1 prepared data'!R489</f>
        <v/>
      </c>
      <c r="T496" s="7">
        <f>'1 prepared data'!S489</f>
        <v/>
      </c>
      <c r="U496" s="7">
        <f>'1 prepared data'!T489</f>
        <v/>
      </c>
      <c r="V496" s="8">
        <f>$AC$12+D496*$AC$13+E496*$AC$14+F496*$AC$15+G496*$AC$16+H496*$AC$17+I496*$AC$18+J496*$AC$19+K496*$AC$20+L496*$AC$21+M496*$AC$22+N496*$AC$23+O496*$AC$24+P496*$AC$25+Q496*$AC$26+R496*$AC$27+S496*$AC$28+T496*$AC$29+U496*$AC$30</f>
        <v/>
      </c>
      <c r="W496" s="8">
        <f>1/(1+EXP(-V496))</f>
        <v/>
      </c>
      <c r="X496" s="9">
        <f>-IF(C496=1,LN(W496),LN(1-W496))</f>
        <v/>
      </c>
      <c r="Y496" s="10">
        <f>IF(W496&gt;$AC$34,1,0)</f>
        <v/>
      </c>
      <c r="Z496">
        <f>IF(Y496=C496,1,0)</f>
        <v/>
      </c>
    </row>
    <row r="497">
      <c r="A497">
        <f>'1 prepared data'!A490</f>
        <v/>
      </c>
      <c r="B497" s="5">
        <f>'1 prepared data'!U490</f>
        <v/>
      </c>
      <c r="C497">
        <f>'1 prepared data'!B490</f>
        <v/>
      </c>
      <c r="D497" s="7">
        <f>'1 prepared data'!C490</f>
        <v/>
      </c>
      <c r="E497" s="7">
        <f>'1 prepared data'!D490</f>
        <v/>
      </c>
      <c r="F497" s="7">
        <f>'1 prepared data'!E490</f>
        <v/>
      </c>
      <c r="G497" s="7">
        <f>'1 prepared data'!F490</f>
        <v/>
      </c>
      <c r="H497" s="7">
        <f>'1 prepared data'!G490</f>
        <v/>
      </c>
      <c r="I497" s="7">
        <f>'1 prepared data'!H490</f>
        <v/>
      </c>
      <c r="J497" s="7">
        <f>'1 prepared data'!I490</f>
        <v/>
      </c>
      <c r="K497" s="7">
        <f>'1 prepared data'!J490</f>
        <v/>
      </c>
      <c r="L497" s="7">
        <f>'1 prepared data'!K490</f>
        <v/>
      </c>
      <c r="M497" s="7">
        <f>'1 prepared data'!L490</f>
        <v/>
      </c>
      <c r="N497" s="7">
        <f>'1 prepared data'!M490</f>
        <v/>
      </c>
      <c r="O497" s="7">
        <f>'1 prepared data'!N490</f>
        <v/>
      </c>
      <c r="P497" s="7">
        <f>'1 prepared data'!O490</f>
        <v/>
      </c>
      <c r="Q497" s="7">
        <f>'1 prepared data'!P490</f>
        <v/>
      </c>
      <c r="R497" s="7">
        <f>'1 prepared data'!Q490</f>
        <v/>
      </c>
      <c r="S497" s="7">
        <f>'1 prepared data'!R490</f>
        <v/>
      </c>
      <c r="T497" s="7">
        <f>'1 prepared data'!S490</f>
        <v/>
      </c>
      <c r="U497" s="7">
        <f>'1 prepared data'!T490</f>
        <v/>
      </c>
      <c r="V497" s="8">
        <f>$AC$12+D497*$AC$13+E497*$AC$14+F497*$AC$15+G497*$AC$16+H497*$AC$17+I497*$AC$18+J497*$AC$19+K497*$AC$20+L497*$AC$21+M497*$AC$22+N497*$AC$23+O497*$AC$24+P497*$AC$25+Q497*$AC$26+R497*$AC$27+S497*$AC$28+T497*$AC$29+U497*$AC$30</f>
        <v/>
      </c>
      <c r="W497" s="8">
        <f>1/(1+EXP(-V497))</f>
        <v/>
      </c>
      <c r="X497" s="9">
        <f>-IF(C497=1,LN(W497),LN(1-W497))</f>
        <v/>
      </c>
      <c r="Y497" s="10">
        <f>IF(W497&gt;$AC$34,1,0)</f>
        <v/>
      </c>
      <c r="Z497">
        <f>IF(Y497=C497,1,0)</f>
        <v/>
      </c>
    </row>
    <row r="498">
      <c r="A498">
        <f>'1 prepared data'!A491</f>
        <v/>
      </c>
      <c r="B498" s="5">
        <f>'1 prepared data'!U491</f>
        <v/>
      </c>
      <c r="C498">
        <f>'1 prepared data'!B491</f>
        <v/>
      </c>
      <c r="D498" s="7">
        <f>'1 prepared data'!C491</f>
        <v/>
      </c>
      <c r="E498" s="7">
        <f>'1 prepared data'!D491</f>
        <v/>
      </c>
      <c r="F498" s="7">
        <f>'1 prepared data'!E491</f>
        <v/>
      </c>
      <c r="G498" s="7">
        <f>'1 prepared data'!F491</f>
        <v/>
      </c>
      <c r="H498" s="7">
        <f>'1 prepared data'!G491</f>
        <v/>
      </c>
      <c r="I498" s="7">
        <f>'1 prepared data'!H491</f>
        <v/>
      </c>
      <c r="J498" s="7">
        <f>'1 prepared data'!I491</f>
        <v/>
      </c>
      <c r="K498" s="7">
        <f>'1 prepared data'!J491</f>
        <v/>
      </c>
      <c r="L498" s="7">
        <f>'1 prepared data'!K491</f>
        <v/>
      </c>
      <c r="M498" s="7">
        <f>'1 prepared data'!L491</f>
        <v/>
      </c>
      <c r="N498" s="7">
        <f>'1 prepared data'!M491</f>
        <v/>
      </c>
      <c r="O498" s="7">
        <f>'1 prepared data'!N491</f>
        <v/>
      </c>
      <c r="P498" s="7">
        <f>'1 prepared data'!O491</f>
        <v/>
      </c>
      <c r="Q498" s="7">
        <f>'1 prepared data'!P491</f>
        <v/>
      </c>
      <c r="R498" s="7">
        <f>'1 prepared data'!Q491</f>
        <v/>
      </c>
      <c r="S498" s="7">
        <f>'1 prepared data'!R491</f>
        <v/>
      </c>
      <c r="T498" s="7">
        <f>'1 prepared data'!S491</f>
        <v/>
      </c>
      <c r="U498" s="7">
        <f>'1 prepared data'!T491</f>
        <v/>
      </c>
      <c r="V498" s="8">
        <f>$AC$12+D498*$AC$13+E498*$AC$14+F498*$AC$15+G498*$AC$16+H498*$AC$17+I498*$AC$18+J498*$AC$19+K498*$AC$20+L498*$AC$21+M498*$AC$22+N498*$AC$23+O498*$AC$24+P498*$AC$25+Q498*$AC$26+R498*$AC$27+S498*$AC$28+T498*$AC$29+U498*$AC$30</f>
        <v/>
      </c>
      <c r="W498" s="8">
        <f>1/(1+EXP(-V498))</f>
        <v/>
      </c>
      <c r="X498" s="9">
        <f>-IF(C498=1,LN(W498),LN(1-W498))</f>
        <v/>
      </c>
      <c r="Y498" s="10">
        <f>IF(W498&gt;$AC$34,1,0)</f>
        <v/>
      </c>
      <c r="Z498">
        <f>IF(Y498=C498,1,0)</f>
        <v/>
      </c>
    </row>
    <row r="499">
      <c r="A499">
        <f>'1 prepared data'!A492</f>
        <v/>
      </c>
      <c r="B499" s="5">
        <f>'1 prepared data'!U492</f>
        <v/>
      </c>
      <c r="C499">
        <f>'1 prepared data'!B492</f>
        <v/>
      </c>
      <c r="D499" s="7">
        <f>'1 prepared data'!C492</f>
        <v/>
      </c>
      <c r="E499" s="7">
        <f>'1 prepared data'!D492</f>
        <v/>
      </c>
      <c r="F499" s="7">
        <f>'1 prepared data'!E492</f>
        <v/>
      </c>
      <c r="G499" s="7">
        <f>'1 prepared data'!F492</f>
        <v/>
      </c>
      <c r="H499" s="7">
        <f>'1 prepared data'!G492</f>
        <v/>
      </c>
      <c r="I499" s="7">
        <f>'1 prepared data'!H492</f>
        <v/>
      </c>
      <c r="J499" s="7">
        <f>'1 prepared data'!I492</f>
        <v/>
      </c>
      <c r="K499" s="7">
        <f>'1 prepared data'!J492</f>
        <v/>
      </c>
      <c r="L499" s="7">
        <f>'1 prepared data'!K492</f>
        <v/>
      </c>
      <c r="M499" s="7">
        <f>'1 prepared data'!L492</f>
        <v/>
      </c>
      <c r="N499" s="7">
        <f>'1 prepared data'!M492</f>
        <v/>
      </c>
      <c r="O499" s="7">
        <f>'1 prepared data'!N492</f>
        <v/>
      </c>
      <c r="P499" s="7">
        <f>'1 prepared data'!O492</f>
        <v/>
      </c>
      <c r="Q499" s="7">
        <f>'1 prepared data'!P492</f>
        <v/>
      </c>
      <c r="R499" s="7">
        <f>'1 prepared data'!Q492</f>
        <v/>
      </c>
      <c r="S499" s="7">
        <f>'1 prepared data'!R492</f>
        <v/>
      </c>
      <c r="T499" s="7">
        <f>'1 prepared data'!S492</f>
        <v/>
      </c>
      <c r="U499" s="7">
        <f>'1 prepared data'!T492</f>
        <v/>
      </c>
      <c r="V499" s="8">
        <f>$AC$12+D499*$AC$13+E499*$AC$14+F499*$AC$15+G499*$AC$16+H499*$AC$17+I499*$AC$18+J499*$AC$19+K499*$AC$20+L499*$AC$21+M499*$AC$22+N499*$AC$23+O499*$AC$24+P499*$AC$25+Q499*$AC$26+R499*$AC$27+S499*$AC$28+T499*$AC$29+U499*$AC$30</f>
        <v/>
      </c>
      <c r="W499" s="8">
        <f>1/(1+EXP(-V499))</f>
        <v/>
      </c>
      <c r="X499" s="9">
        <f>-IF(C499=1,LN(W499),LN(1-W499))</f>
        <v/>
      </c>
      <c r="Y499" s="10">
        <f>IF(W499&gt;$AC$34,1,0)</f>
        <v/>
      </c>
      <c r="Z499">
        <f>IF(Y499=C499,1,0)</f>
        <v/>
      </c>
    </row>
    <row r="500">
      <c r="A500">
        <f>'1 prepared data'!A493</f>
        <v/>
      </c>
      <c r="B500" s="5">
        <f>'1 prepared data'!U493</f>
        <v/>
      </c>
      <c r="C500">
        <f>'1 prepared data'!B493</f>
        <v/>
      </c>
      <c r="D500" s="7">
        <f>'1 prepared data'!C493</f>
        <v/>
      </c>
      <c r="E500" s="7">
        <f>'1 prepared data'!D493</f>
        <v/>
      </c>
      <c r="F500" s="7">
        <f>'1 prepared data'!E493</f>
        <v/>
      </c>
      <c r="G500" s="7">
        <f>'1 prepared data'!F493</f>
        <v/>
      </c>
      <c r="H500" s="7">
        <f>'1 prepared data'!G493</f>
        <v/>
      </c>
      <c r="I500" s="7">
        <f>'1 prepared data'!H493</f>
        <v/>
      </c>
      <c r="J500" s="7">
        <f>'1 prepared data'!I493</f>
        <v/>
      </c>
      <c r="K500" s="7">
        <f>'1 prepared data'!J493</f>
        <v/>
      </c>
      <c r="L500" s="7">
        <f>'1 prepared data'!K493</f>
        <v/>
      </c>
      <c r="M500" s="7">
        <f>'1 prepared data'!L493</f>
        <v/>
      </c>
      <c r="N500" s="7">
        <f>'1 prepared data'!M493</f>
        <v/>
      </c>
      <c r="O500" s="7">
        <f>'1 prepared data'!N493</f>
        <v/>
      </c>
      <c r="P500" s="7">
        <f>'1 prepared data'!O493</f>
        <v/>
      </c>
      <c r="Q500" s="7">
        <f>'1 prepared data'!P493</f>
        <v/>
      </c>
      <c r="R500" s="7">
        <f>'1 prepared data'!Q493</f>
        <v/>
      </c>
      <c r="S500" s="7">
        <f>'1 prepared data'!R493</f>
        <v/>
      </c>
      <c r="T500" s="7">
        <f>'1 prepared data'!S493</f>
        <v/>
      </c>
      <c r="U500" s="7">
        <f>'1 prepared data'!T493</f>
        <v/>
      </c>
      <c r="V500" s="8">
        <f>$AC$12+D500*$AC$13+E500*$AC$14+F500*$AC$15+G500*$AC$16+H500*$AC$17+I500*$AC$18+J500*$AC$19+K500*$AC$20+L500*$AC$21+M500*$AC$22+N500*$AC$23+O500*$AC$24+P500*$AC$25+Q500*$AC$26+R500*$AC$27+S500*$AC$28+T500*$AC$29+U500*$AC$30</f>
        <v/>
      </c>
      <c r="W500" s="8">
        <f>1/(1+EXP(-V500))</f>
        <v/>
      </c>
      <c r="X500" s="9">
        <f>-IF(C500=1,LN(W500),LN(1-W500))</f>
        <v/>
      </c>
      <c r="Y500" s="10">
        <f>IF(W500&gt;$AC$34,1,0)</f>
        <v/>
      </c>
      <c r="Z500">
        <f>IF(Y500=C500,1,0)</f>
        <v/>
      </c>
    </row>
    <row r="501">
      <c r="A501">
        <f>'1 prepared data'!A494</f>
        <v/>
      </c>
      <c r="B501" s="5">
        <f>'1 prepared data'!U494</f>
        <v/>
      </c>
      <c r="C501">
        <f>'1 prepared data'!B494</f>
        <v/>
      </c>
      <c r="D501" s="7">
        <f>'1 prepared data'!C494</f>
        <v/>
      </c>
      <c r="E501" s="7">
        <f>'1 prepared data'!D494</f>
        <v/>
      </c>
      <c r="F501" s="7">
        <f>'1 prepared data'!E494</f>
        <v/>
      </c>
      <c r="G501" s="7">
        <f>'1 prepared data'!F494</f>
        <v/>
      </c>
      <c r="H501" s="7">
        <f>'1 prepared data'!G494</f>
        <v/>
      </c>
      <c r="I501" s="7">
        <f>'1 prepared data'!H494</f>
        <v/>
      </c>
      <c r="J501" s="7">
        <f>'1 prepared data'!I494</f>
        <v/>
      </c>
      <c r="K501" s="7">
        <f>'1 prepared data'!J494</f>
        <v/>
      </c>
      <c r="L501" s="7">
        <f>'1 prepared data'!K494</f>
        <v/>
      </c>
      <c r="M501" s="7">
        <f>'1 prepared data'!L494</f>
        <v/>
      </c>
      <c r="N501" s="7">
        <f>'1 prepared data'!M494</f>
        <v/>
      </c>
      <c r="O501" s="7">
        <f>'1 prepared data'!N494</f>
        <v/>
      </c>
      <c r="P501" s="7">
        <f>'1 prepared data'!O494</f>
        <v/>
      </c>
      <c r="Q501" s="7">
        <f>'1 prepared data'!P494</f>
        <v/>
      </c>
      <c r="R501" s="7">
        <f>'1 prepared data'!Q494</f>
        <v/>
      </c>
      <c r="S501" s="7">
        <f>'1 prepared data'!R494</f>
        <v/>
      </c>
      <c r="T501" s="7">
        <f>'1 prepared data'!S494</f>
        <v/>
      </c>
      <c r="U501" s="7">
        <f>'1 prepared data'!T494</f>
        <v/>
      </c>
      <c r="V501" s="8">
        <f>$AC$12+D501*$AC$13+E501*$AC$14+F501*$AC$15+G501*$AC$16+H501*$AC$17+I501*$AC$18+J501*$AC$19+K501*$AC$20+L501*$AC$21+M501*$AC$22+N501*$AC$23+O501*$AC$24+P501*$AC$25+Q501*$AC$26+R501*$AC$27+S501*$AC$28+T501*$AC$29+U501*$AC$30</f>
        <v/>
      </c>
      <c r="W501" s="8">
        <f>1/(1+EXP(-V501))</f>
        <v/>
      </c>
      <c r="X501" s="9">
        <f>-IF(C501=1,LN(W501),LN(1-W501))</f>
        <v/>
      </c>
      <c r="Y501" s="10">
        <f>IF(W501&gt;$AC$34,1,0)</f>
        <v/>
      </c>
      <c r="Z501">
        <f>IF(Y501=C501,1,0)</f>
        <v/>
      </c>
    </row>
    <row r="502">
      <c r="A502">
        <f>'1 prepared data'!A495</f>
        <v/>
      </c>
      <c r="B502" s="5">
        <f>'1 prepared data'!U495</f>
        <v/>
      </c>
      <c r="C502">
        <f>'1 prepared data'!B495</f>
        <v/>
      </c>
      <c r="D502" s="7">
        <f>'1 prepared data'!C495</f>
        <v/>
      </c>
      <c r="E502" s="7">
        <f>'1 prepared data'!D495</f>
        <v/>
      </c>
      <c r="F502" s="7">
        <f>'1 prepared data'!E495</f>
        <v/>
      </c>
      <c r="G502" s="7">
        <f>'1 prepared data'!F495</f>
        <v/>
      </c>
      <c r="H502" s="7">
        <f>'1 prepared data'!G495</f>
        <v/>
      </c>
      <c r="I502" s="7">
        <f>'1 prepared data'!H495</f>
        <v/>
      </c>
      <c r="J502" s="7">
        <f>'1 prepared data'!I495</f>
        <v/>
      </c>
      <c r="K502" s="7">
        <f>'1 prepared data'!J495</f>
        <v/>
      </c>
      <c r="L502" s="7">
        <f>'1 prepared data'!K495</f>
        <v/>
      </c>
      <c r="M502" s="7">
        <f>'1 prepared data'!L495</f>
        <v/>
      </c>
      <c r="N502" s="7">
        <f>'1 prepared data'!M495</f>
        <v/>
      </c>
      <c r="O502" s="7">
        <f>'1 prepared data'!N495</f>
        <v/>
      </c>
      <c r="P502" s="7">
        <f>'1 prepared data'!O495</f>
        <v/>
      </c>
      <c r="Q502" s="7">
        <f>'1 prepared data'!P495</f>
        <v/>
      </c>
      <c r="R502" s="7">
        <f>'1 prepared data'!Q495</f>
        <v/>
      </c>
      <c r="S502" s="7">
        <f>'1 prepared data'!R495</f>
        <v/>
      </c>
      <c r="T502" s="7">
        <f>'1 prepared data'!S495</f>
        <v/>
      </c>
      <c r="U502" s="7">
        <f>'1 prepared data'!T495</f>
        <v/>
      </c>
      <c r="V502" s="8">
        <f>$AC$12+D502*$AC$13+E502*$AC$14+F502*$AC$15+G502*$AC$16+H502*$AC$17+I502*$AC$18+J502*$AC$19+K502*$AC$20+L502*$AC$21+M502*$AC$22+N502*$AC$23+O502*$AC$24+P502*$AC$25+Q502*$AC$26+R502*$AC$27+S502*$AC$28+T502*$AC$29+U502*$AC$30</f>
        <v/>
      </c>
      <c r="W502" s="8">
        <f>1/(1+EXP(-V502))</f>
        <v/>
      </c>
      <c r="X502" s="9">
        <f>-IF(C502=1,LN(W502),LN(1-W502))</f>
        <v/>
      </c>
      <c r="Y502" s="10">
        <f>IF(W502&gt;$AC$34,1,0)</f>
        <v/>
      </c>
      <c r="Z502">
        <f>IF(Y502=C502,1,0)</f>
        <v/>
      </c>
    </row>
    <row r="503">
      <c r="A503">
        <f>'1 prepared data'!A496</f>
        <v/>
      </c>
      <c r="B503" s="5">
        <f>'1 prepared data'!U496</f>
        <v/>
      </c>
      <c r="C503">
        <f>'1 prepared data'!B496</f>
        <v/>
      </c>
      <c r="D503" s="7">
        <f>'1 prepared data'!C496</f>
        <v/>
      </c>
      <c r="E503" s="7">
        <f>'1 prepared data'!D496</f>
        <v/>
      </c>
      <c r="F503" s="7">
        <f>'1 prepared data'!E496</f>
        <v/>
      </c>
      <c r="G503" s="7">
        <f>'1 prepared data'!F496</f>
        <v/>
      </c>
      <c r="H503" s="7">
        <f>'1 prepared data'!G496</f>
        <v/>
      </c>
      <c r="I503" s="7">
        <f>'1 prepared data'!H496</f>
        <v/>
      </c>
      <c r="J503" s="7">
        <f>'1 prepared data'!I496</f>
        <v/>
      </c>
      <c r="K503" s="7">
        <f>'1 prepared data'!J496</f>
        <v/>
      </c>
      <c r="L503" s="7">
        <f>'1 prepared data'!K496</f>
        <v/>
      </c>
      <c r="M503" s="7">
        <f>'1 prepared data'!L496</f>
        <v/>
      </c>
      <c r="N503" s="7">
        <f>'1 prepared data'!M496</f>
        <v/>
      </c>
      <c r="O503" s="7">
        <f>'1 prepared data'!N496</f>
        <v/>
      </c>
      <c r="P503" s="7">
        <f>'1 prepared data'!O496</f>
        <v/>
      </c>
      <c r="Q503" s="7">
        <f>'1 prepared data'!P496</f>
        <v/>
      </c>
      <c r="R503" s="7">
        <f>'1 prepared data'!Q496</f>
        <v/>
      </c>
      <c r="S503" s="7">
        <f>'1 prepared data'!R496</f>
        <v/>
      </c>
      <c r="T503" s="7">
        <f>'1 prepared data'!S496</f>
        <v/>
      </c>
      <c r="U503" s="7">
        <f>'1 prepared data'!T496</f>
        <v/>
      </c>
      <c r="V503" s="8">
        <f>$AC$12+D503*$AC$13+E503*$AC$14+F503*$AC$15+G503*$AC$16+H503*$AC$17+I503*$AC$18+J503*$AC$19+K503*$AC$20+L503*$AC$21+M503*$AC$22+N503*$AC$23+O503*$AC$24+P503*$AC$25+Q503*$AC$26+R503*$AC$27+S503*$AC$28+T503*$AC$29+U503*$AC$30</f>
        <v/>
      </c>
      <c r="W503" s="8">
        <f>1/(1+EXP(-V503))</f>
        <v/>
      </c>
      <c r="X503" s="9">
        <f>-IF(C503=1,LN(W503),LN(1-W503))</f>
        <v/>
      </c>
      <c r="Y503" s="10">
        <f>IF(W503&gt;$AC$34,1,0)</f>
        <v/>
      </c>
      <c r="Z503">
        <f>IF(Y503=C503,1,0)</f>
        <v/>
      </c>
    </row>
    <row r="504">
      <c r="A504">
        <f>'1 prepared data'!A497</f>
        <v/>
      </c>
      <c r="B504" s="5">
        <f>'1 prepared data'!U497</f>
        <v/>
      </c>
      <c r="C504">
        <f>'1 prepared data'!B497</f>
        <v/>
      </c>
      <c r="D504" s="7">
        <f>'1 prepared data'!C497</f>
        <v/>
      </c>
      <c r="E504" s="7">
        <f>'1 prepared data'!D497</f>
        <v/>
      </c>
      <c r="F504" s="7">
        <f>'1 prepared data'!E497</f>
        <v/>
      </c>
      <c r="G504" s="7">
        <f>'1 prepared data'!F497</f>
        <v/>
      </c>
      <c r="H504" s="7">
        <f>'1 prepared data'!G497</f>
        <v/>
      </c>
      <c r="I504" s="7">
        <f>'1 prepared data'!H497</f>
        <v/>
      </c>
      <c r="J504" s="7">
        <f>'1 prepared data'!I497</f>
        <v/>
      </c>
      <c r="K504" s="7">
        <f>'1 prepared data'!J497</f>
        <v/>
      </c>
      <c r="L504" s="7">
        <f>'1 prepared data'!K497</f>
        <v/>
      </c>
      <c r="M504" s="7">
        <f>'1 prepared data'!L497</f>
        <v/>
      </c>
      <c r="N504" s="7">
        <f>'1 prepared data'!M497</f>
        <v/>
      </c>
      <c r="O504" s="7">
        <f>'1 prepared data'!N497</f>
        <v/>
      </c>
      <c r="P504" s="7">
        <f>'1 prepared data'!O497</f>
        <v/>
      </c>
      <c r="Q504" s="7">
        <f>'1 prepared data'!P497</f>
        <v/>
      </c>
      <c r="R504" s="7">
        <f>'1 prepared data'!Q497</f>
        <v/>
      </c>
      <c r="S504" s="7">
        <f>'1 prepared data'!R497</f>
        <v/>
      </c>
      <c r="T504" s="7">
        <f>'1 prepared data'!S497</f>
        <v/>
      </c>
      <c r="U504" s="7">
        <f>'1 prepared data'!T497</f>
        <v/>
      </c>
      <c r="V504" s="8">
        <f>$AC$12+D504*$AC$13+E504*$AC$14+F504*$AC$15+G504*$AC$16+H504*$AC$17+I504*$AC$18+J504*$AC$19+K504*$AC$20+L504*$AC$21+M504*$AC$22+N504*$AC$23+O504*$AC$24+P504*$AC$25+Q504*$AC$26+R504*$AC$27+S504*$AC$28+T504*$AC$29+U504*$AC$30</f>
        <v/>
      </c>
      <c r="W504" s="8">
        <f>1/(1+EXP(-V504))</f>
        <v/>
      </c>
      <c r="X504" s="9">
        <f>-IF(C504=1,LN(W504),LN(1-W504))</f>
        <v/>
      </c>
      <c r="Y504" s="10">
        <f>IF(W504&gt;$AC$34,1,0)</f>
        <v/>
      </c>
      <c r="Z504">
        <f>IF(Y504=C504,1,0)</f>
        <v/>
      </c>
    </row>
    <row r="505">
      <c r="A505">
        <f>'1 prepared data'!A498</f>
        <v/>
      </c>
      <c r="B505" s="5">
        <f>'1 prepared data'!U498</f>
        <v/>
      </c>
      <c r="C505">
        <f>'1 prepared data'!B498</f>
        <v/>
      </c>
      <c r="D505" s="7">
        <f>'1 prepared data'!C498</f>
        <v/>
      </c>
      <c r="E505" s="7">
        <f>'1 prepared data'!D498</f>
        <v/>
      </c>
      <c r="F505" s="7">
        <f>'1 prepared data'!E498</f>
        <v/>
      </c>
      <c r="G505" s="7">
        <f>'1 prepared data'!F498</f>
        <v/>
      </c>
      <c r="H505" s="7">
        <f>'1 prepared data'!G498</f>
        <v/>
      </c>
      <c r="I505" s="7">
        <f>'1 prepared data'!H498</f>
        <v/>
      </c>
      <c r="J505" s="7">
        <f>'1 prepared data'!I498</f>
        <v/>
      </c>
      <c r="K505" s="7">
        <f>'1 prepared data'!J498</f>
        <v/>
      </c>
      <c r="L505" s="7">
        <f>'1 prepared data'!K498</f>
        <v/>
      </c>
      <c r="M505" s="7">
        <f>'1 prepared data'!L498</f>
        <v/>
      </c>
      <c r="N505" s="7">
        <f>'1 prepared data'!M498</f>
        <v/>
      </c>
      <c r="O505" s="7">
        <f>'1 prepared data'!N498</f>
        <v/>
      </c>
      <c r="P505" s="7">
        <f>'1 prepared data'!O498</f>
        <v/>
      </c>
      <c r="Q505" s="7">
        <f>'1 prepared data'!P498</f>
        <v/>
      </c>
      <c r="R505" s="7">
        <f>'1 prepared data'!Q498</f>
        <v/>
      </c>
      <c r="S505" s="7">
        <f>'1 prepared data'!R498</f>
        <v/>
      </c>
      <c r="T505" s="7">
        <f>'1 prepared data'!S498</f>
        <v/>
      </c>
      <c r="U505" s="7">
        <f>'1 prepared data'!T498</f>
        <v/>
      </c>
      <c r="V505" s="8">
        <f>$AC$12+D505*$AC$13+E505*$AC$14+F505*$AC$15+G505*$AC$16+H505*$AC$17+I505*$AC$18+J505*$AC$19+K505*$AC$20+L505*$AC$21+M505*$AC$22+N505*$AC$23+O505*$AC$24+P505*$AC$25+Q505*$AC$26+R505*$AC$27+S505*$AC$28+T505*$AC$29+U505*$AC$30</f>
        <v/>
      </c>
      <c r="W505" s="8">
        <f>1/(1+EXP(-V505))</f>
        <v/>
      </c>
      <c r="X505" s="9">
        <f>-IF(C505=1,LN(W505),LN(1-W505))</f>
        <v/>
      </c>
      <c r="Y505" s="10">
        <f>IF(W505&gt;$AC$34,1,0)</f>
        <v/>
      </c>
      <c r="Z505">
        <f>IF(Y505=C505,1,0)</f>
        <v/>
      </c>
    </row>
    <row r="506">
      <c r="A506">
        <f>'1 prepared data'!A499</f>
        <v/>
      </c>
      <c r="B506" s="5">
        <f>'1 prepared data'!U499</f>
        <v/>
      </c>
      <c r="C506">
        <f>'1 prepared data'!B499</f>
        <v/>
      </c>
      <c r="D506" s="7">
        <f>'1 prepared data'!C499</f>
        <v/>
      </c>
      <c r="E506" s="7">
        <f>'1 prepared data'!D499</f>
        <v/>
      </c>
      <c r="F506" s="7">
        <f>'1 prepared data'!E499</f>
        <v/>
      </c>
      <c r="G506" s="7">
        <f>'1 prepared data'!F499</f>
        <v/>
      </c>
      <c r="H506" s="7">
        <f>'1 prepared data'!G499</f>
        <v/>
      </c>
      <c r="I506" s="7">
        <f>'1 prepared data'!H499</f>
        <v/>
      </c>
      <c r="J506" s="7">
        <f>'1 prepared data'!I499</f>
        <v/>
      </c>
      <c r="K506" s="7">
        <f>'1 prepared data'!J499</f>
        <v/>
      </c>
      <c r="L506" s="7">
        <f>'1 prepared data'!K499</f>
        <v/>
      </c>
      <c r="M506" s="7">
        <f>'1 prepared data'!L499</f>
        <v/>
      </c>
      <c r="N506" s="7">
        <f>'1 prepared data'!M499</f>
        <v/>
      </c>
      <c r="O506" s="7">
        <f>'1 prepared data'!N499</f>
        <v/>
      </c>
      <c r="P506" s="7">
        <f>'1 prepared data'!O499</f>
        <v/>
      </c>
      <c r="Q506" s="7">
        <f>'1 prepared data'!P499</f>
        <v/>
      </c>
      <c r="R506" s="7">
        <f>'1 prepared data'!Q499</f>
        <v/>
      </c>
      <c r="S506" s="7">
        <f>'1 prepared data'!R499</f>
        <v/>
      </c>
      <c r="T506" s="7">
        <f>'1 prepared data'!S499</f>
        <v/>
      </c>
      <c r="U506" s="7">
        <f>'1 prepared data'!T499</f>
        <v/>
      </c>
      <c r="V506" s="8">
        <f>$AC$12+D506*$AC$13+E506*$AC$14+F506*$AC$15+G506*$AC$16+H506*$AC$17+I506*$AC$18+J506*$AC$19+K506*$AC$20+L506*$AC$21+M506*$AC$22+N506*$AC$23+O506*$AC$24+P506*$AC$25+Q506*$AC$26+R506*$AC$27+S506*$AC$28+T506*$AC$29+U506*$AC$30</f>
        <v/>
      </c>
      <c r="W506" s="8">
        <f>1/(1+EXP(-V506))</f>
        <v/>
      </c>
      <c r="X506" s="9">
        <f>-IF(C506=1,LN(W506),LN(1-W506))</f>
        <v/>
      </c>
      <c r="Y506" s="10">
        <f>IF(W506&gt;$AC$34,1,0)</f>
        <v/>
      </c>
      <c r="Z506">
        <f>IF(Y506=C506,1,0)</f>
        <v/>
      </c>
    </row>
    <row r="507">
      <c r="A507">
        <f>'1 prepared data'!A500</f>
        <v/>
      </c>
      <c r="B507" s="5">
        <f>'1 prepared data'!U500</f>
        <v/>
      </c>
      <c r="C507">
        <f>'1 prepared data'!B500</f>
        <v/>
      </c>
      <c r="D507" s="7">
        <f>'1 prepared data'!C500</f>
        <v/>
      </c>
      <c r="E507" s="7">
        <f>'1 prepared data'!D500</f>
        <v/>
      </c>
      <c r="F507" s="7">
        <f>'1 prepared data'!E500</f>
        <v/>
      </c>
      <c r="G507" s="7">
        <f>'1 prepared data'!F500</f>
        <v/>
      </c>
      <c r="H507" s="7">
        <f>'1 prepared data'!G500</f>
        <v/>
      </c>
      <c r="I507" s="7">
        <f>'1 prepared data'!H500</f>
        <v/>
      </c>
      <c r="J507" s="7">
        <f>'1 prepared data'!I500</f>
        <v/>
      </c>
      <c r="K507" s="7">
        <f>'1 prepared data'!J500</f>
        <v/>
      </c>
      <c r="L507" s="7">
        <f>'1 prepared data'!K500</f>
        <v/>
      </c>
      <c r="M507" s="7">
        <f>'1 prepared data'!L500</f>
        <v/>
      </c>
      <c r="N507" s="7">
        <f>'1 prepared data'!M500</f>
        <v/>
      </c>
      <c r="O507" s="7">
        <f>'1 prepared data'!N500</f>
        <v/>
      </c>
      <c r="P507" s="7">
        <f>'1 prepared data'!O500</f>
        <v/>
      </c>
      <c r="Q507" s="7">
        <f>'1 prepared data'!P500</f>
        <v/>
      </c>
      <c r="R507" s="7">
        <f>'1 prepared data'!Q500</f>
        <v/>
      </c>
      <c r="S507" s="7">
        <f>'1 prepared data'!R500</f>
        <v/>
      </c>
      <c r="T507" s="7">
        <f>'1 prepared data'!S500</f>
        <v/>
      </c>
      <c r="U507" s="7">
        <f>'1 prepared data'!T500</f>
        <v/>
      </c>
      <c r="V507" s="8">
        <f>$AC$12+D507*$AC$13+E507*$AC$14+F507*$AC$15+G507*$AC$16+H507*$AC$17+I507*$AC$18+J507*$AC$19+K507*$AC$20+L507*$AC$21+M507*$AC$22+N507*$AC$23+O507*$AC$24+P507*$AC$25+Q507*$AC$26+R507*$AC$27+S507*$AC$28+T507*$AC$29+U507*$AC$30</f>
        <v/>
      </c>
      <c r="W507" s="8">
        <f>1/(1+EXP(-V507))</f>
        <v/>
      </c>
      <c r="X507" s="9">
        <f>-IF(C507=1,LN(W507),LN(1-W507))</f>
        <v/>
      </c>
      <c r="Y507" s="10">
        <f>IF(W507&gt;$AC$34,1,0)</f>
        <v/>
      </c>
      <c r="Z507">
        <f>IF(Y507=C507,1,0)</f>
        <v/>
      </c>
    </row>
    <row r="508">
      <c r="A508">
        <f>'1 prepared data'!A501</f>
        <v/>
      </c>
      <c r="B508" s="5">
        <f>'1 prepared data'!U501</f>
        <v/>
      </c>
      <c r="C508">
        <f>'1 prepared data'!B501</f>
        <v/>
      </c>
      <c r="D508" s="7">
        <f>'1 prepared data'!C501</f>
        <v/>
      </c>
      <c r="E508" s="7">
        <f>'1 prepared data'!D501</f>
        <v/>
      </c>
      <c r="F508" s="7">
        <f>'1 prepared data'!E501</f>
        <v/>
      </c>
      <c r="G508" s="7">
        <f>'1 prepared data'!F501</f>
        <v/>
      </c>
      <c r="H508" s="7">
        <f>'1 prepared data'!G501</f>
        <v/>
      </c>
      <c r="I508" s="7">
        <f>'1 prepared data'!H501</f>
        <v/>
      </c>
      <c r="J508" s="7">
        <f>'1 prepared data'!I501</f>
        <v/>
      </c>
      <c r="K508" s="7">
        <f>'1 prepared data'!J501</f>
        <v/>
      </c>
      <c r="L508" s="7">
        <f>'1 prepared data'!K501</f>
        <v/>
      </c>
      <c r="M508" s="7">
        <f>'1 prepared data'!L501</f>
        <v/>
      </c>
      <c r="N508" s="7">
        <f>'1 prepared data'!M501</f>
        <v/>
      </c>
      <c r="O508" s="7">
        <f>'1 prepared data'!N501</f>
        <v/>
      </c>
      <c r="P508" s="7">
        <f>'1 prepared data'!O501</f>
        <v/>
      </c>
      <c r="Q508" s="7">
        <f>'1 prepared data'!P501</f>
        <v/>
      </c>
      <c r="R508" s="7">
        <f>'1 prepared data'!Q501</f>
        <v/>
      </c>
      <c r="S508" s="7">
        <f>'1 prepared data'!R501</f>
        <v/>
      </c>
      <c r="T508" s="7">
        <f>'1 prepared data'!S501</f>
        <v/>
      </c>
      <c r="U508" s="7">
        <f>'1 prepared data'!T501</f>
        <v/>
      </c>
      <c r="V508" s="8">
        <f>$AC$12+D508*$AC$13+E508*$AC$14+F508*$AC$15+G508*$AC$16+H508*$AC$17+I508*$AC$18+J508*$AC$19+K508*$AC$20+L508*$AC$21+M508*$AC$22+N508*$AC$23+O508*$AC$24+P508*$AC$25+Q508*$AC$26+R508*$AC$27+S508*$AC$28+T508*$AC$29+U508*$AC$30</f>
        <v/>
      </c>
      <c r="W508" s="8">
        <f>1/(1+EXP(-V508))</f>
        <v/>
      </c>
      <c r="X508" s="9">
        <f>-IF(C508=1,LN(W508),LN(1-W508))</f>
        <v/>
      </c>
      <c r="Y508" s="10">
        <f>IF(W508&gt;$AC$34,1,0)</f>
        <v/>
      </c>
      <c r="Z508">
        <f>IF(Y508=C508,1,0)</f>
        <v/>
      </c>
    </row>
    <row r="509">
      <c r="A509">
        <f>'1 prepared data'!A502</f>
        <v/>
      </c>
      <c r="B509" s="5">
        <f>'1 prepared data'!U502</f>
        <v/>
      </c>
      <c r="C509">
        <f>'1 prepared data'!B502</f>
        <v/>
      </c>
      <c r="D509" s="7">
        <f>'1 prepared data'!C502</f>
        <v/>
      </c>
      <c r="E509" s="7">
        <f>'1 prepared data'!D502</f>
        <v/>
      </c>
      <c r="F509" s="7">
        <f>'1 prepared data'!E502</f>
        <v/>
      </c>
      <c r="G509" s="7">
        <f>'1 prepared data'!F502</f>
        <v/>
      </c>
      <c r="H509" s="7">
        <f>'1 prepared data'!G502</f>
        <v/>
      </c>
      <c r="I509" s="7">
        <f>'1 prepared data'!H502</f>
        <v/>
      </c>
      <c r="J509" s="7">
        <f>'1 prepared data'!I502</f>
        <v/>
      </c>
      <c r="K509" s="7">
        <f>'1 prepared data'!J502</f>
        <v/>
      </c>
      <c r="L509" s="7">
        <f>'1 prepared data'!K502</f>
        <v/>
      </c>
      <c r="M509" s="7">
        <f>'1 prepared data'!L502</f>
        <v/>
      </c>
      <c r="N509" s="7">
        <f>'1 prepared data'!M502</f>
        <v/>
      </c>
      <c r="O509" s="7">
        <f>'1 prepared data'!N502</f>
        <v/>
      </c>
      <c r="P509" s="7">
        <f>'1 prepared data'!O502</f>
        <v/>
      </c>
      <c r="Q509" s="7">
        <f>'1 prepared data'!P502</f>
        <v/>
      </c>
      <c r="R509" s="7">
        <f>'1 prepared data'!Q502</f>
        <v/>
      </c>
      <c r="S509" s="7">
        <f>'1 prepared data'!R502</f>
        <v/>
      </c>
      <c r="T509" s="7">
        <f>'1 prepared data'!S502</f>
        <v/>
      </c>
      <c r="U509" s="7">
        <f>'1 prepared data'!T502</f>
        <v/>
      </c>
      <c r="V509" s="8">
        <f>$AC$12+D509*$AC$13+E509*$AC$14+F509*$AC$15+G509*$AC$16+H509*$AC$17+I509*$AC$18+J509*$AC$19+K509*$AC$20+L509*$AC$21+M509*$AC$22+N509*$AC$23+O509*$AC$24+P509*$AC$25+Q509*$AC$26+R509*$AC$27+S509*$AC$28+T509*$AC$29+U509*$AC$30</f>
        <v/>
      </c>
      <c r="W509" s="8">
        <f>1/(1+EXP(-V509))</f>
        <v/>
      </c>
      <c r="X509" s="9">
        <f>-IF(C509=1,LN(W509),LN(1-W509))</f>
        <v/>
      </c>
      <c r="Y509" s="10">
        <f>IF(W509&gt;$AC$34,1,0)</f>
        <v/>
      </c>
      <c r="Z509">
        <f>IF(Y509=C509,1,0)</f>
        <v/>
      </c>
    </row>
    <row r="510">
      <c r="A510">
        <f>'1 prepared data'!A503</f>
        <v/>
      </c>
      <c r="B510" s="5">
        <f>'1 prepared data'!U503</f>
        <v/>
      </c>
      <c r="C510">
        <f>'1 prepared data'!B503</f>
        <v/>
      </c>
      <c r="D510" s="7">
        <f>'1 prepared data'!C503</f>
        <v/>
      </c>
      <c r="E510" s="7">
        <f>'1 prepared data'!D503</f>
        <v/>
      </c>
      <c r="F510" s="7">
        <f>'1 prepared data'!E503</f>
        <v/>
      </c>
      <c r="G510" s="7">
        <f>'1 prepared data'!F503</f>
        <v/>
      </c>
      <c r="H510" s="7">
        <f>'1 prepared data'!G503</f>
        <v/>
      </c>
      <c r="I510" s="7">
        <f>'1 prepared data'!H503</f>
        <v/>
      </c>
      <c r="J510" s="7">
        <f>'1 prepared data'!I503</f>
        <v/>
      </c>
      <c r="K510" s="7">
        <f>'1 prepared data'!J503</f>
        <v/>
      </c>
      <c r="L510" s="7">
        <f>'1 prepared data'!K503</f>
        <v/>
      </c>
      <c r="M510" s="7">
        <f>'1 prepared data'!L503</f>
        <v/>
      </c>
      <c r="N510" s="7">
        <f>'1 prepared data'!M503</f>
        <v/>
      </c>
      <c r="O510" s="7">
        <f>'1 prepared data'!N503</f>
        <v/>
      </c>
      <c r="P510" s="7">
        <f>'1 prepared data'!O503</f>
        <v/>
      </c>
      <c r="Q510" s="7">
        <f>'1 prepared data'!P503</f>
        <v/>
      </c>
      <c r="R510" s="7">
        <f>'1 prepared data'!Q503</f>
        <v/>
      </c>
      <c r="S510" s="7">
        <f>'1 prepared data'!R503</f>
        <v/>
      </c>
      <c r="T510" s="7">
        <f>'1 prepared data'!S503</f>
        <v/>
      </c>
      <c r="U510" s="7">
        <f>'1 prepared data'!T503</f>
        <v/>
      </c>
      <c r="V510" s="8">
        <f>$AC$12+D510*$AC$13+E510*$AC$14+F510*$AC$15+G510*$AC$16+H510*$AC$17+I510*$AC$18+J510*$AC$19+K510*$AC$20+L510*$AC$21+M510*$AC$22+N510*$AC$23+O510*$AC$24+P510*$AC$25+Q510*$AC$26+R510*$AC$27+S510*$AC$28+T510*$AC$29+U510*$AC$30</f>
        <v/>
      </c>
      <c r="W510" s="8">
        <f>1/(1+EXP(-V510))</f>
        <v/>
      </c>
      <c r="X510" s="9">
        <f>-IF(C510=1,LN(W510),LN(1-W510))</f>
        <v/>
      </c>
      <c r="Y510" s="10">
        <f>IF(W510&gt;$AC$34,1,0)</f>
        <v/>
      </c>
      <c r="Z510">
        <f>IF(Y510=C510,1,0)</f>
        <v/>
      </c>
    </row>
    <row r="511">
      <c r="A511">
        <f>'1 prepared data'!A504</f>
        <v/>
      </c>
      <c r="B511" s="5">
        <f>'1 prepared data'!U504</f>
        <v/>
      </c>
      <c r="C511">
        <f>'1 prepared data'!B504</f>
        <v/>
      </c>
      <c r="D511" s="7">
        <f>'1 prepared data'!C504</f>
        <v/>
      </c>
      <c r="E511" s="7">
        <f>'1 prepared data'!D504</f>
        <v/>
      </c>
      <c r="F511" s="7">
        <f>'1 prepared data'!E504</f>
        <v/>
      </c>
      <c r="G511" s="7">
        <f>'1 prepared data'!F504</f>
        <v/>
      </c>
      <c r="H511" s="7">
        <f>'1 prepared data'!G504</f>
        <v/>
      </c>
      <c r="I511" s="7">
        <f>'1 prepared data'!H504</f>
        <v/>
      </c>
      <c r="J511" s="7">
        <f>'1 prepared data'!I504</f>
        <v/>
      </c>
      <c r="K511" s="7">
        <f>'1 prepared data'!J504</f>
        <v/>
      </c>
      <c r="L511" s="7">
        <f>'1 prepared data'!K504</f>
        <v/>
      </c>
      <c r="M511" s="7">
        <f>'1 prepared data'!L504</f>
        <v/>
      </c>
      <c r="N511" s="7">
        <f>'1 prepared data'!M504</f>
        <v/>
      </c>
      <c r="O511" s="7">
        <f>'1 prepared data'!N504</f>
        <v/>
      </c>
      <c r="P511" s="7">
        <f>'1 prepared data'!O504</f>
        <v/>
      </c>
      <c r="Q511" s="7">
        <f>'1 prepared data'!P504</f>
        <v/>
      </c>
      <c r="R511" s="7">
        <f>'1 prepared data'!Q504</f>
        <v/>
      </c>
      <c r="S511" s="7">
        <f>'1 prepared data'!R504</f>
        <v/>
      </c>
      <c r="T511" s="7">
        <f>'1 prepared data'!S504</f>
        <v/>
      </c>
      <c r="U511" s="7">
        <f>'1 prepared data'!T504</f>
        <v/>
      </c>
      <c r="V511" s="8">
        <f>$AC$12+D511*$AC$13+E511*$AC$14+F511*$AC$15+G511*$AC$16+H511*$AC$17+I511*$AC$18+J511*$AC$19+K511*$AC$20+L511*$AC$21+M511*$AC$22+N511*$AC$23+O511*$AC$24+P511*$AC$25+Q511*$AC$26+R511*$AC$27+S511*$AC$28+T511*$AC$29+U511*$AC$30</f>
        <v/>
      </c>
      <c r="W511" s="8">
        <f>1/(1+EXP(-V511))</f>
        <v/>
      </c>
      <c r="X511" s="9">
        <f>-IF(C511=1,LN(W511),LN(1-W511))</f>
        <v/>
      </c>
      <c r="Y511" s="10">
        <f>IF(W511&gt;$AC$34,1,0)</f>
        <v/>
      </c>
      <c r="Z511">
        <f>IF(Y511=C511,1,0)</f>
        <v/>
      </c>
    </row>
    <row r="512">
      <c r="A512">
        <f>'1 prepared data'!A505</f>
        <v/>
      </c>
      <c r="B512" s="5">
        <f>'1 prepared data'!U505</f>
        <v/>
      </c>
      <c r="C512">
        <f>'1 prepared data'!B505</f>
        <v/>
      </c>
      <c r="D512" s="7">
        <f>'1 prepared data'!C505</f>
        <v/>
      </c>
      <c r="E512" s="7">
        <f>'1 prepared data'!D505</f>
        <v/>
      </c>
      <c r="F512" s="7">
        <f>'1 prepared data'!E505</f>
        <v/>
      </c>
      <c r="G512" s="7">
        <f>'1 prepared data'!F505</f>
        <v/>
      </c>
      <c r="H512" s="7">
        <f>'1 prepared data'!G505</f>
        <v/>
      </c>
      <c r="I512" s="7">
        <f>'1 prepared data'!H505</f>
        <v/>
      </c>
      <c r="J512" s="7">
        <f>'1 prepared data'!I505</f>
        <v/>
      </c>
      <c r="K512" s="7">
        <f>'1 prepared data'!J505</f>
        <v/>
      </c>
      <c r="L512" s="7">
        <f>'1 prepared data'!K505</f>
        <v/>
      </c>
      <c r="M512" s="7">
        <f>'1 prepared data'!L505</f>
        <v/>
      </c>
      <c r="N512" s="7">
        <f>'1 prepared data'!M505</f>
        <v/>
      </c>
      <c r="O512" s="7">
        <f>'1 prepared data'!N505</f>
        <v/>
      </c>
      <c r="P512" s="7">
        <f>'1 prepared data'!O505</f>
        <v/>
      </c>
      <c r="Q512" s="7">
        <f>'1 prepared data'!P505</f>
        <v/>
      </c>
      <c r="R512" s="7">
        <f>'1 prepared data'!Q505</f>
        <v/>
      </c>
      <c r="S512" s="7">
        <f>'1 prepared data'!R505</f>
        <v/>
      </c>
      <c r="T512" s="7">
        <f>'1 prepared data'!S505</f>
        <v/>
      </c>
      <c r="U512" s="7">
        <f>'1 prepared data'!T505</f>
        <v/>
      </c>
      <c r="V512" s="8">
        <f>$AC$12+D512*$AC$13+E512*$AC$14+F512*$AC$15+G512*$AC$16+H512*$AC$17+I512*$AC$18+J512*$AC$19+K512*$AC$20+L512*$AC$21+M512*$AC$22+N512*$AC$23+O512*$AC$24+P512*$AC$25+Q512*$AC$26+R512*$AC$27+S512*$AC$28+T512*$AC$29+U512*$AC$30</f>
        <v/>
      </c>
      <c r="W512" s="8">
        <f>1/(1+EXP(-V512))</f>
        <v/>
      </c>
      <c r="X512" s="9">
        <f>-IF(C512=1,LN(W512),LN(1-W512))</f>
        <v/>
      </c>
      <c r="Y512" s="10">
        <f>IF(W512&gt;$AC$34,1,0)</f>
        <v/>
      </c>
      <c r="Z512">
        <f>IF(Y512=C512,1,0)</f>
        <v/>
      </c>
    </row>
    <row r="513">
      <c r="A513">
        <f>'1 prepared data'!A506</f>
        <v/>
      </c>
      <c r="B513" s="5">
        <f>'1 prepared data'!U506</f>
        <v/>
      </c>
      <c r="C513">
        <f>'1 prepared data'!B506</f>
        <v/>
      </c>
      <c r="D513" s="7">
        <f>'1 prepared data'!C506</f>
        <v/>
      </c>
      <c r="E513" s="7">
        <f>'1 prepared data'!D506</f>
        <v/>
      </c>
      <c r="F513" s="7">
        <f>'1 prepared data'!E506</f>
        <v/>
      </c>
      <c r="G513" s="7">
        <f>'1 prepared data'!F506</f>
        <v/>
      </c>
      <c r="H513" s="7">
        <f>'1 prepared data'!G506</f>
        <v/>
      </c>
      <c r="I513" s="7">
        <f>'1 prepared data'!H506</f>
        <v/>
      </c>
      <c r="J513" s="7">
        <f>'1 prepared data'!I506</f>
        <v/>
      </c>
      <c r="K513" s="7">
        <f>'1 prepared data'!J506</f>
        <v/>
      </c>
      <c r="L513" s="7">
        <f>'1 prepared data'!K506</f>
        <v/>
      </c>
      <c r="M513" s="7">
        <f>'1 prepared data'!L506</f>
        <v/>
      </c>
      <c r="N513" s="7">
        <f>'1 prepared data'!M506</f>
        <v/>
      </c>
      <c r="O513" s="7">
        <f>'1 prepared data'!N506</f>
        <v/>
      </c>
      <c r="P513" s="7">
        <f>'1 prepared data'!O506</f>
        <v/>
      </c>
      <c r="Q513" s="7">
        <f>'1 prepared data'!P506</f>
        <v/>
      </c>
      <c r="R513" s="7">
        <f>'1 prepared data'!Q506</f>
        <v/>
      </c>
      <c r="S513" s="7">
        <f>'1 prepared data'!R506</f>
        <v/>
      </c>
      <c r="T513" s="7">
        <f>'1 prepared data'!S506</f>
        <v/>
      </c>
      <c r="U513" s="7">
        <f>'1 prepared data'!T506</f>
        <v/>
      </c>
      <c r="V513" s="8">
        <f>$AC$12+D513*$AC$13+E513*$AC$14+F513*$AC$15+G513*$AC$16+H513*$AC$17+I513*$AC$18+J513*$AC$19+K513*$AC$20+L513*$AC$21+M513*$AC$22+N513*$AC$23+O513*$AC$24+P513*$AC$25+Q513*$AC$26+R513*$AC$27+S513*$AC$28+T513*$AC$29+U513*$AC$30</f>
        <v/>
      </c>
      <c r="W513" s="8">
        <f>1/(1+EXP(-V513))</f>
        <v/>
      </c>
      <c r="X513" s="9">
        <f>-IF(C513=1,LN(W513),LN(1-W513))</f>
        <v/>
      </c>
      <c r="Y513" s="10">
        <f>IF(W513&gt;$AC$34,1,0)</f>
        <v/>
      </c>
      <c r="Z513">
        <f>IF(Y513=C513,1,0)</f>
        <v/>
      </c>
    </row>
    <row r="514">
      <c r="A514">
        <f>'1 prepared data'!A507</f>
        <v/>
      </c>
      <c r="B514" s="5">
        <f>'1 prepared data'!U507</f>
        <v/>
      </c>
      <c r="C514">
        <f>'1 prepared data'!B507</f>
        <v/>
      </c>
      <c r="D514" s="7">
        <f>'1 prepared data'!C507</f>
        <v/>
      </c>
      <c r="E514" s="7">
        <f>'1 prepared data'!D507</f>
        <v/>
      </c>
      <c r="F514" s="7">
        <f>'1 prepared data'!E507</f>
        <v/>
      </c>
      <c r="G514" s="7">
        <f>'1 prepared data'!F507</f>
        <v/>
      </c>
      <c r="H514" s="7">
        <f>'1 prepared data'!G507</f>
        <v/>
      </c>
      <c r="I514" s="7">
        <f>'1 prepared data'!H507</f>
        <v/>
      </c>
      <c r="J514" s="7">
        <f>'1 prepared data'!I507</f>
        <v/>
      </c>
      <c r="K514" s="7">
        <f>'1 prepared data'!J507</f>
        <v/>
      </c>
      <c r="L514" s="7">
        <f>'1 prepared data'!K507</f>
        <v/>
      </c>
      <c r="M514" s="7">
        <f>'1 prepared data'!L507</f>
        <v/>
      </c>
      <c r="N514" s="7">
        <f>'1 prepared data'!M507</f>
        <v/>
      </c>
      <c r="O514" s="7">
        <f>'1 prepared data'!N507</f>
        <v/>
      </c>
      <c r="P514" s="7">
        <f>'1 prepared data'!O507</f>
        <v/>
      </c>
      <c r="Q514" s="7">
        <f>'1 prepared data'!P507</f>
        <v/>
      </c>
      <c r="R514" s="7">
        <f>'1 prepared data'!Q507</f>
        <v/>
      </c>
      <c r="S514" s="7">
        <f>'1 prepared data'!R507</f>
        <v/>
      </c>
      <c r="T514" s="7">
        <f>'1 prepared data'!S507</f>
        <v/>
      </c>
      <c r="U514" s="7">
        <f>'1 prepared data'!T507</f>
        <v/>
      </c>
      <c r="V514" s="8">
        <f>$AC$12+D514*$AC$13+E514*$AC$14+F514*$AC$15+G514*$AC$16+H514*$AC$17+I514*$AC$18+J514*$AC$19+K514*$AC$20+L514*$AC$21+M514*$AC$22+N514*$AC$23+O514*$AC$24+P514*$AC$25+Q514*$AC$26+R514*$AC$27+S514*$AC$28+T514*$AC$29+U514*$AC$30</f>
        <v/>
      </c>
      <c r="W514" s="8">
        <f>1/(1+EXP(-V514))</f>
        <v/>
      </c>
      <c r="X514" s="9">
        <f>-IF(C514=1,LN(W514),LN(1-W514))</f>
        <v/>
      </c>
      <c r="Y514" s="10">
        <f>IF(W514&gt;$AC$34,1,0)</f>
        <v/>
      </c>
      <c r="Z514">
        <f>IF(Y514=C514,1,0)</f>
        <v/>
      </c>
    </row>
    <row r="515">
      <c r="A515">
        <f>'1 prepared data'!A508</f>
        <v/>
      </c>
      <c r="B515" s="5">
        <f>'1 prepared data'!U508</f>
        <v/>
      </c>
      <c r="C515">
        <f>'1 prepared data'!B508</f>
        <v/>
      </c>
      <c r="D515" s="7">
        <f>'1 prepared data'!C508</f>
        <v/>
      </c>
      <c r="E515" s="7">
        <f>'1 prepared data'!D508</f>
        <v/>
      </c>
      <c r="F515" s="7">
        <f>'1 prepared data'!E508</f>
        <v/>
      </c>
      <c r="G515" s="7">
        <f>'1 prepared data'!F508</f>
        <v/>
      </c>
      <c r="H515" s="7">
        <f>'1 prepared data'!G508</f>
        <v/>
      </c>
      <c r="I515" s="7">
        <f>'1 prepared data'!H508</f>
        <v/>
      </c>
      <c r="J515" s="7">
        <f>'1 prepared data'!I508</f>
        <v/>
      </c>
      <c r="K515" s="7">
        <f>'1 prepared data'!J508</f>
        <v/>
      </c>
      <c r="L515" s="7">
        <f>'1 prepared data'!K508</f>
        <v/>
      </c>
      <c r="M515" s="7">
        <f>'1 prepared data'!L508</f>
        <v/>
      </c>
      <c r="N515" s="7">
        <f>'1 prepared data'!M508</f>
        <v/>
      </c>
      <c r="O515" s="7">
        <f>'1 prepared data'!N508</f>
        <v/>
      </c>
      <c r="P515" s="7">
        <f>'1 prepared data'!O508</f>
        <v/>
      </c>
      <c r="Q515" s="7">
        <f>'1 prepared data'!P508</f>
        <v/>
      </c>
      <c r="R515" s="7">
        <f>'1 prepared data'!Q508</f>
        <v/>
      </c>
      <c r="S515" s="7">
        <f>'1 prepared data'!R508</f>
        <v/>
      </c>
      <c r="T515" s="7">
        <f>'1 prepared data'!S508</f>
        <v/>
      </c>
      <c r="U515" s="7">
        <f>'1 prepared data'!T508</f>
        <v/>
      </c>
      <c r="V515" s="8">
        <f>$AC$12+D515*$AC$13+E515*$AC$14+F515*$AC$15+G515*$AC$16+H515*$AC$17+I515*$AC$18+J515*$AC$19+K515*$AC$20+L515*$AC$21+M515*$AC$22+N515*$AC$23+O515*$AC$24+P515*$AC$25+Q515*$AC$26+R515*$AC$27+S515*$AC$28+T515*$AC$29+U515*$AC$30</f>
        <v/>
      </c>
      <c r="W515" s="8">
        <f>1/(1+EXP(-V515))</f>
        <v/>
      </c>
      <c r="X515" s="9">
        <f>-IF(C515=1,LN(W515),LN(1-W515))</f>
        <v/>
      </c>
      <c r="Y515" s="10">
        <f>IF(W515&gt;$AC$34,1,0)</f>
        <v/>
      </c>
      <c r="Z515">
        <f>IF(Y515=C515,1,0)</f>
        <v/>
      </c>
    </row>
    <row r="516">
      <c r="A516">
        <f>'1 prepared data'!A509</f>
        <v/>
      </c>
      <c r="B516" s="5">
        <f>'1 prepared data'!U509</f>
        <v/>
      </c>
      <c r="C516">
        <f>'1 prepared data'!B509</f>
        <v/>
      </c>
      <c r="D516" s="7">
        <f>'1 prepared data'!C509</f>
        <v/>
      </c>
      <c r="E516" s="7">
        <f>'1 prepared data'!D509</f>
        <v/>
      </c>
      <c r="F516" s="7">
        <f>'1 prepared data'!E509</f>
        <v/>
      </c>
      <c r="G516" s="7">
        <f>'1 prepared data'!F509</f>
        <v/>
      </c>
      <c r="H516" s="7">
        <f>'1 prepared data'!G509</f>
        <v/>
      </c>
      <c r="I516" s="7">
        <f>'1 prepared data'!H509</f>
        <v/>
      </c>
      <c r="J516" s="7">
        <f>'1 prepared data'!I509</f>
        <v/>
      </c>
      <c r="K516" s="7">
        <f>'1 prepared data'!J509</f>
        <v/>
      </c>
      <c r="L516" s="7">
        <f>'1 prepared data'!K509</f>
        <v/>
      </c>
      <c r="M516" s="7">
        <f>'1 prepared data'!L509</f>
        <v/>
      </c>
      <c r="N516" s="7">
        <f>'1 prepared data'!M509</f>
        <v/>
      </c>
      <c r="O516" s="7">
        <f>'1 prepared data'!N509</f>
        <v/>
      </c>
      <c r="P516" s="7">
        <f>'1 prepared data'!O509</f>
        <v/>
      </c>
      <c r="Q516" s="7">
        <f>'1 prepared data'!P509</f>
        <v/>
      </c>
      <c r="R516" s="7">
        <f>'1 prepared data'!Q509</f>
        <v/>
      </c>
      <c r="S516" s="7">
        <f>'1 prepared data'!R509</f>
        <v/>
      </c>
      <c r="T516" s="7">
        <f>'1 prepared data'!S509</f>
        <v/>
      </c>
      <c r="U516" s="7">
        <f>'1 prepared data'!T509</f>
        <v/>
      </c>
      <c r="V516" s="8">
        <f>$AC$12+D516*$AC$13+E516*$AC$14+F516*$AC$15+G516*$AC$16+H516*$AC$17+I516*$AC$18+J516*$AC$19+K516*$AC$20+L516*$AC$21+M516*$AC$22+N516*$AC$23+O516*$AC$24+P516*$AC$25+Q516*$AC$26+R516*$AC$27+S516*$AC$28+T516*$AC$29+U516*$AC$30</f>
        <v/>
      </c>
      <c r="W516" s="8">
        <f>1/(1+EXP(-V516))</f>
        <v/>
      </c>
      <c r="X516" s="9">
        <f>-IF(C516=1,LN(W516),LN(1-W516))</f>
        <v/>
      </c>
      <c r="Y516" s="10">
        <f>IF(W516&gt;$AC$34,1,0)</f>
        <v/>
      </c>
      <c r="Z516">
        <f>IF(Y516=C516,1,0)</f>
        <v/>
      </c>
    </row>
    <row r="517">
      <c r="A517">
        <f>'1 prepared data'!A510</f>
        <v/>
      </c>
      <c r="B517" s="5">
        <f>'1 prepared data'!U510</f>
        <v/>
      </c>
      <c r="C517">
        <f>'1 prepared data'!B510</f>
        <v/>
      </c>
      <c r="D517" s="7">
        <f>'1 prepared data'!C510</f>
        <v/>
      </c>
      <c r="E517" s="7">
        <f>'1 prepared data'!D510</f>
        <v/>
      </c>
      <c r="F517" s="7">
        <f>'1 prepared data'!E510</f>
        <v/>
      </c>
      <c r="G517" s="7">
        <f>'1 prepared data'!F510</f>
        <v/>
      </c>
      <c r="H517" s="7">
        <f>'1 prepared data'!G510</f>
        <v/>
      </c>
      <c r="I517" s="7">
        <f>'1 prepared data'!H510</f>
        <v/>
      </c>
      <c r="J517" s="7">
        <f>'1 prepared data'!I510</f>
        <v/>
      </c>
      <c r="K517" s="7">
        <f>'1 prepared data'!J510</f>
        <v/>
      </c>
      <c r="L517" s="7">
        <f>'1 prepared data'!K510</f>
        <v/>
      </c>
      <c r="M517" s="7">
        <f>'1 prepared data'!L510</f>
        <v/>
      </c>
      <c r="N517" s="7">
        <f>'1 prepared data'!M510</f>
        <v/>
      </c>
      <c r="O517" s="7">
        <f>'1 prepared data'!N510</f>
        <v/>
      </c>
      <c r="P517" s="7">
        <f>'1 prepared data'!O510</f>
        <v/>
      </c>
      <c r="Q517" s="7">
        <f>'1 prepared data'!P510</f>
        <v/>
      </c>
      <c r="R517" s="7">
        <f>'1 prepared data'!Q510</f>
        <v/>
      </c>
      <c r="S517" s="7">
        <f>'1 prepared data'!R510</f>
        <v/>
      </c>
      <c r="T517" s="7">
        <f>'1 prepared data'!S510</f>
        <v/>
      </c>
      <c r="U517" s="7">
        <f>'1 prepared data'!T510</f>
        <v/>
      </c>
      <c r="V517" s="8">
        <f>$AC$12+D517*$AC$13+E517*$AC$14+F517*$AC$15+G517*$AC$16+H517*$AC$17+I517*$AC$18+J517*$AC$19+K517*$AC$20+L517*$AC$21+M517*$AC$22+N517*$AC$23+O517*$AC$24+P517*$AC$25+Q517*$AC$26+R517*$AC$27+S517*$AC$28+T517*$AC$29+U517*$AC$30</f>
        <v/>
      </c>
      <c r="W517" s="8">
        <f>1/(1+EXP(-V517))</f>
        <v/>
      </c>
      <c r="X517" s="9">
        <f>-IF(C517=1,LN(W517),LN(1-W517))</f>
        <v/>
      </c>
      <c r="Y517" s="10">
        <f>IF(W517&gt;$AC$34,1,0)</f>
        <v/>
      </c>
      <c r="Z517">
        <f>IF(Y517=C517,1,0)</f>
        <v/>
      </c>
    </row>
    <row r="518">
      <c r="A518">
        <f>'1 prepared data'!A511</f>
        <v/>
      </c>
      <c r="B518" s="5">
        <f>'1 prepared data'!U511</f>
        <v/>
      </c>
      <c r="C518">
        <f>'1 prepared data'!B511</f>
        <v/>
      </c>
      <c r="D518" s="7">
        <f>'1 prepared data'!C511</f>
        <v/>
      </c>
      <c r="E518" s="7">
        <f>'1 prepared data'!D511</f>
        <v/>
      </c>
      <c r="F518" s="7">
        <f>'1 prepared data'!E511</f>
        <v/>
      </c>
      <c r="G518" s="7">
        <f>'1 prepared data'!F511</f>
        <v/>
      </c>
      <c r="H518" s="7">
        <f>'1 prepared data'!G511</f>
        <v/>
      </c>
      <c r="I518" s="7">
        <f>'1 prepared data'!H511</f>
        <v/>
      </c>
      <c r="J518" s="7">
        <f>'1 prepared data'!I511</f>
        <v/>
      </c>
      <c r="K518" s="7">
        <f>'1 prepared data'!J511</f>
        <v/>
      </c>
      <c r="L518" s="7">
        <f>'1 prepared data'!K511</f>
        <v/>
      </c>
      <c r="M518" s="7">
        <f>'1 prepared data'!L511</f>
        <v/>
      </c>
      <c r="N518" s="7">
        <f>'1 prepared data'!M511</f>
        <v/>
      </c>
      <c r="O518" s="7">
        <f>'1 prepared data'!N511</f>
        <v/>
      </c>
      <c r="P518" s="7">
        <f>'1 prepared data'!O511</f>
        <v/>
      </c>
      <c r="Q518" s="7">
        <f>'1 prepared data'!P511</f>
        <v/>
      </c>
      <c r="R518" s="7">
        <f>'1 prepared data'!Q511</f>
        <v/>
      </c>
      <c r="S518" s="7">
        <f>'1 prepared data'!R511</f>
        <v/>
      </c>
      <c r="T518" s="7">
        <f>'1 prepared data'!S511</f>
        <v/>
      </c>
      <c r="U518" s="7">
        <f>'1 prepared data'!T511</f>
        <v/>
      </c>
      <c r="V518" s="8">
        <f>$AC$12+D518*$AC$13+E518*$AC$14+F518*$AC$15+G518*$AC$16+H518*$AC$17+I518*$AC$18+J518*$AC$19+K518*$AC$20+L518*$AC$21+M518*$AC$22+N518*$AC$23+O518*$AC$24+P518*$AC$25+Q518*$AC$26+R518*$AC$27+S518*$AC$28+T518*$AC$29+U518*$AC$30</f>
        <v/>
      </c>
      <c r="W518" s="8">
        <f>1/(1+EXP(-V518))</f>
        <v/>
      </c>
      <c r="X518" s="9">
        <f>-IF(C518=1,LN(W518),LN(1-W518))</f>
        <v/>
      </c>
      <c r="Y518" s="10">
        <f>IF(W518&gt;$AC$34,1,0)</f>
        <v/>
      </c>
      <c r="Z518">
        <f>IF(Y518=C518,1,0)</f>
        <v/>
      </c>
    </row>
    <row r="519">
      <c r="A519">
        <f>'1 prepared data'!A512</f>
        <v/>
      </c>
      <c r="B519" s="5">
        <f>'1 prepared data'!U512</f>
        <v/>
      </c>
      <c r="C519">
        <f>'1 prepared data'!B512</f>
        <v/>
      </c>
      <c r="D519" s="7">
        <f>'1 prepared data'!C512</f>
        <v/>
      </c>
      <c r="E519" s="7">
        <f>'1 prepared data'!D512</f>
        <v/>
      </c>
      <c r="F519" s="7">
        <f>'1 prepared data'!E512</f>
        <v/>
      </c>
      <c r="G519" s="7">
        <f>'1 prepared data'!F512</f>
        <v/>
      </c>
      <c r="H519" s="7">
        <f>'1 prepared data'!G512</f>
        <v/>
      </c>
      <c r="I519" s="7">
        <f>'1 prepared data'!H512</f>
        <v/>
      </c>
      <c r="J519" s="7">
        <f>'1 prepared data'!I512</f>
        <v/>
      </c>
      <c r="K519" s="7">
        <f>'1 prepared data'!J512</f>
        <v/>
      </c>
      <c r="L519" s="7">
        <f>'1 prepared data'!K512</f>
        <v/>
      </c>
      <c r="M519" s="7">
        <f>'1 prepared data'!L512</f>
        <v/>
      </c>
      <c r="N519" s="7">
        <f>'1 prepared data'!M512</f>
        <v/>
      </c>
      <c r="O519" s="7">
        <f>'1 prepared data'!N512</f>
        <v/>
      </c>
      <c r="P519" s="7">
        <f>'1 prepared data'!O512</f>
        <v/>
      </c>
      <c r="Q519" s="7">
        <f>'1 prepared data'!P512</f>
        <v/>
      </c>
      <c r="R519" s="7">
        <f>'1 prepared data'!Q512</f>
        <v/>
      </c>
      <c r="S519" s="7">
        <f>'1 prepared data'!R512</f>
        <v/>
      </c>
      <c r="T519" s="7">
        <f>'1 prepared data'!S512</f>
        <v/>
      </c>
      <c r="U519" s="7">
        <f>'1 prepared data'!T512</f>
        <v/>
      </c>
      <c r="V519" s="8">
        <f>$AC$12+D519*$AC$13+E519*$AC$14+F519*$AC$15+G519*$AC$16+H519*$AC$17+I519*$AC$18+J519*$AC$19+K519*$AC$20+L519*$AC$21+M519*$AC$22+N519*$AC$23+O519*$AC$24+P519*$AC$25+Q519*$AC$26+R519*$AC$27+S519*$AC$28+T519*$AC$29+U519*$AC$30</f>
        <v/>
      </c>
      <c r="W519" s="8">
        <f>1/(1+EXP(-V519))</f>
        <v/>
      </c>
      <c r="X519" s="9">
        <f>-IF(C519=1,LN(W519),LN(1-W519))</f>
        <v/>
      </c>
      <c r="Y519" s="10">
        <f>IF(W519&gt;$AC$34,1,0)</f>
        <v/>
      </c>
      <c r="Z519">
        <f>IF(Y519=C519,1,0)</f>
        <v/>
      </c>
    </row>
    <row r="520">
      <c r="A520">
        <f>'1 prepared data'!A513</f>
        <v/>
      </c>
      <c r="B520" s="5">
        <f>'1 prepared data'!U513</f>
        <v/>
      </c>
      <c r="C520">
        <f>'1 prepared data'!B513</f>
        <v/>
      </c>
      <c r="D520" s="7">
        <f>'1 prepared data'!C513</f>
        <v/>
      </c>
      <c r="E520" s="7">
        <f>'1 prepared data'!D513</f>
        <v/>
      </c>
      <c r="F520" s="7">
        <f>'1 prepared data'!E513</f>
        <v/>
      </c>
      <c r="G520" s="7">
        <f>'1 prepared data'!F513</f>
        <v/>
      </c>
      <c r="H520" s="7">
        <f>'1 prepared data'!G513</f>
        <v/>
      </c>
      <c r="I520" s="7">
        <f>'1 prepared data'!H513</f>
        <v/>
      </c>
      <c r="J520" s="7">
        <f>'1 prepared data'!I513</f>
        <v/>
      </c>
      <c r="K520" s="7">
        <f>'1 prepared data'!J513</f>
        <v/>
      </c>
      <c r="L520" s="7">
        <f>'1 prepared data'!K513</f>
        <v/>
      </c>
      <c r="M520" s="7">
        <f>'1 prepared data'!L513</f>
        <v/>
      </c>
      <c r="N520" s="7">
        <f>'1 prepared data'!M513</f>
        <v/>
      </c>
      <c r="O520" s="7">
        <f>'1 prepared data'!N513</f>
        <v/>
      </c>
      <c r="P520" s="7">
        <f>'1 prepared data'!O513</f>
        <v/>
      </c>
      <c r="Q520" s="7">
        <f>'1 prepared data'!P513</f>
        <v/>
      </c>
      <c r="R520" s="7">
        <f>'1 prepared data'!Q513</f>
        <v/>
      </c>
      <c r="S520" s="7">
        <f>'1 prepared data'!R513</f>
        <v/>
      </c>
      <c r="T520" s="7">
        <f>'1 prepared data'!S513</f>
        <v/>
      </c>
      <c r="U520" s="7">
        <f>'1 prepared data'!T513</f>
        <v/>
      </c>
      <c r="V520" s="8">
        <f>$AC$12+D520*$AC$13+E520*$AC$14+F520*$AC$15+G520*$AC$16+H520*$AC$17+I520*$AC$18+J520*$AC$19+K520*$AC$20+L520*$AC$21+M520*$AC$22+N520*$AC$23+O520*$AC$24+P520*$AC$25+Q520*$AC$26+R520*$AC$27+S520*$AC$28+T520*$AC$29+U520*$AC$30</f>
        <v/>
      </c>
      <c r="W520" s="8">
        <f>1/(1+EXP(-V520))</f>
        <v/>
      </c>
      <c r="X520" s="9">
        <f>-IF(C520=1,LN(W520),LN(1-W520))</f>
        <v/>
      </c>
      <c r="Y520" s="10">
        <f>IF(W520&gt;$AC$34,1,0)</f>
        <v/>
      </c>
      <c r="Z520">
        <f>IF(Y520=C520,1,0)</f>
        <v/>
      </c>
    </row>
    <row r="521">
      <c r="A521">
        <f>'1 prepared data'!A514</f>
        <v/>
      </c>
      <c r="B521" s="5">
        <f>'1 prepared data'!U514</f>
        <v/>
      </c>
      <c r="C521">
        <f>'1 prepared data'!B514</f>
        <v/>
      </c>
      <c r="D521" s="7">
        <f>'1 prepared data'!C514</f>
        <v/>
      </c>
      <c r="E521" s="7">
        <f>'1 prepared data'!D514</f>
        <v/>
      </c>
      <c r="F521" s="7">
        <f>'1 prepared data'!E514</f>
        <v/>
      </c>
      <c r="G521" s="7">
        <f>'1 prepared data'!F514</f>
        <v/>
      </c>
      <c r="H521" s="7">
        <f>'1 prepared data'!G514</f>
        <v/>
      </c>
      <c r="I521" s="7">
        <f>'1 prepared data'!H514</f>
        <v/>
      </c>
      <c r="J521" s="7">
        <f>'1 prepared data'!I514</f>
        <v/>
      </c>
      <c r="K521" s="7">
        <f>'1 prepared data'!J514</f>
        <v/>
      </c>
      <c r="L521" s="7">
        <f>'1 prepared data'!K514</f>
        <v/>
      </c>
      <c r="M521" s="7">
        <f>'1 prepared data'!L514</f>
        <v/>
      </c>
      <c r="N521" s="7">
        <f>'1 prepared data'!M514</f>
        <v/>
      </c>
      <c r="O521" s="7">
        <f>'1 prepared data'!N514</f>
        <v/>
      </c>
      <c r="P521" s="7">
        <f>'1 prepared data'!O514</f>
        <v/>
      </c>
      <c r="Q521" s="7">
        <f>'1 prepared data'!P514</f>
        <v/>
      </c>
      <c r="R521" s="7">
        <f>'1 prepared data'!Q514</f>
        <v/>
      </c>
      <c r="S521" s="7">
        <f>'1 prepared data'!R514</f>
        <v/>
      </c>
      <c r="T521" s="7">
        <f>'1 prepared data'!S514</f>
        <v/>
      </c>
      <c r="U521" s="7">
        <f>'1 prepared data'!T514</f>
        <v/>
      </c>
      <c r="V521" s="8">
        <f>$AC$12+D521*$AC$13+E521*$AC$14+F521*$AC$15+G521*$AC$16+H521*$AC$17+I521*$AC$18+J521*$AC$19+K521*$AC$20+L521*$AC$21+M521*$AC$22+N521*$AC$23+O521*$AC$24+P521*$AC$25+Q521*$AC$26+R521*$AC$27+S521*$AC$28+T521*$AC$29+U521*$AC$30</f>
        <v/>
      </c>
      <c r="W521" s="8">
        <f>1/(1+EXP(-V521))</f>
        <v/>
      </c>
      <c r="X521" s="9">
        <f>-IF(C521=1,LN(W521),LN(1-W521))</f>
        <v/>
      </c>
      <c r="Y521" s="10">
        <f>IF(W521&gt;$AC$34,1,0)</f>
        <v/>
      </c>
      <c r="Z521">
        <f>IF(Y521=C521,1,0)</f>
        <v/>
      </c>
    </row>
    <row r="522">
      <c r="A522">
        <f>'1 prepared data'!A515</f>
        <v/>
      </c>
      <c r="B522" s="5">
        <f>'1 prepared data'!U515</f>
        <v/>
      </c>
      <c r="C522">
        <f>'1 prepared data'!B515</f>
        <v/>
      </c>
      <c r="D522" s="7">
        <f>'1 prepared data'!C515</f>
        <v/>
      </c>
      <c r="E522" s="7">
        <f>'1 prepared data'!D515</f>
        <v/>
      </c>
      <c r="F522" s="7">
        <f>'1 prepared data'!E515</f>
        <v/>
      </c>
      <c r="G522" s="7">
        <f>'1 prepared data'!F515</f>
        <v/>
      </c>
      <c r="H522" s="7">
        <f>'1 prepared data'!G515</f>
        <v/>
      </c>
      <c r="I522" s="7">
        <f>'1 prepared data'!H515</f>
        <v/>
      </c>
      <c r="J522" s="7">
        <f>'1 prepared data'!I515</f>
        <v/>
      </c>
      <c r="K522" s="7">
        <f>'1 prepared data'!J515</f>
        <v/>
      </c>
      <c r="L522" s="7">
        <f>'1 prepared data'!K515</f>
        <v/>
      </c>
      <c r="M522" s="7">
        <f>'1 prepared data'!L515</f>
        <v/>
      </c>
      <c r="N522" s="7">
        <f>'1 prepared data'!M515</f>
        <v/>
      </c>
      <c r="O522" s="7">
        <f>'1 prepared data'!N515</f>
        <v/>
      </c>
      <c r="P522" s="7">
        <f>'1 prepared data'!O515</f>
        <v/>
      </c>
      <c r="Q522" s="7">
        <f>'1 prepared data'!P515</f>
        <v/>
      </c>
      <c r="R522" s="7">
        <f>'1 prepared data'!Q515</f>
        <v/>
      </c>
      <c r="S522" s="7">
        <f>'1 prepared data'!R515</f>
        <v/>
      </c>
      <c r="T522" s="7">
        <f>'1 prepared data'!S515</f>
        <v/>
      </c>
      <c r="U522" s="7">
        <f>'1 prepared data'!T515</f>
        <v/>
      </c>
      <c r="V522" s="8">
        <f>$AC$12+D522*$AC$13+E522*$AC$14+F522*$AC$15+G522*$AC$16+H522*$AC$17+I522*$AC$18+J522*$AC$19+K522*$AC$20+L522*$AC$21+M522*$AC$22+N522*$AC$23+O522*$AC$24+P522*$AC$25+Q522*$AC$26+R522*$AC$27+S522*$AC$28+T522*$AC$29+U522*$AC$30</f>
        <v/>
      </c>
      <c r="W522" s="8">
        <f>1/(1+EXP(-V522))</f>
        <v/>
      </c>
      <c r="X522" s="9">
        <f>-IF(C522=1,LN(W522),LN(1-W522))</f>
        <v/>
      </c>
      <c r="Y522" s="10">
        <f>IF(W522&gt;$AC$34,1,0)</f>
        <v/>
      </c>
      <c r="Z522">
        <f>IF(Y522=C522,1,0)</f>
        <v/>
      </c>
    </row>
    <row r="523">
      <c r="A523">
        <f>'1 prepared data'!A516</f>
        <v/>
      </c>
      <c r="B523" s="5">
        <f>'1 prepared data'!U516</f>
        <v/>
      </c>
      <c r="C523">
        <f>'1 prepared data'!B516</f>
        <v/>
      </c>
      <c r="D523" s="7">
        <f>'1 prepared data'!C516</f>
        <v/>
      </c>
      <c r="E523" s="7">
        <f>'1 prepared data'!D516</f>
        <v/>
      </c>
      <c r="F523" s="7">
        <f>'1 prepared data'!E516</f>
        <v/>
      </c>
      <c r="G523" s="7">
        <f>'1 prepared data'!F516</f>
        <v/>
      </c>
      <c r="H523" s="7">
        <f>'1 prepared data'!G516</f>
        <v/>
      </c>
      <c r="I523" s="7">
        <f>'1 prepared data'!H516</f>
        <v/>
      </c>
      <c r="J523" s="7">
        <f>'1 prepared data'!I516</f>
        <v/>
      </c>
      <c r="K523" s="7">
        <f>'1 prepared data'!J516</f>
        <v/>
      </c>
      <c r="L523" s="7">
        <f>'1 prepared data'!K516</f>
        <v/>
      </c>
      <c r="M523" s="7">
        <f>'1 prepared data'!L516</f>
        <v/>
      </c>
      <c r="N523" s="7">
        <f>'1 prepared data'!M516</f>
        <v/>
      </c>
      <c r="O523" s="7">
        <f>'1 prepared data'!N516</f>
        <v/>
      </c>
      <c r="P523" s="7">
        <f>'1 prepared data'!O516</f>
        <v/>
      </c>
      <c r="Q523" s="7">
        <f>'1 prepared data'!P516</f>
        <v/>
      </c>
      <c r="R523" s="7">
        <f>'1 prepared data'!Q516</f>
        <v/>
      </c>
      <c r="S523" s="7">
        <f>'1 prepared data'!R516</f>
        <v/>
      </c>
      <c r="T523" s="7">
        <f>'1 prepared data'!S516</f>
        <v/>
      </c>
      <c r="U523" s="7">
        <f>'1 prepared data'!T516</f>
        <v/>
      </c>
      <c r="V523" s="8">
        <f>$AC$12+D523*$AC$13+E523*$AC$14+F523*$AC$15+G523*$AC$16+H523*$AC$17+I523*$AC$18+J523*$AC$19+K523*$AC$20+L523*$AC$21+M523*$AC$22+N523*$AC$23+O523*$AC$24+P523*$AC$25+Q523*$AC$26+R523*$AC$27+S523*$AC$28+T523*$AC$29+U523*$AC$30</f>
        <v/>
      </c>
      <c r="W523" s="8">
        <f>1/(1+EXP(-V523))</f>
        <v/>
      </c>
      <c r="X523" s="9">
        <f>-IF(C523=1,LN(W523),LN(1-W523))</f>
        <v/>
      </c>
      <c r="Y523" s="10">
        <f>IF(W523&gt;$AC$34,1,0)</f>
        <v/>
      </c>
      <c r="Z523">
        <f>IF(Y523=C523,1,0)</f>
        <v/>
      </c>
    </row>
    <row r="524">
      <c r="A524">
        <f>'1 prepared data'!A517</f>
        <v/>
      </c>
      <c r="B524" s="5">
        <f>'1 prepared data'!U517</f>
        <v/>
      </c>
      <c r="C524">
        <f>'1 prepared data'!B517</f>
        <v/>
      </c>
      <c r="D524" s="7">
        <f>'1 prepared data'!C517</f>
        <v/>
      </c>
      <c r="E524" s="7">
        <f>'1 prepared data'!D517</f>
        <v/>
      </c>
      <c r="F524" s="7">
        <f>'1 prepared data'!E517</f>
        <v/>
      </c>
      <c r="G524" s="7">
        <f>'1 prepared data'!F517</f>
        <v/>
      </c>
      <c r="H524" s="7">
        <f>'1 prepared data'!G517</f>
        <v/>
      </c>
      <c r="I524" s="7">
        <f>'1 prepared data'!H517</f>
        <v/>
      </c>
      <c r="J524" s="7">
        <f>'1 prepared data'!I517</f>
        <v/>
      </c>
      <c r="K524" s="7">
        <f>'1 prepared data'!J517</f>
        <v/>
      </c>
      <c r="L524" s="7">
        <f>'1 prepared data'!K517</f>
        <v/>
      </c>
      <c r="M524" s="7">
        <f>'1 prepared data'!L517</f>
        <v/>
      </c>
      <c r="N524" s="7">
        <f>'1 prepared data'!M517</f>
        <v/>
      </c>
      <c r="O524" s="7">
        <f>'1 prepared data'!N517</f>
        <v/>
      </c>
      <c r="P524" s="7">
        <f>'1 prepared data'!O517</f>
        <v/>
      </c>
      <c r="Q524" s="7">
        <f>'1 prepared data'!P517</f>
        <v/>
      </c>
      <c r="R524" s="7">
        <f>'1 prepared data'!Q517</f>
        <v/>
      </c>
      <c r="S524" s="7">
        <f>'1 prepared data'!R517</f>
        <v/>
      </c>
      <c r="T524" s="7">
        <f>'1 prepared data'!S517</f>
        <v/>
      </c>
      <c r="U524" s="7">
        <f>'1 prepared data'!T517</f>
        <v/>
      </c>
      <c r="V524" s="8">
        <f>$AC$12+D524*$AC$13+E524*$AC$14+F524*$AC$15+G524*$AC$16+H524*$AC$17+I524*$AC$18+J524*$AC$19+K524*$AC$20+L524*$AC$21+M524*$AC$22+N524*$AC$23+O524*$AC$24+P524*$AC$25+Q524*$AC$26+R524*$AC$27+S524*$AC$28+T524*$AC$29+U524*$AC$30</f>
        <v/>
      </c>
      <c r="W524" s="8">
        <f>1/(1+EXP(-V524))</f>
        <v/>
      </c>
      <c r="X524" s="9">
        <f>-IF(C524=1,LN(W524),LN(1-W524))</f>
        <v/>
      </c>
      <c r="Y524" s="10">
        <f>IF(W524&gt;$AC$34,1,0)</f>
        <v/>
      </c>
      <c r="Z524">
        <f>IF(Y524=C524,1,0)</f>
        <v/>
      </c>
    </row>
    <row r="525">
      <c r="A525">
        <f>'1 prepared data'!A518</f>
        <v/>
      </c>
      <c r="B525" s="5">
        <f>'1 prepared data'!U518</f>
        <v/>
      </c>
      <c r="C525">
        <f>'1 prepared data'!B518</f>
        <v/>
      </c>
      <c r="D525" s="7">
        <f>'1 prepared data'!C518</f>
        <v/>
      </c>
      <c r="E525" s="7">
        <f>'1 prepared data'!D518</f>
        <v/>
      </c>
      <c r="F525" s="7">
        <f>'1 prepared data'!E518</f>
        <v/>
      </c>
      <c r="G525" s="7">
        <f>'1 prepared data'!F518</f>
        <v/>
      </c>
      <c r="H525" s="7">
        <f>'1 prepared data'!G518</f>
        <v/>
      </c>
      <c r="I525" s="7">
        <f>'1 prepared data'!H518</f>
        <v/>
      </c>
      <c r="J525" s="7">
        <f>'1 prepared data'!I518</f>
        <v/>
      </c>
      <c r="K525" s="7">
        <f>'1 prepared data'!J518</f>
        <v/>
      </c>
      <c r="L525" s="7">
        <f>'1 prepared data'!K518</f>
        <v/>
      </c>
      <c r="M525" s="7">
        <f>'1 prepared data'!L518</f>
        <v/>
      </c>
      <c r="N525" s="7">
        <f>'1 prepared data'!M518</f>
        <v/>
      </c>
      <c r="O525" s="7">
        <f>'1 prepared data'!N518</f>
        <v/>
      </c>
      <c r="P525" s="7">
        <f>'1 prepared data'!O518</f>
        <v/>
      </c>
      <c r="Q525" s="7">
        <f>'1 prepared data'!P518</f>
        <v/>
      </c>
      <c r="R525" s="7">
        <f>'1 prepared data'!Q518</f>
        <v/>
      </c>
      <c r="S525" s="7">
        <f>'1 prepared data'!R518</f>
        <v/>
      </c>
      <c r="T525" s="7">
        <f>'1 prepared data'!S518</f>
        <v/>
      </c>
      <c r="U525" s="7">
        <f>'1 prepared data'!T518</f>
        <v/>
      </c>
      <c r="V525" s="8">
        <f>$AC$12+D525*$AC$13+E525*$AC$14+F525*$AC$15+G525*$AC$16+H525*$AC$17+I525*$AC$18+J525*$AC$19+K525*$AC$20+L525*$AC$21+M525*$AC$22+N525*$AC$23+O525*$AC$24+P525*$AC$25+Q525*$AC$26+R525*$AC$27+S525*$AC$28+T525*$AC$29+U525*$AC$30</f>
        <v/>
      </c>
      <c r="W525" s="8">
        <f>1/(1+EXP(-V525))</f>
        <v/>
      </c>
      <c r="X525" s="9">
        <f>-IF(C525=1,LN(W525),LN(1-W525))</f>
        <v/>
      </c>
      <c r="Y525" s="10">
        <f>IF(W525&gt;$AC$34,1,0)</f>
        <v/>
      </c>
      <c r="Z525">
        <f>IF(Y525=C525,1,0)</f>
        <v/>
      </c>
    </row>
    <row r="526">
      <c r="A526">
        <f>'1 prepared data'!A519</f>
        <v/>
      </c>
      <c r="B526" s="5">
        <f>'1 prepared data'!U519</f>
        <v/>
      </c>
      <c r="C526">
        <f>'1 prepared data'!B519</f>
        <v/>
      </c>
      <c r="D526" s="7">
        <f>'1 prepared data'!C519</f>
        <v/>
      </c>
      <c r="E526" s="7">
        <f>'1 prepared data'!D519</f>
        <v/>
      </c>
      <c r="F526" s="7">
        <f>'1 prepared data'!E519</f>
        <v/>
      </c>
      <c r="G526" s="7">
        <f>'1 prepared data'!F519</f>
        <v/>
      </c>
      <c r="H526" s="7">
        <f>'1 prepared data'!G519</f>
        <v/>
      </c>
      <c r="I526" s="7">
        <f>'1 prepared data'!H519</f>
        <v/>
      </c>
      <c r="J526" s="7">
        <f>'1 prepared data'!I519</f>
        <v/>
      </c>
      <c r="K526" s="7">
        <f>'1 prepared data'!J519</f>
        <v/>
      </c>
      <c r="L526" s="7">
        <f>'1 prepared data'!K519</f>
        <v/>
      </c>
      <c r="M526" s="7">
        <f>'1 prepared data'!L519</f>
        <v/>
      </c>
      <c r="N526" s="7">
        <f>'1 prepared data'!M519</f>
        <v/>
      </c>
      <c r="O526" s="7">
        <f>'1 prepared data'!N519</f>
        <v/>
      </c>
      <c r="P526" s="7">
        <f>'1 prepared data'!O519</f>
        <v/>
      </c>
      <c r="Q526" s="7">
        <f>'1 prepared data'!P519</f>
        <v/>
      </c>
      <c r="R526" s="7">
        <f>'1 prepared data'!Q519</f>
        <v/>
      </c>
      <c r="S526" s="7">
        <f>'1 prepared data'!R519</f>
        <v/>
      </c>
      <c r="T526" s="7">
        <f>'1 prepared data'!S519</f>
        <v/>
      </c>
      <c r="U526" s="7">
        <f>'1 prepared data'!T519</f>
        <v/>
      </c>
      <c r="V526" s="8">
        <f>$AC$12+D526*$AC$13+E526*$AC$14+F526*$AC$15+G526*$AC$16+H526*$AC$17+I526*$AC$18+J526*$AC$19+K526*$AC$20+L526*$AC$21+M526*$AC$22+N526*$AC$23+O526*$AC$24+P526*$AC$25+Q526*$AC$26+R526*$AC$27+S526*$AC$28+T526*$AC$29+U526*$AC$30</f>
        <v/>
      </c>
      <c r="W526" s="8">
        <f>1/(1+EXP(-V526))</f>
        <v/>
      </c>
      <c r="X526" s="9">
        <f>-IF(C526=1,LN(W526),LN(1-W526))</f>
        <v/>
      </c>
      <c r="Y526" s="10">
        <f>IF(W526&gt;$AC$34,1,0)</f>
        <v/>
      </c>
      <c r="Z526">
        <f>IF(Y526=C526,1,0)</f>
        <v/>
      </c>
    </row>
    <row r="527">
      <c r="A527">
        <f>'1 prepared data'!A520</f>
        <v/>
      </c>
      <c r="B527" s="5">
        <f>'1 prepared data'!U520</f>
        <v/>
      </c>
      <c r="C527">
        <f>'1 prepared data'!B520</f>
        <v/>
      </c>
      <c r="D527" s="7">
        <f>'1 prepared data'!C520</f>
        <v/>
      </c>
      <c r="E527" s="7">
        <f>'1 prepared data'!D520</f>
        <v/>
      </c>
      <c r="F527" s="7">
        <f>'1 prepared data'!E520</f>
        <v/>
      </c>
      <c r="G527" s="7">
        <f>'1 prepared data'!F520</f>
        <v/>
      </c>
      <c r="H527" s="7">
        <f>'1 prepared data'!G520</f>
        <v/>
      </c>
      <c r="I527" s="7">
        <f>'1 prepared data'!H520</f>
        <v/>
      </c>
      <c r="J527" s="7">
        <f>'1 prepared data'!I520</f>
        <v/>
      </c>
      <c r="K527" s="7">
        <f>'1 prepared data'!J520</f>
        <v/>
      </c>
      <c r="L527" s="7">
        <f>'1 prepared data'!K520</f>
        <v/>
      </c>
      <c r="M527" s="7">
        <f>'1 prepared data'!L520</f>
        <v/>
      </c>
      <c r="N527" s="7">
        <f>'1 prepared data'!M520</f>
        <v/>
      </c>
      <c r="O527" s="7">
        <f>'1 prepared data'!N520</f>
        <v/>
      </c>
      <c r="P527" s="7">
        <f>'1 prepared data'!O520</f>
        <v/>
      </c>
      <c r="Q527" s="7">
        <f>'1 prepared data'!P520</f>
        <v/>
      </c>
      <c r="R527" s="7">
        <f>'1 prepared data'!Q520</f>
        <v/>
      </c>
      <c r="S527" s="7">
        <f>'1 prepared data'!R520</f>
        <v/>
      </c>
      <c r="T527" s="7">
        <f>'1 prepared data'!S520</f>
        <v/>
      </c>
      <c r="U527" s="7">
        <f>'1 prepared data'!T520</f>
        <v/>
      </c>
      <c r="V527" s="8">
        <f>$AC$12+D527*$AC$13+E527*$AC$14+F527*$AC$15+G527*$AC$16+H527*$AC$17+I527*$AC$18+J527*$AC$19+K527*$AC$20+L527*$AC$21+M527*$AC$22+N527*$AC$23+O527*$AC$24+P527*$AC$25+Q527*$AC$26+R527*$AC$27+S527*$AC$28+T527*$AC$29+U527*$AC$30</f>
        <v/>
      </c>
      <c r="W527" s="8">
        <f>1/(1+EXP(-V527))</f>
        <v/>
      </c>
      <c r="X527" s="9">
        <f>-IF(C527=1,LN(W527),LN(1-W527))</f>
        <v/>
      </c>
      <c r="Y527" s="10">
        <f>IF(W527&gt;$AC$34,1,0)</f>
        <v/>
      </c>
      <c r="Z527">
        <f>IF(Y527=C527,1,0)</f>
        <v/>
      </c>
    </row>
    <row r="528">
      <c r="A528">
        <f>'1 prepared data'!A521</f>
        <v/>
      </c>
      <c r="B528" s="5">
        <f>'1 prepared data'!U521</f>
        <v/>
      </c>
      <c r="C528">
        <f>'1 prepared data'!B521</f>
        <v/>
      </c>
      <c r="D528" s="7">
        <f>'1 prepared data'!C521</f>
        <v/>
      </c>
      <c r="E528" s="7">
        <f>'1 prepared data'!D521</f>
        <v/>
      </c>
      <c r="F528" s="7">
        <f>'1 prepared data'!E521</f>
        <v/>
      </c>
      <c r="G528" s="7">
        <f>'1 prepared data'!F521</f>
        <v/>
      </c>
      <c r="H528" s="7">
        <f>'1 prepared data'!G521</f>
        <v/>
      </c>
      <c r="I528" s="7">
        <f>'1 prepared data'!H521</f>
        <v/>
      </c>
      <c r="J528" s="7">
        <f>'1 prepared data'!I521</f>
        <v/>
      </c>
      <c r="K528" s="7">
        <f>'1 prepared data'!J521</f>
        <v/>
      </c>
      <c r="L528" s="7">
        <f>'1 prepared data'!K521</f>
        <v/>
      </c>
      <c r="M528" s="7">
        <f>'1 prepared data'!L521</f>
        <v/>
      </c>
      <c r="N528" s="7">
        <f>'1 prepared data'!M521</f>
        <v/>
      </c>
      <c r="O528" s="7">
        <f>'1 prepared data'!N521</f>
        <v/>
      </c>
      <c r="P528" s="7">
        <f>'1 prepared data'!O521</f>
        <v/>
      </c>
      <c r="Q528" s="7">
        <f>'1 prepared data'!P521</f>
        <v/>
      </c>
      <c r="R528" s="7">
        <f>'1 prepared data'!Q521</f>
        <v/>
      </c>
      <c r="S528" s="7">
        <f>'1 prepared data'!R521</f>
        <v/>
      </c>
      <c r="T528" s="7">
        <f>'1 prepared data'!S521</f>
        <v/>
      </c>
      <c r="U528" s="7">
        <f>'1 prepared data'!T521</f>
        <v/>
      </c>
      <c r="V528" s="8">
        <f>$AC$12+D528*$AC$13+E528*$AC$14+F528*$AC$15+G528*$AC$16+H528*$AC$17+I528*$AC$18+J528*$AC$19+K528*$AC$20+L528*$AC$21+M528*$AC$22+N528*$AC$23+O528*$AC$24+P528*$AC$25+Q528*$AC$26+R528*$AC$27+S528*$AC$28+T528*$AC$29+U528*$AC$30</f>
        <v/>
      </c>
      <c r="W528" s="8">
        <f>1/(1+EXP(-V528))</f>
        <v/>
      </c>
      <c r="X528" s="9">
        <f>-IF(C528=1,LN(W528),LN(1-W528))</f>
        <v/>
      </c>
      <c r="Y528" s="10">
        <f>IF(W528&gt;$AC$34,1,0)</f>
        <v/>
      </c>
      <c r="Z528">
        <f>IF(Y528=C528,1,0)</f>
        <v/>
      </c>
    </row>
    <row r="529">
      <c r="A529">
        <f>'1 prepared data'!A522</f>
        <v/>
      </c>
      <c r="B529" s="5">
        <f>'1 prepared data'!U522</f>
        <v/>
      </c>
      <c r="C529">
        <f>'1 prepared data'!B522</f>
        <v/>
      </c>
      <c r="D529" s="7">
        <f>'1 prepared data'!C522</f>
        <v/>
      </c>
      <c r="E529" s="7">
        <f>'1 prepared data'!D522</f>
        <v/>
      </c>
      <c r="F529" s="7">
        <f>'1 prepared data'!E522</f>
        <v/>
      </c>
      <c r="G529" s="7">
        <f>'1 prepared data'!F522</f>
        <v/>
      </c>
      <c r="H529" s="7">
        <f>'1 prepared data'!G522</f>
        <v/>
      </c>
      <c r="I529" s="7">
        <f>'1 prepared data'!H522</f>
        <v/>
      </c>
      <c r="J529" s="7">
        <f>'1 prepared data'!I522</f>
        <v/>
      </c>
      <c r="K529" s="7">
        <f>'1 prepared data'!J522</f>
        <v/>
      </c>
      <c r="L529" s="7">
        <f>'1 prepared data'!K522</f>
        <v/>
      </c>
      <c r="M529" s="7">
        <f>'1 prepared data'!L522</f>
        <v/>
      </c>
      <c r="N529" s="7">
        <f>'1 prepared data'!M522</f>
        <v/>
      </c>
      <c r="O529" s="7">
        <f>'1 prepared data'!N522</f>
        <v/>
      </c>
      <c r="P529" s="7">
        <f>'1 prepared data'!O522</f>
        <v/>
      </c>
      <c r="Q529" s="7">
        <f>'1 prepared data'!P522</f>
        <v/>
      </c>
      <c r="R529" s="7">
        <f>'1 prepared data'!Q522</f>
        <v/>
      </c>
      <c r="S529" s="7">
        <f>'1 prepared data'!R522</f>
        <v/>
      </c>
      <c r="T529" s="7">
        <f>'1 prepared data'!S522</f>
        <v/>
      </c>
      <c r="U529" s="7">
        <f>'1 prepared data'!T522</f>
        <v/>
      </c>
      <c r="V529" s="8">
        <f>$AC$12+D529*$AC$13+E529*$AC$14+F529*$AC$15+G529*$AC$16+H529*$AC$17+I529*$AC$18+J529*$AC$19+K529*$AC$20+L529*$AC$21+M529*$AC$22+N529*$AC$23+O529*$AC$24+P529*$AC$25+Q529*$AC$26+R529*$AC$27+S529*$AC$28+T529*$AC$29+U529*$AC$30</f>
        <v/>
      </c>
      <c r="W529" s="8">
        <f>1/(1+EXP(-V529))</f>
        <v/>
      </c>
      <c r="X529" s="9">
        <f>-IF(C529=1,LN(W529),LN(1-W529))</f>
        <v/>
      </c>
      <c r="Y529" s="10">
        <f>IF(W529&gt;$AC$34,1,0)</f>
        <v/>
      </c>
      <c r="Z529">
        <f>IF(Y529=C529,1,0)</f>
        <v/>
      </c>
    </row>
    <row r="530">
      <c r="A530">
        <f>'1 prepared data'!A523</f>
        <v/>
      </c>
      <c r="B530" s="5">
        <f>'1 prepared data'!U523</f>
        <v/>
      </c>
      <c r="C530">
        <f>'1 prepared data'!B523</f>
        <v/>
      </c>
      <c r="D530" s="7">
        <f>'1 prepared data'!C523</f>
        <v/>
      </c>
      <c r="E530" s="7">
        <f>'1 prepared data'!D523</f>
        <v/>
      </c>
      <c r="F530" s="7">
        <f>'1 prepared data'!E523</f>
        <v/>
      </c>
      <c r="G530" s="7">
        <f>'1 prepared data'!F523</f>
        <v/>
      </c>
      <c r="H530" s="7">
        <f>'1 prepared data'!G523</f>
        <v/>
      </c>
      <c r="I530" s="7">
        <f>'1 prepared data'!H523</f>
        <v/>
      </c>
      <c r="J530" s="7">
        <f>'1 prepared data'!I523</f>
        <v/>
      </c>
      <c r="K530" s="7">
        <f>'1 prepared data'!J523</f>
        <v/>
      </c>
      <c r="L530" s="7">
        <f>'1 prepared data'!K523</f>
        <v/>
      </c>
      <c r="M530" s="7">
        <f>'1 prepared data'!L523</f>
        <v/>
      </c>
      <c r="N530" s="7">
        <f>'1 prepared data'!M523</f>
        <v/>
      </c>
      <c r="O530" s="7">
        <f>'1 prepared data'!N523</f>
        <v/>
      </c>
      <c r="P530" s="7">
        <f>'1 prepared data'!O523</f>
        <v/>
      </c>
      <c r="Q530" s="7">
        <f>'1 prepared data'!P523</f>
        <v/>
      </c>
      <c r="R530" s="7">
        <f>'1 prepared data'!Q523</f>
        <v/>
      </c>
      <c r="S530" s="7">
        <f>'1 prepared data'!R523</f>
        <v/>
      </c>
      <c r="T530" s="7">
        <f>'1 prepared data'!S523</f>
        <v/>
      </c>
      <c r="U530" s="7">
        <f>'1 prepared data'!T523</f>
        <v/>
      </c>
      <c r="V530" s="8">
        <f>$AC$12+D530*$AC$13+E530*$AC$14+F530*$AC$15+G530*$AC$16+H530*$AC$17+I530*$AC$18+J530*$AC$19+K530*$AC$20+L530*$AC$21+M530*$AC$22+N530*$AC$23+O530*$AC$24+P530*$AC$25+Q530*$AC$26+R530*$AC$27+S530*$AC$28+T530*$AC$29+U530*$AC$30</f>
        <v/>
      </c>
      <c r="W530" s="8">
        <f>1/(1+EXP(-V530))</f>
        <v/>
      </c>
      <c r="X530" s="9">
        <f>-IF(C530=1,LN(W530),LN(1-W530))</f>
        <v/>
      </c>
      <c r="Y530" s="10">
        <f>IF(W530&gt;$AC$34,1,0)</f>
        <v/>
      </c>
      <c r="Z530">
        <f>IF(Y530=C530,1,0)</f>
        <v/>
      </c>
    </row>
    <row r="531">
      <c r="A531">
        <f>'1 prepared data'!A524</f>
        <v/>
      </c>
      <c r="B531" s="5">
        <f>'1 prepared data'!U524</f>
        <v/>
      </c>
      <c r="C531">
        <f>'1 prepared data'!B524</f>
        <v/>
      </c>
      <c r="D531" s="7">
        <f>'1 prepared data'!C524</f>
        <v/>
      </c>
      <c r="E531" s="7">
        <f>'1 prepared data'!D524</f>
        <v/>
      </c>
      <c r="F531" s="7">
        <f>'1 prepared data'!E524</f>
        <v/>
      </c>
      <c r="G531" s="7">
        <f>'1 prepared data'!F524</f>
        <v/>
      </c>
      <c r="H531" s="7">
        <f>'1 prepared data'!G524</f>
        <v/>
      </c>
      <c r="I531" s="7">
        <f>'1 prepared data'!H524</f>
        <v/>
      </c>
      <c r="J531" s="7">
        <f>'1 prepared data'!I524</f>
        <v/>
      </c>
      <c r="K531" s="7">
        <f>'1 prepared data'!J524</f>
        <v/>
      </c>
      <c r="L531" s="7">
        <f>'1 prepared data'!K524</f>
        <v/>
      </c>
      <c r="M531" s="7">
        <f>'1 prepared data'!L524</f>
        <v/>
      </c>
      <c r="N531" s="7">
        <f>'1 prepared data'!M524</f>
        <v/>
      </c>
      <c r="O531" s="7">
        <f>'1 prepared data'!N524</f>
        <v/>
      </c>
      <c r="P531" s="7">
        <f>'1 prepared data'!O524</f>
        <v/>
      </c>
      <c r="Q531" s="7">
        <f>'1 prepared data'!P524</f>
        <v/>
      </c>
      <c r="R531" s="7">
        <f>'1 prepared data'!Q524</f>
        <v/>
      </c>
      <c r="S531" s="7">
        <f>'1 prepared data'!R524</f>
        <v/>
      </c>
      <c r="T531" s="7">
        <f>'1 prepared data'!S524</f>
        <v/>
      </c>
      <c r="U531" s="7">
        <f>'1 prepared data'!T524</f>
        <v/>
      </c>
      <c r="V531" s="8">
        <f>$AC$12+D531*$AC$13+E531*$AC$14+F531*$AC$15+G531*$AC$16+H531*$AC$17+I531*$AC$18+J531*$AC$19+K531*$AC$20+L531*$AC$21+M531*$AC$22+N531*$AC$23+O531*$AC$24+P531*$AC$25+Q531*$AC$26+R531*$AC$27+S531*$AC$28+T531*$AC$29+U531*$AC$30</f>
        <v/>
      </c>
      <c r="W531" s="8">
        <f>1/(1+EXP(-V531))</f>
        <v/>
      </c>
      <c r="X531" s="9">
        <f>-IF(C531=1,LN(W531),LN(1-W531))</f>
        <v/>
      </c>
      <c r="Y531" s="10">
        <f>IF(W531&gt;$AC$34,1,0)</f>
        <v/>
      </c>
      <c r="Z531">
        <f>IF(Y531=C531,1,0)</f>
        <v/>
      </c>
    </row>
    <row r="532">
      <c r="A532">
        <f>'1 prepared data'!A525</f>
        <v/>
      </c>
      <c r="B532" s="5">
        <f>'1 prepared data'!U525</f>
        <v/>
      </c>
      <c r="C532">
        <f>'1 prepared data'!B525</f>
        <v/>
      </c>
      <c r="D532" s="7">
        <f>'1 prepared data'!C525</f>
        <v/>
      </c>
      <c r="E532" s="7">
        <f>'1 prepared data'!D525</f>
        <v/>
      </c>
      <c r="F532" s="7">
        <f>'1 prepared data'!E525</f>
        <v/>
      </c>
      <c r="G532" s="7">
        <f>'1 prepared data'!F525</f>
        <v/>
      </c>
      <c r="H532" s="7">
        <f>'1 prepared data'!G525</f>
        <v/>
      </c>
      <c r="I532" s="7">
        <f>'1 prepared data'!H525</f>
        <v/>
      </c>
      <c r="J532" s="7">
        <f>'1 prepared data'!I525</f>
        <v/>
      </c>
      <c r="K532" s="7">
        <f>'1 prepared data'!J525</f>
        <v/>
      </c>
      <c r="L532" s="7">
        <f>'1 prepared data'!K525</f>
        <v/>
      </c>
      <c r="M532" s="7">
        <f>'1 prepared data'!L525</f>
        <v/>
      </c>
      <c r="N532" s="7">
        <f>'1 prepared data'!M525</f>
        <v/>
      </c>
      <c r="O532" s="7">
        <f>'1 prepared data'!N525</f>
        <v/>
      </c>
      <c r="P532" s="7">
        <f>'1 prepared data'!O525</f>
        <v/>
      </c>
      <c r="Q532" s="7">
        <f>'1 prepared data'!P525</f>
        <v/>
      </c>
      <c r="R532" s="7">
        <f>'1 prepared data'!Q525</f>
        <v/>
      </c>
      <c r="S532" s="7">
        <f>'1 prepared data'!R525</f>
        <v/>
      </c>
      <c r="T532" s="7">
        <f>'1 prepared data'!S525</f>
        <v/>
      </c>
      <c r="U532" s="7">
        <f>'1 prepared data'!T525</f>
        <v/>
      </c>
      <c r="V532" s="8">
        <f>$AC$12+D532*$AC$13+E532*$AC$14+F532*$AC$15+G532*$AC$16+H532*$AC$17+I532*$AC$18+J532*$AC$19+K532*$AC$20+L532*$AC$21+M532*$AC$22+N532*$AC$23+O532*$AC$24+P532*$AC$25+Q532*$AC$26+R532*$AC$27+S532*$AC$28+T532*$AC$29+U532*$AC$30</f>
        <v/>
      </c>
      <c r="W532" s="8">
        <f>1/(1+EXP(-V532))</f>
        <v/>
      </c>
      <c r="X532" s="9">
        <f>-IF(C532=1,LN(W532),LN(1-W532))</f>
        <v/>
      </c>
      <c r="Y532" s="10">
        <f>IF(W532&gt;$AC$34,1,0)</f>
        <v/>
      </c>
      <c r="Z532">
        <f>IF(Y532=C532,1,0)</f>
        <v/>
      </c>
    </row>
    <row r="533">
      <c r="A533">
        <f>'1 prepared data'!A526</f>
        <v/>
      </c>
      <c r="B533" s="5">
        <f>'1 prepared data'!U526</f>
        <v/>
      </c>
      <c r="C533">
        <f>'1 prepared data'!B526</f>
        <v/>
      </c>
      <c r="D533" s="7">
        <f>'1 prepared data'!C526</f>
        <v/>
      </c>
      <c r="E533" s="7">
        <f>'1 prepared data'!D526</f>
        <v/>
      </c>
      <c r="F533" s="7">
        <f>'1 prepared data'!E526</f>
        <v/>
      </c>
      <c r="G533" s="7">
        <f>'1 prepared data'!F526</f>
        <v/>
      </c>
      <c r="H533" s="7">
        <f>'1 prepared data'!G526</f>
        <v/>
      </c>
      <c r="I533" s="7">
        <f>'1 prepared data'!H526</f>
        <v/>
      </c>
      <c r="J533" s="7">
        <f>'1 prepared data'!I526</f>
        <v/>
      </c>
      <c r="K533" s="7">
        <f>'1 prepared data'!J526</f>
        <v/>
      </c>
      <c r="L533" s="7">
        <f>'1 prepared data'!K526</f>
        <v/>
      </c>
      <c r="M533" s="7">
        <f>'1 prepared data'!L526</f>
        <v/>
      </c>
      <c r="N533" s="7">
        <f>'1 prepared data'!M526</f>
        <v/>
      </c>
      <c r="O533" s="7">
        <f>'1 prepared data'!N526</f>
        <v/>
      </c>
      <c r="P533" s="7">
        <f>'1 prepared data'!O526</f>
        <v/>
      </c>
      <c r="Q533" s="7">
        <f>'1 prepared data'!P526</f>
        <v/>
      </c>
      <c r="R533" s="7">
        <f>'1 prepared data'!Q526</f>
        <v/>
      </c>
      <c r="S533" s="7">
        <f>'1 prepared data'!R526</f>
        <v/>
      </c>
      <c r="T533" s="7">
        <f>'1 prepared data'!S526</f>
        <v/>
      </c>
      <c r="U533" s="7">
        <f>'1 prepared data'!T526</f>
        <v/>
      </c>
      <c r="V533" s="8">
        <f>$AC$12+D533*$AC$13+E533*$AC$14+F533*$AC$15+G533*$AC$16+H533*$AC$17+I533*$AC$18+J533*$AC$19+K533*$AC$20+L533*$AC$21+M533*$AC$22+N533*$AC$23+O533*$AC$24+P533*$AC$25+Q533*$AC$26+R533*$AC$27+S533*$AC$28+T533*$AC$29+U533*$AC$30</f>
        <v/>
      </c>
      <c r="W533" s="8">
        <f>1/(1+EXP(-V533))</f>
        <v/>
      </c>
      <c r="X533" s="9">
        <f>-IF(C533=1,LN(W533),LN(1-W533))</f>
        <v/>
      </c>
      <c r="Y533" s="10">
        <f>IF(W533&gt;$AC$34,1,0)</f>
        <v/>
      </c>
      <c r="Z533">
        <f>IF(Y533=C533,1,0)</f>
        <v/>
      </c>
    </row>
    <row r="534">
      <c r="A534">
        <f>'1 prepared data'!A527</f>
        <v/>
      </c>
      <c r="B534" s="5">
        <f>'1 prepared data'!U527</f>
        <v/>
      </c>
      <c r="C534">
        <f>'1 prepared data'!B527</f>
        <v/>
      </c>
      <c r="D534" s="7">
        <f>'1 prepared data'!C527</f>
        <v/>
      </c>
      <c r="E534" s="7">
        <f>'1 prepared data'!D527</f>
        <v/>
      </c>
      <c r="F534" s="7">
        <f>'1 prepared data'!E527</f>
        <v/>
      </c>
      <c r="G534" s="7">
        <f>'1 prepared data'!F527</f>
        <v/>
      </c>
      <c r="H534" s="7">
        <f>'1 prepared data'!G527</f>
        <v/>
      </c>
      <c r="I534" s="7">
        <f>'1 prepared data'!H527</f>
        <v/>
      </c>
      <c r="J534" s="7">
        <f>'1 prepared data'!I527</f>
        <v/>
      </c>
      <c r="K534" s="7">
        <f>'1 prepared data'!J527</f>
        <v/>
      </c>
      <c r="L534" s="7">
        <f>'1 prepared data'!K527</f>
        <v/>
      </c>
      <c r="M534" s="7">
        <f>'1 prepared data'!L527</f>
        <v/>
      </c>
      <c r="N534" s="7">
        <f>'1 prepared data'!M527</f>
        <v/>
      </c>
      <c r="O534" s="7">
        <f>'1 prepared data'!N527</f>
        <v/>
      </c>
      <c r="P534" s="7">
        <f>'1 prepared data'!O527</f>
        <v/>
      </c>
      <c r="Q534" s="7">
        <f>'1 prepared data'!P527</f>
        <v/>
      </c>
      <c r="R534" s="7">
        <f>'1 prepared data'!Q527</f>
        <v/>
      </c>
      <c r="S534" s="7">
        <f>'1 prepared data'!R527</f>
        <v/>
      </c>
      <c r="T534" s="7">
        <f>'1 prepared data'!S527</f>
        <v/>
      </c>
      <c r="U534" s="7">
        <f>'1 prepared data'!T527</f>
        <v/>
      </c>
      <c r="V534" s="8">
        <f>$AC$12+D534*$AC$13+E534*$AC$14+F534*$AC$15+G534*$AC$16+H534*$AC$17+I534*$AC$18+J534*$AC$19+K534*$AC$20+L534*$AC$21+M534*$AC$22+N534*$AC$23+O534*$AC$24+P534*$AC$25+Q534*$AC$26+R534*$AC$27+S534*$AC$28+T534*$AC$29+U534*$AC$30</f>
        <v/>
      </c>
      <c r="W534" s="8">
        <f>1/(1+EXP(-V534))</f>
        <v/>
      </c>
      <c r="X534" s="9">
        <f>-IF(C534=1,LN(W534),LN(1-W534))</f>
        <v/>
      </c>
      <c r="Y534" s="10">
        <f>IF(W534&gt;$AC$34,1,0)</f>
        <v/>
      </c>
      <c r="Z534">
        <f>IF(Y534=C534,1,0)</f>
        <v/>
      </c>
    </row>
    <row r="535">
      <c r="A535">
        <f>'1 prepared data'!A528</f>
        <v/>
      </c>
      <c r="B535" s="5">
        <f>'1 prepared data'!U528</f>
        <v/>
      </c>
      <c r="C535">
        <f>'1 prepared data'!B528</f>
        <v/>
      </c>
      <c r="D535" s="7">
        <f>'1 prepared data'!C528</f>
        <v/>
      </c>
      <c r="E535" s="7">
        <f>'1 prepared data'!D528</f>
        <v/>
      </c>
      <c r="F535" s="7">
        <f>'1 prepared data'!E528</f>
        <v/>
      </c>
      <c r="G535" s="7">
        <f>'1 prepared data'!F528</f>
        <v/>
      </c>
      <c r="H535" s="7">
        <f>'1 prepared data'!G528</f>
        <v/>
      </c>
      <c r="I535" s="7">
        <f>'1 prepared data'!H528</f>
        <v/>
      </c>
      <c r="J535" s="7">
        <f>'1 prepared data'!I528</f>
        <v/>
      </c>
      <c r="K535" s="7">
        <f>'1 prepared data'!J528</f>
        <v/>
      </c>
      <c r="L535" s="7">
        <f>'1 prepared data'!K528</f>
        <v/>
      </c>
      <c r="M535" s="7">
        <f>'1 prepared data'!L528</f>
        <v/>
      </c>
      <c r="N535" s="7">
        <f>'1 prepared data'!M528</f>
        <v/>
      </c>
      <c r="O535" s="7">
        <f>'1 prepared data'!N528</f>
        <v/>
      </c>
      <c r="P535" s="7">
        <f>'1 prepared data'!O528</f>
        <v/>
      </c>
      <c r="Q535" s="7">
        <f>'1 prepared data'!P528</f>
        <v/>
      </c>
      <c r="R535" s="7">
        <f>'1 prepared data'!Q528</f>
        <v/>
      </c>
      <c r="S535" s="7">
        <f>'1 prepared data'!R528</f>
        <v/>
      </c>
      <c r="T535" s="7">
        <f>'1 prepared data'!S528</f>
        <v/>
      </c>
      <c r="U535" s="7">
        <f>'1 prepared data'!T528</f>
        <v/>
      </c>
      <c r="V535" s="8">
        <f>$AC$12+D535*$AC$13+E535*$AC$14+F535*$AC$15+G535*$AC$16+H535*$AC$17+I535*$AC$18+J535*$AC$19+K535*$AC$20+L535*$AC$21+M535*$AC$22+N535*$AC$23+O535*$AC$24+P535*$AC$25+Q535*$AC$26+R535*$AC$27+S535*$AC$28+T535*$AC$29+U535*$AC$30</f>
        <v/>
      </c>
      <c r="W535" s="8">
        <f>1/(1+EXP(-V535))</f>
        <v/>
      </c>
      <c r="X535" s="9">
        <f>-IF(C535=1,LN(W535),LN(1-W535))</f>
        <v/>
      </c>
      <c r="Y535" s="10">
        <f>IF(W535&gt;$AC$34,1,0)</f>
        <v/>
      </c>
      <c r="Z535">
        <f>IF(Y535=C535,1,0)</f>
        <v/>
      </c>
    </row>
    <row r="536">
      <c r="A536">
        <f>'1 prepared data'!A529</f>
        <v/>
      </c>
      <c r="B536" s="5">
        <f>'1 prepared data'!U529</f>
        <v/>
      </c>
      <c r="C536">
        <f>'1 prepared data'!B529</f>
        <v/>
      </c>
      <c r="D536" s="7">
        <f>'1 prepared data'!C529</f>
        <v/>
      </c>
      <c r="E536" s="7">
        <f>'1 prepared data'!D529</f>
        <v/>
      </c>
      <c r="F536" s="7">
        <f>'1 prepared data'!E529</f>
        <v/>
      </c>
      <c r="G536" s="7">
        <f>'1 prepared data'!F529</f>
        <v/>
      </c>
      <c r="H536" s="7">
        <f>'1 prepared data'!G529</f>
        <v/>
      </c>
      <c r="I536" s="7">
        <f>'1 prepared data'!H529</f>
        <v/>
      </c>
      <c r="J536" s="7">
        <f>'1 prepared data'!I529</f>
        <v/>
      </c>
      <c r="K536" s="7">
        <f>'1 prepared data'!J529</f>
        <v/>
      </c>
      <c r="L536" s="7">
        <f>'1 prepared data'!K529</f>
        <v/>
      </c>
      <c r="M536" s="7">
        <f>'1 prepared data'!L529</f>
        <v/>
      </c>
      <c r="N536" s="7">
        <f>'1 prepared data'!M529</f>
        <v/>
      </c>
      <c r="O536" s="7">
        <f>'1 prepared data'!N529</f>
        <v/>
      </c>
      <c r="P536" s="7">
        <f>'1 prepared data'!O529</f>
        <v/>
      </c>
      <c r="Q536" s="7">
        <f>'1 prepared data'!P529</f>
        <v/>
      </c>
      <c r="R536" s="7">
        <f>'1 prepared data'!Q529</f>
        <v/>
      </c>
      <c r="S536" s="7">
        <f>'1 prepared data'!R529</f>
        <v/>
      </c>
      <c r="T536" s="7">
        <f>'1 prepared data'!S529</f>
        <v/>
      </c>
      <c r="U536" s="7">
        <f>'1 prepared data'!T529</f>
        <v/>
      </c>
      <c r="V536" s="8">
        <f>$AC$12+D536*$AC$13+E536*$AC$14+F536*$AC$15+G536*$AC$16+H536*$AC$17+I536*$AC$18+J536*$AC$19+K536*$AC$20+L536*$AC$21+M536*$AC$22+N536*$AC$23+O536*$AC$24+P536*$AC$25+Q536*$AC$26+R536*$AC$27+S536*$AC$28+T536*$AC$29+U536*$AC$30</f>
        <v/>
      </c>
      <c r="W536" s="8">
        <f>1/(1+EXP(-V536))</f>
        <v/>
      </c>
      <c r="X536" s="9">
        <f>-IF(C536=1,LN(W536),LN(1-W536))</f>
        <v/>
      </c>
      <c r="Y536" s="10">
        <f>IF(W536&gt;$AC$34,1,0)</f>
        <v/>
      </c>
      <c r="Z536">
        <f>IF(Y536=C536,1,0)</f>
        <v/>
      </c>
    </row>
    <row r="537">
      <c r="A537">
        <f>'1 prepared data'!A530</f>
        <v/>
      </c>
      <c r="B537" s="5">
        <f>'1 prepared data'!U530</f>
        <v/>
      </c>
      <c r="C537">
        <f>'1 prepared data'!B530</f>
        <v/>
      </c>
      <c r="D537" s="7">
        <f>'1 prepared data'!C530</f>
        <v/>
      </c>
      <c r="E537" s="7">
        <f>'1 prepared data'!D530</f>
        <v/>
      </c>
      <c r="F537" s="7">
        <f>'1 prepared data'!E530</f>
        <v/>
      </c>
      <c r="G537" s="7">
        <f>'1 prepared data'!F530</f>
        <v/>
      </c>
      <c r="H537" s="7">
        <f>'1 prepared data'!G530</f>
        <v/>
      </c>
      <c r="I537" s="7">
        <f>'1 prepared data'!H530</f>
        <v/>
      </c>
      <c r="J537" s="7">
        <f>'1 prepared data'!I530</f>
        <v/>
      </c>
      <c r="K537" s="7">
        <f>'1 prepared data'!J530</f>
        <v/>
      </c>
      <c r="L537" s="7">
        <f>'1 prepared data'!K530</f>
        <v/>
      </c>
      <c r="M537" s="7">
        <f>'1 prepared data'!L530</f>
        <v/>
      </c>
      <c r="N537" s="7">
        <f>'1 prepared data'!M530</f>
        <v/>
      </c>
      <c r="O537" s="7">
        <f>'1 prepared data'!N530</f>
        <v/>
      </c>
      <c r="P537" s="7">
        <f>'1 prepared data'!O530</f>
        <v/>
      </c>
      <c r="Q537" s="7">
        <f>'1 prepared data'!P530</f>
        <v/>
      </c>
      <c r="R537" s="7">
        <f>'1 prepared data'!Q530</f>
        <v/>
      </c>
      <c r="S537" s="7">
        <f>'1 prepared data'!R530</f>
        <v/>
      </c>
      <c r="T537" s="7">
        <f>'1 prepared data'!S530</f>
        <v/>
      </c>
      <c r="U537" s="7">
        <f>'1 prepared data'!T530</f>
        <v/>
      </c>
      <c r="V537" s="8">
        <f>$AC$12+D537*$AC$13+E537*$AC$14+F537*$AC$15+G537*$AC$16+H537*$AC$17+I537*$AC$18+J537*$AC$19+K537*$AC$20+L537*$AC$21+M537*$AC$22+N537*$AC$23+O537*$AC$24+P537*$AC$25+Q537*$AC$26+R537*$AC$27+S537*$AC$28+T537*$AC$29+U537*$AC$30</f>
        <v/>
      </c>
      <c r="W537" s="8">
        <f>1/(1+EXP(-V537))</f>
        <v/>
      </c>
      <c r="X537" s="9">
        <f>-IF(C537=1,LN(W537),LN(1-W537))</f>
        <v/>
      </c>
      <c r="Y537" s="10">
        <f>IF(W537&gt;$AC$34,1,0)</f>
        <v/>
      </c>
      <c r="Z537">
        <f>IF(Y537=C537,1,0)</f>
        <v/>
      </c>
    </row>
    <row r="538">
      <c r="A538">
        <f>'1 prepared data'!A531</f>
        <v/>
      </c>
      <c r="B538" s="5">
        <f>'1 prepared data'!U531</f>
        <v/>
      </c>
      <c r="C538">
        <f>'1 prepared data'!B531</f>
        <v/>
      </c>
      <c r="D538" s="7">
        <f>'1 prepared data'!C531</f>
        <v/>
      </c>
      <c r="E538" s="7">
        <f>'1 prepared data'!D531</f>
        <v/>
      </c>
      <c r="F538" s="7">
        <f>'1 prepared data'!E531</f>
        <v/>
      </c>
      <c r="G538" s="7">
        <f>'1 prepared data'!F531</f>
        <v/>
      </c>
      <c r="H538" s="7">
        <f>'1 prepared data'!G531</f>
        <v/>
      </c>
      <c r="I538" s="7">
        <f>'1 prepared data'!H531</f>
        <v/>
      </c>
      <c r="J538" s="7">
        <f>'1 prepared data'!I531</f>
        <v/>
      </c>
      <c r="K538" s="7">
        <f>'1 prepared data'!J531</f>
        <v/>
      </c>
      <c r="L538" s="7">
        <f>'1 prepared data'!K531</f>
        <v/>
      </c>
      <c r="M538" s="7">
        <f>'1 prepared data'!L531</f>
        <v/>
      </c>
      <c r="N538" s="7">
        <f>'1 prepared data'!M531</f>
        <v/>
      </c>
      <c r="O538" s="7">
        <f>'1 prepared data'!N531</f>
        <v/>
      </c>
      <c r="P538" s="7">
        <f>'1 prepared data'!O531</f>
        <v/>
      </c>
      <c r="Q538" s="7">
        <f>'1 prepared data'!P531</f>
        <v/>
      </c>
      <c r="R538" s="7">
        <f>'1 prepared data'!Q531</f>
        <v/>
      </c>
      <c r="S538" s="7">
        <f>'1 prepared data'!R531</f>
        <v/>
      </c>
      <c r="T538" s="7">
        <f>'1 prepared data'!S531</f>
        <v/>
      </c>
      <c r="U538" s="7">
        <f>'1 prepared data'!T531</f>
        <v/>
      </c>
      <c r="V538" s="8">
        <f>$AC$12+D538*$AC$13+E538*$AC$14+F538*$AC$15+G538*$AC$16+H538*$AC$17+I538*$AC$18+J538*$AC$19+K538*$AC$20+L538*$AC$21+M538*$AC$22+N538*$AC$23+O538*$AC$24+P538*$AC$25+Q538*$AC$26+R538*$AC$27+S538*$AC$28+T538*$AC$29+U538*$AC$30</f>
        <v/>
      </c>
      <c r="W538" s="8">
        <f>1/(1+EXP(-V538))</f>
        <v/>
      </c>
      <c r="X538" s="9">
        <f>-IF(C538=1,LN(W538),LN(1-W538))</f>
        <v/>
      </c>
      <c r="Y538" s="10">
        <f>IF(W538&gt;$AC$34,1,0)</f>
        <v/>
      </c>
      <c r="Z538">
        <f>IF(Y538=C538,1,0)</f>
        <v/>
      </c>
    </row>
    <row r="539">
      <c r="A539">
        <f>'1 prepared data'!A532</f>
        <v/>
      </c>
      <c r="B539" s="5">
        <f>'1 prepared data'!U532</f>
        <v/>
      </c>
      <c r="C539">
        <f>'1 prepared data'!B532</f>
        <v/>
      </c>
      <c r="D539" s="7">
        <f>'1 prepared data'!C532</f>
        <v/>
      </c>
      <c r="E539" s="7">
        <f>'1 prepared data'!D532</f>
        <v/>
      </c>
      <c r="F539" s="7">
        <f>'1 prepared data'!E532</f>
        <v/>
      </c>
      <c r="G539" s="7">
        <f>'1 prepared data'!F532</f>
        <v/>
      </c>
      <c r="H539" s="7">
        <f>'1 prepared data'!G532</f>
        <v/>
      </c>
      <c r="I539" s="7">
        <f>'1 prepared data'!H532</f>
        <v/>
      </c>
      <c r="J539" s="7">
        <f>'1 prepared data'!I532</f>
        <v/>
      </c>
      <c r="K539" s="7">
        <f>'1 prepared data'!J532</f>
        <v/>
      </c>
      <c r="L539" s="7">
        <f>'1 prepared data'!K532</f>
        <v/>
      </c>
      <c r="M539" s="7">
        <f>'1 prepared data'!L532</f>
        <v/>
      </c>
      <c r="N539" s="7">
        <f>'1 prepared data'!M532</f>
        <v/>
      </c>
      <c r="O539" s="7">
        <f>'1 prepared data'!N532</f>
        <v/>
      </c>
      <c r="P539" s="7">
        <f>'1 prepared data'!O532</f>
        <v/>
      </c>
      <c r="Q539" s="7">
        <f>'1 prepared data'!P532</f>
        <v/>
      </c>
      <c r="R539" s="7">
        <f>'1 prepared data'!Q532</f>
        <v/>
      </c>
      <c r="S539" s="7">
        <f>'1 prepared data'!R532</f>
        <v/>
      </c>
      <c r="T539" s="7">
        <f>'1 prepared data'!S532</f>
        <v/>
      </c>
      <c r="U539" s="7">
        <f>'1 prepared data'!T532</f>
        <v/>
      </c>
      <c r="V539" s="8">
        <f>$AC$12+D539*$AC$13+E539*$AC$14+F539*$AC$15+G539*$AC$16+H539*$AC$17+I539*$AC$18+J539*$AC$19+K539*$AC$20+L539*$AC$21+M539*$AC$22+N539*$AC$23+O539*$AC$24+P539*$AC$25+Q539*$AC$26+R539*$AC$27+S539*$AC$28+T539*$AC$29+U539*$AC$30</f>
        <v/>
      </c>
      <c r="W539" s="8">
        <f>1/(1+EXP(-V539))</f>
        <v/>
      </c>
      <c r="X539" s="9">
        <f>-IF(C539=1,LN(W539),LN(1-W539))</f>
        <v/>
      </c>
      <c r="Y539" s="10">
        <f>IF(W539&gt;$AC$34,1,0)</f>
        <v/>
      </c>
      <c r="Z539">
        <f>IF(Y539=C539,1,0)</f>
        <v/>
      </c>
    </row>
    <row r="540">
      <c r="A540">
        <f>'1 prepared data'!A533</f>
        <v/>
      </c>
      <c r="B540" s="5">
        <f>'1 prepared data'!U533</f>
        <v/>
      </c>
      <c r="C540">
        <f>'1 prepared data'!B533</f>
        <v/>
      </c>
      <c r="D540" s="7">
        <f>'1 prepared data'!C533</f>
        <v/>
      </c>
      <c r="E540" s="7">
        <f>'1 prepared data'!D533</f>
        <v/>
      </c>
      <c r="F540" s="7">
        <f>'1 prepared data'!E533</f>
        <v/>
      </c>
      <c r="G540" s="7">
        <f>'1 prepared data'!F533</f>
        <v/>
      </c>
      <c r="H540" s="7">
        <f>'1 prepared data'!G533</f>
        <v/>
      </c>
      <c r="I540" s="7">
        <f>'1 prepared data'!H533</f>
        <v/>
      </c>
      <c r="J540" s="7">
        <f>'1 prepared data'!I533</f>
        <v/>
      </c>
      <c r="K540" s="7">
        <f>'1 prepared data'!J533</f>
        <v/>
      </c>
      <c r="L540" s="7">
        <f>'1 prepared data'!K533</f>
        <v/>
      </c>
      <c r="M540" s="7">
        <f>'1 prepared data'!L533</f>
        <v/>
      </c>
      <c r="N540" s="7">
        <f>'1 prepared data'!M533</f>
        <v/>
      </c>
      <c r="O540" s="7">
        <f>'1 prepared data'!N533</f>
        <v/>
      </c>
      <c r="P540" s="7">
        <f>'1 prepared data'!O533</f>
        <v/>
      </c>
      <c r="Q540" s="7">
        <f>'1 prepared data'!P533</f>
        <v/>
      </c>
      <c r="R540" s="7">
        <f>'1 prepared data'!Q533</f>
        <v/>
      </c>
      <c r="S540" s="7">
        <f>'1 prepared data'!R533</f>
        <v/>
      </c>
      <c r="T540" s="7">
        <f>'1 prepared data'!S533</f>
        <v/>
      </c>
      <c r="U540" s="7">
        <f>'1 prepared data'!T533</f>
        <v/>
      </c>
      <c r="V540" s="8">
        <f>$AC$12+D540*$AC$13+E540*$AC$14+F540*$AC$15+G540*$AC$16+H540*$AC$17+I540*$AC$18+J540*$AC$19+K540*$AC$20+L540*$AC$21+M540*$AC$22+N540*$AC$23+O540*$AC$24+P540*$AC$25+Q540*$AC$26+R540*$AC$27+S540*$AC$28+T540*$AC$29+U540*$AC$30</f>
        <v/>
      </c>
      <c r="W540" s="8">
        <f>1/(1+EXP(-V540))</f>
        <v/>
      </c>
      <c r="X540" s="9">
        <f>-IF(C540=1,LN(W540),LN(1-W540))</f>
        <v/>
      </c>
      <c r="Y540" s="10">
        <f>IF(W540&gt;$AC$34,1,0)</f>
        <v/>
      </c>
      <c r="Z540">
        <f>IF(Y540=C540,1,0)</f>
        <v/>
      </c>
    </row>
    <row r="541">
      <c r="A541">
        <f>'1 prepared data'!A534</f>
        <v/>
      </c>
      <c r="B541" s="5">
        <f>'1 prepared data'!U534</f>
        <v/>
      </c>
      <c r="C541">
        <f>'1 prepared data'!B534</f>
        <v/>
      </c>
      <c r="D541" s="7">
        <f>'1 prepared data'!C534</f>
        <v/>
      </c>
      <c r="E541" s="7">
        <f>'1 prepared data'!D534</f>
        <v/>
      </c>
      <c r="F541" s="7">
        <f>'1 prepared data'!E534</f>
        <v/>
      </c>
      <c r="G541" s="7">
        <f>'1 prepared data'!F534</f>
        <v/>
      </c>
      <c r="H541" s="7">
        <f>'1 prepared data'!G534</f>
        <v/>
      </c>
      <c r="I541" s="7">
        <f>'1 prepared data'!H534</f>
        <v/>
      </c>
      <c r="J541" s="7">
        <f>'1 prepared data'!I534</f>
        <v/>
      </c>
      <c r="K541" s="7">
        <f>'1 prepared data'!J534</f>
        <v/>
      </c>
      <c r="L541" s="7">
        <f>'1 prepared data'!K534</f>
        <v/>
      </c>
      <c r="M541" s="7">
        <f>'1 prepared data'!L534</f>
        <v/>
      </c>
      <c r="N541" s="7">
        <f>'1 prepared data'!M534</f>
        <v/>
      </c>
      <c r="O541" s="7">
        <f>'1 prepared data'!N534</f>
        <v/>
      </c>
      <c r="P541" s="7">
        <f>'1 prepared data'!O534</f>
        <v/>
      </c>
      <c r="Q541" s="7">
        <f>'1 prepared data'!P534</f>
        <v/>
      </c>
      <c r="R541" s="7">
        <f>'1 prepared data'!Q534</f>
        <v/>
      </c>
      <c r="S541" s="7">
        <f>'1 prepared data'!R534</f>
        <v/>
      </c>
      <c r="T541" s="7">
        <f>'1 prepared data'!S534</f>
        <v/>
      </c>
      <c r="U541" s="7">
        <f>'1 prepared data'!T534</f>
        <v/>
      </c>
      <c r="V541" s="8">
        <f>$AC$12+D541*$AC$13+E541*$AC$14+F541*$AC$15+G541*$AC$16+H541*$AC$17+I541*$AC$18+J541*$AC$19+K541*$AC$20+L541*$AC$21+M541*$AC$22+N541*$AC$23+O541*$AC$24+P541*$AC$25+Q541*$AC$26+R541*$AC$27+S541*$AC$28+T541*$AC$29+U541*$AC$30</f>
        <v/>
      </c>
      <c r="W541" s="8">
        <f>1/(1+EXP(-V541))</f>
        <v/>
      </c>
      <c r="X541" s="9">
        <f>-IF(C541=1,LN(W541),LN(1-W541))</f>
        <v/>
      </c>
      <c r="Y541" s="10">
        <f>IF(W541&gt;$AC$34,1,0)</f>
        <v/>
      </c>
      <c r="Z541">
        <f>IF(Y541=C541,1,0)</f>
        <v/>
      </c>
    </row>
    <row r="542">
      <c r="A542">
        <f>'1 prepared data'!A535</f>
        <v/>
      </c>
      <c r="B542" s="5">
        <f>'1 prepared data'!U535</f>
        <v/>
      </c>
      <c r="C542">
        <f>'1 prepared data'!B535</f>
        <v/>
      </c>
      <c r="D542" s="7">
        <f>'1 prepared data'!C535</f>
        <v/>
      </c>
      <c r="E542" s="7">
        <f>'1 prepared data'!D535</f>
        <v/>
      </c>
      <c r="F542" s="7">
        <f>'1 prepared data'!E535</f>
        <v/>
      </c>
      <c r="G542" s="7">
        <f>'1 prepared data'!F535</f>
        <v/>
      </c>
      <c r="H542" s="7">
        <f>'1 prepared data'!G535</f>
        <v/>
      </c>
      <c r="I542" s="7">
        <f>'1 prepared data'!H535</f>
        <v/>
      </c>
      <c r="J542" s="7">
        <f>'1 prepared data'!I535</f>
        <v/>
      </c>
      <c r="K542" s="7">
        <f>'1 prepared data'!J535</f>
        <v/>
      </c>
      <c r="L542" s="7">
        <f>'1 prepared data'!K535</f>
        <v/>
      </c>
      <c r="M542" s="7">
        <f>'1 prepared data'!L535</f>
        <v/>
      </c>
      <c r="N542" s="7">
        <f>'1 prepared data'!M535</f>
        <v/>
      </c>
      <c r="O542" s="7">
        <f>'1 prepared data'!N535</f>
        <v/>
      </c>
      <c r="P542" s="7">
        <f>'1 prepared data'!O535</f>
        <v/>
      </c>
      <c r="Q542" s="7">
        <f>'1 prepared data'!P535</f>
        <v/>
      </c>
      <c r="R542" s="7">
        <f>'1 prepared data'!Q535</f>
        <v/>
      </c>
      <c r="S542" s="7">
        <f>'1 prepared data'!R535</f>
        <v/>
      </c>
      <c r="T542" s="7">
        <f>'1 prepared data'!S535</f>
        <v/>
      </c>
      <c r="U542" s="7">
        <f>'1 prepared data'!T535</f>
        <v/>
      </c>
      <c r="V542" s="8">
        <f>$AC$12+D542*$AC$13+E542*$AC$14+F542*$AC$15+G542*$AC$16+H542*$AC$17+I542*$AC$18+J542*$AC$19+K542*$AC$20+L542*$AC$21+M542*$AC$22+N542*$AC$23+O542*$AC$24+P542*$AC$25+Q542*$AC$26+R542*$AC$27+S542*$AC$28+T542*$AC$29+U542*$AC$30</f>
        <v/>
      </c>
      <c r="W542" s="8">
        <f>1/(1+EXP(-V542))</f>
        <v/>
      </c>
      <c r="X542" s="9">
        <f>-IF(C542=1,LN(W542),LN(1-W542))</f>
        <v/>
      </c>
      <c r="Y542" s="10">
        <f>IF(W542&gt;$AC$34,1,0)</f>
        <v/>
      </c>
      <c r="Z542">
        <f>IF(Y542=C542,1,0)</f>
        <v/>
      </c>
    </row>
    <row r="543">
      <c r="A543">
        <f>'1 prepared data'!A536</f>
        <v/>
      </c>
      <c r="B543" s="5">
        <f>'1 prepared data'!U536</f>
        <v/>
      </c>
      <c r="C543">
        <f>'1 prepared data'!B536</f>
        <v/>
      </c>
      <c r="D543" s="7">
        <f>'1 prepared data'!C536</f>
        <v/>
      </c>
      <c r="E543" s="7">
        <f>'1 prepared data'!D536</f>
        <v/>
      </c>
      <c r="F543" s="7">
        <f>'1 prepared data'!E536</f>
        <v/>
      </c>
      <c r="G543" s="7">
        <f>'1 prepared data'!F536</f>
        <v/>
      </c>
      <c r="H543" s="7">
        <f>'1 prepared data'!G536</f>
        <v/>
      </c>
      <c r="I543" s="7">
        <f>'1 prepared data'!H536</f>
        <v/>
      </c>
      <c r="J543" s="7">
        <f>'1 prepared data'!I536</f>
        <v/>
      </c>
      <c r="K543" s="7">
        <f>'1 prepared data'!J536</f>
        <v/>
      </c>
      <c r="L543" s="7">
        <f>'1 prepared data'!K536</f>
        <v/>
      </c>
      <c r="M543" s="7">
        <f>'1 prepared data'!L536</f>
        <v/>
      </c>
      <c r="N543" s="7">
        <f>'1 prepared data'!M536</f>
        <v/>
      </c>
      <c r="O543" s="7">
        <f>'1 prepared data'!N536</f>
        <v/>
      </c>
      <c r="P543" s="7">
        <f>'1 prepared data'!O536</f>
        <v/>
      </c>
      <c r="Q543" s="7">
        <f>'1 prepared data'!P536</f>
        <v/>
      </c>
      <c r="R543" s="7">
        <f>'1 prepared data'!Q536</f>
        <v/>
      </c>
      <c r="S543" s="7">
        <f>'1 prepared data'!R536</f>
        <v/>
      </c>
      <c r="T543" s="7">
        <f>'1 prepared data'!S536</f>
        <v/>
      </c>
      <c r="U543" s="7">
        <f>'1 prepared data'!T536</f>
        <v/>
      </c>
      <c r="V543" s="8">
        <f>$AC$12+D543*$AC$13+E543*$AC$14+F543*$AC$15+G543*$AC$16+H543*$AC$17+I543*$AC$18+J543*$AC$19+K543*$AC$20+L543*$AC$21+M543*$AC$22+N543*$AC$23+O543*$AC$24+P543*$AC$25+Q543*$AC$26+R543*$AC$27+S543*$AC$28+T543*$AC$29+U543*$AC$30</f>
        <v/>
      </c>
      <c r="W543" s="8">
        <f>1/(1+EXP(-V543))</f>
        <v/>
      </c>
      <c r="X543" s="9">
        <f>-IF(C543=1,LN(W543),LN(1-W543))</f>
        <v/>
      </c>
      <c r="Y543" s="10">
        <f>IF(W543&gt;$AC$34,1,0)</f>
        <v/>
      </c>
      <c r="Z543">
        <f>IF(Y543=C543,1,0)</f>
        <v/>
      </c>
    </row>
    <row r="544">
      <c r="A544">
        <f>'1 prepared data'!A537</f>
        <v/>
      </c>
      <c r="B544" s="5">
        <f>'1 prepared data'!U537</f>
        <v/>
      </c>
      <c r="C544">
        <f>'1 prepared data'!B537</f>
        <v/>
      </c>
      <c r="D544" s="7">
        <f>'1 prepared data'!C537</f>
        <v/>
      </c>
      <c r="E544" s="7">
        <f>'1 prepared data'!D537</f>
        <v/>
      </c>
      <c r="F544" s="7">
        <f>'1 prepared data'!E537</f>
        <v/>
      </c>
      <c r="G544" s="7">
        <f>'1 prepared data'!F537</f>
        <v/>
      </c>
      <c r="H544" s="7">
        <f>'1 prepared data'!G537</f>
        <v/>
      </c>
      <c r="I544" s="7">
        <f>'1 prepared data'!H537</f>
        <v/>
      </c>
      <c r="J544" s="7">
        <f>'1 prepared data'!I537</f>
        <v/>
      </c>
      <c r="K544" s="7">
        <f>'1 prepared data'!J537</f>
        <v/>
      </c>
      <c r="L544" s="7">
        <f>'1 prepared data'!K537</f>
        <v/>
      </c>
      <c r="M544" s="7">
        <f>'1 prepared data'!L537</f>
        <v/>
      </c>
      <c r="N544" s="7">
        <f>'1 prepared data'!M537</f>
        <v/>
      </c>
      <c r="O544" s="7">
        <f>'1 prepared data'!N537</f>
        <v/>
      </c>
      <c r="P544" s="7">
        <f>'1 prepared data'!O537</f>
        <v/>
      </c>
      <c r="Q544" s="7">
        <f>'1 prepared data'!P537</f>
        <v/>
      </c>
      <c r="R544" s="7">
        <f>'1 prepared data'!Q537</f>
        <v/>
      </c>
      <c r="S544" s="7">
        <f>'1 prepared data'!R537</f>
        <v/>
      </c>
      <c r="T544" s="7">
        <f>'1 prepared data'!S537</f>
        <v/>
      </c>
      <c r="U544" s="7">
        <f>'1 prepared data'!T537</f>
        <v/>
      </c>
      <c r="V544" s="8">
        <f>$AC$12+D544*$AC$13+E544*$AC$14+F544*$AC$15+G544*$AC$16+H544*$AC$17+I544*$AC$18+J544*$AC$19+K544*$AC$20+L544*$AC$21+M544*$AC$22+N544*$AC$23+O544*$AC$24+P544*$AC$25+Q544*$AC$26+R544*$AC$27+S544*$AC$28+T544*$AC$29+U544*$AC$30</f>
        <v/>
      </c>
      <c r="W544" s="8">
        <f>1/(1+EXP(-V544))</f>
        <v/>
      </c>
      <c r="X544" s="9">
        <f>-IF(C544=1,LN(W544),LN(1-W544))</f>
        <v/>
      </c>
      <c r="Y544" s="10">
        <f>IF(W544&gt;$AC$34,1,0)</f>
        <v/>
      </c>
      <c r="Z544">
        <f>IF(Y544=C544,1,0)</f>
        <v/>
      </c>
    </row>
    <row r="545">
      <c r="A545">
        <f>'1 prepared data'!A538</f>
        <v/>
      </c>
      <c r="B545" s="5">
        <f>'1 prepared data'!U538</f>
        <v/>
      </c>
      <c r="C545">
        <f>'1 prepared data'!B538</f>
        <v/>
      </c>
      <c r="D545" s="7">
        <f>'1 prepared data'!C538</f>
        <v/>
      </c>
      <c r="E545" s="7">
        <f>'1 prepared data'!D538</f>
        <v/>
      </c>
      <c r="F545" s="7">
        <f>'1 prepared data'!E538</f>
        <v/>
      </c>
      <c r="G545" s="7">
        <f>'1 prepared data'!F538</f>
        <v/>
      </c>
      <c r="H545" s="7">
        <f>'1 prepared data'!G538</f>
        <v/>
      </c>
      <c r="I545" s="7">
        <f>'1 prepared data'!H538</f>
        <v/>
      </c>
      <c r="J545" s="7">
        <f>'1 prepared data'!I538</f>
        <v/>
      </c>
      <c r="K545" s="7">
        <f>'1 prepared data'!J538</f>
        <v/>
      </c>
      <c r="L545" s="7">
        <f>'1 prepared data'!K538</f>
        <v/>
      </c>
      <c r="M545" s="7">
        <f>'1 prepared data'!L538</f>
        <v/>
      </c>
      <c r="N545" s="7">
        <f>'1 prepared data'!M538</f>
        <v/>
      </c>
      <c r="O545" s="7">
        <f>'1 prepared data'!N538</f>
        <v/>
      </c>
      <c r="P545" s="7">
        <f>'1 prepared data'!O538</f>
        <v/>
      </c>
      <c r="Q545" s="7">
        <f>'1 prepared data'!P538</f>
        <v/>
      </c>
      <c r="R545" s="7">
        <f>'1 prepared data'!Q538</f>
        <v/>
      </c>
      <c r="S545" s="7">
        <f>'1 prepared data'!R538</f>
        <v/>
      </c>
      <c r="T545" s="7">
        <f>'1 prepared data'!S538</f>
        <v/>
      </c>
      <c r="U545" s="7">
        <f>'1 prepared data'!T538</f>
        <v/>
      </c>
      <c r="V545" s="8">
        <f>$AC$12+D545*$AC$13+E545*$AC$14+F545*$AC$15+G545*$AC$16+H545*$AC$17+I545*$AC$18+J545*$AC$19+K545*$AC$20+L545*$AC$21+M545*$AC$22+N545*$AC$23+O545*$AC$24+P545*$AC$25+Q545*$AC$26+R545*$AC$27+S545*$AC$28+T545*$AC$29+U545*$AC$30</f>
        <v/>
      </c>
      <c r="W545" s="8">
        <f>1/(1+EXP(-V545))</f>
        <v/>
      </c>
      <c r="X545" s="9">
        <f>-IF(C545=1,LN(W545),LN(1-W545))</f>
        <v/>
      </c>
      <c r="Y545" s="10">
        <f>IF(W545&gt;$AC$34,1,0)</f>
        <v/>
      </c>
      <c r="Z545">
        <f>IF(Y545=C545,1,0)</f>
        <v/>
      </c>
    </row>
    <row r="546">
      <c r="A546">
        <f>'1 prepared data'!A539</f>
        <v/>
      </c>
      <c r="B546" s="5">
        <f>'1 prepared data'!U539</f>
        <v/>
      </c>
      <c r="C546">
        <f>'1 prepared data'!B539</f>
        <v/>
      </c>
      <c r="D546" s="7">
        <f>'1 prepared data'!C539</f>
        <v/>
      </c>
      <c r="E546" s="7">
        <f>'1 prepared data'!D539</f>
        <v/>
      </c>
      <c r="F546" s="7">
        <f>'1 prepared data'!E539</f>
        <v/>
      </c>
      <c r="G546" s="7">
        <f>'1 prepared data'!F539</f>
        <v/>
      </c>
      <c r="H546" s="7">
        <f>'1 prepared data'!G539</f>
        <v/>
      </c>
      <c r="I546" s="7">
        <f>'1 prepared data'!H539</f>
        <v/>
      </c>
      <c r="J546" s="7">
        <f>'1 prepared data'!I539</f>
        <v/>
      </c>
      <c r="K546" s="7">
        <f>'1 prepared data'!J539</f>
        <v/>
      </c>
      <c r="L546" s="7">
        <f>'1 prepared data'!K539</f>
        <v/>
      </c>
      <c r="M546" s="7">
        <f>'1 prepared data'!L539</f>
        <v/>
      </c>
      <c r="N546" s="7">
        <f>'1 prepared data'!M539</f>
        <v/>
      </c>
      <c r="O546" s="7">
        <f>'1 prepared data'!N539</f>
        <v/>
      </c>
      <c r="P546" s="7">
        <f>'1 prepared data'!O539</f>
        <v/>
      </c>
      <c r="Q546" s="7">
        <f>'1 prepared data'!P539</f>
        <v/>
      </c>
      <c r="R546" s="7">
        <f>'1 prepared data'!Q539</f>
        <v/>
      </c>
      <c r="S546" s="7">
        <f>'1 prepared data'!R539</f>
        <v/>
      </c>
      <c r="T546" s="7">
        <f>'1 prepared data'!S539</f>
        <v/>
      </c>
      <c r="U546" s="7">
        <f>'1 prepared data'!T539</f>
        <v/>
      </c>
      <c r="V546" s="8">
        <f>$AC$12+D546*$AC$13+E546*$AC$14+F546*$AC$15+G546*$AC$16+H546*$AC$17+I546*$AC$18+J546*$AC$19+K546*$AC$20+L546*$AC$21+M546*$AC$22+N546*$AC$23+O546*$AC$24+P546*$AC$25+Q546*$AC$26+R546*$AC$27+S546*$AC$28+T546*$AC$29+U546*$AC$30</f>
        <v/>
      </c>
      <c r="W546" s="8">
        <f>1/(1+EXP(-V546))</f>
        <v/>
      </c>
      <c r="X546" s="9">
        <f>-IF(C546=1,LN(W546),LN(1-W546))</f>
        <v/>
      </c>
      <c r="Y546" s="10">
        <f>IF(W546&gt;$AC$34,1,0)</f>
        <v/>
      </c>
      <c r="Z546">
        <f>IF(Y546=C546,1,0)</f>
        <v/>
      </c>
    </row>
    <row r="547">
      <c r="A547">
        <f>'1 prepared data'!A540</f>
        <v/>
      </c>
      <c r="B547" s="5">
        <f>'1 prepared data'!U540</f>
        <v/>
      </c>
      <c r="C547">
        <f>'1 prepared data'!B540</f>
        <v/>
      </c>
      <c r="D547" s="7">
        <f>'1 prepared data'!C540</f>
        <v/>
      </c>
      <c r="E547" s="7">
        <f>'1 prepared data'!D540</f>
        <v/>
      </c>
      <c r="F547" s="7">
        <f>'1 prepared data'!E540</f>
        <v/>
      </c>
      <c r="G547" s="7">
        <f>'1 prepared data'!F540</f>
        <v/>
      </c>
      <c r="H547" s="7">
        <f>'1 prepared data'!G540</f>
        <v/>
      </c>
      <c r="I547" s="7">
        <f>'1 prepared data'!H540</f>
        <v/>
      </c>
      <c r="J547" s="7">
        <f>'1 prepared data'!I540</f>
        <v/>
      </c>
      <c r="K547" s="7">
        <f>'1 prepared data'!J540</f>
        <v/>
      </c>
      <c r="L547" s="7">
        <f>'1 prepared data'!K540</f>
        <v/>
      </c>
      <c r="M547" s="7">
        <f>'1 prepared data'!L540</f>
        <v/>
      </c>
      <c r="N547" s="7">
        <f>'1 prepared data'!M540</f>
        <v/>
      </c>
      <c r="O547" s="7">
        <f>'1 prepared data'!N540</f>
        <v/>
      </c>
      <c r="P547" s="7">
        <f>'1 prepared data'!O540</f>
        <v/>
      </c>
      <c r="Q547" s="7">
        <f>'1 prepared data'!P540</f>
        <v/>
      </c>
      <c r="R547" s="7">
        <f>'1 prepared data'!Q540</f>
        <v/>
      </c>
      <c r="S547" s="7">
        <f>'1 prepared data'!R540</f>
        <v/>
      </c>
      <c r="T547" s="7">
        <f>'1 prepared data'!S540</f>
        <v/>
      </c>
      <c r="U547" s="7">
        <f>'1 prepared data'!T540</f>
        <v/>
      </c>
      <c r="V547" s="8">
        <f>$AC$12+D547*$AC$13+E547*$AC$14+F547*$AC$15+G547*$AC$16+H547*$AC$17+I547*$AC$18+J547*$AC$19+K547*$AC$20+L547*$AC$21+M547*$AC$22+N547*$AC$23+O547*$AC$24+P547*$AC$25+Q547*$AC$26+R547*$AC$27+S547*$AC$28+T547*$AC$29+U547*$AC$30</f>
        <v/>
      </c>
      <c r="W547" s="8">
        <f>1/(1+EXP(-V547))</f>
        <v/>
      </c>
      <c r="X547" s="9">
        <f>-IF(C547=1,LN(W547),LN(1-W547))</f>
        <v/>
      </c>
      <c r="Y547" s="10">
        <f>IF(W547&gt;$AC$34,1,0)</f>
        <v/>
      </c>
      <c r="Z547">
        <f>IF(Y547=C547,1,0)</f>
        <v/>
      </c>
    </row>
    <row r="548">
      <c r="A548">
        <f>'1 prepared data'!A541</f>
        <v/>
      </c>
      <c r="B548" s="5">
        <f>'1 prepared data'!U541</f>
        <v/>
      </c>
      <c r="C548">
        <f>'1 prepared data'!B541</f>
        <v/>
      </c>
      <c r="D548" s="7">
        <f>'1 prepared data'!C541</f>
        <v/>
      </c>
      <c r="E548" s="7">
        <f>'1 prepared data'!D541</f>
        <v/>
      </c>
      <c r="F548" s="7">
        <f>'1 prepared data'!E541</f>
        <v/>
      </c>
      <c r="G548" s="7">
        <f>'1 prepared data'!F541</f>
        <v/>
      </c>
      <c r="H548" s="7">
        <f>'1 prepared data'!G541</f>
        <v/>
      </c>
      <c r="I548" s="7">
        <f>'1 prepared data'!H541</f>
        <v/>
      </c>
      <c r="J548" s="7">
        <f>'1 prepared data'!I541</f>
        <v/>
      </c>
      <c r="K548" s="7">
        <f>'1 prepared data'!J541</f>
        <v/>
      </c>
      <c r="L548" s="7">
        <f>'1 prepared data'!K541</f>
        <v/>
      </c>
      <c r="M548" s="7">
        <f>'1 prepared data'!L541</f>
        <v/>
      </c>
      <c r="N548" s="7">
        <f>'1 prepared data'!M541</f>
        <v/>
      </c>
      <c r="O548" s="7">
        <f>'1 prepared data'!N541</f>
        <v/>
      </c>
      <c r="P548" s="7">
        <f>'1 prepared data'!O541</f>
        <v/>
      </c>
      <c r="Q548" s="7">
        <f>'1 prepared data'!P541</f>
        <v/>
      </c>
      <c r="R548" s="7">
        <f>'1 prepared data'!Q541</f>
        <v/>
      </c>
      <c r="S548" s="7">
        <f>'1 prepared data'!R541</f>
        <v/>
      </c>
      <c r="T548" s="7">
        <f>'1 prepared data'!S541</f>
        <v/>
      </c>
      <c r="U548" s="7">
        <f>'1 prepared data'!T541</f>
        <v/>
      </c>
      <c r="V548" s="8">
        <f>$AC$12+D548*$AC$13+E548*$AC$14+F548*$AC$15+G548*$AC$16+H548*$AC$17+I548*$AC$18+J548*$AC$19+K548*$AC$20+L548*$AC$21+M548*$AC$22+N548*$AC$23+O548*$AC$24+P548*$AC$25+Q548*$AC$26+R548*$AC$27+S548*$AC$28+T548*$AC$29+U548*$AC$30</f>
        <v/>
      </c>
      <c r="W548" s="8">
        <f>1/(1+EXP(-V548))</f>
        <v/>
      </c>
      <c r="X548" s="9">
        <f>-IF(C548=1,LN(W548),LN(1-W548))</f>
        <v/>
      </c>
      <c r="Y548" s="10">
        <f>IF(W548&gt;$AC$34,1,0)</f>
        <v/>
      </c>
      <c r="Z548">
        <f>IF(Y548=C548,1,0)</f>
        <v/>
      </c>
    </row>
    <row r="549">
      <c r="A549">
        <f>'1 prepared data'!A542</f>
        <v/>
      </c>
      <c r="B549" s="5">
        <f>'1 prepared data'!U542</f>
        <v/>
      </c>
      <c r="C549">
        <f>'1 prepared data'!B542</f>
        <v/>
      </c>
      <c r="D549" s="7">
        <f>'1 prepared data'!C542</f>
        <v/>
      </c>
      <c r="E549" s="7">
        <f>'1 prepared data'!D542</f>
        <v/>
      </c>
      <c r="F549" s="7">
        <f>'1 prepared data'!E542</f>
        <v/>
      </c>
      <c r="G549" s="7">
        <f>'1 prepared data'!F542</f>
        <v/>
      </c>
      <c r="H549" s="7">
        <f>'1 prepared data'!G542</f>
        <v/>
      </c>
      <c r="I549" s="7">
        <f>'1 prepared data'!H542</f>
        <v/>
      </c>
      <c r="J549" s="7">
        <f>'1 prepared data'!I542</f>
        <v/>
      </c>
      <c r="K549" s="7">
        <f>'1 prepared data'!J542</f>
        <v/>
      </c>
      <c r="L549" s="7">
        <f>'1 prepared data'!K542</f>
        <v/>
      </c>
      <c r="M549" s="7">
        <f>'1 prepared data'!L542</f>
        <v/>
      </c>
      <c r="N549" s="7">
        <f>'1 prepared data'!M542</f>
        <v/>
      </c>
      <c r="O549" s="7">
        <f>'1 prepared data'!N542</f>
        <v/>
      </c>
      <c r="P549" s="7">
        <f>'1 prepared data'!O542</f>
        <v/>
      </c>
      <c r="Q549" s="7">
        <f>'1 prepared data'!P542</f>
        <v/>
      </c>
      <c r="R549" s="7">
        <f>'1 prepared data'!Q542</f>
        <v/>
      </c>
      <c r="S549" s="7">
        <f>'1 prepared data'!R542</f>
        <v/>
      </c>
      <c r="T549" s="7">
        <f>'1 prepared data'!S542</f>
        <v/>
      </c>
      <c r="U549" s="7">
        <f>'1 prepared data'!T542</f>
        <v/>
      </c>
      <c r="V549" s="8">
        <f>$AC$12+D549*$AC$13+E549*$AC$14+F549*$AC$15+G549*$AC$16+H549*$AC$17+I549*$AC$18+J549*$AC$19+K549*$AC$20+L549*$AC$21+M549*$AC$22+N549*$AC$23+O549*$AC$24+P549*$AC$25+Q549*$AC$26+R549*$AC$27+S549*$AC$28+T549*$AC$29+U549*$AC$30</f>
        <v/>
      </c>
      <c r="W549" s="8">
        <f>1/(1+EXP(-V549))</f>
        <v/>
      </c>
      <c r="X549" s="9">
        <f>-IF(C549=1,LN(W549),LN(1-W549))</f>
        <v/>
      </c>
      <c r="Y549" s="10">
        <f>IF(W549&gt;$AC$34,1,0)</f>
        <v/>
      </c>
      <c r="Z549">
        <f>IF(Y549=C549,1,0)</f>
        <v/>
      </c>
    </row>
    <row r="550">
      <c r="A550">
        <f>'1 prepared data'!A543</f>
        <v/>
      </c>
      <c r="B550" s="5">
        <f>'1 prepared data'!U543</f>
        <v/>
      </c>
      <c r="C550">
        <f>'1 prepared data'!B543</f>
        <v/>
      </c>
      <c r="D550" s="7">
        <f>'1 prepared data'!C543</f>
        <v/>
      </c>
      <c r="E550" s="7">
        <f>'1 prepared data'!D543</f>
        <v/>
      </c>
      <c r="F550" s="7">
        <f>'1 prepared data'!E543</f>
        <v/>
      </c>
      <c r="G550" s="7">
        <f>'1 prepared data'!F543</f>
        <v/>
      </c>
      <c r="H550" s="7">
        <f>'1 prepared data'!G543</f>
        <v/>
      </c>
      <c r="I550" s="7">
        <f>'1 prepared data'!H543</f>
        <v/>
      </c>
      <c r="J550" s="7">
        <f>'1 prepared data'!I543</f>
        <v/>
      </c>
      <c r="K550" s="7">
        <f>'1 prepared data'!J543</f>
        <v/>
      </c>
      <c r="L550" s="7">
        <f>'1 prepared data'!K543</f>
        <v/>
      </c>
      <c r="M550" s="7">
        <f>'1 prepared data'!L543</f>
        <v/>
      </c>
      <c r="N550" s="7">
        <f>'1 prepared data'!M543</f>
        <v/>
      </c>
      <c r="O550" s="7">
        <f>'1 prepared data'!N543</f>
        <v/>
      </c>
      <c r="P550" s="7">
        <f>'1 prepared data'!O543</f>
        <v/>
      </c>
      <c r="Q550" s="7">
        <f>'1 prepared data'!P543</f>
        <v/>
      </c>
      <c r="R550" s="7">
        <f>'1 prepared data'!Q543</f>
        <v/>
      </c>
      <c r="S550" s="7">
        <f>'1 prepared data'!R543</f>
        <v/>
      </c>
      <c r="T550" s="7">
        <f>'1 prepared data'!S543</f>
        <v/>
      </c>
      <c r="U550" s="7">
        <f>'1 prepared data'!T543</f>
        <v/>
      </c>
      <c r="V550" s="8">
        <f>$AC$12+D550*$AC$13+E550*$AC$14+F550*$AC$15+G550*$AC$16+H550*$AC$17+I550*$AC$18+J550*$AC$19+K550*$AC$20+L550*$AC$21+M550*$AC$22+N550*$AC$23+O550*$AC$24+P550*$AC$25+Q550*$AC$26+R550*$AC$27+S550*$AC$28+T550*$AC$29+U550*$AC$30</f>
        <v/>
      </c>
      <c r="W550" s="8">
        <f>1/(1+EXP(-V550))</f>
        <v/>
      </c>
      <c r="X550" s="9">
        <f>-IF(C550=1,LN(W550),LN(1-W550))</f>
        <v/>
      </c>
      <c r="Y550" s="10">
        <f>IF(W550&gt;$AC$34,1,0)</f>
        <v/>
      </c>
      <c r="Z550">
        <f>IF(Y550=C550,1,0)</f>
        <v/>
      </c>
    </row>
    <row r="551">
      <c r="A551">
        <f>'1 prepared data'!A544</f>
        <v/>
      </c>
      <c r="B551" s="5">
        <f>'1 prepared data'!U544</f>
        <v/>
      </c>
      <c r="C551">
        <f>'1 prepared data'!B544</f>
        <v/>
      </c>
      <c r="D551" s="7">
        <f>'1 prepared data'!C544</f>
        <v/>
      </c>
      <c r="E551" s="7">
        <f>'1 prepared data'!D544</f>
        <v/>
      </c>
      <c r="F551" s="7">
        <f>'1 prepared data'!E544</f>
        <v/>
      </c>
      <c r="G551" s="7">
        <f>'1 prepared data'!F544</f>
        <v/>
      </c>
      <c r="H551" s="7">
        <f>'1 prepared data'!G544</f>
        <v/>
      </c>
      <c r="I551" s="7">
        <f>'1 prepared data'!H544</f>
        <v/>
      </c>
      <c r="J551" s="7">
        <f>'1 prepared data'!I544</f>
        <v/>
      </c>
      <c r="K551" s="7">
        <f>'1 prepared data'!J544</f>
        <v/>
      </c>
      <c r="L551" s="7">
        <f>'1 prepared data'!K544</f>
        <v/>
      </c>
      <c r="M551" s="7">
        <f>'1 prepared data'!L544</f>
        <v/>
      </c>
      <c r="N551" s="7">
        <f>'1 prepared data'!M544</f>
        <v/>
      </c>
      <c r="O551" s="7">
        <f>'1 prepared data'!N544</f>
        <v/>
      </c>
      <c r="P551" s="7">
        <f>'1 prepared data'!O544</f>
        <v/>
      </c>
      <c r="Q551" s="7">
        <f>'1 prepared data'!P544</f>
        <v/>
      </c>
      <c r="R551" s="7">
        <f>'1 prepared data'!Q544</f>
        <v/>
      </c>
      <c r="S551" s="7">
        <f>'1 prepared data'!R544</f>
        <v/>
      </c>
      <c r="T551" s="7">
        <f>'1 prepared data'!S544</f>
        <v/>
      </c>
      <c r="U551" s="7">
        <f>'1 prepared data'!T544</f>
        <v/>
      </c>
      <c r="V551" s="8">
        <f>$AC$12+D551*$AC$13+E551*$AC$14+F551*$AC$15+G551*$AC$16+H551*$AC$17+I551*$AC$18+J551*$AC$19+K551*$AC$20+L551*$AC$21+M551*$AC$22+N551*$AC$23+O551*$AC$24+P551*$AC$25+Q551*$AC$26+R551*$AC$27+S551*$AC$28+T551*$AC$29+U551*$AC$30</f>
        <v/>
      </c>
      <c r="W551" s="8">
        <f>1/(1+EXP(-V551))</f>
        <v/>
      </c>
      <c r="X551" s="9">
        <f>-IF(C551=1,LN(W551),LN(1-W551))</f>
        <v/>
      </c>
      <c r="Y551" s="10">
        <f>IF(W551&gt;$AC$34,1,0)</f>
        <v/>
      </c>
      <c r="Z551">
        <f>IF(Y551=C551,1,0)</f>
        <v/>
      </c>
    </row>
    <row r="552">
      <c r="A552">
        <f>'1 prepared data'!A545</f>
        <v/>
      </c>
      <c r="B552" s="5">
        <f>'1 prepared data'!U545</f>
        <v/>
      </c>
      <c r="C552">
        <f>'1 prepared data'!B545</f>
        <v/>
      </c>
      <c r="D552" s="7">
        <f>'1 prepared data'!C545</f>
        <v/>
      </c>
      <c r="E552" s="7">
        <f>'1 prepared data'!D545</f>
        <v/>
      </c>
      <c r="F552" s="7">
        <f>'1 prepared data'!E545</f>
        <v/>
      </c>
      <c r="G552" s="7">
        <f>'1 prepared data'!F545</f>
        <v/>
      </c>
      <c r="H552" s="7">
        <f>'1 prepared data'!G545</f>
        <v/>
      </c>
      <c r="I552" s="7">
        <f>'1 prepared data'!H545</f>
        <v/>
      </c>
      <c r="J552" s="7">
        <f>'1 prepared data'!I545</f>
        <v/>
      </c>
      <c r="K552" s="7">
        <f>'1 prepared data'!J545</f>
        <v/>
      </c>
      <c r="L552" s="7">
        <f>'1 prepared data'!K545</f>
        <v/>
      </c>
      <c r="M552" s="7">
        <f>'1 prepared data'!L545</f>
        <v/>
      </c>
      <c r="N552" s="7">
        <f>'1 prepared data'!M545</f>
        <v/>
      </c>
      <c r="O552" s="7">
        <f>'1 prepared data'!N545</f>
        <v/>
      </c>
      <c r="P552" s="7">
        <f>'1 prepared data'!O545</f>
        <v/>
      </c>
      <c r="Q552" s="7">
        <f>'1 prepared data'!P545</f>
        <v/>
      </c>
      <c r="R552" s="7">
        <f>'1 prepared data'!Q545</f>
        <v/>
      </c>
      <c r="S552" s="7">
        <f>'1 prepared data'!R545</f>
        <v/>
      </c>
      <c r="T552" s="7">
        <f>'1 prepared data'!S545</f>
        <v/>
      </c>
      <c r="U552" s="7">
        <f>'1 prepared data'!T545</f>
        <v/>
      </c>
      <c r="V552" s="8">
        <f>$AC$12+D552*$AC$13+E552*$AC$14+F552*$AC$15+G552*$AC$16+H552*$AC$17+I552*$AC$18+J552*$AC$19+K552*$AC$20+L552*$AC$21+M552*$AC$22+N552*$AC$23+O552*$AC$24+P552*$AC$25+Q552*$AC$26+R552*$AC$27+S552*$AC$28+T552*$AC$29+U552*$AC$30</f>
        <v/>
      </c>
      <c r="W552" s="8">
        <f>1/(1+EXP(-V552))</f>
        <v/>
      </c>
      <c r="X552" s="9">
        <f>-IF(C552=1,LN(W552),LN(1-W552))</f>
        <v/>
      </c>
      <c r="Y552" s="10">
        <f>IF(W552&gt;$AC$34,1,0)</f>
        <v/>
      </c>
      <c r="Z552">
        <f>IF(Y552=C552,1,0)</f>
        <v/>
      </c>
    </row>
    <row r="553">
      <c r="A553">
        <f>'1 prepared data'!A546</f>
        <v/>
      </c>
      <c r="B553" s="5">
        <f>'1 prepared data'!U546</f>
        <v/>
      </c>
      <c r="C553">
        <f>'1 prepared data'!B546</f>
        <v/>
      </c>
      <c r="D553" s="7">
        <f>'1 prepared data'!C546</f>
        <v/>
      </c>
      <c r="E553" s="7">
        <f>'1 prepared data'!D546</f>
        <v/>
      </c>
      <c r="F553" s="7">
        <f>'1 prepared data'!E546</f>
        <v/>
      </c>
      <c r="G553" s="7">
        <f>'1 prepared data'!F546</f>
        <v/>
      </c>
      <c r="H553" s="7">
        <f>'1 prepared data'!G546</f>
        <v/>
      </c>
      <c r="I553" s="7">
        <f>'1 prepared data'!H546</f>
        <v/>
      </c>
      <c r="J553" s="7">
        <f>'1 prepared data'!I546</f>
        <v/>
      </c>
      <c r="K553" s="7">
        <f>'1 prepared data'!J546</f>
        <v/>
      </c>
      <c r="L553" s="7">
        <f>'1 prepared data'!K546</f>
        <v/>
      </c>
      <c r="M553" s="7">
        <f>'1 prepared data'!L546</f>
        <v/>
      </c>
      <c r="N553" s="7">
        <f>'1 prepared data'!M546</f>
        <v/>
      </c>
      <c r="O553" s="7">
        <f>'1 prepared data'!N546</f>
        <v/>
      </c>
      <c r="P553" s="7">
        <f>'1 prepared data'!O546</f>
        <v/>
      </c>
      <c r="Q553" s="7">
        <f>'1 prepared data'!P546</f>
        <v/>
      </c>
      <c r="R553" s="7">
        <f>'1 prepared data'!Q546</f>
        <v/>
      </c>
      <c r="S553" s="7">
        <f>'1 prepared data'!R546</f>
        <v/>
      </c>
      <c r="T553" s="7">
        <f>'1 prepared data'!S546</f>
        <v/>
      </c>
      <c r="U553" s="7">
        <f>'1 prepared data'!T546</f>
        <v/>
      </c>
      <c r="V553" s="8">
        <f>$AC$12+D553*$AC$13+E553*$AC$14+F553*$AC$15+G553*$AC$16+H553*$AC$17+I553*$AC$18+J553*$AC$19+K553*$AC$20+L553*$AC$21+M553*$AC$22+N553*$AC$23+O553*$AC$24+P553*$AC$25+Q553*$AC$26+R553*$AC$27+S553*$AC$28+T553*$AC$29+U553*$AC$30</f>
        <v/>
      </c>
      <c r="W553" s="8">
        <f>1/(1+EXP(-V553))</f>
        <v/>
      </c>
      <c r="X553" s="9">
        <f>-IF(C553=1,LN(W553),LN(1-W553))</f>
        <v/>
      </c>
      <c r="Y553" s="10">
        <f>IF(W553&gt;$AC$34,1,0)</f>
        <v/>
      </c>
      <c r="Z553">
        <f>IF(Y553=C553,1,0)</f>
        <v/>
      </c>
    </row>
    <row r="554">
      <c r="A554">
        <f>'1 prepared data'!A547</f>
        <v/>
      </c>
      <c r="B554" s="5">
        <f>'1 prepared data'!U547</f>
        <v/>
      </c>
      <c r="C554">
        <f>'1 prepared data'!B547</f>
        <v/>
      </c>
      <c r="D554" s="7">
        <f>'1 prepared data'!C547</f>
        <v/>
      </c>
      <c r="E554" s="7">
        <f>'1 prepared data'!D547</f>
        <v/>
      </c>
      <c r="F554" s="7">
        <f>'1 prepared data'!E547</f>
        <v/>
      </c>
      <c r="G554" s="7">
        <f>'1 prepared data'!F547</f>
        <v/>
      </c>
      <c r="H554" s="7">
        <f>'1 prepared data'!G547</f>
        <v/>
      </c>
      <c r="I554" s="7">
        <f>'1 prepared data'!H547</f>
        <v/>
      </c>
      <c r="J554" s="7">
        <f>'1 prepared data'!I547</f>
        <v/>
      </c>
      <c r="K554" s="7">
        <f>'1 prepared data'!J547</f>
        <v/>
      </c>
      <c r="L554" s="7">
        <f>'1 prepared data'!K547</f>
        <v/>
      </c>
      <c r="M554" s="7">
        <f>'1 prepared data'!L547</f>
        <v/>
      </c>
      <c r="N554" s="7">
        <f>'1 prepared data'!M547</f>
        <v/>
      </c>
      <c r="O554" s="7">
        <f>'1 prepared data'!N547</f>
        <v/>
      </c>
      <c r="P554" s="7">
        <f>'1 prepared data'!O547</f>
        <v/>
      </c>
      <c r="Q554" s="7">
        <f>'1 prepared data'!P547</f>
        <v/>
      </c>
      <c r="R554" s="7">
        <f>'1 prepared data'!Q547</f>
        <v/>
      </c>
      <c r="S554" s="7">
        <f>'1 prepared data'!R547</f>
        <v/>
      </c>
      <c r="T554" s="7">
        <f>'1 prepared data'!S547</f>
        <v/>
      </c>
      <c r="U554" s="7">
        <f>'1 prepared data'!T547</f>
        <v/>
      </c>
      <c r="V554" s="8">
        <f>$AC$12+D554*$AC$13+E554*$AC$14+F554*$AC$15+G554*$AC$16+H554*$AC$17+I554*$AC$18+J554*$AC$19+K554*$AC$20+L554*$AC$21+M554*$AC$22+N554*$AC$23+O554*$AC$24+P554*$AC$25+Q554*$AC$26+R554*$AC$27+S554*$AC$28+T554*$AC$29+U554*$AC$30</f>
        <v/>
      </c>
      <c r="W554" s="8">
        <f>1/(1+EXP(-V554))</f>
        <v/>
      </c>
      <c r="X554" s="9">
        <f>-IF(C554=1,LN(W554),LN(1-W554))</f>
        <v/>
      </c>
      <c r="Y554" s="10">
        <f>IF(W554&gt;$AC$34,1,0)</f>
        <v/>
      </c>
      <c r="Z554">
        <f>IF(Y554=C554,1,0)</f>
        <v/>
      </c>
    </row>
    <row r="555">
      <c r="A555">
        <f>'1 prepared data'!A548</f>
        <v/>
      </c>
      <c r="B555" s="5">
        <f>'1 prepared data'!U548</f>
        <v/>
      </c>
      <c r="C555">
        <f>'1 prepared data'!B548</f>
        <v/>
      </c>
      <c r="D555" s="7">
        <f>'1 prepared data'!C548</f>
        <v/>
      </c>
      <c r="E555" s="7">
        <f>'1 prepared data'!D548</f>
        <v/>
      </c>
      <c r="F555" s="7">
        <f>'1 prepared data'!E548</f>
        <v/>
      </c>
      <c r="G555" s="7">
        <f>'1 prepared data'!F548</f>
        <v/>
      </c>
      <c r="H555" s="7">
        <f>'1 prepared data'!G548</f>
        <v/>
      </c>
      <c r="I555" s="7">
        <f>'1 prepared data'!H548</f>
        <v/>
      </c>
      <c r="J555" s="7">
        <f>'1 prepared data'!I548</f>
        <v/>
      </c>
      <c r="K555" s="7">
        <f>'1 prepared data'!J548</f>
        <v/>
      </c>
      <c r="L555" s="7">
        <f>'1 prepared data'!K548</f>
        <v/>
      </c>
      <c r="M555" s="7">
        <f>'1 prepared data'!L548</f>
        <v/>
      </c>
      <c r="N555" s="7">
        <f>'1 prepared data'!M548</f>
        <v/>
      </c>
      <c r="O555" s="7">
        <f>'1 prepared data'!N548</f>
        <v/>
      </c>
      <c r="P555" s="7">
        <f>'1 prepared data'!O548</f>
        <v/>
      </c>
      <c r="Q555" s="7">
        <f>'1 prepared data'!P548</f>
        <v/>
      </c>
      <c r="R555" s="7">
        <f>'1 prepared data'!Q548</f>
        <v/>
      </c>
      <c r="S555" s="7">
        <f>'1 prepared data'!R548</f>
        <v/>
      </c>
      <c r="T555" s="7">
        <f>'1 prepared data'!S548</f>
        <v/>
      </c>
      <c r="U555" s="7">
        <f>'1 prepared data'!T548</f>
        <v/>
      </c>
      <c r="V555" s="8">
        <f>$AC$12+D555*$AC$13+E555*$AC$14+F555*$AC$15+G555*$AC$16+H555*$AC$17+I555*$AC$18+J555*$AC$19+K555*$AC$20+L555*$AC$21+M555*$AC$22+N555*$AC$23+O555*$AC$24+P555*$AC$25+Q555*$AC$26+R555*$AC$27+S555*$AC$28+T555*$AC$29+U555*$AC$30</f>
        <v/>
      </c>
      <c r="W555" s="8">
        <f>1/(1+EXP(-V555))</f>
        <v/>
      </c>
      <c r="X555" s="9">
        <f>-IF(C555=1,LN(W555),LN(1-W555))</f>
        <v/>
      </c>
      <c r="Y555" s="10">
        <f>IF(W555&gt;$AC$34,1,0)</f>
        <v/>
      </c>
      <c r="Z555">
        <f>IF(Y555=C555,1,0)</f>
        <v/>
      </c>
    </row>
    <row r="556">
      <c r="A556">
        <f>'1 prepared data'!A549</f>
        <v/>
      </c>
      <c r="B556" s="5">
        <f>'1 prepared data'!U549</f>
        <v/>
      </c>
      <c r="C556">
        <f>'1 prepared data'!B549</f>
        <v/>
      </c>
      <c r="D556" s="7">
        <f>'1 prepared data'!C549</f>
        <v/>
      </c>
      <c r="E556" s="7">
        <f>'1 prepared data'!D549</f>
        <v/>
      </c>
      <c r="F556" s="7">
        <f>'1 prepared data'!E549</f>
        <v/>
      </c>
      <c r="G556" s="7">
        <f>'1 prepared data'!F549</f>
        <v/>
      </c>
      <c r="H556" s="7">
        <f>'1 prepared data'!G549</f>
        <v/>
      </c>
      <c r="I556" s="7">
        <f>'1 prepared data'!H549</f>
        <v/>
      </c>
      <c r="J556" s="7">
        <f>'1 prepared data'!I549</f>
        <v/>
      </c>
      <c r="K556" s="7">
        <f>'1 prepared data'!J549</f>
        <v/>
      </c>
      <c r="L556" s="7">
        <f>'1 prepared data'!K549</f>
        <v/>
      </c>
      <c r="M556" s="7">
        <f>'1 prepared data'!L549</f>
        <v/>
      </c>
      <c r="N556" s="7">
        <f>'1 prepared data'!M549</f>
        <v/>
      </c>
      <c r="O556" s="7">
        <f>'1 prepared data'!N549</f>
        <v/>
      </c>
      <c r="P556" s="7">
        <f>'1 prepared data'!O549</f>
        <v/>
      </c>
      <c r="Q556" s="7">
        <f>'1 prepared data'!P549</f>
        <v/>
      </c>
      <c r="R556" s="7">
        <f>'1 prepared data'!Q549</f>
        <v/>
      </c>
      <c r="S556" s="7">
        <f>'1 prepared data'!R549</f>
        <v/>
      </c>
      <c r="T556" s="7">
        <f>'1 prepared data'!S549</f>
        <v/>
      </c>
      <c r="U556" s="7">
        <f>'1 prepared data'!T549</f>
        <v/>
      </c>
      <c r="V556" s="8">
        <f>$AC$12+D556*$AC$13+E556*$AC$14+F556*$AC$15+G556*$AC$16+H556*$AC$17+I556*$AC$18+J556*$AC$19+K556*$AC$20+L556*$AC$21+M556*$AC$22+N556*$AC$23+O556*$AC$24+P556*$AC$25+Q556*$AC$26+R556*$AC$27+S556*$AC$28+T556*$AC$29+U556*$AC$30</f>
        <v/>
      </c>
      <c r="W556" s="8">
        <f>1/(1+EXP(-V556))</f>
        <v/>
      </c>
      <c r="X556" s="9">
        <f>-IF(C556=1,LN(W556),LN(1-W556))</f>
        <v/>
      </c>
      <c r="Y556" s="10">
        <f>IF(W556&gt;$AC$34,1,0)</f>
        <v/>
      </c>
      <c r="Z556">
        <f>IF(Y556=C556,1,0)</f>
        <v/>
      </c>
    </row>
    <row r="557">
      <c r="A557">
        <f>'1 prepared data'!A550</f>
        <v/>
      </c>
      <c r="B557" s="5">
        <f>'1 prepared data'!U550</f>
        <v/>
      </c>
      <c r="C557">
        <f>'1 prepared data'!B550</f>
        <v/>
      </c>
      <c r="D557" s="7">
        <f>'1 prepared data'!C550</f>
        <v/>
      </c>
      <c r="E557" s="7">
        <f>'1 prepared data'!D550</f>
        <v/>
      </c>
      <c r="F557" s="7">
        <f>'1 prepared data'!E550</f>
        <v/>
      </c>
      <c r="G557" s="7">
        <f>'1 prepared data'!F550</f>
        <v/>
      </c>
      <c r="H557" s="7">
        <f>'1 prepared data'!G550</f>
        <v/>
      </c>
      <c r="I557" s="7">
        <f>'1 prepared data'!H550</f>
        <v/>
      </c>
      <c r="J557" s="7">
        <f>'1 prepared data'!I550</f>
        <v/>
      </c>
      <c r="K557" s="7">
        <f>'1 prepared data'!J550</f>
        <v/>
      </c>
      <c r="L557" s="7">
        <f>'1 prepared data'!K550</f>
        <v/>
      </c>
      <c r="M557" s="7">
        <f>'1 prepared data'!L550</f>
        <v/>
      </c>
      <c r="N557" s="7">
        <f>'1 prepared data'!M550</f>
        <v/>
      </c>
      <c r="O557" s="7">
        <f>'1 prepared data'!N550</f>
        <v/>
      </c>
      <c r="P557" s="7">
        <f>'1 prepared data'!O550</f>
        <v/>
      </c>
      <c r="Q557" s="7">
        <f>'1 prepared data'!P550</f>
        <v/>
      </c>
      <c r="R557" s="7">
        <f>'1 prepared data'!Q550</f>
        <v/>
      </c>
      <c r="S557" s="7">
        <f>'1 prepared data'!R550</f>
        <v/>
      </c>
      <c r="T557" s="7">
        <f>'1 prepared data'!S550</f>
        <v/>
      </c>
      <c r="U557" s="7">
        <f>'1 prepared data'!T550</f>
        <v/>
      </c>
      <c r="V557" s="8">
        <f>$AC$12+D557*$AC$13+E557*$AC$14+F557*$AC$15+G557*$AC$16+H557*$AC$17+I557*$AC$18+J557*$AC$19+K557*$AC$20+L557*$AC$21+M557*$AC$22+N557*$AC$23+O557*$AC$24+P557*$AC$25+Q557*$AC$26+R557*$AC$27+S557*$AC$28+T557*$AC$29+U557*$AC$30</f>
        <v/>
      </c>
      <c r="W557" s="8">
        <f>1/(1+EXP(-V557))</f>
        <v/>
      </c>
      <c r="X557" s="9">
        <f>-IF(C557=1,LN(W557),LN(1-W557))</f>
        <v/>
      </c>
      <c r="Y557" s="10">
        <f>IF(W557&gt;$AC$34,1,0)</f>
        <v/>
      </c>
      <c r="Z557">
        <f>IF(Y557=C557,1,0)</f>
        <v/>
      </c>
    </row>
    <row r="558">
      <c r="A558">
        <f>'1 prepared data'!A551</f>
        <v/>
      </c>
      <c r="B558" s="5">
        <f>'1 prepared data'!U551</f>
        <v/>
      </c>
      <c r="C558">
        <f>'1 prepared data'!B551</f>
        <v/>
      </c>
      <c r="D558" s="7">
        <f>'1 prepared data'!C551</f>
        <v/>
      </c>
      <c r="E558" s="7">
        <f>'1 prepared data'!D551</f>
        <v/>
      </c>
      <c r="F558" s="7">
        <f>'1 prepared data'!E551</f>
        <v/>
      </c>
      <c r="G558" s="7">
        <f>'1 prepared data'!F551</f>
        <v/>
      </c>
      <c r="H558" s="7">
        <f>'1 prepared data'!G551</f>
        <v/>
      </c>
      <c r="I558" s="7">
        <f>'1 prepared data'!H551</f>
        <v/>
      </c>
      <c r="J558" s="7">
        <f>'1 prepared data'!I551</f>
        <v/>
      </c>
      <c r="K558" s="7">
        <f>'1 prepared data'!J551</f>
        <v/>
      </c>
      <c r="L558" s="7">
        <f>'1 prepared data'!K551</f>
        <v/>
      </c>
      <c r="M558" s="7">
        <f>'1 prepared data'!L551</f>
        <v/>
      </c>
      <c r="N558" s="7">
        <f>'1 prepared data'!M551</f>
        <v/>
      </c>
      <c r="O558" s="7">
        <f>'1 prepared data'!N551</f>
        <v/>
      </c>
      <c r="P558" s="7">
        <f>'1 prepared data'!O551</f>
        <v/>
      </c>
      <c r="Q558" s="7">
        <f>'1 prepared data'!P551</f>
        <v/>
      </c>
      <c r="R558" s="7">
        <f>'1 prepared data'!Q551</f>
        <v/>
      </c>
      <c r="S558" s="7">
        <f>'1 prepared data'!R551</f>
        <v/>
      </c>
      <c r="T558" s="7">
        <f>'1 prepared data'!S551</f>
        <v/>
      </c>
      <c r="U558" s="7">
        <f>'1 prepared data'!T551</f>
        <v/>
      </c>
      <c r="V558" s="8">
        <f>$AC$12+D558*$AC$13+E558*$AC$14+F558*$AC$15+G558*$AC$16+H558*$AC$17+I558*$AC$18+J558*$AC$19+K558*$AC$20+L558*$AC$21+M558*$AC$22+N558*$AC$23+O558*$AC$24+P558*$AC$25+Q558*$AC$26+R558*$AC$27+S558*$AC$28+T558*$AC$29+U558*$AC$30</f>
        <v/>
      </c>
      <c r="W558" s="8">
        <f>1/(1+EXP(-V558))</f>
        <v/>
      </c>
      <c r="X558" s="9">
        <f>-IF(C558=1,LN(W558),LN(1-W558))</f>
        <v/>
      </c>
      <c r="Y558" s="10">
        <f>IF(W558&gt;$AC$34,1,0)</f>
        <v/>
      </c>
      <c r="Z558">
        <f>IF(Y558=C558,1,0)</f>
        <v/>
      </c>
    </row>
    <row r="559">
      <c r="A559">
        <f>'1 prepared data'!A552</f>
        <v/>
      </c>
      <c r="B559" s="5">
        <f>'1 prepared data'!U552</f>
        <v/>
      </c>
      <c r="C559">
        <f>'1 prepared data'!B552</f>
        <v/>
      </c>
      <c r="D559" s="7">
        <f>'1 prepared data'!C552</f>
        <v/>
      </c>
      <c r="E559" s="7">
        <f>'1 prepared data'!D552</f>
        <v/>
      </c>
      <c r="F559" s="7">
        <f>'1 prepared data'!E552</f>
        <v/>
      </c>
      <c r="G559" s="7">
        <f>'1 prepared data'!F552</f>
        <v/>
      </c>
      <c r="H559" s="7">
        <f>'1 prepared data'!G552</f>
        <v/>
      </c>
      <c r="I559" s="7">
        <f>'1 prepared data'!H552</f>
        <v/>
      </c>
      <c r="J559" s="7">
        <f>'1 prepared data'!I552</f>
        <v/>
      </c>
      <c r="K559" s="7">
        <f>'1 prepared data'!J552</f>
        <v/>
      </c>
      <c r="L559" s="7">
        <f>'1 prepared data'!K552</f>
        <v/>
      </c>
      <c r="M559" s="7">
        <f>'1 prepared data'!L552</f>
        <v/>
      </c>
      <c r="N559" s="7">
        <f>'1 prepared data'!M552</f>
        <v/>
      </c>
      <c r="O559" s="7">
        <f>'1 prepared data'!N552</f>
        <v/>
      </c>
      <c r="P559" s="7">
        <f>'1 prepared data'!O552</f>
        <v/>
      </c>
      <c r="Q559" s="7">
        <f>'1 prepared data'!P552</f>
        <v/>
      </c>
      <c r="R559" s="7">
        <f>'1 prepared data'!Q552</f>
        <v/>
      </c>
      <c r="S559" s="7">
        <f>'1 prepared data'!R552</f>
        <v/>
      </c>
      <c r="T559" s="7">
        <f>'1 prepared data'!S552</f>
        <v/>
      </c>
      <c r="U559" s="7">
        <f>'1 prepared data'!T552</f>
        <v/>
      </c>
      <c r="V559" s="8">
        <f>$AC$12+D559*$AC$13+E559*$AC$14+F559*$AC$15+G559*$AC$16+H559*$AC$17+I559*$AC$18+J559*$AC$19+K559*$AC$20+L559*$AC$21+M559*$AC$22+N559*$AC$23+O559*$AC$24+P559*$AC$25+Q559*$AC$26+R559*$AC$27+S559*$AC$28+T559*$AC$29+U559*$AC$30</f>
        <v/>
      </c>
      <c r="W559" s="8">
        <f>1/(1+EXP(-V559))</f>
        <v/>
      </c>
      <c r="X559" s="9">
        <f>-IF(C559=1,LN(W559),LN(1-W559))</f>
        <v/>
      </c>
      <c r="Y559" s="10">
        <f>IF(W559&gt;$AC$34,1,0)</f>
        <v/>
      </c>
      <c r="Z559">
        <f>IF(Y559=C559,1,0)</f>
        <v/>
      </c>
    </row>
    <row r="560">
      <c r="A560">
        <f>'1 prepared data'!A553</f>
        <v/>
      </c>
      <c r="B560" s="5">
        <f>'1 prepared data'!U553</f>
        <v/>
      </c>
      <c r="C560">
        <f>'1 prepared data'!B553</f>
        <v/>
      </c>
      <c r="D560" s="7">
        <f>'1 prepared data'!C553</f>
        <v/>
      </c>
      <c r="E560" s="7">
        <f>'1 prepared data'!D553</f>
        <v/>
      </c>
      <c r="F560" s="7">
        <f>'1 prepared data'!E553</f>
        <v/>
      </c>
      <c r="G560" s="7">
        <f>'1 prepared data'!F553</f>
        <v/>
      </c>
      <c r="H560" s="7">
        <f>'1 prepared data'!G553</f>
        <v/>
      </c>
      <c r="I560" s="7">
        <f>'1 prepared data'!H553</f>
        <v/>
      </c>
      <c r="J560" s="7">
        <f>'1 prepared data'!I553</f>
        <v/>
      </c>
      <c r="K560" s="7">
        <f>'1 prepared data'!J553</f>
        <v/>
      </c>
      <c r="L560" s="7">
        <f>'1 prepared data'!K553</f>
        <v/>
      </c>
      <c r="M560" s="7">
        <f>'1 prepared data'!L553</f>
        <v/>
      </c>
      <c r="N560" s="7">
        <f>'1 prepared data'!M553</f>
        <v/>
      </c>
      <c r="O560" s="7">
        <f>'1 prepared data'!N553</f>
        <v/>
      </c>
      <c r="P560" s="7">
        <f>'1 prepared data'!O553</f>
        <v/>
      </c>
      <c r="Q560" s="7">
        <f>'1 prepared data'!P553</f>
        <v/>
      </c>
      <c r="R560" s="7">
        <f>'1 prepared data'!Q553</f>
        <v/>
      </c>
      <c r="S560" s="7">
        <f>'1 prepared data'!R553</f>
        <v/>
      </c>
      <c r="T560" s="7">
        <f>'1 prepared data'!S553</f>
        <v/>
      </c>
      <c r="U560" s="7">
        <f>'1 prepared data'!T553</f>
        <v/>
      </c>
      <c r="V560" s="8">
        <f>$AC$12+D560*$AC$13+E560*$AC$14+F560*$AC$15+G560*$AC$16+H560*$AC$17+I560*$AC$18+J560*$AC$19+K560*$AC$20+L560*$AC$21+M560*$AC$22+N560*$AC$23+O560*$AC$24+P560*$AC$25+Q560*$AC$26+R560*$AC$27+S560*$AC$28+T560*$AC$29+U560*$AC$30</f>
        <v/>
      </c>
      <c r="W560" s="8">
        <f>1/(1+EXP(-V560))</f>
        <v/>
      </c>
      <c r="X560" s="9">
        <f>-IF(C560=1,LN(W560),LN(1-W560))</f>
        <v/>
      </c>
      <c r="Y560" s="10">
        <f>IF(W560&gt;$AC$34,1,0)</f>
        <v/>
      </c>
      <c r="Z560">
        <f>IF(Y560=C560,1,0)</f>
        <v/>
      </c>
    </row>
    <row r="561">
      <c r="A561">
        <f>'1 prepared data'!A554</f>
        <v/>
      </c>
      <c r="B561" s="5">
        <f>'1 prepared data'!U554</f>
        <v/>
      </c>
      <c r="C561">
        <f>'1 prepared data'!B554</f>
        <v/>
      </c>
      <c r="D561" s="7">
        <f>'1 prepared data'!C554</f>
        <v/>
      </c>
      <c r="E561" s="7">
        <f>'1 prepared data'!D554</f>
        <v/>
      </c>
      <c r="F561" s="7">
        <f>'1 prepared data'!E554</f>
        <v/>
      </c>
      <c r="G561" s="7">
        <f>'1 prepared data'!F554</f>
        <v/>
      </c>
      <c r="H561" s="7">
        <f>'1 prepared data'!G554</f>
        <v/>
      </c>
      <c r="I561" s="7">
        <f>'1 prepared data'!H554</f>
        <v/>
      </c>
      <c r="J561" s="7">
        <f>'1 prepared data'!I554</f>
        <v/>
      </c>
      <c r="K561" s="7">
        <f>'1 prepared data'!J554</f>
        <v/>
      </c>
      <c r="L561" s="7">
        <f>'1 prepared data'!K554</f>
        <v/>
      </c>
      <c r="M561" s="7">
        <f>'1 prepared data'!L554</f>
        <v/>
      </c>
      <c r="N561" s="7">
        <f>'1 prepared data'!M554</f>
        <v/>
      </c>
      <c r="O561" s="7">
        <f>'1 prepared data'!N554</f>
        <v/>
      </c>
      <c r="P561" s="7">
        <f>'1 prepared data'!O554</f>
        <v/>
      </c>
      <c r="Q561" s="7">
        <f>'1 prepared data'!P554</f>
        <v/>
      </c>
      <c r="R561" s="7">
        <f>'1 prepared data'!Q554</f>
        <v/>
      </c>
      <c r="S561" s="7">
        <f>'1 prepared data'!R554</f>
        <v/>
      </c>
      <c r="T561" s="7">
        <f>'1 prepared data'!S554</f>
        <v/>
      </c>
      <c r="U561" s="7">
        <f>'1 prepared data'!T554</f>
        <v/>
      </c>
      <c r="V561" s="8">
        <f>$AC$12+D561*$AC$13+E561*$AC$14+F561*$AC$15+G561*$AC$16+H561*$AC$17+I561*$AC$18+J561*$AC$19+K561*$AC$20+L561*$AC$21+M561*$AC$22+N561*$AC$23+O561*$AC$24+P561*$AC$25+Q561*$AC$26+R561*$AC$27+S561*$AC$28+T561*$AC$29+U561*$AC$30</f>
        <v/>
      </c>
      <c r="W561" s="8">
        <f>1/(1+EXP(-V561))</f>
        <v/>
      </c>
      <c r="X561" s="9">
        <f>-IF(C561=1,LN(W561),LN(1-W561))</f>
        <v/>
      </c>
      <c r="Y561" s="10">
        <f>IF(W561&gt;$AC$34,1,0)</f>
        <v/>
      </c>
      <c r="Z561">
        <f>IF(Y561=C561,1,0)</f>
        <v/>
      </c>
    </row>
    <row r="562">
      <c r="A562">
        <f>'1 prepared data'!A555</f>
        <v/>
      </c>
      <c r="B562" s="5">
        <f>'1 prepared data'!U555</f>
        <v/>
      </c>
      <c r="C562">
        <f>'1 prepared data'!B555</f>
        <v/>
      </c>
      <c r="D562" s="7">
        <f>'1 prepared data'!C555</f>
        <v/>
      </c>
      <c r="E562" s="7">
        <f>'1 prepared data'!D555</f>
        <v/>
      </c>
      <c r="F562" s="7">
        <f>'1 prepared data'!E555</f>
        <v/>
      </c>
      <c r="G562" s="7">
        <f>'1 prepared data'!F555</f>
        <v/>
      </c>
      <c r="H562" s="7">
        <f>'1 prepared data'!G555</f>
        <v/>
      </c>
      <c r="I562" s="7">
        <f>'1 prepared data'!H555</f>
        <v/>
      </c>
      <c r="J562" s="7">
        <f>'1 prepared data'!I555</f>
        <v/>
      </c>
      <c r="K562" s="7">
        <f>'1 prepared data'!J555</f>
        <v/>
      </c>
      <c r="L562" s="7">
        <f>'1 prepared data'!K555</f>
        <v/>
      </c>
      <c r="M562" s="7">
        <f>'1 prepared data'!L555</f>
        <v/>
      </c>
      <c r="N562" s="7">
        <f>'1 prepared data'!M555</f>
        <v/>
      </c>
      <c r="O562" s="7">
        <f>'1 prepared data'!N555</f>
        <v/>
      </c>
      <c r="P562" s="7">
        <f>'1 prepared data'!O555</f>
        <v/>
      </c>
      <c r="Q562" s="7">
        <f>'1 prepared data'!P555</f>
        <v/>
      </c>
      <c r="R562" s="7">
        <f>'1 prepared data'!Q555</f>
        <v/>
      </c>
      <c r="S562" s="7">
        <f>'1 prepared data'!R555</f>
        <v/>
      </c>
      <c r="T562" s="7">
        <f>'1 prepared data'!S555</f>
        <v/>
      </c>
      <c r="U562" s="7">
        <f>'1 prepared data'!T555</f>
        <v/>
      </c>
      <c r="V562" s="8">
        <f>$AC$12+D562*$AC$13+E562*$AC$14+F562*$AC$15+G562*$AC$16+H562*$AC$17+I562*$AC$18+J562*$AC$19+K562*$AC$20+L562*$AC$21+M562*$AC$22+N562*$AC$23+O562*$AC$24+P562*$AC$25+Q562*$AC$26+R562*$AC$27+S562*$AC$28+T562*$AC$29+U562*$AC$30</f>
        <v/>
      </c>
      <c r="W562" s="8">
        <f>1/(1+EXP(-V562))</f>
        <v/>
      </c>
      <c r="X562" s="9">
        <f>-IF(C562=1,LN(W562),LN(1-W562))</f>
        <v/>
      </c>
      <c r="Y562" s="10">
        <f>IF(W562&gt;$AC$34,1,0)</f>
        <v/>
      </c>
      <c r="Z562">
        <f>IF(Y562=C562,1,0)</f>
        <v/>
      </c>
    </row>
    <row r="563">
      <c r="A563">
        <f>'1 prepared data'!A556</f>
        <v/>
      </c>
      <c r="B563" s="5">
        <f>'1 prepared data'!U556</f>
        <v/>
      </c>
      <c r="C563">
        <f>'1 prepared data'!B556</f>
        <v/>
      </c>
      <c r="D563" s="7">
        <f>'1 prepared data'!C556</f>
        <v/>
      </c>
      <c r="E563" s="7">
        <f>'1 prepared data'!D556</f>
        <v/>
      </c>
      <c r="F563" s="7">
        <f>'1 prepared data'!E556</f>
        <v/>
      </c>
      <c r="G563" s="7">
        <f>'1 prepared data'!F556</f>
        <v/>
      </c>
      <c r="H563" s="7">
        <f>'1 prepared data'!G556</f>
        <v/>
      </c>
      <c r="I563" s="7">
        <f>'1 prepared data'!H556</f>
        <v/>
      </c>
      <c r="J563" s="7">
        <f>'1 prepared data'!I556</f>
        <v/>
      </c>
      <c r="K563" s="7">
        <f>'1 prepared data'!J556</f>
        <v/>
      </c>
      <c r="L563" s="7">
        <f>'1 prepared data'!K556</f>
        <v/>
      </c>
      <c r="M563" s="7">
        <f>'1 prepared data'!L556</f>
        <v/>
      </c>
      <c r="N563" s="7">
        <f>'1 prepared data'!M556</f>
        <v/>
      </c>
      <c r="O563" s="7">
        <f>'1 prepared data'!N556</f>
        <v/>
      </c>
      <c r="P563" s="7">
        <f>'1 prepared data'!O556</f>
        <v/>
      </c>
      <c r="Q563" s="7">
        <f>'1 prepared data'!P556</f>
        <v/>
      </c>
      <c r="R563" s="7">
        <f>'1 prepared data'!Q556</f>
        <v/>
      </c>
      <c r="S563" s="7">
        <f>'1 prepared data'!R556</f>
        <v/>
      </c>
      <c r="T563" s="7">
        <f>'1 prepared data'!S556</f>
        <v/>
      </c>
      <c r="U563" s="7">
        <f>'1 prepared data'!T556</f>
        <v/>
      </c>
      <c r="V563" s="8">
        <f>$AC$12+D563*$AC$13+E563*$AC$14+F563*$AC$15+G563*$AC$16+H563*$AC$17+I563*$AC$18+J563*$AC$19+K563*$AC$20+L563*$AC$21+M563*$AC$22+N563*$AC$23+O563*$AC$24+P563*$AC$25+Q563*$AC$26+R563*$AC$27+S563*$AC$28+T563*$AC$29+U563*$AC$30</f>
        <v/>
      </c>
      <c r="W563" s="8">
        <f>1/(1+EXP(-V563))</f>
        <v/>
      </c>
      <c r="X563" s="9">
        <f>-IF(C563=1,LN(W563),LN(1-W563))</f>
        <v/>
      </c>
      <c r="Y563" s="10">
        <f>IF(W563&gt;$AC$34,1,0)</f>
        <v/>
      </c>
      <c r="Z563">
        <f>IF(Y563=C563,1,0)</f>
        <v/>
      </c>
    </row>
    <row r="564">
      <c r="A564">
        <f>'1 prepared data'!A557</f>
        <v/>
      </c>
      <c r="B564" s="5">
        <f>'1 prepared data'!U557</f>
        <v/>
      </c>
      <c r="C564">
        <f>'1 prepared data'!B557</f>
        <v/>
      </c>
      <c r="D564" s="7">
        <f>'1 prepared data'!C557</f>
        <v/>
      </c>
      <c r="E564" s="7">
        <f>'1 prepared data'!D557</f>
        <v/>
      </c>
      <c r="F564" s="7">
        <f>'1 prepared data'!E557</f>
        <v/>
      </c>
      <c r="G564" s="7">
        <f>'1 prepared data'!F557</f>
        <v/>
      </c>
      <c r="H564" s="7">
        <f>'1 prepared data'!G557</f>
        <v/>
      </c>
      <c r="I564" s="7">
        <f>'1 prepared data'!H557</f>
        <v/>
      </c>
      <c r="J564" s="7">
        <f>'1 prepared data'!I557</f>
        <v/>
      </c>
      <c r="K564" s="7">
        <f>'1 prepared data'!J557</f>
        <v/>
      </c>
      <c r="L564" s="7">
        <f>'1 prepared data'!K557</f>
        <v/>
      </c>
      <c r="M564" s="7">
        <f>'1 prepared data'!L557</f>
        <v/>
      </c>
      <c r="N564" s="7">
        <f>'1 prepared data'!M557</f>
        <v/>
      </c>
      <c r="O564" s="7">
        <f>'1 prepared data'!N557</f>
        <v/>
      </c>
      <c r="P564" s="7">
        <f>'1 prepared data'!O557</f>
        <v/>
      </c>
      <c r="Q564" s="7">
        <f>'1 prepared data'!P557</f>
        <v/>
      </c>
      <c r="R564" s="7">
        <f>'1 prepared data'!Q557</f>
        <v/>
      </c>
      <c r="S564" s="7">
        <f>'1 prepared data'!R557</f>
        <v/>
      </c>
      <c r="T564" s="7">
        <f>'1 prepared data'!S557</f>
        <v/>
      </c>
      <c r="U564" s="7">
        <f>'1 prepared data'!T557</f>
        <v/>
      </c>
      <c r="V564" s="8">
        <f>$AC$12+D564*$AC$13+E564*$AC$14+F564*$AC$15+G564*$AC$16+H564*$AC$17+I564*$AC$18+J564*$AC$19+K564*$AC$20+L564*$AC$21+M564*$AC$22+N564*$AC$23+O564*$AC$24+P564*$AC$25+Q564*$AC$26+R564*$AC$27+S564*$AC$28+T564*$AC$29+U564*$AC$30</f>
        <v/>
      </c>
      <c r="W564" s="8">
        <f>1/(1+EXP(-V564))</f>
        <v/>
      </c>
      <c r="X564" s="9">
        <f>-IF(C564=1,LN(W564),LN(1-W564))</f>
        <v/>
      </c>
      <c r="Y564" s="10">
        <f>IF(W564&gt;$AC$34,1,0)</f>
        <v/>
      </c>
      <c r="Z564">
        <f>IF(Y564=C564,1,0)</f>
        <v/>
      </c>
    </row>
    <row r="565">
      <c r="A565">
        <f>'1 prepared data'!A558</f>
        <v/>
      </c>
      <c r="B565" s="5">
        <f>'1 prepared data'!U558</f>
        <v/>
      </c>
      <c r="C565">
        <f>'1 prepared data'!B558</f>
        <v/>
      </c>
      <c r="D565" s="7">
        <f>'1 prepared data'!C558</f>
        <v/>
      </c>
      <c r="E565" s="7">
        <f>'1 prepared data'!D558</f>
        <v/>
      </c>
      <c r="F565" s="7">
        <f>'1 prepared data'!E558</f>
        <v/>
      </c>
      <c r="G565" s="7">
        <f>'1 prepared data'!F558</f>
        <v/>
      </c>
      <c r="H565" s="7">
        <f>'1 prepared data'!G558</f>
        <v/>
      </c>
      <c r="I565" s="7">
        <f>'1 prepared data'!H558</f>
        <v/>
      </c>
      <c r="J565" s="7">
        <f>'1 prepared data'!I558</f>
        <v/>
      </c>
      <c r="K565" s="7">
        <f>'1 prepared data'!J558</f>
        <v/>
      </c>
      <c r="L565" s="7">
        <f>'1 prepared data'!K558</f>
        <v/>
      </c>
      <c r="M565" s="7">
        <f>'1 prepared data'!L558</f>
        <v/>
      </c>
      <c r="N565" s="7">
        <f>'1 prepared data'!M558</f>
        <v/>
      </c>
      <c r="O565" s="7">
        <f>'1 prepared data'!N558</f>
        <v/>
      </c>
      <c r="P565" s="7">
        <f>'1 prepared data'!O558</f>
        <v/>
      </c>
      <c r="Q565" s="7">
        <f>'1 prepared data'!P558</f>
        <v/>
      </c>
      <c r="R565" s="7">
        <f>'1 prepared data'!Q558</f>
        <v/>
      </c>
      <c r="S565" s="7">
        <f>'1 prepared data'!R558</f>
        <v/>
      </c>
      <c r="T565" s="7">
        <f>'1 prepared data'!S558</f>
        <v/>
      </c>
      <c r="U565" s="7">
        <f>'1 prepared data'!T558</f>
        <v/>
      </c>
      <c r="V565" s="8">
        <f>$AC$12+D565*$AC$13+E565*$AC$14+F565*$AC$15+G565*$AC$16+H565*$AC$17+I565*$AC$18+J565*$AC$19+K565*$AC$20+L565*$AC$21+M565*$AC$22+N565*$AC$23+O565*$AC$24+P565*$AC$25+Q565*$AC$26+R565*$AC$27+S565*$AC$28+T565*$AC$29+U565*$AC$30</f>
        <v/>
      </c>
      <c r="W565" s="8">
        <f>1/(1+EXP(-V565))</f>
        <v/>
      </c>
      <c r="X565" s="9">
        <f>-IF(C565=1,LN(W565),LN(1-W565))</f>
        <v/>
      </c>
      <c r="Y565" s="10">
        <f>IF(W565&gt;$AC$34,1,0)</f>
        <v/>
      </c>
      <c r="Z565">
        <f>IF(Y565=C565,1,0)</f>
        <v/>
      </c>
    </row>
    <row r="566">
      <c r="A566">
        <f>'1 prepared data'!A559</f>
        <v/>
      </c>
      <c r="B566" s="5">
        <f>'1 prepared data'!U559</f>
        <v/>
      </c>
      <c r="C566">
        <f>'1 prepared data'!B559</f>
        <v/>
      </c>
      <c r="D566" s="7">
        <f>'1 prepared data'!C559</f>
        <v/>
      </c>
      <c r="E566" s="7">
        <f>'1 prepared data'!D559</f>
        <v/>
      </c>
      <c r="F566" s="7">
        <f>'1 prepared data'!E559</f>
        <v/>
      </c>
      <c r="G566" s="7">
        <f>'1 prepared data'!F559</f>
        <v/>
      </c>
      <c r="H566" s="7">
        <f>'1 prepared data'!G559</f>
        <v/>
      </c>
      <c r="I566" s="7">
        <f>'1 prepared data'!H559</f>
        <v/>
      </c>
      <c r="J566" s="7">
        <f>'1 prepared data'!I559</f>
        <v/>
      </c>
      <c r="K566" s="7">
        <f>'1 prepared data'!J559</f>
        <v/>
      </c>
      <c r="L566" s="7">
        <f>'1 prepared data'!K559</f>
        <v/>
      </c>
      <c r="M566" s="7">
        <f>'1 prepared data'!L559</f>
        <v/>
      </c>
      <c r="N566" s="7">
        <f>'1 prepared data'!M559</f>
        <v/>
      </c>
      <c r="O566" s="7">
        <f>'1 prepared data'!N559</f>
        <v/>
      </c>
      <c r="P566" s="7">
        <f>'1 prepared data'!O559</f>
        <v/>
      </c>
      <c r="Q566" s="7">
        <f>'1 prepared data'!P559</f>
        <v/>
      </c>
      <c r="R566" s="7">
        <f>'1 prepared data'!Q559</f>
        <v/>
      </c>
      <c r="S566" s="7">
        <f>'1 prepared data'!R559</f>
        <v/>
      </c>
      <c r="T566" s="7">
        <f>'1 prepared data'!S559</f>
        <v/>
      </c>
      <c r="U566" s="7">
        <f>'1 prepared data'!T559</f>
        <v/>
      </c>
      <c r="V566" s="8">
        <f>$AC$12+D566*$AC$13+E566*$AC$14+F566*$AC$15+G566*$AC$16+H566*$AC$17+I566*$AC$18+J566*$AC$19+K566*$AC$20+L566*$AC$21+M566*$AC$22+N566*$AC$23+O566*$AC$24+P566*$AC$25+Q566*$AC$26+R566*$AC$27+S566*$AC$28+T566*$AC$29+U566*$AC$30</f>
        <v/>
      </c>
      <c r="W566" s="8">
        <f>1/(1+EXP(-V566))</f>
        <v/>
      </c>
      <c r="X566" s="9">
        <f>-IF(C566=1,LN(W566),LN(1-W566))</f>
        <v/>
      </c>
      <c r="Y566" s="10">
        <f>IF(W566&gt;$AC$34,1,0)</f>
        <v/>
      </c>
      <c r="Z566">
        <f>IF(Y566=C566,1,0)</f>
        <v/>
      </c>
    </row>
    <row r="567">
      <c r="A567">
        <f>'1 prepared data'!A560</f>
        <v/>
      </c>
      <c r="B567" s="5">
        <f>'1 prepared data'!U560</f>
        <v/>
      </c>
      <c r="C567">
        <f>'1 prepared data'!B560</f>
        <v/>
      </c>
      <c r="D567" s="7">
        <f>'1 prepared data'!C560</f>
        <v/>
      </c>
      <c r="E567" s="7">
        <f>'1 prepared data'!D560</f>
        <v/>
      </c>
      <c r="F567" s="7">
        <f>'1 prepared data'!E560</f>
        <v/>
      </c>
      <c r="G567" s="7">
        <f>'1 prepared data'!F560</f>
        <v/>
      </c>
      <c r="H567" s="7">
        <f>'1 prepared data'!G560</f>
        <v/>
      </c>
      <c r="I567" s="7">
        <f>'1 prepared data'!H560</f>
        <v/>
      </c>
      <c r="J567" s="7">
        <f>'1 prepared data'!I560</f>
        <v/>
      </c>
      <c r="K567" s="7">
        <f>'1 prepared data'!J560</f>
        <v/>
      </c>
      <c r="L567" s="7">
        <f>'1 prepared data'!K560</f>
        <v/>
      </c>
      <c r="M567" s="7">
        <f>'1 prepared data'!L560</f>
        <v/>
      </c>
      <c r="N567" s="7">
        <f>'1 prepared data'!M560</f>
        <v/>
      </c>
      <c r="O567" s="7">
        <f>'1 prepared data'!N560</f>
        <v/>
      </c>
      <c r="P567" s="7">
        <f>'1 prepared data'!O560</f>
        <v/>
      </c>
      <c r="Q567" s="7">
        <f>'1 prepared data'!P560</f>
        <v/>
      </c>
      <c r="R567" s="7">
        <f>'1 prepared data'!Q560</f>
        <v/>
      </c>
      <c r="S567" s="7">
        <f>'1 prepared data'!R560</f>
        <v/>
      </c>
      <c r="T567" s="7">
        <f>'1 prepared data'!S560</f>
        <v/>
      </c>
      <c r="U567" s="7">
        <f>'1 prepared data'!T560</f>
        <v/>
      </c>
      <c r="V567" s="8">
        <f>$AC$12+D567*$AC$13+E567*$AC$14+F567*$AC$15+G567*$AC$16+H567*$AC$17+I567*$AC$18+J567*$AC$19+K567*$AC$20+L567*$AC$21+M567*$AC$22+N567*$AC$23+O567*$AC$24+P567*$AC$25+Q567*$AC$26+R567*$AC$27+S567*$AC$28+T567*$AC$29+U567*$AC$30</f>
        <v/>
      </c>
      <c r="W567" s="8">
        <f>1/(1+EXP(-V567))</f>
        <v/>
      </c>
      <c r="X567" s="9">
        <f>-IF(C567=1,LN(W567),LN(1-W567))</f>
        <v/>
      </c>
      <c r="Y567" s="10">
        <f>IF(W567&gt;$AC$34,1,0)</f>
        <v/>
      </c>
      <c r="Z567">
        <f>IF(Y567=C567,1,0)</f>
        <v/>
      </c>
    </row>
    <row r="568">
      <c r="A568">
        <f>'1 prepared data'!A561</f>
        <v/>
      </c>
      <c r="B568" s="5">
        <f>'1 prepared data'!U561</f>
        <v/>
      </c>
      <c r="C568">
        <f>'1 prepared data'!B561</f>
        <v/>
      </c>
      <c r="D568" s="7">
        <f>'1 prepared data'!C561</f>
        <v/>
      </c>
      <c r="E568" s="7">
        <f>'1 prepared data'!D561</f>
        <v/>
      </c>
      <c r="F568" s="7">
        <f>'1 prepared data'!E561</f>
        <v/>
      </c>
      <c r="G568" s="7">
        <f>'1 prepared data'!F561</f>
        <v/>
      </c>
      <c r="H568" s="7">
        <f>'1 prepared data'!G561</f>
        <v/>
      </c>
      <c r="I568" s="7">
        <f>'1 prepared data'!H561</f>
        <v/>
      </c>
      <c r="J568" s="7">
        <f>'1 prepared data'!I561</f>
        <v/>
      </c>
      <c r="K568" s="7">
        <f>'1 prepared data'!J561</f>
        <v/>
      </c>
      <c r="L568" s="7">
        <f>'1 prepared data'!K561</f>
        <v/>
      </c>
      <c r="M568" s="7">
        <f>'1 prepared data'!L561</f>
        <v/>
      </c>
      <c r="N568" s="7">
        <f>'1 prepared data'!M561</f>
        <v/>
      </c>
      <c r="O568" s="7">
        <f>'1 prepared data'!N561</f>
        <v/>
      </c>
      <c r="P568" s="7">
        <f>'1 prepared data'!O561</f>
        <v/>
      </c>
      <c r="Q568" s="7">
        <f>'1 prepared data'!P561</f>
        <v/>
      </c>
      <c r="R568" s="7">
        <f>'1 prepared data'!Q561</f>
        <v/>
      </c>
      <c r="S568" s="7">
        <f>'1 prepared data'!R561</f>
        <v/>
      </c>
      <c r="T568" s="7">
        <f>'1 prepared data'!S561</f>
        <v/>
      </c>
      <c r="U568" s="7">
        <f>'1 prepared data'!T561</f>
        <v/>
      </c>
      <c r="V568" s="8">
        <f>$AC$12+D568*$AC$13+E568*$AC$14+F568*$AC$15+G568*$AC$16+H568*$AC$17+I568*$AC$18+J568*$AC$19+K568*$AC$20+L568*$AC$21+M568*$AC$22+N568*$AC$23+O568*$AC$24+P568*$AC$25+Q568*$AC$26+R568*$AC$27+S568*$AC$28+T568*$AC$29+U568*$AC$30</f>
        <v/>
      </c>
      <c r="W568" s="8">
        <f>1/(1+EXP(-V568))</f>
        <v/>
      </c>
      <c r="X568" s="9">
        <f>-IF(C568=1,LN(W568),LN(1-W568))</f>
        <v/>
      </c>
      <c r="Y568" s="10">
        <f>IF(W568&gt;$AC$34,1,0)</f>
        <v/>
      </c>
      <c r="Z568">
        <f>IF(Y568=C568,1,0)</f>
        <v/>
      </c>
    </row>
    <row r="569">
      <c r="A569">
        <f>'1 prepared data'!A562</f>
        <v/>
      </c>
      <c r="B569" s="5">
        <f>'1 prepared data'!U562</f>
        <v/>
      </c>
      <c r="C569">
        <f>'1 prepared data'!B562</f>
        <v/>
      </c>
      <c r="D569" s="7">
        <f>'1 prepared data'!C562</f>
        <v/>
      </c>
      <c r="E569" s="7">
        <f>'1 prepared data'!D562</f>
        <v/>
      </c>
      <c r="F569" s="7">
        <f>'1 prepared data'!E562</f>
        <v/>
      </c>
      <c r="G569" s="7">
        <f>'1 prepared data'!F562</f>
        <v/>
      </c>
      <c r="H569" s="7">
        <f>'1 prepared data'!G562</f>
        <v/>
      </c>
      <c r="I569" s="7">
        <f>'1 prepared data'!H562</f>
        <v/>
      </c>
      <c r="J569" s="7">
        <f>'1 prepared data'!I562</f>
        <v/>
      </c>
      <c r="K569" s="7">
        <f>'1 prepared data'!J562</f>
        <v/>
      </c>
      <c r="L569" s="7">
        <f>'1 prepared data'!K562</f>
        <v/>
      </c>
      <c r="M569" s="7">
        <f>'1 prepared data'!L562</f>
        <v/>
      </c>
      <c r="N569" s="7">
        <f>'1 prepared data'!M562</f>
        <v/>
      </c>
      <c r="O569" s="7">
        <f>'1 prepared data'!N562</f>
        <v/>
      </c>
      <c r="P569" s="7">
        <f>'1 prepared data'!O562</f>
        <v/>
      </c>
      <c r="Q569" s="7">
        <f>'1 prepared data'!P562</f>
        <v/>
      </c>
      <c r="R569" s="7">
        <f>'1 prepared data'!Q562</f>
        <v/>
      </c>
      <c r="S569" s="7">
        <f>'1 prepared data'!R562</f>
        <v/>
      </c>
      <c r="T569" s="7">
        <f>'1 prepared data'!S562</f>
        <v/>
      </c>
      <c r="U569" s="7">
        <f>'1 prepared data'!T562</f>
        <v/>
      </c>
      <c r="V569" s="8">
        <f>$AC$12+D569*$AC$13+E569*$AC$14+F569*$AC$15+G569*$AC$16+H569*$AC$17+I569*$AC$18+J569*$AC$19+K569*$AC$20+L569*$AC$21+M569*$AC$22+N569*$AC$23+O569*$AC$24+P569*$AC$25+Q569*$AC$26+R569*$AC$27+S569*$AC$28+T569*$AC$29+U569*$AC$30</f>
        <v/>
      </c>
      <c r="W569" s="8">
        <f>1/(1+EXP(-V569))</f>
        <v/>
      </c>
      <c r="X569" s="9">
        <f>-IF(C569=1,LN(W569),LN(1-W569))</f>
        <v/>
      </c>
      <c r="Y569" s="10">
        <f>IF(W569&gt;$AC$34,1,0)</f>
        <v/>
      </c>
      <c r="Z569">
        <f>IF(Y569=C569,1,0)</f>
        <v/>
      </c>
    </row>
    <row r="570">
      <c r="A570">
        <f>'1 prepared data'!A563</f>
        <v/>
      </c>
      <c r="B570" s="5">
        <f>'1 prepared data'!U563</f>
        <v/>
      </c>
      <c r="C570">
        <f>'1 prepared data'!B563</f>
        <v/>
      </c>
      <c r="D570" s="7">
        <f>'1 prepared data'!C563</f>
        <v/>
      </c>
      <c r="E570" s="7">
        <f>'1 prepared data'!D563</f>
        <v/>
      </c>
      <c r="F570" s="7">
        <f>'1 prepared data'!E563</f>
        <v/>
      </c>
      <c r="G570" s="7">
        <f>'1 prepared data'!F563</f>
        <v/>
      </c>
      <c r="H570" s="7">
        <f>'1 prepared data'!G563</f>
        <v/>
      </c>
      <c r="I570" s="7">
        <f>'1 prepared data'!H563</f>
        <v/>
      </c>
      <c r="J570" s="7">
        <f>'1 prepared data'!I563</f>
        <v/>
      </c>
      <c r="K570" s="7">
        <f>'1 prepared data'!J563</f>
        <v/>
      </c>
      <c r="L570" s="7">
        <f>'1 prepared data'!K563</f>
        <v/>
      </c>
      <c r="M570" s="7">
        <f>'1 prepared data'!L563</f>
        <v/>
      </c>
      <c r="N570" s="7">
        <f>'1 prepared data'!M563</f>
        <v/>
      </c>
      <c r="O570" s="7">
        <f>'1 prepared data'!N563</f>
        <v/>
      </c>
      <c r="P570" s="7">
        <f>'1 prepared data'!O563</f>
        <v/>
      </c>
      <c r="Q570" s="7">
        <f>'1 prepared data'!P563</f>
        <v/>
      </c>
      <c r="R570" s="7">
        <f>'1 prepared data'!Q563</f>
        <v/>
      </c>
      <c r="S570" s="7">
        <f>'1 prepared data'!R563</f>
        <v/>
      </c>
      <c r="T570" s="7">
        <f>'1 prepared data'!S563</f>
        <v/>
      </c>
      <c r="U570" s="7">
        <f>'1 prepared data'!T563</f>
        <v/>
      </c>
      <c r="V570" s="8">
        <f>$AC$12+D570*$AC$13+E570*$AC$14+F570*$AC$15+G570*$AC$16+H570*$AC$17+I570*$AC$18+J570*$AC$19+K570*$AC$20+L570*$AC$21+M570*$AC$22+N570*$AC$23+O570*$AC$24+P570*$AC$25+Q570*$AC$26+R570*$AC$27+S570*$AC$28+T570*$AC$29+U570*$AC$30</f>
        <v/>
      </c>
      <c r="W570" s="8">
        <f>1/(1+EXP(-V570))</f>
        <v/>
      </c>
      <c r="X570" s="9">
        <f>-IF(C570=1,LN(W570),LN(1-W570))</f>
        <v/>
      </c>
      <c r="Y570" s="10">
        <f>IF(W570&gt;$AC$34,1,0)</f>
        <v/>
      </c>
      <c r="Z570">
        <f>IF(Y570=C570,1,0)</f>
        <v/>
      </c>
    </row>
    <row r="571">
      <c r="A571">
        <f>'1 prepared data'!A564</f>
        <v/>
      </c>
      <c r="B571" s="5">
        <f>'1 prepared data'!U564</f>
        <v/>
      </c>
      <c r="C571">
        <f>'1 prepared data'!B564</f>
        <v/>
      </c>
      <c r="D571" s="7">
        <f>'1 prepared data'!C564</f>
        <v/>
      </c>
      <c r="E571" s="7">
        <f>'1 prepared data'!D564</f>
        <v/>
      </c>
      <c r="F571" s="7">
        <f>'1 prepared data'!E564</f>
        <v/>
      </c>
      <c r="G571" s="7">
        <f>'1 prepared data'!F564</f>
        <v/>
      </c>
      <c r="H571" s="7">
        <f>'1 prepared data'!G564</f>
        <v/>
      </c>
      <c r="I571" s="7">
        <f>'1 prepared data'!H564</f>
        <v/>
      </c>
      <c r="J571" s="7">
        <f>'1 prepared data'!I564</f>
        <v/>
      </c>
      <c r="K571" s="7">
        <f>'1 prepared data'!J564</f>
        <v/>
      </c>
      <c r="L571" s="7">
        <f>'1 prepared data'!K564</f>
        <v/>
      </c>
      <c r="M571" s="7">
        <f>'1 prepared data'!L564</f>
        <v/>
      </c>
      <c r="N571" s="7">
        <f>'1 prepared data'!M564</f>
        <v/>
      </c>
      <c r="O571" s="7">
        <f>'1 prepared data'!N564</f>
        <v/>
      </c>
      <c r="P571" s="7">
        <f>'1 prepared data'!O564</f>
        <v/>
      </c>
      <c r="Q571" s="7">
        <f>'1 prepared data'!P564</f>
        <v/>
      </c>
      <c r="R571" s="7">
        <f>'1 prepared data'!Q564</f>
        <v/>
      </c>
      <c r="S571" s="7">
        <f>'1 prepared data'!R564</f>
        <v/>
      </c>
      <c r="T571" s="7">
        <f>'1 prepared data'!S564</f>
        <v/>
      </c>
      <c r="U571" s="7">
        <f>'1 prepared data'!T564</f>
        <v/>
      </c>
      <c r="V571" s="8">
        <f>$AC$12+D571*$AC$13+E571*$AC$14+F571*$AC$15+G571*$AC$16+H571*$AC$17+I571*$AC$18+J571*$AC$19+K571*$AC$20+L571*$AC$21+M571*$AC$22+N571*$AC$23+O571*$AC$24+P571*$AC$25+Q571*$AC$26+R571*$AC$27+S571*$AC$28+T571*$AC$29+U571*$AC$30</f>
        <v/>
      </c>
      <c r="W571" s="8">
        <f>1/(1+EXP(-V571))</f>
        <v/>
      </c>
      <c r="X571" s="9">
        <f>-IF(C571=1,LN(W571),LN(1-W571))</f>
        <v/>
      </c>
      <c r="Y571" s="10">
        <f>IF(W571&gt;$AC$34,1,0)</f>
        <v/>
      </c>
      <c r="Z571">
        <f>IF(Y571=C571,1,0)</f>
        <v/>
      </c>
    </row>
    <row r="572">
      <c r="A572">
        <f>'1 prepared data'!A565</f>
        <v/>
      </c>
      <c r="B572" s="5">
        <f>'1 prepared data'!U565</f>
        <v/>
      </c>
      <c r="C572">
        <f>'1 prepared data'!B565</f>
        <v/>
      </c>
      <c r="D572" s="7">
        <f>'1 prepared data'!C565</f>
        <v/>
      </c>
      <c r="E572" s="7">
        <f>'1 prepared data'!D565</f>
        <v/>
      </c>
      <c r="F572" s="7">
        <f>'1 prepared data'!E565</f>
        <v/>
      </c>
      <c r="G572" s="7">
        <f>'1 prepared data'!F565</f>
        <v/>
      </c>
      <c r="H572" s="7">
        <f>'1 prepared data'!G565</f>
        <v/>
      </c>
      <c r="I572" s="7">
        <f>'1 prepared data'!H565</f>
        <v/>
      </c>
      <c r="J572" s="7">
        <f>'1 prepared data'!I565</f>
        <v/>
      </c>
      <c r="K572" s="7">
        <f>'1 prepared data'!J565</f>
        <v/>
      </c>
      <c r="L572" s="7">
        <f>'1 prepared data'!K565</f>
        <v/>
      </c>
      <c r="M572" s="7">
        <f>'1 prepared data'!L565</f>
        <v/>
      </c>
      <c r="N572" s="7">
        <f>'1 prepared data'!M565</f>
        <v/>
      </c>
      <c r="O572" s="7">
        <f>'1 prepared data'!N565</f>
        <v/>
      </c>
      <c r="P572" s="7">
        <f>'1 prepared data'!O565</f>
        <v/>
      </c>
      <c r="Q572" s="7">
        <f>'1 prepared data'!P565</f>
        <v/>
      </c>
      <c r="R572" s="7">
        <f>'1 prepared data'!Q565</f>
        <v/>
      </c>
      <c r="S572" s="7">
        <f>'1 prepared data'!R565</f>
        <v/>
      </c>
      <c r="T572" s="7">
        <f>'1 prepared data'!S565</f>
        <v/>
      </c>
      <c r="U572" s="7">
        <f>'1 prepared data'!T565</f>
        <v/>
      </c>
      <c r="V572" s="8">
        <f>$AC$12+D572*$AC$13+E572*$AC$14+F572*$AC$15+G572*$AC$16+H572*$AC$17+I572*$AC$18+J572*$AC$19+K572*$AC$20+L572*$AC$21+M572*$AC$22+N572*$AC$23+O572*$AC$24+P572*$AC$25+Q572*$AC$26+R572*$AC$27+S572*$AC$28+T572*$AC$29+U572*$AC$30</f>
        <v/>
      </c>
      <c r="W572" s="8">
        <f>1/(1+EXP(-V572))</f>
        <v/>
      </c>
      <c r="X572" s="9">
        <f>-IF(C572=1,LN(W572),LN(1-W572))</f>
        <v/>
      </c>
      <c r="Y572" s="10">
        <f>IF(W572&gt;$AC$34,1,0)</f>
        <v/>
      </c>
      <c r="Z572">
        <f>IF(Y572=C572,1,0)</f>
        <v/>
      </c>
    </row>
    <row r="573">
      <c r="A573">
        <f>'1 prepared data'!A566</f>
        <v/>
      </c>
      <c r="B573" s="5">
        <f>'1 prepared data'!U566</f>
        <v/>
      </c>
      <c r="C573">
        <f>'1 prepared data'!B566</f>
        <v/>
      </c>
      <c r="D573" s="7">
        <f>'1 prepared data'!C566</f>
        <v/>
      </c>
      <c r="E573" s="7">
        <f>'1 prepared data'!D566</f>
        <v/>
      </c>
      <c r="F573" s="7">
        <f>'1 prepared data'!E566</f>
        <v/>
      </c>
      <c r="G573" s="7">
        <f>'1 prepared data'!F566</f>
        <v/>
      </c>
      <c r="H573" s="7">
        <f>'1 prepared data'!G566</f>
        <v/>
      </c>
      <c r="I573" s="7">
        <f>'1 prepared data'!H566</f>
        <v/>
      </c>
      <c r="J573" s="7">
        <f>'1 prepared data'!I566</f>
        <v/>
      </c>
      <c r="K573" s="7">
        <f>'1 prepared data'!J566</f>
        <v/>
      </c>
      <c r="L573" s="7">
        <f>'1 prepared data'!K566</f>
        <v/>
      </c>
      <c r="M573" s="7">
        <f>'1 prepared data'!L566</f>
        <v/>
      </c>
      <c r="N573" s="7">
        <f>'1 prepared data'!M566</f>
        <v/>
      </c>
      <c r="O573" s="7">
        <f>'1 prepared data'!N566</f>
        <v/>
      </c>
      <c r="P573" s="7">
        <f>'1 prepared data'!O566</f>
        <v/>
      </c>
      <c r="Q573" s="7">
        <f>'1 prepared data'!P566</f>
        <v/>
      </c>
      <c r="R573" s="7">
        <f>'1 prepared data'!Q566</f>
        <v/>
      </c>
      <c r="S573" s="7">
        <f>'1 prepared data'!R566</f>
        <v/>
      </c>
      <c r="T573" s="7">
        <f>'1 prepared data'!S566</f>
        <v/>
      </c>
      <c r="U573" s="7">
        <f>'1 prepared data'!T566</f>
        <v/>
      </c>
      <c r="V573" s="8">
        <f>$AC$12+D573*$AC$13+E573*$AC$14+F573*$AC$15+G573*$AC$16+H573*$AC$17+I573*$AC$18+J573*$AC$19+K573*$AC$20+L573*$AC$21+M573*$AC$22+N573*$AC$23+O573*$AC$24+P573*$AC$25+Q573*$AC$26+R573*$AC$27+S573*$AC$28+T573*$AC$29+U573*$AC$30</f>
        <v/>
      </c>
      <c r="W573" s="8">
        <f>1/(1+EXP(-V573))</f>
        <v/>
      </c>
      <c r="X573" s="9">
        <f>-IF(C573=1,LN(W573),LN(1-W573))</f>
        <v/>
      </c>
      <c r="Y573" s="10">
        <f>IF(W573&gt;$AC$34,1,0)</f>
        <v/>
      </c>
      <c r="Z573">
        <f>IF(Y573=C573,1,0)</f>
        <v/>
      </c>
    </row>
    <row r="574">
      <c r="A574">
        <f>'1 prepared data'!A567</f>
        <v/>
      </c>
      <c r="B574" s="5">
        <f>'1 prepared data'!U567</f>
        <v/>
      </c>
      <c r="C574">
        <f>'1 prepared data'!B567</f>
        <v/>
      </c>
      <c r="D574" s="7">
        <f>'1 prepared data'!C567</f>
        <v/>
      </c>
      <c r="E574" s="7">
        <f>'1 prepared data'!D567</f>
        <v/>
      </c>
      <c r="F574" s="7">
        <f>'1 prepared data'!E567</f>
        <v/>
      </c>
      <c r="G574" s="7">
        <f>'1 prepared data'!F567</f>
        <v/>
      </c>
      <c r="H574" s="7">
        <f>'1 prepared data'!G567</f>
        <v/>
      </c>
      <c r="I574" s="7">
        <f>'1 prepared data'!H567</f>
        <v/>
      </c>
      <c r="J574" s="7">
        <f>'1 prepared data'!I567</f>
        <v/>
      </c>
      <c r="K574" s="7">
        <f>'1 prepared data'!J567</f>
        <v/>
      </c>
      <c r="L574" s="7">
        <f>'1 prepared data'!K567</f>
        <v/>
      </c>
      <c r="M574" s="7">
        <f>'1 prepared data'!L567</f>
        <v/>
      </c>
      <c r="N574" s="7">
        <f>'1 prepared data'!M567</f>
        <v/>
      </c>
      <c r="O574" s="7">
        <f>'1 prepared data'!N567</f>
        <v/>
      </c>
      <c r="P574" s="7">
        <f>'1 prepared data'!O567</f>
        <v/>
      </c>
      <c r="Q574" s="7">
        <f>'1 prepared data'!P567</f>
        <v/>
      </c>
      <c r="R574" s="7">
        <f>'1 prepared data'!Q567</f>
        <v/>
      </c>
      <c r="S574" s="7">
        <f>'1 prepared data'!R567</f>
        <v/>
      </c>
      <c r="T574" s="7">
        <f>'1 prepared data'!S567</f>
        <v/>
      </c>
      <c r="U574" s="7">
        <f>'1 prepared data'!T567</f>
        <v/>
      </c>
      <c r="V574" s="8">
        <f>$AC$12+D574*$AC$13+E574*$AC$14+F574*$AC$15+G574*$AC$16+H574*$AC$17+I574*$AC$18+J574*$AC$19+K574*$AC$20+L574*$AC$21+M574*$AC$22+N574*$AC$23+O574*$AC$24+P574*$AC$25+Q574*$AC$26+R574*$AC$27+S574*$AC$28+T574*$AC$29+U574*$AC$30</f>
        <v/>
      </c>
      <c r="W574" s="8">
        <f>1/(1+EXP(-V574))</f>
        <v/>
      </c>
      <c r="X574" s="9">
        <f>-IF(C574=1,LN(W574),LN(1-W574))</f>
        <v/>
      </c>
      <c r="Y574" s="10">
        <f>IF(W574&gt;$AC$34,1,0)</f>
        <v/>
      </c>
      <c r="Z574">
        <f>IF(Y574=C574,1,0)</f>
        <v/>
      </c>
    </row>
    <row r="575">
      <c r="A575">
        <f>'1 prepared data'!A568</f>
        <v/>
      </c>
      <c r="B575" s="5">
        <f>'1 prepared data'!U568</f>
        <v/>
      </c>
      <c r="C575">
        <f>'1 prepared data'!B568</f>
        <v/>
      </c>
      <c r="D575" s="7">
        <f>'1 prepared data'!C568</f>
        <v/>
      </c>
      <c r="E575" s="7">
        <f>'1 prepared data'!D568</f>
        <v/>
      </c>
      <c r="F575" s="7">
        <f>'1 prepared data'!E568</f>
        <v/>
      </c>
      <c r="G575" s="7">
        <f>'1 prepared data'!F568</f>
        <v/>
      </c>
      <c r="H575" s="7">
        <f>'1 prepared data'!G568</f>
        <v/>
      </c>
      <c r="I575" s="7">
        <f>'1 prepared data'!H568</f>
        <v/>
      </c>
      <c r="J575" s="7">
        <f>'1 prepared data'!I568</f>
        <v/>
      </c>
      <c r="K575" s="7">
        <f>'1 prepared data'!J568</f>
        <v/>
      </c>
      <c r="L575" s="7">
        <f>'1 prepared data'!K568</f>
        <v/>
      </c>
      <c r="M575" s="7">
        <f>'1 prepared data'!L568</f>
        <v/>
      </c>
      <c r="N575" s="7">
        <f>'1 prepared data'!M568</f>
        <v/>
      </c>
      <c r="O575" s="7">
        <f>'1 prepared data'!N568</f>
        <v/>
      </c>
      <c r="P575" s="7">
        <f>'1 prepared data'!O568</f>
        <v/>
      </c>
      <c r="Q575" s="7">
        <f>'1 prepared data'!P568</f>
        <v/>
      </c>
      <c r="R575" s="7">
        <f>'1 prepared data'!Q568</f>
        <v/>
      </c>
      <c r="S575" s="7">
        <f>'1 prepared data'!R568</f>
        <v/>
      </c>
      <c r="T575" s="7">
        <f>'1 prepared data'!S568</f>
        <v/>
      </c>
      <c r="U575" s="7">
        <f>'1 prepared data'!T568</f>
        <v/>
      </c>
      <c r="V575" s="8">
        <f>$AC$12+D575*$AC$13+E575*$AC$14+F575*$AC$15+G575*$AC$16+H575*$AC$17+I575*$AC$18+J575*$AC$19+K575*$AC$20+L575*$AC$21+M575*$AC$22+N575*$AC$23+O575*$AC$24+P575*$AC$25+Q575*$AC$26+R575*$AC$27+S575*$AC$28+T575*$AC$29+U575*$AC$30</f>
        <v/>
      </c>
      <c r="W575" s="8">
        <f>1/(1+EXP(-V575))</f>
        <v/>
      </c>
      <c r="X575" s="9">
        <f>-IF(C575=1,LN(W575),LN(1-W575))</f>
        <v/>
      </c>
      <c r="Y575" s="10">
        <f>IF(W575&gt;$AC$34,1,0)</f>
        <v/>
      </c>
      <c r="Z575">
        <f>IF(Y575=C575,1,0)</f>
        <v/>
      </c>
    </row>
    <row r="576">
      <c r="A576">
        <f>'1 prepared data'!A569</f>
        <v/>
      </c>
      <c r="B576" s="5">
        <f>'1 prepared data'!U569</f>
        <v/>
      </c>
      <c r="C576">
        <f>'1 prepared data'!B569</f>
        <v/>
      </c>
      <c r="D576" s="7">
        <f>'1 prepared data'!C569</f>
        <v/>
      </c>
      <c r="E576" s="7">
        <f>'1 prepared data'!D569</f>
        <v/>
      </c>
      <c r="F576" s="7">
        <f>'1 prepared data'!E569</f>
        <v/>
      </c>
      <c r="G576" s="7">
        <f>'1 prepared data'!F569</f>
        <v/>
      </c>
      <c r="H576" s="7">
        <f>'1 prepared data'!G569</f>
        <v/>
      </c>
      <c r="I576" s="7">
        <f>'1 prepared data'!H569</f>
        <v/>
      </c>
      <c r="J576" s="7">
        <f>'1 prepared data'!I569</f>
        <v/>
      </c>
      <c r="K576" s="7">
        <f>'1 prepared data'!J569</f>
        <v/>
      </c>
      <c r="L576" s="7">
        <f>'1 prepared data'!K569</f>
        <v/>
      </c>
      <c r="M576" s="7">
        <f>'1 prepared data'!L569</f>
        <v/>
      </c>
      <c r="N576" s="7">
        <f>'1 prepared data'!M569</f>
        <v/>
      </c>
      <c r="O576" s="7">
        <f>'1 prepared data'!N569</f>
        <v/>
      </c>
      <c r="P576" s="7">
        <f>'1 prepared data'!O569</f>
        <v/>
      </c>
      <c r="Q576" s="7">
        <f>'1 prepared data'!P569</f>
        <v/>
      </c>
      <c r="R576" s="7">
        <f>'1 prepared data'!Q569</f>
        <v/>
      </c>
      <c r="S576" s="7">
        <f>'1 prepared data'!R569</f>
        <v/>
      </c>
      <c r="T576" s="7">
        <f>'1 prepared data'!S569</f>
        <v/>
      </c>
      <c r="U576" s="7">
        <f>'1 prepared data'!T569</f>
        <v/>
      </c>
      <c r="V576" s="8">
        <f>$AC$12+D576*$AC$13+E576*$AC$14+F576*$AC$15+G576*$AC$16+H576*$AC$17+I576*$AC$18+J576*$AC$19+K576*$AC$20+L576*$AC$21+M576*$AC$22+N576*$AC$23+O576*$AC$24+P576*$AC$25+Q576*$AC$26+R576*$AC$27+S576*$AC$28+T576*$AC$29+U576*$AC$30</f>
        <v/>
      </c>
      <c r="W576" s="8">
        <f>1/(1+EXP(-V576))</f>
        <v/>
      </c>
      <c r="X576" s="9">
        <f>-IF(C576=1,LN(W576),LN(1-W576))</f>
        <v/>
      </c>
      <c r="Y576" s="10">
        <f>IF(W576&gt;$AC$34,1,0)</f>
        <v/>
      </c>
      <c r="Z576">
        <f>IF(Y576=C576,1,0)</f>
        <v/>
      </c>
    </row>
    <row r="577">
      <c r="A577">
        <f>'1 prepared data'!A570</f>
        <v/>
      </c>
      <c r="B577" s="5">
        <f>'1 prepared data'!U570</f>
        <v/>
      </c>
      <c r="C577">
        <f>'1 prepared data'!B570</f>
        <v/>
      </c>
      <c r="D577" s="7">
        <f>'1 prepared data'!C570</f>
        <v/>
      </c>
      <c r="E577" s="7">
        <f>'1 prepared data'!D570</f>
        <v/>
      </c>
      <c r="F577" s="7">
        <f>'1 prepared data'!E570</f>
        <v/>
      </c>
      <c r="G577" s="7">
        <f>'1 prepared data'!F570</f>
        <v/>
      </c>
      <c r="H577" s="7">
        <f>'1 prepared data'!G570</f>
        <v/>
      </c>
      <c r="I577" s="7">
        <f>'1 prepared data'!H570</f>
        <v/>
      </c>
      <c r="J577" s="7">
        <f>'1 prepared data'!I570</f>
        <v/>
      </c>
      <c r="K577" s="7">
        <f>'1 prepared data'!J570</f>
        <v/>
      </c>
      <c r="L577" s="7">
        <f>'1 prepared data'!K570</f>
        <v/>
      </c>
      <c r="M577" s="7">
        <f>'1 prepared data'!L570</f>
        <v/>
      </c>
      <c r="N577" s="7">
        <f>'1 prepared data'!M570</f>
        <v/>
      </c>
      <c r="O577" s="7">
        <f>'1 prepared data'!N570</f>
        <v/>
      </c>
      <c r="P577" s="7">
        <f>'1 prepared data'!O570</f>
        <v/>
      </c>
      <c r="Q577" s="7">
        <f>'1 prepared data'!P570</f>
        <v/>
      </c>
      <c r="R577" s="7">
        <f>'1 prepared data'!Q570</f>
        <v/>
      </c>
      <c r="S577" s="7">
        <f>'1 prepared data'!R570</f>
        <v/>
      </c>
      <c r="T577" s="7">
        <f>'1 prepared data'!S570</f>
        <v/>
      </c>
      <c r="U577" s="7">
        <f>'1 prepared data'!T570</f>
        <v/>
      </c>
      <c r="V577" s="8">
        <f>$AC$12+D577*$AC$13+E577*$AC$14+F577*$AC$15+G577*$AC$16+H577*$AC$17+I577*$AC$18+J577*$AC$19+K577*$AC$20+L577*$AC$21+M577*$AC$22+N577*$AC$23+O577*$AC$24+P577*$AC$25+Q577*$AC$26+R577*$AC$27+S577*$AC$28+T577*$AC$29+U577*$AC$30</f>
        <v/>
      </c>
      <c r="W577" s="8">
        <f>1/(1+EXP(-V577))</f>
        <v/>
      </c>
      <c r="X577" s="9">
        <f>-IF(C577=1,LN(W577),LN(1-W577))</f>
        <v/>
      </c>
      <c r="Y577" s="10">
        <f>IF(W577&gt;$AC$34,1,0)</f>
        <v/>
      </c>
      <c r="Z577">
        <f>IF(Y577=C577,1,0)</f>
        <v/>
      </c>
    </row>
    <row r="578">
      <c r="A578">
        <f>'1 prepared data'!A571</f>
        <v/>
      </c>
      <c r="B578" s="5">
        <f>'1 prepared data'!U571</f>
        <v/>
      </c>
      <c r="C578">
        <f>'1 prepared data'!B571</f>
        <v/>
      </c>
      <c r="D578" s="7">
        <f>'1 prepared data'!C571</f>
        <v/>
      </c>
      <c r="E578" s="7">
        <f>'1 prepared data'!D571</f>
        <v/>
      </c>
      <c r="F578" s="7">
        <f>'1 prepared data'!E571</f>
        <v/>
      </c>
      <c r="G578" s="7">
        <f>'1 prepared data'!F571</f>
        <v/>
      </c>
      <c r="H578" s="7">
        <f>'1 prepared data'!G571</f>
        <v/>
      </c>
      <c r="I578" s="7">
        <f>'1 prepared data'!H571</f>
        <v/>
      </c>
      <c r="J578" s="7">
        <f>'1 prepared data'!I571</f>
        <v/>
      </c>
      <c r="K578" s="7">
        <f>'1 prepared data'!J571</f>
        <v/>
      </c>
      <c r="L578" s="7">
        <f>'1 prepared data'!K571</f>
        <v/>
      </c>
      <c r="M578" s="7">
        <f>'1 prepared data'!L571</f>
        <v/>
      </c>
      <c r="N578" s="7">
        <f>'1 prepared data'!M571</f>
        <v/>
      </c>
      <c r="O578" s="7">
        <f>'1 prepared data'!N571</f>
        <v/>
      </c>
      <c r="P578" s="7">
        <f>'1 prepared data'!O571</f>
        <v/>
      </c>
      <c r="Q578" s="7">
        <f>'1 prepared data'!P571</f>
        <v/>
      </c>
      <c r="R578" s="7">
        <f>'1 prepared data'!Q571</f>
        <v/>
      </c>
      <c r="S578" s="7">
        <f>'1 prepared data'!R571</f>
        <v/>
      </c>
      <c r="T578" s="7">
        <f>'1 prepared data'!S571</f>
        <v/>
      </c>
      <c r="U578" s="7">
        <f>'1 prepared data'!T571</f>
        <v/>
      </c>
      <c r="V578" s="8">
        <f>$AC$12+D578*$AC$13+E578*$AC$14+F578*$AC$15+G578*$AC$16+H578*$AC$17+I578*$AC$18+J578*$AC$19+K578*$AC$20+L578*$AC$21+M578*$AC$22+N578*$AC$23+O578*$AC$24+P578*$AC$25+Q578*$AC$26+R578*$AC$27+S578*$AC$28+T578*$AC$29+U578*$AC$30</f>
        <v/>
      </c>
      <c r="W578" s="8">
        <f>1/(1+EXP(-V578))</f>
        <v/>
      </c>
      <c r="X578" s="9">
        <f>-IF(C578=1,LN(W578),LN(1-W578))</f>
        <v/>
      </c>
      <c r="Y578" s="10">
        <f>IF(W578&gt;$AC$34,1,0)</f>
        <v/>
      </c>
      <c r="Z578">
        <f>IF(Y578=C578,1,0)</f>
        <v/>
      </c>
    </row>
    <row r="579">
      <c r="A579">
        <f>'1 prepared data'!A572</f>
        <v/>
      </c>
      <c r="B579" s="5">
        <f>'1 prepared data'!U572</f>
        <v/>
      </c>
      <c r="C579">
        <f>'1 prepared data'!B572</f>
        <v/>
      </c>
      <c r="D579" s="7">
        <f>'1 prepared data'!C572</f>
        <v/>
      </c>
      <c r="E579" s="7">
        <f>'1 prepared data'!D572</f>
        <v/>
      </c>
      <c r="F579" s="7">
        <f>'1 prepared data'!E572</f>
        <v/>
      </c>
      <c r="G579" s="7">
        <f>'1 prepared data'!F572</f>
        <v/>
      </c>
      <c r="H579" s="7">
        <f>'1 prepared data'!G572</f>
        <v/>
      </c>
      <c r="I579" s="7">
        <f>'1 prepared data'!H572</f>
        <v/>
      </c>
      <c r="J579" s="7">
        <f>'1 prepared data'!I572</f>
        <v/>
      </c>
      <c r="K579" s="7">
        <f>'1 prepared data'!J572</f>
        <v/>
      </c>
      <c r="L579" s="7">
        <f>'1 prepared data'!K572</f>
        <v/>
      </c>
      <c r="M579" s="7">
        <f>'1 prepared data'!L572</f>
        <v/>
      </c>
      <c r="N579" s="7">
        <f>'1 prepared data'!M572</f>
        <v/>
      </c>
      <c r="O579" s="7">
        <f>'1 prepared data'!N572</f>
        <v/>
      </c>
      <c r="P579" s="7">
        <f>'1 prepared data'!O572</f>
        <v/>
      </c>
      <c r="Q579" s="7">
        <f>'1 prepared data'!P572</f>
        <v/>
      </c>
      <c r="R579" s="7">
        <f>'1 prepared data'!Q572</f>
        <v/>
      </c>
      <c r="S579" s="7">
        <f>'1 prepared data'!R572</f>
        <v/>
      </c>
      <c r="T579" s="7">
        <f>'1 prepared data'!S572</f>
        <v/>
      </c>
      <c r="U579" s="7">
        <f>'1 prepared data'!T572</f>
        <v/>
      </c>
      <c r="V579" s="8">
        <f>$AC$12+D579*$AC$13+E579*$AC$14+F579*$AC$15+G579*$AC$16+H579*$AC$17+I579*$AC$18+J579*$AC$19+K579*$AC$20+L579*$AC$21+M579*$AC$22+N579*$AC$23+O579*$AC$24+P579*$AC$25+Q579*$AC$26+R579*$AC$27+S579*$AC$28+T579*$AC$29+U579*$AC$30</f>
        <v/>
      </c>
      <c r="W579" s="8">
        <f>1/(1+EXP(-V579))</f>
        <v/>
      </c>
      <c r="X579" s="9">
        <f>-IF(C579=1,LN(W579),LN(1-W579))</f>
        <v/>
      </c>
      <c r="Y579" s="10">
        <f>IF(W579&gt;$AC$34,1,0)</f>
        <v/>
      </c>
      <c r="Z579">
        <f>IF(Y579=C579,1,0)</f>
        <v/>
      </c>
    </row>
    <row r="580">
      <c r="A580">
        <f>'1 prepared data'!A573</f>
        <v/>
      </c>
      <c r="B580" s="5">
        <f>'1 prepared data'!U573</f>
        <v/>
      </c>
      <c r="C580">
        <f>'1 prepared data'!B573</f>
        <v/>
      </c>
      <c r="D580" s="7">
        <f>'1 prepared data'!C573</f>
        <v/>
      </c>
      <c r="E580" s="7">
        <f>'1 prepared data'!D573</f>
        <v/>
      </c>
      <c r="F580" s="7">
        <f>'1 prepared data'!E573</f>
        <v/>
      </c>
      <c r="G580" s="7">
        <f>'1 prepared data'!F573</f>
        <v/>
      </c>
      <c r="H580" s="7">
        <f>'1 prepared data'!G573</f>
        <v/>
      </c>
      <c r="I580" s="7">
        <f>'1 prepared data'!H573</f>
        <v/>
      </c>
      <c r="J580" s="7">
        <f>'1 prepared data'!I573</f>
        <v/>
      </c>
      <c r="K580" s="7">
        <f>'1 prepared data'!J573</f>
        <v/>
      </c>
      <c r="L580" s="7">
        <f>'1 prepared data'!K573</f>
        <v/>
      </c>
      <c r="M580" s="7">
        <f>'1 prepared data'!L573</f>
        <v/>
      </c>
      <c r="N580" s="7">
        <f>'1 prepared data'!M573</f>
        <v/>
      </c>
      <c r="O580" s="7">
        <f>'1 prepared data'!N573</f>
        <v/>
      </c>
      <c r="P580" s="7">
        <f>'1 prepared data'!O573</f>
        <v/>
      </c>
      <c r="Q580" s="7">
        <f>'1 prepared data'!P573</f>
        <v/>
      </c>
      <c r="R580" s="7">
        <f>'1 prepared data'!Q573</f>
        <v/>
      </c>
      <c r="S580" s="7">
        <f>'1 prepared data'!R573</f>
        <v/>
      </c>
      <c r="T580" s="7">
        <f>'1 prepared data'!S573</f>
        <v/>
      </c>
      <c r="U580" s="7">
        <f>'1 prepared data'!T573</f>
        <v/>
      </c>
      <c r="V580" s="8">
        <f>$AC$12+D580*$AC$13+E580*$AC$14+F580*$AC$15+G580*$AC$16+H580*$AC$17+I580*$AC$18+J580*$AC$19+K580*$AC$20+L580*$AC$21+M580*$AC$22+N580*$AC$23+O580*$AC$24+P580*$AC$25+Q580*$AC$26+R580*$AC$27+S580*$AC$28+T580*$AC$29+U580*$AC$30</f>
        <v/>
      </c>
      <c r="W580" s="8">
        <f>1/(1+EXP(-V580))</f>
        <v/>
      </c>
      <c r="X580" s="9">
        <f>-IF(C580=1,LN(W580),LN(1-W580))</f>
        <v/>
      </c>
      <c r="Y580" s="10">
        <f>IF(W580&gt;$AC$34,1,0)</f>
        <v/>
      </c>
      <c r="Z580">
        <f>IF(Y580=C580,1,0)</f>
        <v/>
      </c>
    </row>
    <row r="581">
      <c r="A581">
        <f>'1 prepared data'!A574</f>
        <v/>
      </c>
      <c r="B581" s="5">
        <f>'1 prepared data'!U574</f>
        <v/>
      </c>
      <c r="C581">
        <f>'1 prepared data'!B574</f>
        <v/>
      </c>
      <c r="D581" s="7">
        <f>'1 prepared data'!C574</f>
        <v/>
      </c>
      <c r="E581" s="7">
        <f>'1 prepared data'!D574</f>
        <v/>
      </c>
      <c r="F581" s="7">
        <f>'1 prepared data'!E574</f>
        <v/>
      </c>
      <c r="G581" s="7">
        <f>'1 prepared data'!F574</f>
        <v/>
      </c>
      <c r="H581" s="7">
        <f>'1 prepared data'!G574</f>
        <v/>
      </c>
      <c r="I581" s="7">
        <f>'1 prepared data'!H574</f>
        <v/>
      </c>
      <c r="J581" s="7">
        <f>'1 prepared data'!I574</f>
        <v/>
      </c>
      <c r="K581" s="7">
        <f>'1 prepared data'!J574</f>
        <v/>
      </c>
      <c r="L581" s="7">
        <f>'1 prepared data'!K574</f>
        <v/>
      </c>
      <c r="M581" s="7">
        <f>'1 prepared data'!L574</f>
        <v/>
      </c>
      <c r="N581" s="7">
        <f>'1 prepared data'!M574</f>
        <v/>
      </c>
      <c r="O581" s="7">
        <f>'1 prepared data'!N574</f>
        <v/>
      </c>
      <c r="P581" s="7">
        <f>'1 prepared data'!O574</f>
        <v/>
      </c>
      <c r="Q581" s="7">
        <f>'1 prepared data'!P574</f>
        <v/>
      </c>
      <c r="R581" s="7">
        <f>'1 prepared data'!Q574</f>
        <v/>
      </c>
      <c r="S581" s="7">
        <f>'1 prepared data'!R574</f>
        <v/>
      </c>
      <c r="T581" s="7">
        <f>'1 prepared data'!S574</f>
        <v/>
      </c>
      <c r="U581" s="7">
        <f>'1 prepared data'!T574</f>
        <v/>
      </c>
      <c r="V581" s="8">
        <f>$AC$12+D581*$AC$13+E581*$AC$14+F581*$AC$15+G581*$AC$16+H581*$AC$17+I581*$AC$18+J581*$AC$19+K581*$AC$20+L581*$AC$21+M581*$AC$22+N581*$AC$23+O581*$AC$24+P581*$AC$25+Q581*$AC$26+R581*$AC$27+S581*$AC$28+T581*$AC$29+U581*$AC$30</f>
        <v/>
      </c>
      <c r="W581" s="8">
        <f>1/(1+EXP(-V581))</f>
        <v/>
      </c>
      <c r="X581" s="9">
        <f>-IF(C581=1,LN(W581),LN(1-W581))</f>
        <v/>
      </c>
      <c r="Y581" s="10">
        <f>IF(W581&gt;$AC$34,1,0)</f>
        <v/>
      </c>
      <c r="Z581">
        <f>IF(Y581=C581,1,0)</f>
        <v/>
      </c>
    </row>
    <row r="582">
      <c r="A582">
        <f>'1 prepared data'!A575</f>
        <v/>
      </c>
      <c r="B582" s="5">
        <f>'1 prepared data'!U575</f>
        <v/>
      </c>
      <c r="C582">
        <f>'1 prepared data'!B575</f>
        <v/>
      </c>
      <c r="D582" s="7">
        <f>'1 prepared data'!C575</f>
        <v/>
      </c>
      <c r="E582" s="7">
        <f>'1 prepared data'!D575</f>
        <v/>
      </c>
      <c r="F582" s="7">
        <f>'1 prepared data'!E575</f>
        <v/>
      </c>
      <c r="G582" s="7">
        <f>'1 prepared data'!F575</f>
        <v/>
      </c>
      <c r="H582" s="7">
        <f>'1 prepared data'!G575</f>
        <v/>
      </c>
      <c r="I582" s="7">
        <f>'1 prepared data'!H575</f>
        <v/>
      </c>
      <c r="J582" s="7">
        <f>'1 prepared data'!I575</f>
        <v/>
      </c>
      <c r="K582" s="7">
        <f>'1 prepared data'!J575</f>
        <v/>
      </c>
      <c r="L582" s="7">
        <f>'1 prepared data'!K575</f>
        <v/>
      </c>
      <c r="M582" s="7">
        <f>'1 prepared data'!L575</f>
        <v/>
      </c>
      <c r="N582" s="7">
        <f>'1 prepared data'!M575</f>
        <v/>
      </c>
      <c r="O582" s="7">
        <f>'1 prepared data'!N575</f>
        <v/>
      </c>
      <c r="P582" s="7">
        <f>'1 prepared data'!O575</f>
        <v/>
      </c>
      <c r="Q582" s="7">
        <f>'1 prepared data'!P575</f>
        <v/>
      </c>
      <c r="R582" s="7">
        <f>'1 prepared data'!Q575</f>
        <v/>
      </c>
      <c r="S582" s="7">
        <f>'1 prepared data'!R575</f>
        <v/>
      </c>
      <c r="T582" s="7">
        <f>'1 prepared data'!S575</f>
        <v/>
      </c>
      <c r="U582" s="7">
        <f>'1 prepared data'!T575</f>
        <v/>
      </c>
      <c r="V582" s="8">
        <f>$AC$12+D582*$AC$13+E582*$AC$14+F582*$AC$15+G582*$AC$16+H582*$AC$17+I582*$AC$18+J582*$AC$19+K582*$AC$20+L582*$AC$21+M582*$AC$22+N582*$AC$23+O582*$AC$24+P582*$AC$25+Q582*$AC$26+R582*$AC$27+S582*$AC$28+T582*$AC$29+U582*$AC$30</f>
        <v/>
      </c>
      <c r="W582" s="8">
        <f>1/(1+EXP(-V582))</f>
        <v/>
      </c>
      <c r="X582" s="9">
        <f>-IF(C582=1,LN(W582),LN(1-W582))</f>
        <v/>
      </c>
      <c r="Y582" s="10">
        <f>IF(W582&gt;$AC$34,1,0)</f>
        <v/>
      </c>
      <c r="Z582">
        <f>IF(Y582=C582,1,0)</f>
        <v/>
      </c>
    </row>
    <row r="583">
      <c r="A583">
        <f>'1 prepared data'!A576</f>
        <v/>
      </c>
      <c r="B583" s="5">
        <f>'1 prepared data'!U576</f>
        <v/>
      </c>
      <c r="C583">
        <f>'1 prepared data'!B576</f>
        <v/>
      </c>
      <c r="D583" s="7">
        <f>'1 prepared data'!C576</f>
        <v/>
      </c>
      <c r="E583" s="7">
        <f>'1 prepared data'!D576</f>
        <v/>
      </c>
      <c r="F583" s="7">
        <f>'1 prepared data'!E576</f>
        <v/>
      </c>
      <c r="G583" s="7">
        <f>'1 prepared data'!F576</f>
        <v/>
      </c>
      <c r="H583" s="7">
        <f>'1 prepared data'!G576</f>
        <v/>
      </c>
      <c r="I583" s="7">
        <f>'1 prepared data'!H576</f>
        <v/>
      </c>
      <c r="J583" s="7">
        <f>'1 prepared data'!I576</f>
        <v/>
      </c>
      <c r="K583" s="7">
        <f>'1 prepared data'!J576</f>
        <v/>
      </c>
      <c r="L583" s="7">
        <f>'1 prepared data'!K576</f>
        <v/>
      </c>
      <c r="M583" s="7">
        <f>'1 prepared data'!L576</f>
        <v/>
      </c>
      <c r="N583" s="7">
        <f>'1 prepared data'!M576</f>
        <v/>
      </c>
      <c r="O583" s="7">
        <f>'1 prepared data'!N576</f>
        <v/>
      </c>
      <c r="P583" s="7">
        <f>'1 prepared data'!O576</f>
        <v/>
      </c>
      <c r="Q583" s="7">
        <f>'1 prepared data'!P576</f>
        <v/>
      </c>
      <c r="R583" s="7">
        <f>'1 prepared data'!Q576</f>
        <v/>
      </c>
      <c r="S583" s="7">
        <f>'1 prepared data'!R576</f>
        <v/>
      </c>
      <c r="T583" s="7">
        <f>'1 prepared data'!S576</f>
        <v/>
      </c>
      <c r="U583" s="7">
        <f>'1 prepared data'!T576</f>
        <v/>
      </c>
      <c r="V583" s="8">
        <f>$AC$12+D583*$AC$13+E583*$AC$14+F583*$AC$15+G583*$AC$16+H583*$AC$17+I583*$AC$18+J583*$AC$19+K583*$AC$20+L583*$AC$21+M583*$AC$22+N583*$AC$23+O583*$AC$24+P583*$AC$25+Q583*$AC$26+R583*$AC$27+S583*$AC$28+T583*$AC$29+U583*$AC$30</f>
        <v/>
      </c>
      <c r="W583" s="8">
        <f>1/(1+EXP(-V583))</f>
        <v/>
      </c>
      <c r="X583" s="9">
        <f>-IF(C583=1,LN(W583),LN(1-W583))</f>
        <v/>
      </c>
      <c r="Y583" s="10">
        <f>IF(W583&gt;$AC$34,1,0)</f>
        <v/>
      </c>
      <c r="Z583">
        <f>IF(Y583=C583,1,0)</f>
        <v/>
      </c>
    </row>
    <row r="584">
      <c r="A584">
        <f>'1 prepared data'!A577</f>
        <v/>
      </c>
      <c r="B584" s="5">
        <f>'1 prepared data'!U577</f>
        <v/>
      </c>
      <c r="C584">
        <f>'1 prepared data'!B577</f>
        <v/>
      </c>
      <c r="D584" s="7">
        <f>'1 prepared data'!C577</f>
        <v/>
      </c>
      <c r="E584" s="7">
        <f>'1 prepared data'!D577</f>
        <v/>
      </c>
      <c r="F584" s="7">
        <f>'1 prepared data'!E577</f>
        <v/>
      </c>
      <c r="G584" s="7">
        <f>'1 prepared data'!F577</f>
        <v/>
      </c>
      <c r="H584" s="7">
        <f>'1 prepared data'!G577</f>
        <v/>
      </c>
      <c r="I584" s="7">
        <f>'1 prepared data'!H577</f>
        <v/>
      </c>
      <c r="J584" s="7">
        <f>'1 prepared data'!I577</f>
        <v/>
      </c>
      <c r="K584" s="7">
        <f>'1 prepared data'!J577</f>
        <v/>
      </c>
      <c r="L584" s="7">
        <f>'1 prepared data'!K577</f>
        <v/>
      </c>
      <c r="M584" s="7">
        <f>'1 prepared data'!L577</f>
        <v/>
      </c>
      <c r="N584" s="7">
        <f>'1 prepared data'!M577</f>
        <v/>
      </c>
      <c r="O584" s="7">
        <f>'1 prepared data'!N577</f>
        <v/>
      </c>
      <c r="P584" s="7">
        <f>'1 prepared data'!O577</f>
        <v/>
      </c>
      <c r="Q584" s="7">
        <f>'1 prepared data'!P577</f>
        <v/>
      </c>
      <c r="R584" s="7">
        <f>'1 prepared data'!Q577</f>
        <v/>
      </c>
      <c r="S584" s="7">
        <f>'1 prepared data'!R577</f>
        <v/>
      </c>
      <c r="T584" s="7">
        <f>'1 prepared data'!S577</f>
        <v/>
      </c>
      <c r="U584" s="7">
        <f>'1 prepared data'!T577</f>
        <v/>
      </c>
      <c r="V584" s="8">
        <f>$AC$12+D584*$AC$13+E584*$AC$14+F584*$AC$15+G584*$AC$16+H584*$AC$17+I584*$AC$18+J584*$AC$19+K584*$AC$20+L584*$AC$21+M584*$AC$22+N584*$AC$23+O584*$AC$24+P584*$AC$25+Q584*$AC$26+R584*$AC$27+S584*$AC$28+T584*$AC$29+U584*$AC$30</f>
        <v/>
      </c>
      <c r="W584" s="8">
        <f>1/(1+EXP(-V584))</f>
        <v/>
      </c>
      <c r="X584" s="9">
        <f>-IF(C584=1,LN(W584),LN(1-W584))</f>
        <v/>
      </c>
      <c r="Y584" s="10">
        <f>IF(W584&gt;$AC$34,1,0)</f>
        <v/>
      </c>
      <c r="Z584">
        <f>IF(Y584=C584,1,0)</f>
        <v/>
      </c>
    </row>
    <row r="585">
      <c r="A585">
        <f>'1 prepared data'!A578</f>
        <v/>
      </c>
      <c r="B585" s="5">
        <f>'1 prepared data'!U578</f>
        <v/>
      </c>
      <c r="C585">
        <f>'1 prepared data'!B578</f>
        <v/>
      </c>
      <c r="D585" s="7">
        <f>'1 prepared data'!C578</f>
        <v/>
      </c>
      <c r="E585" s="7">
        <f>'1 prepared data'!D578</f>
        <v/>
      </c>
      <c r="F585" s="7">
        <f>'1 prepared data'!E578</f>
        <v/>
      </c>
      <c r="G585" s="7">
        <f>'1 prepared data'!F578</f>
        <v/>
      </c>
      <c r="H585" s="7">
        <f>'1 prepared data'!G578</f>
        <v/>
      </c>
      <c r="I585" s="7">
        <f>'1 prepared data'!H578</f>
        <v/>
      </c>
      <c r="J585" s="7">
        <f>'1 prepared data'!I578</f>
        <v/>
      </c>
      <c r="K585" s="7">
        <f>'1 prepared data'!J578</f>
        <v/>
      </c>
      <c r="L585" s="7">
        <f>'1 prepared data'!K578</f>
        <v/>
      </c>
      <c r="M585" s="7">
        <f>'1 prepared data'!L578</f>
        <v/>
      </c>
      <c r="N585" s="7">
        <f>'1 prepared data'!M578</f>
        <v/>
      </c>
      <c r="O585" s="7">
        <f>'1 prepared data'!N578</f>
        <v/>
      </c>
      <c r="P585" s="7">
        <f>'1 prepared data'!O578</f>
        <v/>
      </c>
      <c r="Q585" s="7">
        <f>'1 prepared data'!P578</f>
        <v/>
      </c>
      <c r="R585" s="7">
        <f>'1 prepared data'!Q578</f>
        <v/>
      </c>
      <c r="S585" s="7">
        <f>'1 prepared data'!R578</f>
        <v/>
      </c>
      <c r="T585" s="7">
        <f>'1 prepared data'!S578</f>
        <v/>
      </c>
      <c r="U585" s="7">
        <f>'1 prepared data'!T578</f>
        <v/>
      </c>
      <c r="V585" s="8">
        <f>$AC$12+D585*$AC$13+E585*$AC$14+F585*$AC$15+G585*$AC$16+H585*$AC$17+I585*$AC$18+J585*$AC$19+K585*$AC$20+L585*$AC$21+M585*$AC$22+N585*$AC$23+O585*$AC$24+P585*$AC$25+Q585*$AC$26+R585*$AC$27+S585*$AC$28+T585*$AC$29+U585*$AC$30</f>
        <v/>
      </c>
      <c r="W585" s="8">
        <f>1/(1+EXP(-V585))</f>
        <v/>
      </c>
      <c r="X585" s="9">
        <f>-IF(C585=1,LN(W585),LN(1-W585))</f>
        <v/>
      </c>
      <c r="Y585" s="10">
        <f>IF(W585&gt;$AC$34,1,0)</f>
        <v/>
      </c>
      <c r="Z585">
        <f>IF(Y585=C585,1,0)</f>
        <v/>
      </c>
    </row>
    <row r="586">
      <c r="A586">
        <f>'1 prepared data'!A579</f>
        <v/>
      </c>
      <c r="B586" s="5">
        <f>'1 prepared data'!U579</f>
        <v/>
      </c>
      <c r="C586">
        <f>'1 prepared data'!B579</f>
        <v/>
      </c>
      <c r="D586" s="7">
        <f>'1 prepared data'!C579</f>
        <v/>
      </c>
      <c r="E586" s="7">
        <f>'1 prepared data'!D579</f>
        <v/>
      </c>
      <c r="F586" s="7">
        <f>'1 prepared data'!E579</f>
        <v/>
      </c>
      <c r="G586" s="7">
        <f>'1 prepared data'!F579</f>
        <v/>
      </c>
      <c r="H586" s="7">
        <f>'1 prepared data'!G579</f>
        <v/>
      </c>
      <c r="I586" s="7">
        <f>'1 prepared data'!H579</f>
        <v/>
      </c>
      <c r="J586" s="7">
        <f>'1 prepared data'!I579</f>
        <v/>
      </c>
      <c r="K586" s="7">
        <f>'1 prepared data'!J579</f>
        <v/>
      </c>
      <c r="L586" s="7">
        <f>'1 prepared data'!K579</f>
        <v/>
      </c>
      <c r="M586" s="7">
        <f>'1 prepared data'!L579</f>
        <v/>
      </c>
      <c r="N586" s="7">
        <f>'1 prepared data'!M579</f>
        <v/>
      </c>
      <c r="O586" s="7">
        <f>'1 prepared data'!N579</f>
        <v/>
      </c>
      <c r="P586" s="7">
        <f>'1 prepared data'!O579</f>
        <v/>
      </c>
      <c r="Q586" s="7">
        <f>'1 prepared data'!P579</f>
        <v/>
      </c>
      <c r="R586" s="7">
        <f>'1 prepared data'!Q579</f>
        <v/>
      </c>
      <c r="S586" s="7">
        <f>'1 prepared data'!R579</f>
        <v/>
      </c>
      <c r="T586" s="7">
        <f>'1 prepared data'!S579</f>
        <v/>
      </c>
      <c r="U586" s="7">
        <f>'1 prepared data'!T579</f>
        <v/>
      </c>
      <c r="V586" s="8">
        <f>$AC$12+D586*$AC$13+E586*$AC$14+F586*$AC$15+G586*$AC$16+H586*$AC$17+I586*$AC$18+J586*$AC$19+K586*$AC$20+L586*$AC$21+M586*$AC$22+N586*$AC$23+O586*$AC$24+P586*$AC$25+Q586*$AC$26+R586*$AC$27+S586*$AC$28+T586*$AC$29+U586*$AC$30</f>
        <v/>
      </c>
      <c r="W586" s="8">
        <f>1/(1+EXP(-V586))</f>
        <v/>
      </c>
      <c r="X586" s="9">
        <f>-IF(C586=1,LN(W586),LN(1-W586))</f>
        <v/>
      </c>
      <c r="Y586" s="10">
        <f>IF(W586&gt;$AC$34,1,0)</f>
        <v/>
      </c>
      <c r="Z586">
        <f>IF(Y586=C586,1,0)</f>
        <v/>
      </c>
    </row>
    <row r="587">
      <c r="A587">
        <f>'1 prepared data'!A580</f>
        <v/>
      </c>
      <c r="B587" s="5">
        <f>'1 prepared data'!U580</f>
        <v/>
      </c>
      <c r="C587">
        <f>'1 prepared data'!B580</f>
        <v/>
      </c>
      <c r="D587" s="7">
        <f>'1 prepared data'!C580</f>
        <v/>
      </c>
      <c r="E587" s="7">
        <f>'1 prepared data'!D580</f>
        <v/>
      </c>
      <c r="F587" s="7">
        <f>'1 prepared data'!E580</f>
        <v/>
      </c>
      <c r="G587" s="7">
        <f>'1 prepared data'!F580</f>
        <v/>
      </c>
      <c r="H587" s="7">
        <f>'1 prepared data'!G580</f>
        <v/>
      </c>
      <c r="I587" s="7">
        <f>'1 prepared data'!H580</f>
        <v/>
      </c>
      <c r="J587" s="7">
        <f>'1 prepared data'!I580</f>
        <v/>
      </c>
      <c r="K587" s="7">
        <f>'1 prepared data'!J580</f>
        <v/>
      </c>
      <c r="L587" s="7">
        <f>'1 prepared data'!K580</f>
        <v/>
      </c>
      <c r="M587" s="7">
        <f>'1 prepared data'!L580</f>
        <v/>
      </c>
      <c r="N587" s="7">
        <f>'1 prepared data'!M580</f>
        <v/>
      </c>
      <c r="O587" s="7">
        <f>'1 prepared data'!N580</f>
        <v/>
      </c>
      <c r="P587" s="7">
        <f>'1 prepared data'!O580</f>
        <v/>
      </c>
      <c r="Q587" s="7">
        <f>'1 prepared data'!P580</f>
        <v/>
      </c>
      <c r="R587" s="7">
        <f>'1 prepared data'!Q580</f>
        <v/>
      </c>
      <c r="S587" s="7">
        <f>'1 prepared data'!R580</f>
        <v/>
      </c>
      <c r="T587" s="7">
        <f>'1 prepared data'!S580</f>
        <v/>
      </c>
      <c r="U587" s="7">
        <f>'1 prepared data'!T580</f>
        <v/>
      </c>
      <c r="V587" s="8">
        <f>$AC$12+D587*$AC$13+E587*$AC$14+F587*$AC$15+G587*$AC$16+H587*$AC$17+I587*$AC$18+J587*$AC$19+K587*$AC$20+L587*$AC$21+M587*$AC$22+N587*$AC$23+O587*$AC$24+P587*$AC$25+Q587*$AC$26+R587*$AC$27+S587*$AC$28+T587*$AC$29+U587*$AC$30</f>
        <v/>
      </c>
      <c r="W587" s="8">
        <f>1/(1+EXP(-V587))</f>
        <v/>
      </c>
      <c r="X587" s="9">
        <f>-IF(C587=1,LN(W587),LN(1-W587))</f>
        <v/>
      </c>
      <c r="Y587" s="10">
        <f>IF(W587&gt;$AC$34,1,0)</f>
        <v/>
      </c>
      <c r="Z587">
        <f>IF(Y587=C587,1,0)</f>
        <v/>
      </c>
    </row>
    <row r="588">
      <c r="A588">
        <f>'1 prepared data'!A581</f>
        <v/>
      </c>
      <c r="B588" s="5">
        <f>'1 prepared data'!U581</f>
        <v/>
      </c>
      <c r="C588">
        <f>'1 prepared data'!B581</f>
        <v/>
      </c>
      <c r="D588" s="7">
        <f>'1 prepared data'!C581</f>
        <v/>
      </c>
      <c r="E588" s="7">
        <f>'1 prepared data'!D581</f>
        <v/>
      </c>
      <c r="F588" s="7">
        <f>'1 prepared data'!E581</f>
        <v/>
      </c>
      <c r="G588" s="7">
        <f>'1 prepared data'!F581</f>
        <v/>
      </c>
      <c r="H588" s="7">
        <f>'1 prepared data'!G581</f>
        <v/>
      </c>
      <c r="I588" s="7">
        <f>'1 prepared data'!H581</f>
        <v/>
      </c>
      <c r="J588" s="7">
        <f>'1 prepared data'!I581</f>
        <v/>
      </c>
      <c r="K588" s="7">
        <f>'1 prepared data'!J581</f>
        <v/>
      </c>
      <c r="L588" s="7">
        <f>'1 prepared data'!K581</f>
        <v/>
      </c>
      <c r="M588" s="7">
        <f>'1 prepared data'!L581</f>
        <v/>
      </c>
      <c r="N588" s="7">
        <f>'1 prepared data'!M581</f>
        <v/>
      </c>
      <c r="O588" s="7">
        <f>'1 prepared data'!N581</f>
        <v/>
      </c>
      <c r="P588" s="7">
        <f>'1 prepared data'!O581</f>
        <v/>
      </c>
      <c r="Q588" s="7">
        <f>'1 prepared data'!P581</f>
        <v/>
      </c>
      <c r="R588" s="7">
        <f>'1 prepared data'!Q581</f>
        <v/>
      </c>
      <c r="S588" s="7">
        <f>'1 prepared data'!R581</f>
        <v/>
      </c>
      <c r="T588" s="7">
        <f>'1 prepared data'!S581</f>
        <v/>
      </c>
      <c r="U588" s="7">
        <f>'1 prepared data'!T581</f>
        <v/>
      </c>
      <c r="V588" s="8">
        <f>$AC$12+D588*$AC$13+E588*$AC$14+F588*$AC$15+G588*$AC$16+H588*$AC$17+I588*$AC$18+J588*$AC$19+K588*$AC$20+L588*$AC$21+M588*$AC$22+N588*$AC$23+O588*$AC$24+P588*$AC$25+Q588*$AC$26+R588*$AC$27+S588*$AC$28+T588*$AC$29+U588*$AC$30</f>
        <v/>
      </c>
      <c r="W588" s="8">
        <f>1/(1+EXP(-V588))</f>
        <v/>
      </c>
      <c r="X588" s="9">
        <f>-IF(C588=1,LN(W588),LN(1-W588))</f>
        <v/>
      </c>
      <c r="Y588" s="10">
        <f>IF(W588&gt;$AC$34,1,0)</f>
        <v/>
      </c>
      <c r="Z588">
        <f>IF(Y588=C588,1,0)</f>
        <v/>
      </c>
    </row>
    <row r="589">
      <c r="A589">
        <f>'1 prepared data'!A582</f>
        <v/>
      </c>
      <c r="B589" s="5">
        <f>'1 prepared data'!U582</f>
        <v/>
      </c>
      <c r="C589">
        <f>'1 prepared data'!B582</f>
        <v/>
      </c>
      <c r="D589" s="7">
        <f>'1 prepared data'!C582</f>
        <v/>
      </c>
      <c r="E589" s="7">
        <f>'1 prepared data'!D582</f>
        <v/>
      </c>
      <c r="F589" s="7">
        <f>'1 prepared data'!E582</f>
        <v/>
      </c>
      <c r="G589" s="7">
        <f>'1 prepared data'!F582</f>
        <v/>
      </c>
      <c r="H589" s="7">
        <f>'1 prepared data'!G582</f>
        <v/>
      </c>
      <c r="I589" s="7">
        <f>'1 prepared data'!H582</f>
        <v/>
      </c>
      <c r="J589" s="7">
        <f>'1 prepared data'!I582</f>
        <v/>
      </c>
      <c r="K589" s="7">
        <f>'1 prepared data'!J582</f>
        <v/>
      </c>
      <c r="L589" s="7">
        <f>'1 prepared data'!K582</f>
        <v/>
      </c>
      <c r="M589" s="7">
        <f>'1 prepared data'!L582</f>
        <v/>
      </c>
      <c r="N589" s="7">
        <f>'1 prepared data'!M582</f>
        <v/>
      </c>
      <c r="O589" s="7">
        <f>'1 prepared data'!N582</f>
        <v/>
      </c>
      <c r="P589" s="7">
        <f>'1 prepared data'!O582</f>
        <v/>
      </c>
      <c r="Q589" s="7">
        <f>'1 prepared data'!P582</f>
        <v/>
      </c>
      <c r="R589" s="7">
        <f>'1 prepared data'!Q582</f>
        <v/>
      </c>
      <c r="S589" s="7">
        <f>'1 prepared data'!R582</f>
        <v/>
      </c>
      <c r="T589" s="7">
        <f>'1 prepared data'!S582</f>
        <v/>
      </c>
      <c r="U589" s="7">
        <f>'1 prepared data'!T582</f>
        <v/>
      </c>
      <c r="V589" s="8">
        <f>$AC$12+D589*$AC$13+E589*$AC$14+F589*$AC$15+G589*$AC$16+H589*$AC$17+I589*$AC$18+J589*$AC$19+K589*$AC$20+L589*$AC$21+M589*$AC$22+N589*$AC$23+O589*$AC$24+P589*$AC$25+Q589*$AC$26+R589*$AC$27+S589*$AC$28+T589*$AC$29+U589*$AC$30</f>
        <v/>
      </c>
      <c r="W589" s="8">
        <f>1/(1+EXP(-V589))</f>
        <v/>
      </c>
      <c r="X589" s="9">
        <f>-IF(C589=1,LN(W589),LN(1-W589))</f>
        <v/>
      </c>
      <c r="Y589" s="10">
        <f>IF(W589&gt;$AC$34,1,0)</f>
        <v/>
      </c>
      <c r="Z589">
        <f>IF(Y589=C589,1,0)</f>
        <v/>
      </c>
    </row>
    <row r="590">
      <c r="A590">
        <f>'1 prepared data'!A583</f>
        <v/>
      </c>
      <c r="B590" s="5">
        <f>'1 prepared data'!U583</f>
        <v/>
      </c>
      <c r="C590">
        <f>'1 prepared data'!B583</f>
        <v/>
      </c>
      <c r="D590" s="7">
        <f>'1 prepared data'!C583</f>
        <v/>
      </c>
      <c r="E590" s="7">
        <f>'1 prepared data'!D583</f>
        <v/>
      </c>
      <c r="F590" s="7">
        <f>'1 prepared data'!E583</f>
        <v/>
      </c>
      <c r="G590" s="7">
        <f>'1 prepared data'!F583</f>
        <v/>
      </c>
      <c r="H590" s="7">
        <f>'1 prepared data'!G583</f>
        <v/>
      </c>
      <c r="I590" s="7">
        <f>'1 prepared data'!H583</f>
        <v/>
      </c>
      <c r="J590" s="7">
        <f>'1 prepared data'!I583</f>
        <v/>
      </c>
      <c r="K590" s="7">
        <f>'1 prepared data'!J583</f>
        <v/>
      </c>
      <c r="L590" s="7">
        <f>'1 prepared data'!K583</f>
        <v/>
      </c>
      <c r="M590" s="7">
        <f>'1 prepared data'!L583</f>
        <v/>
      </c>
      <c r="N590" s="7">
        <f>'1 prepared data'!M583</f>
        <v/>
      </c>
      <c r="O590" s="7">
        <f>'1 prepared data'!N583</f>
        <v/>
      </c>
      <c r="P590" s="7">
        <f>'1 prepared data'!O583</f>
        <v/>
      </c>
      <c r="Q590" s="7">
        <f>'1 prepared data'!P583</f>
        <v/>
      </c>
      <c r="R590" s="7">
        <f>'1 prepared data'!Q583</f>
        <v/>
      </c>
      <c r="S590" s="7">
        <f>'1 prepared data'!R583</f>
        <v/>
      </c>
      <c r="T590" s="7">
        <f>'1 prepared data'!S583</f>
        <v/>
      </c>
      <c r="U590" s="7">
        <f>'1 prepared data'!T583</f>
        <v/>
      </c>
      <c r="V590" s="8">
        <f>$AC$12+D590*$AC$13+E590*$AC$14+F590*$AC$15+G590*$AC$16+H590*$AC$17+I590*$AC$18+J590*$AC$19+K590*$AC$20+L590*$AC$21+M590*$AC$22+N590*$AC$23+O590*$AC$24+P590*$AC$25+Q590*$AC$26+R590*$AC$27+S590*$AC$28+T590*$AC$29+U590*$AC$30</f>
        <v/>
      </c>
      <c r="W590" s="8">
        <f>1/(1+EXP(-V590))</f>
        <v/>
      </c>
      <c r="X590" s="9">
        <f>-IF(C590=1,LN(W590),LN(1-W590))</f>
        <v/>
      </c>
      <c r="Y590" s="10">
        <f>IF(W590&gt;$AC$34,1,0)</f>
        <v/>
      </c>
      <c r="Z590">
        <f>IF(Y590=C590,1,0)</f>
        <v/>
      </c>
    </row>
    <row r="591">
      <c r="A591">
        <f>'1 prepared data'!A584</f>
        <v/>
      </c>
      <c r="B591" s="5">
        <f>'1 prepared data'!U584</f>
        <v/>
      </c>
      <c r="C591">
        <f>'1 prepared data'!B584</f>
        <v/>
      </c>
      <c r="D591" s="7">
        <f>'1 prepared data'!C584</f>
        <v/>
      </c>
      <c r="E591" s="7">
        <f>'1 prepared data'!D584</f>
        <v/>
      </c>
      <c r="F591" s="7">
        <f>'1 prepared data'!E584</f>
        <v/>
      </c>
      <c r="G591" s="7">
        <f>'1 prepared data'!F584</f>
        <v/>
      </c>
      <c r="H591" s="7">
        <f>'1 prepared data'!G584</f>
        <v/>
      </c>
      <c r="I591" s="7">
        <f>'1 prepared data'!H584</f>
        <v/>
      </c>
      <c r="J591" s="7">
        <f>'1 prepared data'!I584</f>
        <v/>
      </c>
      <c r="K591" s="7">
        <f>'1 prepared data'!J584</f>
        <v/>
      </c>
      <c r="L591" s="7">
        <f>'1 prepared data'!K584</f>
        <v/>
      </c>
      <c r="M591" s="7">
        <f>'1 prepared data'!L584</f>
        <v/>
      </c>
      <c r="N591" s="7">
        <f>'1 prepared data'!M584</f>
        <v/>
      </c>
      <c r="O591" s="7">
        <f>'1 prepared data'!N584</f>
        <v/>
      </c>
      <c r="P591" s="7">
        <f>'1 prepared data'!O584</f>
        <v/>
      </c>
      <c r="Q591" s="7">
        <f>'1 prepared data'!P584</f>
        <v/>
      </c>
      <c r="R591" s="7">
        <f>'1 prepared data'!Q584</f>
        <v/>
      </c>
      <c r="S591" s="7">
        <f>'1 prepared data'!R584</f>
        <v/>
      </c>
      <c r="T591" s="7">
        <f>'1 prepared data'!S584</f>
        <v/>
      </c>
      <c r="U591" s="7">
        <f>'1 prepared data'!T584</f>
        <v/>
      </c>
      <c r="V591" s="8">
        <f>$AC$12+D591*$AC$13+E591*$AC$14+F591*$AC$15+G591*$AC$16+H591*$AC$17+I591*$AC$18+J591*$AC$19+K591*$AC$20+L591*$AC$21+M591*$AC$22+N591*$AC$23+O591*$AC$24+P591*$AC$25+Q591*$AC$26+R591*$AC$27+S591*$AC$28+T591*$AC$29+U591*$AC$30</f>
        <v/>
      </c>
      <c r="W591" s="8">
        <f>1/(1+EXP(-V591))</f>
        <v/>
      </c>
      <c r="X591" s="9">
        <f>-IF(C591=1,LN(W591),LN(1-W591))</f>
        <v/>
      </c>
      <c r="Y591" s="10">
        <f>IF(W591&gt;$AC$34,1,0)</f>
        <v/>
      </c>
      <c r="Z591">
        <f>IF(Y591=C591,1,0)</f>
        <v/>
      </c>
    </row>
    <row r="592">
      <c r="A592">
        <f>'1 prepared data'!A585</f>
        <v/>
      </c>
      <c r="B592" s="5">
        <f>'1 prepared data'!U585</f>
        <v/>
      </c>
      <c r="C592">
        <f>'1 prepared data'!B585</f>
        <v/>
      </c>
      <c r="D592" s="7">
        <f>'1 prepared data'!C585</f>
        <v/>
      </c>
      <c r="E592" s="7">
        <f>'1 prepared data'!D585</f>
        <v/>
      </c>
      <c r="F592" s="7">
        <f>'1 prepared data'!E585</f>
        <v/>
      </c>
      <c r="G592" s="7">
        <f>'1 prepared data'!F585</f>
        <v/>
      </c>
      <c r="H592" s="7">
        <f>'1 prepared data'!G585</f>
        <v/>
      </c>
      <c r="I592" s="7">
        <f>'1 prepared data'!H585</f>
        <v/>
      </c>
      <c r="J592" s="7">
        <f>'1 prepared data'!I585</f>
        <v/>
      </c>
      <c r="K592" s="7">
        <f>'1 prepared data'!J585</f>
        <v/>
      </c>
      <c r="L592" s="7">
        <f>'1 prepared data'!K585</f>
        <v/>
      </c>
      <c r="M592" s="7">
        <f>'1 prepared data'!L585</f>
        <v/>
      </c>
      <c r="N592" s="7">
        <f>'1 prepared data'!M585</f>
        <v/>
      </c>
      <c r="O592" s="7">
        <f>'1 prepared data'!N585</f>
        <v/>
      </c>
      <c r="P592" s="7">
        <f>'1 prepared data'!O585</f>
        <v/>
      </c>
      <c r="Q592" s="7">
        <f>'1 prepared data'!P585</f>
        <v/>
      </c>
      <c r="R592" s="7">
        <f>'1 prepared data'!Q585</f>
        <v/>
      </c>
      <c r="S592" s="7">
        <f>'1 prepared data'!R585</f>
        <v/>
      </c>
      <c r="T592" s="7">
        <f>'1 prepared data'!S585</f>
        <v/>
      </c>
      <c r="U592" s="7">
        <f>'1 prepared data'!T585</f>
        <v/>
      </c>
      <c r="V592" s="8">
        <f>$AC$12+D592*$AC$13+E592*$AC$14+F592*$AC$15+G592*$AC$16+H592*$AC$17+I592*$AC$18+J592*$AC$19+K592*$AC$20+L592*$AC$21+M592*$AC$22+N592*$AC$23+O592*$AC$24+P592*$AC$25+Q592*$AC$26+R592*$AC$27+S592*$AC$28+T592*$AC$29+U592*$AC$30</f>
        <v/>
      </c>
      <c r="W592" s="8">
        <f>1/(1+EXP(-V592))</f>
        <v/>
      </c>
      <c r="X592" s="9">
        <f>-IF(C592=1,LN(W592),LN(1-W592))</f>
        <v/>
      </c>
      <c r="Y592" s="10">
        <f>IF(W592&gt;$AC$34,1,0)</f>
        <v/>
      </c>
      <c r="Z592">
        <f>IF(Y592=C592,1,0)</f>
        <v/>
      </c>
    </row>
    <row r="593">
      <c r="A593">
        <f>'1 prepared data'!A586</f>
        <v/>
      </c>
      <c r="B593" s="5">
        <f>'1 prepared data'!U586</f>
        <v/>
      </c>
      <c r="C593">
        <f>'1 prepared data'!B586</f>
        <v/>
      </c>
      <c r="D593" s="7">
        <f>'1 prepared data'!C586</f>
        <v/>
      </c>
      <c r="E593" s="7">
        <f>'1 prepared data'!D586</f>
        <v/>
      </c>
      <c r="F593" s="7">
        <f>'1 prepared data'!E586</f>
        <v/>
      </c>
      <c r="G593" s="7">
        <f>'1 prepared data'!F586</f>
        <v/>
      </c>
      <c r="H593" s="7">
        <f>'1 prepared data'!G586</f>
        <v/>
      </c>
      <c r="I593" s="7">
        <f>'1 prepared data'!H586</f>
        <v/>
      </c>
      <c r="J593" s="7">
        <f>'1 prepared data'!I586</f>
        <v/>
      </c>
      <c r="K593" s="7">
        <f>'1 prepared data'!J586</f>
        <v/>
      </c>
      <c r="L593" s="7">
        <f>'1 prepared data'!K586</f>
        <v/>
      </c>
      <c r="M593" s="7">
        <f>'1 prepared data'!L586</f>
        <v/>
      </c>
      <c r="N593" s="7">
        <f>'1 prepared data'!M586</f>
        <v/>
      </c>
      <c r="O593" s="7">
        <f>'1 prepared data'!N586</f>
        <v/>
      </c>
      <c r="P593" s="7">
        <f>'1 prepared data'!O586</f>
        <v/>
      </c>
      <c r="Q593" s="7">
        <f>'1 prepared data'!P586</f>
        <v/>
      </c>
      <c r="R593" s="7">
        <f>'1 prepared data'!Q586</f>
        <v/>
      </c>
      <c r="S593" s="7">
        <f>'1 prepared data'!R586</f>
        <v/>
      </c>
      <c r="T593" s="7">
        <f>'1 prepared data'!S586</f>
        <v/>
      </c>
      <c r="U593" s="7">
        <f>'1 prepared data'!T586</f>
        <v/>
      </c>
      <c r="V593" s="8">
        <f>$AC$12+D593*$AC$13+E593*$AC$14+F593*$AC$15+G593*$AC$16+H593*$AC$17+I593*$AC$18+J593*$AC$19+K593*$AC$20+L593*$AC$21+M593*$AC$22+N593*$AC$23+O593*$AC$24+P593*$AC$25+Q593*$AC$26+R593*$AC$27+S593*$AC$28+T593*$AC$29+U593*$AC$30</f>
        <v/>
      </c>
      <c r="W593" s="8">
        <f>1/(1+EXP(-V593))</f>
        <v/>
      </c>
      <c r="X593" s="9">
        <f>-IF(C593=1,LN(W593),LN(1-W593))</f>
        <v/>
      </c>
      <c r="Y593" s="10">
        <f>IF(W593&gt;$AC$34,1,0)</f>
        <v/>
      </c>
      <c r="Z593">
        <f>IF(Y593=C593,1,0)</f>
        <v/>
      </c>
    </row>
    <row r="594">
      <c r="A594">
        <f>'1 prepared data'!A587</f>
        <v/>
      </c>
      <c r="B594" s="5">
        <f>'1 prepared data'!U587</f>
        <v/>
      </c>
      <c r="C594">
        <f>'1 prepared data'!B587</f>
        <v/>
      </c>
      <c r="D594" s="7">
        <f>'1 prepared data'!C587</f>
        <v/>
      </c>
      <c r="E594" s="7">
        <f>'1 prepared data'!D587</f>
        <v/>
      </c>
      <c r="F594" s="7">
        <f>'1 prepared data'!E587</f>
        <v/>
      </c>
      <c r="G594" s="7">
        <f>'1 prepared data'!F587</f>
        <v/>
      </c>
      <c r="H594" s="7">
        <f>'1 prepared data'!G587</f>
        <v/>
      </c>
      <c r="I594" s="7">
        <f>'1 prepared data'!H587</f>
        <v/>
      </c>
      <c r="J594" s="7">
        <f>'1 prepared data'!I587</f>
        <v/>
      </c>
      <c r="K594" s="7">
        <f>'1 prepared data'!J587</f>
        <v/>
      </c>
      <c r="L594" s="7">
        <f>'1 prepared data'!K587</f>
        <v/>
      </c>
      <c r="M594" s="7">
        <f>'1 prepared data'!L587</f>
        <v/>
      </c>
      <c r="N594" s="7">
        <f>'1 prepared data'!M587</f>
        <v/>
      </c>
      <c r="O594" s="7">
        <f>'1 prepared data'!N587</f>
        <v/>
      </c>
      <c r="P594" s="7">
        <f>'1 prepared data'!O587</f>
        <v/>
      </c>
      <c r="Q594" s="7">
        <f>'1 prepared data'!P587</f>
        <v/>
      </c>
      <c r="R594" s="7">
        <f>'1 prepared data'!Q587</f>
        <v/>
      </c>
      <c r="S594" s="7">
        <f>'1 prepared data'!R587</f>
        <v/>
      </c>
      <c r="T594" s="7">
        <f>'1 prepared data'!S587</f>
        <v/>
      </c>
      <c r="U594" s="7">
        <f>'1 prepared data'!T587</f>
        <v/>
      </c>
      <c r="V594" s="8">
        <f>$AC$12+D594*$AC$13+E594*$AC$14+F594*$AC$15+G594*$AC$16+H594*$AC$17+I594*$AC$18+J594*$AC$19+K594*$AC$20+L594*$AC$21+M594*$AC$22+N594*$AC$23+O594*$AC$24+P594*$AC$25+Q594*$AC$26+R594*$AC$27+S594*$AC$28+T594*$AC$29+U594*$AC$30</f>
        <v/>
      </c>
      <c r="W594" s="8">
        <f>1/(1+EXP(-V594))</f>
        <v/>
      </c>
      <c r="X594" s="9">
        <f>-IF(C594=1,LN(W594),LN(1-W594))</f>
        <v/>
      </c>
      <c r="Y594" s="10">
        <f>IF(W594&gt;$AC$34,1,0)</f>
        <v/>
      </c>
      <c r="Z594">
        <f>IF(Y594=C594,1,0)</f>
        <v/>
      </c>
    </row>
    <row r="595">
      <c r="A595">
        <f>'1 prepared data'!A588</f>
        <v/>
      </c>
      <c r="B595" s="5">
        <f>'1 prepared data'!U588</f>
        <v/>
      </c>
      <c r="C595">
        <f>'1 prepared data'!B588</f>
        <v/>
      </c>
      <c r="D595" s="7">
        <f>'1 prepared data'!C588</f>
        <v/>
      </c>
      <c r="E595" s="7">
        <f>'1 prepared data'!D588</f>
        <v/>
      </c>
      <c r="F595" s="7">
        <f>'1 prepared data'!E588</f>
        <v/>
      </c>
      <c r="G595" s="7">
        <f>'1 prepared data'!F588</f>
        <v/>
      </c>
      <c r="H595" s="7">
        <f>'1 prepared data'!G588</f>
        <v/>
      </c>
      <c r="I595" s="7">
        <f>'1 prepared data'!H588</f>
        <v/>
      </c>
      <c r="J595" s="7">
        <f>'1 prepared data'!I588</f>
        <v/>
      </c>
      <c r="K595" s="7">
        <f>'1 prepared data'!J588</f>
        <v/>
      </c>
      <c r="L595" s="7">
        <f>'1 prepared data'!K588</f>
        <v/>
      </c>
      <c r="M595" s="7">
        <f>'1 prepared data'!L588</f>
        <v/>
      </c>
      <c r="N595" s="7">
        <f>'1 prepared data'!M588</f>
        <v/>
      </c>
      <c r="O595" s="7">
        <f>'1 prepared data'!N588</f>
        <v/>
      </c>
      <c r="P595" s="7">
        <f>'1 prepared data'!O588</f>
        <v/>
      </c>
      <c r="Q595" s="7">
        <f>'1 prepared data'!P588</f>
        <v/>
      </c>
      <c r="R595" s="7">
        <f>'1 prepared data'!Q588</f>
        <v/>
      </c>
      <c r="S595" s="7">
        <f>'1 prepared data'!R588</f>
        <v/>
      </c>
      <c r="T595" s="7">
        <f>'1 prepared data'!S588</f>
        <v/>
      </c>
      <c r="U595" s="7">
        <f>'1 prepared data'!T588</f>
        <v/>
      </c>
      <c r="V595" s="8">
        <f>$AC$12+D595*$AC$13+E595*$AC$14+F595*$AC$15+G595*$AC$16+H595*$AC$17+I595*$AC$18+J595*$AC$19+K595*$AC$20+L595*$AC$21+M595*$AC$22+N595*$AC$23+O595*$AC$24+P595*$AC$25+Q595*$AC$26+R595*$AC$27+S595*$AC$28+T595*$AC$29+U595*$AC$30</f>
        <v/>
      </c>
      <c r="W595" s="8">
        <f>1/(1+EXP(-V595))</f>
        <v/>
      </c>
      <c r="X595" s="9">
        <f>-IF(C595=1,LN(W595),LN(1-W595))</f>
        <v/>
      </c>
      <c r="Y595" s="10">
        <f>IF(W595&gt;$AC$34,1,0)</f>
        <v/>
      </c>
      <c r="Z595">
        <f>IF(Y595=C595,1,0)</f>
        <v/>
      </c>
    </row>
    <row r="596">
      <c r="A596">
        <f>'1 prepared data'!A589</f>
        <v/>
      </c>
      <c r="B596" s="5">
        <f>'1 prepared data'!U589</f>
        <v/>
      </c>
      <c r="C596">
        <f>'1 prepared data'!B589</f>
        <v/>
      </c>
      <c r="D596" s="7">
        <f>'1 prepared data'!C589</f>
        <v/>
      </c>
      <c r="E596" s="7">
        <f>'1 prepared data'!D589</f>
        <v/>
      </c>
      <c r="F596" s="7">
        <f>'1 prepared data'!E589</f>
        <v/>
      </c>
      <c r="G596" s="7">
        <f>'1 prepared data'!F589</f>
        <v/>
      </c>
      <c r="H596" s="7">
        <f>'1 prepared data'!G589</f>
        <v/>
      </c>
      <c r="I596" s="7">
        <f>'1 prepared data'!H589</f>
        <v/>
      </c>
      <c r="J596" s="7">
        <f>'1 prepared data'!I589</f>
        <v/>
      </c>
      <c r="K596" s="7">
        <f>'1 prepared data'!J589</f>
        <v/>
      </c>
      <c r="L596" s="7">
        <f>'1 prepared data'!K589</f>
        <v/>
      </c>
      <c r="M596" s="7">
        <f>'1 prepared data'!L589</f>
        <v/>
      </c>
      <c r="N596" s="7">
        <f>'1 prepared data'!M589</f>
        <v/>
      </c>
      <c r="O596" s="7">
        <f>'1 prepared data'!N589</f>
        <v/>
      </c>
      <c r="P596" s="7">
        <f>'1 prepared data'!O589</f>
        <v/>
      </c>
      <c r="Q596" s="7">
        <f>'1 prepared data'!P589</f>
        <v/>
      </c>
      <c r="R596" s="7">
        <f>'1 prepared data'!Q589</f>
        <v/>
      </c>
      <c r="S596" s="7">
        <f>'1 prepared data'!R589</f>
        <v/>
      </c>
      <c r="T596" s="7">
        <f>'1 prepared data'!S589</f>
        <v/>
      </c>
      <c r="U596" s="7">
        <f>'1 prepared data'!T589</f>
        <v/>
      </c>
      <c r="V596" s="8">
        <f>$AC$12+D596*$AC$13+E596*$AC$14+F596*$AC$15+G596*$AC$16+H596*$AC$17+I596*$AC$18+J596*$AC$19+K596*$AC$20+L596*$AC$21+M596*$AC$22+N596*$AC$23+O596*$AC$24+P596*$AC$25+Q596*$AC$26+R596*$AC$27+S596*$AC$28+T596*$AC$29+U596*$AC$30</f>
        <v/>
      </c>
      <c r="W596" s="8">
        <f>1/(1+EXP(-V596))</f>
        <v/>
      </c>
      <c r="X596" s="9">
        <f>-IF(C596=1,LN(W596),LN(1-W596))</f>
        <v/>
      </c>
      <c r="Y596" s="10">
        <f>IF(W596&gt;$AC$34,1,0)</f>
        <v/>
      </c>
      <c r="Z596">
        <f>IF(Y596=C596,1,0)</f>
        <v/>
      </c>
    </row>
    <row r="597">
      <c r="A597">
        <f>'1 prepared data'!A590</f>
        <v/>
      </c>
      <c r="B597" s="5">
        <f>'1 prepared data'!U590</f>
        <v/>
      </c>
      <c r="C597">
        <f>'1 prepared data'!B590</f>
        <v/>
      </c>
      <c r="D597" s="7">
        <f>'1 prepared data'!C590</f>
        <v/>
      </c>
      <c r="E597" s="7">
        <f>'1 prepared data'!D590</f>
        <v/>
      </c>
      <c r="F597" s="7">
        <f>'1 prepared data'!E590</f>
        <v/>
      </c>
      <c r="G597" s="7">
        <f>'1 prepared data'!F590</f>
        <v/>
      </c>
      <c r="H597" s="7">
        <f>'1 prepared data'!G590</f>
        <v/>
      </c>
      <c r="I597" s="7">
        <f>'1 prepared data'!H590</f>
        <v/>
      </c>
      <c r="J597" s="7">
        <f>'1 prepared data'!I590</f>
        <v/>
      </c>
      <c r="K597" s="7">
        <f>'1 prepared data'!J590</f>
        <v/>
      </c>
      <c r="L597" s="7">
        <f>'1 prepared data'!K590</f>
        <v/>
      </c>
      <c r="M597" s="7">
        <f>'1 prepared data'!L590</f>
        <v/>
      </c>
      <c r="N597" s="7">
        <f>'1 prepared data'!M590</f>
        <v/>
      </c>
      <c r="O597" s="7">
        <f>'1 prepared data'!N590</f>
        <v/>
      </c>
      <c r="P597" s="7">
        <f>'1 prepared data'!O590</f>
        <v/>
      </c>
      <c r="Q597" s="7">
        <f>'1 prepared data'!P590</f>
        <v/>
      </c>
      <c r="R597" s="7">
        <f>'1 prepared data'!Q590</f>
        <v/>
      </c>
      <c r="S597" s="7">
        <f>'1 prepared data'!R590</f>
        <v/>
      </c>
      <c r="T597" s="7">
        <f>'1 prepared data'!S590</f>
        <v/>
      </c>
      <c r="U597" s="7">
        <f>'1 prepared data'!T590</f>
        <v/>
      </c>
      <c r="V597" s="8">
        <f>$AC$12+D597*$AC$13+E597*$AC$14+F597*$AC$15+G597*$AC$16+H597*$AC$17+I597*$AC$18+J597*$AC$19+K597*$AC$20+L597*$AC$21+M597*$AC$22+N597*$AC$23+O597*$AC$24+P597*$AC$25+Q597*$AC$26+R597*$AC$27+S597*$AC$28+T597*$AC$29+U597*$AC$30</f>
        <v/>
      </c>
      <c r="W597" s="8">
        <f>1/(1+EXP(-V597))</f>
        <v/>
      </c>
      <c r="X597" s="9">
        <f>-IF(C597=1,LN(W597),LN(1-W597))</f>
        <v/>
      </c>
      <c r="Y597" s="10">
        <f>IF(W597&gt;$AC$34,1,0)</f>
        <v/>
      </c>
      <c r="Z597">
        <f>IF(Y597=C597,1,0)</f>
        <v/>
      </c>
    </row>
    <row r="598">
      <c r="A598">
        <f>'1 prepared data'!A591</f>
        <v/>
      </c>
      <c r="B598" s="5">
        <f>'1 prepared data'!U591</f>
        <v/>
      </c>
      <c r="C598">
        <f>'1 prepared data'!B591</f>
        <v/>
      </c>
      <c r="D598" s="7">
        <f>'1 prepared data'!C591</f>
        <v/>
      </c>
      <c r="E598" s="7">
        <f>'1 prepared data'!D591</f>
        <v/>
      </c>
      <c r="F598" s="7">
        <f>'1 prepared data'!E591</f>
        <v/>
      </c>
      <c r="G598" s="7">
        <f>'1 prepared data'!F591</f>
        <v/>
      </c>
      <c r="H598" s="7">
        <f>'1 prepared data'!G591</f>
        <v/>
      </c>
      <c r="I598" s="7">
        <f>'1 prepared data'!H591</f>
        <v/>
      </c>
      <c r="J598" s="7">
        <f>'1 prepared data'!I591</f>
        <v/>
      </c>
      <c r="K598" s="7">
        <f>'1 prepared data'!J591</f>
        <v/>
      </c>
      <c r="L598" s="7">
        <f>'1 prepared data'!K591</f>
        <v/>
      </c>
      <c r="M598" s="7">
        <f>'1 prepared data'!L591</f>
        <v/>
      </c>
      <c r="N598" s="7">
        <f>'1 prepared data'!M591</f>
        <v/>
      </c>
      <c r="O598" s="7">
        <f>'1 prepared data'!N591</f>
        <v/>
      </c>
      <c r="P598" s="7">
        <f>'1 prepared data'!O591</f>
        <v/>
      </c>
      <c r="Q598" s="7">
        <f>'1 prepared data'!P591</f>
        <v/>
      </c>
      <c r="R598" s="7">
        <f>'1 prepared data'!Q591</f>
        <v/>
      </c>
      <c r="S598" s="7">
        <f>'1 prepared data'!R591</f>
        <v/>
      </c>
      <c r="T598" s="7">
        <f>'1 prepared data'!S591</f>
        <v/>
      </c>
      <c r="U598" s="7">
        <f>'1 prepared data'!T591</f>
        <v/>
      </c>
      <c r="V598" s="8">
        <f>$AC$12+D598*$AC$13+E598*$AC$14+F598*$AC$15+G598*$AC$16+H598*$AC$17+I598*$AC$18+J598*$AC$19+K598*$AC$20+L598*$AC$21+M598*$AC$22+N598*$AC$23+O598*$AC$24+P598*$AC$25+Q598*$AC$26+R598*$AC$27+S598*$AC$28+T598*$AC$29+U598*$AC$30</f>
        <v/>
      </c>
      <c r="W598" s="8">
        <f>1/(1+EXP(-V598))</f>
        <v/>
      </c>
      <c r="X598" s="9">
        <f>-IF(C598=1,LN(W598),LN(1-W598))</f>
        <v/>
      </c>
      <c r="Y598" s="10">
        <f>IF(W598&gt;$AC$34,1,0)</f>
        <v/>
      </c>
      <c r="Z598">
        <f>IF(Y598=C598,1,0)</f>
        <v/>
      </c>
    </row>
    <row r="599">
      <c r="A599">
        <f>'1 prepared data'!A592</f>
        <v/>
      </c>
      <c r="B599" s="5">
        <f>'1 prepared data'!U592</f>
        <v/>
      </c>
      <c r="C599">
        <f>'1 prepared data'!B592</f>
        <v/>
      </c>
      <c r="D599" s="7">
        <f>'1 prepared data'!C592</f>
        <v/>
      </c>
      <c r="E599" s="7">
        <f>'1 prepared data'!D592</f>
        <v/>
      </c>
      <c r="F599" s="7">
        <f>'1 prepared data'!E592</f>
        <v/>
      </c>
      <c r="G599" s="7">
        <f>'1 prepared data'!F592</f>
        <v/>
      </c>
      <c r="H599" s="7">
        <f>'1 prepared data'!G592</f>
        <v/>
      </c>
      <c r="I599" s="7">
        <f>'1 prepared data'!H592</f>
        <v/>
      </c>
      <c r="J599" s="7">
        <f>'1 prepared data'!I592</f>
        <v/>
      </c>
      <c r="K599" s="7">
        <f>'1 prepared data'!J592</f>
        <v/>
      </c>
      <c r="L599" s="7">
        <f>'1 prepared data'!K592</f>
        <v/>
      </c>
      <c r="M599" s="7">
        <f>'1 prepared data'!L592</f>
        <v/>
      </c>
      <c r="N599" s="7">
        <f>'1 prepared data'!M592</f>
        <v/>
      </c>
      <c r="O599" s="7">
        <f>'1 prepared data'!N592</f>
        <v/>
      </c>
      <c r="P599" s="7">
        <f>'1 prepared data'!O592</f>
        <v/>
      </c>
      <c r="Q599" s="7">
        <f>'1 prepared data'!P592</f>
        <v/>
      </c>
      <c r="R599" s="7">
        <f>'1 prepared data'!Q592</f>
        <v/>
      </c>
      <c r="S599" s="7">
        <f>'1 prepared data'!R592</f>
        <v/>
      </c>
      <c r="T599" s="7">
        <f>'1 prepared data'!S592</f>
        <v/>
      </c>
      <c r="U599" s="7">
        <f>'1 prepared data'!T592</f>
        <v/>
      </c>
      <c r="V599" s="8">
        <f>$AC$12+D599*$AC$13+E599*$AC$14+F599*$AC$15+G599*$AC$16+H599*$AC$17+I599*$AC$18+J599*$AC$19+K599*$AC$20+L599*$AC$21+M599*$AC$22+N599*$AC$23+O599*$AC$24+P599*$AC$25+Q599*$AC$26+R599*$AC$27+S599*$AC$28+T599*$AC$29+U599*$AC$30</f>
        <v/>
      </c>
      <c r="W599" s="8">
        <f>1/(1+EXP(-V599))</f>
        <v/>
      </c>
      <c r="X599" s="9">
        <f>-IF(C599=1,LN(W599),LN(1-W599))</f>
        <v/>
      </c>
      <c r="Y599" s="10">
        <f>IF(W599&gt;$AC$34,1,0)</f>
        <v/>
      </c>
      <c r="Z599">
        <f>IF(Y599=C599,1,0)</f>
        <v/>
      </c>
    </row>
    <row r="600">
      <c r="A600">
        <f>'1 prepared data'!A593</f>
        <v/>
      </c>
      <c r="B600" s="5">
        <f>'1 prepared data'!U593</f>
        <v/>
      </c>
      <c r="C600">
        <f>'1 prepared data'!B593</f>
        <v/>
      </c>
      <c r="D600" s="7">
        <f>'1 prepared data'!C593</f>
        <v/>
      </c>
      <c r="E600" s="7">
        <f>'1 prepared data'!D593</f>
        <v/>
      </c>
      <c r="F600" s="7">
        <f>'1 prepared data'!E593</f>
        <v/>
      </c>
      <c r="G600" s="7">
        <f>'1 prepared data'!F593</f>
        <v/>
      </c>
      <c r="H600" s="7">
        <f>'1 prepared data'!G593</f>
        <v/>
      </c>
      <c r="I600" s="7">
        <f>'1 prepared data'!H593</f>
        <v/>
      </c>
      <c r="J600" s="7">
        <f>'1 prepared data'!I593</f>
        <v/>
      </c>
      <c r="K600" s="7">
        <f>'1 prepared data'!J593</f>
        <v/>
      </c>
      <c r="L600" s="7">
        <f>'1 prepared data'!K593</f>
        <v/>
      </c>
      <c r="M600" s="7">
        <f>'1 prepared data'!L593</f>
        <v/>
      </c>
      <c r="N600" s="7">
        <f>'1 prepared data'!M593</f>
        <v/>
      </c>
      <c r="O600" s="7">
        <f>'1 prepared data'!N593</f>
        <v/>
      </c>
      <c r="P600" s="7">
        <f>'1 prepared data'!O593</f>
        <v/>
      </c>
      <c r="Q600" s="7">
        <f>'1 prepared data'!P593</f>
        <v/>
      </c>
      <c r="R600" s="7">
        <f>'1 prepared data'!Q593</f>
        <v/>
      </c>
      <c r="S600" s="7">
        <f>'1 prepared data'!R593</f>
        <v/>
      </c>
      <c r="T600" s="7">
        <f>'1 prepared data'!S593</f>
        <v/>
      </c>
      <c r="U600" s="7">
        <f>'1 prepared data'!T593</f>
        <v/>
      </c>
      <c r="V600" s="8">
        <f>$AC$12+D600*$AC$13+E600*$AC$14+F600*$AC$15+G600*$AC$16+H600*$AC$17+I600*$AC$18+J600*$AC$19+K600*$AC$20+L600*$AC$21+M600*$AC$22+N600*$AC$23+O600*$AC$24+P600*$AC$25+Q600*$AC$26+R600*$AC$27+S600*$AC$28+T600*$AC$29+U600*$AC$30</f>
        <v/>
      </c>
      <c r="W600" s="8">
        <f>1/(1+EXP(-V600))</f>
        <v/>
      </c>
      <c r="X600" s="9">
        <f>-IF(C600=1,LN(W600),LN(1-W600))</f>
        <v/>
      </c>
      <c r="Y600" s="10">
        <f>IF(W600&gt;$AC$34,1,0)</f>
        <v/>
      </c>
      <c r="Z600">
        <f>IF(Y600=C600,1,0)</f>
        <v/>
      </c>
    </row>
    <row r="601">
      <c r="A601">
        <f>'1 prepared data'!A594</f>
        <v/>
      </c>
      <c r="B601" s="5">
        <f>'1 prepared data'!U594</f>
        <v/>
      </c>
      <c r="C601">
        <f>'1 prepared data'!B594</f>
        <v/>
      </c>
      <c r="D601" s="7">
        <f>'1 prepared data'!C594</f>
        <v/>
      </c>
      <c r="E601" s="7">
        <f>'1 prepared data'!D594</f>
        <v/>
      </c>
      <c r="F601" s="7">
        <f>'1 prepared data'!E594</f>
        <v/>
      </c>
      <c r="G601" s="7">
        <f>'1 prepared data'!F594</f>
        <v/>
      </c>
      <c r="H601" s="7">
        <f>'1 prepared data'!G594</f>
        <v/>
      </c>
      <c r="I601" s="7">
        <f>'1 prepared data'!H594</f>
        <v/>
      </c>
      <c r="J601" s="7">
        <f>'1 prepared data'!I594</f>
        <v/>
      </c>
      <c r="K601" s="7">
        <f>'1 prepared data'!J594</f>
        <v/>
      </c>
      <c r="L601" s="7">
        <f>'1 prepared data'!K594</f>
        <v/>
      </c>
      <c r="M601" s="7">
        <f>'1 prepared data'!L594</f>
        <v/>
      </c>
      <c r="N601" s="7">
        <f>'1 prepared data'!M594</f>
        <v/>
      </c>
      <c r="O601" s="7">
        <f>'1 prepared data'!N594</f>
        <v/>
      </c>
      <c r="P601" s="7">
        <f>'1 prepared data'!O594</f>
        <v/>
      </c>
      <c r="Q601" s="7">
        <f>'1 prepared data'!P594</f>
        <v/>
      </c>
      <c r="R601" s="7">
        <f>'1 prepared data'!Q594</f>
        <v/>
      </c>
      <c r="S601" s="7">
        <f>'1 prepared data'!R594</f>
        <v/>
      </c>
      <c r="T601" s="7">
        <f>'1 prepared data'!S594</f>
        <v/>
      </c>
      <c r="U601" s="7">
        <f>'1 prepared data'!T594</f>
        <v/>
      </c>
      <c r="V601" s="8">
        <f>$AC$12+D601*$AC$13+E601*$AC$14+F601*$AC$15+G601*$AC$16+H601*$AC$17+I601*$AC$18+J601*$AC$19+K601*$AC$20+L601*$AC$21+M601*$AC$22+N601*$AC$23+O601*$AC$24+P601*$AC$25+Q601*$AC$26+R601*$AC$27+S601*$AC$28+T601*$AC$29+U601*$AC$30</f>
        <v/>
      </c>
      <c r="W601" s="8">
        <f>1/(1+EXP(-V601))</f>
        <v/>
      </c>
      <c r="X601" s="9">
        <f>-IF(C601=1,LN(W601),LN(1-W601))</f>
        <v/>
      </c>
      <c r="Y601" s="10">
        <f>IF(W601&gt;$AC$34,1,0)</f>
        <v/>
      </c>
      <c r="Z601">
        <f>IF(Y601=C601,1,0)</f>
        <v/>
      </c>
    </row>
    <row r="602">
      <c r="A602">
        <f>'1 prepared data'!A595</f>
        <v/>
      </c>
      <c r="B602" s="5">
        <f>'1 prepared data'!U595</f>
        <v/>
      </c>
      <c r="C602">
        <f>'1 prepared data'!B595</f>
        <v/>
      </c>
      <c r="D602" s="7">
        <f>'1 prepared data'!C595</f>
        <v/>
      </c>
      <c r="E602" s="7">
        <f>'1 prepared data'!D595</f>
        <v/>
      </c>
      <c r="F602" s="7">
        <f>'1 prepared data'!E595</f>
        <v/>
      </c>
      <c r="G602" s="7">
        <f>'1 prepared data'!F595</f>
        <v/>
      </c>
      <c r="H602" s="7">
        <f>'1 prepared data'!G595</f>
        <v/>
      </c>
      <c r="I602" s="7">
        <f>'1 prepared data'!H595</f>
        <v/>
      </c>
      <c r="J602" s="7">
        <f>'1 prepared data'!I595</f>
        <v/>
      </c>
      <c r="K602" s="7">
        <f>'1 prepared data'!J595</f>
        <v/>
      </c>
      <c r="L602" s="7">
        <f>'1 prepared data'!K595</f>
        <v/>
      </c>
      <c r="M602" s="7">
        <f>'1 prepared data'!L595</f>
        <v/>
      </c>
      <c r="N602" s="7">
        <f>'1 prepared data'!M595</f>
        <v/>
      </c>
      <c r="O602" s="7">
        <f>'1 prepared data'!N595</f>
        <v/>
      </c>
      <c r="P602" s="7">
        <f>'1 prepared data'!O595</f>
        <v/>
      </c>
      <c r="Q602" s="7">
        <f>'1 prepared data'!P595</f>
        <v/>
      </c>
      <c r="R602" s="7">
        <f>'1 prepared data'!Q595</f>
        <v/>
      </c>
      <c r="S602" s="7">
        <f>'1 prepared data'!R595</f>
        <v/>
      </c>
      <c r="T602" s="7">
        <f>'1 prepared data'!S595</f>
        <v/>
      </c>
      <c r="U602" s="7">
        <f>'1 prepared data'!T595</f>
        <v/>
      </c>
      <c r="V602" s="8">
        <f>$AC$12+D602*$AC$13+E602*$AC$14+F602*$AC$15+G602*$AC$16+H602*$AC$17+I602*$AC$18+J602*$AC$19+K602*$AC$20+L602*$AC$21+M602*$AC$22+N602*$AC$23+O602*$AC$24+P602*$AC$25+Q602*$AC$26+R602*$AC$27+S602*$AC$28+T602*$AC$29+U602*$AC$30</f>
        <v/>
      </c>
      <c r="W602" s="8">
        <f>1/(1+EXP(-V602))</f>
        <v/>
      </c>
      <c r="X602" s="9">
        <f>-IF(C602=1,LN(W602),LN(1-W602))</f>
        <v/>
      </c>
      <c r="Y602" s="10">
        <f>IF(W602&gt;$AC$34,1,0)</f>
        <v/>
      </c>
      <c r="Z602">
        <f>IF(Y602=C602,1,0)</f>
        <v/>
      </c>
    </row>
    <row r="603">
      <c r="A603">
        <f>'1 prepared data'!A596</f>
        <v/>
      </c>
      <c r="B603" s="5">
        <f>'1 prepared data'!U596</f>
        <v/>
      </c>
      <c r="C603">
        <f>'1 prepared data'!B596</f>
        <v/>
      </c>
      <c r="D603" s="7">
        <f>'1 prepared data'!C596</f>
        <v/>
      </c>
      <c r="E603" s="7">
        <f>'1 prepared data'!D596</f>
        <v/>
      </c>
      <c r="F603" s="7">
        <f>'1 prepared data'!E596</f>
        <v/>
      </c>
      <c r="G603" s="7">
        <f>'1 prepared data'!F596</f>
        <v/>
      </c>
      <c r="H603" s="7">
        <f>'1 prepared data'!G596</f>
        <v/>
      </c>
      <c r="I603" s="7">
        <f>'1 prepared data'!H596</f>
        <v/>
      </c>
      <c r="J603" s="7">
        <f>'1 prepared data'!I596</f>
        <v/>
      </c>
      <c r="K603" s="7">
        <f>'1 prepared data'!J596</f>
        <v/>
      </c>
      <c r="L603" s="7">
        <f>'1 prepared data'!K596</f>
        <v/>
      </c>
      <c r="M603" s="7">
        <f>'1 prepared data'!L596</f>
        <v/>
      </c>
      <c r="N603" s="7">
        <f>'1 prepared data'!M596</f>
        <v/>
      </c>
      <c r="O603" s="7">
        <f>'1 prepared data'!N596</f>
        <v/>
      </c>
      <c r="P603" s="7">
        <f>'1 prepared data'!O596</f>
        <v/>
      </c>
      <c r="Q603" s="7">
        <f>'1 prepared data'!P596</f>
        <v/>
      </c>
      <c r="R603" s="7">
        <f>'1 prepared data'!Q596</f>
        <v/>
      </c>
      <c r="S603" s="7">
        <f>'1 prepared data'!R596</f>
        <v/>
      </c>
      <c r="T603" s="7">
        <f>'1 prepared data'!S596</f>
        <v/>
      </c>
      <c r="U603" s="7">
        <f>'1 prepared data'!T596</f>
        <v/>
      </c>
      <c r="V603" s="8">
        <f>$AC$12+D603*$AC$13+E603*$AC$14+F603*$AC$15+G603*$AC$16+H603*$AC$17+I603*$AC$18+J603*$AC$19+K603*$AC$20+L603*$AC$21+M603*$AC$22+N603*$AC$23+O603*$AC$24+P603*$AC$25+Q603*$AC$26+R603*$AC$27+S603*$AC$28+T603*$AC$29+U603*$AC$30</f>
        <v/>
      </c>
      <c r="W603" s="8">
        <f>1/(1+EXP(-V603))</f>
        <v/>
      </c>
      <c r="X603" s="9">
        <f>-IF(C603=1,LN(W603),LN(1-W603))</f>
        <v/>
      </c>
      <c r="Y603" s="10">
        <f>IF(W603&gt;$AC$34,1,0)</f>
        <v/>
      </c>
      <c r="Z603">
        <f>IF(Y603=C603,1,0)</f>
        <v/>
      </c>
    </row>
    <row r="604">
      <c r="A604">
        <f>'1 prepared data'!A597</f>
        <v/>
      </c>
      <c r="B604" s="5">
        <f>'1 prepared data'!U597</f>
        <v/>
      </c>
      <c r="C604">
        <f>'1 prepared data'!B597</f>
        <v/>
      </c>
      <c r="D604" s="7">
        <f>'1 prepared data'!C597</f>
        <v/>
      </c>
      <c r="E604" s="7">
        <f>'1 prepared data'!D597</f>
        <v/>
      </c>
      <c r="F604" s="7">
        <f>'1 prepared data'!E597</f>
        <v/>
      </c>
      <c r="G604" s="7">
        <f>'1 prepared data'!F597</f>
        <v/>
      </c>
      <c r="H604" s="7">
        <f>'1 prepared data'!G597</f>
        <v/>
      </c>
      <c r="I604" s="7">
        <f>'1 prepared data'!H597</f>
        <v/>
      </c>
      <c r="J604" s="7">
        <f>'1 prepared data'!I597</f>
        <v/>
      </c>
      <c r="K604" s="7">
        <f>'1 prepared data'!J597</f>
        <v/>
      </c>
      <c r="L604" s="7">
        <f>'1 prepared data'!K597</f>
        <v/>
      </c>
      <c r="M604" s="7">
        <f>'1 prepared data'!L597</f>
        <v/>
      </c>
      <c r="N604" s="7">
        <f>'1 prepared data'!M597</f>
        <v/>
      </c>
      <c r="O604" s="7">
        <f>'1 prepared data'!N597</f>
        <v/>
      </c>
      <c r="P604" s="7">
        <f>'1 prepared data'!O597</f>
        <v/>
      </c>
      <c r="Q604" s="7">
        <f>'1 prepared data'!P597</f>
        <v/>
      </c>
      <c r="R604" s="7">
        <f>'1 prepared data'!Q597</f>
        <v/>
      </c>
      <c r="S604" s="7">
        <f>'1 prepared data'!R597</f>
        <v/>
      </c>
      <c r="T604" s="7">
        <f>'1 prepared data'!S597</f>
        <v/>
      </c>
      <c r="U604" s="7">
        <f>'1 prepared data'!T597</f>
        <v/>
      </c>
      <c r="V604" s="8">
        <f>$AC$12+D604*$AC$13+E604*$AC$14+F604*$AC$15+G604*$AC$16+H604*$AC$17+I604*$AC$18+J604*$AC$19+K604*$AC$20+L604*$AC$21+M604*$AC$22+N604*$AC$23+O604*$AC$24+P604*$AC$25+Q604*$AC$26+R604*$AC$27+S604*$AC$28+T604*$AC$29+U604*$AC$30</f>
        <v/>
      </c>
      <c r="W604" s="8">
        <f>1/(1+EXP(-V604))</f>
        <v/>
      </c>
      <c r="X604" s="9">
        <f>-IF(C604=1,LN(W604),LN(1-W604))</f>
        <v/>
      </c>
      <c r="Y604" s="10">
        <f>IF(W604&gt;$AC$34,1,0)</f>
        <v/>
      </c>
      <c r="Z604">
        <f>IF(Y604=C604,1,0)</f>
        <v/>
      </c>
    </row>
    <row r="605">
      <c r="A605">
        <f>'1 prepared data'!A598</f>
        <v/>
      </c>
      <c r="B605" s="5">
        <f>'1 prepared data'!U598</f>
        <v/>
      </c>
      <c r="C605">
        <f>'1 prepared data'!B598</f>
        <v/>
      </c>
      <c r="D605" s="7">
        <f>'1 prepared data'!C598</f>
        <v/>
      </c>
      <c r="E605" s="7">
        <f>'1 prepared data'!D598</f>
        <v/>
      </c>
      <c r="F605" s="7">
        <f>'1 prepared data'!E598</f>
        <v/>
      </c>
      <c r="G605" s="7">
        <f>'1 prepared data'!F598</f>
        <v/>
      </c>
      <c r="H605" s="7">
        <f>'1 prepared data'!G598</f>
        <v/>
      </c>
      <c r="I605" s="7">
        <f>'1 prepared data'!H598</f>
        <v/>
      </c>
      <c r="J605" s="7">
        <f>'1 prepared data'!I598</f>
        <v/>
      </c>
      <c r="K605" s="7">
        <f>'1 prepared data'!J598</f>
        <v/>
      </c>
      <c r="L605" s="7">
        <f>'1 prepared data'!K598</f>
        <v/>
      </c>
      <c r="M605" s="7">
        <f>'1 prepared data'!L598</f>
        <v/>
      </c>
      <c r="N605" s="7">
        <f>'1 prepared data'!M598</f>
        <v/>
      </c>
      <c r="O605" s="7">
        <f>'1 prepared data'!N598</f>
        <v/>
      </c>
      <c r="P605" s="7">
        <f>'1 prepared data'!O598</f>
        <v/>
      </c>
      <c r="Q605" s="7">
        <f>'1 prepared data'!P598</f>
        <v/>
      </c>
      <c r="R605" s="7">
        <f>'1 prepared data'!Q598</f>
        <v/>
      </c>
      <c r="S605" s="7">
        <f>'1 prepared data'!R598</f>
        <v/>
      </c>
      <c r="T605" s="7">
        <f>'1 prepared data'!S598</f>
        <v/>
      </c>
      <c r="U605" s="7">
        <f>'1 prepared data'!T598</f>
        <v/>
      </c>
      <c r="V605" s="8">
        <f>$AC$12+D605*$AC$13+E605*$AC$14+F605*$AC$15+G605*$AC$16+H605*$AC$17+I605*$AC$18+J605*$AC$19+K605*$AC$20+L605*$AC$21+M605*$AC$22+N605*$AC$23+O605*$AC$24+P605*$AC$25+Q605*$AC$26+R605*$AC$27+S605*$AC$28+T605*$AC$29+U605*$AC$30</f>
        <v/>
      </c>
      <c r="W605" s="8">
        <f>1/(1+EXP(-V605))</f>
        <v/>
      </c>
      <c r="X605" s="9">
        <f>-IF(C605=1,LN(W605),LN(1-W605))</f>
        <v/>
      </c>
      <c r="Y605" s="10">
        <f>IF(W605&gt;$AC$34,1,0)</f>
        <v/>
      </c>
      <c r="Z605">
        <f>IF(Y605=C605,1,0)</f>
        <v/>
      </c>
    </row>
    <row r="606">
      <c r="A606">
        <f>'1 prepared data'!A599</f>
        <v/>
      </c>
      <c r="B606" s="5">
        <f>'1 prepared data'!U599</f>
        <v/>
      </c>
      <c r="C606">
        <f>'1 prepared data'!B599</f>
        <v/>
      </c>
      <c r="D606" s="7">
        <f>'1 prepared data'!C599</f>
        <v/>
      </c>
      <c r="E606" s="7">
        <f>'1 prepared data'!D599</f>
        <v/>
      </c>
      <c r="F606" s="7">
        <f>'1 prepared data'!E599</f>
        <v/>
      </c>
      <c r="G606" s="7">
        <f>'1 prepared data'!F599</f>
        <v/>
      </c>
      <c r="H606" s="7">
        <f>'1 prepared data'!G599</f>
        <v/>
      </c>
      <c r="I606" s="7">
        <f>'1 prepared data'!H599</f>
        <v/>
      </c>
      <c r="J606" s="7">
        <f>'1 prepared data'!I599</f>
        <v/>
      </c>
      <c r="K606" s="7">
        <f>'1 prepared data'!J599</f>
        <v/>
      </c>
      <c r="L606" s="7">
        <f>'1 prepared data'!K599</f>
        <v/>
      </c>
      <c r="M606" s="7">
        <f>'1 prepared data'!L599</f>
        <v/>
      </c>
      <c r="N606" s="7">
        <f>'1 prepared data'!M599</f>
        <v/>
      </c>
      <c r="O606" s="7">
        <f>'1 prepared data'!N599</f>
        <v/>
      </c>
      <c r="P606" s="7">
        <f>'1 prepared data'!O599</f>
        <v/>
      </c>
      <c r="Q606" s="7">
        <f>'1 prepared data'!P599</f>
        <v/>
      </c>
      <c r="R606" s="7">
        <f>'1 prepared data'!Q599</f>
        <v/>
      </c>
      <c r="S606" s="7">
        <f>'1 prepared data'!R599</f>
        <v/>
      </c>
      <c r="T606" s="7">
        <f>'1 prepared data'!S599</f>
        <v/>
      </c>
      <c r="U606" s="7">
        <f>'1 prepared data'!T599</f>
        <v/>
      </c>
      <c r="V606" s="8">
        <f>$AC$12+D606*$AC$13+E606*$AC$14+F606*$AC$15+G606*$AC$16+H606*$AC$17+I606*$AC$18+J606*$AC$19+K606*$AC$20+L606*$AC$21+M606*$AC$22+N606*$AC$23+O606*$AC$24+P606*$AC$25+Q606*$AC$26+R606*$AC$27+S606*$AC$28+T606*$AC$29+U606*$AC$30</f>
        <v/>
      </c>
      <c r="W606" s="8">
        <f>1/(1+EXP(-V606))</f>
        <v/>
      </c>
      <c r="X606" s="9">
        <f>-IF(C606=1,LN(W606),LN(1-W606))</f>
        <v/>
      </c>
      <c r="Y606" s="10">
        <f>IF(W606&gt;$AC$34,1,0)</f>
        <v/>
      </c>
      <c r="Z606">
        <f>IF(Y606=C606,1,0)</f>
        <v/>
      </c>
    </row>
    <row r="607">
      <c r="A607">
        <f>'1 prepared data'!A600</f>
        <v/>
      </c>
      <c r="B607" s="5">
        <f>'1 prepared data'!U600</f>
        <v/>
      </c>
      <c r="C607">
        <f>'1 prepared data'!B600</f>
        <v/>
      </c>
      <c r="D607" s="7">
        <f>'1 prepared data'!C600</f>
        <v/>
      </c>
      <c r="E607" s="7">
        <f>'1 prepared data'!D600</f>
        <v/>
      </c>
      <c r="F607" s="7">
        <f>'1 prepared data'!E600</f>
        <v/>
      </c>
      <c r="G607" s="7">
        <f>'1 prepared data'!F600</f>
        <v/>
      </c>
      <c r="H607" s="7">
        <f>'1 prepared data'!G600</f>
        <v/>
      </c>
      <c r="I607" s="7">
        <f>'1 prepared data'!H600</f>
        <v/>
      </c>
      <c r="J607" s="7">
        <f>'1 prepared data'!I600</f>
        <v/>
      </c>
      <c r="K607" s="7">
        <f>'1 prepared data'!J600</f>
        <v/>
      </c>
      <c r="L607" s="7">
        <f>'1 prepared data'!K600</f>
        <v/>
      </c>
      <c r="M607" s="7">
        <f>'1 prepared data'!L600</f>
        <v/>
      </c>
      <c r="N607" s="7">
        <f>'1 prepared data'!M600</f>
        <v/>
      </c>
      <c r="O607" s="7">
        <f>'1 prepared data'!N600</f>
        <v/>
      </c>
      <c r="P607" s="7">
        <f>'1 prepared data'!O600</f>
        <v/>
      </c>
      <c r="Q607" s="7">
        <f>'1 prepared data'!P600</f>
        <v/>
      </c>
      <c r="R607" s="7">
        <f>'1 prepared data'!Q600</f>
        <v/>
      </c>
      <c r="S607" s="7">
        <f>'1 prepared data'!R600</f>
        <v/>
      </c>
      <c r="T607" s="7">
        <f>'1 prepared data'!S600</f>
        <v/>
      </c>
      <c r="U607" s="7">
        <f>'1 prepared data'!T600</f>
        <v/>
      </c>
      <c r="V607" s="8">
        <f>$AC$12+D607*$AC$13+E607*$AC$14+F607*$AC$15+G607*$AC$16+H607*$AC$17+I607*$AC$18+J607*$AC$19+K607*$AC$20+L607*$AC$21+M607*$AC$22+N607*$AC$23+O607*$AC$24+P607*$AC$25+Q607*$AC$26+R607*$AC$27+S607*$AC$28+T607*$AC$29+U607*$AC$30</f>
        <v/>
      </c>
      <c r="W607" s="8">
        <f>1/(1+EXP(-V607))</f>
        <v/>
      </c>
      <c r="X607" s="9">
        <f>-IF(C607=1,LN(W607),LN(1-W607))</f>
        <v/>
      </c>
      <c r="Y607" s="10">
        <f>IF(W607&gt;$AC$34,1,0)</f>
        <v/>
      </c>
      <c r="Z607">
        <f>IF(Y607=C607,1,0)</f>
        <v/>
      </c>
    </row>
    <row r="608">
      <c r="A608">
        <f>'1 prepared data'!A601</f>
        <v/>
      </c>
      <c r="B608" s="5">
        <f>'1 prepared data'!U601</f>
        <v/>
      </c>
      <c r="C608">
        <f>'1 prepared data'!B601</f>
        <v/>
      </c>
      <c r="D608" s="7">
        <f>'1 prepared data'!C601</f>
        <v/>
      </c>
      <c r="E608" s="7">
        <f>'1 prepared data'!D601</f>
        <v/>
      </c>
      <c r="F608" s="7">
        <f>'1 prepared data'!E601</f>
        <v/>
      </c>
      <c r="G608" s="7">
        <f>'1 prepared data'!F601</f>
        <v/>
      </c>
      <c r="H608" s="7">
        <f>'1 prepared data'!G601</f>
        <v/>
      </c>
      <c r="I608" s="7">
        <f>'1 prepared data'!H601</f>
        <v/>
      </c>
      <c r="J608" s="7">
        <f>'1 prepared data'!I601</f>
        <v/>
      </c>
      <c r="K608" s="7">
        <f>'1 prepared data'!J601</f>
        <v/>
      </c>
      <c r="L608" s="7">
        <f>'1 prepared data'!K601</f>
        <v/>
      </c>
      <c r="M608" s="7">
        <f>'1 prepared data'!L601</f>
        <v/>
      </c>
      <c r="N608" s="7">
        <f>'1 prepared data'!M601</f>
        <v/>
      </c>
      <c r="O608" s="7">
        <f>'1 prepared data'!N601</f>
        <v/>
      </c>
      <c r="P608" s="7">
        <f>'1 prepared data'!O601</f>
        <v/>
      </c>
      <c r="Q608" s="7">
        <f>'1 prepared data'!P601</f>
        <v/>
      </c>
      <c r="R608" s="7">
        <f>'1 prepared data'!Q601</f>
        <v/>
      </c>
      <c r="S608" s="7">
        <f>'1 prepared data'!R601</f>
        <v/>
      </c>
      <c r="T608" s="7">
        <f>'1 prepared data'!S601</f>
        <v/>
      </c>
      <c r="U608" s="7">
        <f>'1 prepared data'!T601</f>
        <v/>
      </c>
      <c r="V608" s="8">
        <f>$AC$12+D608*$AC$13+E608*$AC$14+F608*$AC$15+G608*$AC$16+H608*$AC$17+I608*$AC$18+J608*$AC$19+K608*$AC$20+L608*$AC$21+M608*$AC$22+N608*$AC$23+O608*$AC$24+P608*$AC$25+Q608*$AC$26+R608*$AC$27+S608*$AC$28+T608*$AC$29+U608*$AC$30</f>
        <v/>
      </c>
      <c r="W608" s="8">
        <f>1/(1+EXP(-V608))</f>
        <v/>
      </c>
      <c r="X608" s="9">
        <f>-IF(C608=1,LN(W608),LN(1-W608))</f>
        <v/>
      </c>
      <c r="Y608" s="10">
        <f>IF(W608&gt;$AC$34,1,0)</f>
        <v/>
      </c>
      <c r="Z608">
        <f>IF(Y608=C608,1,0)</f>
        <v/>
      </c>
    </row>
    <row r="609">
      <c r="A609">
        <f>'1 prepared data'!A602</f>
        <v/>
      </c>
      <c r="B609" s="5">
        <f>'1 prepared data'!U602</f>
        <v/>
      </c>
      <c r="C609">
        <f>'1 prepared data'!B602</f>
        <v/>
      </c>
      <c r="D609" s="7">
        <f>'1 prepared data'!C602</f>
        <v/>
      </c>
      <c r="E609" s="7">
        <f>'1 prepared data'!D602</f>
        <v/>
      </c>
      <c r="F609" s="7">
        <f>'1 prepared data'!E602</f>
        <v/>
      </c>
      <c r="G609" s="7">
        <f>'1 prepared data'!F602</f>
        <v/>
      </c>
      <c r="H609" s="7">
        <f>'1 prepared data'!G602</f>
        <v/>
      </c>
      <c r="I609" s="7">
        <f>'1 prepared data'!H602</f>
        <v/>
      </c>
      <c r="J609" s="7">
        <f>'1 prepared data'!I602</f>
        <v/>
      </c>
      <c r="K609" s="7">
        <f>'1 prepared data'!J602</f>
        <v/>
      </c>
      <c r="L609" s="7">
        <f>'1 prepared data'!K602</f>
        <v/>
      </c>
      <c r="M609" s="7">
        <f>'1 prepared data'!L602</f>
        <v/>
      </c>
      <c r="N609" s="7">
        <f>'1 prepared data'!M602</f>
        <v/>
      </c>
      <c r="O609" s="7">
        <f>'1 prepared data'!N602</f>
        <v/>
      </c>
      <c r="P609" s="7">
        <f>'1 prepared data'!O602</f>
        <v/>
      </c>
      <c r="Q609" s="7">
        <f>'1 prepared data'!P602</f>
        <v/>
      </c>
      <c r="R609" s="7">
        <f>'1 prepared data'!Q602</f>
        <v/>
      </c>
      <c r="S609" s="7">
        <f>'1 prepared data'!R602</f>
        <v/>
      </c>
      <c r="T609" s="7">
        <f>'1 prepared data'!S602</f>
        <v/>
      </c>
      <c r="U609" s="7">
        <f>'1 prepared data'!T602</f>
        <v/>
      </c>
      <c r="V609" s="8">
        <f>$AC$12+D609*$AC$13+E609*$AC$14+F609*$AC$15+G609*$AC$16+H609*$AC$17+I609*$AC$18+J609*$AC$19+K609*$AC$20+L609*$AC$21+M609*$AC$22+N609*$AC$23+O609*$AC$24+P609*$AC$25+Q609*$AC$26+R609*$AC$27+S609*$AC$28+T609*$AC$29+U609*$AC$30</f>
        <v/>
      </c>
      <c r="W609" s="8">
        <f>1/(1+EXP(-V609))</f>
        <v/>
      </c>
      <c r="X609" s="9">
        <f>-IF(C609=1,LN(W609),LN(1-W609))</f>
        <v/>
      </c>
      <c r="Y609" s="10">
        <f>IF(W609&gt;$AC$34,1,0)</f>
        <v/>
      </c>
      <c r="Z609">
        <f>IF(Y609=C609,1,0)</f>
        <v/>
      </c>
    </row>
    <row r="610">
      <c r="A610">
        <f>'1 prepared data'!A603</f>
        <v/>
      </c>
      <c r="B610" s="5">
        <f>'1 prepared data'!U603</f>
        <v/>
      </c>
      <c r="C610">
        <f>'1 prepared data'!B603</f>
        <v/>
      </c>
      <c r="D610" s="7">
        <f>'1 prepared data'!C603</f>
        <v/>
      </c>
      <c r="E610" s="7">
        <f>'1 prepared data'!D603</f>
        <v/>
      </c>
      <c r="F610" s="7">
        <f>'1 prepared data'!E603</f>
        <v/>
      </c>
      <c r="G610" s="7">
        <f>'1 prepared data'!F603</f>
        <v/>
      </c>
      <c r="H610" s="7">
        <f>'1 prepared data'!G603</f>
        <v/>
      </c>
      <c r="I610" s="7">
        <f>'1 prepared data'!H603</f>
        <v/>
      </c>
      <c r="J610" s="7">
        <f>'1 prepared data'!I603</f>
        <v/>
      </c>
      <c r="K610" s="7">
        <f>'1 prepared data'!J603</f>
        <v/>
      </c>
      <c r="L610" s="7">
        <f>'1 prepared data'!K603</f>
        <v/>
      </c>
      <c r="M610" s="7">
        <f>'1 prepared data'!L603</f>
        <v/>
      </c>
      <c r="N610" s="7">
        <f>'1 prepared data'!M603</f>
        <v/>
      </c>
      <c r="O610" s="7">
        <f>'1 prepared data'!N603</f>
        <v/>
      </c>
      <c r="P610" s="7">
        <f>'1 prepared data'!O603</f>
        <v/>
      </c>
      <c r="Q610" s="7">
        <f>'1 prepared data'!P603</f>
        <v/>
      </c>
      <c r="R610" s="7">
        <f>'1 prepared data'!Q603</f>
        <v/>
      </c>
      <c r="S610" s="7">
        <f>'1 prepared data'!R603</f>
        <v/>
      </c>
      <c r="T610" s="7">
        <f>'1 prepared data'!S603</f>
        <v/>
      </c>
      <c r="U610" s="7">
        <f>'1 prepared data'!T603</f>
        <v/>
      </c>
      <c r="V610" s="8">
        <f>$AC$12+D610*$AC$13+E610*$AC$14+F610*$AC$15+G610*$AC$16+H610*$AC$17+I610*$AC$18+J610*$AC$19+K610*$AC$20+L610*$AC$21+M610*$AC$22+N610*$AC$23+O610*$AC$24+P610*$AC$25+Q610*$AC$26+R610*$AC$27+S610*$AC$28+T610*$AC$29+U610*$AC$30</f>
        <v/>
      </c>
      <c r="W610" s="8">
        <f>1/(1+EXP(-V610))</f>
        <v/>
      </c>
      <c r="X610" s="9">
        <f>-IF(C610=1,LN(W610),LN(1-W610))</f>
        <v/>
      </c>
      <c r="Y610" s="10">
        <f>IF(W610&gt;$AC$34,1,0)</f>
        <v/>
      </c>
      <c r="Z610">
        <f>IF(Y610=C610,1,0)</f>
        <v/>
      </c>
    </row>
    <row r="611">
      <c r="A611">
        <f>'1 prepared data'!A604</f>
        <v/>
      </c>
      <c r="B611" s="5">
        <f>'1 prepared data'!U604</f>
        <v/>
      </c>
      <c r="C611">
        <f>'1 prepared data'!B604</f>
        <v/>
      </c>
      <c r="D611" s="7">
        <f>'1 prepared data'!C604</f>
        <v/>
      </c>
      <c r="E611" s="7">
        <f>'1 prepared data'!D604</f>
        <v/>
      </c>
      <c r="F611" s="7">
        <f>'1 prepared data'!E604</f>
        <v/>
      </c>
      <c r="G611" s="7">
        <f>'1 prepared data'!F604</f>
        <v/>
      </c>
      <c r="H611" s="7">
        <f>'1 prepared data'!G604</f>
        <v/>
      </c>
      <c r="I611" s="7">
        <f>'1 prepared data'!H604</f>
        <v/>
      </c>
      <c r="J611" s="7">
        <f>'1 prepared data'!I604</f>
        <v/>
      </c>
      <c r="K611" s="7">
        <f>'1 prepared data'!J604</f>
        <v/>
      </c>
      <c r="L611" s="7">
        <f>'1 prepared data'!K604</f>
        <v/>
      </c>
      <c r="M611" s="7">
        <f>'1 prepared data'!L604</f>
        <v/>
      </c>
      <c r="N611" s="7">
        <f>'1 prepared data'!M604</f>
        <v/>
      </c>
      <c r="O611" s="7">
        <f>'1 prepared data'!N604</f>
        <v/>
      </c>
      <c r="P611" s="7">
        <f>'1 prepared data'!O604</f>
        <v/>
      </c>
      <c r="Q611" s="7">
        <f>'1 prepared data'!P604</f>
        <v/>
      </c>
      <c r="R611" s="7">
        <f>'1 prepared data'!Q604</f>
        <v/>
      </c>
      <c r="S611" s="7">
        <f>'1 prepared data'!R604</f>
        <v/>
      </c>
      <c r="T611" s="7">
        <f>'1 prepared data'!S604</f>
        <v/>
      </c>
      <c r="U611" s="7">
        <f>'1 prepared data'!T604</f>
        <v/>
      </c>
      <c r="V611" s="8">
        <f>$AC$12+D611*$AC$13+E611*$AC$14+F611*$AC$15+G611*$AC$16+H611*$AC$17+I611*$AC$18+J611*$AC$19+K611*$AC$20+L611*$AC$21+M611*$AC$22+N611*$AC$23+O611*$AC$24+P611*$AC$25+Q611*$AC$26+R611*$AC$27+S611*$AC$28+T611*$AC$29+U611*$AC$30</f>
        <v/>
      </c>
      <c r="W611" s="8">
        <f>1/(1+EXP(-V611))</f>
        <v/>
      </c>
      <c r="X611" s="9">
        <f>-IF(C611=1,LN(W611),LN(1-W611))</f>
        <v/>
      </c>
      <c r="Y611" s="10">
        <f>IF(W611&gt;$AC$34,1,0)</f>
        <v/>
      </c>
      <c r="Z611">
        <f>IF(Y611=C611,1,0)</f>
        <v/>
      </c>
    </row>
    <row r="612">
      <c r="A612">
        <f>'1 prepared data'!A605</f>
        <v/>
      </c>
      <c r="B612" s="5">
        <f>'1 prepared data'!U605</f>
        <v/>
      </c>
      <c r="C612">
        <f>'1 prepared data'!B605</f>
        <v/>
      </c>
      <c r="D612" s="7">
        <f>'1 prepared data'!C605</f>
        <v/>
      </c>
      <c r="E612" s="7">
        <f>'1 prepared data'!D605</f>
        <v/>
      </c>
      <c r="F612" s="7">
        <f>'1 prepared data'!E605</f>
        <v/>
      </c>
      <c r="G612" s="7">
        <f>'1 prepared data'!F605</f>
        <v/>
      </c>
      <c r="H612" s="7">
        <f>'1 prepared data'!G605</f>
        <v/>
      </c>
      <c r="I612" s="7">
        <f>'1 prepared data'!H605</f>
        <v/>
      </c>
      <c r="J612" s="7">
        <f>'1 prepared data'!I605</f>
        <v/>
      </c>
      <c r="K612" s="7">
        <f>'1 prepared data'!J605</f>
        <v/>
      </c>
      <c r="L612" s="7">
        <f>'1 prepared data'!K605</f>
        <v/>
      </c>
      <c r="M612" s="7">
        <f>'1 prepared data'!L605</f>
        <v/>
      </c>
      <c r="N612" s="7">
        <f>'1 prepared data'!M605</f>
        <v/>
      </c>
      <c r="O612" s="7">
        <f>'1 prepared data'!N605</f>
        <v/>
      </c>
      <c r="P612" s="7">
        <f>'1 prepared data'!O605</f>
        <v/>
      </c>
      <c r="Q612" s="7">
        <f>'1 prepared data'!P605</f>
        <v/>
      </c>
      <c r="R612" s="7">
        <f>'1 prepared data'!Q605</f>
        <v/>
      </c>
      <c r="S612" s="7">
        <f>'1 prepared data'!R605</f>
        <v/>
      </c>
      <c r="T612" s="7">
        <f>'1 prepared data'!S605</f>
        <v/>
      </c>
      <c r="U612" s="7">
        <f>'1 prepared data'!T605</f>
        <v/>
      </c>
      <c r="V612" s="8">
        <f>$AC$12+D612*$AC$13+E612*$AC$14+F612*$AC$15+G612*$AC$16+H612*$AC$17+I612*$AC$18+J612*$AC$19+K612*$AC$20+L612*$AC$21+M612*$AC$22+N612*$AC$23+O612*$AC$24+P612*$AC$25+Q612*$AC$26+R612*$AC$27+S612*$AC$28+T612*$AC$29+U612*$AC$30</f>
        <v/>
      </c>
      <c r="W612" s="8">
        <f>1/(1+EXP(-V612))</f>
        <v/>
      </c>
      <c r="X612" s="9">
        <f>-IF(C612=1,LN(W612),LN(1-W612))</f>
        <v/>
      </c>
      <c r="Y612" s="10">
        <f>IF(W612&gt;$AC$34,1,0)</f>
        <v/>
      </c>
      <c r="Z612">
        <f>IF(Y612=C612,1,0)</f>
        <v/>
      </c>
    </row>
    <row r="613">
      <c r="A613">
        <f>'1 prepared data'!A606</f>
        <v/>
      </c>
      <c r="B613" s="5">
        <f>'1 prepared data'!U606</f>
        <v/>
      </c>
      <c r="C613">
        <f>'1 prepared data'!B606</f>
        <v/>
      </c>
      <c r="D613" s="7">
        <f>'1 prepared data'!C606</f>
        <v/>
      </c>
      <c r="E613" s="7">
        <f>'1 prepared data'!D606</f>
        <v/>
      </c>
      <c r="F613" s="7">
        <f>'1 prepared data'!E606</f>
        <v/>
      </c>
      <c r="G613" s="7">
        <f>'1 prepared data'!F606</f>
        <v/>
      </c>
      <c r="H613" s="7">
        <f>'1 prepared data'!G606</f>
        <v/>
      </c>
      <c r="I613" s="7">
        <f>'1 prepared data'!H606</f>
        <v/>
      </c>
      <c r="J613" s="7">
        <f>'1 prepared data'!I606</f>
        <v/>
      </c>
      <c r="K613" s="7">
        <f>'1 prepared data'!J606</f>
        <v/>
      </c>
      <c r="L613" s="7">
        <f>'1 prepared data'!K606</f>
        <v/>
      </c>
      <c r="M613" s="7">
        <f>'1 prepared data'!L606</f>
        <v/>
      </c>
      <c r="N613" s="7">
        <f>'1 prepared data'!M606</f>
        <v/>
      </c>
      <c r="O613" s="7">
        <f>'1 prepared data'!N606</f>
        <v/>
      </c>
      <c r="P613" s="7">
        <f>'1 prepared data'!O606</f>
        <v/>
      </c>
      <c r="Q613" s="7">
        <f>'1 prepared data'!P606</f>
        <v/>
      </c>
      <c r="R613" s="7">
        <f>'1 prepared data'!Q606</f>
        <v/>
      </c>
      <c r="S613" s="7">
        <f>'1 prepared data'!R606</f>
        <v/>
      </c>
      <c r="T613" s="7">
        <f>'1 prepared data'!S606</f>
        <v/>
      </c>
      <c r="U613" s="7">
        <f>'1 prepared data'!T606</f>
        <v/>
      </c>
      <c r="V613" s="8">
        <f>$AC$12+D613*$AC$13+E613*$AC$14+F613*$AC$15+G613*$AC$16+H613*$AC$17+I613*$AC$18+J613*$AC$19+K613*$AC$20+L613*$AC$21+M613*$AC$22+N613*$AC$23+O613*$AC$24+P613*$AC$25+Q613*$AC$26+R613*$AC$27+S613*$AC$28+T613*$AC$29+U613*$AC$30</f>
        <v/>
      </c>
      <c r="W613" s="8">
        <f>1/(1+EXP(-V613))</f>
        <v/>
      </c>
      <c r="X613" s="9">
        <f>-IF(C613=1,LN(W613),LN(1-W613))</f>
        <v/>
      </c>
      <c r="Y613" s="10">
        <f>IF(W613&gt;$AC$34,1,0)</f>
        <v/>
      </c>
      <c r="Z613">
        <f>IF(Y613=C613,1,0)</f>
        <v/>
      </c>
    </row>
    <row r="614">
      <c r="A614">
        <f>'1 prepared data'!A607</f>
        <v/>
      </c>
      <c r="B614" s="5">
        <f>'1 prepared data'!U607</f>
        <v/>
      </c>
      <c r="C614">
        <f>'1 prepared data'!B607</f>
        <v/>
      </c>
      <c r="D614" s="7">
        <f>'1 prepared data'!C607</f>
        <v/>
      </c>
      <c r="E614" s="7">
        <f>'1 prepared data'!D607</f>
        <v/>
      </c>
      <c r="F614" s="7">
        <f>'1 prepared data'!E607</f>
        <v/>
      </c>
      <c r="G614" s="7">
        <f>'1 prepared data'!F607</f>
        <v/>
      </c>
      <c r="H614" s="7">
        <f>'1 prepared data'!G607</f>
        <v/>
      </c>
      <c r="I614" s="7">
        <f>'1 prepared data'!H607</f>
        <v/>
      </c>
      <c r="J614" s="7">
        <f>'1 prepared data'!I607</f>
        <v/>
      </c>
      <c r="K614" s="7">
        <f>'1 prepared data'!J607</f>
        <v/>
      </c>
      <c r="L614" s="7">
        <f>'1 prepared data'!K607</f>
        <v/>
      </c>
      <c r="M614" s="7">
        <f>'1 prepared data'!L607</f>
        <v/>
      </c>
      <c r="N614" s="7">
        <f>'1 prepared data'!M607</f>
        <v/>
      </c>
      <c r="O614" s="7">
        <f>'1 prepared data'!N607</f>
        <v/>
      </c>
      <c r="P614" s="7">
        <f>'1 prepared data'!O607</f>
        <v/>
      </c>
      <c r="Q614" s="7">
        <f>'1 prepared data'!P607</f>
        <v/>
      </c>
      <c r="R614" s="7">
        <f>'1 prepared data'!Q607</f>
        <v/>
      </c>
      <c r="S614" s="7">
        <f>'1 prepared data'!R607</f>
        <v/>
      </c>
      <c r="T614" s="7">
        <f>'1 prepared data'!S607</f>
        <v/>
      </c>
      <c r="U614" s="7">
        <f>'1 prepared data'!T607</f>
        <v/>
      </c>
      <c r="V614" s="8">
        <f>$AC$12+D614*$AC$13+E614*$AC$14+F614*$AC$15+G614*$AC$16+H614*$AC$17+I614*$AC$18+J614*$AC$19+K614*$AC$20+L614*$AC$21+M614*$AC$22+N614*$AC$23+O614*$AC$24+P614*$AC$25+Q614*$AC$26+R614*$AC$27+S614*$AC$28+T614*$AC$29+U614*$AC$30</f>
        <v/>
      </c>
      <c r="W614" s="8">
        <f>1/(1+EXP(-V614))</f>
        <v/>
      </c>
      <c r="X614" s="9">
        <f>-IF(C614=1,LN(W614),LN(1-W614))</f>
        <v/>
      </c>
      <c r="Y614" s="10">
        <f>IF(W614&gt;$AC$34,1,0)</f>
        <v/>
      </c>
      <c r="Z614">
        <f>IF(Y614=C614,1,0)</f>
        <v/>
      </c>
    </row>
    <row r="615">
      <c r="A615">
        <f>'1 prepared data'!A608</f>
        <v/>
      </c>
      <c r="B615" s="5">
        <f>'1 prepared data'!U608</f>
        <v/>
      </c>
      <c r="C615">
        <f>'1 prepared data'!B608</f>
        <v/>
      </c>
      <c r="D615" s="7">
        <f>'1 prepared data'!C608</f>
        <v/>
      </c>
      <c r="E615" s="7">
        <f>'1 prepared data'!D608</f>
        <v/>
      </c>
      <c r="F615" s="7">
        <f>'1 prepared data'!E608</f>
        <v/>
      </c>
      <c r="G615" s="7">
        <f>'1 prepared data'!F608</f>
        <v/>
      </c>
      <c r="H615" s="7">
        <f>'1 prepared data'!G608</f>
        <v/>
      </c>
      <c r="I615" s="7">
        <f>'1 prepared data'!H608</f>
        <v/>
      </c>
      <c r="J615" s="7">
        <f>'1 prepared data'!I608</f>
        <v/>
      </c>
      <c r="K615" s="7">
        <f>'1 prepared data'!J608</f>
        <v/>
      </c>
      <c r="L615" s="7">
        <f>'1 prepared data'!K608</f>
        <v/>
      </c>
      <c r="M615" s="7">
        <f>'1 prepared data'!L608</f>
        <v/>
      </c>
      <c r="N615" s="7">
        <f>'1 prepared data'!M608</f>
        <v/>
      </c>
      <c r="O615" s="7">
        <f>'1 prepared data'!N608</f>
        <v/>
      </c>
      <c r="P615" s="7">
        <f>'1 prepared data'!O608</f>
        <v/>
      </c>
      <c r="Q615" s="7">
        <f>'1 prepared data'!P608</f>
        <v/>
      </c>
      <c r="R615" s="7">
        <f>'1 prepared data'!Q608</f>
        <v/>
      </c>
      <c r="S615" s="7">
        <f>'1 prepared data'!R608</f>
        <v/>
      </c>
      <c r="T615" s="7">
        <f>'1 prepared data'!S608</f>
        <v/>
      </c>
      <c r="U615" s="7">
        <f>'1 prepared data'!T608</f>
        <v/>
      </c>
      <c r="V615" s="8">
        <f>$AC$12+D615*$AC$13+E615*$AC$14+F615*$AC$15+G615*$AC$16+H615*$AC$17+I615*$AC$18+J615*$AC$19+K615*$AC$20+L615*$AC$21+M615*$AC$22+N615*$AC$23+O615*$AC$24+P615*$AC$25+Q615*$AC$26+R615*$AC$27+S615*$AC$28+T615*$AC$29+U615*$AC$30</f>
        <v/>
      </c>
      <c r="W615" s="8">
        <f>1/(1+EXP(-V615))</f>
        <v/>
      </c>
      <c r="X615" s="9">
        <f>-IF(C615=1,LN(W615),LN(1-W615))</f>
        <v/>
      </c>
      <c r="Y615" s="10">
        <f>IF(W615&gt;$AC$34,1,0)</f>
        <v/>
      </c>
      <c r="Z615">
        <f>IF(Y615=C615,1,0)</f>
        <v/>
      </c>
    </row>
    <row r="616">
      <c r="A616">
        <f>'1 prepared data'!A609</f>
        <v/>
      </c>
      <c r="B616" s="5">
        <f>'1 prepared data'!U609</f>
        <v/>
      </c>
      <c r="C616">
        <f>'1 prepared data'!B609</f>
        <v/>
      </c>
      <c r="D616" s="7">
        <f>'1 prepared data'!C609</f>
        <v/>
      </c>
      <c r="E616" s="7">
        <f>'1 prepared data'!D609</f>
        <v/>
      </c>
      <c r="F616" s="7">
        <f>'1 prepared data'!E609</f>
        <v/>
      </c>
      <c r="G616" s="7">
        <f>'1 prepared data'!F609</f>
        <v/>
      </c>
      <c r="H616" s="7">
        <f>'1 prepared data'!G609</f>
        <v/>
      </c>
      <c r="I616" s="7">
        <f>'1 prepared data'!H609</f>
        <v/>
      </c>
      <c r="J616" s="7">
        <f>'1 prepared data'!I609</f>
        <v/>
      </c>
      <c r="K616" s="7">
        <f>'1 prepared data'!J609</f>
        <v/>
      </c>
      <c r="L616" s="7">
        <f>'1 prepared data'!K609</f>
        <v/>
      </c>
      <c r="M616" s="7">
        <f>'1 prepared data'!L609</f>
        <v/>
      </c>
      <c r="N616" s="7">
        <f>'1 prepared data'!M609</f>
        <v/>
      </c>
      <c r="O616" s="7">
        <f>'1 prepared data'!N609</f>
        <v/>
      </c>
      <c r="P616" s="7">
        <f>'1 prepared data'!O609</f>
        <v/>
      </c>
      <c r="Q616" s="7">
        <f>'1 prepared data'!P609</f>
        <v/>
      </c>
      <c r="R616" s="7">
        <f>'1 prepared data'!Q609</f>
        <v/>
      </c>
      <c r="S616" s="7">
        <f>'1 prepared data'!R609</f>
        <v/>
      </c>
      <c r="T616" s="7">
        <f>'1 prepared data'!S609</f>
        <v/>
      </c>
      <c r="U616" s="7">
        <f>'1 prepared data'!T609</f>
        <v/>
      </c>
      <c r="V616" s="8">
        <f>$AC$12+D616*$AC$13+E616*$AC$14+F616*$AC$15+G616*$AC$16+H616*$AC$17+I616*$AC$18+J616*$AC$19+K616*$AC$20+L616*$AC$21+M616*$AC$22+N616*$AC$23+O616*$AC$24+P616*$AC$25+Q616*$AC$26+R616*$AC$27+S616*$AC$28+T616*$AC$29+U616*$AC$30</f>
        <v/>
      </c>
      <c r="W616" s="8">
        <f>1/(1+EXP(-V616))</f>
        <v/>
      </c>
      <c r="X616" s="9">
        <f>-IF(C616=1,LN(W616),LN(1-W616))</f>
        <v/>
      </c>
      <c r="Y616" s="10">
        <f>IF(W616&gt;$AC$34,1,0)</f>
        <v/>
      </c>
      <c r="Z616">
        <f>IF(Y616=C616,1,0)</f>
        <v/>
      </c>
    </row>
    <row r="617">
      <c r="A617">
        <f>'1 prepared data'!A610</f>
        <v/>
      </c>
      <c r="B617" s="5">
        <f>'1 prepared data'!U610</f>
        <v/>
      </c>
      <c r="C617">
        <f>'1 prepared data'!B610</f>
        <v/>
      </c>
      <c r="D617" s="7">
        <f>'1 prepared data'!C610</f>
        <v/>
      </c>
      <c r="E617" s="7">
        <f>'1 prepared data'!D610</f>
        <v/>
      </c>
      <c r="F617" s="7">
        <f>'1 prepared data'!E610</f>
        <v/>
      </c>
      <c r="G617" s="7">
        <f>'1 prepared data'!F610</f>
        <v/>
      </c>
      <c r="H617" s="7">
        <f>'1 prepared data'!G610</f>
        <v/>
      </c>
      <c r="I617" s="7">
        <f>'1 prepared data'!H610</f>
        <v/>
      </c>
      <c r="J617" s="7">
        <f>'1 prepared data'!I610</f>
        <v/>
      </c>
      <c r="K617" s="7">
        <f>'1 prepared data'!J610</f>
        <v/>
      </c>
      <c r="L617" s="7">
        <f>'1 prepared data'!K610</f>
        <v/>
      </c>
      <c r="M617" s="7">
        <f>'1 prepared data'!L610</f>
        <v/>
      </c>
      <c r="N617" s="7">
        <f>'1 prepared data'!M610</f>
        <v/>
      </c>
      <c r="O617" s="7">
        <f>'1 prepared data'!N610</f>
        <v/>
      </c>
      <c r="P617" s="7">
        <f>'1 prepared data'!O610</f>
        <v/>
      </c>
      <c r="Q617" s="7">
        <f>'1 prepared data'!P610</f>
        <v/>
      </c>
      <c r="R617" s="7">
        <f>'1 prepared data'!Q610</f>
        <v/>
      </c>
      <c r="S617" s="7">
        <f>'1 prepared data'!R610</f>
        <v/>
      </c>
      <c r="T617" s="7">
        <f>'1 prepared data'!S610</f>
        <v/>
      </c>
      <c r="U617" s="7">
        <f>'1 prepared data'!T610</f>
        <v/>
      </c>
      <c r="V617" s="8">
        <f>$AC$12+D617*$AC$13+E617*$AC$14+F617*$AC$15+G617*$AC$16+H617*$AC$17+I617*$AC$18+J617*$AC$19+K617*$AC$20+L617*$AC$21+M617*$AC$22+N617*$AC$23+O617*$AC$24+P617*$AC$25+Q617*$AC$26+R617*$AC$27+S617*$AC$28+T617*$AC$29+U617*$AC$30</f>
        <v/>
      </c>
      <c r="W617" s="8">
        <f>1/(1+EXP(-V617))</f>
        <v/>
      </c>
      <c r="X617" s="9">
        <f>-IF(C617=1,LN(W617),LN(1-W617))</f>
        <v/>
      </c>
      <c r="Y617" s="10">
        <f>IF(W617&gt;$AC$34,1,0)</f>
        <v/>
      </c>
      <c r="Z617">
        <f>IF(Y617=C617,1,0)</f>
        <v/>
      </c>
    </row>
    <row r="618">
      <c r="A618">
        <f>'1 prepared data'!A611</f>
        <v/>
      </c>
      <c r="B618" s="5">
        <f>'1 prepared data'!U611</f>
        <v/>
      </c>
      <c r="C618">
        <f>'1 prepared data'!B611</f>
        <v/>
      </c>
      <c r="D618" s="7">
        <f>'1 prepared data'!C611</f>
        <v/>
      </c>
      <c r="E618" s="7">
        <f>'1 prepared data'!D611</f>
        <v/>
      </c>
      <c r="F618" s="7">
        <f>'1 prepared data'!E611</f>
        <v/>
      </c>
      <c r="G618" s="7">
        <f>'1 prepared data'!F611</f>
        <v/>
      </c>
      <c r="H618" s="7">
        <f>'1 prepared data'!G611</f>
        <v/>
      </c>
      <c r="I618" s="7">
        <f>'1 prepared data'!H611</f>
        <v/>
      </c>
      <c r="J618" s="7">
        <f>'1 prepared data'!I611</f>
        <v/>
      </c>
      <c r="K618" s="7">
        <f>'1 prepared data'!J611</f>
        <v/>
      </c>
      <c r="L618" s="7">
        <f>'1 prepared data'!K611</f>
        <v/>
      </c>
      <c r="M618" s="7">
        <f>'1 prepared data'!L611</f>
        <v/>
      </c>
      <c r="N618" s="7">
        <f>'1 prepared data'!M611</f>
        <v/>
      </c>
      <c r="O618" s="7">
        <f>'1 prepared data'!N611</f>
        <v/>
      </c>
      <c r="P618" s="7">
        <f>'1 prepared data'!O611</f>
        <v/>
      </c>
      <c r="Q618" s="7">
        <f>'1 prepared data'!P611</f>
        <v/>
      </c>
      <c r="R618" s="7">
        <f>'1 prepared data'!Q611</f>
        <v/>
      </c>
      <c r="S618" s="7">
        <f>'1 prepared data'!R611</f>
        <v/>
      </c>
      <c r="T618" s="7">
        <f>'1 prepared data'!S611</f>
        <v/>
      </c>
      <c r="U618" s="7">
        <f>'1 prepared data'!T611</f>
        <v/>
      </c>
      <c r="V618" s="8">
        <f>$AC$12+D618*$AC$13+E618*$AC$14+F618*$AC$15+G618*$AC$16+H618*$AC$17+I618*$AC$18+J618*$AC$19+K618*$AC$20+L618*$AC$21+M618*$AC$22+N618*$AC$23+O618*$AC$24+P618*$AC$25+Q618*$AC$26+R618*$AC$27+S618*$AC$28+T618*$AC$29+U618*$AC$30</f>
        <v/>
      </c>
      <c r="W618" s="8">
        <f>1/(1+EXP(-V618))</f>
        <v/>
      </c>
      <c r="X618" s="9">
        <f>-IF(C618=1,LN(W618),LN(1-W618))</f>
        <v/>
      </c>
      <c r="Y618" s="10">
        <f>IF(W618&gt;$AC$34,1,0)</f>
        <v/>
      </c>
      <c r="Z618">
        <f>IF(Y618=C618,1,0)</f>
        <v/>
      </c>
    </row>
    <row r="619">
      <c r="A619">
        <f>'1 prepared data'!A612</f>
        <v/>
      </c>
      <c r="B619" s="5">
        <f>'1 prepared data'!U612</f>
        <v/>
      </c>
      <c r="C619">
        <f>'1 prepared data'!B612</f>
        <v/>
      </c>
      <c r="D619" s="7">
        <f>'1 prepared data'!C612</f>
        <v/>
      </c>
      <c r="E619" s="7">
        <f>'1 prepared data'!D612</f>
        <v/>
      </c>
      <c r="F619" s="7">
        <f>'1 prepared data'!E612</f>
        <v/>
      </c>
      <c r="G619" s="7">
        <f>'1 prepared data'!F612</f>
        <v/>
      </c>
      <c r="H619" s="7">
        <f>'1 prepared data'!G612</f>
        <v/>
      </c>
      <c r="I619" s="7">
        <f>'1 prepared data'!H612</f>
        <v/>
      </c>
      <c r="J619" s="7">
        <f>'1 prepared data'!I612</f>
        <v/>
      </c>
      <c r="K619" s="7">
        <f>'1 prepared data'!J612</f>
        <v/>
      </c>
      <c r="L619" s="7">
        <f>'1 prepared data'!K612</f>
        <v/>
      </c>
      <c r="M619" s="7">
        <f>'1 prepared data'!L612</f>
        <v/>
      </c>
      <c r="N619" s="7">
        <f>'1 prepared data'!M612</f>
        <v/>
      </c>
      <c r="O619" s="7">
        <f>'1 prepared data'!N612</f>
        <v/>
      </c>
      <c r="P619" s="7">
        <f>'1 prepared data'!O612</f>
        <v/>
      </c>
      <c r="Q619" s="7">
        <f>'1 prepared data'!P612</f>
        <v/>
      </c>
      <c r="R619" s="7">
        <f>'1 prepared data'!Q612</f>
        <v/>
      </c>
      <c r="S619" s="7">
        <f>'1 prepared data'!R612</f>
        <v/>
      </c>
      <c r="T619" s="7">
        <f>'1 prepared data'!S612</f>
        <v/>
      </c>
      <c r="U619" s="7">
        <f>'1 prepared data'!T612</f>
        <v/>
      </c>
      <c r="V619" s="8">
        <f>$AC$12+D619*$AC$13+E619*$AC$14+F619*$AC$15+G619*$AC$16+H619*$AC$17+I619*$AC$18+J619*$AC$19+K619*$AC$20+L619*$AC$21+M619*$AC$22+N619*$AC$23+O619*$AC$24+P619*$AC$25+Q619*$AC$26+R619*$AC$27+S619*$AC$28+T619*$AC$29+U619*$AC$30</f>
        <v/>
      </c>
      <c r="W619" s="8">
        <f>1/(1+EXP(-V619))</f>
        <v/>
      </c>
      <c r="X619" s="9">
        <f>-IF(C619=1,LN(W619),LN(1-W619))</f>
        <v/>
      </c>
      <c r="Y619" s="10">
        <f>IF(W619&gt;$AC$34,1,0)</f>
        <v/>
      </c>
      <c r="Z619">
        <f>IF(Y619=C619,1,0)</f>
        <v/>
      </c>
    </row>
    <row r="620">
      <c r="A620">
        <f>'1 prepared data'!A613</f>
        <v/>
      </c>
      <c r="B620" s="5">
        <f>'1 prepared data'!U613</f>
        <v/>
      </c>
      <c r="C620">
        <f>'1 prepared data'!B613</f>
        <v/>
      </c>
      <c r="D620" s="7">
        <f>'1 prepared data'!C613</f>
        <v/>
      </c>
      <c r="E620" s="7">
        <f>'1 prepared data'!D613</f>
        <v/>
      </c>
      <c r="F620" s="7">
        <f>'1 prepared data'!E613</f>
        <v/>
      </c>
      <c r="G620" s="7">
        <f>'1 prepared data'!F613</f>
        <v/>
      </c>
      <c r="H620" s="7">
        <f>'1 prepared data'!G613</f>
        <v/>
      </c>
      <c r="I620" s="7">
        <f>'1 prepared data'!H613</f>
        <v/>
      </c>
      <c r="J620" s="7">
        <f>'1 prepared data'!I613</f>
        <v/>
      </c>
      <c r="K620" s="7">
        <f>'1 prepared data'!J613</f>
        <v/>
      </c>
      <c r="L620" s="7">
        <f>'1 prepared data'!K613</f>
        <v/>
      </c>
      <c r="M620" s="7">
        <f>'1 prepared data'!L613</f>
        <v/>
      </c>
      <c r="N620" s="7">
        <f>'1 prepared data'!M613</f>
        <v/>
      </c>
      <c r="O620" s="7">
        <f>'1 prepared data'!N613</f>
        <v/>
      </c>
      <c r="P620" s="7">
        <f>'1 prepared data'!O613</f>
        <v/>
      </c>
      <c r="Q620" s="7">
        <f>'1 prepared data'!P613</f>
        <v/>
      </c>
      <c r="R620" s="7">
        <f>'1 prepared data'!Q613</f>
        <v/>
      </c>
      <c r="S620" s="7">
        <f>'1 prepared data'!R613</f>
        <v/>
      </c>
      <c r="T620" s="7">
        <f>'1 prepared data'!S613</f>
        <v/>
      </c>
      <c r="U620" s="7">
        <f>'1 prepared data'!T613</f>
        <v/>
      </c>
      <c r="V620" s="8">
        <f>$AC$12+D620*$AC$13+E620*$AC$14+F620*$AC$15+G620*$AC$16+H620*$AC$17+I620*$AC$18+J620*$AC$19+K620*$AC$20+L620*$AC$21+M620*$AC$22+N620*$AC$23+O620*$AC$24+P620*$AC$25+Q620*$AC$26+R620*$AC$27+S620*$AC$28+T620*$AC$29+U620*$AC$30</f>
        <v/>
      </c>
      <c r="W620" s="8">
        <f>1/(1+EXP(-V620))</f>
        <v/>
      </c>
      <c r="X620" s="9">
        <f>-IF(C620=1,LN(W620),LN(1-W620))</f>
        <v/>
      </c>
      <c r="Y620" s="10">
        <f>IF(W620&gt;$AC$34,1,0)</f>
        <v/>
      </c>
      <c r="Z620">
        <f>IF(Y620=C620,1,0)</f>
        <v/>
      </c>
    </row>
    <row r="621">
      <c r="A621">
        <f>'1 prepared data'!A614</f>
        <v/>
      </c>
      <c r="B621" s="5">
        <f>'1 prepared data'!U614</f>
        <v/>
      </c>
      <c r="C621">
        <f>'1 prepared data'!B614</f>
        <v/>
      </c>
      <c r="D621" s="7">
        <f>'1 prepared data'!C614</f>
        <v/>
      </c>
      <c r="E621" s="7">
        <f>'1 prepared data'!D614</f>
        <v/>
      </c>
      <c r="F621" s="7">
        <f>'1 prepared data'!E614</f>
        <v/>
      </c>
      <c r="G621" s="7">
        <f>'1 prepared data'!F614</f>
        <v/>
      </c>
      <c r="H621" s="7">
        <f>'1 prepared data'!G614</f>
        <v/>
      </c>
      <c r="I621" s="7">
        <f>'1 prepared data'!H614</f>
        <v/>
      </c>
      <c r="J621" s="7">
        <f>'1 prepared data'!I614</f>
        <v/>
      </c>
      <c r="K621" s="7">
        <f>'1 prepared data'!J614</f>
        <v/>
      </c>
      <c r="L621" s="7">
        <f>'1 prepared data'!K614</f>
        <v/>
      </c>
      <c r="M621" s="7">
        <f>'1 prepared data'!L614</f>
        <v/>
      </c>
      <c r="N621" s="7">
        <f>'1 prepared data'!M614</f>
        <v/>
      </c>
      <c r="O621" s="7">
        <f>'1 prepared data'!N614</f>
        <v/>
      </c>
      <c r="P621" s="7">
        <f>'1 prepared data'!O614</f>
        <v/>
      </c>
      <c r="Q621" s="7">
        <f>'1 prepared data'!P614</f>
        <v/>
      </c>
      <c r="R621" s="7">
        <f>'1 prepared data'!Q614</f>
        <v/>
      </c>
      <c r="S621" s="7">
        <f>'1 prepared data'!R614</f>
        <v/>
      </c>
      <c r="T621" s="7">
        <f>'1 prepared data'!S614</f>
        <v/>
      </c>
      <c r="U621" s="7">
        <f>'1 prepared data'!T614</f>
        <v/>
      </c>
      <c r="V621" s="8">
        <f>$AC$12+D621*$AC$13+E621*$AC$14+F621*$AC$15+G621*$AC$16+H621*$AC$17+I621*$AC$18+J621*$AC$19+K621*$AC$20+L621*$AC$21+M621*$AC$22+N621*$AC$23+O621*$AC$24+P621*$AC$25+Q621*$AC$26+R621*$AC$27+S621*$AC$28+T621*$AC$29+U621*$AC$30</f>
        <v/>
      </c>
      <c r="W621" s="8">
        <f>1/(1+EXP(-V621))</f>
        <v/>
      </c>
      <c r="X621" s="9">
        <f>-IF(C621=1,LN(W621),LN(1-W621))</f>
        <v/>
      </c>
      <c r="Y621" s="10">
        <f>IF(W621&gt;$AC$34,1,0)</f>
        <v/>
      </c>
      <c r="Z621">
        <f>IF(Y621=C621,1,0)</f>
        <v/>
      </c>
    </row>
    <row r="622">
      <c r="A622">
        <f>'1 prepared data'!A615</f>
        <v/>
      </c>
      <c r="B622" s="5">
        <f>'1 prepared data'!U615</f>
        <v/>
      </c>
      <c r="C622">
        <f>'1 prepared data'!B615</f>
        <v/>
      </c>
      <c r="D622" s="7">
        <f>'1 prepared data'!C615</f>
        <v/>
      </c>
      <c r="E622" s="7">
        <f>'1 prepared data'!D615</f>
        <v/>
      </c>
      <c r="F622" s="7">
        <f>'1 prepared data'!E615</f>
        <v/>
      </c>
      <c r="G622" s="7">
        <f>'1 prepared data'!F615</f>
        <v/>
      </c>
      <c r="H622" s="7">
        <f>'1 prepared data'!G615</f>
        <v/>
      </c>
      <c r="I622" s="7">
        <f>'1 prepared data'!H615</f>
        <v/>
      </c>
      <c r="J622" s="7">
        <f>'1 prepared data'!I615</f>
        <v/>
      </c>
      <c r="K622" s="7">
        <f>'1 prepared data'!J615</f>
        <v/>
      </c>
      <c r="L622" s="7">
        <f>'1 prepared data'!K615</f>
        <v/>
      </c>
      <c r="M622" s="7">
        <f>'1 prepared data'!L615</f>
        <v/>
      </c>
      <c r="N622" s="7">
        <f>'1 prepared data'!M615</f>
        <v/>
      </c>
      <c r="O622" s="7">
        <f>'1 prepared data'!N615</f>
        <v/>
      </c>
      <c r="P622" s="7">
        <f>'1 prepared data'!O615</f>
        <v/>
      </c>
      <c r="Q622" s="7">
        <f>'1 prepared data'!P615</f>
        <v/>
      </c>
      <c r="R622" s="7">
        <f>'1 prepared data'!Q615</f>
        <v/>
      </c>
      <c r="S622" s="7">
        <f>'1 prepared data'!R615</f>
        <v/>
      </c>
      <c r="T622" s="7">
        <f>'1 prepared data'!S615</f>
        <v/>
      </c>
      <c r="U622" s="7">
        <f>'1 prepared data'!T615</f>
        <v/>
      </c>
      <c r="V622" s="8">
        <f>$AC$12+D622*$AC$13+E622*$AC$14+F622*$AC$15+G622*$AC$16+H622*$AC$17+I622*$AC$18+J622*$AC$19+K622*$AC$20+L622*$AC$21+M622*$AC$22+N622*$AC$23+O622*$AC$24+P622*$AC$25+Q622*$AC$26+R622*$AC$27+S622*$AC$28+T622*$AC$29+U622*$AC$30</f>
        <v/>
      </c>
      <c r="W622" s="8">
        <f>1/(1+EXP(-V622))</f>
        <v/>
      </c>
      <c r="X622" s="9">
        <f>-IF(C622=1,LN(W622),LN(1-W622))</f>
        <v/>
      </c>
      <c r="Y622" s="10">
        <f>IF(W622&gt;$AC$34,1,0)</f>
        <v/>
      </c>
      <c r="Z622">
        <f>IF(Y622=C622,1,0)</f>
        <v/>
      </c>
    </row>
    <row r="623">
      <c r="A623">
        <f>'1 prepared data'!A616</f>
        <v/>
      </c>
      <c r="B623" s="5">
        <f>'1 prepared data'!U616</f>
        <v/>
      </c>
      <c r="C623">
        <f>'1 prepared data'!B616</f>
        <v/>
      </c>
      <c r="D623" s="7">
        <f>'1 prepared data'!C616</f>
        <v/>
      </c>
      <c r="E623" s="7">
        <f>'1 prepared data'!D616</f>
        <v/>
      </c>
      <c r="F623" s="7">
        <f>'1 prepared data'!E616</f>
        <v/>
      </c>
      <c r="G623" s="7">
        <f>'1 prepared data'!F616</f>
        <v/>
      </c>
      <c r="H623" s="7">
        <f>'1 prepared data'!G616</f>
        <v/>
      </c>
      <c r="I623" s="7">
        <f>'1 prepared data'!H616</f>
        <v/>
      </c>
      <c r="J623" s="7">
        <f>'1 prepared data'!I616</f>
        <v/>
      </c>
      <c r="K623" s="7">
        <f>'1 prepared data'!J616</f>
        <v/>
      </c>
      <c r="L623" s="7">
        <f>'1 prepared data'!K616</f>
        <v/>
      </c>
      <c r="M623" s="7">
        <f>'1 prepared data'!L616</f>
        <v/>
      </c>
      <c r="N623" s="7">
        <f>'1 prepared data'!M616</f>
        <v/>
      </c>
      <c r="O623" s="7">
        <f>'1 prepared data'!N616</f>
        <v/>
      </c>
      <c r="P623" s="7">
        <f>'1 prepared data'!O616</f>
        <v/>
      </c>
      <c r="Q623" s="7">
        <f>'1 prepared data'!P616</f>
        <v/>
      </c>
      <c r="R623" s="7">
        <f>'1 prepared data'!Q616</f>
        <v/>
      </c>
      <c r="S623" s="7">
        <f>'1 prepared data'!R616</f>
        <v/>
      </c>
      <c r="T623" s="7">
        <f>'1 prepared data'!S616</f>
        <v/>
      </c>
      <c r="U623" s="7">
        <f>'1 prepared data'!T616</f>
        <v/>
      </c>
      <c r="V623" s="8">
        <f>$AC$12+D623*$AC$13+E623*$AC$14+F623*$AC$15+G623*$AC$16+H623*$AC$17+I623*$AC$18+J623*$AC$19+K623*$AC$20+L623*$AC$21+M623*$AC$22+N623*$AC$23+O623*$AC$24+P623*$AC$25+Q623*$AC$26+R623*$AC$27+S623*$AC$28+T623*$AC$29+U623*$AC$30</f>
        <v/>
      </c>
      <c r="W623" s="8">
        <f>1/(1+EXP(-V623))</f>
        <v/>
      </c>
      <c r="X623" s="9">
        <f>-IF(C623=1,LN(W623),LN(1-W623))</f>
        <v/>
      </c>
      <c r="Y623" s="10">
        <f>IF(W623&gt;$AC$34,1,0)</f>
        <v/>
      </c>
      <c r="Z623">
        <f>IF(Y623=C623,1,0)</f>
        <v/>
      </c>
    </row>
    <row r="624">
      <c r="A624">
        <f>'1 prepared data'!A617</f>
        <v/>
      </c>
      <c r="B624" s="5">
        <f>'1 prepared data'!U617</f>
        <v/>
      </c>
      <c r="C624">
        <f>'1 prepared data'!B617</f>
        <v/>
      </c>
      <c r="D624" s="7">
        <f>'1 prepared data'!C617</f>
        <v/>
      </c>
      <c r="E624" s="7">
        <f>'1 prepared data'!D617</f>
        <v/>
      </c>
      <c r="F624" s="7">
        <f>'1 prepared data'!E617</f>
        <v/>
      </c>
      <c r="G624" s="7">
        <f>'1 prepared data'!F617</f>
        <v/>
      </c>
      <c r="H624" s="7">
        <f>'1 prepared data'!G617</f>
        <v/>
      </c>
      <c r="I624" s="7">
        <f>'1 prepared data'!H617</f>
        <v/>
      </c>
      <c r="J624" s="7">
        <f>'1 prepared data'!I617</f>
        <v/>
      </c>
      <c r="K624" s="7">
        <f>'1 prepared data'!J617</f>
        <v/>
      </c>
      <c r="L624" s="7">
        <f>'1 prepared data'!K617</f>
        <v/>
      </c>
      <c r="M624" s="7">
        <f>'1 prepared data'!L617</f>
        <v/>
      </c>
      <c r="N624" s="7">
        <f>'1 prepared data'!M617</f>
        <v/>
      </c>
      <c r="O624" s="7">
        <f>'1 prepared data'!N617</f>
        <v/>
      </c>
      <c r="P624" s="7">
        <f>'1 prepared data'!O617</f>
        <v/>
      </c>
      <c r="Q624" s="7">
        <f>'1 prepared data'!P617</f>
        <v/>
      </c>
      <c r="R624" s="7">
        <f>'1 prepared data'!Q617</f>
        <v/>
      </c>
      <c r="S624" s="7">
        <f>'1 prepared data'!R617</f>
        <v/>
      </c>
      <c r="T624" s="7">
        <f>'1 prepared data'!S617</f>
        <v/>
      </c>
      <c r="U624" s="7">
        <f>'1 prepared data'!T617</f>
        <v/>
      </c>
      <c r="V624" s="8">
        <f>$AC$12+D624*$AC$13+E624*$AC$14+F624*$AC$15+G624*$AC$16+H624*$AC$17+I624*$AC$18+J624*$AC$19+K624*$AC$20+L624*$AC$21+M624*$AC$22+N624*$AC$23+O624*$AC$24+P624*$AC$25+Q624*$AC$26+R624*$AC$27+S624*$AC$28+T624*$AC$29+U624*$AC$30</f>
        <v/>
      </c>
      <c r="W624" s="8">
        <f>1/(1+EXP(-V624))</f>
        <v/>
      </c>
      <c r="X624" s="9">
        <f>-IF(C624=1,LN(W624),LN(1-W624))</f>
        <v/>
      </c>
      <c r="Y624" s="10">
        <f>IF(W624&gt;$AC$34,1,0)</f>
        <v/>
      </c>
      <c r="Z624">
        <f>IF(Y624=C624,1,0)</f>
        <v/>
      </c>
    </row>
    <row r="625">
      <c r="A625">
        <f>'1 prepared data'!A618</f>
        <v/>
      </c>
      <c r="B625" s="5">
        <f>'1 prepared data'!U618</f>
        <v/>
      </c>
      <c r="C625">
        <f>'1 prepared data'!B618</f>
        <v/>
      </c>
      <c r="D625" s="7">
        <f>'1 prepared data'!C618</f>
        <v/>
      </c>
      <c r="E625" s="7">
        <f>'1 prepared data'!D618</f>
        <v/>
      </c>
      <c r="F625" s="7">
        <f>'1 prepared data'!E618</f>
        <v/>
      </c>
      <c r="G625" s="7">
        <f>'1 prepared data'!F618</f>
        <v/>
      </c>
      <c r="H625" s="7">
        <f>'1 prepared data'!G618</f>
        <v/>
      </c>
      <c r="I625" s="7">
        <f>'1 prepared data'!H618</f>
        <v/>
      </c>
      <c r="J625" s="7">
        <f>'1 prepared data'!I618</f>
        <v/>
      </c>
      <c r="K625" s="7">
        <f>'1 prepared data'!J618</f>
        <v/>
      </c>
      <c r="L625" s="7">
        <f>'1 prepared data'!K618</f>
        <v/>
      </c>
      <c r="M625" s="7">
        <f>'1 prepared data'!L618</f>
        <v/>
      </c>
      <c r="N625" s="7">
        <f>'1 prepared data'!M618</f>
        <v/>
      </c>
      <c r="O625" s="7">
        <f>'1 prepared data'!N618</f>
        <v/>
      </c>
      <c r="P625" s="7">
        <f>'1 prepared data'!O618</f>
        <v/>
      </c>
      <c r="Q625" s="7">
        <f>'1 prepared data'!P618</f>
        <v/>
      </c>
      <c r="R625" s="7">
        <f>'1 prepared data'!Q618</f>
        <v/>
      </c>
      <c r="S625" s="7">
        <f>'1 prepared data'!R618</f>
        <v/>
      </c>
      <c r="T625" s="7">
        <f>'1 prepared data'!S618</f>
        <v/>
      </c>
      <c r="U625" s="7">
        <f>'1 prepared data'!T618</f>
        <v/>
      </c>
      <c r="V625" s="8">
        <f>$AC$12+D625*$AC$13+E625*$AC$14+F625*$AC$15+G625*$AC$16+H625*$AC$17+I625*$AC$18+J625*$AC$19+K625*$AC$20+L625*$AC$21+M625*$AC$22+N625*$AC$23+O625*$AC$24+P625*$AC$25+Q625*$AC$26+R625*$AC$27+S625*$AC$28+T625*$AC$29+U625*$AC$30</f>
        <v/>
      </c>
      <c r="W625" s="8">
        <f>1/(1+EXP(-V625))</f>
        <v/>
      </c>
      <c r="X625" s="9">
        <f>-IF(C625=1,LN(W625),LN(1-W625))</f>
        <v/>
      </c>
      <c r="Y625" s="10">
        <f>IF(W625&gt;$AC$34,1,0)</f>
        <v/>
      </c>
      <c r="Z625">
        <f>IF(Y625=C625,1,0)</f>
        <v/>
      </c>
    </row>
    <row r="626">
      <c r="A626">
        <f>'1 prepared data'!A619</f>
        <v/>
      </c>
      <c r="B626" s="5">
        <f>'1 prepared data'!U619</f>
        <v/>
      </c>
      <c r="C626">
        <f>'1 prepared data'!B619</f>
        <v/>
      </c>
      <c r="D626" s="7">
        <f>'1 prepared data'!C619</f>
        <v/>
      </c>
      <c r="E626" s="7">
        <f>'1 prepared data'!D619</f>
        <v/>
      </c>
      <c r="F626" s="7">
        <f>'1 prepared data'!E619</f>
        <v/>
      </c>
      <c r="G626" s="7">
        <f>'1 prepared data'!F619</f>
        <v/>
      </c>
      <c r="H626" s="7">
        <f>'1 prepared data'!G619</f>
        <v/>
      </c>
      <c r="I626" s="7">
        <f>'1 prepared data'!H619</f>
        <v/>
      </c>
      <c r="J626" s="7">
        <f>'1 prepared data'!I619</f>
        <v/>
      </c>
      <c r="K626" s="7">
        <f>'1 prepared data'!J619</f>
        <v/>
      </c>
      <c r="L626" s="7">
        <f>'1 prepared data'!K619</f>
        <v/>
      </c>
      <c r="M626" s="7">
        <f>'1 prepared data'!L619</f>
        <v/>
      </c>
      <c r="N626" s="7">
        <f>'1 prepared data'!M619</f>
        <v/>
      </c>
      <c r="O626" s="7">
        <f>'1 prepared data'!N619</f>
        <v/>
      </c>
      <c r="P626" s="7">
        <f>'1 prepared data'!O619</f>
        <v/>
      </c>
      <c r="Q626" s="7">
        <f>'1 prepared data'!P619</f>
        <v/>
      </c>
      <c r="R626" s="7">
        <f>'1 prepared data'!Q619</f>
        <v/>
      </c>
      <c r="S626" s="7">
        <f>'1 prepared data'!R619</f>
        <v/>
      </c>
      <c r="T626" s="7">
        <f>'1 prepared data'!S619</f>
        <v/>
      </c>
      <c r="U626" s="7">
        <f>'1 prepared data'!T619</f>
        <v/>
      </c>
      <c r="V626" s="8">
        <f>$AC$12+D626*$AC$13+E626*$AC$14+F626*$AC$15+G626*$AC$16+H626*$AC$17+I626*$AC$18+J626*$AC$19+K626*$AC$20+L626*$AC$21+M626*$AC$22+N626*$AC$23+O626*$AC$24+P626*$AC$25+Q626*$AC$26+R626*$AC$27+S626*$AC$28+T626*$AC$29+U626*$AC$30</f>
        <v/>
      </c>
      <c r="W626" s="8">
        <f>1/(1+EXP(-V626))</f>
        <v/>
      </c>
      <c r="X626" s="9">
        <f>-IF(C626=1,LN(W626),LN(1-W626))</f>
        <v/>
      </c>
      <c r="Y626" s="10">
        <f>IF(W626&gt;$AC$34,1,0)</f>
        <v/>
      </c>
      <c r="Z626">
        <f>IF(Y626=C626,1,0)</f>
        <v/>
      </c>
    </row>
    <row r="627">
      <c r="A627">
        <f>'1 prepared data'!A620</f>
        <v/>
      </c>
      <c r="B627" s="5">
        <f>'1 prepared data'!U620</f>
        <v/>
      </c>
      <c r="C627">
        <f>'1 prepared data'!B620</f>
        <v/>
      </c>
      <c r="D627" s="7">
        <f>'1 prepared data'!C620</f>
        <v/>
      </c>
      <c r="E627" s="7">
        <f>'1 prepared data'!D620</f>
        <v/>
      </c>
      <c r="F627" s="7">
        <f>'1 prepared data'!E620</f>
        <v/>
      </c>
      <c r="G627" s="7">
        <f>'1 prepared data'!F620</f>
        <v/>
      </c>
      <c r="H627" s="7">
        <f>'1 prepared data'!G620</f>
        <v/>
      </c>
      <c r="I627" s="7">
        <f>'1 prepared data'!H620</f>
        <v/>
      </c>
      <c r="J627" s="7">
        <f>'1 prepared data'!I620</f>
        <v/>
      </c>
      <c r="K627" s="7">
        <f>'1 prepared data'!J620</f>
        <v/>
      </c>
      <c r="L627" s="7">
        <f>'1 prepared data'!K620</f>
        <v/>
      </c>
      <c r="M627" s="7">
        <f>'1 prepared data'!L620</f>
        <v/>
      </c>
      <c r="N627" s="7">
        <f>'1 prepared data'!M620</f>
        <v/>
      </c>
      <c r="O627" s="7">
        <f>'1 prepared data'!N620</f>
        <v/>
      </c>
      <c r="P627" s="7">
        <f>'1 prepared data'!O620</f>
        <v/>
      </c>
      <c r="Q627" s="7">
        <f>'1 prepared data'!P620</f>
        <v/>
      </c>
      <c r="R627" s="7">
        <f>'1 prepared data'!Q620</f>
        <v/>
      </c>
      <c r="S627" s="7">
        <f>'1 prepared data'!R620</f>
        <v/>
      </c>
      <c r="T627" s="7">
        <f>'1 prepared data'!S620</f>
        <v/>
      </c>
      <c r="U627" s="7">
        <f>'1 prepared data'!T620</f>
        <v/>
      </c>
      <c r="V627" s="8">
        <f>$AC$12+D627*$AC$13+E627*$AC$14+F627*$AC$15+G627*$AC$16+H627*$AC$17+I627*$AC$18+J627*$AC$19+K627*$AC$20+L627*$AC$21+M627*$AC$22+N627*$AC$23+O627*$AC$24+P627*$AC$25+Q627*$AC$26+R627*$AC$27+S627*$AC$28+T627*$AC$29+U627*$AC$30</f>
        <v/>
      </c>
      <c r="W627" s="8">
        <f>1/(1+EXP(-V627))</f>
        <v/>
      </c>
      <c r="X627" s="9">
        <f>-IF(C627=1,LN(W627),LN(1-W627))</f>
        <v/>
      </c>
      <c r="Y627" s="10">
        <f>IF(W627&gt;$AC$34,1,0)</f>
        <v/>
      </c>
      <c r="Z627">
        <f>IF(Y627=C627,1,0)</f>
        <v/>
      </c>
    </row>
    <row r="628">
      <c r="A628">
        <f>'1 prepared data'!A621</f>
        <v/>
      </c>
      <c r="B628" s="5">
        <f>'1 prepared data'!U621</f>
        <v/>
      </c>
      <c r="C628">
        <f>'1 prepared data'!B621</f>
        <v/>
      </c>
      <c r="D628" s="7">
        <f>'1 prepared data'!C621</f>
        <v/>
      </c>
      <c r="E628" s="7">
        <f>'1 prepared data'!D621</f>
        <v/>
      </c>
      <c r="F628" s="7">
        <f>'1 prepared data'!E621</f>
        <v/>
      </c>
      <c r="G628" s="7">
        <f>'1 prepared data'!F621</f>
        <v/>
      </c>
      <c r="H628" s="7">
        <f>'1 prepared data'!G621</f>
        <v/>
      </c>
      <c r="I628" s="7">
        <f>'1 prepared data'!H621</f>
        <v/>
      </c>
      <c r="J628" s="7">
        <f>'1 prepared data'!I621</f>
        <v/>
      </c>
      <c r="K628" s="7">
        <f>'1 prepared data'!J621</f>
        <v/>
      </c>
      <c r="L628" s="7">
        <f>'1 prepared data'!K621</f>
        <v/>
      </c>
      <c r="M628" s="7">
        <f>'1 prepared data'!L621</f>
        <v/>
      </c>
      <c r="N628" s="7">
        <f>'1 prepared data'!M621</f>
        <v/>
      </c>
      <c r="O628" s="7">
        <f>'1 prepared data'!N621</f>
        <v/>
      </c>
      <c r="P628" s="7">
        <f>'1 prepared data'!O621</f>
        <v/>
      </c>
      <c r="Q628" s="7">
        <f>'1 prepared data'!P621</f>
        <v/>
      </c>
      <c r="R628" s="7">
        <f>'1 prepared data'!Q621</f>
        <v/>
      </c>
      <c r="S628" s="7">
        <f>'1 prepared data'!R621</f>
        <v/>
      </c>
      <c r="T628" s="7">
        <f>'1 prepared data'!S621</f>
        <v/>
      </c>
      <c r="U628" s="7">
        <f>'1 prepared data'!T621</f>
        <v/>
      </c>
      <c r="V628" s="8">
        <f>$AC$12+D628*$AC$13+E628*$AC$14+F628*$AC$15+G628*$AC$16+H628*$AC$17+I628*$AC$18+J628*$AC$19+K628*$AC$20+L628*$AC$21+M628*$AC$22+N628*$AC$23+O628*$AC$24+P628*$AC$25+Q628*$AC$26+R628*$AC$27+S628*$AC$28+T628*$AC$29+U628*$AC$30</f>
        <v/>
      </c>
      <c r="W628" s="8">
        <f>1/(1+EXP(-V628))</f>
        <v/>
      </c>
      <c r="X628" s="9">
        <f>-IF(C628=1,LN(W628),LN(1-W628))</f>
        <v/>
      </c>
      <c r="Y628" s="10">
        <f>IF(W628&gt;$AC$34,1,0)</f>
        <v/>
      </c>
      <c r="Z628">
        <f>IF(Y628=C628,1,0)</f>
        <v/>
      </c>
    </row>
    <row r="629">
      <c r="A629">
        <f>'1 prepared data'!A622</f>
        <v/>
      </c>
      <c r="B629" s="5">
        <f>'1 prepared data'!U622</f>
        <v/>
      </c>
      <c r="C629">
        <f>'1 prepared data'!B622</f>
        <v/>
      </c>
      <c r="D629" s="7">
        <f>'1 prepared data'!C622</f>
        <v/>
      </c>
      <c r="E629" s="7">
        <f>'1 prepared data'!D622</f>
        <v/>
      </c>
      <c r="F629" s="7">
        <f>'1 prepared data'!E622</f>
        <v/>
      </c>
      <c r="G629" s="7">
        <f>'1 prepared data'!F622</f>
        <v/>
      </c>
      <c r="H629" s="7">
        <f>'1 prepared data'!G622</f>
        <v/>
      </c>
      <c r="I629" s="7">
        <f>'1 prepared data'!H622</f>
        <v/>
      </c>
      <c r="J629" s="7">
        <f>'1 prepared data'!I622</f>
        <v/>
      </c>
      <c r="K629" s="7">
        <f>'1 prepared data'!J622</f>
        <v/>
      </c>
      <c r="L629" s="7">
        <f>'1 prepared data'!K622</f>
        <v/>
      </c>
      <c r="M629" s="7">
        <f>'1 prepared data'!L622</f>
        <v/>
      </c>
      <c r="N629" s="7">
        <f>'1 prepared data'!M622</f>
        <v/>
      </c>
      <c r="O629" s="7">
        <f>'1 prepared data'!N622</f>
        <v/>
      </c>
      <c r="P629" s="7">
        <f>'1 prepared data'!O622</f>
        <v/>
      </c>
      <c r="Q629" s="7">
        <f>'1 prepared data'!P622</f>
        <v/>
      </c>
      <c r="R629" s="7">
        <f>'1 prepared data'!Q622</f>
        <v/>
      </c>
      <c r="S629" s="7">
        <f>'1 prepared data'!R622</f>
        <v/>
      </c>
      <c r="T629" s="7">
        <f>'1 prepared data'!S622</f>
        <v/>
      </c>
      <c r="U629" s="7">
        <f>'1 prepared data'!T622</f>
        <v/>
      </c>
      <c r="V629" s="8">
        <f>$AC$12+D629*$AC$13+E629*$AC$14+F629*$AC$15+G629*$AC$16+H629*$AC$17+I629*$AC$18+J629*$AC$19+K629*$AC$20+L629*$AC$21+M629*$AC$22+N629*$AC$23+O629*$AC$24+P629*$AC$25+Q629*$AC$26+R629*$AC$27+S629*$AC$28+T629*$AC$29+U629*$AC$30</f>
        <v/>
      </c>
      <c r="W629" s="8">
        <f>1/(1+EXP(-V629))</f>
        <v/>
      </c>
      <c r="X629" s="9">
        <f>-IF(C629=1,LN(W629),LN(1-W629))</f>
        <v/>
      </c>
      <c r="Y629" s="10">
        <f>IF(W629&gt;$AC$34,1,0)</f>
        <v/>
      </c>
      <c r="Z629">
        <f>IF(Y629=C629,1,0)</f>
        <v/>
      </c>
    </row>
    <row r="630">
      <c r="A630">
        <f>'1 prepared data'!A623</f>
        <v/>
      </c>
      <c r="B630" s="5">
        <f>'1 prepared data'!U623</f>
        <v/>
      </c>
      <c r="C630">
        <f>'1 prepared data'!B623</f>
        <v/>
      </c>
      <c r="D630" s="7">
        <f>'1 prepared data'!C623</f>
        <v/>
      </c>
      <c r="E630" s="7">
        <f>'1 prepared data'!D623</f>
        <v/>
      </c>
      <c r="F630" s="7">
        <f>'1 prepared data'!E623</f>
        <v/>
      </c>
      <c r="G630" s="7">
        <f>'1 prepared data'!F623</f>
        <v/>
      </c>
      <c r="H630" s="7">
        <f>'1 prepared data'!G623</f>
        <v/>
      </c>
      <c r="I630" s="7">
        <f>'1 prepared data'!H623</f>
        <v/>
      </c>
      <c r="J630" s="7">
        <f>'1 prepared data'!I623</f>
        <v/>
      </c>
      <c r="K630" s="7">
        <f>'1 prepared data'!J623</f>
        <v/>
      </c>
      <c r="L630" s="7">
        <f>'1 prepared data'!K623</f>
        <v/>
      </c>
      <c r="M630" s="7">
        <f>'1 prepared data'!L623</f>
        <v/>
      </c>
      <c r="N630" s="7">
        <f>'1 prepared data'!M623</f>
        <v/>
      </c>
      <c r="O630" s="7">
        <f>'1 prepared data'!N623</f>
        <v/>
      </c>
      <c r="P630" s="7">
        <f>'1 prepared data'!O623</f>
        <v/>
      </c>
      <c r="Q630" s="7">
        <f>'1 prepared data'!P623</f>
        <v/>
      </c>
      <c r="R630" s="7">
        <f>'1 prepared data'!Q623</f>
        <v/>
      </c>
      <c r="S630" s="7">
        <f>'1 prepared data'!R623</f>
        <v/>
      </c>
      <c r="T630" s="7">
        <f>'1 prepared data'!S623</f>
        <v/>
      </c>
      <c r="U630" s="7">
        <f>'1 prepared data'!T623</f>
        <v/>
      </c>
      <c r="V630" s="8">
        <f>$AC$12+D630*$AC$13+E630*$AC$14+F630*$AC$15+G630*$AC$16+H630*$AC$17+I630*$AC$18+J630*$AC$19+K630*$AC$20+L630*$AC$21+M630*$AC$22+N630*$AC$23+O630*$AC$24+P630*$AC$25+Q630*$AC$26+R630*$AC$27+S630*$AC$28+T630*$AC$29+U630*$AC$30</f>
        <v/>
      </c>
      <c r="W630" s="8">
        <f>1/(1+EXP(-V630))</f>
        <v/>
      </c>
      <c r="X630" s="9">
        <f>-IF(C630=1,LN(W630),LN(1-W630))</f>
        <v/>
      </c>
      <c r="Y630" s="10">
        <f>IF(W630&gt;$AC$34,1,0)</f>
        <v/>
      </c>
      <c r="Z630">
        <f>IF(Y630=C630,1,0)</f>
        <v/>
      </c>
    </row>
    <row r="631">
      <c r="A631">
        <f>'1 prepared data'!A624</f>
        <v/>
      </c>
      <c r="B631" s="5">
        <f>'1 prepared data'!U624</f>
        <v/>
      </c>
      <c r="C631">
        <f>'1 prepared data'!B624</f>
        <v/>
      </c>
      <c r="D631" s="7">
        <f>'1 prepared data'!C624</f>
        <v/>
      </c>
      <c r="E631" s="7">
        <f>'1 prepared data'!D624</f>
        <v/>
      </c>
      <c r="F631" s="7">
        <f>'1 prepared data'!E624</f>
        <v/>
      </c>
      <c r="G631" s="7">
        <f>'1 prepared data'!F624</f>
        <v/>
      </c>
      <c r="H631" s="7">
        <f>'1 prepared data'!G624</f>
        <v/>
      </c>
      <c r="I631" s="7">
        <f>'1 prepared data'!H624</f>
        <v/>
      </c>
      <c r="J631" s="7">
        <f>'1 prepared data'!I624</f>
        <v/>
      </c>
      <c r="K631" s="7">
        <f>'1 prepared data'!J624</f>
        <v/>
      </c>
      <c r="L631" s="7">
        <f>'1 prepared data'!K624</f>
        <v/>
      </c>
      <c r="M631" s="7">
        <f>'1 prepared data'!L624</f>
        <v/>
      </c>
      <c r="N631" s="7">
        <f>'1 prepared data'!M624</f>
        <v/>
      </c>
      <c r="O631" s="7">
        <f>'1 prepared data'!N624</f>
        <v/>
      </c>
      <c r="P631" s="7">
        <f>'1 prepared data'!O624</f>
        <v/>
      </c>
      <c r="Q631" s="7">
        <f>'1 prepared data'!P624</f>
        <v/>
      </c>
      <c r="R631" s="7">
        <f>'1 prepared data'!Q624</f>
        <v/>
      </c>
      <c r="S631" s="7">
        <f>'1 prepared data'!R624</f>
        <v/>
      </c>
      <c r="T631" s="7">
        <f>'1 prepared data'!S624</f>
        <v/>
      </c>
      <c r="U631" s="7">
        <f>'1 prepared data'!T624</f>
        <v/>
      </c>
      <c r="V631" s="8">
        <f>$AC$12+D631*$AC$13+E631*$AC$14+F631*$AC$15+G631*$AC$16+H631*$AC$17+I631*$AC$18+J631*$AC$19+K631*$AC$20+L631*$AC$21+M631*$AC$22+N631*$AC$23+O631*$AC$24+P631*$AC$25+Q631*$AC$26+R631*$AC$27+S631*$AC$28+T631*$AC$29+U631*$AC$30</f>
        <v/>
      </c>
      <c r="W631" s="8">
        <f>1/(1+EXP(-V631))</f>
        <v/>
      </c>
      <c r="X631" s="9">
        <f>-IF(C631=1,LN(W631),LN(1-W631))</f>
        <v/>
      </c>
      <c r="Y631" s="10">
        <f>IF(W631&gt;$AC$34,1,0)</f>
        <v/>
      </c>
      <c r="Z631">
        <f>IF(Y631=C631,1,0)</f>
        <v/>
      </c>
    </row>
    <row r="632">
      <c r="A632">
        <f>'1 prepared data'!A625</f>
        <v/>
      </c>
      <c r="B632" s="5">
        <f>'1 prepared data'!U625</f>
        <v/>
      </c>
      <c r="C632">
        <f>'1 prepared data'!B625</f>
        <v/>
      </c>
      <c r="D632" s="7">
        <f>'1 prepared data'!C625</f>
        <v/>
      </c>
      <c r="E632" s="7">
        <f>'1 prepared data'!D625</f>
        <v/>
      </c>
      <c r="F632" s="7">
        <f>'1 prepared data'!E625</f>
        <v/>
      </c>
      <c r="G632" s="7">
        <f>'1 prepared data'!F625</f>
        <v/>
      </c>
      <c r="H632" s="7">
        <f>'1 prepared data'!G625</f>
        <v/>
      </c>
      <c r="I632" s="7">
        <f>'1 prepared data'!H625</f>
        <v/>
      </c>
      <c r="J632" s="7">
        <f>'1 prepared data'!I625</f>
        <v/>
      </c>
      <c r="K632" s="7">
        <f>'1 prepared data'!J625</f>
        <v/>
      </c>
      <c r="L632" s="7">
        <f>'1 prepared data'!K625</f>
        <v/>
      </c>
      <c r="M632" s="7">
        <f>'1 prepared data'!L625</f>
        <v/>
      </c>
      <c r="N632" s="7">
        <f>'1 prepared data'!M625</f>
        <v/>
      </c>
      <c r="O632" s="7">
        <f>'1 prepared data'!N625</f>
        <v/>
      </c>
      <c r="P632" s="7">
        <f>'1 prepared data'!O625</f>
        <v/>
      </c>
      <c r="Q632" s="7">
        <f>'1 prepared data'!P625</f>
        <v/>
      </c>
      <c r="R632" s="7">
        <f>'1 prepared data'!Q625</f>
        <v/>
      </c>
      <c r="S632" s="7">
        <f>'1 prepared data'!R625</f>
        <v/>
      </c>
      <c r="T632" s="7">
        <f>'1 prepared data'!S625</f>
        <v/>
      </c>
      <c r="U632" s="7">
        <f>'1 prepared data'!T625</f>
        <v/>
      </c>
      <c r="V632" s="8">
        <f>$AC$12+D632*$AC$13+E632*$AC$14+F632*$AC$15+G632*$AC$16+H632*$AC$17+I632*$AC$18+J632*$AC$19+K632*$AC$20+L632*$AC$21+M632*$AC$22+N632*$AC$23+O632*$AC$24+P632*$AC$25+Q632*$AC$26+R632*$AC$27+S632*$AC$28+T632*$AC$29+U632*$AC$30</f>
        <v/>
      </c>
      <c r="W632" s="8">
        <f>1/(1+EXP(-V632))</f>
        <v/>
      </c>
      <c r="X632" s="9">
        <f>-IF(C632=1,LN(W632),LN(1-W632))</f>
        <v/>
      </c>
      <c r="Y632" s="10">
        <f>IF(W632&gt;$AC$34,1,0)</f>
        <v/>
      </c>
      <c r="Z632">
        <f>IF(Y632=C632,1,0)</f>
        <v/>
      </c>
    </row>
    <row r="633">
      <c r="A633">
        <f>'1 prepared data'!A626</f>
        <v/>
      </c>
      <c r="B633" s="5">
        <f>'1 prepared data'!U626</f>
        <v/>
      </c>
      <c r="C633">
        <f>'1 prepared data'!B626</f>
        <v/>
      </c>
      <c r="D633" s="7">
        <f>'1 prepared data'!C626</f>
        <v/>
      </c>
      <c r="E633" s="7">
        <f>'1 prepared data'!D626</f>
        <v/>
      </c>
      <c r="F633" s="7">
        <f>'1 prepared data'!E626</f>
        <v/>
      </c>
      <c r="G633" s="7">
        <f>'1 prepared data'!F626</f>
        <v/>
      </c>
      <c r="H633" s="7">
        <f>'1 prepared data'!G626</f>
        <v/>
      </c>
      <c r="I633" s="7">
        <f>'1 prepared data'!H626</f>
        <v/>
      </c>
      <c r="J633" s="7">
        <f>'1 prepared data'!I626</f>
        <v/>
      </c>
      <c r="K633" s="7">
        <f>'1 prepared data'!J626</f>
        <v/>
      </c>
      <c r="L633" s="7">
        <f>'1 prepared data'!K626</f>
        <v/>
      </c>
      <c r="M633" s="7">
        <f>'1 prepared data'!L626</f>
        <v/>
      </c>
      <c r="N633" s="7">
        <f>'1 prepared data'!M626</f>
        <v/>
      </c>
      <c r="O633" s="7">
        <f>'1 prepared data'!N626</f>
        <v/>
      </c>
      <c r="P633" s="7">
        <f>'1 prepared data'!O626</f>
        <v/>
      </c>
      <c r="Q633" s="7">
        <f>'1 prepared data'!P626</f>
        <v/>
      </c>
      <c r="R633" s="7">
        <f>'1 prepared data'!Q626</f>
        <v/>
      </c>
      <c r="S633" s="7">
        <f>'1 prepared data'!R626</f>
        <v/>
      </c>
      <c r="T633" s="7">
        <f>'1 prepared data'!S626</f>
        <v/>
      </c>
      <c r="U633" s="7">
        <f>'1 prepared data'!T626</f>
        <v/>
      </c>
      <c r="V633" s="8">
        <f>$AC$12+D633*$AC$13+E633*$AC$14+F633*$AC$15+G633*$AC$16+H633*$AC$17+I633*$AC$18+J633*$AC$19+K633*$AC$20+L633*$AC$21+M633*$AC$22+N633*$AC$23+O633*$AC$24+P633*$AC$25+Q633*$AC$26+R633*$AC$27+S633*$AC$28+T633*$AC$29+U633*$AC$30</f>
        <v/>
      </c>
      <c r="W633" s="8">
        <f>1/(1+EXP(-V633))</f>
        <v/>
      </c>
      <c r="X633" s="9">
        <f>-IF(C633=1,LN(W633),LN(1-W633))</f>
        <v/>
      </c>
      <c r="Y633" s="10">
        <f>IF(W633&gt;$AC$34,1,0)</f>
        <v/>
      </c>
      <c r="Z633">
        <f>IF(Y633=C633,1,0)</f>
        <v/>
      </c>
    </row>
    <row r="634">
      <c r="A634">
        <f>'1 prepared data'!A627</f>
        <v/>
      </c>
      <c r="B634" s="5">
        <f>'1 prepared data'!U627</f>
        <v/>
      </c>
      <c r="C634">
        <f>'1 prepared data'!B627</f>
        <v/>
      </c>
      <c r="D634" s="7">
        <f>'1 prepared data'!C627</f>
        <v/>
      </c>
      <c r="E634" s="7">
        <f>'1 prepared data'!D627</f>
        <v/>
      </c>
      <c r="F634" s="7">
        <f>'1 prepared data'!E627</f>
        <v/>
      </c>
      <c r="G634" s="7">
        <f>'1 prepared data'!F627</f>
        <v/>
      </c>
      <c r="H634" s="7">
        <f>'1 prepared data'!G627</f>
        <v/>
      </c>
      <c r="I634" s="7">
        <f>'1 prepared data'!H627</f>
        <v/>
      </c>
      <c r="J634" s="7">
        <f>'1 prepared data'!I627</f>
        <v/>
      </c>
      <c r="K634" s="7">
        <f>'1 prepared data'!J627</f>
        <v/>
      </c>
      <c r="L634" s="7">
        <f>'1 prepared data'!K627</f>
        <v/>
      </c>
      <c r="M634" s="7">
        <f>'1 prepared data'!L627</f>
        <v/>
      </c>
      <c r="N634" s="7">
        <f>'1 prepared data'!M627</f>
        <v/>
      </c>
      <c r="O634" s="7">
        <f>'1 prepared data'!N627</f>
        <v/>
      </c>
      <c r="P634" s="7">
        <f>'1 prepared data'!O627</f>
        <v/>
      </c>
      <c r="Q634" s="7">
        <f>'1 prepared data'!P627</f>
        <v/>
      </c>
      <c r="R634" s="7">
        <f>'1 prepared data'!Q627</f>
        <v/>
      </c>
      <c r="S634" s="7">
        <f>'1 prepared data'!R627</f>
        <v/>
      </c>
      <c r="T634" s="7">
        <f>'1 prepared data'!S627</f>
        <v/>
      </c>
      <c r="U634" s="7">
        <f>'1 prepared data'!T627</f>
        <v/>
      </c>
      <c r="V634" s="8">
        <f>$AC$12+D634*$AC$13+E634*$AC$14+F634*$AC$15+G634*$AC$16+H634*$AC$17+I634*$AC$18+J634*$AC$19+K634*$AC$20+L634*$AC$21+M634*$AC$22+N634*$AC$23+O634*$AC$24+P634*$AC$25+Q634*$AC$26+R634*$AC$27+S634*$AC$28+T634*$AC$29+U634*$AC$30</f>
        <v/>
      </c>
      <c r="W634" s="8">
        <f>1/(1+EXP(-V634))</f>
        <v/>
      </c>
      <c r="X634" s="9">
        <f>-IF(C634=1,LN(W634),LN(1-W634))</f>
        <v/>
      </c>
      <c r="Y634" s="10">
        <f>IF(W634&gt;$AC$34,1,0)</f>
        <v/>
      </c>
      <c r="Z634">
        <f>IF(Y634=C634,1,0)</f>
        <v/>
      </c>
    </row>
    <row r="635">
      <c r="A635">
        <f>'1 prepared data'!A628</f>
        <v/>
      </c>
      <c r="B635" s="5">
        <f>'1 prepared data'!U628</f>
        <v/>
      </c>
      <c r="C635">
        <f>'1 prepared data'!B628</f>
        <v/>
      </c>
      <c r="D635" s="7">
        <f>'1 prepared data'!C628</f>
        <v/>
      </c>
      <c r="E635" s="7">
        <f>'1 prepared data'!D628</f>
        <v/>
      </c>
      <c r="F635" s="7">
        <f>'1 prepared data'!E628</f>
        <v/>
      </c>
      <c r="G635" s="7">
        <f>'1 prepared data'!F628</f>
        <v/>
      </c>
      <c r="H635" s="7">
        <f>'1 prepared data'!G628</f>
        <v/>
      </c>
      <c r="I635" s="7">
        <f>'1 prepared data'!H628</f>
        <v/>
      </c>
      <c r="J635" s="7">
        <f>'1 prepared data'!I628</f>
        <v/>
      </c>
      <c r="K635" s="7">
        <f>'1 prepared data'!J628</f>
        <v/>
      </c>
      <c r="L635" s="7">
        <f>'1 prepared data'!K628</f>
        <v/>
      </c>
      <c r="M635" s="7">
        <f>'1 prepared data'!L628</f>
        <v/>
      </c>
      <c r="N635" s="7">
        <f>'1 prepared data'!M628</f>
        <v/>
      </c>
      <c r="O635" s="7">
        <f>'1 prepared data'!N628</f>
        <v/>
      </c>
      <c r="P635" s="7">
        <f>'1 prepared data'!O628</f>
        <v/>
      </c>
      <c r="Q635" s="7">
        <f>'1 prepared data'!P628</f>
        <v/>
      </c>
      <c r="R635" s="7">
        <f>'1 prepared data'!Q628</f>
        <v/>
      </c>
      <c r="S635" s="7">
        <f>'1 prepared data'!R628</f>
        <v/>
      </c>
      <c r="T635" s="7">
        <f>'1 prepared data'!S628</f>
        <v/>
      </c>
      <c r="U635" s="7">
        <f>'1 prepared data'!T628</f>
        <v/>
      </c>
      <c r="V635" s="8">
        <f>$AC$12+D635*$AC$13+E635*$AC$14+F635*$AC$15+G635*$AC$16+H635*$AC$17+I635*$AC$18+J635*$AC$19+K635*$AC$20+L635*$AC$21+M635*$AC$22+N635*$AC$23+O635*$AC$24+P635*$AC$25+Q635*$AC$26+R635*$AC$27+S635*$AC$28+T635*$AC$29+U635*$AC$30</f>
        <v/>
      </c>
      <c r="W635" s="8">
        <f>1/(1+EXP(-V635))</f>
        <v/>
      </c>
      <c r="X635" s="9">
        <f>-IF(C635=1,LN(W635),LN(1-W635))</f>
        <v/>
      </c>
      <c r="Y635" s="10">
        <f>IF(W635&gt;$AC$34,1,0)</f>
        <v/>
      </c>
      <c r="Z635">
        <f>IF(Y635=C635,1,0)</f>
        <v/>
      </c>
    </row>
    <row r="636">
      <c r="A636">
        <f>'1 prepared data'!A629</f>
        <v/>
      </c>
      <c r="B636" s="5">
        <f>'1 prepared data'!U629</f>
        <v/>
      </c>
      <c r="C636">
        <f>'1 prepared data'!B629</f>
        <v/>
      </c>
      <c r="D636" s="7">
        <f>'1 prepared data'!C629</f>
        <v/>
      </c>
      <c r="E636" s="7">
        <f>'1 prepared data'!D629</f>
        <v/>
      </c>
      <c r="F636" s="7">
        <f>'1 prepared data'!E629</f>
        <v/>
      </c>
      <c r="G636" s="7">
        <f>'1 prepared data'!F629</f>
        <v/>
      </c>
      <c r="H636" s="7">
        <f>'1 prepared data'!G629</f>
        <v/>
      </c>
      <c r="I636" s="7">
        <f>'1 prepared data'!H629</f>
        <v/>
      </c>
      <c r="J636" s="7">
        <f>'1 prepared data'!I629</f>
        <v/>
      </c>
      <c r="K636" s="7">
        <f>'1 prepared data'!J629</f>
        <v/>
      </c>
      <c r="L636" s="7">
        <f>'1 prepared data'!K629</f>
        <v/>
      </c>
      <c r="M636" s="7">
        <f>'1 prepared data'!L629</f>
        <v/>
      </c>
      <c r="N636" s="7">
        <f>'1 prepared data'!M629</f>
        <v/>
      </c>
      <c r="O636" s="7">
        <f>'1 prepared data'!N629</f>
        <v/>
      </c>
      <c r="P636" s="7">
        <f>'1 prepared data'!O629</f>
        <v/>
      </c>
      <c r="Q636" s="7">
        <f>'1 prepared data'!P629</f>
        <v/>
      </c>
      <c r="R636" s="7">
        <f>'1 prepared data'!Q629</f>
        <v/>
      </c>
      <c r="S636" s="7">
        <f>'1 prepared data'!R629</f>
        <v/>
      </c>
      <c r="T636" s="7">
        <f>'1 prepared data'!S629</f>
        <v/>
      </c>
      <c r="U636" s="7">
        <f>'1 prepared data'!T629</f>
        <v/>
      </c>
      <c r="V636" s="8">
        <f>$AC$12+D636*$AC$13+E636*$AC$14+F636*$AC$15+G636*$AC$16+H636*$AC$17+I636*$AC$18+J636*$AC$19+K636*$AC$20+L636*$AC$21+M636*$AC$22+N636*$AC$23+O636*$AC$24+P636*$AC$25+Q636*$AC$26+R636*$AC$27+S636*$AC$28+T636*$AC$29+U636*$AC$30</f>
        <v/>
      </c>
      <c r="W636" s="8">
        <f>1/(1+EXP(-V636))</f>
        <v/>
      </c>
      <c r="X636" s="9">
        <f>-IF(C636=1,LN(W636),LN(1-W636))</f>
        <v/>
      </c>
      <c r="Y636" s="10">
        <f>IF(W636&gt;$AC$34,1,0)</f>
        <v/>
      </c>
      <c r="Z636">
        <f>IF(Y636=C636,1,0)</f>
        <v/>
      </c>
    </row>
    <row r="637">
      <c r="A637">
        <f>'1 prepared data'!A630</f>
        <v/>
      </c>
      <c r="B637" s="5">
        <f>'1 prepared data'!U630</f>
        <v/>
      </c>
      <c r="C637">
        <f>'1 prepared data'!B630</f>
        <v/>
      </c>
      <c r="D637" s="7">
        <f>'1 prepared data'!C630</f>
        <v/>
      </c>
      <c r="E637" s="7">
        <f>'1 prepared data'!D630</f>
        <v/>
      </c>
      <c r="F637" s="7">
        <f>'1 prepared data'!E630</f>
        <v/>
      </c>
      <c r="G637" s="7">
        <f>'1 prepared data'!F630</f>
        <v/>
      </c>
      <c r="H637" s="7">
        <f>'1 prepared data'!G630</f>
        <v/>
      </c>
      <c r="I637" s="7">
        <f>'1 prepared data'!H630</f>
        <v/>
      </c>
      <c r="J637" s="7">
        <f>'1 prepared data'!I630</f>
        <v/>
      </c>
      <c r="K637" s="7">
        <f>'1 prepared data'!J630</f>
        <v/>
      </c>
      <c r="L637" s="7">
        <f>'1 prepared data'!K630</f>
        <v/>
      </c>
      <c r="M637" s="7">
        <f>'1 prepared data'!L630</f>
        <v/>
      </c>
      <c r="N637" s="7">
        <f>'1 prepared data'!M630</f>
        <v/>
      </c>
      <c r="O637" s="7">
        <f>'1 prepared data'!N630</f>
        <v/>
      </c>
      <c r="P637" s="7">
        <f>'1 prepared data'!O630</f>
        <v/>
      </c>
      <c r="Q637" s="7">
        <f>'1 prepared data'!P630</f>
        <v/>
      </c>
      <c r="R637" s="7">
        <f>'1 prepared data'!Q630</f>
        <v/>
      </c>
      <c r="S637" s="7">
        <f>'1 prepared data'!R630</f>
        <v/>
      </c>
      <c r="T637" s="7">
        <f>'1 prepared data'!S630</f>
        <v/>
      </c>
      <c r="U637" s="7">
        <f>'1 prepared data'!T630</f>
        <v/>
      </c>
      <c r="V637" s="8">
        <f>$AC$12+D637*$AC$13+E637*$AC$14+F637*$AC$15+G637*$AC$16+H637*$AC$17+I637*$AC$18+J637*$AC$19+K637*$AC$20+L637*$AC$21+M637*$AC$22+N637*$AC$23+O637*$AC$24+P637*$AC$25+Q637*$AC$26+R637*$AC$27+S637*$AC$28+T637*$AC$29+U637*$AC$30</f>
        <v/>
      </c>
      <c r="W637" s="8">
        <f>1/(1+EXP(-V637))</f>
        <v/>
      </c>
      <c r="X637" s="9">
        <f>-IF(C637=1,LN(W637),LN(1-W637))</f>
        <v/>
      </c>
      <c r="Y637" s="10">
        <f>IF(W637&gt;$AC$34,1,0)</f>
        <v/>
      </c>
      <c r="Z637">
        <f>IF(Y637=C637,1,0)</f>
        <v/>
      </c>
    </row>
    <row r="638">
      <c r="A638">
        <f>'1 prepared data'!A631</f>
        <v/>
      </c>
      <c r="B638" s="5">
        <f>'1 prepared data'!U631</f>
        <v/>
      </c>
      <c r="C638">
        <f>'1 prepared data'!B631</f>
        <v/>
      </c>
      <c r="D638" s="7">
        <f>'1 prepared data'!C631</f>
        <v/>
      </c>
      <c r="E638" s="7">
        <f>'1 prepared data'!D631</f>
        <v/>
      </c>
      <c r="F638" s="7">
        <f>'1 prepared data'!E631</f>
        <v/>
      </c>
      <c r="G638" s="7">
        <f>'1 prepared data'!F631</f>
        <v/>
      </c>
      <c r="H638" s="7">
        <f>'1 prepared data'!G631</f>
        <v/>
      </c>
      <c r="I638" s="7">
        <f>'1 prepared data'!H631</f>
        <v/>
      </c>
      <c r="J638" s="7">
        <f>'1 prepared data'!I631</f>
        <v/>
      </c>
      <c r="K638" s="7">
        <f>'1 prepared data'!J631</f>
        <v/>
      </c>
      <c r="L638" s="7">
        <f>'1 prepared data'!K631</f>
        <v/>
      </c>
      <c r="M638" s="7">
        <f>'1 prepared data'!L631</f>
        <v/>
      </c>
      <c r="N638" s="7">
        <f>'1 prepared data'!M631</f>
        <v/>
      </c>
      <c r="O638" s="7">
        <f>'1 prepared data'!N631</f>
        <v/>
      </c>
      <c r="P638" s="7">
        <f>'1 prepared data'!O631</f>
        <v/>
      </c>
      <c r="Q638" s="7">
        <f>'1 prepared data'!P631</f>
        <v/>
      </c>
      <c r="R638" s="7">
        <f>'1 prepared data'!Q631</f>
        <v/>
      </c>
      <c r="S638" s="7">
        <f>'1 prepared data'!R631</f>
        <v/>
      </c>
      <c r="T638" s="7">
        <f>'1 prepared data'!S631</f>
        <v/>
      </c>
      <c r="U638" s="7">
        <f>'1 prepared data'!T631</f>
        <v/>
      </c>
      <c r="V638" s="8">
        <f>$AC$12+D638*$AC$13+E638*$AC$14+F638*$AC$15+G638*$AC$16+H638*$AC$17+I638*$AC$18+J638*$AC$19+K638*$AC$20+L638*$AC$21+M638*$AC$22+N638*$AC$23+O638*$AC$24+P638*$AC$25+Q638*$AC$26+R638*$AC$27+S638*$AC$28+T638*$AC$29+U638*$AC$30</f>
        <v/>
      </c>
      <c r="W638" s="8">
        <f>1/(1+EXP(-V638))</f>
        <v/>
      </c>
      <c r="X638" s="9">
        <f>-IF(C638=1,LN(W638),LN(1-W638))</f>
        <v/>
      </c>
      <c r="Y638" s="10">
        <f>IF(W638&gt;$AC$34,1,0)</f>
        <v/>
      </c>
      <c r="Z638">
        <f>IF(Y638=C638,1,0)</f>
        <v/>
      </c>
    </row>
    <row r="639">
      <c r="A639">
        <f>'1 prepared data'!A632</f>
        <v/>
      </c>
      <c r="B639" s="5">
        <f>'1 prepared data'!U632</f>
        <v/>
      </c>
      <c r="C639">
        <f>'1 prepared data'!B632</f>
        <v/>
      </c>
      <c r="D639" s="7">
        <f>'1 prepared data'!C632</f>
        <v/>
      </c>
      <c r="E639" s="7">
        <f>'1 prepared data'!D632</f>
        <v/>
      </c>
      <c r="F639" s="7">
        <f>'1 prepared data'!E632</f>
        <v/>
      </c>
      <c r="G639" s="7">
        <f>'1 prepared data'!F632</f>
        <v/>
      </c>
      <c r="H639" s="7">
        <f>'1 prepared data'!G632</f>
        <v/>
      </c>
      <c r="I639" s="7">
        <f>'1 prepared data'!H632</f>
        <v/>
      </c>
      <c r="J639" s="7">
        <f>'1 prepared data'!I632</f>
        <v/>
      </c>
      <c r="K639" s="7">
        <f>'1 prepared data'!J632</f>
        <v/>
      </c>
      <c r="L639" s="7">
        <f>'1 prepared data'!K632</f>
        <v/>
      </c>
      <c r="M639" s="7">
        <f>'1 prepared data'!L632</f>
        <v/>
      </c>
      <c r="N639" s="7">
        <f>'1 prepared data'!M632</f>
        <v/>
      </c>
      <c r="O639" s="7">
        <f>'1 prepared data'!N632</f>
        <v/>
      </c>
      <c r="P639" s="7">
        <f>'1 prepared data'!O632</f>
        <v/>
      </c>
      <c r="Q639" s="7">
        <f>'1 prepared data'!P632</f>
        <v/>
      </c>
      <c r="R639" s="7">
        <f>'1 prepared data'!Q632</f>
        <v/>
      </c>
      <c r="S639" s="7">
        <f>'1 prepared data'!R632</f>
        <v/>
      </c>
      <c r="T639" s="7">
        <f>'1 prepared data'!S632</f>
        <v/>
      </c>
      <c r="U639" s="7">
        <f>'1 prepared data'!T632</f>
        <v/>
      </c>
      <c r="V639" s="8">
        <f>$AC$12+D639*$AC$13+E639*$AC$14+F639*$AC$15+G639*$AC$16+H639*$AC$17+I639*$AC$18+J639*$AC$19+K639*$AC$20+L639*$AC$21+M639*$AC$22+N639*$AC$23+O639*$AC$24+P639*$AC$25+Q639*$AC$26+R639*$AC$27+S639*$AC$28+T639*$AC$29+U639*$AC$30</f>
        <v/>
      </c>
      <c r="W639" s="8">
        <f>1/(1+EXP(-V639))</f>
        <v/>
      </c>
      <c r="X639" s="9">
        <f>-IF(C639=1,LN(W639),LN(1-W639))</f>
        <v/>
      </c>
      <c r="Y639" s="10">
        <f>IF(W639&gt;$AC$34,1,0)</f>
        <v/>
      </c>
      <c r="Z639">
        <f>IF(Y639=C639,1,0)</f>
        <v/>
      </c>
    </row>
    <row r="640">
      <c r="A640">
        <f>'1 prepared data'!A633</f>
        <v/>
      </c>
      <c r="B640" s="5">
        <f>'1 prepared data'!U633</f>
        <v/>
      </c>
      <c r="C640">
        <f>'1 prepared data'!B633</f>
        <v/>
      </c>
      <c r="D640" s="7">
        <f>'1 prepared data'!C633</f>
        <v/>
      </c>
      <c r="E640" s="7">
        <f>'1 prepared data'!D633</f>
        <v/>
      </c>
      <c r="F640" s="7">
        <f>'1 prepared data'!E633</f>
        <v/>
      </c>
      <c r="G640" s="7">
        <f>'1 prepared data'!F633</f>
        <v/>
      </c>
      <c r="H640" s="7">
        <f>'1 prepared data'!G633</f>
        <v/>
      </c>
      <c r="I640" s="7">
        <f>'1 prepared data'!H633</f>
        <v/>
      </c>
      <c r="J640" s="7">
        <f>'1 prepared data'!I633</f>
        <v/>
      </c>
      <c r="K640" s="7">
        <f>'1 prepared data'!J633</f>
        <v/>
      </c>
      <c r="L640" s="7">
        <f>'1 prepared data'!K633</f>
        <v/>
      </c>
      <c r="M640" s="7">
        <f>'1 prepared data'!L633</f>
        <v/>
      </c>
      <c r="N640" s="7">
        <f>'1 prepared data'!M633</f>
        <v/>
      </c>
      <c r="O640" s="7">
        <f>'1 prepared data'!N633</f>
        <v/>
      </c>
      <c r="P640" s="7">
        <f>'1 prepared data'!O633</f>
        <v/>
      </c>
      <c r="Q640" s="7">
        <f>'1 prepared data'!P633</f>
        <v/>
      </c>
      <c r="R640" s="7">
        <f>'1 prepared data'!Q633</f>
        <v/>
      </c>
      <c r="S640" s="7">
        <f>'1 prepared data'!R633</f>
        <v/>
      </c>
      <c r="T640" s="7">
        <f>'1 prepared data'!S633</f>
        <v/>
      </c>
      <c r="U640" s="7">
        <f>'1 prepared data'!T633</f>
        <v/>
      </c>
      <c r="V640" s="8">
        <f>$AC$12+D640*$AC$13+E640*$AC$14+F640*$AC$15+G640*$AC$16+H640*$AC$17+I640*$AC$18+J640*$AC$19+K640*$AC$20+L640*$AC$21+M640*$AC$22+N640*$AC$23+O640*$AC$24+P640*$AC$25+Q640*$AC$26+R640*$AC$27+S640*$AC$28+T640*$AC$29+U640*$AC$30</f>
        <v/>
      </c>
      <c r="W640" s="8">
        <f>1/(1+EXP(-V640))</f>
        <v/>
      </c>
      <c r="X640" s="9">
        <f>-IF(C640=1,LN(W640),LN(1-W640))</f>
        <v/>
      </c>
      <c r="Y640" s="10">
        <f>IF(W640&gt;$AC$34,1,0)</f>
        <v/>
      </c>
      <c r="Z640">
        <f>IF(Y640=C640,1,0)</f>
        <v/>
      </c>
    </row>
    <row r="641">
      <c r="A641">
        <f>'1 prepared data'!A634</f>
        <v/>
      </c>
      <c r="B641" s="5">
        <f>'1 prepared data'!U634</f>
        <v/>
      </c>
      <c r="C641">
        <f>'1 prepared data'!B634</f>
        <v/>
      </c>
      <c r="D641" s="7">
        <f>'1 prepared data'!C634</f>
        <v/>
      </c>
      <c r="E641" s="7">
        <f>'1 prepared data'!D634</f>
        <v/>
      </c>
      <c r="F641" s="7">
        <f>'1 prepared data'!E634</f>
        <v/>
      </c>
      <c r="G641" s="7">
        <f>'1 prepared data'!F634</f>
        <v/>
      </c>
      <c r="H641" s="7">
        <f>'1 prepared data'!G634</f>
        <v/>
      </c>
      <c r="I641" s="7">
        <f>'1 prepared data'!H634</f>
        <v/>
      </c>
      <c r="J641" s="7">
        <f>'1 prepared data'!I634</f>
        <v/>
      </c>
      <c r="K641" s="7">
        <f>'1 prepared data'!J634</f>
        <v/>
      </c>
      <c r="L641" s="7">
        <f>'1 prepared data'!K634</f>
        <v/>
      </c>
      <c r="M641" s="7">
        <f>'1 prepared data'!L634</f>
        <v/>
      </c>
      <c r="N641" s="7">
        <f>'1 prepared data'!M634</f>
        <v/>
      </c>
      <c r="O641" s="7">
        <f>'1 prepared data'!N634</f>
        <v/>
      </c>
      <c r="P641" s="7">
        <f>'1 prepared data'!O634</f>
        <v/>
      </c>
      <c r="Q641" s="7">
        <f>'1 prepared data'!P634</f>
        <v/>
      </c>
      <c r="R641" s="7">
        <f>'1 prepared data'!Q634</f>
        <v/>
      </c>
      <c r="S641" s="7">
        <f>'1 prepared data'!R634</f>
        <v/>
      </c>
      <c r="T641" s="7">
        <f>'1 prepared data'!S634</f>
        <v/>
      </c>
      <c r="U641" s="7">
        <f>'1 prepared data'!T634</f>
        <v/>
      </c>
      <c r="V641" s="8">
        <f>$AC$12+D641*$AC$13+E641*$AC$14+F641*$AC$15+G641*$AC$16+H641*$AC$17+I641*$AC$18+J641*$AC$19+K641*$AC$20+L641*$AC$21+M641*$AC$22+N641*$AC$23+O641*$AC$24+P641*$AC$25+Q641*$AC$26+R641*$AC$27+S641*$AC$28+T641*$AC$29+U641*$AC$30</f>
        <v/>
      </c>
      <c r="W641" s="8">
        <f>1/(1+EXP(-V641))</f>
        <v/>
      </c>
      <c r="X641" s="9">
        <f>-IF(C641=1,LN(W641),LN(1-W641))</f>
        <v/>
      </c>
      <c r="Y641" s="10">
        <f>IF(W641&gt;$AC$34,1,0)</f>
        <v/>
      </c>
      <c r="Z641">
        <f>IF(Y641=C641,1,0)</f>
        <v/>
      </c>
    </row>
    <row r="642">
      <c r="A642">
        <f>'1 prepared data'!A635</f>
        <v/>
      </c>
      <c r="B642" s="5">
        <f>'1 prepared data'!U635</f>
        <v/>
      </c>
      <c r="C642">
        <f>'1 prepared data'!B635</f>
        <v/>
      </c>
      <c r="D642" s="7">
        <f>'1 prepared data'!C635</f>
        <v/>
      </c>
      <c r="E642" s="7">
        <f>'1 prepared data'!D635</f>
        <v/>
      </c>
      <c r="F642" s="7">
        <f>'1 prepared data'!E635</f>
        <v/>
      </c>
      <c r="G642" s="7">
        <f>'1 prepared data'!F635</f>
        <v/>
      </c>
      <c r="H642" s="7">
        <f>'1 prepared data'!G635</f>
        <v/>
      </c>
      <c r="I642" s="7">
        <f>'1 prepared data'!H635</f>
        <v/>
      </c>
      <c r="J642" s="7">
        <f>'1 prepared data'!I635</f>
        <v/>
      </c>
      <c r="K642" s="7">
        <f>'1 prepared data'!J635</f>
        <v/>
      </c>
      <c r="L642" s="7">
        <f>'1 prepared data'!K635</f>
        <v/>
      </c>
      <c r="M642" s="7">
        <f>'1 prepared data'!L635</f>
        <v/>
      </c>
      <c r="N642" s="7">
        <f>'1 prepared data'!M635</f>
        <v/>
      </c>
      <c r="O642" s="7">
        <f>'1 prepared data'!N635</f>
        <v/>
      </c>
      <c r="P642" s="7">
        <f>'1 prepared data'!O635</f>
        <v/>
      </c>
      <c r="Q642" s="7">
        <f>'1 prepared data'!P635</f>
        <v/>
      </c>
      <c r="R642" s="7">
        <f>'1 prepared data'!Q635</f>
        <v/>
      </c>
      <c r="S642" s="7">
        <f>'1 prepared data'!R635</f>
        <v/>
      </c>
      <c r="T642" s="7">
        <f>'1 prepared data'!S635</f>
        <v/>
      </c>
      <c r="U642" s="7">
        <f>'1 prepared data'!T635</f>
        <v/>
      </c>
      <c r="V642" s="8">
        <f>$AC$12+D642*$AC$13+E642*$AC$14+F642*$AC$15+G642*$AC$16+H642*$AC$17+I642*$AC$18+J642*$AC$19+K642*$AC$20+L642*$AC$21+M642*$AC$22+N642*$AC$23+O642*$AC$24+P642*$AC$25+Q642*$AC$26+R642*$AC$27+S642*$AC$28+T642*$AC$29+U642*$AC$30</f>
        <v/>
      </c>
      <c r="W642" s="8">
        <f>1/(1+EXP(-V642))</f>
        <v/>
      </c>
      <c r="X642" s="9">
        <f>-IF(C642=1,LN(W642),LN(1-W642))</f>
        <v/>
      </c>
      <c r="Y642" s="10">
        <f>IF(W642&gt;$AC$34,1,0)</f>
        <v/>
      </c>
      <c r="Z642">
        <f>IF(Y642=C642,1,0)</f>
        <v/>
      </c>
    </row>
    <row r="643">
      <c r="A643">
        <f>'1 prepared data'!A636</f>
        <v/>
      </c>
      <c r="B643" s="5">
        <f>'1 prepared data'!U636</f>
        <v/>
      </c>
      <c r="C643">
        <f>'1 prepared data'!B636</f>
        <v/>
      </c>
      <c r="D643" s="7">
        <f>'1 prepared data'!C636</f>
        <v/>
      </c>
      <c r="E643" s="7">
        <f>'1 prepared data'!D636</f>
        <v/>
      </c>
      <c r="F643" s="7">
        <f>'1 prepared data'!E636</f>
        <v/>
      </c>
      <c r="G643" s="7">
        <f>'1 prepared data'!F636</f>
        <v/>
      </c>
      <c r="H643" s="7">
        <f>'1 prepared data'!G636</f>
        <v/>
      </c>
      <c r="I643" s="7">
        <f>'1 prepared data'!H636</f>
        <v/>
      </c>
      <c r="J643" s="7">
        <f>'1 prepared data'!I636</f>
        <v/>
      </c>
      <c r="K643" s="7">
        <f>'1 prepared data'!J636</f>
        <v/>
      </c>
      <c r="L643" s="7">
        <f>'1 prepared data'!K636</f>
        <v/>
      </c>
      <c r="M643" s="7">
        <f>'1 prepared data'!L636</f>
        <v/>
      </c>
      <c r="N643" s="7">
        <f>'1 prepared data'!M636</f>
        <v/>
      </c>
      <c r="O643" s="7">
        <f>'1 prepared data'!N636</f>
        <v/>
      </c>
      <c r="P643" s="7">
        <f>'1 prepared data'!O636</f>
        <v/>
      </c>
      <c r="Q643" s="7">
        <f>'1 prepared data'!P636</f>
        <v/>
      </c>
      <c r="R643" s="7">
        <f>'1 prepared data'!Q636</f>
        <v/>
      </c>
      <c r="S643" s="7">
        <f>'1 prepared data'!R636</f>
        <v/>
      </c>
      <c r="T643" s="7">
        <f>'1 prepared data'!S636</f>
        <v/>
      </c>
      <c r="U643" s="7">
        <f>'1 prepared data'!T636</f>
        <v/>
      </c>
      <c r="V643" s="8">
        <f>$AC$12+D643*$AC$13+E643*$AC$14+F643*$AC$15+G643*$AC$16+H643*$AC$17+I643*$AC$18+J643*$AC$19+K643*$AC$20+L643*$AC$21+M643*$AC$22+N643*$AC$23+O643*$AC$24+P643*$AC$25+Q643*$AC$26+R643*$AC$27+S643*$AC$28+T643*$AC$29+U643*$AC$30</f>
        <v/>
      </c>
      <c r="W643" s="8">
        <f>1/(1+EXP(-V643))</f>
        <v/>
      </c>
      <c r="X643" s="9">
        <f>-IF(C643=1,LN(W643),LN(1-W643))</f>
        <v/>
      </c>
      <c r="Y643" s="10">
        <f>IF(W643&gt;$AC$34,1,0)</f>
        <v/>
      </c>
      <c r="Z643">
        <f>IF(Y643=C643,1,0)</f>
        <v/>
      </c>
    </row>
    <row r="644">
      <c r="A644">
        <f>'1 prepared data'!A637</f>
        <v/>
      </c>
      <c r="B644" s="5">
        <f>'1 prepared data'!U637</f>
        <v/>
      </c>
      <c r="C644">
        <f>'1 prepared data'!B637</f>
        <v/>
      </c>
      <c r="D644" s="7">
        <f>'1 prepared data'!C637</f>
        <v/>
      </c>
      <c r="E644" s="7">
        <f>'1 prepared data'!D637</f>
        <v/>
      </c>
      <c r="F644" s="7">
        <f>'1 prepared data'!E637</f>
        <v/>
      </c>
      <c r="G644" s="7">
        <f>'1 prepared data'!F637</f>
        <v/>
      </c>
      <c r="H644" s="7">
        <f>'1 prepared data'!G637</f>
        <v/>
      </c>
      <c r="I644" s="7">
        <f>'1 prepared data'!H637</f>
        <v/>
      </c>
      <c r="J644" s="7">
        <f>'1 prepared data'!I637</f>
        <v/>
      </c>
      <c r="K644" s="7">
        <f>'1 prepared data'!J637</f>
        <v/>
      </c>
      <c r="L644" s="7">
        <f>'1 prepared data'!K637</f>
        <v/>
      </c>
      <c r="M644" s="7">
        <f>'1 prepared data'!L637</f>
        <v/>
      </c>
      <c r="N644" s="7">
        <f>'1 prepared data'!M637</f>
        <v/>
      </c>
      <c r="O644" s="7">
        <f>'1 prepared data'!N637</f>
        <v/>
      </c>
      <c r="P644" s="7">
        <f>'1 prepared data'!O637</f>
        <v/>
      </c>
      <c r="Q644" s="7">
        <f>'1 prepared data'!P637</f>
        <v/>
      </c>
      <c r="R644" s="7">
        <f>'1 prepared data'!Q637</f>
        <v/>
      </c>
      <c r="S644" s="7">
        <f>'1 prepared data'!R637</f>
        <v/>
      </c>
      <c r="T644" s="7">
        <f>'1 prepared data'!S637</f>
        <v/>
      </c>
      <c r="U644" s="7">
        <f>'1 prepared data'!T637</f>
        <v/>
      </c>
      <c r="V644" s="8">
        <f>$AC$12+D644*$AC$13+E644*$AC$14+F644*$AC$15+G644*$AC$16+H644*$AC$17+I644*$AC$18+J644*$AC$19+K644*$AC$20+L644*$AC$21+M644*$AC$22+N644*$AC$23+O644*$AC$24+P644*$AC$25+Q644*$AC$26+R644*$AC$27+S644*$AC$28+T644*$AC$29+U644*$AC$30</f>
        <v/>
      </c>
      <c r="W644" s="8">
        <f>1/(1+EXP(-V644))</f>
        <v/>
      </c>
      <c r="X644" s="9">
        <f>-IF(C644=1,LN(W644),LN(1-W644))</f>
        <v/>
      </c>
      <c r="Y644" s="10">
        <f>IF(W644&gt;$AC$34,1,0)</f>
        <v/>
      </c>
      <c r="Z644">
        <f>IF(Y644=C644,1,0)</f>
        <v/>
      </c>
    </row>
    <row r="645">
      <c r="A645">
        <f>'1 prepared data'!A638</f>
        <v/>
      </c>
      <c r="B645" s="5">
        <f>'1 prepared data'!U638</f>
        <v/>
      </c>
      <c r="C645">
        <f>'1 prepared data'!B638</f>
        <v/>
      </c>
      <c r="D645" s="7">
        <f>'1 prepared data'!C638</f>
        <v/>
      </c>
      <c r="E645" s="7">
        <f>'1 prepared data'!D638</f>
        <v/>
      </c>
      <c r="F645" s="7">
        <f>'1 prepared data'!E638</f>
        <v/>
      </c>
      <c r="G645" s="7">
        <f>'1 prepared data'!F638</f>
        <v/>
      </c>
      <c r="H645" s="7">
        <f>'1 prepared data'!G638</f>
        <v/>
      </c>
      <c r="I645" s="7">
        <f>'1 prepared data'!H638</f>
        <v/>
      </c>
      <c r="J645" s="7">
        <f>'1 prepared data'!I638</f>
        <v/>
      </c>
      <c r="K645" s="7">
        <f>'1 prepared data'!J638</f>
        <v/>
      </c>
      <c r="L645" s="7">
        <f>'1 prepared data'!K638</f>
        <v/>
      </c>
      <c r="M645" s="7">
        <f>'1 prepared data'!L638</f>
        <v/>
      </c>
      <c r="N645" s="7">
        <f>'1 prepared data'!M638</f>
        <v/>
      </c>
      <c r="O645" s="7">
        <f>'1 prepared data'!N638</f>
        <v/>
      </c>
      <c r="P645" s="7">
        <f>'1 prepared data'!O638</f>
        <v/>
      </c>
      <c r="Q645" s="7">
        <f>'1 prepared data'!P638</f>
        <v/>
      </c>
      <c r="R645" s="7">
        <f>'1 prepared data'!Q638</f>
        <v/>
      </c>
      <c r="S645" s="7">
        <f>'1 prepared data'!R638</f>
        <v/>
      </c>
      <c r="T645" s="7">
        <f>'1 prepared data'!S638</f>
        <v/>
      </c>
      <c r="U645" s="7">
        <f>'1 prepared data'!T638</f>
        <v/>
      </c>
      <c r="V645" s="8">
        <f>$AC$12+D645*$AC$13+E645*$AC$14+F645*$AC$15+G645*$AC$16+H645*$AC$17+I645*$AC$18+J645*$AC$19+K645*$AC$20+L645*$AC$21+M645*$AC$22+N645*$AC$23+O645*$AC$24+P645*$AC$25+Q645*$AC$26+R645*$AC$27+S645*$AC$28+T645*$AC$29+U645*$AC$30</f>
        <v/>
      </c>
      <c r="W645" s="8">
        <f>1/(1+EXP(-V645))</f>
        <v/>
      </c>
      <c r="X645" s="9">
        <f>-IF(C645=1,LN(W645),LN(1-W645))</f>
        <v/>
      </c>
      <c r="Y645" s="10">
        <f>IF(W645&gt;$AC$34,1,0)</f>
        <v/>
      </c>
      <c r="Z645">
        <f>IF(Y645=C645,1,0)</f>
        <v/>
      </c>
    </row>
    <row r="646">
      <c r="A646">
        <f>'1 prepared data'!A639</f>
        <v/>
      </c>
      <c r="B646" s="5">
        <f>'1 prepared data'!U639</f>
        <v/>
      </c>
      <c r="C646">
        <f>'1 prepared data'!B639</f>
        <v/>
      </c>
      <c r="D646" s="7">
        <f>'1 prepared data'!C639</f>
        <v/>
      </c>
      <c r="E646" s="7">
        <f>'1 prepared data'!D639</f>
        <v/>
      </c>
      <c r="F646" s="7">
        <f>'1 prepared data'!E639</f>
        <v/>
      </c>
      <c r="G646" s="7">
        <f>'1 prepared data'!F639</f>
        <v/>
      </c>
      <c r="H646" s="7">
        <f>'1 prepared data'!G639</f>
        <v/>
      </c>
      <c r="I646" s="7">
        <f>'1 prepared data'!H639</f>
        <v/>
      </c>
      <c r="J646" s="7">
        <f>'1 prepared data'!I639</f>
        <v/>
      </c>
      <c r="K646" s="7">
        <f>'1 prepared data'!J639</f>
        <v/>
      </c>
      <c r="L646" s="7">
        <f>'1 prepared data'!K639</f>
        <v/>
      </c>
      <c r="M646" s="7">
        <f>'1 prepared data'!L639</f>
        <v/>
      </c>
      <c r="N646" s="7">
        <f>'1 prepared data'!M639</f>
        <v/>
      </c>
      <c r="O646" s="7">
        <f>'1 prepared data'!N639</f>
        <v/>
      </c>
      <c r="P646" s="7">
        <f>'1 prepared data'!O639</f>
        <v/>
      </c>
      <c r="Q646" s="7">
        <f>'1 prepared data'!P639</f>
        <v/>
      </c>
      <c r="R646" s="7">
        <f>'1 prepared data'!Q639</f>
        <v/>
      </c>
      <c r="S646" s="7">
        <f>'1 prepared data'!R639</f>
        <v/>
      </c>
      <c r="T646" s="7">
        <f>'1 prepared data'!S639</f>
        <v/>
      </c>
      <c r="U646" s="7">
        <f>'1 prepared data'!T639</f>
        <v/>
      </c>
      <c r="V646" s="8">
        <f>$AC$12+D646*$AC$13+E646*$AC$14+F646*$AC$15+G646*$AC$16+H646*$AC$17+I646*$AC$18+J646*$AC$19+K646*$AC$20+L646*$AC$21+M646*$AC$22+N646*$AC$23+O646*$AC$24+P646*$AC$25+Q646*$AC$26+R646*$AC$27+S646*$AC$28+T646*$AC$29+U646*$AC$30</f>
        <v/>
      </c>
      <c r="W646" s="8">
        <f>1/(1+EXP(-V646))</f>
        <v/>
      </c>
      <c r="X646" s="9">
        <f>-IF(C646=1,LN(W646),LN(1-W646))</f>
        <v/>
      </c>
      <c r="Y646" s="10">
        <f>IF(W646&gt;$AC$34,1,0)</f>
        <v/>
      </c>
      <c r="Z646">
        <f>IF(Y646=C646,1,0)</f>
        <v/>
      </c>
    </row>
    <row r="647">
      <c r="A647">
        <f>'1 prepared data'!A640</f>
        <v/>
      </c>
      <c r="B647" s="5">
        <f>'1 prepared data'!U640</f>
        <v/>
      </c>
      <c r="C647">
        <f>'1 prepared data'!B640</f>
        <v/>
      </c>
      <c r="D647" s="7">
        <f>'1 prepared data'!C640</f>
        <v/>
      </c>
      <c r="E647" s="7">
        <f>'1 prepared data'!D640</f>
        <v/>
      </c>
      <c r="F647" s="7">
        <f>'1 prepared data'!E640</f>
        <v/>
      </c>
      <c r="G647" s="7">
        <f>'1 prepared data'!F640</f>
        <v/>
      </c>
      <c r="H647" s="7">
        <f>'1 prepared data'!G640</f>
        <v/>
      </c>
      <c r="I647" s="7">
        <f>'1 prepared data'!H640</f>
        <v/>
      </c>
      <c r="J647" s="7">
        <f>'1 prepared data'!I640</f>
        <v/>
      </c>
      <c r="K647" s="7">
        <f>'1 prepared data'!J640</f>
        <v/>
      </c>
      <c r="L647" s="7">
        <f>'1 prepared data'!K640</f>
        <v/>
      </c>
      <c r="M647" s="7">
        <f>'1 prepared data'!L640</f>
        <v/>
      </c>
      <c r="N647" s="7">
        <f>'1 prepared data'!M640</f>
        <v/>
      </c>
      <c r="O647" s="7">
        <f>'1 prepared data'!N640</f>
        <v/>
      </c>
      <c r="P647" s="7">
        <f>'1 prepared data'!O640</f>
        <v/>
      </c>
      <c r="Q647" s="7">
        <f>'1 prepared data'!P640</f>
        <v/>
      </c>
      <c r="R647" s="7">
        <f>'1 prepared data'!Q640</f>
        <v/>
      </c>
      <c r="S647" s="7">
        <f>'1 prepared data'!R640</f>
        <v/>
      </c>
      <c r="T647" s="7">
        <f>'1 prepared data'!S640</f>
        <v/>
      </c>
      <c r="U647" s="7">
        <f>'1 prepared data'!T640</f>
        <v/>
      </c>
      <c r="V647" s="8">
        <f>$AC$12+D647*$AC$13+E647*$AC$14+F647*$AC$15+G647*$AC$16+H647*$AC$17+I647*$AC$18+J647*$AC$19+K647*$AC$20+L647*$AC$21+M647*$AC$22+N647*$AC$23+O647*$AC$24+P647*$AC$25+Q647*$AC$26+R647*$AC$27+S647*$AC$28+T647*$AC$29+U647*$AC$30</f>
        <v/>
      </c>
      <c r="W647" s="8">
        <f>1/(1+EXP(-V647))</f>
        <v/>
      </c>
      <c r="X647" s="9">
        <f>-IF(C647=1,LN(W647),LN(1-W647))</f>
        <v/>
      </c>
      <c r="Y647" s="10">
        <f>IF(W647&gt;$AC$34,1,0)</f>
        <v/>
      </c>
      <c r="Z647">
        <f>IF(Y647=C647,1,0)</f>
        <v/>
      </c>
    </row>
    <row r="648">
      <c r="A648">
        <f>'1 prepared data'!A641</f>
        <v/>
      </c>
      <c r="B648" s="5">
        <f>'1 prepared data'!U641</f>
        <v/>
      </c>
      <c r="C648">
        <f>'1 prepared data'!B641</f>
        <v/>
      </c>
      <c r="D648" s="7">
        <f>'1 prepared data'!C641</f>
        <v/>
      </c>
      <c r="E648" s="7">
        <f>'1 prepared data'!D641</f>
        <v/>
      </c>
      <c r="F648" s="7">
        <f>'1 prepared data'!E641</f>
        <v/>
      </c>
      <c r="G648" s="7">
        <f>'1 prepared data'!F641</f>
        <v/>
      </c>
      <c r="H648" s="7">
        <f>'1 prepared data'!G641</f>
        <v/>
      </c>
      <c r="I648" s="7">
        <f>'1 prepared data'!H641</f>
        <v/>
      </c>
      <c r="J648" s="7">
        <f>'1 prepared data'!I641</f>
        <v/>
      </c>
      <c r="K648" s="7">
        <f>'1 prepared data'!J641</f>
        <v/>
      </c>
      <c r="L648" s="7">
        <f>'1 prepared data'!K641</f>
        <v/>
      </c>
      <c r="M648" s="7">
        <f>'1 prepared data'!L641</f>
        <v/>
      </c>
      <c r="N648" s="7">
        <f>'1 prepared data'!M641</f>
        <v/>
      </c>
      <c r="O648" s="7">
        <f>'1 prepared data'!N641</f>
        <v/>
      </c>
      <c r="P648" s="7">
        <f>'1 prepared data'!O641</f>
        <v/>
      </c>
      <c r="Q648" s="7">
        <f>'1 prepared data'!P641</f>
        <v/>
      </c>
      <c r="R648" s="7">
        <f>'1 prepared data'!Q641</f>
        <v/>
      </c>
      <c r="S648" s="7">
        <f>'1 prepared data'!R641</f>
        <v/>
      </c>
      <c r="T648" s="7">
        <f>'1 prepared data'!S641</f>
        <v/>
      </c>
      <c r="U648" s="7">
        <f>'1 prepared data'!T641</f>
        <v/>
      </c>
      <c r="V648" s="8">
        <f>$AC$12+D648*$AC$13+E648*$AC$14+F648*$AC$15+G648*$AC$16+H648*$AC$17+I648*$AC$18+J648*$AC$19+K648*$AC$20+L648*$AC$21+M648*$AC$22+N648*$AC$23+O648*$AC$24+P648*$AC$25+Q648*$AC$26+R648*$AC$27+S648*$AC$28+T648*$AC$29+U648*$AC$30</f>
        <v/>
      </c>
      <c r="W648" s="8">
        <f>1/(1+EXP(-V648))</f>
        <v/>
      </c>
      <c r="X648" s="9">
        <f>-IF(C648=1,LN(W648),LN(1-W648))</f>
        <v/>
      </c>
      <c r="Y648" s="10">
        <f>IF(W648&gt;$AC$34,1,0)</f>
        <v/>
      </c>
      <c r="Z648">
        <f>IF(Y648=C648,1,0)</f>
        <v/>
      </c>
    </row>
    <row r="649">
      <c r="A649">
        <f>'1 prepared data'!A642</f>
        <v/>
      </c>
      <c r="B649" s="5">
        <f>'1 prepared data'!U642</f>
        <v/>
      </c>
      <c r="C649">
        <f>'1 prepared data'!B642</f>
        <v/>
      </c>
      <c r="D649" s="7">
        <f>'1 prepared data'!C642</f>
        <v/>
      </c>
      <c r="E649" s="7">
        <f>'1 prepared data'!D642</f>
        <v/>
      </c>
      <c r="F649" s="7">
        <f>'1 prepared data'!E642</f>
        <v/>
      </c>
      <c r="G649" s="7">
        <f>'1 prepared data'!F642</f>
        <v/>
      </c>
      <c r="H649" s="7">
        <f>'1 prepared data'!G642</f>
        <v/>
      </c>
      <c r="I649" s="7">
        <f>'1 prepared data'!H642</f>
        <v/>
      </c>
      <c r="J649" s="7">
        <f>'1 prepared data'!I642</f>
        <v/>
      </c>
      <c r="K649" s="7">
        <f>'1 prepared data'!J642</f>
        <v/>
      </c>
      <c r="L649" s="7">
        <f>'1 prepared data'!K642</f>
        <v/>
      </c>
      <c r="M649" s="7">
        <f>'1 prepared data'!L642</f>
        <v/>
      </c>
      <c r="N649" s="7">
        <f>'1 prepared data'!M642</f>
        <v/>
      </c>
      <c r="O649" s="7">
        <f>'1 prepared data'!N642</f>
        <v/>
      </c>
      <c r="P649" s="7">
        <f>'1 prepared data'!O642</f>
        <v/>
      </c>
      <c r="Q649" s="7">
        <f>'1 prepared data'!P642</f>
        <v/>
      </c>
      <c r="R649" s="7">
        <f>'1 prepared data'!Q642</f>
        <v/>
      </c>
      <c r="S649" s="7">
        <f>'1 prepared data'!R642</f>
        <v/>
      </c>
      <c r="T649" s="7">
        <f>'1 prepared data'!S642</f>
        <v/>
      </c>
      <c r="U649" s="7">
        <f>'1 prepared data'!T642</f>
        <v/>
      </c>
      <c r="V649" s="8">
        <f>$AC$12+D649*$AC$13+E649*$AC$14+F649*$AC$15+G649*$AC$16+H649*$AC$17+I649*$AC$18+J649*$AC$19+K649*$AC$20+L649*$AC$21+M649*$AC$22+N649*$AC$23+O649*$AC$24+P649*$AC$25+Q649*$AC$26+R649*$AC$27+S649*$AC$28+T649*$AC$29+U649*$AC$30</f>
        <v/>
      </c>
      <c r="W649" s="8">
        <f>1/(1+EXP(-V649))</f>
        <v/>
      </c>
      <c r="X649" s="9">
        <f>-IF(C649=1,LN(W649),LN(1-W649))</f>
        <v/>
      </c>
      <c r="Y649" s="10">
        <f>IF(W649&gt;$AC$34,1,0)</f>
        <v/>
      </c>
      <c r="Z649">
        <f>IF(Y649=C649,1,0)</f>
        <v/>
      </c>
    </row>
    <row r="650">
      <c r="A650">
        <f>'1 prepared data'!A643</f>
        <v/>
      </c>
      <c r="B650" s="5">
        <f>'1 prepared data'!U643</f>
        <v/>
      </c>
      <c r="C650">
        <f>'1 prepared data'!B643</f>
        <v/>
      </c>
      <c r="D650" s="7">
        <f>'1 prepared data'!C643</f>
        <v/>
      </c>
      <c r="E650" s="7">
        <f>'1 prepared data'!D643</f>
        <v/>
      </c>
      <c r="F650" s="7">
        <f>'1 prepared data'!E643</f>
        <v/>
      </c>
      <c r="G650" s="7">
        <f>'1 prepared data'!F643</f>
        <v/>
      </c>
      <c r="H650" s="7">
        <f>'1 prepared data'!G643</f>
        <v/>
      </c>
      <c r="I650" s="7">
        <f>'1 prepared data'!H643</f>
        <v/>
      </c>
      <c r="J650" s="7">
        <f>'1 prepared data'!I643</f>
        <v/>
      </c>
      <c r="K650" s="7">
        <f>'1 prepared data'!J643</f>
        <v/>
      </c>
      <c r="L650" s="7">
        <f>'1 prepared data'!K643</f>
        <v/>
      </c>
      <c r="M650" s="7">
        <f>'1 prepared data'!L643</f>
        <v/>
      </c>
      <c r="N650" s="7">
        <f>'1 prepared data'!M643</f>
        <v/>
      </c>
      <c r="O650" s="7">
        <f>'1 prepared data'!N643</f>
        <v/>
      </c>
      <c r="P650" s="7">
        <f>'1 prepared data'!O643</f>
        <v/>
      </c>
      <c r="Q650" s="7">
        <f>'1 prepared data'!P643</f>
        <v/>
      </c>
      <c r="R650" s="7">
        <f>'1 prepared data'!Q643</f>
        <v/>
      </c>
      <c r="S650" s="7">
        <f>'1 prepared data'!R643</f>
        <v/>
      </c>
      <c r="T650" s="7">
        <f>'1 prepared data'!S643</f>
        <v/>
      </c>
      <c r="U650" s="7">
        <f>'1 prepared data'!T643</f>
        <v/>
      </c>
      <c r="V650" s="8">
        <f>$AC$12+D650*$AC$13+E650*$AC$14+F650*$AC$15+G650*$AC$16+H650*$AC$17+I650*$AC$18+J650*$AC$19+K650*$AC$20+L650*$AC$21+M650*$AC$22+N650*$AC$23+O650*$AC$24+P650*$AC$25+Q650*$AC$26+R650*$AC$27+S650*$AC$28+T650*$AC$29+U650*$AC$30</f>
        <v/>
      </c>
      <c r="W650" s="8">
        <f>1/(1+EXP(-V650))</f>
        <v/>
      </c>
      <c r="X650" s="9">
        <f>-IF(C650=1,LN(W650),LN(1-W650))</f>
        <v/>
      </c>
      <c r="Y650" s="10">
        <f>IF(W650&gt;$AC$34,1,0)</f>
        <v/>
      </c>
      <c r="Z650">
        <f>IF(Y650=C650,1,0)</f>
        <v/>
      </c>
    </row>
    <row r="651">
      <c r="A651">
        <f>'1 prepared data'!A644</f>
        <v/>
      </c>
      <c r="B651" s="5">
        <f>'1 prepared data'!U644</f>
        <v/>
      </c>
      <c r="C651">
        <f>'1 prepared data'!B644</f>
        <v/>
      </c>
      <c r="D651" s="7">
        <f>'1 prepared data'!C644</f>
        <v/>
      </c>
      <c r="E651" s="7">
        <f>'1 prepared data'!D644</f>
        <v/>
      </c>
      <c r="F651" s="7">
        <f>'1 prepared data'!E644</f>
        <v/>
      </c>
      <c r="G651" s="7">
        <f>'1 prepared data'!F644</f>
        <v/>
      </c>
      <c r="H651" s="7">
        <f>'1 prepared data'!G644</f>
        <v/>
      </c>
      <c r="I651" s="7">
        <f>'1 prepared data'!H644</f>
        <v/>
      </c>
      <c r="J651" s="7">
        <f>'1 prepared data'!I644</f>
        <v/>
      </c>
      <c r="K651" s="7">
        <f>'1 prepared data'!J644</f>
        <v/>
      </c>
      <c r="L651" s="7">
        <f>'1 prepared data'!K644</f>
        <v/>
      </c>
      <c r="M651" s="7">
        <f>'1 prepared data'!L644</f>
        <v/>
      </c>
      <c r="N651" s="7">
        <f>'1 prepared data'!M644</f>
        <v/>
      </c>
      <c r="O651" s="7">
        <f>'1 prepared data'!N644</f>
        <v/>
      </c>
      <c r="P651" s="7">
        <f>'1 prepared data'!O644</f>
        <v/>
      </c>
      <c r="Q651" s="7">
        <f>'1 prepared data'!P644</f>
        <v/>
      </c>
      <c r="R651" s="7">
        <f>'1 prepared data'!Q644</f>
        <v/>
      </c>
      <c r="S651" s="7">
        <f>'1 prepared data'!R644</f>
        <v/>
      </c>
      <c r="T651" s="7">
        <f>'1 prepared data'!S644</f>
        <v/>
      </c>
      <c r="U651" s="7">
        <f>'1 prepared data'!T644</f>
        <v/>
      </c>
      <c r="V651" s="8">
        <f>$AC$12+D651*$AC$13+E651*$AC$14+F651*$AC$15+G651*$AC$16+H651*$AC$17+I651*$AC$18+J651*$AC$19+K651*$AC$20+L651*$AC$21+M651*$AC$22+N651*$AC$23+O651*$AC$24+P651*$AC$25+Q651*$AC$26+R651*$AC$27+S651*$AC$28+T651*$AC$29+U651*$AC$30</f>
        <v/>
      </c>
      <c r="W651" s="8">
        <f>1/(1+EXP(-V651))</f>
        <v/>
      </c>
      <c r="X651" s="9">
        <f>-IF(C651=1,LN(W651),LN(1-W651))</f>
        <v/>
      </c>
      <c r="Y651" s="10">
        <f>IF(W651&gt;$AC$34,1,0)</f>
        <v/>
      </c>
      <c r="Z651">
        <f>IF(Y651=C651,1,0)</f>
        <v/>
      </c>
    </row>
    <row r="652">
      <c r="A652">
        <f>'1 prepared data'!A645</f>
        <v/>
      </c>
      <c r="B652" s="5">
        <f>'1 prepared data'!U645</f>
        <v/>
      </c>
      <c r="C652">
        <f>'1 prepared data'!B645</f>
        <v/>
      </c>
      <c r="D652" s="7">
        <f>'1 prepared data'!C645</f>
        <v/>
      </c>
      <c r="E652" s="7">
        <f>'1 prepared data'!D645</f>
        <v/>
      </c>
      <c r="F652" s="7">
        <f>'1 prepared data'!E645</f>
        <v/>
      </c>
      <c r="G652" s="7">
        <f>'1 prepared data'!F645</f>
        <v/>
      </c>
      <c r="H652" s="7">
        <f>'1 prepared data'!G645</f>
        <v/>
      </c>
      <c r="I652" s="7">
        <f>'1 prepared data'!H645</f>
        <v/>
      </c>
      <c r="J652" s="7">
        <f>'1 prepared data'!I645</f>
        <v/>
      </c>
      <c r="K652" s="7">
        <f>'1 prepared data'!J645</f>
        <v/>
      </c>
      <c r="L652" s="7">
        <f>'1 prepared data'!K645</f>
        <v/>
      </c>
      <c r="M652" s="7">
        <f>'1 prepared data'!L645</f>
        <v/>
      </c>
      <c r="N652" s="7">
        <f>'1 prepared data'!M645</f>
        <v/>
      </c>
      <c r="O652" s="7">
        <f>'1 prepared data'!N645</f>
        <v/>
      </c>
      <c r="P652" s="7">
        <f>'1 prepared data'!O645</f>
        <v/>
      </c>
      <c r="Q652" s="7">
        <f>'1 prepared data'!P645</f>
        <v/>
      </c>
      <c r="R652" s="7">
        <f>'1 prepared data'!Q645</f>
        <v/>
      </c>
      <c r="S652" s="7">
        <f>'1 prepared data'!R645</f>
        <v/>
      </c>
      <c r="T652" s="7">
        <f>'1 prepared data'!S645</f>
        <v/>
      </c>
      <c r="U652" s="7">
        <f>'1 prepared data'!T645</f>
        <v/>
      </c>
      <c r="V652" s="8">
        <f>$AC$12+D652*$AC$13+E652*$AC$14+F652*$AC$15+G652*$AC$16+H652*$AC$17+I652*$AC$18+J652*$AC$19+K652*$AC$20+L652*$AC$21+M652*$AC$22+N652*$AC$23+O652*$AC$24+P652*$AC$25+Q652*$AC$26+R652*$AC$27+S652*$AC$28+T652*$AC$29+U652*$AC$30</f>
        <v/>
      </c>
      <c r="W652" s="8">
        <f>1/(1+EXP(-V652))</f>
        <v/>
      </c>
      <c r="X652" s="9">
        <f>-IF(C652=1,LN(W652),LN(1-W652))</f>
        <v/>
      </c>
      <c r="Y652" s="10">
        <f>IF(W652&gt;$AC$34,1,0)</f>
        <v/>
      </c>
      <c r="Z652">
        <f>IF(Y652=C652,1,0)</f>
        <v/>
      </c>
    </row>
    <row r="653">
      <c r="A653">
        <f>'1 prepared data'!A646</f>
        <v/>
      </c>
      <c r="B653" s="5">
        <f>'1 prepared data'!U646</f>
        <v/>
      </c>
      <c r="C653">
        <f>'1 prepared data'!B646</f>
        <v/>
      </c>
      <c r="D653" s="7">
        <f>'1 prepared data'!C646</f>
        <v/>
      </c>
      <c r="E653" s="7">
        <f>'1 prepared data'!D646</f>
        <v/>
      </c>
      <c r="F653" s="7">
        <f>'1 prepared data'!E646</f>
        <v/>
      </c>
      <c r="G653" s="7">
        <f>'1 prepared data'!F646</f>
        <v/>
      </c>
      <c r="H653" s="7">
        <f>'1 prepared data'!G646</f>
        <v/>
      </c>
      <c r="I653" s="7">
        <f>'1 prepared data'!H646</f>
        <v/>
      </c>
      <c r="J653" s="7">
        <f>'1 prepared data'!I646</f>
        <v/>
      </c>
      <c r="K653" s="7">
        <f>'1 prepared data'!J646</f>
        <v/>
      </c>
      <c r="L653" s="7">
        <f>'1 prepared data'!K646</f>
        <v/>
      </c>
      <c r="M653" s="7">
        <f>'1 prepared data'!L646</f>
        <v/>
      </c>
      <c r="N653" s="7">
        <f>'1 prepared data'!M646</f>
        <v/>
      </c>
      <c r="O653" s="7">
        <f>'1 prepared data'!N646</f>
        <v/>
      </c>
      <c r="P653" s="7">
        <f>'1 prepared data'!O646</f>
        <v/>
      </c>
      <c r="Q653" s="7">
        <f>'1 prepared data'!P646</f>
        <v/>
      </c>
      <c r="R653" s="7">
        <f>'1 prepared data'!Q646</f>
        <v/>
      </c>
      <c r="S653" s="7">
        <f>'1 prepared data'!R646</f>
        <v/>
      </c>
      <c r="T653" s="7">
        <f>'1 prepared data'!S646</f>
        <v/>
      </c>
      <c r="U653" s="7">
        <f>'1 prepared data'!T646</f>
        <v/>
      </c>
      <c r="V653" s="8">
        <f>$AC$12+D653*$AC$13+E653*$AC$14+F653*$AC$15+G653*$AC$16+H653*$AC$17+I653*$AC$18+J653*$AC$19+K653*$AC$20+L653*$AC$21+M653*$AC$22+N653*$AC$23+O653*$AC$24+P653*$AC$25+Q653*$AC$26+R653*$AC$27+S653*$AC$28+T653*$AC$29+U653*$AC$30</f>
        <v/>
      </c>
      <c r="W653" s="8">
        <f>1/(1+EXP(-V653))</f>
        <v/>
      </c>
      <c r="X653" s="9">
        <f>-IF(C653=1,LN(W653),LN(1-W653))</f>
        <v/>
      </c>
      <c r="Y653" s="10">
        <f>IF(W653&gt;$AC$34,1,0)</f>
        <v/>
      </c>
      <c r="Z653">
        <f>IF(Y653=C653,1,0)</f>
        <v/>
      </c>
    </row>
    <row r="654">
      <c r="A654">
        <f>'1 prepared data'!A647</f>
        <v/>
      </c>
      <c r="B654" s="5">
        <f>'1 prepared data'!U647</f>
        <v/>
      </c>
      <c r="C654">
        <f>'1 prepared data'!B647</f>
        <v/>
      </c>
      <c r="D654" s="7">
        <f>'1 prepared data'!C647</f>
        <v/>
      </c>
      <c r="E654" s="7">
        <f>'1 prepared data'!D647</f>
        <v/>
      </c>
      <c r="F654" s="7">
        <f>'1 prepared data'!E647</f>
        <v/>
      </c>
      <c r="G654" s="7">
        <f>'1 prepared data'!F647</f>
        <v/>
      </c>
      <c r="H654" s="7">
        <f>'1 prepared data'!G647</f>
        <v/>
      </c>
      <c r="I654" s="7">
        <f>'1 prepared data'!H647</f>
        <v/>
      </c>
      <c r="J654" s="7">
        <f>'1 prepared data'!I647</f>
        <v/>
      </c>
      <c r="K654" s="7">
        <f>'1 prepared data'!J647</f>
        <v/>
      </c>
      <c r="L654" s="7">
        <f>'1 prepared data'!K647</f>
        <v/>
      </c>
      <c r="M654" s="7">
        <f>'1 prepared data'!L647</f>
        <v/>
      </c>
      <c r="N654" s="7">
        <f>'1 prepared data'!M647</f>
        <v/>
      </c>
      <c r="O654" s="7">
        <f>'1 prepared data'!N647</f>
        <v/>
      </c>
      <c r="P654" s="7">
        <f>'1 prepared data'!O647</f>
        <v/>
      </c>
      <c r="Q654" s="7">
        <f>'1 prepared data'!P647</f>
        <v/>
      </c>
      <c r="R654" s="7">
        <f>'1 prepared data'!Q647</f>
        <v/>
      </c>
      <c r="S654" s="7">
        <f>'1 prepared data'!R647</f>
        <v/>
      </c>
      <c r="T654" s="7">
        <f>'1 prepared data'!S647</f>
        <v/>
      </c>
      <c r="U654" s="7">
        <f>'1 prepared data'!T647</f>
        <v/>
      </c>
      <c r="V654" s="8">
        <f>$AC$12+D654*$AC$13+E654*$AC$14+F654*$AC$15+G654*$AC$16+H654*$AC$17+I654*$AC$18+J654*$AC$19+K654*$AC$20+L654*$AC$21+M654*$AC$22+N654*$AC$23+O654*$AC$24+P654*$AC$25+Q654*$AC$26+R654*$AC$27+S654*$AC$28+T654*$AC$29+U654*$AC$30</f>
        <v/>
      </c>
      <c r="W654" s="8">
        <f>1/(1+EXP(-V654))</f>
        <v/>
      </c>
      <c r="X654" s="9">
        <f>-IF(C654=1,LN(W654),LN(1-W654))</f>
        <v/>
      </c>
      <c r="Y654" s="10">
        <f>IF(W654&gt;$AC$34,1,0)</f>
        <v/>
      </c>
      <c r="Z654">
        <f>IF(Y654=C654,1,0)</f>
        <v/>
      </c>
    </row>
    <row r="655">
      <c r="A655">
        <f>'1 prepared data'!A648</f>
        <v/>
      </c>
      <c r="B655" s="5">
        <f>'1 prepared data'!U648</f>
        <v/>
      </c>
      <c r="C655">
        <f>'1 prepared data'!B648</f>
        <v/>
      </c>
      <c r="D655" s="7">
        <f>'1 prepared data'!C648</f>
        <v/>
      </c>
      <c r="E655" s="7">
        <f>'1 prepared data'!D648</f>
        <v/>
      </c>
      <c r="F655" s="7">
        <f>'1 prepared data'!E648</f>
        <v/>
      </c>
      <c r="G655" s="7">
        <f>'1 prepared data'!F648</f>
        <v/>
      </c>
      <c r="H655" s="7">
        <f>'1 prepared data'!G648</f>
        <v/>
      </c>
      <c r="I655" s="7">
        <f>'1 prepared data'!H648</f>
        <v/>
      </c>
      <c r="J655" s="7">
        <f>'1 prepared data'!I648</f>
        <v/>
      </c>
      <c r="K655" s="7">
        <f>'1 prepared data'!J648</f>
        <v/>
      </c>
      <c r="L655" s="7">
        <f>'1 prepared data'!K648</f>
        <v/>
      </c>
      <c r="M655" s="7">
        <f>'1 prepared data'!L648</f>
        <v/>
      </c>
      <c r="N655" s="7">
        <f>'1 prepared data'!M648</f>
        <v/>
      </c>
      <c r="O655" s="7">
        <f>'1 prepared data'!N648</f>
        <v/>
      </c>
      <c r="P655" s="7">
        <f>'1 prepared data'!O648</f>
        <v/>
      </c>
      <c r="Q655" s="7">
        <f>'1 prepared data'!P648</f>
        <v/>
      </c>
      <c r="R655" s="7">
        <f>'1 prepared data'!Q648</f>
        <v/>
      </c>
      <c r="S655" s="7">
        <f>'1 prepared data'!R648</f>
        <v/>
      </c>
      <c r="T655" s="7">
        <f>'1 prepared data'!S648</f>
        <v/>
      </c>
      <c r="U655" s="7">
        <f>'1 prepared data'!T648</f>
        <v/>
      </c>
      <c r="V655" s="8">
        <f>$AC$12+D655*$AC$13+E655*$AC$14+F655*$AC$15+G655*$AC$16+H655*$AC$17+I655*$AC$18+J655*$AC$19+K655*$AC$20+L655*$AC$21+M655*$AC$22+N655*$AC$23+O655*$AC$24+P655*$AC$25+Q655*$AC$26+R655*$AC$27+S655*$AC$28+T655*$AC$29+U655*$AC$30</f>
        <v/>
      </c>
      <c r="W655" s="8">
        <f>1/(1+EXP(-V655))</f>
        <v/>
      </c>
      <c r="X655" s="9">
        <f>-IF(C655=1,LN(W655),LN(1-W655))</f>
        <v/>
      </c>
      <c r="Y655" s="10">
        <f>IF(W655&gt;$AC$34,1,0)</f>
        <v/>
      </c>
      <c r="Z655">
        <f>IF(Y655=C655,1,0)</f>
        <v/>
      </c>
    </row>
    <row r="656">
      <c r="A656">
        <f>'1 prepared data'!A649</f>
        <v/>
      </c>
      <c r="B656" s="5">
        <f>'1 prepared data'!U649</f>
        <v/>
      </c>
      <c r="C656">
        <f>'1 prepared data'!B649</f>
        <v/>
      </c>
      <c r="D656" s="7">
        <f>'1 prepared data'!C649</f>
        <v/>
      </c>
      <c r="E656" s="7">
        <f>'1 prepared data'!D649</f>
        <v/>
      </c>
      <c r="F656" s="7">
        <f>'1 prepared data'!E649</f>
        <v/>
      </c>
      <c r="G656" s="7">
        <f>'1 prepared data'!F649</f>
        <v/>
      </c>
      <c r="H656" s="7">
        <f>'1 prepared data'!G649</f>
        <v/>
      </c>
      <c r="I656" s="7">
        <f>'1 prepared data'!H649</f>
        <v/>
      </c>
      <c r="J656" s="7">
        <f>'1 prepared data'!I649</f>
        <v/>
      </c>
      <c r="K656" s="7">
        <f>'1 prepared data'!J649</f>
        <v/>
      </c>
      <c r="L656" s="7">
        <f>'1 prepared data'!K649</f>
        <v/>
      </c>
      <c r="M656" s="7">
        <f>'1 prepared data'!L649</f>
        <v/>
      </c>
      <c r="N656" s="7">
        <f>'1 prepared data'!M649</f>
        <v/>
      </c>
      <c r="O656" s="7">
        <f>'1 prepared data'!N649</f>
        <v/>
      </c>
      <c r="P656" s="7">
        <f>'1 prepared data'!O649</f>
        <v/>
      </c>
      <c r="Q656" s="7">
        <f>'1 prepared data'!P649</f>
        <v/>
      </c>
      <c r="R656" s="7">
        <f>'1 prepared data'!Q649</f>
        <v/>
      </c>
      <c r="S656" s="7">
        <f>'1 prepared data'!R649</f>
        <v/>
      </c>
      <c r="T656" s="7">
        <f>'1 prepared data'!S649</f>
        <v/>
      </c>
      <c r="U656" s="7">
        <f>'1 prepared data'!T649</f>
        <v/>
      </c>
      <c r="V656" s="8">
        <f>$AC$12+D656*$AC$13+E656*$AC$14+F656*$AC$15+G656*$AC$16+H656*$AC$17+I656*$AC$18+J656*$AC$19+K656*$AC$20+L656*$AC$21+M656*$AC$22+N656*$AC$23+O656*$AC$24+P656*$AC$25+Q656*$AC$26+R656*$AC$27+S656*$AC$28+T656*$AC$29+U656*$AC$30</f>
        <v/>
      </c>
      <c r="W656" s="8">
        <f>1/(1+EXP(-V656))</f>
        <v/>
      </c>
      <c r="X656" s="9">
        <f>-IF(C656=1,LN(W656),LN(1-W656))</f>
        <v/>
      </c>
      <c r="Y656" s="10">
        <f>IF(W656&gt;$AC$34,1,0)</f>
        <v/>
      </c>
      <c r="Z656">
        <f>IF(Y656=C656,1,0)</f>
        <v/>
      </c>
    </row>
    <row r="657">
      <c r="A657">
        <f>'1 prepared data'!A650</f>
        <v/>
      </c>
      <c r="B657" s="5">
        <f>'1 prepared data'!U650</f>
        <v/>
      </c>
      <c r="C657">
        <f>'1 prepared data'!B650</f>
        <v/>
      </c>
      <c r="D657" s="7">
        <f>'1 prepared data'!C650</f>
        <v/>
      </c>
      <c r="E657" s="7">
        <f>'1 prepared data'!D650</f>
        <v/>
      </c>
      <c r="F657" s="7">
        <f>'1 prepared data'!E650</f>
        <v/>
      </c>
      <c r="G657" s="7">
        <f>'1 prepared data'!F650</f>
        <v/>
      </c>
      <c r="H657" s="7">
        <f>'1 prepared data'!G650</f>
        <v/>
      </c>
      <c r="I657" s="7">
        <f>'1 prepared data'!H650</f>
        <v/>
      </c>
      <c r="J657" s="7">
        <f>'1 prepared data'!I650</f>
        <v/>
      </c>
      <c r="K657" s="7">
        <f>'1 prepared data'!J650</f>
        <v/>
      </c>
      <c r="L657" s="7">
        <f>'1 prepared data'!K650</f>
        <v/>
      </c>
      <c r="M657" s="7">
        <f>'1 prepared data'!L650</f>
        <v/>
      </c>
      <c r="N657" s="7">
        <f>'1 prepared data'!M650</f>
        <v/>
      </c>
      <c r="O657" s="7">
        <f>'1 prepared data'!N650</f>
        <v/>
      </c>
      <c r="P657" s="7">
        <f>'1 prepared data'!O650</f>
        <v/>
      </c>
      <c r="Q657" s="7">
        <f>'1 prepared data'!P650</f>
        <v/>
      </c>
      <c r="R657" s="7">
        <f>'1 prepared data'!Q650</f>
        <v/>
      </c>
      <c r="S657" s="7">
        <f>'1 prepared data'!R650</f>
        <v/>
      </c>
      <c r="T657" s="7">
        <f>'1 prepared data'!S650</f>
        <v/>
      </c>
      <c r="U657" s="7">
        <f>'1 prepared data'!T650</f>
        <v/>
      </c>
      <c r="V657" s="8">
        <f>$AC$12+D657*$AC$13+E657*$AC$14+F657*$AC$15+G657*$AC$16+H657*$AC$17+I657*$AC$18+J657*$AC$19+K657*$AC$20+L657*$AC$21+M657*$AC$22+N657*$AC$23+O657*$AC$24+P657*$AC$25+Q657*$AC$26+R657*$AC$27+S657*$AC$28+T657*$AC$29+U657*$AC$30</f>
        <v/>
      </c>
      <c r="W657" s="8">
        <f>1/(1+EXP(-V657))</f>
        <v/>
      </c>
      <c r="X657" s="9">
        <f>-IF(C657=1,LN(W657),LN(1-W657))</f>
        <v/>
      </c>
      <c r="Y657" s="10">
        <f>IF(W657&gt;$AC$34,1,0)</f>
        <v/>
      </c>
      <c r="Z657">
        <f>IF(Y657=C657,1,0)</f>
        <v/>
      </c>
    </row>
    <row r="658">
      <c r="A658">
        <f>'1 prepared data'!A651</f>
        <v/>
      </c>
      <c r="B658" s="5">
        <f>'1 prepared data'!U651</f>
        <v/>
      </c>
      <c r="C658">
        <f>'1 prepared data'!B651</f>
        <v/>
      </c>
      <c r="D658" s="7">
        <f>'1 prepared data'!C651</f>
        <v/>
      </c>
      <c r="E658" s="7">
        <f>'1 prepared data'!D651</f>
        <v/>
      </c>
      <c r="F658" s="7">
        <f>'1 prepared data'!E651</f>
        <v/>
      </c>
      <c r="G658" s="7">
        <f>'1 prepared data'!F651</f>
        <v/>
      </c>
      <c r="H658" s="7">
        <f>'1 prepared data'!G651</f>
        <v/>
      </c>
      <c r="I658" s="7">
        <f>'1 prepared data'!H651</f>
        <v/>
      </c>
      <c r="J658" s="7">
        <f>'1 prepared data'!I651</f>
        <v/>
      </c>
      <c r="K658" s="7">
        <f>'1 prepared data'!J651</f>
        <v/>
      </c>
      <c r="L658" s="7">
        <f>'1 prepared data'!K651</f>
        <v/>
      </c>
      <c r="M658" s="7">
        <f>'1 prepared data'!L651</f>
        <v/>
      </c>
      <c r="N658" s="7">
        <f>'1 prepared data'!M651</f>
        <v/>
      </c>
      <c r="O658" s="7">
        <f>'1 prepared data'!N651</f>
        <v/>
      </c>
      <c r="P658" s="7">
        <f>'1 prepared data'!O651</f>
        <v/>
      </c>
      <c r="Q658" s="7">
        <f>'1 prepared data'!P651</f>
        <v/>
      </c>
      <c r="R658" s="7">
        <f>'1 prepared data'!Q651</f>
        <v/>
      </c>
      <c r="S658" s="7">
        <f>'1 prepared data'!R651</f>
        <v/>
      </c>
      <c r="T658" s="7">
        <f>'1 prepared data'!S651</f>
        <v/>
      </c>
      <c r="U658" s="7">
        <f>'1 prepared data'!T651</f>
        <v/>
      </c>
      <c r="V658" s="8">
        <f>$AC$12+D658*$AC$13+E658*$AC$14+F658*$AC$15+G658*$AC$16+H658*$AC$17+I658*$AC$18+J658*$AC$19+K658*$AC$20+L658*$AC$21+M658*$AC$22+N658*$AC$23+O658*$AC$24+P658*$AC$25+Q658*$AC$26+R658*$AC$27+S658*$AC$28+T658*$AC$29+U658*$AC$30</f>
        <v/>
      </c>
      <c r="W658" s="8">
        <f>1/(1+EXP(-V658))</f>
        <v/>
      </c>
      <c r="X658" s="9">
        <f>-IF(C658=1,LN(W658),LN(1-W658))</f>
        <v/>
      </c>
      <c r="Y658" s="10">
        <f>IF(W658&gt;$AC$34,1,0)</f>
        <v/>
      </c>
      <c r="Z658">
        <f>IF(Y658=C658,1,0)</f>
        <v/>
      </c>
    </row>
    <row r="659">
      <c r="A659">
        <f>'1 prepared data'!A652</f>
        <v/>
      </c>
      <c r="B659" s="5">
        <f>'1 prepared data'!U652</f>
        <v/>
      </c>
      <c r="C659">
        <f>'1 prepared data'!B652</f>
        <v/>
      </c>
      <c r="D659" s="7">
        <f>'1 prepared data'!C652</f>
        <v/>
      </c>
      <c r="E659" s="7">
        <f>'1 prepared data'!D652</f>
        <v/>
      </c>
      <c r="F659" s="7">
        <f>'1 prepared data'!E652</f>
        <v/>
      </c>
      <c r="G659" s="7">
        <f>'1 prepared data'!F652</f>
        <v/>
      </c>
      <c r="H659" s="7">
        <f>'1 prepared data'!G652</f>
        <v/>
      </c>
      <c r="I659" s="7">
        <f>'1 prepared data'!H652</f>
        <v/>
      </c>
      <c r="J659" s="7">
        <f>'1 prepared data'!I652</f>
        <v/>
      </c>
      <c r="K659" s="7">
        <f>'1 prepared data'!J652</f>
        <v/>
      </c>
      <c r="L659" s="7">
        <f>'1 prepared data'!K652</f>
        <v/>
      </c>
      <c r="M659" s="7">
        <f>'1 prepared data'!L652</f>
        <v/>
      </c>
      <c r="N659" s="7">
        <f>'1 prepared data'!M652</f>
        <v/>
      </c>
      <c r="O659" s="7">
        <f>'1 prepared data'!N652</f>
        <v/>
      </c>
      <c r="P659" s="7">
        <f>'1 prepared data'!O652</f>
        <v/>
      </c>
      <c r="Q659" s="7">
        <f>'1 prepared data'!P652</f>
        <v/>
      </c>
      <c r="R659" s="7">
        <f>'1 prepared data'!Q652</f>
        <v/>
      </c>
      <c r="S659" s="7">
        <f>'1 prepared data'!R652</f>
        <v/>
      </c>
      <c r="T659" s="7">
        <f>'1 prepared data'!S652</f>
        <v/>
      </c>
      <c r="U659" s="7">
        <f>'1 prepared data'!T652</f>
        <v/>
      </c>
      <c r="V659" s="8">
        <f>$AC$12+D659*$AC$13+E659*$AC$14+F659*$AC$15+G659*$AC$16+H659*$AC$17+I659*$AC$18+J659*$AC$19+K659*$AC$20+L659*$AC$21+M659*$AC$22+N659*$AC$23+O659*$AC$24+P659*$AC$25+Q659*$AC$26+R659*$AC$27+S659*$AC$28+T659*$AC$29+U659*$AC$30</f>
        <v/>
      </c>
      <c r="W659" s="8">
        <f>1/(1+EXP(-V659))</f>
        <v/>
      </c>
      <c r="X659" s="9">
        <f>-IF(C659=1,LN(W659),LN(1-W659))</f>
        <v/>
      </c>
      <c r="Y659" s="10">
        <f>IF(W659&gt;$AC$34,1,0)</f>
        <v/>
      </c>
      <c r="Z659">
        <f>IF(Y659=C659,1,0)</f>
        <v/>
      </c>
    </row>
    <row r="660">
      <c r="A660">
        <f>'1 prepared data'!A653</f>
        <v/>
      </c>
      <c r="B660" s="5">
        <f>'1 prepared data'!U653</f>
        <v/>
      </c>
      <c r="C660">
        <f>'1 prepared data'!B653</f>
        <v/>
      </c>
      <c r="D660" s="7">
        <f>'1 prepared data'!C653</f>
        <v/>
      </c>
      <c r="E660" s="7">
        <f>'1 prepared data'!D653</f>
        <v/>
      </c>
      <c r="F660" s="7">
        <f>'1 prepared data'!E653</f>
        <v/>
      </c>
      <c r="G660" s="7">
        <f>'1 prepared data'!F653</f>
        <v/>
      </c>
      <c r="H660" s="7">
        <f>'1 prepared data'!G653</f>
        <v/>
      </c>
      <c r="I660" s="7">
        <f>'1 prepared data'!H653</f>
        <v/>
      </c>
      <c r="J660" s="7">
        <f>'1 prepared data'!I653</f>
        <v/>
      </c>
      <c r="K660" s="7">
        <f>'1 prepared data'!J653</f>
        <v/>
      </c>
      <c r="L660" s="7">
        <f>'1 prepared data'!K653</f>
        <v/>
      </c>
      <c r="M660" s="7">
        <f>'1 prepared data'!L653</f>
        <v/>
      </c>
      <c r="N660" s="7">
        <f>'1 prepared data'!M653</f>
        <v/>
      </c>
      <c r="O660" s="7">
        <f>'1 prepared data'!N653</f>
        <v/>
      </c>
      <c r="P660" s="7">
        <f>'1 prepared data'!O653</f>
        <v/>
      </c>
      <c r="Q660" s="7">
        <f>'1 prepared data'!P653</f>
        <v/>
      </c>
      <c r="R660" s="7">
        <f>'1 prepared data'!Q653</f>
        <v/>
      </c>
      <c r="S660" s="7">
        <f>'1 prepared data'!R653</f>
        <v/>
      </c>
      <c r="T660" s="7">
        <f>'1 prepared data'!S653</f>
        <v/>
      </c>
      <c r="U660" s="7">
        <f>'1 prepared data'!T653</f>
        <v/>
      </c>
      <c r="V660" s="8">
        <f>$AC$12+D660*$AC$13+E660*$AC$14+F660*$AC$15+G660*$AC$16+H660*$AC$17+I660*$AC$18+J660*$AC$19+K660*$AC$20+L660*$AC$21+M660*$AC$22+N660*$AC$23+O660*$AC$24+P660*$AC$25+Q660*$AC$26+R660*$AC$27+S660*$AC$28+T660*$AC$29+U660*$AC$30</f>
        <v/>
      </c>
      <c r="W660" s="8">
        <f>1/(1+EXP(-V660))</f>
        <v/>
      </c>
      <c r="X660" s="9">
        <f>-IF(C660=1,LN(W660),LN(1-W660))</f>
        <v/>
      </c>
      <c r="Y660" s="10">
        <f>IF(W660&gt;$AC$34,1,0)</f>
        <v/>
      </c>
      <c r="Z660">
        <f>IF(Y660=C660,1,0)</f>
        <v/>
      </c>
    </row>
    <row r="661">
      <c r="A661">
        <f>'1 prepared data'!A654</f>
        <v/>
      </c>
      <c r="B661" s="5">
        <f>'1 prepared data'!U654</f>
        <v/>
      </c>
      <c r="C661">
        <f>'1 prepared data'!B654</f>
        <v/>
      </c>
      <c r="D661" s="7">
        <f>'1 prepared data'!C654</f>
        <v/>
      </c>
      <c r="E661" s="7">
        <f>'1 prepared data'!D654</f>
        <v/>
      </c>
      <c r="F661" s="7">
        <f>'1 prepared data'!E654</f>
        <v/>
      </c>
      <c r="G661" s="7">
        <f>'1 prepared data'!F654</f>
        <v/>
      </c>
      <c r="H661" s="7">
        <f>'1 prepared data'!G654</f>
        <v/>
      </c>
      <c r="I661" s="7">
        <f>'1 prepared data'!H654</f>
        <v/>
      </c>
      <c r="J661" s="7">
        <f>'1 prepared data'!I654</f>
        <v/>
      </c>
      <c r="K661" s="7">
        <f>'1 prepared data'!J654</f>
        <v/>
      </c>
      <c r="L661" s="7">
        <f>'1 prepared data'!K654</f>
        <v/>
      </c>
      <c r="M661" s="7">
        <f>'1 prepared data'!L654</f>
        <v/>
      </c>
      <c r="N661" s="7">
        <f>'1 prepared data'!M654</f>
        <v/>
      </c>
      <c r="O661" s="7">
        <f>'1 prepared data'!N654</f>
        <v/>
      </c>
      <c r="P661" s="7">
        <f>'1 prepared data'!O654</f>
        <v/>
      </c>
      <c r="Q661" s="7">
        <f>'1 prepared data'!P654</f>
        <v/>
      </c>
      <c r="R661" s="7">
        <f>'1 prepared data'!Q654</f>
        <v/>
      </c>
      <c r="S661" s="7">
        <f>'1 prepared data'!R654</f>
        <v/>
      </c>
      <c r="T661" s="7">
        <f>'1 prepared data'!S654</f>
        <v/>
      </c>
      <c r="U661" s="7">
        <f>'1 prepared data'!T654</f>
        <v/>
      </c>
      <c r="V661" s="8">
        <f>$AC$12+D661*$AC$13+E661*$AC$14+F661*$AC$15+G661*$AC$16+H661*$AC$17+I661*$AC$18+J661*$AC$19+K661*$AC$20+L661*$AC$21+M661*$AC$22+N661*$AC$23+O661*$AC$24+P661*$AC$25+Q661*$AC$26+R661*$AC$27+S661*$AC$28+T661*$AC$29+U661*$AC$30</f>
        <v/>
      </c>
      <c r="W661" s="8">
        <f>1/(1+EXP(-V661))</f>
        <v/>
      </c>
      <c r="X661" s="9">
        <f>-IF(C661=1,LN(W661),LN(1-W661))</f>
        <v/>
      </c>
      <c r="Y661" s="10">
        <f>IF(W661&gt;$AC$34,1,0)</f>
        <v/>
      </c>
      <c r="Z661">
        <f>IF(Y661=C661,1,0)</f>
        <v/>
      </c>
    </row>
    <row r="662">
      <c r="A662">
        <f>'1 prepared data'!A655</f>
        <v/>
      </c>
      <c r="B662" s="5">
        <f>'1 prepared data'!U655</f>
        <v/>
      </c>
      <c r="C662">
        <f>'1 prepared data'!B655</f>
        <v/>
      </c>
      <c r="D662" s="7">
        <f>'1 prepared data'!C655</f>
        <v/>
      </c>
      <c r="E662" s="7">
        <f>'1 prepared data'!D655</f>
        <v/>
      </c>
      <c r="F662" s="7">
        <f>'1 prepared data'!E655</f>
        <v/>
      </c>
      <c r="G662" s="7">
        <f>'1 prepared data'!F655</f>
        <v/>
      </c>
      <c r="H662" s="7">
        <f>'1 prepared data'!G655</f>
        <v/>
      </c>
      <c r="I662" s="7">
        <f>'1 prepared data'!H655</f>
        <v/>
      </c>
      <c r="J662" s="7">
        <f>'1 prepared data'!I655</f>
        <v/>
      </c>
      <c r="K662" s="7">
        <f>'1 prepared data'!J655</f>
        <v/>
      </c>
      <c r="L662" s="7">
        <f>'1 prepared data'!K655</f>
        <v/>
      </c>
      <c r="M662" s="7">
        <f>'1 prepared data'!L655</f>
        <v/>
      </c>
      <c r="N662" s="7">
        <f>'1 prepared data'!M655</f>
        <v/>
      </c>
      <c r="O662" s="7">
        <f>'1 prepared data'!N655</f>
        <v/>
      </c>
      <c r="P662" s="7">
        <f>'1 prepared data'!O655</f>
        <v/>
      </c>
      <c r="Q662" s="7">
        <f>'1 prepared data'!P655</f>
        <v/>
      </c>
      <c r="R662" s="7">
        <f>'1 prepared data'!Q655</f>
        <v/>
      </c>
      <c r="S662" s="7">
        <f>'1 prepared data'!R655</f>
        <v/>
      </c>
      <c r="T662" s="7">
        <f>'1 prepared data'!S655</f>
        <v/>
      </c>
      <c r="U662" s="7">
        <f>'1 prepared data'!T655</f>
        <v/>
      </c>
      <c r="V662" s="8">
        <f>$AC$12+D662*$AC$13+E662*$AC$14+F662*$AC$15+G662*$AC$16+H662*$AC$17+I662*$AC$18+J662*$AC$19+K662*$AC$20+L662*$AC$21+M662*$AC$22+N662*$AC$23+O662*$AC$24+P662*$AC$25+Q662*$AC$26+R662*$AC$27+S662*$AC$28+T662*$AC$29+U662*$AC$30</f>
        <v/>
      </c>
      <c r="W662" s="8">
        <f>1/(1+EXP(-V662))</f>
        <v/>
      </c>
      <c r="X662" s="9">
        <f>-IF(C662=1,LN(W662),LN(1-W662))</f>
        <v/>
      </c>
      <c r="Y662" s="10">
        <f>IF(W662&gt;$AC$34,1,0)</f>
        <v/>
      </c>
      <c r="Z662">
        <f>IF(Y662=C662,1,0)</f>
        <v/>
      </c>
    </row>
    <row r="663">
      <c r="A663">
        <f>'1 prepared data'!A656</f>
        <v/>
      </c>
      <c r="B663" s="5">
        <f>'1 prepared data'!U656</f>
        <v/>
      </c>
      <c r="C663">
        <f>'1 prepared data'!B656</f>
        <v/>
      </c>
      <c r="D663" s="7">
        <f>'1 prepared data'!C656</f>
        <v/>
      </c>
      <c r="E663" s="7">
        <f>'1 prepared data'!D656</f>
        <v/>
      </c>
      <c r="F663" s="7">
        <f>'1 prepared data'!E656</f>
        <v/>
      </c>
      <c r="G663" s="7">
        <f>'1 prepared data'!F656</f>
        <v/>
      </c>
      <c r="H663" s="7">
        <f>'1 prepared data'!G656</f>
        <v/>
      </c>
      <c r="I663" s="7">
        <f>'1 prepared data'!H656</f>
        <v/>
      </c>
      <c r="J663" s="7">
        <f>'1 prepared data'!I656</f>
        <v/>
      </c>
      <c r="K663" s="7">
        <f>'1 prepared data'!J656</f>
        <v/>
      </c>
      <c r="L663" s="7">
        <f>'1 prepared data'!K656</f>
        <v/>
      </c>
      <c r="M663" s="7">
        <f>'1 prepared data'!L656</f>
        <v/>
      </c>
      <c r="N663" s="7">
        <f>'1 prepared data'!M656</f>
        <v/>
      </c>
      <c r="O663" s="7">
        <f>'1 prepared data'!N656</f>
        <v/>
      </c>
      <c r="P663" s="7">
        <f>'1 prepared data'!O656</f>
        <v/>
      </c>
      <c r="Q663" s="7">
        <f>'1 prepared data'!P656</f>
        <v/>
      </c>
      <c r="R663" s="7">
        <f>'1 prepared data'!Q656</f>
        <v/>
      </c>
      <c r="S663" s="7">
        <f>'1 prepared data'!R656</f>
        <v/>
      </c>
      <c r="T663" s="7">
        <f>'1 prepared data'!S656</f>
        <v/>
      </c>
      <c r="U663" s="7">
        <f>'1 prepared data'!T656</f>
        <v/>
      </c>
      <c r="V663" s="8">
        <f>$AC$12+D663*$AC$13+E663*$AC$14+F663*$AC$15+G663*$AC$16+H663*$AC$17+I663*$AC$18+J663*$AC$19+K663*$AC$20+L663*$AC$21+M663*$AC$22+N663*$AC$23+O663*$AC$24+P663*$AC$25+Q663*$AC$26+R663*$AC$27+S663*$AC$28+T663*$AC$29+U663*$AC$30</f>
        <v/>
      </c>
      <c r="W663" s="8">
        <f>1/(1+EXP(-V663))</f>
        <v/>
      </c>
      <c r="X663" s="9">
        <f>-IF(C663=1,LN(W663),LN(1-W663))</f>
        <v/>
      </c>
      <c r="Y663" s="10">
        <f>IF(W663&gt;$AC$34,1,0)</f>
        <v/>
      </c>
      <c r="Z663">
        <f>IF(Y663=C663,1,0)</f>
        <v/>
      </c>
    </row>
    <row r="664">
      <c r="A664">
        <f>'1 prepared data'!A657</f>
        <v/>
      </c>
      <c r="B664" s="5">
        <f>'1 prepared data'!U657</f>
        <v/>
      </c>
      <c r="C664">
        <f>'1 prepared data'!B657</f>
        <v/>
      </c>
      <c r="D664" s="7">
        <f>'1 prepared data'!C657</f>
        <v/>
      </c>
      <c r="E664" s="7">
        <f>'1 prepared data'!D657</f>
        <v/>
      </c>
      <c r="F664" s="7">
        <f>'1 prepared data'!E657</f>
        <v/>
      </c>
      <c r="G664" s="7">
        <f>'1 prepared data'!F657</f>
        <v/>
      </c>
      <c r="H664" s="7">
        <f>'1 prepared data'!G657</f>
        <v/>
      </c>
      <c r="I664" s="7">
        <f>'1 prepared data'!H657</f>
        <v/>
      </c>
      <c r="J664" s="7">
        <f>'1 prepared data'!I657</f>
        <v/>
      </c>
      <c r="K664" s="7">
        <f>'1 prepared data'!J657</f>
        <v/>
      </c>
      <c r="L664" s="7">
        <f>'1 prepared data'!K657</f>
        <v/>
      </c>
      <c r="M664" s="7">
        <f>'1 prepared data'!L657</f>
        <v/>
      </c>
      <c r="N664" s="7">
        <f>'1 prepared data'!M657</f>
        <v/>
      </c>
      <c r="O664" s="7">
        <f>'1 prepared data'!N657</f>
        <v/>
      </c>
      <c r="P664" s="7">
        <f>'1 prepared data'!O657</f>
        <v/>
      </c>
      <c r="Q664" s="7">
        <f>'1 prepared data'!P657</f>
        <v/>
      </c>
      <c r="R664" s="7">
        <f>'1 prepared data'!Q657</f>
        <v/>
      </c>
      <c r="S664" s="7">
        <f>'1 prepared data'!R657</f>
        <v/>
      </c>
      <c r="T664" s="7">
        <f>'1 prepared data'!S657</f>
        <v/>
      </c>
      <c r="U664" s="7">
        <f>'1 prepared data'!T657</f>
        <v/>
      </c>
      <c r="V664" s="8">
        <f>$AC$12+D664*$AC$13+E664*$AC$14+F664*$AC$15+G664*$AC$16+H664*$AC$17+I664*$AC$18+J664*$AC$19+K664*$AC$20+L664*$AC$21+M664*$AC$22+N664*$AC$23+O664*$AC$24+P664*$AC$25+Q664*$AC$26+R664*$AC$27+S664*$AC$28+T664*$AC$29+U664*$AC$30</f>
        <v/>
      </c>
      <c r="W664" s="8">
        <f>1/(1+EXP(-V664))</f>
        <v/>
      </c>
      <c r="X664" s="9">
        <f>-IF(C664=1,LN(W664),LN(1-W664))</f>
        <v/>
      </c>
      <c r="Y664" s="10">
        <f>IF(W664&gt;$AC$34,1,0)</f>
        <v/>
      </c>
      <c r="Z664">
        <f>IF(Y664=C664,1,0)</f>
        <v/>
      </c>
    </row>
    <row r="665">
      <c r="A665">
        <f>'1 prepared data'!A658</f>
        <v/>
      </c>
      <c r="B665" s="5">
        <f>'1 prepared data'!U658</f>
        <v/>
      </c>
      <c r="C665">
        <f>'1 prepared data'!B658</f>
        <v/>
      </c>
      <c r="D665" s="7">
        <f>'1 prepared data'!C658</f>
        <v/>
      </c>
      <c r="E665" s="7">
        <f>'1 prepared data'!D658</f>
        <v/>
      </c>
      <c r="F665" s="7">
        <f>'1 prepared data'!E658</f>
        <v/>
      </c>
      <c r="G665" s="7">
        <f>'1 prepared data'!F658</f>
        <v/>
      </c>
      <c r="H665" s="7">
        <f>'1 prepared data'!G658</f>
        <v/>
      </c>
      <c r="I665" s="7">
        <f>'1 prepared data'!H658</f>
        <v/>
      </c>
      <c r="J665" s="7">
        <f>'1 prepared data'!I658</f>
        <v/>
      </c>
      <c r="K665" s="7">
        <f>'1 prepared data'!J658</f>
        <v/>
      </c>
      <c r="L665" s="7">
        <f>'1 prepared data'!K658</f>
        <v/>
      </c>
      <c r="M665" s="7">
        <f>'1 prepared data'!L658</f>
        <v/>
      </c>
      <c r="N665" s="7">
        <f>'1 prepared data'!M658</f>
        <v/>
      </c>
      <c r="O665" s="7">
        <f>'1 prepared data'!N658</f>
        <v/>
      </c>
      <c r="P665" s="7">
        <f>'1 prepared data'!O658</f>
        <v/>
      </c>
      <c r="Q665" s="7">
        <f>'1 prepared data'!P658</f>
        <v/>
      </c>
      <c r="R665" s="7">
        <f>'1 prepared data'!Q658</f>
        <v/>
      </c>
      <c r="S665" s="7">
        <f>'1 prepared data'!R658</f>
        <v/>
      </c>
      <c r="T665" s="7">
        <f>'1 prepared data'!S658</f>
        <v/>
      </c>
      <c r="U665" s="7">
        <f>'1 prepared data'!T658</f>
        <v/>
      </c>
      <c r="V665" s="8">
        <f>$AC$12+D665*$AC$13+E665*$AC$14+F665*$AC$15+G665*$AC$16+H665*$AC$17+I665*$AC$18+J665*$AC$19+K665*$AC$20+L665*$AC$21+M665*$AC$22+N665*$AC$23+O665*$AC$24+P665*$AC$25+Q665*$AC$26+R665*$AC$27+S665*$AC$28+T665*$AC$29+U665*$AC$30</f>
        <v/>
      </c>
      <c r="W665" s="8">
        <f>1/(1+EXP(-V665))</f>
        <v/>
      </c>
      <c r="X665" s="9">
        <f>-IF(C665=1,LN(W665),LN(1-W665))</f>
        <v/>
      </c>
      <c r="Y665" s="10">
        <f>IF(W665&gt;$AC$34,1,0)</f>
        <v/>
      </c>
      <c r="Z665">
        <f>IF(Y665=C665,1,0)</f>
        <v/>
      </c>
    </row>
    <row r="666">
      <c r="A666">
        <f>'1 prepared data'!A659</f>
        <v/>
      </c>
      <c r="B666" s="5">
        <f>'1 prepared data'!U659</f>
        <v/>
      </c>
      <c r="C666">
        <f>'1 prepared data'!B659</f>
        <v/>
      </c>
      <c r="D666" s="7">
        <f>'1 prepared data'!C659</f>
        <v/>
      </c>
      <c r="E666" s="7">
        <f>'1 prepared data'!D659</f>
        <v/>
      </c>
      <c r="F666" s="7">
        <f>'1 prepared data'!E659</f>
        <v/>
      </c>
      <c r="G666" s="7">
        <f>'1 prepared data'!F659</f>
        <v/>
      </c>
      <c r="H666" s="7">
        <f>'1 prepared data'!G659</f>
        <v/>
      </c>
      <c r="I666" s="7">
        <f>'1 prepared data'!H659</f>
        <v/>
      </c>
      <c r="J666" s="7">
        <f>'1 prepared data'!I659</f>
        <v/>
      </c>
      <c r="K666" s="7">
        <f>'1 prepared data'!J659</f>
        <v/>
      </c>
      <c r="L666" s="7">
        <f>'1 prepared data'!K659</f>
        <v/>
      </c>
      <c r="M666" s="7">
        <f>'1 prepared data'!L659</f>
        <v/>
      </c>
      <c r="N666" s="7">
        <f>'1 prepared data'!M659</f>
        <v/>
      </c>
      <c r="O666" s="7">
        <f>'1 prepared data'!N659</f>
        <v/>
      </c>
      <c r="P666" s="7">
        <f>'1 prepared data'!O659</f>
        <v/>
      </c>
      <c r="Q666" s="7">
        <f>'1 prepared data'!P659</f>
        <v/>
      </c>
      <c r="R666" s="7">
        <f>'1 prepared data'!Q659</f>
        <v/>
      </c>
      <c r="S666" s="7">
        <f>'1 prepared data'!R659</f>
        <v/>
      </c>
      <c r="T666" s="7">
        <f>'1 prepared data'!S659</f>
        <v/>
      </c>
      <c r="U666" s="7">
        <f>'1 prepared data'!T659</f>
        <v/>
      </c>
      <c r="V666" s="8">
        <f>$AC$12+D666*$AC$13+E666*$AC$14+F666*$AC$15+G666*$AC$16+H666*$AC$17+I666*$AC$18+J666*$AC$19+K666*$AC$20+L666*$AC$21+M666*$AC$22+N666*$AC$23+O666*$AC$24+P666*$AC$25+Q666*$AC$26+R666*$AC$27+S666*$AC$28+T666*$AC$29+U666*$AC$30</f>
        <v/>
      </c>
      <c r="W666" s="8">
        <f>1/(1+EXP(-V666))</f>
        <v/>
      </c>
      <c r="X666" s="9">
        <f>-IF(C666=1,LN(W666),LN(1-W666))</f>
        <v/>
      </c>
      <c r="Y666" s="10">
        <f>IF(W666&gt;$AC$34,1,0)</f>
        <v/>
      </c>
      <c r="Z666">
        <f>IF(Y666=C666,1,0)</f>
        <v/>
      </c>
    </row>
    <row r="667">
      <c r="A667">
        <f>'1 prepared data'!A660</f>
        <v/>
      </c>
      <c r="B667" s="5">
        <f>'1 prepared data'!U660</f>
        <v/>
      </c>
      <c r="C667">
        <f>'1 prepared data'!B660</f>
        <v/>
      </c>
      <c r="D667" s="7">
        <f>'1 prepared data'!C660</f>
        <v/>
      </c>
      <c r="E667" s="7">
        <f>'1 prepared data'!D660</f>
        <v/>
      </c>
      <c r="F667" s="7">
        <f>'1 prepared data'!E660</f>
        <v/>
      </c>
      <c r="G667" s="7">
        <f>'1 prepared data'!F660</f>
        <v/>
      </c>
      <c r="H667" s="7">
        <f>'1 prepared data'!G660</f>
        <v/>
      </c>
      <c r="I667" s="7">
        <f>'1 prepared data'!H660</f>
        <v/>
      </c>
      <c r="J667" s="7">
        <f>'1 prepared data'!I660</f>
        <v/>
      </c>
      <c r="K667" s="7">
        <f>'1 prepared data'!J660</f>
        <v/>
      </c>
      <c r="L667" s="7">
        <f>'1 prepared data'!K660</f>
        <v/>
      </c>
      <c r="M667" s="7">
        <f>'1 prepared data'!L660</f>
        <v/>
      </c>
      <c r="N667" s="7">
        <f>'1 prepared data'!M660</f>
        <v/>
      </c>
      <c r="O667" s="7">
        <f>'1 prepared data'!N660</f>
        <v/>
      </c>
      <c r="P667" s="7">
        <f>'1 prepared data'!O660</f>
        <v/>
      </c>
      <c r="Q667" s="7">
        <f>'1 prepared data'!P660</f>
        <v/>
      </c>
      <c r="R667" s="7">
        <f>'1 prepared data'!Q660</f>
        <v/>
      </c>
      <c r="S667" s="7">
        <f>'1 prepared data'!R660</f>
        <v/>
      </c>
      <c r="T667" s="7">
        <f>'1 prepared data'!S660</f>
        <v/>
      </c>
      <c r="U667" s="7">
        <f>'1 prepared data'!T660</f>
        <v/>
      </c>
      <c r="V667" s="8">
        <f>$AC$12+D667*$AC$13+E667*$AC$14+F667*$AC$15+G667*$AC$16+H667*$AC$17+I667*$AC$18+J667*$AC$19+K667*$AC$20+L667*$AC$21+M667*$AC$22+N667*$AC$23+O667*$AC$24+P667*$AC$25+Q667*$AC$26+R667*$AC$27+S667*$AC$28+T667*$AC$29+U667*$AC$30</f>
        <v/>
      </c>
      <c r="W667" s="8">
        <f>1/(1+EXP(-V667))</f>
        <v/>
      </c>
      <c r="X667" s="9">
        <f>-IF(C667=1,LN(W667),LN(1-W667))</f>
        <v/>
      </c>
      <c r="Y667" s="10">
        <f>IF(W667&gt;$AC$34,1,0)</f>
        <v/>
      </c>
      <c r="Z667">
        <f>IF(Y667=C667,1,0)</f>
        <v/>
      </c>
    </row>
    <row r="668">
      <c r="A668">
        <f>'1 prepared data'!A661</f>
        <v/>
      </c>
      <c r="B668" s="5">
        <f>'1 prepared data'!U661</f>
        <v/>
      </c>
      <c r="C668">
        <f>'1 prepared data'!B661</f>
        <v/>
      </c>
      <c r="D668" s="7">
        <f>'1 prepared data'!C661</f>
        <v/>
      </c>
      <c r="E668" s="7">
        <f>'1 prepared data'!D661</f>
        <v/>
      </c>
      <c r="F668" s="7">
        <f>'1 prepared data'!E661</f>
        <v/>
      </c>
      <c r="G668" s="7">
        <f>'1 prepared data'!F661</f>
        <v/>
      </c>
      <c r="H668" s="7">
        <f>'1 prepared data'!G661</f>
        <v/>
      </c>
      <c r="I668" s="7">
        <f>'1 prepared data'!H661</f>
        <v/>
      </c>
      <c r="J668" s="7">
        <f>'1 prepared data'!I661</f>
        <v/>
      </c>
      <c r="K668" s="7">
        <f>'1 prepared data'!J661</f>
        <v/>
      </c>
      <c r="L668" s="7">
        <f>'1 prepared data'!K661</f>
        <v/>
      </c>
      <c r="M668" s="7">
        <f>'1 prepared data'!L661</f>
        <v/>
      </c>
      <c r="N668" s="7">
        <f>'1 prepared data'!M661</f>
        <v/>
      </c>
      <c r="O668" s="7">
        <f>'1 prepared data'!N661</f>
        <v/>
      </c>
      <c r="P668" s="7">
        <f>'1 prepared data'!O661</f>
        <v/>
      </c>
      <c r="Q668" s="7">
        <f>'1 prepared data'!P661</f>
        <v/>
      </c>
      <c r="R668" s="7">
        <f>'1 prepared data'!Q661</f>
        <v/>
      </c>
      <c r="S668" s="7">
        <f>'1 prepared data'!R661</f>
        <v/>
      </c>
      <c r="T668" s="7">
        <f>'1 prepared data'!S661</f>
        <v/>
      </c>
      <c r="U668" s="7">
        <f>'1 prepared data'!T661</f>
        <v/>
      </c>
      <c r="V668" s="8">
        <f>$AC$12+D668*$AC$13+E668*$AC$14+F668*$AC$15+G668*$AC$16+H668*$AC$17+I668*$AC$18+J668*$AC$19+K668*$AC$20+L668*$AC$21+M668*$AC$22+N668*$AC$23+O668*$AC$24+P668*$AC$25+Q668*$AC$26+R668*$AC$27+S668*$AC$28+T668*$AC$29+U668*$AC$30</f>
        <v/>
      </c>
      <c r="W668" s="8">
        <f>1/(1+EXP(-V668))</f>
        <v/>
      </c>
      <c r="X668" s="9">
        <f>-IF(C668=1,LN(W668),LN(1-W668))</f>
        <v/>
      </c>
      <c r="Y668" s="10">
        <f>IF(W668&gt;$AC$34,1,0)</f>
        <v/>
      </c>
      <c r="Z668">
        <f>IF(Y668=C668,1,0)</f>
        <v/>
      </c>
    </row>
    <row r="669">
      <c r="A669">
        <f>'1 prepared data'!A662</f>
        <v/>
      </c>
      <c r="B669" s="5">
        <f>'1 prepared data'!U662</f>
        <v/>
      </c>
      <c r="C669">
        <f>'1 prepared data'!B662</f>
        <v/>
      </c>
      <c r="D669" s="7">
        <f>'1 prepared data'!C662</f>
        <v/>
      </c>
      <c r="E669" s="7">
        <f>'1 prepared data'!D662</f>
        <v/>
      </c>
      <c r="F669" s="7">
        <f>'1 prepared data'!E662</f>
        <v/>
      </c>
      <c r="G669" s="7">
        <f>'1 prepared data'!F662</f>
        <v/>
      </c>
      <c r="H669" s="7">
        <f>'1 prepared data'!G662</f>
        <v/>
      </c>
      <c r="I669" s="7">
        <f>'1 prepared data'!H662</f>
        <v/>
      </c>
      <c r="J669" s="7">
        <f>'1 prepared data'!I662</f>
        <v/>
      </c>
      <c r="K669" s="7">
        <f>'1 prepared data'!J662</f>
        <v/>
      </c>
      <c r="L669" s="7">
        <f>'1 prepared data'!K662</f>
        <v/>
      </c>
      <c r="M669" s="7">
        <f>'1 prepared data'!L662</f>
        <v/>
      </c>
      <c r="N669" s="7">
        <f>'1 prepared data'!M662</f>
        <v/>
      </c>
      <c r="O669" s="7">
        <f>'1 prepared data'!N662</f>
        <v/>
      </c>
      <c r="P669" s="7">
        <f>'1 prepared data'!O662</f>
        <v/>
      </c>
      <c r="Q669" s="7">
        <f>'1 prepared data'!P662</f>
        <v/>
      </c>
      <c r="R669" s="7">
        <f>'1 prepared data'!Q662</f>
        <v/>
      </c>
      <c r="S669" s="7">
        <f>'1 prepared data'!R662</f>
        <v/>
      </c>
      <c r="T669" s="7">
        <f>'1 prepared data'!S662</f>
        <v/>
      </c>
      <c r="U669" s="7">
        <f>'1 prepared data'!T662</f>
        <v/>
      </c>
      <c r="V669" s="8">
        <f>$AC$12+D669*$AC$13+E669*$AC$14+F669*$AC$15+G669*$AC$16+H669*$AC$17+I669*$AC$18+J669*$AC$19+K669*$AC$20+L669*$AC$21+M669*$AC$22+N669*$AC$23+O669*$AC$24+P669*$AC$25+Q669*$AC$26+R669*$AC$27+S669*$AC$28+T669*$AC$29+U669*$AC$30</f>
        <v/>
      </c>
      <c r="W669" s="8">
        <f>1/(1+EXP(-V669))</f>
        <v/>
      </c>
      <c r="X669" s="9">
        <f>-IF(C669=1,LN(W669),LN(1-W669))</f>
        <v/>
      </c>
      <c r="Y669" s="10">
        <f>IF(W669&gt;$AC$34,1,0)</f>
        <v/>
      </c>
      <c r="Z669">
        <f>IF(Y669=C669,1,0)</f>
        <v/>
      </c>
    </row>
    <row r="670">
      <c r="A670">
        <f>'1 prepared data'!A663</f>
        <v/>
      </c>
      <c r="B670" s="5">
        <f>'1 prepared data'!U663</f>
        <v/>
      </c>
      <c r="C670">
        <f>'1 prepared data'!B663</f>
        <v/>
      </c>
      <c r="D670" s="7">
        <f>'1 prepared data'!C663</f>
        <v/>
      </c>
      <c r="E670" s="7">
        <f>'1 prepared data'!D663</f>
        <v/>
      </c>
      <c r="F670" s="7">
        <f>'1 prepared data'!E663</f>
        <v/>
      </c>
      <c r="G670" s="7">
        <f>'1 prepared data'!F663</f>
        <v/>
      </c>
      <c r="H670" s="7">
        <f>'1 prepared data'!G663</f>
        <v/>
      </c>
      <c r="I670" s="7">
        <f>'1 prepared data'!H663</f>
        <v/>
      </c>
      <c r="J670" s="7">
        <f>'1 prepared data'!I663</f>
        <v/>
      </c>
      <c r="K670" s="7">
        <f>'1 prepared data'!J663</f>
        <v/>
      </c>
      <c r="L670" s="7">
        <f>'1 prepared data'!K663</f>
        <v/>
      </c>
      <c r="M670" s="7">
        <f>'1 prepared data'!L663</f>
        <v/>
      </c>
      <c r="N670" s="7">
        <f>'1 prepared data'!M663</f>
        <v/>
      </c>
      <c r="O670" s="7">
        <f>'1 prepared data'!N663</f>
        <v/>
      </c>
      <c r="P670" s="7">
        <f>'1 prepared data'!O663</f>
        <v/>
      </c>
      <c r="Q670" s="7">
        <f>'1 prepared data'!P663</f>
        <v/>
      </c>
      <c r="R670" s="7">
        <f>'1 prepared data'!Q663</f>
        <v/>
      </c>
      <c r="S670" s="7">
        <f>'1 prepared data'!R663</f>
        <v/>
      </c>
      <c r="T670" s="7">
        <f>'1 prepared data'!S663</f>
        <v/>
      </c>
      <c r="U670" s="7">
        <f>'1 prepared data'!T663</f>
        <v/>
      </c>
      <c r="V670" s="8">
        <f>$AC$12+D670*$AC$13+E670*$AC$14+F670*$AC$15+G670*$AC$16+H670*$AC$17+I670*$AC$18+J670*$AC$19+K670*$AC$20+L670*$AC$21+M670*$AC$22+N670*$AC$23+O670*$AC$24+P670*$AC$25+Q670*$AC$26+R670*$AC$27+S670*$AC$28+T670*$AC$29+U670*$AC$30</f>
        <v/>
      </c>
      <c r="W670" s="8">
        <f>1/(1+EXP(-V670))</f>
        <v/>
      </c>
      <c r="X670" s="9">
        <f>-IF(C670=1,LN(W670),LN(1-W670))</f>
        <v/>
      </c>
      <c r="Y670" s="10">
        <f>IF(W670&gt;$AC$34,1,0)</f>
        <v/>
      </c>
      <c r="Z670">
        <f>IF(Y670=C670,1,0)</f>
        <v/>
      </c>
    </row>
    <row r="671">
      <c r="A671">
        <f>'1 prepared data'!A664</f>
        <v/>
      </c>
      <c r="B671" s="5">
        <f>'1 prepared data'!U664</f>
        <v/>
      </c>
      <c r="C671">
        <f>'1 prepared data'!B664</f>
        <v/>
      </c>
      <c r="D671" s="7">
        <f>'1 prepared data'!C664</f>
        <v/>
      </c>
      <c r="E671" s="7">
        <f>'1 prepared data'!D664</f>
        <v/>
      </c>
      <c r="F671" s="7">
        <f>'1 prepared data'!E664</f>
        <v/>
      </c>
      <c r="G671" s="7">
        <f>'1 prepared data'!F664</f>
        <v/>
      </c>
      <c r="H671" s="7">
        <f>'1 prepared data'!G664</f>
        <v/>
      </c>
      <c r="I671" s="7">
        <f>'1 prepared data'!H664</f>
        <v/>
      </c>
      <c r="J671" s="7">
        <f>'1 prepared data'!I664</f>
        <v/>
      </c>
      <c r="K671" s="7">
        <f>'1 prepared data'!J664</f>
        <v/>
      </c>
      <c r="L671" s="7">
        <f>'1 prepared data'!K664</f>
        <v/>
      </c>
      <c r="M671" s="7">
        <f>'1 prepared data'!L664</f>
        <v/>
      </c>
      <c r="N671" s="7">
        <f>'1 prepared data'!M664</f>
        <v/>
      </c>
      <c r="O671" s="7">
        <f>'1 prepared data'!N664</f>
        <v/>
      </c>
      <c r="P671" s="7">
        <f>'1 prepared data'!O664</f>
        <v/>
      </c>
      <c r="Q671" s="7">
        <f>'1 prepared data'!P664</f>
        <v/>
      </c>
      <c r="R671" s="7">
        <f>'1 prepared data'!Q664</f>
        <v/>
      </c>
      <c r="S671" s="7">
        <f>'1 prepared data'!R664</f>
        <v/>
      </c>
      <c r="T671" s="7">
        <f>'1 prepared data'!S664</f>
        <v/>
      </c>
      <c r="U671" s="7">
        <f>'1 prepared data'!T664</f>
        <v/>
      </c>
      <c r="V671" s="8">
        <f>$AC$12+D671*$AC$13+E671*$AC$14+F671*$AC$15+G671*$AC$16+H671*$AC$17+I671*$AC$18+J671*$AC$19+K671*$AC$20+L671*$AC$21+M671*$AC$22+N671*$AC$23+O671*$AC$24+P671*$AC$25+Q671*$AC$26+R671*$AC$27+S671*$AC$28+T671*$AC$29+U671*$AC$30</f>
        <v/>
      </c>
      <c r="W671" s="8">
        <f>1/(1+EXP(-V671))</f>
        <v/>
      </c>
      <c r="X671" s="9">
        <f>-IF(C671=1,LN(W671),LN(1-W671))</f>
        <v/>
      </c>
      <c r="Y671" s="10">
        <f>IF(W671&gt;$AC$34,1,0)</f>
        <v/>
      </c>
      <c r="Z671">
        <f>IF(Y671=C671,1,0)</f>
        <v/>
      </c>
    </row>
    <row r="672">
      <c r="A672">
        <f>'1 prepared data'!A665</f>
        <v/>
      </c>
      <c r="B672" s="5">
        <f>'1 prepared data'!U665</f>
        <v/>
      </c>
      <c r="C672">
        <f>'1 prepared data'!B665</f>
        <v/>
      </c>
      <c r="D672" s="7">
        <f>'1 prepared data'!C665</f>
        <v/>
      </c>
      <c r="E672" s="7">
        <f>'1 prepared data'!D665</f>
        <v/>
      </c>
      <c r="F672" s="7">
        <f>'1 prepared data'!E665</f>
        <v/>
      </c>
      <c r="G672" s="7">
        <f>'1 prepared data'!F665</f>
        <v/>
      </c>
      <c r="H672" s="7">
        <f>'1 prepared data'!G665</f>
        <v/>
      </c>
      <c r="I672" s="7">
        <f>'1 prepared data'!H665</f>
        <v/>
      </c>
      <c r="J672" s="7">
        <f>'1 prepared data'!I665</f>
        <v/>
      </c>
      <c r="K672" s="7">
        <f>'1 prepared data'!J665</f>
        <v/>
      </c>
      <c r="L672" s="7">
        <f>'1 prepared data'!K665</f>
        <v/>
      </c>
      <c r="M672" s="7">
        <f>'1 prepared data'!L665</f>
        <v/>
      </c>
      <c r="N672" s="7">
        <f>'1 prepared data'!M665</f>
        <v/>
      </c>
      <c r="O672" s="7">
        <f>'1 prepared data'!N665</f>
        <v/>
      </c>
      <c r="P672" s="7">
        <f>'1 prepared data'!O665</f>
        <v/>
      </c>
      <c r="Q672" s="7">
        <f>'1 prepared data'!P665</f>
        <v/>
      </c>
      <c r="R672" s="7">
        <f>'1 prepared data'!Q665</f>
        <v/>
      </c>
      <c r="S672" s="7">
        <f>'1 prepared data'!R665</f>
        <v/>
      </c>
      <c r="T672" s="7">
        <f>'1 prepared data'!S665</f>
        <v/>
      </c>
      <c r="U672" s="7">
        <f>'1 prepared data'!T665</f>
        <v/>
      </c>
      <c r="V672" s="8">
        <f>$AC$12+D672*$AC$13+E672*$AC$14+F672*$AC$15+G672*$AC$16+H672*$AC$17+I672*$AC$18+J672*$AC$19+K672*$AC$20+L672*$AC$21+M672*$AC$22+N672*$AC$23+O672*$AC$24+P672*$AC$25+Q672*$AC$26+R672*$AC$27+S672*$AC$28+T672*$AC$29+U672*$AC$30</f>
        <v/>
      </c>
      <c r="W672" s="8">
        <f>1/(1+EXP(-V672))</f>
        <v/>
      </c>
      <c r="X672" s="9">
        <f>-IF(C672=1,LN(W672),LN(1-W672))</f>
        <v/>
      </c>
      <c r="Y672" s="10">
        <f>IF(W672&gt;$AC$34,1,0)</f>
        <v/>
      </c>
      <c r="Z672">
        <f>IF(Y672=C672,1,0)</f>
        <v/>
      </c>
    </row>
    <row r="673">
      <c r="A673">
        <f>'1 prepared data'!A666</f>
        <v/>
      </c>
      <c r="B673" s="5">
        <f>'1 prepared data'!U666</f>
        <v/>
      </c>
      <c r="C673">
        <f>'1 prepared data'!B666</f>
        <v/>
      </c>
      <c r="D673" s="7">
        <f>'1 prepared data'!C666</f>
        <v/>
      </c>
      <c r="E673" s="7">
        <f>'1 prepared data'!D666</f>
        <v/>
      </c>
      <c r="F673" s="7">
        <f>'1 prepared data'!E666</f>
        <v/>
      </c>
      <c r="G673" s="7">
        <f>'1 prepared data'!F666</f>
        <v/>
      </c>
      <c r="H673" s="7">
        <f>'1 prepared data'!G666</f>
        <v/>
      </c>
      <c r="I673" s="7">
        <f>'1 prepared data'!H666</f>
        <v/>
      </c>
      <c r="J673" s="7">
        <f>'1 prepared data'!I666</f>
        <v/>
      </c>
      <c r="K673" s="7">
        <f>'1 prepared data'!J666</f>
        <v/>
      </c>
      <c r="L673" s="7">
        <f>'1 prepared data'!K666</f>
        <v/>
      </c>
      <c r="M673" s="7">
        <f>'1 prepared data'!L666</f>
        <v/>
      </c>
      <c r="N673" s="7">
        <f>'1 prepared data'!M666</f>
        <v/>
      </c>
      <c r="O673" s="7">
        <f>'1 prepared data'!N666</f>
        <v/>
      </c>
      <c r="P673" s="7">
        <f>'1 prepared data'!O666</f>
        <v/>
      </c>
      <c r="Q673" s="7">
        <f>'1 prepared data'!P666</f>
        <v/>
      </c>
      <c r="R673" s="7">
        <f>'1 prepared data'!Q666</f>
        <v/>
      </c>
      <c r="S673" s="7">
        <f>'1 prepared data'!R666</f>
        <v/>
      </c>
      <c r="T673" s="7">
        <f>'1 prepared data'!S666</f>
        <v/>
      </c>
      <c r="U673" s="7">
        <f>'1 prepared data'!T666</f>
        <v/>
      </c>
      <c r="V673" s="8">
        <f>$AC$12+D673*$AC$13+E673*$AC$14+F673*$AC$15+G673*$AC$16+H673*$AC$17+I673*$AC$18+J673*$AC$19+K673*$AC$20+L673*$AC$21+M673*$AC$22+N673*$AC$23+O673*$AC$24+P673*$AC$25+Q673*$AC$26+R673*$AC$27+S673*$AC$28+T673*$AC$29+U673*$AC$30</f>
        <v/>
      </c>
      <c r="W673" s="8">
        <f>1/(1+EXP(-V673))</f>
        <v/>
      </c>
      <c r="X673" s="9">
        <f>-IF(C673=1,LN(W673),LN(1-W673))</f>
        <v/>
      </c>
      <c r="Y673" s="10">
        <f>IF(W673&gt;$AC$34,1,0)</f>
        <v/>
      </c>
      <c r="Z673">
        <f>IF(Y673=C673,1,0)</f>
        <v/>
      </c>
    </row>
    <row r="674">
      <c r="A674">
        <f>'1 prepared data'!A667</f>
        <v/>
      </c>
      <c r="B674" s="5">
        <f>'1 prepared data'!U667</f>
        <v/>
      </c>
      <c r="C674">
        <f>'1 prepared data'!B667</f>
        <v/>
      </c>
      <c r="D674" s="7">
        <f>'1 prepared data'!C667</f>
        <v/>
      </c>
      <c r="E674" s="7">
        <f>'1 prepared data'!D667</f>
        <v/>
      </c>
      <c r="F674" s="7">
        <f>'1 prepared data'!E667</f>
        <v/>
      </c>
      <c r="G674" s="7">
        <f>'1 prepared data'!F667</f>
        <v/>
      </c>
      <c r="H674" s="7">
        <f>'1 prepared data'!G667</f>
        <v/>
      </c>
      <c r="I674" s="7">
        <f>'1 prepared data'!H667</f>
        <v/>
      </c>
      <c r="J674" s="7">
        <f>'1 prepared data'!I667</f>
        <v/>
      </c>
      <c r="K674" s="7">
        <f>'1 prepared data'!J667</f>
        <v/>
      </c>
      <c r="L674" s="7">
        <f>'1 prepared data'!K667</f>
        <v/>
      </c>
      <c r="M674" s="7">
        <f>'1 prepared data'!L667</f>
        <v/>
      </c>
      <c r="N674" s="7">
        <f>'1 prepared data'!M667</f>
        <v/>
      </c>
      <c r="O674" s="7">
        <f>'1 prepared data'!N667</f>
        <v/>
      </c>
      <c r="P674" s="7">
        <f>'1 prepared data'!O667</f>
        <v/>
      </c>
      <c r="Q674" s="7">
        <f>'1 prepared data'!P667</f>
        <v/>
      </c>
      <c r="R674" s="7">
        <f>'1 prepared data'!Q667</f>
        <v/>
      </c>
      <c r="S674" s="7">
        <f>'1 prepared data'!R667</f>
        <v/>
      </c>
      <c r="T674" s="7">
        <f>'1 prepared data'!S667</f>
        <v/>
      </c>
      <c r="U674" s="7">
        <f>'1 prepared data'!T667</f>
        <v/>
      </c>
      <c r="V674" s="8">
        <f>$AC$12+D674*$AC$13+E674*$AC$14+F674*$AC$15+G674*$AC$16+H674*$AC$17+I674*$AC$18+J674*$AC$19+K674*$AC$20+L674*$AC$21+M674*$AC$22+N674*$AC$23+O674*$AC$24+P674*$AC$25+Q674*$AC$26+R674*$AC$27+S674*$AC$28+T674*$AC$29+U674*$AC$30</f>
        <v/>
      </c>
      <c r="W674" s="8">
        <f>1/(1+EXP(-V674))</f>
        <v/>
      </c>
      <c r="X674" s="9">
        <f>-IF(C674=1,LN(W674),LN(1-W674))</f>
        <v/>
      </c>
      <c r="Y674" s="10">
        <f>IF(W674&gt;$AC$34,1,0)</f>
        <v/>
      </c>
      <c r="Z674">
        <f>IF(Y674=C674,1,0)</f>
        <v/>
      </c>
    </row>
    <row r="675">
      <c r="A675">
        <f>'1 prepared data'!A668</f>
        <v/>
      </c>
      <c r="B675" s="5">
        <f>'1 prepared data'!U668</f>
        <v/>
      </c>
      <c r="C675">
        <f>'1 prepared data'!B668</f>
        <v/>
      </c>
      <c r="D675" s="7">
        <f>'1 prepared data'!C668</f>
        <v/>
      </c>
      <c r="E675" s="7">
        <f>'1 prepared data'!D668</f>
        <v/>
      </c>
      <c r="F675" s="7">
        <f>'1 prepared data'!E668</f>
        <v/>
      </c>
      <c r="G675" s="7">
        <f>'1 prepared data'!F668</f>
        <v/>
      </c>
      <c r="H675" s="7">
        <f>'1 prepared data'!G668</f>
        <v/>
      </c>
      <c r="I675" s="7">
        <f>'1 prepared data'!H668</f>
        <v/>
      </c>
      <c r="J675" s="7">
        <f>'1 prepared data'!I668</f>
        <v/>
      </c>
      <c r="K675" s="7">
        <f>'1 prepared data'!J668</f>
        <v/>
      </c>
      <c r="L675" s="7">
        <f>'1 prepared data'!K668</f>
        <v/>
      </c>
      <c r="M675" s="7">
        <f>'1 prepared data'!L668</f>
        <v/>
      </c>
      <c r="N675" s="7">
        <f>'1 prepared data'!M668</f>
        <v/>
      </c>
      <c r="O675" s="7">
        <f>'1 prepared data'!N668</f>
        <v/>
      </c>
      <c r="P675" s="7">
        <f>'1 prepared data'!O668</f>
        <v/>
      </c>
      <c r="Q675" s="7">
        <f>'1 prepared data'!P668</f>
        <v/>
      </c>
      <c r="R675" s="7">
        <f>'1 prepared data'!Q668</f>
        <v/>
      </c>
      <c r="S675" s="7">
        <f>'1 prepared data'!R668</f>
        <v/>
      </c>
      <c r="T675" s="7">
        <f>'1 prepared data'!S668</f>
        <v/>
      </c>
      <c r="U675" s="7">
        <f>'1 prepared data'!T668</f>
        <v/>
      </c>
      <c r="V675" s="8">
        <f>$AC$12+D675*$AC$13+E675*$AC$14+F675*$AC$15+G675*$AC$16+H675*$AC$17+I675*$AC$18+J675*$AC$19+K675*$AC$20+L675*$AC$21+M675*$AC$22+N675*$AC$23+O675*$AC$24+P675*$AC$25+Q675*$AC$26+R675*$AC$27+S675*$AC$28+T675*$AC$29+U675*$AC$30</f>
        <v/>
      </c>
      <c r="W675" s="8">
        <f>1/(1+EXP(-V675))</f>
        <v/>
      </c>
      <c r="X675" s="9">
        <f>-IF(C675=1,LN(W675),LN(1-W675))</f>
        <v/>
      </c>
      <c r="Y675" s="10">
        <f>IF(W675&gt;$AC$34,1,0)</f>
        <v/>
      </c>
      <c r="Z675">
        <f>IF(Y675=C675,1,0)</f>
        <v/>
      </c>
    </row>
    <row r="676">
      <c r="A676">
        <f>'1 prepared data'!A669</f>
        <v/>
      </c>
      <c r="B676" s="5">
        <f>'1 prepared data'!U669</f>
        <v/>
      </c>
      <c r="C676">
        <f>'1 prepared data'!B669</f>
        <v/>
      </c>
      <c r="D676" s="7">
        <f>'1 prepared data'!C669</f>
        <v/>
      </c>
      <c r="E676" s="7">
        <f>'1 prepared data'!D669</f>
        <v/>
      </c>
      <c r="F676" s="7">
        <f>'1 prepared data'!E669</f>
        <v/>
      </c>
      <c r="G676" s="7">
        <f>'1 prepared data'!F669</f>
        <v/>
      </c>
      <c r="H676" s="7">
        <f>'1 prepared data'!G669</f>
        <v/>
      </c>
      <c r="I676" s="7">
        <f>'1 prepared data'!H669</f>
        <v/>
      </c>
      <c r="J676" s="7">
        <f>'1 prepared data'!I669</f>
        <v/>
      </c>
      <c r="K676" s="7">
        <f>'1 prepared data'!J669</f>
        <v/>
      </c>
      <c r="L676" s="7">
        <f>'1 prepared data'!K669</f>
        <v/>
      </c>
      <c r="M676" s="7">
        <f>'1 prepared data'!L669</f>
        <v/>
      </c>
      <c r="N676" s="7">
        <f>'1 prepared data'!M669</f>
        <v/>
      </c>
      <c r="O676" s="7">
        <f>'1 prepared data'!N669</f>
        <v/>
      </c>
      <c r="P676" s="7">
        <f>'1 prepared data'!O669</f>
        <v/>
      </c>
      <c r="Q676" s="7">
        <f>'1 prepared data'!P669</f>
        <v/>
      </c>
      <c r="R676" s="7">
        <f>'1 prepared data'!Q669</f>
        <v/>
      </c>
      <c r="S676" s="7">
        <f>'1 prepared data'!R669</f>
        <v/>
      </c>
      <c r="T676" s="7">
        <f>'1 prepared data'!S669</f>
        <v/>
      </c>
      <c r="U676" s="7">
        <f>'1 prepared data'!T669</f>
        <v/>
      </c>
      <c r="V676" s="8">
        <f>$AC$12+D676*$AC$13+E676*$AC$14+F676*$AC$15+G676*$AC$16+H676*$AC$17+I676*$AC$18+J676*$AC$19+K676*$AC$20+L676*$AC$21+M676*$AC$22+N676*$AC$23+O676*$AC$24+P676*$AC$25+Q676*$AC$26+R676*$AC$27+S676*$AC$28+T676*$AC$29+U676*$AC$30</f>
        <v/>
      </c>
      <c r="W676" s="8">
        <f>1/(1+EXP(-V676))</f>
        <v/>
      </c>
      <c r="X676" s="9">
        <f>-IF(C676=1,LN(W676),LN(1-W676))</f>
        <v/>
      </c>
      <c r="Y676" s="10">
        <f>IF(W676&gt;$AC$34,1,0)</f>
        <v/>
      </c>
      <c r="Z676">
        <f>IF(Y676=C676,1,0)</f>
        <v/>
      </c>
    </row>
    <row r="677">
      <c r="A677">
        <f>'1 prepared data'!A670</f>
        <v/>
      </c>
      <c r="B677" s="5">
        <f>'1 prepared data'!U670</f>
        <v/>
      </c>
      <c r="C677">
        <f>'1 prepared data'!B670</f>
        <v/>
      </c>
      <c r="D677" s="7">
        <f>'1 prepared data'!C670</f>
        <v/>
      </c>
      <c r="E677" s="7">
        <f>'1 prepared data'!D670</f>
        <v/>
      </c>
      <c r="F677" s="7">
        <f>'1 prepared data'!E670</f>
        <v/>
      </c>
      <c r="G677" s="7">
        <f>'1 prepared data'!F670</f>
        <v/>
      </c>
      <c r="H677" s="7">
        <f>'1 prepared data'!G670</f>
        <v/>
      </c>
      <c r="I677" s="7">
        <f>'1 prepared data'!H670</f>
        <v/>
      </c>
      <c r="J677" s="7">
        <f>'1 prepared data'!I670</f>
        <v/>
      </c>
      <c r="K677" s="7">
        <f>'1 prepared data'!J670</f>
        <v/>
      </c>
      <c r="L677" s="7">
        <f>'1 prepared data'!K670</f>
        <v/>
      </c>
      <c r="M677" s="7">
        <f>'1 prepared data'!L670</f>
        <v/>
      </c>
      <c r="N677" s="7">
        <f>'1 prepared data'!M670</f>
        <v/>
      </c>
      <c r="O677" s="7">
        <f>'1 prepared data'!N670</f>
        <v/>
      </c>
      <c r="P677" s="7">
        <f>'1 prepared data'!O670</f>
        <v/>
      </c>
      <c r="Q677" s="7">
        <f>'1 prepared data'!P670</f>
        <v/>
      </c>
      <c r="R677" s="7">
        <f>'1 prepared data'!Q670</f>
        <v/>
      </c>
      <c r="S677" s="7">
        <f>'1 prepared data'!R670</f>
        <v/>
      </c>
      <c r="T677" s="7">
        <f>'1 prepared data'!S670</f>
        <v/>
      </c>
      <c r="U677" s="7">
        <f>'1 prepared data'!T670</f>
        <v/>
      </c>
      <c r="V677" s="8">
        <f>$AC$12+D677*$AC$13+E677*$AC$14+F677*$AC$15+G677*$AC$16+H677*$AC$17+I677*$AC$18+J677*$AC$19+K677*$AC$20+L677*$AC$21+M677*$AC$22+N677*$AC$23+O677*$AC$24+P677*$AC$25+Q677*$AC$26+R677*$AC$27+S677*$AC$28+T677*$AC$29+U677*$AC$30</f>
        <v/>
      </c>
      <c r="W677" s="8">
        <f>1/(1+EXP(-V677))</f>
        <v/>
      </c>
      <c r="X677" s="9">
        <f>-IF(C677=1,LN(W677),LN(1-W677))</f>
        <v/>
      </c>
      <c r="Y677" s="10">
        <f>IF(W677&gt;$AC$34,1,0)</f>
        <v/>
      </c>
      <c r="Z677">
        <f>IF(Y677=C677,1,0)</f>
        <v/>
      </c>
    </row>
    <row r="678">
      <c r="A678">
        <f>'1 prepared data'!A671</f>
        <v/>
      </c>
      <c r="B678" s="5">
        <f>'1 prepared data'!U671</f>
        <v/>
      </c>
      <c r="C678">
        <f>'1 prepared data'!B671</f>
        <v/>
      </c>
      <c r="D678" s="7">
        <f>'1 prepared data'!C671</f>
        <v/>
      </c>
      <c r="E678" s="7">
        <f>'1 prepared data'!D671</f>
        <v/>
      </c>
      <c r="F678" s="7">
        <f>'1 prepared data'!E671</f>
        <v/>
      </c>
      <c r="G678" s="7">
        <f>'1 prepared data'!F671</f>
        <v/>
      </c>
      <c r="H678" s="7">
        <f>'1 prepared data'!G671</f>
        <v/>
      </c>
      <c r="I678" s="7">
        <f>'1 prepared data'!H671</f>
        <v/>
      </c>
      <c r="J678" s="7">
        <f>'1 prepared data'!I671</f>
        <v/>
      </c>
      <c r="K678" s="7">
        <f>'1 prepared data'!J671</f>
        <v/>
      </c>
      <c r="L678" s="7">
        <f>'1 prepared data'!K671</f>
        <v/>
      </c>
      <c r="M678" s="7">
        <f>'1 prepared data'!L671</f>
        <v/>
      </c>
      <c r="N678" s="7">
        <f>'1 prepared data'!M671</f>
        <v/>
      </c>
      <c r="O678" s="7">
        <f>'1 prepared data'!N671</f>
        <v/>
      </c>
      <c r="P678" s="7">
        <f>'1 prepared data'!O671</f>
        <v/>
      </c>
      <c r="Q678" s="7">
        <f>'1 prepared data'!P671</f>
        <v/>
      </c>
      <c r="R678" s="7">
        <f>'1 prepared data'!Q671</f>
        <v/>
      </c>
      <c r="S678" s="7">
        <f>'1 prepared data'!R671</f>
        <v/>
      </c>
      <c r="T678" s="7">
        <f>'1 prepared data'!S671</f>
        <v/>
      </c>
      <c r="U678" s="7">
        <f>'1 prepared data'!T671</f>
        <v/>
      </c>
      <c r="V678" s="8">
        <f>$AC$12+D678*$AC$13+E678*$AC$14+F678*$AC$15+G678*$AC$16+H678*$AC$17+I678*$AC$18+J678*$AC$19+K678*$AC$20+L678*$AC$21+M678*$AC$22+N678*$AC$23+O678*$AC$24+P678*$AC$25+Q678*$AC$26+R678*$AC$27+S678*$AC$28+T678*$AC$29+U678*$AC$30</f>
        <v/>
      </c>
      <c r="W678" s="8">
        <f>1/(1+EXP(-V678))</f>
        <v/>
      </c>
      <c r="X678" s="9">
        <f>-IF(C678=1,LN(W678),LN(1-W678))</f>
        <v/>
      </c>
      <c r="Y678" s="10">
        <f>IF(W678&gt;$AC$34,1,0)</f>
        <v/>
      </c>
      <c r="Z678">
        <f>IF(Y678=C678,1,0)</f>
        <v/>
      </c>
    </row>
    <row r="679">
      <c r="A679">
        <f>'1 prepared data'!A672</f>
        <v/>
      </c>
      <c r="B679" s="5">
        <f>'1 prepared data'!U672</f>
        <v/>
      </c>
      <c r="C679">
        <f>'1 prepared data'!B672</f>
        <v/>
      </c>
      <c r="D679" s="7">
        <f>'1 prepared data'!C672</f>
        <v/>
      </c>
      <c r="E679" s="7">
        <f>'1 prepared data'!D672</f>
        <v/>
      </c>
      <c r="F679" s="7">
        <f>'1 prepared data'!E672</f>
        <v/>
      </c>
      <c r="G679" s="7">
        <f>'1 prepared data'!F672</f>
        <v/>
      </c>
      <c r="H679" s="7">
        <f>'1 prepared data'!G672</f>
        <v/>
      </c>
      <c r="I679" s="7">
        <f>'1 prepared data'!H672</f>
        <v/>
      </c>
      <c r="J679" s="7">
        <f>'1 prepared data'!I672</f>
        <v/>
      </c>
      <c r="K679" s="7">
        <f>'1 prepared data'!J672</f>
        <v/>
      </c>
      <c r="L679" s="7">
        <f>'1 prepared data'!K672</f>
        <v/>
      </c>
      <c r="M679" s="7">
        <f>'1 prepared data'!L672</f>
        <v/>
      </c>
      <c r="N679" s="7">
        <f>'1 prepared data'!M672</f>
        <v/>
      </c>
      <c r="O679" s="7">
        <f>'1 prepared data'!N672</f>
        <v/>
      </c>
      <c r="P679" s="7">
        <f>'1 prepared data'!O672</f>
        <v/>
      </c>
      <c r="Q679" s="7">
        <f>'1 prepared data'!P672</f>
        <v/>
      </c>
      <c r="R679" s="7">
        <f>'1 prepared data'!Q672</f>
        <v/>
      </c>
      <c r="S679" s="7">
        <f>'1 prepared data'!R672</f>
        <v/>
      </c>
      <c r="T679" s="7">
        <f>'1 prepared data'!S672</f>
        <v/>
      </c>
      <c r="U679" s="7">
        <f>'1 prepared data'!T672</f>
        <v/>
      </c>
      <c r="V679" s="8">
        <f>$AC$12+D679*$AC$13+E679*$AC$14+F679*$AC$15+G679*$AC$16+H679*$AC$17+I679*$AC$18+J679*$AC$19+K679*$AC$20+L679*$AC$21+M679*$AC$22+N679*$AC$23+O679*$AC$24+P679*$AC$25+Q679*$AC$26+R679*$AC$27+S679*$AC$28+T679*$AC$29+U679*$AC$30</f>
        <v/>
      </c>
      <c r="W679" s="8">
        <f>1/(1+EXP(-V679))</f>
        <v/>
      </c>
      <c r="X679" s="9">
        <f>-IF(C679=1,LN(W679),LN(1-W679))</f>
        <v/>
      </c>
      <c r="Y679" s="10">
        <f>IF(W679&gt;$AC$34,1,0)</f>
        <v/>
      </c>
      <c r="Z679">
        <f>IF(Y679=C679,1,0)</f>
        <v/>
      </c>
    </row>
    <row r="680">
      <c r="A680">
        <f>'1 prepared data'!A673</f>
        <v/>
      </c>
      <c r="B680" s="5">
        <f>'1 prepared data'!U673</f>
        <v/>
      </c>
      <c r="C680">
        <f>'1 prepared data'!B673</f>
        <v/>
      </c>
      <c r="D680" s="7">
        <f>'1 prepared data'!C673</f>
        <v/>
      </c>
      <c r="E680" s="7">
        <f>'1 prepared data'!D673</f>
        <v/>
      </c>
      <c r="F680" s="7">
        <f>'1 prepared data'!E673</f>
        <v/>
      </c>
      <c r="G680" s="7">
        <f>'1 prepared data'!F673</f>
        <v/>
      </c>
      <c r="H680" s="7">
        <f>'1 prepared data'!G673</f>
        <v/>
      </c>
      <c r="I680" s="7">
        <f>'1 prepared data'!H673</f>
        <v/>
      </c>
      <c r="J680" s="7">
        <f>'1 prepared data'!I673</f>
        <v/>
      </c>
      <c r="K680" s="7">
        <f>'1 prepared data'!J673</f>
        <v/>
      </c>
      <c r="L680" s="7">
        <f>'1 prepared data'!K673</f>
        <v/>
      </c>
      <c r="M680" s="7">
        <f>'1 prepared data'!L673</f>
        <v/>
      </c>
      <c r="N680" s="7">
        <f>'1 prepared data'!M673</f>
        <v/>
      </c>
      <c r="O680" s="7">
        <f>'1 prepared data'!N673</f>
        <v/>
      </c>
      <c r="P680" s="7">
        <f>'1 prepared data'!O673</f>
        <v/>
      </c>
      <c r="Q680" s="7">
        <f>'1 prepared data'!P673</f>
        <v/>
      </c>
      <c r="R680" s="7">
        <f>'1 prepared data'!Q673</f>
        <v/>
      </c>
      <c r="S680" s="7">
        <f>'1 prepared data'!R673</f>
        <v/>
      </c>
      <c r="T680" s="7">
        <f>'1 prepared data'!S673</f>
        <v/>
      </c>
      <c r="U680" s="7">
        <f>'1 prepared data'!T673</f>
        <v/>
      </c>
      <c r="V680" s="8">
        <f>$AC$12+D680*$AC$13+E680*$AC$14+F680*$AC$15+G680*$AC$16+H680*$AC$17+I680*$AC$18+J680*$AC$19+K680*$AC$20+L680*$AC$21+M680*$AC$22+N680*$AC$23+O680*$AC$24+P680*$AC$25+Q680*$AC$26+R680*$AC$27+S680*$AC$28+T680*$AC$29+U680*$AC$30</f>
        <v/>
      </c>
      <c r="W680" s="8">
        <f>1/(1+EXP(-V680))</f>
        <v/>
      </c>
      <c r="X680" s="9">
        <f>-IF(C680=1,LN(W680),LN(1-W680))</f>
        <v/>
      </c>
      <c r="Y680" s="10">
        <f>IF(W680&gt;$AC$34,1,0)</f>
        <v/>
      </c>
      <c r="Z680">
        <f>IF(Y680=C680,1,0)</f>
        <v/>
      </c>
    </row>
    <row r="681">
      <c r="A681">
        <f>'1 prepared data'!A674</f>
        <v/>
      </c>
      <c r="B681" s="5">
        <f>'1 prepared data'!U674</f>
        <v/>
      </c>
      <c r="C681">
        <f>'1 prepared data'!B674</f>
        <v/>
      </c>
      <c r="D681" s="7">
        <f>'1 prepared data'!C674</f>
        <v/>
      </c>
      <c r="E681" s="7">
        <f>'1 prepared data'!D674</f>
        <v/>
      </c>
      <c r="F681" s="7">
        <f>'1 prepared data'!E674</f>
        <v/>
      </c>
      <c r="G681" s="7">
        <f>'1 prepared data'!F674</f>
        <v/>
      </c>
      <c r="H681" s="7">
        <f>'1 prepared data'!G674</f>
        <v/>
      </c>
      <c r="I681" s="7">
        <f>'1 prepared data'!H674</f>
        <v/>
      </c>
      <c r="J681" s="7">
        <f>'1 prepared data'!I674</f>
        <v/>
      </c>
      <c r="K681" s="7">
        <f>'1 prepared data'!J674</f>
        <v/>
      </c>
      <c r="L681" s="7">
        <f>'1 prepared data'!K674</f>
        <v/>
      </c>
      <c r="M681" s="7">
        <f>'1 prepared data'!L674</f>
        <v/>
      </c>
      <c r="N681" s="7">
        <f>'1 prepared data'!M674</f>
        <v/>
      </c>
      <c r="O681" s="7">
        <f>'1 prepared data'!N674</f>
        <v/>
      </c>
      <c r="P681" s="7">
        <f>'1 prepared data'!O674</f>
        <v/>
      </c>
      <c r="Q681" s="7">
        <f>'1 prepared data'!P674</f>
        <v/>
      </c>
      <c r="R681" s="7">
        <f>'1 prepared data'!Q674</f>
        <v/>
      </c>
      <c r="S681" s="7">
        <f>'1 prepared data'!R674</f>
        <v/>
      </c>
      <c r="T681" s="7">
        <f>'1 prepared data'!S674</f>
        <v/>
      </c>
      <c r="U681" s="7">
        <f>'1 prepared data'!T674</f>
        <v/>
      </c>
      <c r="V681" s="8">
        <f>$AC$12+D681*$AC$13+E681*$AC$14+F681*$AC$15+G681*$AC$16+H681*$AC$17+I681*$AC$18+J681*$AC$19+K681*$AC$20+L681*$AC$21+M681*$AC$22+N681*$AC$23+O681*$AC$24+P681*$AC$25+Q681*$AC$26+R681*$AC$27+S681*$AC$28+T681*$AC$29+U681*$AC$30</f>
        <v/>
      </c>
      <c r="W681" s="8">
        <f>1/(1+EXP(-V681))</f>
        <v/>
      </c>
      <c r="X681" s="9">
        <f>-IF(C681=1,LN(W681),LN(1-W681))</f>
        <v/>
      </c>
      <c r="Y681" s="10">
        <f>IF(W681&gt;$AC$34,1,0)</f>
        <v/>
      </c>
      <c r="Z681">
        <f>IF(Y681=C681,1,0)</f>
        <v/>
      </c>
    </row>
    <row r="682">
      <c r="A682">
        <f>'1 prepared data'!A675</f>
        <v/>
      </c>
      <c r="B682" s="5">
        <f>'1 prepared data'!U675</f>
        <v/>
      </c>
      <c r="C682">
        <f>'1 prepared data'!B675</f>
        <v/>
      </c>
      <c r="D682" s="7">
        <f>'1 prepared data'!C675</f>
        <v/>
      </c>
      <c r="E682" s="7">
        <f>'1 prepared data'!D675</f>
        <v/>
      </c>
      <c r="F682" s="7">
        <f>'1 prepared data'!E675</f>
        <v/>
      </c>
      <c r="G682" s="7">
        <f>'1 prepared data'!F675</f>
        <v/>
      </c>
      <c r="H682" s="7">
        <f>'1 prepared data'!G675</f>
        <v/>
      </c>
      <c r="I682" s="7">
        <f>'1 prepared data'!H675</f>
        <v/>
      </c>
      <c r="J682" s="7">
        <f>'1 prepared data'!I675</f>
        <v/>
      </c>
      <c r="K682" s="7">
        <f>'1 prepared data'!J675</f>
        <v/>
      </c>
      <c r="L682" s="7">
        <f>'1 prepared data'!K675</f>
        <v/>
      </c>
      <c r="M682" s="7">
        <f>'1 prepared data'!L675</f>
        <v/>
      </c>
      <c r="N682" s="7">
        <f>'1 prepared data'!M675</f>
        <v/>
      </c>
      <c r="O682" s="7">
        <f>'1 prepared data'!N675</f>
        <v/>
      </c>
      <c r="P682" s="7">
        <f>'1 prepared data'!O675</f>
        <v/>
      </c>
      <c r="Q682" s="7">
        <f>'1 prepared data'!P675</f>
        <v/>
      </c>
      <c r="R682" s="7">
        <f>'1 prepared data'!Q675</f>
        <v/>
      </c>
      <c r="S682" s="7">
        <f>'1 prepared data'!R675</f>
        <v/>
      </c>
      <c r="T682" s="7">
        <f>'1 prepared data'!S675</f>
        <v/>
      </c>
      <c r="U682" s="7">
        <f>'1 prepared data'!T675</f>
        <v/>
      </c>
      <c r="V682" s="8">
        <f>$AC$12+D682*$AC$13+E682*$AC$14+F682*$AC$15+G682*$AC$16+H682*$AC$17+I682*$AC$18+J682*$AC$19+K682*$AC$20+L682*$AC$21+M682*$AC$22+N682*$AC$23+O682*$AC$24+P682*$AC$25+Q682*$AC$26+R682*$AC$27+S682*$AC$28+T682*$AC$29+U682*$AC$30</f>
        <v/>
      </c>
      <c r="W682" s="8">
        <f>1/(1+EXP(-V682))</f>
        <v/>
      </c>
      <c r="X682" s="9">
        <f>-IF(C682=1,LN(W682),LN(1-W682))</f>
        <v/>
      </c>
      <c r="Y682" s="10">
        <f>IF(W682&gt;$AC$34,1,0)</f>
        <v/>
      </c>
      <c r="Z682">
        <f>IF(Y682=C682,1,0)</f>
        <v/>
      </c>
    </row>
    <row r="683">
      <c r="A683">
        <f>'1 prepared data'!A676</f>
        <v/>
      </c>
      <c r="B683" s="5">
        <f>'1 prepared data'!U676</f>
        <v/>
      </c>
      <c r="C683">
        <f>'1 prepared data'!B676</f>
        <v/>
      </c>
      <c r="D683" s="7">
        <f>'1 prepared data'!C676</f>
        <v/>
      </c>
      <c r="E683" s="7">
        <f>'1 prepared data'!D676</f>
        <v/>
      </c>
      <c r="F683" s="7">
        <f>'1 prepared data'!E676</f>
        <v/>
      </c>
      <c r="G683" s="7">
        <f>'1 prepared data'!F676</f>
        <v/>
      </c>
      <c r="H683" s="7">
        <f>'1 prepared data'!G676</f>
        <v/>
      </c>
      <c r="I683" s="7">
        <f>'1 prepared data'!H676</f>
        <v/>
      </c>
      <c r="J683" s="7">
        <f>'1 prepared data'!I676</f>
        <v/>
      </c>
      <c r="K683" s="7">
        <f>'1 prepared data'!J676</f>
        <v/>
      </c>
      <c r="L683" s="7">
        <f>'1 prepared data'!K676</f>
        <v/>
      </c>
      <c r="M683" s="7">
        <f>'1 prepared data'!L676</f>
        <v/>
      </c>
      <c r="N683" s="7">
        <f>'1 prepared data'!M676</f>
        <v/>
      </c>
      <c r="O683" s="7">
        <f>'1 prepared data'!N676</f>
        <v/>
      </c>
      <c r="P683" s="7">
        <f>'1 prepared data'!O676</f>
        <v/>
      </c>
      <c r="Q683" s="7">
        <f>'1 prepared data'!P676</f>
        <v/>
      </c>
      <c r="R683" s="7">
        <f>'1 prepared data'!Q676</f>
        <v/>
      </c>
      <c r="S683" s="7">
        <f>'1 prepared data'!R676</f>
        <v/>
      </c>
      <c r="T683" s="7">
        <f>'1 prepared data'!S676</f>
        <v/>
      </c>
      <c r="U683" s="7">
        <f>'1 prepared data'!T676</f>
        <v/>
      </c>
      <c r="V683" s="8">
        <f>$AC$12+D683*$AC$13+E683*$AC$14+F683*$AC$15+G683*$AC$16+H683*$AC$17+I683*$AC$18+J683*$AC$19+K683*$AC$20+L683*$AC$21+M683*$AC$22+N683*$AC$23+O683*$AC$24+P683*$AC$25+Q683*$AC$26+R683*$AC$27+S683*$AC$28+T683*$AC$29+U683*$AC$30</f>
        <v/>
      </c>
      <c r="W683" s="8">
        <f>1/(1+EXP(-V683))</f>
        <v/>
      </c>
      <c r="X683" s="9">
        <f>-IF(C683=1,LN(W683),LN(1-W683))</f>
        <v/>
      </c>
      <c r="Y683" s="10">
        <f>IF(W683&gt;$AC$34,1,0)</f>
        <v/>
      </c>
      <c r="Z683">
        <f>IF(Y683=C683,1,0)</f>
        <v/>
      </c>
    </row>
    <row r="684">
      <c r="A684">
        <f>'1 prepared data'!A677</f>
        <v/>
      </c>
      <c r="B684" s="5">
        <f>'1 prepared data'!U677</f>
        <v/>
      </c>
      <c r="C684">
        <f>'1 prepared data'!B677</f>
        <v/>
      </c>
      <c r="D684" s="7">
        <f>'1 prepared data'!C677</f>
        <v/>
      </c>
      <c r="E684" s="7">
        <f>'1 prepared data'!D677</f>
        <v/>
      </c>
      <c r="F684" s="7">
        <f>'1 prepared data'!E677</f>
        <v/>
      </c>
      <c r="G684" s="7">
        <f>'1 prepared data'!F677</f>
        <v/>
      </c>
      <c r="H684" s="7">
        <f>'1 prepared data'!G677</f>
        <v/>
      </c>
      <c r="I684" s="7">
        <f>'1 prepared data'!H677</f>
        <v/>
      </c>
      <c r="J684" s="7">
        <f>'1 prepared data'!I677</f>
        <v/>
      </c>
      <c r="K684" s="7">
        <f>'1 prepared data'!J677</f>
        <v/>
      </c>
      <c r="L684" s="7">
        <f>'1 prepared data'!K677</f>
        <v/>
      </c>
      <c r="M684" s="7">
        <f>'1 prepared data'!L677</f>
        <v/>
      </c>
      <c r="N684" s="7">
        <f>'1 prepared data'!M677</f>
        <v/>
      </c>
      <c r="O684" s="7">
        <f>'1 prepared data'!N677</f>
        <v/>
      </c>
      <c r="P684" s="7">
        <f>'1 prepared data'!O677</f>
        <v/>
      </c>
      <c r="Q684" s="7">
        <f>'1 prepared data'!P677</f>
        <v/>
      </c>
      <c r="R684" s="7">
        <f>'1 prepared data'!Q677</f>
        <v/>
      </c>
      <c r="S684" s="7">
        <f>'1 prepared data'!R677</f>
        <v/>
      </c>
      <c r="T684" s="7">
        <f>'1 prepared data'!S677</f>
        <v/>
      </c>
      <c r="U684" s="7">
        <f>'1 prepared data'!T677</f>
        <v/>
      </c>
      <c r="V684" s="8">
        <f>$AC$12+D684*$AC$13+E684*$AC$14+F684*$AC$15+G684*$AC$16+H684*$AC$17+I684*$AC$18+J684*$AC$19+K684*$AC$20+L684*$AC$21+M684*$AC$22+N684*$AC$23+O684*$AC$24+P684*$AC$25+Q684*$AC$26+R684*$AC$27+S684*$AC$28+T684*$AC$29+U684*$AC$30</f>
        <v/>
      </c>
      <c r="W684" s="8">
        <f>1/(1+EXP(-V684))</f>
        <v/>
      </c>
      <c r="X684" s="9">
        <f>-IF(C684=1,LN(W684),LN(1-W684))</f>
        <v/>
      </c>
      <c r="Y684" s="10">
        <f>IF(W684&gt;$AC$34,1,0)</f>
        <v/>
      </c>
      <c r="Z684">
        <f>IF(Y684=C684,1,0)</f>
        <v/>
      </c>
    </row>
    <row r="685">
      <c r="A685">
        <f>'1 prepared data'!A678</f>
        <v/>
      </c>
      <c r="B685" s="5">
        <f>'1 prepared data'!U678</f>
        <v/>
      </c>
      <c r="C685">
        <f>'1 prepared data'!B678</f>
        <v/>
      </c>
      <c r="D685" s="7">
        <f>'1 prepared data'!C678</f>
        <v/>
      </c>
      <c r="E685" s="7">
        <f>'1 prepared data'!D678</f>
        <v/>
      </c>
      <c r="F685" s="7">
        <f>'1 prepared data'!E678</f>
        <v/>
      </c>
      <c r="G685" s="7">
        <f>'1 prepared data'!F678</f>
        <v/>
      </c>
      <c r="H685" s="7">
        <f>'1 prepared data'!G678</f>
        <v/>
      </c>
      <c r="I685" s="7">
        <f>'1 prepared data'!H678</f>
        <v/>
      </c>
      <c r="J685" s="7">
        <f>'1 prepared data'!I678</f>
        <v/>
      </c>
      <c r="K685" s="7">
        <f>'1 prepared data'!J678</f>
        <v/>
      </c>
      <c r="L685" s="7">
        <f>'1 prepared data'!K678</f>
        <v/>
      </c>
      <c r="M685" s="7">
        <f>'1 prepared data'!L678</f>
        <v/>
      </c>
      <c r="N685" s="7">
        <f>'1 prepared data'!M678</f>
        <v/>
      </c>
      <c r="O685" s="7">
        <f>'1 prepared data'!N678</f>
        <v/>
      </c>
      <c r="P685" s="7">
        <f>'1 prepared data'!O678</f>
        <v/>
      </c>
      <c r="Q685" s="7">
        <f>'1 prepared data'!P678</f>
        <v/>
      </c>
      <c r="R685" s="7">
        <f>'1 prepared data'!Q678</f>
        <v/>
      </c>
      <c r="S685" s="7">
        <f>'1 prepared data'!R678</f>
        <v/>
      </c>
      <c r="T685" s="7">
        <f>'1 prepared data'!S678</f>
        <v/>
      </c>
      <c r="U685" s="7">
        <f>'1 prepared data'!T678</f>
        <v/>
      </c>
      <c r="V685" s="8">
        <f>$AC$12+D685*$AC$13+E685*$AC$14+F685*$AC$15+G685*$AC$16+H685*$AC$17+I685*$AC$18+J685*$AC$19+K685*$AC$20+L685*$AC$21+M685*$AC$22+N685*$AC$23+O685*$AC$24+P685*$AC$25+Q685*$AC$26+R685*$AC$27+S685*$AC$28+T685*$AC$29+U685*$AC$30</f>
        <v/>
      </c>
      <c r="W685" s="8">
        <f>1/(1+EXP(-V685))</f>
        <v/>
      </c>
      <c r="X685" s="9">
        <f>-IF(C685=1,LN(W685),LN(1-W685))</f>
        <v/>
      </c>
      <c r="Y685" s="10">
        <f>IF(W685&gt;$AC$34,1,0)</f>
        <v/>
      </c>
      <c r="Z685">
        <f>IF(Y685=C685,1,0)</f>
        <v/>
      </c>
    </row>
    <row r="686">
      <c r="A686">
        <f>'1 prepared data'!A679</f>
        <v/>
      </c>
      <c r="B686" s="5">
        <f>'1 prepared data'!U679</f>
        <v/>
      </c>
      <c r="C686">
        <f>'1 prepared data'!B679</f>
        <v/>
      </c>
      <c r="D686" s="7">
        <f>'1 prepared data'!C679</f>
        <v/>
      </c>
      <c r="E686" s="7">
        <f>'1 prepared data'!D679</f>
        <v/>
      </c>
      <c r="F686" s="7">
        <f>'1 prepared data'!E679</f>
        <v/>
      </c>
      <c r="G686" s="7">
        <f>'1 prepared data'!F679</f>
        <v/>
      </c>
      <c r="H686" s="7">
        <f>'1 prepared data'!G679</f>
        <v/>
      </c>
      <c r="I686" s="7">
        <f>'1 prepared data'!H679</f>
        <v/>
      </c>
      <c r="J686" s="7">
        <f>'1 prepared data'!I679</f>
        <v/>
      </c>
      <c r="K686" s="7">
        <f>'1 prepared data'!J679</f>
        <v/>
      </c>
      <c r="L686" s="7">
        <f>'1 prepared data'!K679</f>
        <v/>
      </c>
      <c r="M686" s="7">
        <f>'1 prepared data'!L679</f>
        <v/>
      </c>
      <c r="N686" s="7">
        <f>'1 prepared data'!M679</f>
        <v/>
      </c>
      <c r="O686" s="7">
        <f>'1 prepared data'!N679</f>
        <v/>
      </c>
      <c r="P686" s="7">
        <f>'1 prepared data'!O679</f>
        <v/>
      </c>
      <c r="Q686" s="7">
        <f>'1 prepared data'!P679</f>
        <v/>
      </c>
      <c r="R686" s="7">
        <f>'1 prepared data'!Q679</f>
        <v/>
      </c>
      <c r="S686" s="7">
        <f>'1 prepared data'!R679</f>
        <v/>
      </c>
      <c r="T686" s="7">
        <f>'1 prepared data'!S679</f>
        <v/>
      </c>
      <c r="U686" s="7">
        <f>'1 prepared data'!T679</f>
        <v/>
      </c>
      <c r="V686" s="8">
        <f>$AC$12+D686*$AC$13+E686*$AC$14+F686*$AC$15+G686*$AC$16+H686*$AC$17+I686*$AC$18+J686*$AC$19+K686*$AC$20+L686*$AC$21+M686*$AC$22+N686*$AC$23+O686*$AC$24+P686*$AC$25+Q686*$AC$26+R686*$AC$27+S686*$AC$28+T686*$AC$29+U686*$AC$30</f>
        <v/>
      </c>
      <c r="W686" s="8">
        <f>1/(1+EXP(-V686))</f>
        <v/>
      </c>
      <c r="X686" s="9">
        <f>-IF(C686=1,LN(W686),LN(1-W686))</f>
        <v/>
      </c>
      <c r="Y686" s="10">
        <f>IF(W686&gt;$AC$34,1,0)</f>
        <v/>
      </c>
      <c r="Z686">
        <f>IF(Y686=C686,1,0)</f>
        <v/>
      </c>
    </row>
    <row r="687">
      <c r="A687">
        <f>'1 prepared data'!A680</f>
        <v/>
      </c>
      <c r="B687" s="5">
        <f>'1 prepared data'!U680</f>
        <v/>
      </c>
      <c r="C687">
        <f>'1 prepared data'!B680</f>
        <v/>
      </c>
      <c r="D687" s="7">
        <f>'1 prepared data'!C680</f>
        <v/>
      </c>
      <c r="E687" s="7">
        <f>'1 prepared data'!D680</f>
        <v/>
      </c>
      <c r="F687" s="7">
        <f>'1 prepared data'!E680</f>
        <v/>
      </c>
      <c r="G687" s="7">
        <f>'1 prepared data'!F680</f>
        <v/>
      </c>
      <c r="H687" s="7">
        <f>'1 prepared data'!G680</f>
        <v/>
      </c>
      <c r="I687" s="7">
        <f>'1 prepared data'!H680</f>
        <v/>
      </c>
      <c r="J687" s="7">
        <f>'1 prepared data'!I680</f>
        <v/>
      </c>
      <c r="K687" s="7">
        <f>'1 prepared data'!J680</f>
        <v/>
      </c>
      <c r="L687" s="7">
        <f>'1 prepared data'!K680</f>
        <v/>
      </c>
      <c r="M687" s="7">
        <f>'1 prepared data'!L680</f>
        <v/>
      </c>
      <c r="N687" s="7">
        <f>'1 prepared data'!M680</f>
        <v/>
      </c>
      <c r="O687" s="7">
        <f>'1 prepared data'!N680</f>
        <v/>
      </c>
      <c r="P687" s="7">
        <f>'1 prepared data'!O680</f>
        <v/>
      </c>
      <c r="Q687" s="7">
        <f>'1 prepared data'!P680</f>
        <v/>
      </c>
      <c r="R687" s="7">
        <f>'1 prepared data'!Q680</f>
        <v/>
      </c>
      <c r="S687" s="7">
        <f>'1 prepared data'!R680</f>
        <v/>
      </c>
      <c r="T687" s="7">
        <f>'1 prepared data'!S680</f>
        <v/>
      </c>
      <c r="U687" s="7">
        <f>'1 prepared data'!T680</f>
        <v/>
      </c>
      <c r="V687" s="8">
        <f>$AC$12+D687*$AC$13+E687*$AC$14+F687*$AC$15+G687*$AC$16+H687*$AC$17+I687*$AC$18+J687*$AC$19+K687*$AC$20+L687*$AC$21+M687*$AC$22+N687*$AC$23+O687*$AC$24+P687*$AC$25+Q687*$AC$26+R687*$AC$27+S687*$AC$28+T687*$AC$29+U687*$AC$30</f>
        <v/>
      </c>
      <c r="W687" s="8">
        <f>1/(1+EXP(-V687))</f>
        <v/>
      </c>
      <c r="X687" s="9">
        <f>-IF(C687=1,LN(W687),LN(1-W687))</f>
        <v/>
      </c>
      <c r="Y687" s="10">
        <f>IF(W687&gt;$AC$34,1,0)</f>
        <v/>
      </c>
      <c r="Z687">
        <f>IF(Y687=C687,1,0)</f>
        <v/>
      </c>
    </row>
    <row r="688">
      <c r="A688">
        <f>'1 prepared data'!A681</f>
        <v/>
      </c>
      <c r="B688" s="5">
        <f>'1 prepared data'!U681</f>
        <v/>
      </c>
      <c r="C688">
        <f>'1 prepared data'!B681</f>
        <v/>
      </c>
      <c r="D688" s="7">
        <f>'1 prepared data'!C681</f>
        <v/>
      </c>
      <c r="E688" s="7">
        <f>'1 prepared data'!D681</f>
        <v/>
      </c>
      <c r="F688" s="7">
        <f>'1 prepared data'!E681</f>
        <v/>
      </c>
      <c r="G688" s="7">
        <f>'1 prepared data'!F681</f>
        <v/>
      </c>
      <c r="H688" s="7">
        <f>'1 prepared data'!G681</f>
        <v/>
      </c>
      <c r="I688" s="7">
        <f>'1 prepared data'!H681</f>
        <v/>
      </c>
      <c r="J688" s="7">
        <f>'1 prepared data'!I681</f>
        <v/>
      </c>
      <c r="K688" s="7">
        <f>'1 prepared data'!J681</f>
        <v/>
      </c>
      <c r="L688" s="7">
        <f>'1 prepared data'!K681</f>
        <v/>
      </c>
      <c r="M688" s="7">
        <f>'1 prepared data'!L681</f>
        <v/>
      </c>
      <c r="N688" s="7">
        <f>'1 prepared data'!M681</f>
        <v/>
      </c>
      <c r="O688" s="7">
        <f>'1 prepared data'!N681</f>
        <v/>
      </c>
      <c r="P688" s="7">
        <f>'1 prepared data'!O681</f>
        <v/>
      </c>
      <c r="Q688" s="7">
        <f>'1 prepared data'!P681</f>
        <v/>
      </c>
      <c r="R688" s="7">
        <f>'1 prepared data'!Q681</f>
        <v/>
      </c>
      <c r="S688" s="7">
        <f>'1 prepared data'!R681</f>
        <v/>
      </c>
      <c r="T688" s="7">
        <f>'1 prepared data'!S681</f>
        <v/>
      </c>
      <c r="U688" s="7">
        <f>'1 prepared data'!T681</f>
        <v/>
      </c>
      <c r="V688" s="8">
        <f>$AC$12+D688*$AC$13+E688*$AC$14+F688*$AC$15+G688*$AC$16+H688*$AC$17+I688*$AC$18+J688*$AC$19+K688*$AC$20+L688*$AC$21+M688*$AC$22+N688*$AC$23+O688*$AC$24+P688*$AC$25+Q688*$AC$26+R688*$AC$27+S688*$AC$28+T688*$AC$29+U688*$AC$30</f>
        <v/>
      </c>
      <c r="W688" s="8">
        <f>1/(1+EXP(-V688))</f>
        <v/>
      </c>
      <c r="X688" s="9">
        <f>-IF(C688=1,LN(W688),LN(1-W688))</f>
        <v/>
      </c>
      <c r="Y688" s="10">
        <f>IF(W688&gt;$AC$34,1,0)</f>
        <v/>
      </c>
      <c r="Z688">
        <f>IF(Y688=C688,1,0)</f>
        <v/>
      </c>
    </row>
    <row r="689">
      <c r="A689">
        <f>'1 prepared data'!A682</f>
        <v/>
      </c>
      <c r="B689" s="5">
        <f>'1 prepared data'!U682</f>
        <v/>
      </c>
      <c r="C689">
        <f>'1 prepared data'!B682</f>
        <v/>
      </c>
      <c r="D689" s="7">
        <f>'1 prepared data'!C682</f>
        <v/>
      </c>
      <c r="E689" s="7">
        <f>'1 prepared data'!D682</f>
        <v/>
      </c>
      <c r="F689" s="7">
        <f>'1 prepared data'!E682</f>
        <v/>
      </c>
      <c r="G689" s="7">
        <f>'1 prepared data'!F682</f>
        <v/>
      </c>
      <c r="H689" s="7">
        <f>'1 prepared data'!G682</f>
        <v/>
      </c>
      <c r="I689" s="7">
        <f>'1 prepared data'!H682</f>
        <v/>
      </c>
      <c r="J689" s="7">
        <f>'1 prepared data'!I682</f>
        <v/>
      </c>
      <c r="K689" s="7">
        <f>'1 prepared data'!J682</f>
        <v/>
      </c>
      <c r="L689" s="7">
        <f>'1 prepared data'!K682</f>
        <v/>
      </c>
      <c r="M689" s="7">
        <f>'1 prepared data'!L682</f>
        <v/>
      </c>
      <c r="N689" s="7">
        <f>'1 prepared data'!M682</f>
        <v/>
      </c>
      <c r="O689" s="7">
        <f>'1 prepared data'!N682</f>
        <v/>
      </c>
      <c r="P689" s="7">
        <f>'1 prepared data'!O682</f>
        <v/>
      </c>
      <c r="Q689" s="7">
        <f>'1 prepared data'!P682</f>
        <v/>
      </c>
      <c r="R689" s="7">
        <f>'1 prepared data'!Q682</f>
        <v/>
      </c>
      <c r="S689" s="7">
        <f>'1 prepared data'!R682</f>
        <v/>
      </c>
      <c r="T689" s="7">
        <f>'1 prepared data'!S682</f>
        <v/>
      </c>
      <c r="U689" s="7">
        <f>'1 prepared data'!T682</f>
        <v/>
      </c>
      <c r="V689" s="8">
        <f>$AC$12+D689*$AC$13+E689*$AC$14+F689*$AC$15+G689*$AC$16+H689*$AC$17+I689*$AC$18+J689*$AC$19+K689*$AC$20+L689*$AC$21+M689*$AC$22+N689*$AC$23+O689*$AC$24+P689*$AC$25+Q689*$AC$26+R689*$AC$27+S689*$AC$28+T689*$AC$29+U689*$AC$30</f>
        <v/>
      </c>
      <c r="W689" s="8">
        <f>1/(1+EXP(-V689))</f>
        <v/>
      </c>
      <c r="X689" s="9">
        <f>-IF(C689=1,LN(W689),LN(1-W689))</f>
        <v/>
      </c>
      <c r="Y689" s="10">
        <f>IF(W689&gt;$AC$34,1,0)</f>
        <v/>
      </c>
      <c r="Z689">
        <f>IF(Y689=C689,1,0)</f>
        <v/>
      </c>
    </row>
    <row r="690">
      <c r="A690">
        <f>'1 prepared data'!A683</f>
        <v/>
      </c>
      <c r="B690" s="5">
        <f>'1 prepared data'!U683</f>
        <v/>
      </c>
      <c r="C690">
        <f>'1 prepared data'!B683</f>
        <v/>
      </c>
      <c r="D690" s="7">
        <f>'1 prepared data'!C683</f>
        <v/>
      </c>
      <c r="E690" s="7">
        <f>'1 prepared data'!D683</f>
        <v/>
      </c>
      <c r="F690" s="7">
        <f>'1 prepared data'!E683</f>
        <v/>
      </c>
      <c r="G690" s="7">
        <f>'1 prepared data'!F683</f>
        <v/>
      </c>
      <c r="H690" s="7">
        <f>'1 prepared data'!G683</f>
        <v/>
      </c>
      <c r="I690" s="7">
        <f>'1 prepared data'!H683</f>
        <v/>
      </c>
      <c r="J690" s="7">
        <f>'1 prepared data'!I683</f>
        <v/>
      </c>
      <c r="K690" s="7">
        <f>'1 prepared data'!J683</f>
        <v/>
      </c>
      <c r="L690" s="7">
        <f>'1 prepared data'!K683</f>
        <v/>
      </c>
      <c r="M690" s="7">
        <f>'1 prepared data'!L683</f>
        <v/>
      </c>
      <c r="N690" s="7">
        <f>'1 prepared data'!M683</f>
        <v/>
      </c>
      <c r="O690" s="7">
        <f>'1 prepared data'!N683</f>
        <v/>
      </c>
      <c r="P690" s="7">
        <f>'1 prepared data'!O683</f>
        <v/>
      </c>
      <c r="Q690" s="7">
        <f>'1 prepared data'!P683</f>
        <v/>
      </c>
      <c r="R690" s="7">
        <f>'1 prepared data'!Q683</f>
        <v/>
      </c>
      <c r="S690" s="7">
        <f>'1 prepared data'!R683</f>
        <v/>
      </c>
      <c r="T690" s="7">
        <f>'1 prepared data'!S683</f>
        <v/>
      </c>
      <c r="U690" s="7">
        <f>'1 prepared data'!T683</f>
        <v/>
      </c>
      <c r="V690" s="8">
        <f>$AC$12+D690*$AC$13+E690*$AC$14+F690*$AC$15+G690*$AC$16+H690*$AC$17+I690*$AC$18+J690*$AC$19+K690*$AC$20+L690*$AC$21+M690*$AC$22+N690*$AC$23+O690*$AC$24+P690*$AC$25+Q690*$AC$26+R690*$AC$27+S690*$AC$28+T690*$AC$29+U690*$AC$30</f>
        <v/>
      </c>
      <c r="W690" s="8">
        <f>1/(1+EXP(-V690))</f>
        <v/>
      </c>
      <c r="X690" s="9">
        <f>-IF(C690=1,LN(W690),LN(1-W690))</f>
        <v/>
      </c>
      <c r="Y690" s="10">
        <f>IF(W690&gt;$AC$34,1,0)</f>
        <v/>
      </c>
      <c r="Z690">
        <f>IF(Y690=C690,1,0)</f>
        <v/>
      </c>
    </row>
    <row r="691">
      <c r="A691">
        <f>'1 prepared data'!A684</f>
        <v/>
      </c>
      <c r="B691" s="5">
        <f>'1 prepared data'!U684</f>
        <v/>
      </c>
      <c r="C691">
        <f>'1 prepared data'!B684</f>
        <v/>
      </c>
      <c r="D691" s="7">
        <f>'1 prepared data'!C684</f>
        <v/>
      </c>
      <c r="E691" s="7">
        <f>'1 prepared data'!D684</f>
        <v/>
      </c>
      <c r="F691" s="7">
        <f>'1 prepared data'!E684</f>
        <v/>
      </c>
      <c r="G691" s="7">
        <f>'1 prepared data'!F684</f>
        <v/>
      </c>
      <c r="H691" s="7">
        <f>'1 prepared data'!G684</f>
        <v/>
      </c>
      <c r="I691" s="7">
        <f>'1 prepared data'!H684</f>
        <v/>
      </c>
      <c r="J691" s="7">
        <f>'1 prepared data'!I684</f>
        <v/>
      </c>
      <c r="K691" s="7">
        <f>'1 prepared data'!J684</f>
        <v/>
      </c>
      <c r="L691" s="7">
        <f>'1 prepared data'!K684</f>
        <v/>
      </c>
      <c r="M691" s="7">
        <f>'1 prepared data'!L684</f>
        <v/>
      </c>
      <c r="N691" s="7">
        <f>'1 prepared data'!M684</f>
        <v/>
      </c>
      <c r="O691" s="7">
        <f>'1 prepared data'!N684</f>
        <v/>
      </c>
      <c r="P691" s="7">
        <f>'1 prepared data'!O684</f>
        <v/>
      </c>
      <c r="Q691" s="7">
        <f>'1 prepared data'!P684</f>
        <v/>
      </c>
      <c r="R691" s="7">
        <f>'1 prepared data'!Q684</f>
        <v/>
      </c>
      <c r="S691" s="7">
        <f>'1 prepared data'!R684</f>
        <v/>
      </c>
      <c r="T691" s="7">
        <f>'1 prepared data'!S684</f>
        <v/>
      </c>
      <c r="U691" s="7">
        <f>'1 prepared data'!T684</f>
        <v/>
      </c>
      <c r="V691" s="8">
        <f>$AC$12+D691*$AC$13+E691*$AC$14+F691*$AC$15+G691*$AC$16+H691*$AC$17+I691*$AC$18+J691*$AC$19+K691*$AC$20+L691*$AC$21+M691*$AC$22+N691*$AC$23+O691*$AC$24+P691*$AC$25+Q691*$AC$26+R691*$AC$27+S691*$AC$28+T691*$AC$29+U691*$AC$30</f>
        <v/>
      </c>
      <c r="W691" s="8">
        <f>1/(1+EXP(-V691))</f>
        <v/>
      </c>
      <c r="X691" s="9">
        <f>-IF(C691=1,LN(W691),LN(1-W691))</f>
        <v/>
      </c>
      <c r="Y691" s="10">
        <f>IF(W691&gt;$AC$34,1,0)</f>
        <v/>
      </c>
      <c r="Z691">
        <f>IF(Y691=C691,1,0)</f>
        <v/>
      </c>
    </row>
    <row r="692">
      <c r="A692">
        <f>'1 prepared data'!A685</f>
        <v/>
      </c>
      <c r="B692" s="5">
        <f>'1 prepared data'!U685</f>
        <v/>
      </c>
      <c r="C692">
        <f>'1 prepared data'!B685</f>
        <v/>
      </c>
      <c r="D692" s="7">
        <f>'1 prepared data'!C685</f>
        <v/>
      </c>
      <c r="E692" s="7">
        <f>'1 prepared data'!D685</f>
        <v/>
      </c>
      <c r="F692" s="7">
        <f>'1 prepared data'!E685</f>
        <v/>
      </c>
      <c r="G692" s="7">
        <f>'1 prepared data'!F685</f>
        <v/>
      </c>
      <c r="H692" s="7">
        <f>'1 prepared data'!G685</f>
        <v/>
      </c>
      <c r="I692" s="7">
        <f>'1 prepared data'!H685</f>
        <v/>
      </c>
      <c r="J692" s="7">
        <f>'1 prepared data'!I685</f>
        <v/>
      </c>
      <c r="K692" s="7">
        <f>'1 prepared data'!J685</f>
        <v/>
      </c>
      <c r="L692" s="7">
        <f>'1 prepared data'!K685</f>
        <v/>
      </c>
      <c r="M692" s="7">
        <f>'1 prepared data'!L685</f>
        <v/>
      </c>
      <c r="N692" s="7">
        <f>'1 prepared data'!M685</f>
        <v/>
      </c>
      <c r="O692" s="7">
        <f>'1 prepared data'!N685</f>
        <v/>
      </c>
      <c r="P692" s="7">
        <f>'1 prepared data'!O685</f>
        <v/>
      </c>
      <c r="Q692" s="7">
        <f>'1 prepared data'!P685</f>
        <v/>
      </c>
      <c r="R692" s="7">
        <f>'1 prepared data'!Q685</f>
        <v/>
      </c>
      <c r="S692" s="7">
        <f>'1 prepared data'!R685</f>
        <v/>
      </c>
      <c r="T692" s="7">
        <f>'1 prepared data'!S685</f>
        <v/>
      </c>
      <c r="U692" s="7">
        <f>'1 prepared data'!T685</f>
        <v/>
      </c>
      <c r="V692" s="8">
        <f>$AC$12+D692*$AC$13+E692*$AC$14+F692*$AC$15+G692*$AC$16+H692*$AC$17+I692*$AC$18+J692*$AC$19+K692*$AC$20+L692*$AC$21+M692*$AC$22+N692*$AC$23+O692*$AC$24+P692*$AC$25+Q692*$AC$26+R692*$AC$27+S692*$AC$28+T692*$AC$29+U692*$AC$30</f>
        <v/>
      </c>
      <c r="W692" s="8">
        <f>1/(1+EXP(-V692))</f>
        <v/>
      </c>
      <c r="X692" s="9">
        <f>-IF(C692=1,LN(W692),LN(1-W692))</f>
        <v/>
      </c>
      <c r="Y692" s="10">
        <f>IF(W692&gt;$AC$34,1,0)</f>
        <v/>
      </c>
      <c r="Z692">
        <f>IF(Y692=C692,1,0)</f>
        <v/>
      </c>
    </row>
    <row r="693">
      <c r="A693">
        <f>'1 prepared data'!A686</f>
        <v/>
      </c>
      <c r="B693" s="5">
        <f>'1 prepared data'!U686</f>
        <v/>
      </c>
      <c r="C693">
        <f>'1 prepared data'!B686</f>
        <v/>
      </c>
      <c r="D693" s="7">
        <f>'1 prepared data'!C686</f>
        <v/>
      </c>
      <c r="E693" s="7">
        <f>'1 prepared data'!D686</f>
        <v/>
      </c>
      <c r="F693" s="7">
        <f>'1 prepared data'!E686</f>
        <v/>
      </c>
      <c r="G693" s="7">
        <f>'1 prepared data'!F686</f>
        <v/>
      </c>
      <c r="H693" s="7">
        <f>'1 prepared data'!G686</f>
        <v/>
      </c>
      <c r="I693" s="7">
        <f>'1 prepared data'!H686</f>
        <v/>
      </c>
      <c r="J693" s="7">
        <f>'1 prepared data'!I686</f>
        <v/>
      </c>
      <c r="K693" s="7">
        <f>'1 prepared data'!J686</f>
        <v/>
      </c>
      <c r="L693" s="7">
        <f>'1 prepared data'!K686</f>
        <v/>
      </c>
      <c r="M693" s="7">
        <f>'1 prepared data'!L686</f>
        <v/>
      </c>
      <c r="N693" s="7">
        <f>'1 prepared data'!M686</f>
        <v/>
      </c>
      <c r="O693" s="7">
        <f>'1 prepared data'!N686</f>
        <v/>
      </c>
      <c r="P693" s="7">
        <f>'1 prepared data'!O686</f>
        <v/>
      </c>
      <c r="Q693" s="7">
        <f>'1 prepared data'!P686</f>
        <v/>
      </c>
      <c r="R693" s="7">
        <f>'1 prepared data'!Q686</f>
        <v/>
      </c>
      <c r="S693" s="7">
        <f>'1 prepared data'!R686</f>
        <v/>
      </c>
      <c r="T693" s="7">
        <f>'1 prepared data'!S686</f>
        <v/>
      </c>
      <c r="U693" s="7">
        <f>'1 prepared data'!T686</f>
        <v/>
      </c>
      <c r="V693" s="8">
        <f>$AC$12+D693*$AC$13+E693*$AC$14+F693*$AC$15+G693*$AC$16+H693*$AC$17+I693*$AC$18+J693*$AC$19+K693*$AC$20+L693*$AC$21+M693*$AC$22+N693*$AC$23+O693*$AC$24+P693*$AC$25+Q693*$AC$26+R693*$AC$27+S693*$AC$28+T693*$AC$29+U693*$AC$30</f>
        <v/>
      </c>
      <c r="W693" s="8">
        <f>1/(1+EXP(-V693))</f>
        <v/>
      </c>
      <c r="X693" s="9">
        <f>-IF(C693=1,LN(W693),LN(1-W693))</f>
        <v/>
      </c>
      <c r="Y693" s="10">
        <f>IF(W693&gt;$AC$34,1,0)</f>
        <v/>
      </c>
      <c r="Z693">
        <f>IF(Y693=C693,1,0)</f>
        <v/>
      </c>
    </row>
    <row r="694">
      <c r="A694">
        <f>'1 prepared data'!A687</f>
        <v/>
      </c>
      <c r="B694" s="5">
        <f>'1 prepared data'!U687</f>
        <v/>
      </c>
      <c r="C694">
        <f>'1 prepared data'!B687</f>
        <v/>
      </c>
      <c r="D694" s="7">
        <f>'1 prepared data'!C687</f>
        <v/>
      </c>
      <c r="E694" s="7">
        <f>'1 prepared data'!D687</f>
        <v/>
      </c>
      <c r="F694" s="7">
        <f>'1 prepared data'!E687</f>
        <v/>
      </c>
      <c r="G694" s="7">
        <f>'1 prepared data'!F687</f>
        <v/>
      </c>
      <c r="H694" s="7">
        <f>'1 prepared data'!G687</f>
        <v/>
      </c>
      <c r="I694" s="7">
        <f>'1 prepared data'!H687</f>
        <v/>
      </c>
      <c r="J694" s="7">
        <f>'1 prepared data'!I687</f>
        <v/>
      </c>
      <c r="K694" s="7">
        <f>'1 prepared data'!J687</f>
        <v/>
      </c>
      <c r="L694" s="7">
        <f>'1 prepared data'!K687</f>
        <v/>
      </c>
      <c r="M694" s="7">
        <f>'1 prepared data'!L687</f>
        <v/>
      </c>
      <c r="N694" s="7">
        <f>'1 prepared data'!M687</f>
        <v/>
      </c>
      <c r="O694" s="7">
        <f>'1 prepared data'!N687</f>
        <v/>
      </c>
      <c r="P694" s="7">
        <f>'1 prepared data'!O687</f>
        <v/>
      </c>
      <c r="Q694" s="7">
        <f>'1 prepared data'!P687</f>
        <v/>
      </c>
      <c r="R694" s="7">
        <f>'1 prepared data'!Q687</f>
        <v/>
      </c>
      <c r="S694" s="7">
        <f>'1 prepared data'!R687</f>
        <v/>
      </c>
      <c r="T694" s="7">
        <f>'1 prepared data'!S687</f>
        <v/>
      </c>
      <c r="U694" s="7">
        <f>'1 prepared data'!T687</f>
        <v/>
      </c>
      <c r="V694" s="8">
        <f>$AC$12+D694*$AC$13+E694*$AC$14+F694*$AC$15+G694*$AC$16+H694*$AC$17+I694*$AC$18+J694*$AC$19+K694*$AC$20+L694*$AC$21+M694*$AC$22+N694*$AC$23+O694*$AC$24+P694*$AC$25+Q694*$AC$26+R694*$AC$27+S694*$AC$28+T694*$AC$29+U694*$AC$30</f>
        <v/>
      </c>
      <c r="W694" s="8">
        <f>1/(1+EXP(-V694))</f>
        <v/>
      </c>
      <c r="X694" s="9">
        <f>-IF(C694=1,LN(W694),LN(1-W694))</f>
        <v/>
      </c>
      <c r="Y694" s="10">
        <f>IF(W694&gt;$AC$34,1,0)</f>
        <v/>
      </c>
      <c r="Z694">
        <f>IF(Y694=C694,1,0)</f>
        <v/>
      </c>
    </row>
    <row r="695">
      <c r="A695">
        <f>'1 prepared data'!A688</f>
        <v/>
      </c>
      <c r="B695" s="5">
        <f>'1 prepared data'!U688</f>
        <v/>
      </c>
      <c r="C695">
        <f>'1 prepared data'!B688</f>
        <v/>
      </c>
      <c r="D695" s="7">
        <f>'1 prepared data'!C688</f>
        <v/>
      </c>
      <c r="E695" s="7">
        <f>'1 prepared data'!D688</f>
        <v/>
      </c>
      <c r="F695" s="7">
        <f>'1 prepared data'!E688</f>
        <v/>
      </c>
      <c r="G695" s="7">
        <f>'1 prepared data'!F688</f>
        <v/>
      </c>
      <c r="H695" s="7">
        <f>'1 prepared data'!G688</f>
        <v/>
      </c>
      <c r="I695" s="7">
        <f>'1 prepared data'!H688</f>
        <v/>
      </c>
      <c r="J695" s="7">
        <f>'1 prepared data'!I688</f>
        <v/>
      </c>
      <c r="K695" s="7">
        <f>'1 prepared data'!J688</f>
        <v/>
      </c>
      <c r="L695" s="7">
        <f>'1 prepared data'!K688</f>
        <v/>
      </c>
      <c r="M695" s="7">
        <f>'1 prepared data'!L688</f>
        <v/>
      </c>
      <c r="N695" s="7">
        <f>'1 prepared data'!M688</f>
        <v/>
      </c>
      <c r="O695" s="7">
        <f>'1 prepared data'!N688</f>
        <v/>
      </c>
      <c r="P695" s="7">
        <f>'1 prepared data'!O688</f>
        <v/>
      </c>
      <c r="Q695" s="7">
        <f>'1 prepared data'!P688</f>
        <v/>
      </c>
      <c r="R695" s="7">
        <f>'1 prepared data'!Q688</f>
        <v/>
      </c>
      <c r="S695" s="7">
        <f>'1 prepared data'!R688</f>
        <v/>
      </c>
      <c r="T695" s="7">
        <f>'1 prepared data'!S688</f>
        <v/>
      </c>
      <c r="U695" s="7">
        <f>'1 prepared data'!T688</f>
        <v/>
      </c>
      <c r="V695" s="8">
        <f>$AC$12+D695*$AC$13+E695*$AC$14+F695*$AC$15+G695*$AC$16+H695*$AC$17+I695*$AC$18+J695*$AC$19+K695*$AC$20+L695*$AC$21+M695*$AC$22+N695*$AC$23+O695*$AC$24+P695*$AC$25+Q695*$AC$26+R695*$AC$27+S695*$AC$28+T695*$AC$29+U695*$AC$30</f>
        <v/>
      </c>
      <c r="W695" s="8">
        <f>1/(1+EXP(-V695))</f>
        <v/>
      </c>
      <c r="X695" s="9">
        <f>-IF(C695=1,LN(W695),LN(1-W695))</f>
        <v/>
      </c>
      <c r="Y695" s="10">
        <f>IF(W695&gt;$AC$34,1,0)</f>
        <v/>
      </c>
      <c r="Z695">
        <f>IF(Y695=C695,1,0)</f>
        <v/>
      </c>
    </row>
    <row r="696">
      <c r="A696">
        <f>'1 prepared data'!A689</f>
        <v/>
      </c>
      <c r="B696" s="5">
        <f>'1 prepared data'!U689</f>
        <v/>
      </c>
      <c r="C696">
        <f>'1 prepared data'!B689</f>
        <v/>
      </c>
      <c r="D696" s="7">
        <f>'1 prepared data'!C689</f>
        <v/>
      </c>
      <c r="E696" s="7">
        <f>'1 prepared data'!D689</f>
        <v/>
      </c>
      <c r="F696" s="7">
        <f>'1 prepared data'!E689</f>
        <v/>
      </c>
      <c r="G696" s="7">
        <f>'1 prepared data'!F689</f>
        <v/>
      </c>
      <c r="H696" s="7">
        <f>'1 prepared data'!G689</f>
        <v/>
      </c>
      <c r="I696" s="7">
        <f>'1 prepared data'!H689</f>
        <v/>
      </c>
      <c r="J696" s="7">
        <f>'1 prepared data'!I689</f>
        <v/>
      </c>
      <c r="K696" s="7">
        <f>'1 prepared data'!J689</f>
        <v/>
      </c>
      <c r="L696" s="7">
        <f>'1 prepared data'!K689</f>
        <v/>
      </c>
      <c r="M696" s="7">
        <f>'1 prepared data'!L689</f>
        <v/>
      </c>
      <c r="N696" s="7">
        <f>'1 prepared data'!M689</f>
        <v/>
      </c>
      <c r="O696" s="7">
        <f>'1 prepared data'!N689</f>
        <v/>
      </c>
      <c r="P696" s="7">
        <f>'1 prepared data'!O689</f>
        <v/>
      </c>
      <c r="Q696" s="7">
        <f>'1 prepared data'!P689</f>
        <v/>
      </c>
      <c r="R696" s="7">
        <f>'1 prepared data'!Q689</f>
        <v/>
      </c>
      <c r="S696" s="7">
        <f>'1 prepared data'!R689</f>
        <v/>
      </c>
      <c r="T696" s="7">
        <f>'1 prepared data'!S689</f>
        <v/>
      </c>
      <c r="U696" s="7">
        <f>'1 prepared data'!T689</f>
        <v/>
      </c>
      <c r="V696" s="8">
        <f>$AC$12+D696*$AC$13+E696*$AC$14+F696*$AC$15+G696*$AC$16+H696*$AC$17+I696*$AC$18+J696*$AC$19+K696*$AC$20+L696*$AC$21+M696*$AC$22+N696*$AC$23+O696*$AC$24+P696*$AC$25+Q696*$AC$26+R696*$AC$27+S696*$AC$28+T696*$AC$29+U696*$AC$30</f>
        <v/>
      </c>
      <c r="W696" s="8">
        <f>1/(1+EXP(-V696))</f>
        <v/>
      </c>
      <c r="X696" s="9">
        <f>-IF(C696=1,LN(W696),LN(1-W696))</f>
        <v/>
      </c>
      <c r="Y696" s="10">
        <f>IF(W696&gt;$AC$34,1,0)</f>
        <v/>
      </c>
      <c r="Z696">
        <f>IF(Y696=C696,1,0)</f>
        <v/>
      </c>
    </row>
    <row r="697">
      <c r="A697">
        <f>'1 prepared data'!A690</f>
        <v/>
      </c>
      <c r="B697" s="5">
        <f>'1 prepared data'!U690</f>
        <v/>
      </c>
      <c r="C697">
        <f>'1 prepared data'!B690</f>
        <v/>
      </c>
      <c r="D697" s="7">
        <f>'1 prepared data'!C690</f>
        <v/>
      </c>
      <c r="E697" s="7">
        <f>'1 prepared data'!D690</f>
        <v/>
      </c>
      <c r="F697" s="7">
        <f>'1 prepared data'!E690</f>
        <v/>
      </c>
      <c r="G697" s="7">
        <f>'1 prepared data'!F690</f>
        <v/>
      </c>
      <c r="H697" s="7">
        <f>'1 prepared data'!G690</f>
        <v/>
      </c>
      <c r="I697" s="7">
        <f>'1 prepared data'!H690</f>
        <v/>
      </c>
      <c r="J697" s="7">
        <f>'1 prepared data'!I690</f>
        <v/>
      </c>
      <c r="K697" s="7">
        <f>'1 prepared data'!J690</f>
        <v/>
      </c>
      <c r="L697" s="7">
        <f>'1 prepared data'!K690</f>
        <v/>
      </c>
      <c r="M697" s="7">
        <f>'1 prepared data'!L690</f>
        <v/>
      </c>
      <c r="N697" s="7">
        <f>'1 prepared data'!M690</f>
        <v/>
      </c>
      <c r="O697" s="7">
        <f>'1 prepared data'!N690</f>
        <v/>
      </c>
      <c r="P697" s="7">
        <f>'1 prepared data'!O690</f>
        <v/>
      </c>
      <c r="Q697" s="7">
        <f>'1 prepared data'!P690</f>
        <v/>
      </c>
      <c r="R697" s="7">
        <f>'1 prepared data'!Q690</f>
        <v/>
      </c>
      <c r="S697" s="7">
        <f>'1 prepared data'!R690</f>
        <v/>
      </c>
      <c r="T697" s="7">
        <f>'1 prepared data'!S690</f>
        <v/>
      </c>
      <c r="U697" s="7">
        <f>'1 prepared data'!T690</f>
        <v/>
      </c>
      <c r="V697" s="8">
        <f>$AC$12+D697*$AC$13+E697*$AC$14+F697*$AC$15+G697*$AC$16+H697*$AC$17+I697*$AC$18+J697*$AC$19+K697*$AC$20+L697*$AC$21+M697*$AC$22+N697*$AC$23+O697*$AC$24+P697*$AC$25+Q697*$AC$26+R697*$AC$27+S697*$AC$28+T697*$AC$29+U697*$AC$30</f>
        <v/>
      </c>
      <c r="W697" s="8">
        <f>1/(1+EXP(-V697))</f>
        <v/>
      </c>
      <c r="X697" s="9">
        <f>-IF(C697=1,LN(W697),LN(1-W697))</f>
        <v/>
      </c>
      <c r="Y697" s="10">
        <f>IF(W697&gt;$AC$34,1,0)</f>
        <v/>
      </c>
      <c r="Z697">
        <f>IF(Y697=C697,1,0)</f>
        <v/>
      </c>
    </row>
    <row r="698">
      <c r="A698">
        <f>'1 prepared data'!A691</f>
        <v/>
      </c>
      <c r="B698" s="5">
        <f>'1 prepared data'!U691</f>
        <v/>
      </c>
      <c r="C698">
        <f>'1 prepared data'!B691</f>
        <v/>
      </c>
      <c r="D698" s="7">
        <f>'1 prepared data'!C691</f>
        <v/>
      </c>
      <c r="E698" s="7">
        <f>'1 prepared data'!D691</f>
        <v/>
      </c>
      <c r="F698" s="7">
        <f>'1 prepared data'!E691</f>
        <v/>
      </c>
      <c r="G698" s="7">
        <f>'1 prepared data'!F691</f>
        <v/>
      </c>
      <c r="H698" s="7">
        <f>'1 prepared data'!G691</f>
        <v/>
      </c>
      <c r="I698" s="7">
        <f>'1 prepared data'!H691</f>
        <v/>
      </c>
      <c r="J698" s="7">
        <f>'1 prepared data'!I691</f>
        <v/>
      </c>
      <c r="K698" s="7">
        <f>'1 prepared data'!J691</f>
        <v/>
      </c>
      <c r="L698" s="7">
        <f>'1 prepared data'!K691</f>
        <v/>
      </c>
      <c r="M698" s="7">
        <f>'1 prepared data'!L691</f>
        <v/>
      </c>
      <c r="N698" s="7">
        <f>'1 prepared data'!M691</f>
        <v/>
      </c>
      <c r="O698" s="7">
        <f>'1 prepared data'!N691</f>
        <v/>
      </c>
      <c r="P698" s="7">
        <f>'1 prepared data'!O691</f>
        <v/>
      </c>
      <c r="Q698" s="7">
        <f>'1 prepared data'!P691</f>
        <v/>
      </c>
      <c r="R698" s="7">
        <f>'1 prepared data'!Q691</f>
        <v/>
      </c>
      <c r="S698" s="7">
        <f>'1 prepared data'!R691</f>
        <v/>
      </c>
      <c r="T698" s="7">
        <f>'1 prepared data'!S691</f>
        <v/>
      </c>
      <c r="U698" s="7">
        <f>'1 prepared data'!T691</f>
        <v/>
      </c>
      <c r="V698" s="8">
        <f>$AC$12+D698*$AC$13+E698*$AC$14+F698*$AC$15+G698*$AC$16+H698*$AC$17+I698*$AC$18+J698*$AC$19+K698*$AC$20+L698*$AC$21+M698*$AC$22+N698*$AC$23+O698*$AC$24+P698*$AC$25+Q698*$AC$26+R698*$AC$27+S698*$AC$28+T698*$AC$29+U698*$AC$30</f>
        <v/>
      </c>
      <c r="W698" s="8">
        <f>1/(1+EXP(-V698))</f>
        <v/>
      </c>
      <c r="X698" s="9">
        <f>-IF(C698=1,LN(W698),LN(1-W698))</f>
        <v/>
      </c>
      <c r="Y698" s="10">
        <f>IF(W698&gt;$AC$34,1,0)</f>
        <v/>
      </c>
      <c r="Z698">
        <f>IF(Y698=C698,1,0)</f>
        <v/>
      </c>
    </row>
    <row r="699">
      <c r="A699">
        <f>'1 prepared data'!A692</f>
        <v/>
      </c>
      <c r="B699" s="5">
        <f>'1 prepared data'!U692</f>
        <v/>
      </c>
      <c r="C699">
        <f>'1 prepared data'!B692</f>
        <v/>
      </c>
      <c r="D699" s="7">
        <f>'1 prepared data'!C692</f>
        <v/>
      </c>
      <c r="E699" s="7">
        <f>'1 prepared data'!D692</f>
        <v/>
      </c>
      <c r="F699" s="7">
        <f>'1 prepared data'!E692</f>
        <v/>
      </c>
      <c r="G699" s="7">
        <f>'1 prepared data'!F692</f>
        <v/>
      </c>
      <c r="H699" s="7">
        <f>'1 prepared data'!G692</f>
        <v/>
      </c>
      <c r="I699" s="7">
        <f>'1 prepared data'!H692</f>
        <v/>
      </c>
      <c r="J699" s="7">
        <f>'1 prepared data'!I692</f>
        <v/>
      </c>
      <c r="K699" s="7">
        <f>'1 prepared data'!J692</f>
        <v/>
      </c>
      <c r="L699" s="7">
        <f>'1 prepared data'!K692</f>
        <v/>
      </c>
      <c r="M699" s="7">
        <f>'1 prepared data'!L692</f>
        <v/>
      </c>
      <c r="N699" s="7">
        <f>'1 prepared data'!M692</f>
        <v/>
      </c>
      <c r="O699" s="7">
        <f>'1 prepared data'!N692</f>
        <v/>
      </c>
      <c r="P699" s="7">
        <f>'1 prepared data'!O692</f>
        <v/>
      </c>
      <c r="Q699" s="7">
        <f>'1 prepared data'!P692</f>
        <v/>
      </c>
      <c r="R699" s="7">
        <f>'1 prepared data'!Q692</f>
        <v/>
      </c>
      <c r="S699" s="7">
        <f>'1 prepared data'!R692</f>
        <v/>
      </c>
      <c r="T699" s="7">
        <f>'1 prepared data'!S692</f>
        <v/>
      </c>
      <c r="U699" s="7">
        <f>'1 prepared data'!T692</f>
        <v/>
      </c>
      <c r="V699" s="8">
        <f>$AC$12+D699*$AC$13+E699*$AC$14+F699*$AC$15+G699*$AC$16+H699*$AC$17+I699*$AC$18+J699*$AC$19+K699*$AC$20+L699*$AC$21+M699*$AC$22+N699*$AC$23+O699*$AC$24+P699*$AC$25+Q699*$AC$26+R699*$AC$27+S699*$AC$28+T699*$AC$29+U699*$AC$30</f>
        <v/>
      </c>
      <c r="W699" s="8">
        <f>1/(1+EXP(-V699))</f>
        <v/>
      </c>
      <c r="X699" s="9">
        <f>-IF(C699=1,LN(W699),LN(1-W699))</f>
        <v/>
      </c>
      <c r="Y699" s="10">
        <f>IF(W699&gt;$AC$34,1,0)</f>
        <v/>
      </c>
      <c r="Z699">
        <f>IF(Y699=C699,1,0)</f>
        <v/>
      </c>
    </row>
    <row r="700">
      <c r="A700">
        <f>'1 prepared data'!A693</f>
        <v/>
      </c>
      <c r="B700" s="5">
        <f>'1 prepared data'!U693</f>
        <v/>
      </c>
      <c r="C700">
        <f>'1 prepared data'!B693</f>
        <v/>
      </c>
      <c r="D700" s="7">
        <f>'1 prepared data'!C693</f>
        <v/>
      </c>
      <c r="E700" s="7">
        <f>'1 prepared data'!D693</f>
        <v/>
      </c>
      <c r="F700" s="7">
        <f>'1 prepared data'!E693</f>
        <v/>
      </c>
      <c r="G700" s="7">
        <f>'1 prepared data'!F693</f>
        <v/>
      </c>
      <c r="H700" s="7">
        <f>'1 prepared data'!G693</f>
        <v/>
      </c>
      <c r="I700" s="7">
        <f>'1 prepared data'!H693</f>
        <v/>
      </c>
      <c r="J700" s="7">
        <f>'1 prepared data'!I693</f>
        <v/>
      </c>
      <c r="K700" s="7">
        <f>'1 prepared data'!J693</f>
        <v/>
      </c>
      <c r="L700" s="7">
        <f>'1 prepared data'!K693</f>
        <v/>
      </c>
      <c r="M700" s="7">
        <f>'1 prepared data'!L693</f>
        <v/>
      </c>
      <c r="N700" s="7">
        <f>'1 prepared data'!M693</f>
        <v/>
      </c>
      <c r="O700" s="7">
        <f>'1 prepared data'!N693</f>
        <v/>
      </c>
      <c r="P700" s="7">
        <f>'1 prepared data'!O693</f>
        <v/>
      </c>
      <c r="Q700" s="7">
        <f>'1 prepared data'!P693</f>
        <v/>
      </c>
      <c r="R700" s="7">
        <f>'1 prepared data'!Q693</f>
        <v/>
      </c>
      <c r="S700" s="7">
        <f>'1 prepared data'!R693</f>
        <v/>
      </c>
      <c r="T700" s="7">
        <f>'1 prepared data'!S693</f>
        <v/>
      </c>
      <c r="U700" s="7">
        <f>'1 prepared data'!T693</f>
        <v/>
      </c>
      <c r="V700" s="8">
        <f>$AC$12+D700*$AC$13+E700*$AC$14+F700*$AC$15+G700*$AC$16+H700*$AC$17+I700*$AC$18+J700*$AC$19+K700*$AC$20+L700*$AC$21+M700*$AC$22+N700*$AC$23+O700*$AC$24+P700*$AC$25+Q700*$AC$26+R700*$AC$27+S700*$AC$28+T700*$AC$29+U700*$AC$30</f>
        <v/>
      </c>
      <c r="W700" s="8">
        <f>1/(1+EXP(-V700))</f>
        <v/>
      </c>
      <c r="X700" s="9">
        <f>-IF(C700=1,LN(W700),LN(1-W700))</f>
        <v/>
      </c>
      <c r="Y700" s="10">
        <f>IF(W700&gt;$AC$34,1,0)</f>
        <v/>
      </c>
      <c r="Z700">
        <f>IF(Y700=C700,1,0)</f>
        <v/>
      </c>
    </row>
    <row r="701">
      <c r="A701">
        <f>'1 prepared data'!A694</f>
        <v/>
      </c>
      <c r="B701" s="5">
        <f>'1 prepared data'!U694</f>
        <v/>
      </c>
      <c r="C701">
        <f>'1 prepared data'!B694</f>
        <v/>
      </c>
      <c r="D701" s="7">
        <f>'1 prepared data'!C694</f>
        <v/>
      </c>
      <c r="E701" s="7">
        <f>'1 prepared data'!D694</f>
        <v/>
      </c>
      <c r="F701" s="7">
        <f>'1 prepared data'!E694</f>
        <v/>
      </c>
      <c r="G701" s="7">
        <f>'1 prepared data'!F694</f>
        <v/>
      </c>
      <c r="H701" s="7">
        <f>'1 prepared data'!G694</f>
        <v/>
      </c>
      <c r="I701" s="7">
        <f>'1 prepared data'!H694</f>
        <v/>
      </c>
      <c r="J701" s="7">
        <f>'1 prepared data'!I694</f>
        <v/>
      </c>
      <c r="K701" s="7">
        <f>'1 prepared data'!J694</f>
        <v/>
      </c>
      <c r="L701" s="7">
        <f>'1 prepared data'!K694</f>
        <v/>
      </c>
      <c r="M701" s="7">
        <f>'1 prepared data'!L694</f>
        <v/>
      </c>
      <c r="N701" s="7">
        <f>'1 prepared data'!M694</f>
        <v/>
      </c>
      <c r="O701" s="7">
        <f>'1 prepared data'!N694</f>
        <v/>
      </c>
      <c r="P701" s="7">
        <f>'1 prepared data'!O694</f>
        <v/>
      </c>
      <c r="Q701" s="7">
        <f>'1 prepared data'!P694</f>
        <v/>
      </c>
      <c r="R701" s="7">
        <f>'1 prepared data'!Q694</f>
        <v/>
      </c>
      <c r="S701" s="7">
        <f>'1 prepared data'!R694</f>
        <v/>
      </c>
      <c r="T701" s="7">
        <f>'1 prepared data'!S694</f>
        <v/>
      </c>
      <c r="U701" s="7">
        <f>'1 prepared data'!T694</f>
        <v/>
      </c>
      <c r="V701" s="8">
        <f>$AC$12+D701*$AC$13+E701*$AC$14+F701*$AC$15+G701*$AC$16+H701*$AC$17+I701*$AC$18+J701*$AC$19+K701*$AC$20+L701*$AC$21+M701*$AC$22+N701*$AC$23+O701*$AC$24+P701*$AC$25+Q701*$AC$26+R701*$AC$27+S701*$AC$28+T701*$AC$29+U701*$AC$30</f>
        <v/>
      </c>
      <c r="W701" s="8">
        <f>1/(1+EXP(-V701))</f>
        <v/>
      </c>
      <c r="X701" s="9">
        <f>-IF(C701=1,LN(W701),LN(1-W701))</f>
        <v/>
      </c>
      <c r="Y701" s="10">
        <f>IF(W701&gt;$AC$34,1,0)</f>
        <v/>
      </c>
      <c r="Z701">
        <f>IF(Y701=C701,1,0)</f>
        <v/>
      </c>
    </row>
    <row r="702">
      <c r="A702">
        <f>'1 prepared data'!A695</f>
        <v/>
      </c>
      <c r="B702" s="5">
        <f>'1 prepared data'!U695</f>
        <v/>
      </c>
      <c r="C702">
        <f>'1 prepared data'!B695</f>
        <v/>
      </c>
      <c r="D702" s="7">
        <f>'1 prepared data'!C695</f>
        <v/>
      </c>
      <c r="E702" s="7">
        <f>'1 prepared data'!D695</f>
        <v/>
      </c>
      <c r="F702" s="7">
        <f>'1 prepared data'!E695</f>
        <v/>
      </c>
      <c r="G702" s="7">
        <f>'1 prepared data'!F695</f>
        <v/>
      </c>
      <c r="H702" s="7">
        <f>'1 prepared data'!G695</f>
        <v/>
      </c>
      <c r="I702" s="7">
        <f>'1 prepared data'!H695</f>
        <v/>
      </c>
      <c r="J702" s="7">
        <f>'1 prepared data'!I695</f>
        <v/>
      </c>
      <c r="K702" s="7">
        <f>'1 prepared data'!J695</f>
        <v/>
      </c>
      <c r="L702" s="7">
        <f>'1 prepared data'!K695</f>
        <v/>
      </c>
      <c r="M702" s="7">
        <f>'1 prepared data'!L695</f>
        <v/>
      </c>
      <c r="N702" s="7">
        <f>'1 prepared data'!M695</f>
        <v/>
      </c>
      <c r="O702" s="7">
        <f>'1 prepared data'!N695</f>
        <v/>
      </c>
      <c r="P702" s="7">
        <f>'1 prepared data'!O695</f>
        <v/>
      </c>
      <c r="Q702" s="7">
        <f>'1 prepared data'!P695</f>
        <v/>
      </c>
      <c r="R702" s="7">
        <f>'1 prepared data'!Q695</f>
        <v/>
      </c>
      <c r="S702" s="7">
        <f>'1 prepared data'!R695</f>
        <v/>
      </c>
      <c r="T702" s="7">
        <f>'1 prepared data'!S695</f>
        <v/>
      </c>
      <c r="U702" s="7">
        <f>'1 prepared data'!T695</f>
        <v/>
      </c>
      <c r="V702" s="8">
        <f>$AC$12+D702*$AC$13+E702*$AC$14+F702*$AC$15+G702*$AC$16+H702*$AC$17+I702*$AC$18+J702*$AC$19+K702*$AC$20+L702*$AC$21+M702*$AC$22+N702*$AC$23+O702*$AC$24+P702*$AC$25+Q702*$AC$26+R702*$AC$27+S702*$AC$28+T702*$AC$29+U702*$AC$30</f>
        <v/>
      </c>
      <c r="W702" s="8">
        <f>1/(1+EXP(-V702))</f>
        <v/>
      </c>
      <c r="X702" s="9">
        <f>-IF(C702=1,LN(W702),LN(1-W702))</f>
        <v/>
      </c>
      <c r="Y702" s="10">
        <f>IF(W702&gt;$AC$34,1,0)</f>
        <v/>
      </c>
      <c r="Z702">
        <f>IF(Y702=C702,1,0)</f>
        <v/>
      </c>
    </row>
    <row r="703">
      <c r="A703">
        <f>'1 prepared data'!A696</f>
        <v/>
      </c>
      <c r="B703" s="5">
        <f>'1 prepared data'!U696</f>
        <v/>
      </c>
      <c r="C703">
        <f>'1 prepared data'!B696</f>
        <v/>
      </c>
      <c r="D703" s="7">
        <f>'1 prepared data'!C696</f>
        <v/>
      </c>
      <c r="E703" s="7">
        <f>'1 prepared data'!D696</f>
        <v/>
      </c>
      <c r="F703" s="7">
        <f>'1 prepared data'!E696</f>
        <v/>
      </c>
      <c r="G703" s="7">
        <f>'1 prepared data'!F696</f>
        <v/>
      </c>
      <c r="H703" s="7">
        <f>'1 prepared data'!G696</f>
        <v/>
      </c>
      <c r="I703" s="7">
        <f>'1 prepared data'!H696</f>
        <v/>
      </c>
      <c r="J703" s="7">
        <f>'1 prepared data'!I696</f>
        <v/>
      </c>
      <c r="K703" s="7">
        <f>'1 prepared data'!J696</f>
        <v/>
      </c>
      <c r="L703" s="7">
        <f>'1 prepared data'!K696</f>
        <v/>
      </c>
      <c r="M703" s="7">
        <f>'1 prepared data'!L696</f>
        <v/>
      </c>
      <c r="N703" s="7">
        <f>'1 prepared data'!M696</f>
        <v/>
      </c>
      <c r="O703" s="7">
        <f>'1 prepared data'!N696</f>
        <v/>
      </c>
      <c r="P703" s="7">
        <f>'1 prepared data'!O696</f>
        <v/>
      </c>
      <c r="Q703" s="7">
        <f>'1 prepared data'!P696</f>
        <v/>
      </c>
      <c r="R703" s="7">
        <f>'1 prepared data'!Q696</f>
        <v/>
      </c>
      <c r="S703" s="7">
        <f>'1 prepared data'!R696</f>
        <v/>
      </c>
      <c r="T703" s="7">
        <f>'1 prepared data'!S696</f>
        <v/>
      </c>
      <c r="U703" s="7">
        <f>'1 prepared data'!T696</f>
        <v/>
      </c>
      <c r="V703" s="8">
        <f>$AC$12+D703*$AC$13+E703*$AC$14+F703*$AC$15+G703*$AC$16+H703*$AC$17+I703*$AC$18+J703*$AC$19+K703*$AC$20+L703*$AC$21+M703*$AC$22+N703*$AC$23+O703*$AC$24+P703*$AC$25+Q703*$AC$26+R703*$AC$27+S703*$AC$28+T703*$AC$29+U703*$AC$30</f>
        <v/>
      </c>
      <c r="W703" s="8">
        <f>1/(1+EXP(-V703))</f>
        <v/>
      </c>
      <c r="X703" s="9">
        <f>-IF(C703=1,LN(W703),LN(1-W703))</f>
        <v/>
      </c>
      <c r="Y703" s="10">
        <f>IF(W703&gt;$AC$34,1,0)</f>
        <v/>
      </c>
      <c r="Z703">
        <f>IF(Y703=C703,1,0)</f>
        <v/>
      </c>
    </row>
    <row r="704">
      <c r="A704">
        <f>'1 prepared data'!A697</f>
        <v/>
      </c>
      <c r="B704" s="5">
        <f>'1 prepared data'!U697</f>
        <v/>
      </c>
      <c r="C704">
        <f>'1 prepared data'!B697</f>
        <v/>
      </c>
      <c r="D704" s="7">
        <f>'1 prepared data'!C697</f>
        <v/>
      </c>
      <c r="E704" s="7">
        <f>'1 prepared data'!D697</f>
        <v/>
      </c>
      <c r="F704" s="7">
        <f>'1 prepared data'!E697</f>
        <v/>
      </c>
      <c r="G704" s="7">
        <f>'1 prepared data'!F697</f>
        <v/>
      </c>
      <c r="H704" s="7">
        <f>'1 prepared data'!G697</f>
        <v/>
      </c>
      <c r="I704" s="7">
        <f>'1 prepared data'!H697</f>
        <v/>
      </c>
      <c r="J704" s="7">
        <f>'1 prepared data'!I697</f>
        <v/>
      </c>
      <c r="K704" s="7">
        <f>'1 prepared data'!J697</f>
        <v/>
      </c>
      <c r="L704" s="7">
        <f>'1 prepared data'!K697</f>
        <v/>
      </c>
      <c r="M704" s="7">
        <f>'1 prepared data'!L697</f>
        <v/>
      </c>
      <c r="N704" s="7">
        <f>'1 prepared data'!M697</f>
        <v/>
      </c>
      <c r="O704" s="7">
        <f>'1 prepared data'!N697</f>
        <v/>
      </c>
      <c r="P704" s="7">
        <f>'1 prepared data'!O697</f>
        <v/>
      </c>
      <c r="Q704" s="7">
        <f>'1 prepared data'!P697</f>
        <v/>
      </c>
      <c r="R704" s="7">
        <f>'1 prepared data'!Q697</f>
        <v/>
      </c>
      <c r="S704" s="7">
        <f>'1 prepared data'!R697</f>
        <v/>
      </c>
      <c r="T704" s="7">
        <f>'1 prepared data'!S697</f>
        <v/>
      </c>
      <c r="U704" s="7">
        <f>'1 prepared data'!T697</f>
        <v/>
      </c>
      <c r="V704" s="8">
        <f>$AC$12+D704*$AC$13+E704*$AC$14+F704*$AC$15+G704*$AC$16+H704*$AC$17+I704*$AC$18+J704*$AC$19+K704*$AC$20+L704*$AC$21+M704*$AC$22+N704*$AC$23+O704*$AC$24+P704*$AC$25+Q704*$AC$26+R704*$AC$27+S704*$AC$28+T704*$AC$29+U704*$AC$30</f>
        <v/>
      </c>
      <c r="W704" s="8">
        <f>1/(1+EXP(-V704))</f>
        <v/>
      </c>
      <c r="X704" s="9">
        <f>-IF(C704=1,LN(W704),LN(1-W704))</f>
        <v/>
      </c>
      <c r="Y704" s="10">
        <f>IF(W704&gt;$AC$34,1,0)</f>
        <v/>
      </c>
      <c r="Z704">
        <f>IF(Y704=C704,1,0)</f>
        <v/>
      </c>
    </row>
    <row r="705">
      <c r="A705">
        <f>'1 prepared data'!A698</f>
        <v/>
      </c>
      <c r="B705" s="5">
        <f>'1 prepared data'!U698</f>
        <v/>
      </c>
      <c r="C705">
        <f>'1 prepared data'!B698</f>
        <v/>
      </c>
      <c r="D705" s="7">
        <f>'1 prepared data'!C698</f>
        <v/>
      </c>
      <c r="E705" s="7">
        <f>'1 prepared data'!D698</f>
        <v/>
      </c>
      <c r="F705" s="7">
        <f>'1 prepared data'!E698</f>
        <v/>
      </c>
      <c r="G705" s="7">
        <f>'1 prepared data'!F698</f>
        <v/>
      </c>
      <c r="H705" s="7">
        <f>'1 prepared data'!G698</f>
        <v/>
      </c>
      <c r="I705" s="7">
        <f>'1 prepared data'!H698</f>
        <v/>
      </c>
      <c r="J705" s="7">
        <f>'1 prepared data'!I698</f>
        <v/>
      </c>
      <c r="K705" s="7">
        <f>'1 prepared data'!J698</f>
        <v/>
      </c>
      <c r="L705" s="7">
        <f>'1 prepared data'!K698</f>
        <v/>
      </c>
      <c r="M705" s="7">
        <f>'1 prepared data'!L698</f>
        <v/>
      </c>
      <c r="N705" s="7">
        <f>'1 prepared data'!M698</f>
        <v/>
      </c>
      <c r="O705" s="7">
        <f>'1 prepared data'!N698</f>
        <v/>
      </c>
      <c r="P705" s="7">
        <f>'1 prepared data'!O698</f>
        <v/>
      </c>
      <c r="Q705" s="7">
        <f>'1 prepared data'!P698</f>
        <v/>
      </c>
      <c r="R705" s="7">
        <f>'1 prepared data'!Q698</f>
        <v/>
      </c>
      <c r="S705" s="7">
        <f>'1 prepared data'!R698</f>
        <v/>
      </c>
      <c r="T705" s="7">
        <f>'1 prepared data'!S698</f>
        <v/>
      </c>
      <c r="U705" s="7">
        <f>'1 prepared data'!T698</f>
        <v/>
      </c>
      <c r="V705" s="8">
        <f>$AC$12+D705*$AC$13+E705*$AC$14+F705*$AC$15+G705*$AC$16+H705*$AC$17+I705*$AC$18+J705*$AC$19+K705*$AC$20+L705*$AC$21+M705*$AC$22+N705*$AC$23+O705*$AC$24+P705*$AC$25+Q705*$AC$26+R705*$AC$27+S705*$AC$28+T705*$AC$29+U705*$AC$30</f>
        <v/>
      </c>
      <c r="W705" s="8">
        <f>1/(1+EXP(-V705))</f>
        <v/>
      </c>
      <c r="X705" s="9">
        <f>-IF(C705=1,LN(W705),LN(1-W705))</f>
        <v/>
      </c>
      <c r="Y705" s="10">
        <f>IF(W705&gt;$AC$34,1,0)</f>
        <v/>
      </c>
      <c r="Z705">
        <f>IF(Y705=C705,1,0)</f>
        <v/>
      </c>
    </row>
    <row r="706">
      <c r="A706">
        <f>'1 prepared data'!A699</f>
        <v/>
      </c>
      <c r="B706" s="5">
        <f>'1 prepared data'!U699</f>
        <v/>
      </c>
      <c r="C706">
        <f>'1 prepared data'!B699</f>
        <v/>
      </c>
      <c r="D706" s="7">
        <f>'1 prepared data'!C699</f>
        <v/>
      </c>
      <c r="E706" s="7">
        <f>'1 prepared data'!D699</f>
        <v/>
      </c>
      <c r="F706" s="7">
        <f>'1 prepared data'!E699</f>
        <v/>
      </c>
      <c r="G706" s="7">
        <f>'1 prepared data'!F699</f>
        <v/>
      </c>
      <c r="H706" s="7">
        <f>'1 prepared data'!G699</f>
        <v/>
      </c>
      <c r="I706" s="7">
        <f>'1 prepared data'!H699</f>
        <v/>
      </c>
      <c r="J706" s="7">
        <f>'1 prepared data'!I699</f>
        <v/>
      </c>
      <c r="K706" s="7">
        <f>'1 prepared data'!J699</f>
        <v/>
      </c>
      <c r="L706" s="7">
        <f>'1 prepared data'!K699</f>
        <v/>
      </c>
      <c r="M706" s="7">
        <f>'1 prepared data'!L699</f>
        <v/>
      </c>
      <c r="N706" s="7">
        <f>'1 prepared data'!M699</f>
        <v/>
      </c>
      <c r="O706" s="7">
        <f>'1 prepared data'!N699</f>
        <v/>
      </c>
      <c r="P706" s="7">
        <f>'1 prepared data'!O699</f>
        <v/>
      </c>
      <c r="Q706" s="7">
        <f>'1 prepared data'!P699</f>
        <v/>
      </c>
      <c r="R706" s="7">
        <f>'1 prepared data'!Q699</f>
        <v/>
      </c>
      <c r="S706" s="7">
        <f>'1 prepared data'!R699</f>
        <v/>
      </c>
      <c r="T706" s="7">
        <f>'1 prepared data'!S699</f>
        <v/>
      </c>
      <c r="U706" s="7">
        <f>'1 prepared data'!T699</f>
        <v/>
      </c>
      <c r="V706" s="8">
        <f>$AC$12+D706*$AC$13+E706*$AC$14+F706*$AC$15+G706*$AC$16+H706*$AC$17+I706*$AC$18+J706*$AC$19+K706*$AC$20+L706*$AC$21+M706*$AC$22+N706*$AC$23+O706*$AC$24+P706*$AC$25+Q706*$AC$26+R706*$AC$27+S706*$AC$28+T706*$AC$29+U706*$AC$30</f>
        <v/>
      </c>
      <c r="W706" s="8">
        <f>1/(1+EXP(-V706))</f>
        <v/>
      </c>
      <c r="X706" s="9">
        <f>-IF(C706=1,LN(W706),LN(1-W706))</f>
        <v/>
      </c>
      <c r="Y706" s="10">
        <f>IF(W706&gt;$AC$34,1,0)</f>
        <v/>
      </c>
      <c r="Z706">
        <f>IF(Y706=C706,1,0)</f>
        <v/>
      </c>
    </row>
    <row r="707">
      <c r="A707">
        <f>'1 prepared data'!A700</f>
        <v/>
      </c>
      <c r="B707" s="5">
        <f>'1 prepared data'!U700</f>
        <v/>
      </c>
      <c r="C707">
        <f>'1 prepared data'!B700</f>
        <v/>
      </c>
      <c r="D707" s="7">
        <f>'1 prepared data'!C700</f>
        <v/>
      </c>
      <c r="E707" s="7">
        <f>'1 prepared data'!D700</f>
        <v/>
      </c>
      <c r="F707" s="7">
        <f>'1 prepared data'!E700</f>
        <v/>
      </c>
      <c r="G707" s="7">
        <f>'1 prepared data'!F700</f>
        <v/>
      </c>
      <c r="H707" s="7">
        <f>'1 prepared data'!G700</f>
        <v/>
      </c>
      <c r="I707" s="7">
        <f>'1 prepared data'!H700</f>
        <v/>
      </c>
      <c r="J707" s="7">
        <f>'1 prepared data'!I700</f>
        <v/>
      </c>
      <c r="K707" s="7">
        <f>'1 prepared data'!J700</f>
        <v/>
      </c>
      <c r="L707" s="7">
        <f>'1 prepared data'!K700</f>
        <v/>
      </c>
      <c r="M707" s="7">
        <f>'1 prepared data'!L700</f>
        <v/>
      </c>
      <c r="N707" s="7">
        <f>'1 prepared data'!M700</f>
        <v/>
      </c>
      <c r="O707" s="7">
        <f>'1 prepared data'!N700</f>
        <v/>
      </c>
      <c r="P707" s="7">
        <f>'1 prepared data'!O700</f>
        <v/>
      </c>
      <c r="Q707" s="7">
        <f>'1 prepared data'!P700</f>
        <v/>
      </c>
      <c r="R707" s="7">
        <f>'1 prepared data'!Q700</f>
        <v/>
      </c>
      <c r="S707" s="7">
        <f>'1 prepared data'!R700</f>
        <v/>
      </c>
      <c r="T707" s="7">
        <f>'1 prepared data'!S700</f>
        <v/>
      </c>
      <c r="U707" s="7">
        <f>'1 prepared data'!T700</f>
        <v/>
      </c>
      <c r="V707" s="8">
        <f>$AC$12+D707*$AC$13+E707*$AC$14+F707*$AC$15+G707*$AC$16+H707*$AC$17+I707*$AC$18+J707*$AC$19+K707*$AC$20+L707*$AC$21+M707*$AC$22+N707*$AC$23+O707*$AC$24+P707*$AC$25+Q707*$AC$26+R707*$AC$27+S707*$AC$28+T707*$AC$29+U707*$AC$30</f>
        <v/>
      </c>
      <c r="W707" s="8">
        <f>1/(1+EXP(-V707))</f>
        <v/>
      </c>
      <c r="X707" s="9">
        <f>-IF(C707=1,LN(W707),LN(1-W707))</f>
        <v/>
      </c>
      <c r="Y707" s="10">
        <f>IF(W707&gt;$AC$34,1,0)</f>
        <v/>
      </c>
      <c r="Z707">
        <f>IF(Y707=C707,1,0)</f>
        <v/>
      </c>
    </row>
    <row r="708">
      <c r="A708">
        <f>'1 prepared data'!A701</f>
        <v/>
      </c>
      <c r="B708" s="5">
        <f>'1 prepared data'!U701</f>
        <v/>
      </c>
      <c r="C708">
        <f>'1 prepared data'!B701</f>
        <v/>
      </c>
      <c r="D708" s="7">
        <f>'1 prepared data'!C701</f>
        <v/>
      </c>
      <c r="E708" s="7">
        <f>'1 prepared data'!D701</f>
        <v/>
      </c>
      <c r="F708" s="7">
        <f>'1 prepared data'!E701</f>
        <v/>
      </c>
      <c r="G708" s="7">
        <f>'1 prepared data'!F701</f>
        <v/>
      </c>
      <c r="H708" s="7">
        <f>'1 prepared data'!G701</f>
        <v/>
      </c>
      <c r="I708" s="7">
        <f>'1 prepared data'!H701</f>
        <v/>
      </c>
      <c r="J708" s="7">
        <f>'1 prepared data'!I701</f>
        <v/>
      </c>
      <c r="K708" s="7">
        <f>'1 prepared data'!J701</f>
        <v/>
      </c>
      <c r="L708" s="7">
        <f>'1 prepared data'!K701</f>
        <v/>
      </c>
      <c r="M708" s="7">
        <f>'1 prepared data'!L701</f>
        <v/>
      </c>
      <c r="N708" s="7">
        <f>'1 prepared data'!M701</f>
        <v/>
      </c>
      <c r="O708" s="7">
        <f>'1 prepared data'!N701</f>
        <v/>
      </c>
      <c r="P708" s="7">
        <f>'1 prepared data'!O701</f>
        <v/>
      </c>
      <c r="Q708" s="7">
        <f>'1 prepared data'!P701</f>
        <v/>
      </c>
      <c r="R708" s="7">
        <f>'1 prepared data'!Q701</f>
        <v/>
      </c>
      <c r="S708" s="7">
        <f>'1 prepared data'!R701</f>
        <v/>
      </c>
      <c r="T708" s="7">
        <f>'1 prepared data'!S701</f>
        <v/>
      </c>
      <c r="U708" s="7">
        <f>'1 prepared data'!T701</f>
        <v/>
      </c>
      <c r="V708" s="8">
        <f>$AC$12+D708*$AC$13+E708*$AC$14+F708*$AC$15+G708*$AC$16+H708*$AC$17+I708*$AC$18+J708*$AC$19+K708*$AC$20+L708*$AC$21+M708*$AC$22+N708*$AC$23+O708*$AC$24+P708*$AC$25+Q708*$AC$26+R708*$AC$27+S708*$AC$28+T708*$AC$29+U708*$AC$30</f>
        <v/>
      </c>
      <c r="W708" s="8">
        <f>1/(1+EXP(-V708))</f>
        <v/>
      </c>
      <c r="X708" s="9">
        <f>-IF(C708=1,LN(W708),LN(1-W708))</f>
        <v/>
      </c>
      <c r="Y708" s="10">
        <f>IF(W708&gt;$AC$34,1,0)</f>
        <v/>
      </c>
      <c r="Z708">
        <f>IF(Y708=C708,1,0)</f>
        <v/>
      </c>
    </row>
    <row r="709">
      <c r="A709">
        <f>'1 prepared data'!A702</f>
        <v/>
      </c>
      <c r="B709" s="5">
        <f>'1 prepared data'!U702</f>
        <v/>
      </c>
      <c r="C709">
        <f>'1 prepared data'!B702</f>
        <v/>
      </c>
      <c r="D709" s="7">
        <f>'1 prepared data'!C702</f>
        <v/>
      </c>
      <c r="E709" s="7">
        <f>'1 prepared data'!D702</f>
        <v/>
      </c>
      <c r="F709" s="7">
        <f>'1 prepared data'!E702</f>
        <v/>
      </c>
      <c r="G709" s="7">
        <f>'1 prepared data'!F702</f>
        <v/>
      </c>
      <c r="H709" s="7">
        <f>'1 prepared data'!G702</f>
        <v/>
      </c>
      <c r="I709" s="7">
        <f>'1 prepared data'!H702</f>
        <v/>
      </c>
      <c r="J709" s="7">
        <f>'1 prepared data'!I702</f>
        <v/>
      </c>
      <c r="K709" s="7">
        <f>'1 prepared data'!J702</f>
        <v/>
      </c>
      <c r="L709" s="7">
        <f>'1 prepared data'!K702</f>
        <v/>
      </c>
      <c r="M709" s="7">
        <f>'1 prepared data'!L702</f>
        <v/>
      </c>
      <c r="N709" s="7">
        <f>'1 prepared data'!M702</f>
        <v/>
      </c>
      <c r="O709" s="7">
        <f>'1 prepared data'!N702</f>
        <v/>
      </c>
      <c r="P709" s="7">
        <f>'1 prepared data'!O702</f>
        <v/>
      </c>
      <c r="Q709" s="7">
        <f>'1 prepared data'!P702</f>
        <v/>
      </c>
      <c r="R709" s="7">
        <f>'1 prepared data'!Q702</f>
        <v/>
      </c>
      <c r="S709" s="7">
        <f>'1 prepared data'!R702</f>
        <v/>
      </c>
      <c r="T709" s="7">
        <f>'1 prepared data'!S702</f>
        <v/>
      </c>
      <c r="U709" s="7">
        <f>'1 prepared data'!T702</f>
        <v/>
      </c>
      <c r="V709" s="8">
        <f>$AC$12+D709*$AC$13+E709*$AC$14+F709*$AC$15+G709*$AC$16+H709*$AC$17+I709*$AC$18+J709*$AC$19+K709*$AC$20+L709*$AC$21+M709*$AC$22+N709*$AC$23+O709*$AC$24+P709*$AC$25+Q709*$AC$26+R709*$AC$27+S709*$AC$28+T709*$AC$29+U709*$AC$30</f>
        <v/>
      </c>
      <c r="W709" s="8">
        <f>1/(1+EXP(-V709))</f>
        <v/>
      </c>
      <c r="X709" s="9">
        <f>-IF(C709=1,LN(W709),LN(1-W709))</f>
        <v/>
      </c>
      <c r="Y709" s="10">
        <f>IF(W709&gt;$AC$34,1,0)</f>
        <v/>
      </c>
      <c r="Z709">
        <f>IF(Y709=C709,1,0)</f>
        <v/>
      </c>
    </row>
    <row r="710">
      <c r="A710">
        <f>'1 prepared data'!A703</f>
        <v/>
      </c>
      <c r="B710" s="5">
        <f>'1 prepared data'!U703</f>
        <v/>
      </c>
      <c r="C710">
        <f>'1 prepared data'!B703</f>
        <v/>
      </c>
      <c r="D710" s="7">
        <f>'1 prepared data'!C703</f>
        <v/>
      </c>
      <c r="E710" s="7">
        <f>'1 prepared data'!D703</f>
        <v/>
      </c>
      <c r="F710" s="7">
        <f>'1 prepared data'!E703</f>
        <v/>
      </c>
      <c r="G710" s="7">
        <f>'1 prepared data'!F703</f>
        <v/>
      </c>
      <c r="H710" s="7">
        <f>'1 prepared data'!G703</f>
        <v/>
      </c>
      <c r="I710" s="7">
        <f>'1 prepared data'!H703</f>
        <v/>
      </c>
      <c r="J710" s="7">
        <f>'1 prepared data'!I703</f>
        <v/>
      </c>
      <c r="K710" s="7">
        <f>'1 prepared data'!J703</f>
        <v/>
      </c>
      <c r="L710" s="7">
        <f>'1 prepared data'!K703</f>
        <v/>
      </c>
      <c r="M710" s="7">
        <f>'1 prepared data'!L703</f>
        <v/>
      </c>
      <c r="N710" s="7">
        <f>'1 prepared data'!M703</f>
        <v/>
      </c>
      <c r="O710" s="7">
        <f>'1 prepared data'!N703</f>
        <v/>
      </c>
      <c r="P710" s="7">
        <f>'1 prepared data'!O703</f>
        <v/>
      </c>
      <c r="Q710" s="7">
        <f>'1 prepared data'!P703</f>
        <v/>
      </c>
      <c r="R710" s="7">
        <f>'1 prepared data'!Q703</f>
        <v/>
      </c>
      <c r="S710" s="7">
        <f>'1 prepared data'!R703</f>
        <v/>
      </c>
      <c r="T710" s="7">
        <f>'1 prepared data'!S703</f>
        <v/>
      </c>
      <c r="U710" s="7">
        <f>'1 prepared data'!T703</f>
        <v/>
      </c>
      <c r="V710" s="8">
        <f>$AC$12+D710*$AC$13+E710*$AC$14+F710*$AC$15+G710*$AC$16+H710*$AC$17+I710*$AC$18+J710*$AC$19+K710*$AC$20+L710*$AC$21+M710*$AC$22+N710*$AC$23+O710*$AC$24+P710*$AC$25+Q710*$AC$26+R710*$AC$27+S710*$AC$28+T710*$AC$29+U710*$AC$30</f>
        <v/>
      </c>
      <c r="W710" s="8">
        <f>1/(1+EXP(-V710))</f>
        <v/>
      </c>
      <c r="X710" s="9">
        <f>-IF(C710=1,LN(W710),LN(1-W710))</f>
        <v/>
      </c>
      <c r="Y710" s="10">
        <f>IF(W710&gt;$AC$34,1,0)</f>
        <v/>
      </c>
      <c r="Z710">
        <f>IF(Y710=C710,1,0)</f>
        <v/>
      </c>
    </row>
    <row r="711">
      <c r="A711">
        <f>'1 prepared data'!A704</f>
        <v/>
      </c>
      <c r="B711" s="5">
        <f>'1 prepared data'!U704</f>
        <v/>
      </c>
      <c r="C711">
        <f>'1 prepared data'!B704</f>
        <v/>
      </c>
      <c r="D711" s="7">
        <f>'1 prepared data'!C704</f>
        <v/>
      </c>
      <c r="E711" s="7">
        <f>'1 prepared data'!D704</f>
        <v/>
      </c>
      <c r="F711" s="7">
        <f>'1 prepared data'!E704</f>
        <v/>
      </c>
      <c r="G711" s="7">
        <f>'1 prepared data'!F704</f>
        <v/>
      </c>
      <c r="H711" s="7">
        <f>'1 prepared data'!G704</f>
        <v/>
      </c>
      <c r="I711" s="7">
        <f>'1 prepared data'!H704</f>
        <v/>
      </c>
      <c r="J711" s="7">
        <f>'1 prepared data'!I704</f>
        <v/>
      </c>
      <c r="K711" s="7">
        <f>'1 prepared data'!J704</f>
        <v/>
      </c>
      <c r="L711" s="7">
        <f>'1 prepared data'!K704</f>
        <v/>
      </c>
      <c r="M711" s="7">
        <f>'1 prepared data'!L704</f>
        <v/>
      </c>
      <c r="N711" s="7">
        <f>'1 prepared data'!M704</f>
        <v/>
      </c>
      <c r="O711" s="7">
        <f>'1 prepared data'!N704</f>
        <v/>
      </c>
      <c r="P711" s="7">
        <f>'1 prepared data'!O704</f>
        <v/>
      </c>
      <c r="Q711" s="7">
        <f>'1 prepared data'!P704</f>
        <v/>
      </c>
      <c r="R711" s="7">
        <f>'1 prepared data'!Q704</f>
        <v/>
      </c>
      <c r="S711" s="7">
        <f>'1 prepared data'!R704</f>
        <v/>
      </c>
      <c r="T711" s="7">
        <f>'1 prepared data'!S704</f>
        <v/>
      </c>
      <c r="U711" s="7">
        <f>'1 prepared data'!T704</f>
        <v/>
      </c>
      <c r="V711" s="8">
        <f>$AC$12+D711*$AC$13+E711*$AC$14+F711*$AC$15+G711*$AC$16+H711*$AC$17+I711*$AC$18+J711*$AC$19+K711*$AC$20+L711*$AC$21+M711*$AC$22+N711*$AC$23+O711*$AC$24+P711*$AC$25+Q711*$AC$26+R711*$AC$27+S711*$AC$28+T711*$AC$29+U711*$AC$30</f>
        <v/>
      </c>
      <c r="W711" s="8">
        <f>1/(1+EXP(-V711))</f>
        <v/>
      </c>
      <c r="X711" s="9">
        <f>-IF(C711=1,LN(W711),LN(1-W711))</f>
        <v/>
      </c>
      <c r="Y711" s="10">
        <f>IF(W711&gt;$AC$34,1,0)</f>
        <v/>
      </c>
      <c r="Z711">
        <f>IF(Y711=C711,1,0)</f>
        <v/>
      </c>
    </row>
    <row r="712">
      <c r="A712">
        <f>'1 prepared data'!A705</f>
        <v/>
      </c>
      <c r="B712" s="5">
        <f>'1 prepared data'!U705</f>
        <v/>
      </c>
      <c r="C712">
        <f>'1 prepared data'!B705</f>
        <v/>
      </c>
      <c r="D712" s="7">
        <f>'1 prepared data'!C705</f>
        <v/>
      </c>
      <c r="E712" s="7">
        <f>'1 prepared data'!D705</f>
        <v/>
      </c>
      <c r="F712" s="7">
        <f>'1 prepared data'!E705</f>
        <v/>
      </c>
      <c r="G712" s="7">
        <f>'1 prepared data'!F705</f>
        <v/>
      </c>
      <c r="H712" s="7">
        <f>'1 prepared data'!G705</f>
        <v/>
      </c>
      <c r="I712" s="7">
        <f>'1 prepared data'!H705</f>
        <v/>
      </c>
      <c r="J712" s="7">
        <f>'1 prepared data'!I705</f>
        <v/>
      </c>
      <c r="K712" s="7">
        <f>'1 prepared data'!J705</f>
        <v/>
      </c>
      <c r="L712" s="7">
        <f>'1 prepared data'!K705</f>
        <v/>
      </c>
      <c r="M712" s="7">
        <f>'1 prepared data'!L705</f>
        <v/>
      </c>
      <c r="N712" s="7">
        <f>'1 prepared data'!M705</f>
        <v/>
      </c>
      <c r="O712" s="7">
        <f>'1 prepared data'!N705</f>
        <v/>
      </c>
      <c r="P712" s="7">
        <f>'1 prepared data'!O705</f>
        <v/>
      </c>
      <c r="Q712" s="7">
        <f>'1 prepared data'!P705</f>
        <v/>
      </c>
      <c r="R712" s="7">
        <f>'1 prepared data'!Q705</f>
        <v/>
      </c>
      <c r="S712" s="7">
        <f>'1 prepared data'!R705</f>
        <v/>
      </c>
      <c r="T712" s="7">
        <f>'1 prepared data'!S705</f>
        <v/>
      </c>
      <c r="U712" s="7">
        <f>'1 prepared data'!T705</f>
        <v/>
      </c>
      <c r="V712" s="8">
        <f>$AC$12+D712*$AC$13+E712*$AC$14+F712*$AC$15+G712*$AC$16+H712*$AC$17+I712*$AC$18+J712*$AC$19+K712*$AC$20+L712*$AC$21+M712*$AC$22+N712*$AC$23+O712*$AC$24+P712*$AC$25+Q712*$AC$26+R712*$AC$27+S712*$AC$28+T712*$AC$29+U712*$AC$30</f>
        <v/>
      </c>
      <c r="W712" s="8">
        <f>1/(1+EXP(-V712))</f>
        <v/>
      </c>
      <c r="X712" s="9">
        <f>-IF(C712=1,LN(W712),LN(1-W712))</f>
        <v/>
      </c>
      <c r="Y712" s="10">
        <f>IF(W712&gt;$AC$34,1,0)</f>
        <v/>
      </c>
      <c r="Z712">
        <f>IF(Y712=C712,1,0)</f>
        <v/>
      </c>
    </row>
    <row r="713">
      <c r="A713">
        <f>'1 prepared data'!A706</f>
        <v/>
      </c>
      <c r="B713" s="5">
        <f>'1 prepared data'!U706</f>
        <v/>
      </c>
      <c r="C713">
        <f>'1 prepared data'!B706</f>
        <v/>
      </c>
      <c r="D713" s="7">
        <f>'1 prepared data'!C706</f>
        <v/>
      </c>
      <c r="E713" s="7">
        <f>'1 prepared data'!D706</f>
        <v/>
      </c>
      <c r="F713" s="7">
        <f>'1 prepared data'!E706</f>
        <v/>
      </c>
      <c r="G713" s="7">
        <f>'1 prepared data'!F706</f>
        <v/>
      </c>
      <c r="H713" s="7">
        <f>'1 prepared data'!G706</f>
        <v/>
      </c>
      <c r="I713" s="7">
        <f>'1 prepared data'!H706</f>
        <v/>
      </c>
      <c r="J713" s="7">
        <f>'1 prepared data'!I706</f>
        <v/>
      </c>
      <c r="K713" s="7">
        <f>'1 prepared data'!J706</f>
        <v/>
      </c>
      <c r="L713" s="7">
        <f>'1 prepared data'!K706</f>
        <v/>
      </c>
      <c r="M713" s="7">
        <f>'1 prepared data'!L706</f>
        <v/>
      </c>
      <c r="N713" s="7">
        <f>'1 prepared data'!M706</f>
        <v/>
      </c>
      <c r="O713" s="7">
        <f>'1 prepared data'!N706</f>
        <v/>
      </c>
      <c r="P713" s="7">
        <f>'1 prepared data'!O706</f>
        <v/>
      </c>
      <c r="Q713" s="7">
        <f>'1 prepared data'!P706</f>
        <v/>
      </c>
      <c r="R713" s="7">
        <f>'1 prepared data'!Q706</f>
        <v/>
      </c>
      <c r="S713" s="7">
        <f>'1 prepared data'!R706</f>
        <v/>
      </c>
      <c r="T713" s="7">
        <f>'1 prepared data'!S706</f>
        <v/>
      </c>
      <c r="U713" s="7">
        <f>'1 prepared data'!T706</f>
        <v/>
      </c>
      <c r="V713" s="8">
        <f>$AC$12+D713*$AC$13+E713*$AC$14+F713*$AC$15+G713*$AC$16+H713*$AC$17+I713*$AC$18+J713*$AC$19+K713*$AC$20+L713*$AC$21+M713*$AC$22+N713*$AC$23+O713*$AC$24+P713*$AC$25+Q713*$AC$26+R713*$AC$27+S713*$AC$28+T713*$AC$29+U713*$AC$30</f>
        <v/>
      </c>
      <c r="W713" s="8">
        <f>1/(1+EXP(-V713))</f>
        <v/>
      </c>
      <c r="X713" s="9">
        <f>-IF(C713=1,LN(W713),LN(1-W713))</f>
        <v/>
      </c>
      <c r="Y713" s="10">
        <f>IF(W713&gt;$AC$34,1,0)</f>
        <v/>
      </c>
      <c r="Z713">
        <f>IF(Y713=C713,1,0)</f>
        <v/>
      </c>
    </row>
    <row r="714">
      <c r="A714">
        <f>'1 prepared data'!A707</f>
        <v/>
      </c>
      <c r="B714" s="5">
        <f>'1 prepared data'!U707</f>
        <v/>
      </c>
      <c r="C714">
        <f>'1 prepared data'!B707</f>
        <v/>
      </c>
      <c r="D714" s="7">
        <f>'1 prepared data'!C707</f>
        <v/>
      </c>
      <c r="E714" s="7">
        <f>'1 prepared data'!D707</f>
        <v/>
      </c>
      <c r="F714" s="7">
        <f>'1 prepared data'!E707</f>
        <v/>
      </c>
      <c r="G714" s="7">
        <f>'1 prepared data'!F707</f>
        <v/>
      </c>
      <c r="H714" s="7">
        <f>'1 prepared data'!G707</f>
        <v/>
      </c>
      <c r="I714" s="7">
        <f>'1 prepared data'!H707</f>
        <v/>
      </c>
      <c r="J714" s="7">
        <f>'1 prepared data'!I707</f>
        <v/>
      </c>
      <c r="K714" s="7">
        <f>'1 prepared data'!J707</f>
        <v/>
      </c>
      <c r="L714" s="7">
        <f>'1 prepared data'!K707</f>
        <v/>
      </c>
      <c r="M714" s="7">
        <f>'1 prepared data'!L707</f>
        <v/>
      </c>
      <c r="N714" s="7">
        <f>'1 prepared data'!M707</f>
        <v/>
      </c>
      <c r="O714" s="7">
        <f>'1 prepared data'!N707</f>
        <v/>
      </c>
      <c r="P714" s="7">
        <f>'1 prepared data'!O707</f>
        <v/>
      </c>
      <c r="Q714" s="7">
        <f>'1 prepared data'!P707</f>
        <v/>
      </c>
      <c r="R714" s="7">
        <f>'1 prepared data'!Q707</f>
        <v/>
      </c>
      <c r="S714" s="7">
        <f>'1 prepared data'!R707</f>
        <v/>
      </c>
      <c r="T714" s="7">
        <f>'1 prepared data'!S707</f>
        <v/>
      </c>
      <c r="U714" s="7">
        <f>'1 prepared data'!T707</f>
        <v/>
      </c>
      <c r="V714" s="8">
        <f>$AC$12+D714*$AC$13+E714*$AC$14+F714*$AC$15+G714*$AC$16+H714*$AC$17+I714*$AC$18+J714*$AC$19+K714*$AC$20+L714*$AC$21+M714*$AC$22+N714*$AC$23+O714*$AC$24+P714*$AC$25+Q714*$AC$26+R714*$AC$27+S714*$AC$28+T714*$AC$29+U714*$AC$30</f>
        <v/>
      </c>
      <c r="W714" s="8">
        <f>1/(1+EXP(-V714))</f>
        <v/>
      </c>
      <c r="X714" s="9">
        <f>-IF(C714=1,LN(W714),LN(1-W714))</f>
        <v/>
      </c>
      <c r="Y714" s="10">
        <f>IF(W714&gt;$AC$34,1,0)</f>
        <v/>
      </c>
      <c r="Z714">
        <f>IF(Y714=C714,1,0)</f>
        <v/>
      </c>
    </row>
    <row r="715">
      <c r="A715">
        <f>'1 prepared data'!A708</f>
        <v/>
      </c>
      <c r="B715" s="5">
        <f>'1 prepared data'!U708</f>
        <v/>
      </c>
      <c r="C715">
        <f>'1 prepared data'!B708</f>
        <v/>
      </c>
      <c r="D715" s="7">
        <f>'1 prepared data'!C708</f>
        <v/>
      </c>
      <c r="E715" s="7">
        <f>'1 prepared data'!D708</f>
        <v/>
      </c>
      <c r="F715" s="7">
        <f>'1 prepared data'!E708</f>
        <v/>
      </c>
      <c r="G715" s="7">
        <f>'1 prepared data'!F708</f>
        <v/>
      </c>
      <c r="H715" s="7">
        <f>'1 prepared data'!G708</f>
        <v/>
      </c>
      <c r="I715" s="7">
        <f>'1 prepared data'!H708</f>
        <v/>
      </c>
      <c r="J715" s="7">
        <f>'1 prepared data'!I708</f>
        <v/>
      </c>
      <c r="K715" s="7">
        <f>'1 prepared data'!J708</f>
        <v/>
      </c>
      <c r="L715" s="7">
        <f>'1 prepared data'!K708</f>
        <v/>
      </c>
      <c r="M715" s="7">
        <f>'1 prepared data'!L708</f>
        <v/>
      </c>
      <c r="N715" s="7">
        <f>'1 prepared data'!M708</f>
        <v/>
      </c>
      <c r="O715" s="7">
        <f>'1 prepared data'!N708</f>
        <v/>
      </c>
      <c r="P715" s="7">
        <f>'1 prepared data'!O708</f>
        <v/>
      </c>
      <c r="Q715" s="7">
        <f>'1 prepared data'!P708</f>
        <v/>
      </c>
      <c r="R715" s="7">
        <f>'1 prepared data'!Q708</f>
        <v/>
      </c>
      <c r="S715" s="7">
        <f>'1 prepared data'!R708</f>
        <v/>
      </c>
      <c r="T715" s="7">
        <f>'1 prepared data'!S708</f>
        <v/>
      </c>
      <c r="U715" s="7">
        <f>'1 prepared data'!T708</f>
        <v/>
      </c>
      <c r="V715" s="8">
        <f>$AC$12+D715*$AC$13+E715*$AC$14+F715*$AC$15+G715*$AC$16+H715*$AC$17+I715*$AC$18+J715*$AC$19+K715*$AC$20+L715*$AC$21+M715*$AC$22+N715*$AC$23+O715*$AC$24+P715*$AC$25+Q715*$AC$26+R715*$AC$27+S715*$AC$28+T715*$AC$29+U715*$AC$30</f>
        <v/>
      </c>
      <c r="W715" s="8">
        <f>1/(1+EXP(-V715))</f>
        <v/>
      </c>
      <c r="X715" s="9">
        <f>-IF(C715=1,LN(W715),LN(1-W715))</f>
        <v/>
      </c>
      <c r="Y715" s="10">
        <f>IF(W715&gt;$AC$34,1,0)</f>
        <v/>
      </c>
      <c r="Z715">
        <f>IF(Y715=C715,1,0)</f>
        <v/>
      </c>
    </row>
    <row r="716">
      <c r="A716">
        <f>'1 prepared data'!A709</f>
        <v/>
      </c>
      <c r="B716" s="5">
        <f>'1 prepared data'!U709</f>
        <v/>
      </c>
      <c r="C716">
        <f>'1 prepared data'!B709</f>
        <v/>
      </c>
      <c r="D716" s="7">
        <f>'1 prepared data'!C709</f>
        <v/>
      </c>
      <c r="E716" s="7">
        <f>'1 prepared data'!D709</f>
        <v/>
      </c>
      <c r="F716" s="7">
        <f>'1 prepared data'!E709</f>
        <v/>
      </c>
      <c r="G716" s="7">
        <f>'1 prepared data'!F709</f>
        <v/>
      </c>
      <c r="H716" s="7">
        <f>'1 prepared data'!G709</f>
        <v/>
      </c>
      <c r="I716" s="7">
        <f>'1 prepared data'!H709</f>
        <v/>
      </c>
      <c r="J716" s="7">
        <f>'1 prepared data'!I709</f>
        <v/>
      </c>
      <c r="K716" s="7">
        <f>'1 prepared data'!J709</f>
        <v/>
      </c>
      <c r="L716" s="7">
        <f>'1 prepared data'!K709</f>
        <v/>
      </c>
      <c r="M716" s="7">
        <f>'1 prepared data'!L709</f>
        <v/>
      </c>
      <c r="N716" s="7">
        <f>'1 prepared data'!M709</f>
        <v/>
      </c>
      <c r="O716" s="7">
        <f>'1 prepared data'!N709</f>
        <v/>
      </c>
      <c r="P716" s="7">
        <f>'1 prepared data'!O709</f>
        <v/>
      </c>
      <c r="Q716" s="7">
        <f>'1 prepared data'!P709</f>
        <v/>
      </c>
      <c r="R716" s="7">
        <f>'1 prepared data'!Q709</f>
        <v/>
      </c>
      <c r="S716" s="7">
        <f>'1 prepared data'!R709</f>
        <v/>
      </c>
      <c r="T716" s="7">
        <f>'1 prepared data'!S709</f>
        <v/>
      </c>
      <c r="U716" s="7">
        <f>'1 prepared data'!T709</f>
        <v/>
      </c>
      <c r="V716" s="8">
        <f>$AC$12+D716*$AC$13+E716*$AC$14+F716*$AC$15+G716*$AC$16+H716*$AC$17+I716*$AC$18+J716*$AC$19+K716*$AC$20+L716*$AC$21+M716*$AC$22+N716*$AC$23+O716*$AC$24+P716*$AC$25+Q716*$AC$26+R716*$AC$27+S716*$AC$28+T716*$AC$29+U716*$AC$30</f>
        <v/>
      </c>
      <c r="W716" s="8">
        <f>1/(1+EXP(-V716))</f>
        <v/>
      </c>
      <c r="X716" s="9">
        <f>-IF(C716=1,LN(W716),LN(1-W716))</f>
        <v/>
      </c>
      <c r="Y716" s="10">
        <f>IF(W716&gt;$AC$34,1,0)</f>
        <v/>
      </c>
      <c r="Z716">
        <f>IF(Y716=C716,1,0)</f>
        <v/>
      </c>
    </row>
    <row r="717">
      <c r="A717">
        <f>'1 prepared data'!A710</f>
        <v/>
      </c>
      <c r="B717" s="5">
        <f>'1 prepared data'!U710</f>
        <v/>
      </c>
      <c r="C717">
        <f>'1 prepared data'!B710</f>
        <v/>
      </c>
      <c r="D717" s="7">
        <f>'1 prepared data'!C710</f>
        <v/>
      </c>
      <c r="E717" s="7">
        <f>'1 prepared data'!D710</f>
        <v/>
      </c>
      <c r="F717" s="7">
        <f>'1 prepared data'!E710</f>
        <v/>
      </c>
      <c r="G717" s="7">
        <f>'1 prepared data'!F710</f>
        <v/>
      </c>
      <c r="H717" s="7">
        <f>'1 prepared data'!G710</f>
        <v/>
      </c>
      <c r="I717" s="7">
        <f>'1 prepared data'!H710</f>
        <v/>
      </c>
      <c r="J717" s="7">
        <f>'1 prepared data'!I710</f>
        <v/>
      </c>
      <c r="K717" s="7">
        <f>'1 prepared data'!J710</f>
        <v/>
      </c>
      <c r="L717" s="7">
        <f>'1 prepared data'!K710</f>
        <v/>
      </c>
      <c r="M717" s="7">
        <f>'1 prepared data'!L710</f>
        <v/>
      </c>
      <c r="N717" s="7">
        <f>'1 prepared data'!M710</f>
        <v/>
      </c>
      <c r="O717" s="7">
        <f>'1 prepared data'!N710</f>
        <v/>
      </c>
      <c r="P717" s="7">
        <f>'1 prepared data'!O710</f>
        <v/>
      </c>
      <c r="Q717" s="7">
        <f>'1 prepared data'!P710</f>
        <v/>
      </c>
      <c r="R717" s="7">
        <f>'1 prepared data'!Q710</f>
        <v/>
      </c>
      <c r="S717" s="7">
        <f>'1 prepared data'!R710</f>
        <v/>
      </c>
      <c r="T717" s="7">
        <f>'1 prepared data'!S710</f>
        <v/>
      </c>
      <c r="U717" s="7">
        <f>'1 prepared data'!T710</f>
        <v/>
      </c>
      <c r="V717" s="8">
        <f>$AC$12+D717*$AC$13+E717*$AC$14+F717*$AC$15+G717*$AC$16+H717*$AC$17+I717*$AC$18+J717*$AC$19+K717*$AC$20+L717*$AC$21+M717*$AC$22+N717*$AC$23+O717*$AC$24+P717*$AC$25+Q717*$AC$26+R717*$AC$27+S717*$AC$28+T717*$AC$29+U717*$AC$30</f>
        <v/>
      </c>
      <c r="W717" s="8">
        <f>1/(1+EXP(-V717))</f>
        <v/>
      </c>
      <c r="X717" s="9">
        <f>-IF(C717=1,LN(W717),LN(1-W717))</f>
        <v/>
      </c>
      <c r="Y717" s="10">
        <f>IF(W717&gt;$AC$34,1,0)</f>
        <v/>
      </c>
      <c r="Z717">
        <f>IF(Y717=C717,1,0)</f>
        <v/>
      </c>
    </row>
    <row r="718">
      <c r="A718">
        <f>'1 prepared data'!A711</f>
        <v/>
      </c>
      <c r="B718" s="5">
        <f>'1 prepared data'!U711</f>
        <v/>
      </c>
      <c r="C718">
        <f>'1 prepared data'!B711</f>
        <v/>
      </c>
      <c r="D718" s="7">
        <f>'1 prepared data'!C711</f>
        <v/>
      </c>
      <c r="E718" s="7">
        <f>'1 prepared data'!D711</f>
        <v/>
      </c>
      <c r="F718" s="7">
        <f>'1 prepared data'!E711</f>
        <v/>
      </c>
      <c r="G718" s="7">
        <f>'1 prepared data'!F711</f>
        <v/>
      </c>
      <c r="H718" s="7">
        <f>'1 prepared data'!G711</f>
        <v/>
      </c>
      <c r="I718" s="7">
        <f>'1 prepared data'!H711</f>
        <v/>
      </c>
      <c r="J718" s="7">
        <f>'1 prepared data'!I711</f>
        <v/>
      </c>
      <c r="K718" s="7">
        <f>'1 prepared data'!J711</f>
        <v/>
      </c>
      <c r="L718" s="7">
        <f>'1 prepared data'!K711</f>
        <v/>
      </c>
      <c r="M718" s="7">
        <f>'1 prepared data'!L711</f>
        <v/>
      </c>
      <c r="N718" s="7">
        <f>'1 prepared data'!M711</f>
        <v/>
      </c>
      <c r="O718" s="7">
        <f>'1 prepared data'!N711</f>
        <v/>
      </c>
      <c r="P718" s="7">
        <f>'1 prepared data'!O711</f>
        <v/>
      </c>
      <c r="Q718" s="7">
        <f>'1 prepared data'!P711</f>
        <v/>
      </c>
      <c r="R718" s="7">
        <f>'1 prepared data'!Q711</f>
        <v/>
      </c>
      <c r="S718" s="7">
        <f>'1 prepared data'!R711</f>
        <v/>
      </c>
      <c r="T718" s="7">
        <f>'1 prepared data'!S711</f>
        <v/>
      </c>
      <c r="U718" s="7">
        <f>'1 prepared data'!T711</f>
        <v/>
      </c>
      <c r="V718" s="8">
        <f>$AC$12+D718*$AC$13+E718*$AC$14+F718*$AC$15+G718*$AC$16+H718*$AC$17+I718*$AC$18+J718*$AC$19+K718*$AC$20+L718*$AC$21+M718*$AC$22+N718*$AC$23+O718*$AC$24+P718*$AC$25+Q718*$AC$26+R718*$AC$27+S718*$AC$28+T718*$AC$29+U718*$AC$30</f>
        <v/>
      </c>
      <c r="W718" s="8">
        <f>1/(1+EXP(-V718))</f>
        <v/>
      </c>
      <c r="X718" s="9">
        <f>-IF(C718=1,LN(W718),LN(1-W718))</f>
        <v/>
      </c>
      <c r="Y718" s="10">
        <f>IF(W718&gt;$AC$34,1,0)</f>
        <v/>
      </c>
      <c r="Z718">
        <f>IF(Y718=C718,1,0)</f>
        <v/>
      </c>
    </row>
    <row r="719">
      <c r="A719">
        <f>'1 prepared data'!A712</f>
        <v/>
      </c>
      <c r="B719" s="5">
        <f>'1 prepared data'!U712</f>
        <v/>
      </c>
      <c r="C719">
        <f>'1 prepared data'!B712</f>
        <v/>
      </c>
      <c r="D719" s="7">
        <f>'1 prepared data'!C712</f>
        <v/>
      </c>
      <c r="E719" s="7">
        <f>'1 prepared data'!D712</f>
        <v/>
      </c>
      <c r="F719" s="7">
        <f>'1 prepared data'!E712</f>
        <v/>
      </c>
      <c r="G719" s="7">
        <f>'1 prepared data'!F712</f>
        <v/>
      </c>
      <c r="H719" s="7">
        <f>'1 prepared data'!G712</f>
        <v/>
      </c>
      <c r="I719" s="7">
        <f>'1 prepared data'!H712</f>
        <v/>
      </c>
      <c r="J719" s="7">
        <f>'1 prepared data'!I712</f>
        <v/>
      </c>
      <c r="K719" s="7">
        <f>'1 prepared data'!J712</f>
        <v/>
      </c>
      <c r="L719" s="7">
        <f>'1 prepared data'!K712</f>
        <v/>
      </c>
      <c r="M719" s="7">
        <f>'1 prepared data'!L712</f>
        <v/>
      </c>
      <c r="N719" s="7">
        <f>'1 prepared data'!M712</f>
        <v/>
      </c>
      <c r="O719" s="7">
        <f>'1 prepared data'!N712</f>
        <v/>
      </c>
      <c r="P719" s="7">
        <f>'1 prepared data'!O712</f>
        <v/>
      </c>
      <c r="Q719" s="7">
        <f>'1 prepared data'!P712</f>
        <v/>
      </c>
      <c r="R719" s="7">
        <f>'1 prepared data'!Q712</f>
        <v/>
      </c>
      <c r="S719" s="7">
        <f>'1 prepared data'!R712</f>
        <v/>
      </c>
      <c r="T719" s="7">
        <f>'1 prepared data'!S712</f>
        <v/>
      </c>
      <c r="U719" s="7">
        <f>'1 prepared data'!T712</f>
        <v/>
      </c>
      <c r="V719" s="8">
        <f>$AC$12+D719*$AC$13+E719*$AC$14+F719*$AC$15+G719*$AC$16+H719*$AC$17+I719*$AC$18+J719*$AC$19+K719*$AC$20+L719*$AC$21+M719*$AC$22+N719*$AC$23+O719*$AC$24+P719*$AC$25+Q719*$AC$26+R719*$AC$27+S719*$AC$28+T719*$AC$29+U719*$AC$30</f>
        <v/>
      </c>
      <c r="W719" s="8">
        <f>1/(1+EXP(-V719))</f>
        <v/>
      </c>
      <c r="X719" s="9">
        <f>-IF(C719=1,LN(W719),LN(1-W719))</f>
        <v/>
      </c>
      <c r="Y719" s="10">
        <f>IF(W719&gt;$AC$34,1,0)</f>
        <v/>
      </c>
      <c r="Z719">
        <f>IF(Y719=C719,1,0)</f>
        <v/>
      </c>
    </row>
    <row r="720">
      <c r="A720">
        <f>'1 prepared data'!A713</f>
        <v/>
      </c>
      <c r="B720" s="5">
        <f>'1 prepared data'!U713</f>
        <v/>
      </c>
      <c r="C720">
        <f>'1 prepared data'!B713</f>
        <v/>
      </c>
      <c r="D720" s="7">
        <f>'1 prepared data'!C713</f>
        <v/>
      </c>
      <c r="E720" s="7">
        <f>'1 prepared data'!D713</f>
        <v/>
      </c>
      <c r="F720" s="7">
        <f>'1 prepared data'!E713</f>
        <v/>
      </c>
      <c r="G720" s="7">
        <f>'1 prepared data'!F713</f>
        <v/>
      </c>
      <c r="H720" s="7">
        <f>'1 prepared data'!G713</f>
        <v/>
      </c>
      <c r="I720" s="7">
        <f>'1 prepared data'!H713</f>
        <v/>
      </c>
      <c r="J720" s="7">
        <f>'1 prepared data'!I713</f>
        <v/>
      </c>
      <c r="K720" s="7">
        <f>'1 prepared data'!J713</f>
        <v/>
      </c>
      <c r="L720" s="7">
        <f>'1 prepared data'!K713</f>
        <v/>
      </c>
      <c r="M720" s="7">
        <f>'1 prepared data'!L713</f>
        <v/>
      </c>
      <c r="N720" s="7">
        <f>'1 prepared data'!M713</f>
        <v/>
      </c>
      <c r="O720" s="7">
        <f>'1 prepared data'!N713</f>
        <v/>
      </c>
      <c r="P720" s="7">
        <f>'1 prepared data'!O713</f>
        <v/>
      </c>
      <c r="Q720" s="7">
        <f>'1 prepared data'!P713</f>
        <v/>
      </c>
      <c r="R720" s="7">
        <f>'1 prepared data'!Q713</f>
        <v/>
      </c>
      <c r="S720" s="7">
        <f>'1 prepared data'!R713</f>
        <v/>
      </c>
      <c r="T720" s="7">
        <f>'1 prepared data'!S713</f>
        <v/>
      </c>
      <c r="U720" s="7">
        <f>'1 prepared data'!T713</f>
        <v/>
      </c>
      <c r="V720" s="8">
        <f>$AC$12+D720*$AC$13+E720*$AC$14+F720*$AC$15+G720*$AC$16+H720*$AC$17+I720*$AC$18+J720*$AC$19+K720*$AC$20+L720*$AC$21+M720*$AC$22+N720*$AC$23+O720*$AC$24+P720*$AC$25+Q720*$AC$26+R720*$AC$27+S720*$AC$28+T720*$AC$29+U720*$AC$30</f>
        <v/>
      </c>
      <c r="W720" s="8">
        <f>1/(1+EXP(-V720))</f>
        <v/>
      </c>
      <c r="X720" s="9">
        <f>-IF(C720=1,LN(W720),LN(1-W720))</f>
        <v/>
      </c>
      <c r="Y720" s="10">
        <f>IF(W720&gt;$AC$34,1,0)</f>
        <v/>
      </c>
      <c r="Z720">
        <f>IF(Y720=C720,1,0)</f>
        <v/>
      </c>
    </row>
    <row r="721">
      <c r="A721">
        <f>'1 prepared data'!A714</f>
        <v/>
      </c>
      <c r="B721" s="5">
        <f>'1 prepared data'!U714</f>
        <v/>
      </c>
      <c r="C721">
        <f>'1 prepared data'!B714</f>
        <v/>
      </c>
      <c r="D721" s="7">
        <f>'1 prepared data'!C714</f>
        <v/>
      </c>
      <c r="E721" s="7">
        <f>'1 prepared data'!D714</f>
        <v/>
      </c>
      <c r="F721" s="7">
        <f>'1 prepared data'!E714</f>
        <v/>
      </c>
      <c r="G721" s="7">
        <f>'1 prepared data'!F714</f>
        <v/>
      </c>
      <c r="H721" s="7">
        <f>'1 prepared data'!G714</f>
        <v/>
      </c>
      <c r="I721" s="7">
        <f>'1 prepared data'!H714</f>
        <v/>
      </c>
      <c r="J721" s="7">
        <f>'1 prepared data'!I714</f>
        <v/>
      </c>
      <c r="K721" s="7">
        <f>'1 prepared data'!J714</f>
        <v/>
      </c>
      <c r="L721" s="7">
        <f>'1 prepared data'!K714</f>
        <v/>
      </c>
      <c r="M721" s="7">
        <f>'1 prepared data'!L714</f>
        <v/>
      </c>
      <c r="N721" s="7">
        <f>'1 prepared data'!M714</f>
        <v/>
      </c>
      <c r="O721" s="7">
        <f>'1 prepared data'!N714</f>
        <v/>
      </c>
      <c r="P721" s="7">
        <f>'1 prepared data'!O714</f>
        <v/>
      </c>
      <c r="Q721" s="7">
        <f>'1 prepared data'!P714</f>
        <v/>
      </c>
      <c r="R721" s="7">
        <f>'1 prepared data'!Q714</f>
        <v/>
      </c>
      <c r="S721" s="7">
        <f>'1 prepared data'!R714</f>
        <v/>
      </c>
      <c r="T721" s="7">
        <f>'1 prepared data'!S714</f>
        <v/>
      </c>
      <c r="U721" s="7">
        <f>'1 prepared data'!T714</f>
        <v/>
      </c>
      <c r="V721" s="8">
        <f>$AC$12+D721*$AC$13+E721*$AC$14+F721*$AC$15+G721*$AC$16+H721*$AC$17+I721*$AC$18+J721*$AC$19+K721*$AC$20+L721*$AC$21+M721*$AC$22+N721*$AC$23+O721*$AC$24+P721*$AC$25+Q721*$AC$26+R721*$AC$27+S721*$AC$28+T721*$AC$29+U721*$AC$30</f>
        <v/>
      </c>
      <c r="W721" s="8">
        <f>1/(1+EXP(-V721))</f>
        <v/>
      </c>
      <c r="X721" s="9">
        <f>-IF(C721=1,LN(W721),LN(1-W721))</f>
        <v/>
      </c>
      <c r="Y721" s="10">
        <f>IF(W721&gt;$AC$34,1,0)</f>
        <v/>
      </c>
      <c r="Z721">
        <f>IF(Y721=C721,1,0)</f>
        <v/>
      </c>
    </row>
    <row r="722">
      <c r="A722">
        <f>'1 prepared data'!A715</f>
        <v/>
      </c>
      <c r="B722" s="5">
        <f>'1 prepared data'!U715</f>
        <v/>
      </c>
      <c r="C722">
        <f>'1 prepared data'!B715</f>
        <v/>
      </c>
      <c r="D722" s="7">
        <f>'1 prepared data'!C715</f>
        <v/>
      </c>
      <c r="E722" s="7">
        <f>'1 prepared data'!D715</f>
        <v/>
      </c>
      <c r="F722" s="7">
        <f>'1 prepared data'!E715</f>
        <v/>
      </c>
      <c r="G722" s="7">
        <f>'1 prepared data'!F715</f>
        <v/>
      </c>
      <c r="H722" s="7">
        <f>'1 prepared data'!G715</f>
        <v/>
      </c>
      <c r="I722" s="7">
        <f>'1 prepared data'!H715</f>
        <v/>
      </c>
      <c r="J722" s="7">
        <f>'1 prepared data'!I715</f>
        <v/>
      </c>
      <c r="K722" s="7">
        <f>'1 prepared data'!J715</f>
        <v/>
      </c>
      <c r="L722" s="7">
        <f>'1 prepared data'!K715</f>
        <v/>
      </c>
      <c r="M722" s="7">
        <f>'1 prepared data'!L715</f>
        <v/>
      </c>
      <c r="N722" s="7">
        <f>'1 prepared data'!M715</f>
        <v/>
      </c>
      <c r="O722" s="7">
        <f>'1 prepared data'!N715</f>
        <v/>
      </c>
      <c r="P722" s="7">
        <f>'1 prepared data'!O715</f>
        <v/>
      </c>
      <c r="Q722" s="7">
        <f>'1 prepared data'!P715</f>
        <v/>
      </c>
      <c r="R722" s="7">
        <f>'1 prepared data'!Q715</f>
        <v/>
      </c>
      <c r="S722" s="7">
        <f>'1 prepared data'!R715</f>
        <v/>
      </c>
      <c r="T722" s="7">
        <f>'1 prepared data'!S715</f>
        <v/>
      </c>
      <c r="U722" s="7">
        <f>'1 prepared data'!T715</f>
        <v/>
      </c>
      <c r="V722" s="8">
        <f>$AC$12+D722*$AC$13+E722*$AC$14+F722*$AC$15+G722*$AC$16+H722*$AC$17+I722*$AC$18+J722*$AC$19+K722*$AC$20+L722*$AC$21+M722*$AC$22+N722*$AC$23+O722*$AC$24+P722*$AC$25+Q722*$AC$26+R722*$AC$27+S722*$AC$28+T722*$AC$29+U722*$AC$30</f>
        <v/>
      </c>
      <c r="W722" s="8">
        <f>1/(1+EXP(-V722))</f>
        <v/>
      </c>
      <c r="X722" s="9">
        <f>-IF(C722=1,LN(W722),LN(1-W722))</f>
        <v/>
      </c>
      <c r="Y722" s="10">
        <f>IF(W722&gt;$AC$34,1,0)</f>
        <v/>
      </c>
      <c r="Z722">
        <f>IF(Y722=C722,1,0)</f>
        <v/>
      </c>
    </row>
    <row r="723">
      <c r="A723">
        <f>'1 prepared data'!A716</f>
        <v/>
      </c>
      <c r="B723" s="5">
        <f>'1 prepared data'!U716</f>
        <v/>
      </c>
      <c r="C723">
        <f>'1 prepared data'!B716</f>
        <v/>
      </c>
      <c r="D723" s="7">
        <f>'1 prepared data'!C716</f>
        <v/>
      </c>
      <c r="E723" s="7">
        <f>'1 prepared data'!D716</f>
        <v/>
      </c>
      <c r="F723" s="7">
        <f>'1 prepared data'!E716</f>
        <v/>
      </c>
      <c r="G723" s="7">
        <f>'1 prepared data'!F716</f>
        <v/>
      </c>
      <c r="H723" s="7">
        <f>'1 prepared data'!G716</f>
        <v/>
      </c>
      <c r="I723" s="7">
        <f>'1 prepared data'!H716</f>
        <v/>
      </c>
      <c r="J723" s="7">
        <f>'1 prepared data'!I716</f>
        <v/>
      </c>
      <c r="K723" s="7">
        <f>'1 prepared data'!J716</f>
        <v/>
      </c>
      <c r="L723" s="7">
        <f>'1 prepared data'!K716</f>
        <v/>
      </c>
      <c r="M723" s="7">
        <f>'1 prepared data'!L716</f>
        <v/>
      </c>
      <c r="N723" s="7">
        <f>'1 prepared data'!M716</f>
        <v/>
      </c>
      <c r="O723" s="7">
        <f>'1 prepared data'!N716</f>
        <v/>
      </c>
      <c r="P723" s="7">
        <f>'1 prepared data'!O716</f>
        <v/>
      </c>
      <c r="Q723" s="7">
        <f>'1 prepared data'!P716</f>
        <v/>
      </c>
      <c r="R723" s="7">
        <f>'1 prepared data'!Q716</f>
        <v/>
      </c>
      <c r="S723" s="7">
        <f>'1 prepared data'!R716</f>
        <v/>
      </c>
      <c r="T723" s="7">
        <f>'1 prepared data'!S716</f>
        <v/>
      </c>
      <c r="U723" s="7">
        <f>'1 prepared data'!T716</f>
        <v/>
      </c>
      <c r="V723" s="8">
        <f>$AC$12+D723*$AC$13+E723*$AC$14+F723*$AC$15+G723*$AC$16+H723*$AC$17+I723*$AC$18+J723*$AC$19+K723*$AC$20+L723*$AC$21+M723*$AC$22+N723*$AC$23+O723*$AC$24+P723*$AC$25+Q723*$AC$26+R723*$AC$27+S723*$AC$28+T723*$AC$29+U723*$AC$30</f>
        <v/>
      </c>
      <c r="W723" s="8">
        <f>1/(1+EXP(-V723))</f>
        <v/>
      </c>
      <c r="X723" s="9">
        <f>-IF(C723=1,LN(W723),LN(1-W723))</f>
        <v/>
      </c>
      <c r="Y723" s="10">
        <f>IF(W723&gt;$AC$34,1,0)</f>
        <v/>
      </c>
      <c r="Z723">
        <f>IF(Y723=C723,1,0)</f>
        <v/>
      </c>
    </row>
    <row r="724">
      <c r="A724">
        <f>'1 prepared data'!A717</f>
        <v/>
      </c>
      <c r="B724" s="5">
        <f>'1 prepared data'!U717</f>
        <v/>
      </c>
      <c r="C724">
        <f>'1 prepared data'!B717</f>
        <v/>
      </c>
      <c r="D724" s="7">
        <f>'1 prepared data'!C717</f>
        <v/>
      </c>
      <c r="E724" s="7">
        <f>'1 prepared data'!D717</f>
        <v/>
      </c>
      <c r="F724" s="7">
        <f>'1 prepared data'!E717</f>
        <v/>
      </c>
      <c r="G724" s="7">
        <f>'1 prepared data'!F717</f>
        <v/>
      </c>
      <c r="H724" s="7">
        <f>'1 prepared data'!G717</f>
        <v/>
      </c>
      <c r="I724" s="7">
        <f>'1 prepared data'!H717</f>
        <v/>
      </c>
      <c r="J724" s="7">
        <f>'1 prepared data'!I717</f>
        <v/>
      </c>
      <c r="K724" s="7">
        <f>'1 prepared data'!J717</f>
        <v/>
      </c>
      <c r="L724" s="7">
        <f>'1 prepared data'!K717</f>
        <v/>
      </c>
      <c r="M724" s="7">
        <f>'1 prepared data'!L717</f>
        <v/>
      </c>
      <c r="N724" s="7">
        <f>'1 prepared data'!M717</f>
        <v/>
      </c>
      <c r="O724" s="7">
        <f>'1 prepared data'!N717</f>
        <v/>
      </c>
      <c r="P724" s="7">
        <f>'1 prepared data'!O717</f>
        <v/>
      </c>
      <c r="Q724" s="7">
        <f>'1 prepared data'!P717</f>
        <v/>
      </c>
      <c r="R724" s="7">
        <f>'1 prepared data'!Q717</f>
        <v/>
      </c>
      <c r="S724" s="7">
        <f>'1 prepared data'!R717</f>
        <v/>
      </c>
      <c r="T724" s="7">
        <f>'1 prepared data'!S717</f>
        <v/>
      </c>
      <c r="U724" s="7">
        <f>'1 prepared data'!T717</f>
        <v/>
      </c>
      <c r="V724" s="8">
        <f>$AC$12+D724*$AC$13+E724*$AC$14+F724*$AC$15+G724*$AC$16+H724*$AC$17+I724*$AC$18+J724*$AC$19+K724*$AC$20+L724*$AC$21+M724*$AC$22+N724*$AC$23+O724*$AC$24+P724*$AC$25+Q724*$AC$26+R724*$AC$27+S724*$AC$28+T724*$AC$29+U724*$AC$30</f>
        <v/>
      </c>
      <c r="W724" s="8">
        <f>1/(1+EXP(-V724))</f>
        <v/>
      </c>
      <c r="X724" s="9">
        <f>-IF(C724=1,LN(W724),LN(1-W724))</f>
        <v/>
      </c>
      <c r="Y724" s="10">
        <f>IF(W724&gt;$AC$34,1,0)</f>
        <v/>
      </c>
      <c r="Z724">
        <f>IF(Y724=C724,1,0)</f>
        <v/>
      </c>
    </row>
    <row r="725">
      <c r="A725">
        <f>'1 prepared data'!A718</f>
        <v/>
      </c>
      <c r="B725" s="5">
        <f>'1 prepared data'!U718</f>
        <v/>
      </c>
      <c r="C725">
        <f>'1 prepared data'!B718</f>
        <v/>
      </c>
      <c r="D725" s="7">
        <f>'1 prepared data'!C718</f>
        <v/>
      </c>
      <c r="E725" s="7">
        <f>'1 prepared data'!D718</f>
        <v/>
      </c>
      <c r="F725" s="7">
        <f>'1 prepared data'!E718</f>
        <v/>
      </c>
      <c r="G725" s="7">
        <f>'1 prepared data'!F718</f>
        <v/>
      </c>
      <c r="H725" s="7">
        <f>'1 prepared data'!G718</f>
        <v/>
      </c>
      <c r="I725" s="7">
        <f>'1 prepared data'!H718</f>
        <v/>
      </c>
      <c r="J725" s="7">
        <f>'1 prepared data'!I718</f>
        <v/>
      </c>
      <c r="K725" s="7">
        <f>'1 prepared data'!J718</f>
        <v/>
      </c>
      <c r="L725" s="7">
        <f>'1 prepared data'!K718</f>
        <v/>
      </c>
      <c r="M725" s="7">
        <f>'1 prepared data'!L718</f>
        <v/>
      </c>
      <c r="N725" s="7">
        <f>'1 prepared data'!M718</f>
        <v/>
      </c>
      <c r="O725" s="7">
        <f>'1 prepared data'!N718</f>
        <v/>
      </c>
      <c r="P725" s="7">
        <f>'1 prepared data'!O718</f>
        <v/>
      </c>
      <c r="Q725" s="7">
        <f>'1 prepared data'!P718</f>
        <v/>
      </c>
      <c r="R725" s="7">
        <f>'1 prepared data'!Q718</f>
        <v/>
      </c>
      <c r="S725" s="7">
        <f>'1 prepared data'!R718</f>
        <v/>
      </c>
      <c r="T725" s="7">
        <f>'1 prepared data'!S718</f>
        <v/>
      </c>
      <c r="U725" s="7">
        <f>'1 prepared data'!T718</f>
        <v/>
      </c>
      <c r="V725" s="8">
        <f>$AC$12+D725*$AC$13+E725*$AC$14+F725*$AC$15+G725*$AC$16+H725*$AC$17+I725*$AC$18+J725*$AC$19+K725*$AC$20+L725*$AC$21+M725*$AC$22+N725*$AC$23+O725*$AC$24+P725*$AC$25+Q725*$AC$26+R725*$AC$27+S725*$AC$28+T725*$AC$29+U725*$AC$30</f>
        <v/>
      </c>
      <c r="W725" s="8">
        <f>1/(1+EXP(-V725))</f>
        <v/>
      </c>
      <c r="X725" s="9">
        <f>-IF(C725=1,LN(W725),LN(1-W725))</f>
        <v/>
      </c>
      <c r="Y725" s="10">
        <f>IF(W725&gt;$AC$34,1,0)</f>
        <v/>
      </c>
      <c r="Z725">
        <f>IF(Y725=C725,1,0)</f>
        <v/>
      </c>
    </row>
    <row r="726">
      <c r="A726">
        <f>'1 prepared data'!A719</f>
        <v/>
      </c>
      <c r="B726" s="5">
        <f>'1 prepared data'!U719</f>
        <v/>
      </c>
      <c r="C726">
        <f>'1 prepared data'!B719</f>
        <v/>
      </c>
      <c r="D726" s="7">
        <f>'1 prepared data'!C719</f>
        <v/>
      </c>
      <c r="E726" s="7">
        <f>'1 prepared data'!D719</f>
        <v/>
      </c>
      <c r="F726" s="7">
        <f>'1 prepared data'!E719</f>
        <v/>
      </c>
      <c r="G726" s="7">
        <f>'1 prepared data'!F719</f>
        <v/>
      </c>
      <c r="H726" s="7">
        <f>'1 prepared data'!G719</f>
        <v/>
      </c>
      <c r="I726" s="7">
        <f>'1 prepared data'!H719</f>
        <v/>
      </c>
      <c r="J726" s="7">
        <f>'1 prepared data'!I719</f>
        <v/>
      </c>
      <c r="K726" s="7">
        <f>'1 prepared data'!J719</f>
        <v/>
      </c>
      <c r="L726" s="7">
        <f>'1 prepared data'!K719</f>
        <v/>
      </c>
      <c r="M726" s="7">
        <f>'1 prepared data'!L719</f>
        <v/>
      </c>
      <c r="N726" s="7">
        <f>'1 prepared data'!M719</f>
        <v/>
      </c>
      <c r="O726" s="7">
        <f>'1 prepared data'!N719</f>
        <v/>
      </c>
      <c r="P726" s="7">
        <f>'1 prepared data'!O719</f>
        <v/>
      </c>
      <c r="Q726" s="7">
        <f>'1 prepared data'!P719</f>
        <v/>
      </c>
      <c r="R726" s="7">
        <f>'1 prepared data'!Q719</f>
        <v/>
      </c>
      <c r="S726" s="7">
        <f>'1 prepared data'!R719</f>
        <v/>
      </c>
      <c r="T726" s="7">
        <f>'1 prepared data'!S719</f>
        <v/>
      </c>
      <c r="U726" s="7">
        <f>'1 prepared data'!T719</f>
        <v/>
      </c>
      <c r="V726" s="8">
        <f>$AC$12+D726*$AC$13+E726*$AC$14+F726*$AC$15+G726*$AC$16+H726*$AC$17+I726*$AC$18+J726*$AC$19+K726*$AC$20+L726*$AC$21+M726*$AC$22+N726*$AC$23+O726*$AC$24+P726*$AC$25+Q726*$AC$26+R726*$AC$27+S726*$AC$28+T726*$AC$29+U726*$AC$30</f>
        <v/>
      </c>
      <c r="W726" s="8">
        <f>1/(1+EXP(-V726))</f>
        <v/>
      </c>
      <c r="X726" s="9">
        <f>-IF(C726=1,LN(W726),LN(1-W726))</f>
        <v/>
      </c>
      <c r="Y726" s="10">
        <f>IF(W726&gt;$AC$34,1,0)</f>
        <v/>
      </c>
      <c r="Z726">
        <f>IF(Y726=C726,1,0)</f>
        <v/>
      </c>
    </row>
    <row r="727">
      <c r="A727">
        <f>'1 prepared data'!A720</f>
        <v/>
      </c>
      <c r="B727" s="5">
        <f>'1 prepared data'!U720</f>
        <v/>
      </c>
      <c r="C727">
        <f>'1 prepared data'!B720</f>
        <v/>
      </c>
      <c r="D727" s="7">
        <f>'1 prepared data'!C720</f>
        <v/>
      </c>
      <c r="E727" s="7">
        <f>'1 prepared data'!D720</f>
        <v/>
      </c>
      <c r="F727" s="7">
        <f>'1 prepared data'!E720</f>
        <v/>
      </c>
      <c r="G727" s="7">
        <f>'1 prepared data'!F720</f>
        <v/>
      </c>
      <c r="H727" s="7">
        <f>'1 prepared data'!G720</f>
        <v/>
      </c>
      <c r="I727" s="7">
        <f>'1 prepared data'!H720</f>
        <v/>
      </c>
      <c r="J727" s="7">
        <f>'1 prepared data'!I720</f>
        <v/>
      </c>
      <c r="K727" s="7">
        <f>'1 prepared data'!J720</f>
        <v/>
      </c>
      <c r="L727" s="7">
        <f>'1 prepared data'!K720</f>
        <v/>
      </c>
      <c r="M727" s="7">
        <f>'1 prepared data'!L720</f>
        <v/>
      </c>
      <c r="N727" s="7">
        <f>'1 prepared data'!M720</f>
        <v/>
      </c>
      <c r="O727" s="7">
        <f>'1 prepared data'!N720</f>
        <v/>
      </c>
      <c r="P727" s="7">
        <f>'1 prepared data'!O720</f>
        <v/>
      </c>
      <c r="Q727" s="7">
        <f>'1 prepared data'!P720</f>
        <v/>
      </c>
      <c r="R727" s="7">
        <f>'1 prepared data'!Q720</f>
        <v/>
      </c>
      <c r="S727" s="7">
        <f>'1 prepared data'!R720</f>
        <v/>
      </c>
      <c r="T727" s="7">
        <f>'1 prepared data'!S720</f>
        <v/>
      </c>
      <c r="U727" s="7">
        <f>'1 prepared data'!T720</f>
        <v/>
      </c>
      <c r="V727" s="8">
        <f>$AC$12+D727*$AC$13+E727*$AC$14+F727*$AC$15+G727*$AC$16+H727*$AC$17+I727*$AC$18+J727*$AC$19+K727*$AC$20+L727*$AC$21+M727*$AC$22+N727*$AC$23+O727*$AC$24+P727*$AC$25+Q727*$AC$26+R727*$AC$27+S727*$AC$28+T727*$AC$29+U727*$AC$30</f>
        <v/>
      </c>
      <c r="W727" s="8">
        <f>1/(1+EXP(-V727))</f>
        <v/>
      </c>
      <c r="X727" s="9">
        <f>-IF(C727=1,LN(W727),LN(1-W727))</f>
        <v/>
      </c>
      <c r="Y727" s="10">
        <f>IF(W727&gt;$AC$34,1,0)</f>
        <v/>
      </c>
      <c r="Z727">
        <f>IF(Y727=C727,1,0)</f>
        <v/>
      </c>
    </row>
    <row r="728">
      <c r="A728">
        <f>'1 prepared data'!A721</f>
        <v/>
      </c>
      <c r="B728" s="5">
        <f>'1 prepared data'!U721</f>
        <v/>
      </c>
      <c r="C728">
        <f>'1 prepared data'!B721</f>
        <v/>
      </c>
      <c r="D728" s="7">
        <f>'1 prepared data'!C721</f>
        <v/>
      </c>
      <c r="E728" s="7">
        <f>'1 prepared data'!D721</f>
        <v/>
      </c>
      <c r="F728" s="7">
        <f>'1 prepared data'!E721</f>
        <v/>
      </c>
      <c r="G728" s="7">
        <f>'1 prepared data'!F721</f>
        <v/>
      </c>
      <c r="H728" s="7">
        <f>'1 prepared data'!G721</f>
        <v/>
      </c>
      <c r="I728" s="7">
        <f>'1 prepared data'!H721</f>
        <v/>
      </c>
      <c r="J728" s="7">
        <f>'1 prepared data'!I721</f>
        <v/>
      </c>
      <c r="K728" s="7">
        <f>'1 prepared data'!J721</f>
        <v/>
      </c>
      <c r="L728" s="7">
        <f>'1 prepared data'!K721</f>
        <v/>
      </c>
      <c r="M728" s="7">
        <f>'1 prepared data'!L721</f>
        <v/>
      </c>
      <c r="N728" s="7">
        <f>'1 prepared data'!M721</f>
        <v/>
      </c>
      <c r="O728" s="7">
        <f>'1 prepared data'!N721</f>
        <v/>
      </c>
      <c r="P728" s="7">
        <f>'1 prepared data'!O721</f>
        <v/>
      </c>
      <c r="Q728" s="7">
        <f>'1 prepared data'!P721</f>
        <v/>
      </c>
      <c r="R728" s="7">
        <f>'1 prepared data'!Q721</f>
        <v/>
      </c>
      <c r="S728" s="7">
        <f>'1 prepared data'!R721</f>
        <v/>
      </c>
      <c r="T728" s="7">
        <f>'1 prepared data'!S721</f>
        <v/>
      </c>
      <c r="U728" s="7">
        <f>'1 prepared data'!T721</f>
        <v/>
      </c>
      <c r="V728" s="8">
        <f>$AC$12+D728*$AC$13+E728*$AC$14+F728*$AC$15+G728*$AC$16+H728*$AC$17+I728*$AC$18+J728*$AC$19+K728*$AC$20+L728*$AC$21+M728*$AC$22+N728*$AC$23+O728*$AC$24+P728*$AC$25+Q728*$AC$26+R728*$AC$27+S728*$AC$28+T728*$AC$29+U728*$AC$30</f>
        <v/>
      </c>
      <c r="W728" s="8">
        <f>1/(1+EXP(-V728))</f>
        <v/>
      </c>
      <c r="X728" s="9">
        <f>-IF(C728=1,LN(W728),LN(1-W728))</f>
        <v/>
      </c>
      <c r="Y728" s="10">
        <f>IF(W728&gt;$AC$34,1,0)</f>
        <v/>
      </c>
      <c r="Z728">
        <f>IF(Y728=C728,1,0)</f>
        <v/>
      </c>
    </row>
    <row r="729">
      <c r="A729">
        <f>'1 prepared data'!A722</f>
        <v/>
      </c>
      <c r="B729" s="5">
        <f>'1 prepared data'!U722</f>
        <v/>
      </c>
      <c r="C729">
        <f>'1 prepared data'!B722</f>
        <v/>
      </c>
      <c r="D729" s="7">
        <f>'1 prepared data'!C722</f>
        <v/>
      </c>
      <c r="E729" s="7">
        <f>'1 prepared data'!D722</f>
        <v/>
      </c>
      <c r="F729" s="7">
        <f>'1 prepared data'!E722</f>
        <v/>
      </c>
      <c r="G729" s="7">
        <f>'1 prepared data'!F722</f>
        <v/>
      </c>
      <c r="H729" s="7">
        <f>'1 prepared data'!G722</f>
        <v/>
      </c>
      <c r="I729" s="7">
        <f>'1 prepared data'!H722</f>
        <v/>
      </c>
      <c r="J729" s="7">
        <f>'1 prepared data'!I722</f>
        <v/>
      </c>
      <c r="K729" s="7">
        <f>'1 prepared data'!J722</f>
        <v/>
      </c>
      <c r="L729" s="7">
        <f>'1 prepared data'!K722</f>
        <v/>
      </c>
      <c r="M729" s="7">
        <f>'1 prepared data'!L722</f>
        <v/>
      </c>
      <c r="N729" s="7">
        <f>'1 prepared data'!M722</f>
        <v/>
      </c>
      <c r="O729" s="7">
        <f>'1 prepared data'!N722</f>
        <v/>
      </c>
      <c r="P729" s="7">
        <f>'1 prepared data'!O722</f>
        <v/>
      </c>
      <c r="Q729" s="7">
        <f>'1 prepared data'!P722</f>
        <v/>
      </c>
      <c r="R729" s="7">
        <f>'1 prepared data'!Q722</f>
        <v/>
      </c>
      <c r="S729" s="7">
        <f>'1 prepared data'!R722</f>
        <v/>
      </c>
      <c r="T729" s="7">
        <f>'1 prepared data'!S722</f>
        <v/>
      </c>
      <c r="U729" s="7">
        <f>'1 prepared data'!T722</f>
        <v/>
      </c>
      <c r="V729" s="8">
        <f>$AC$12+D729*$AC$13+E729*$AC$14+F729*$AC$15+G729*$AC$16+H729*$AC$17+I729*$AC$18+J729*$AC$19+K729*$AC$20+L729*$AC$21+M729*$AC$22+N729*$AC$23+O729*$AC$24+P729*$AC$25+Q729*$AC$26+R729*$AC$27+S729*$AC$28+T729*$AC$29+U729*$AC$30</f>
        <v/>
      </c>
      <c r="W729" s="8">
        <f>1/(1+EXP(-V729))</f>
        <v/>
      </c>
      <c r="X729" s="9">
        <f>-IF(C729=1,LN(W729),LN(1-W729))</f>
        <v/>
      </c>
      <c r="Y729" s="10">
        <f>IF(W729&gt;$AC$34,1,0)</f>
        <v/>
      </c>
      <c r="Z729">
        <f>IF(Y729=C729,1,0)</f>
        <v/>
      </c>
    </row>
    <row r="730">
      <c r="A730">
        <f>'1 prepared data'!A723</f>
        <v/>
      </c>
      <c r="B730" s="5">
        <f>'1 prepared data'!U723</f>
        <v/>
      </c>
      <c r="C730">
        <f>'1 prepared data'!B723</f>
        <v/>
      </c>
      <c r="D730" s="7">
        <f>'1 prepared data'!C723</f>
        <v/>
      </c>
      <c r="E730" s="7">
        <f>'1 prepared data'!D723</f>
        <v/>
      </c>
      <c r="F730" s="7">
        <f>'1 prepared data'!E723</f>
        <v/>
      </c>
      <c r="G730" s="7">
        <f>'1 prepared data'!F723</f>
        <v/>
      </c>
      <c r="H730" s="7">
        <f>'1 prepared data'!G723</f>
        <v/>
      </c>
      <c r="I730" s="7">
        <f>'1 prepared data'!H723</f>
        <v/>
      </c>
      <c r="J730" s="7">
        <f>'1 prepared data'!I723</f>
        <v/>
      </c>
      <c r="K730" s="7">
        <f>'1 prepared data'!J723</f>
        <v/>
      </c>
      <c r="L730" s="7">
        <f>'1 prepared data'!K723</f>
        <v/>
      </c>
      <c r="M730" s="7">
        <f>'1 prepared data'!L723</f>
        <v/>
      </c>
      <c r="N730" s="7">
        <f>'1 prepared data'!M723</f>
        <v/>
      </c>
      <c r="O730" s="7">
        <f>'1 prepared data'!N723</f>
        <v/>
      </c>
      <c r="P730" s="7">
        <f>'1 prepared data'!O723</f>
        <v/>
      </c>
      <c r="Q730" s="7">
        <f>'1 prepared data'!P723</f>
        <v/>
      </c>
      <c r="R730" s="7">
        <f>'1 prepared data'!Q723</f>
        <v/>
      </c>
      <c r="S730" s="7">
        <f>'1 prepared data'!R723</f>
        <v/>
      </c>
      <c r="T730" s="7">
        <f>'1 prepared data'!S723</f>
        <v/>
      </c>
      <c r="U730" s="7">
        <f>'1 prepared data'!T723</f>
        <v/>
      </c>
      <c r="V730" s="8">
        <f>$AC$12+D730*$AC$13+E730*$AC$14+F730*$AC$15+G730*$AC$16+H730*$AC$17+I730*$AC$18+J730*$AC$19+K730*$AC$20+L730*$AC$21+M730*$AC$22+N730*$AC$23+O730*$AC$24+P730*$AC$25+Q730*$AC$26+R730*$AC$27+S730*$AC$28+T730*$AC$29+U730*$AC$30</f>
        <v/>
      </c>
      <c r="W730" s="8">
        <f>1/(1+EXP(-V730))</f>
        <v/>
      </c>
      <c r="X730" s="9">
        <f>-IF(C730=1,LN(W730),LN(1-W730))</f>
        <v/>
      </c>
      <c r="Y730" s="10">
        <f>IF(W730&gt;$AC$34,1,0)</f>
        <v/>
      </c>
      <c r="Z730">
        <f>IF(Y730=C730,1,0)</f>
        <v/>
      </c>
    </row>
    <row r="731">
      <c r="A731">
        <f>'1 prepared data'!A724</f>
        <v/>
      </c>
      <c r="B731" s="5">
        <f>'1 prepared data'!U724</f>
        <v/>
      </c>
      <c r="C731">
        <f>'1 prepared data'!B724</f>
        <v/>
      </c>
      <c r="D731" s="7">
        <f>'1 prepared data'!C724</f>
        <v/>
      </c>
      <c r="E731" s="7">
        <f>'1 prepared data'!D724</f>
        <v/>
      </c>
      <c r="F731" s="7">
        <f>'1 prepared data'!E724</f>
        <v/>
      </c>
      <c r="G731" s="7">
        <f>'1 prepared data'!F724</f>
        <v/>
      </c>
      <c r="H731" s="7">
        <f>'1 prepared data'!G724</f>
        <v/>
      </c>
      <c r="I731" s="7">
        <f>'1 prepared data'!H724</f>
        <v/>
      </c>
      <c r="J731" s="7">
        <f>'1 prepared data'!I724</f>
        <v/>
      </c>
      <c r="K731" s="7">
        <f>'1 prepared data'!J724</f>
        <v/>
      </c>
      <c r="L731" s="7">
        <f>'1 prepared data'!K724</f>
        <v/>
      </c>
      <c r="M731" s="7">
        <f>'1 prepared data'!L724</f>
        <v/>
      </c>
      <c r="N731" s="7">
        <f>'1 prepared data'!M724</f>
        <v/>
      </c>
      <c r="O731" s="7">
        <f>'1 prepared data'!N724</f>
        <v/>
      </c>
      <c r="P731" s="7">
        <f>'1 prepared data'!O724</f>
        <v/>
      </c>
      <c r="Q731" s="7">
        <f>'1 prepared data'!P724</f>
        <v/>
      </c>
      <c r="R731" s="7">
        <f>'1 prepared data'!Q724</f>
        <v/>
      </c>
      <c r="S731" s="7">
        <f>'1 prepared data'!R724</f>
        <v/>
      </c>
      <c r="T731" s="7">
        <f>'1 prepared data'!S724</f>
        <v/>
      </c>
      <c r="U731" s="7">
        <f>'1 prepared data'!T724</f>
        <v/>
      </c>
      <c r="V731" s="8">
        <f>$AC$12+D731*$AC$13+E731*$AC$14+F731*$AC$15+G731*$AC$16+H731*$AC$17+I731*$AC$18+J731*$AC$19+K731*$AC$20+L731*$AC$21+M731*$AC$22+N731*$AC$23+O731*$AC$24+P731*$AC$25+Q731*$AC$26+R731*$AC$27+S731*$AC$28+T731*$AC$29+U731*$AC$30</f>
        <v/>
      </c>
      <c r="W731" s="8">
        <f>1/(1+EXP(-V731))</f>
        <v/>
      </c>
      <c r="X731" s="9">
        <f>-IF(C731=1,LN(W731),LN(1-W731))</f>
        <v/>
      </c>
      <c r="Y731" s="10">
        <f>IF(W731&gt;$AC$34,1,0)</f>
        <v/>
      </c>
      <c r="Z731">
        <f>IF(Y731=C731,1,0)</f>
        <v/>
      </c>
    </row>
    <row r="732">
      <c r="A732">
        <f>'1 prepared data'!A725</f>
        <v/>
      </c>
      <c r="B732" s="5">
        <f>'1 prepared data'!U725</f>
        <v/>
      </c>
      <c r="C732">
        <f>'1 prepared data'!B725</f>
        <v/>
      </c>
      <c r="D732" s="7">
        <f>'1 prepared data'!C725</f>
        <v/>
      </c>
      <c r="E732" s="7">
        <f>'1 prepared data'!D725</f>
        <v/>
      </c>
      <c r="F732" s="7">
        <f>'1 prepared data'!E725</f>
        <v/>
      </c>
      <c r="G732" s="7">
        <f>'1 prepared data'!F725</f>
        <v/>
      </c>
      <c r="H732" s="7">
        <f>'1 prepared data'!G725</f>
        <v/>
      </c>
      <c r="I732" s="7">
        <f>'1 prepared data'!H725</f>
        <v/>
      </c>
      <c r="J732" s="7">
        <f>'1 prepared data'!I725</f>
        <v/>
      </c>
      <c r="K732" s="7">
        <f>'1 prepared data'!J725</f>
        <v/>
      </c>
      <c r="L732" s="7">
        <f>'1 prepared data'!K725</f>
        <v/>
      </c>
      <c r="M732" s="7">
        <f>'1 prepared data'!L725</f>
        <v/>
      </c>
      <c r="N732" s="7">
        <f>'1 prepared data'!M725</f>
        <v/>
      </c>
      <c r="O732" s="7">
        <f>'1 prepared data'!N725</f>
        <v/>
      </c>
      <c r="P732" s="7">
        <f>'1 prepared data'!O725</f>
        <v/>
      </c>
      <c r="Q732" s="7">
        <f>'1 prepared data'!P725</f>
        <v/>
      </c>
      <c r="R732" s="7">
        <f>'1 prepared data'!Q725</f>
        <v/>
      </c>
      <c r="S732" s="7">
        <f>'1 prepared data'!R725</f>
        <v/>
      </c>
      <c r="T732" s="7">
        <f>'1 prepared data'!S725</f>
        <v/>
      </c>
      <c r="U732" s="7">
        <f>'1 prepared data'!T725</f>
        <v/>
      </c>
      <c r="V732" s="8">
        <f>$AC$12+D732*$AC$13+E732*$AC$14+F732*$AC$15+G732*$AC$16+H732*$AC$17+I732*$AC$18+J732*$AC$19+K732*$AC$20+L732*$AC$21+M732*$AC$22+N732*$AC$23+O732*$AC$24+P732*$AC$25+Q732*$AC$26+R732*$AC$27+S732*$AC$28+T732*$AC$29+U732*$AC$30</f>
        <v/>
      </c>
      <c r="W732" s="8">
        <f>1/(1+EXP(-V732))</f>
        <v/>
      </c>
      <c r="X732" s="9">
        <f>-IF(C732=1,LN(W732),LN(1-W732))</f>
        <v/>
      </c>
      <c r="Y732" s="10">
        <f>IF(W732&gt;$AC$34,1,0)</f>
        <v/>
      </c>
      <c r="Z732">
        <f>IF(Y732=C732,1,0)</f>
        <v/>
      </c>
    </row>
    <row r="733">
      <c r="A733">
        <f>'1 prepared data'!A726</f>
        <v/>
      </c>
      <c r="B733" s="5">
        <f>'1 prepared data'!U726</f>
        <v/>
      </c>
      <c r="C733">
        <f>'1 prepared data'!B726</f>
        <v/>
      </c>
      <c r="D733" s="7">
        <f>'1 prepared data'!C726</f>
        <v/>
      </c>
      <c r="E733" s="7">
        <f>'1 prepared data'!D726</f>
        <v/>
      </c>
      <c r="F733" s="7">
        <f>'1 prepared data'!E726</f>
        <v/>
      </c>
      <c r="G733" s="7">
        <f>'1 prepared data'!F726</f>
        <v/>
      </c>
      <c r="H733" s="7">
        <f>'1 prepared data'!G726</f>
        <v/>
      </c>
      <c r="I733" s="7">
        <f>'1 prepared data'!H726</f>
        <v/>
      </c>
      <c r="J733" s="7">
        <f>'1 prepared data'!I726</f>
        <v/>
      </c>
      <c r="K733" s="7">
        <f>'1 prepared data'!J726</f>
        <v/>
      </c>
      <c r="L733" s="7">
        <f>'1 prepared data'!K726</f>
        <v/>
      </c>
      <c r="M733" s="7">
        <f>'1 prepared data'!L726</f>
        <v/>
      </c>
      <c r="N733" s="7">
        <f>'1 prepared data'!M726</f>
        <v/>
      </c>
      <c r="O733" s="7">
        <f>'1 prepared data'!N726</f>
        <v/>
      </c>
      <c r="P733" s="7">
        <f>'1 prepared data'!O726</f>
        <v/>
      </c>
      <c r="Q733" s="7">
        <f>'1 prepared data'!P726</f>
        <v/>
      </c>
      <c r="R733" s="7">
        <f>'1 prepared data'!Q726</f>
        <v/>
      </c>
      <c r="S733" s="7">
        <f>'1 prepared data'!R726</f>
        <v/>
      </c>
      <c r="T733" s="7">
        <f>'1 prepared data'!S726</f>
        <v/>
      </c>
      <c r="U733" s="7">
        <f>'1 prepared data'!T726</f>
        <v/>
      </c>
      <c r="V733" s="8">
        <f>$AC$12+D733*$AC$13+E733*$AC$14+F733*$AC$15+G733*$AC$16+H733*$AC$17+I733*$AC$18+J733*$AC$19+K733*$AC$20+L733*$AC$21+M733*$AC$22+N733*$AC$23+O733*$AC$24+P733*$AC$25+Q733*$AC$26+R733*$AC$27+S733*$AC$28+T733*$AC$29+U733*$AC$30</f>
        <v/>
      </c>
      <c r="W733" s="8">
        <f>1/(1+EXP(-V733))</f>
        <v/>
      </c>
      <c r="X733" s="9">
        <f>-IF(C733=1,LN(W733),LN(1-W733))</f>
        <v/>
      </c>
      <c r="Y733" s="10">
        <f>IF(W733&gt;$AC$34,1,0)</f>
        <v/>
      </c>
      <c r="Z733">
        <f>IF(Y733=C733,1,0)</f>
        <v/>
      </c>
    </row>
    <row r="734">
      <c r="A734">
        <f>'1 prepared data'!A727</f>
        <v/>
      </c>
      <c r="B734" s="5">
        <f>'1 prepared data'!U727</f>
        <v/>
      </c>
      <c r="C734">
        <f>'1 prepared data'!B727</f>
        <v/>
      </c>
      <c r="D734" s="7">
        <f>'1 prepared data'!C727</f>
        <v/>
      </c>
      <c r="E734" s="7">
        <f>'1 prepared data'!D727</f>
        <v/>
      </c>
      <c r="F734" s="7">
        <f>'1 prepared data'!E727</f>
        <v/>
      </c>
      <c r="G734" s="7">
        <f>'1 prepared data'!F727</f>
        <v/>
      </c>
      <c r="H734" s="7">
        <f>'1 prepared data'!G727</f>
        <v/>
      </c>
      <c r="I734" s="7">
        <f>'1 prepared data'!H727</f>
        <v/>
      </c>
      <c r="J734" s="7">
        <f>'1 prepared data'!I727</f>
        <v/>
      </c>
      <c r="K734" s="7">
        <f>'1 prepared data'!J727</f>
        <v/>
      </c>
      <c r="L734" s="7">
        <f>'1 prepared data'!K727</f>
        <v/>
      </c>
      <c r="M734" s="7">
        <f>'1 prepared data'!L727</f>
        <v/>
      </c>
      <c r="N734" s="7">
        <f>'1 prepared data'!M727</f>
        <v/>
      </c>
      <c r="O734" s="7">
        <f>'1 prepared data'!N727</f>
        <v/>
      </c>
      <c r="P734" s="7">
        <f>'1 prepared data'!O727</f>
        <v/>
      </c>
      <c r="Q734" s="7">
        <f>'1 prepared data'!P727</f>
        <v/>
      </c>
      <c r="R734" s="7">
        <f>'1 prepared data'!Q727</f>
        <v/>
      </c>
      <c r="S734" s="7">
        <f>'1 prepared data'!R727</f>
        <v/>
      </c>
      <c r="T734" s="7">
        <f>'1 prepared data'!S727</f>
        <v/>
      </c>
      <c r="U734" s="7">
        <f>'1 prepared data'!T727</f>
        <v/>
      </c>
      <c r="V734" s="8">
        <f>$AC$12+D734*$AC$13+E734*$AC$14+F734*$AC$15+G734*$AC$16+H734*$AC$17+I734*$AC$18+J734*$AC$19+K734*$AC$20+L734*$AC$21+M734*$AC$22+N734*$AC$23+O734*$AC$24+P734*$AC$25+Q734*$AC$26+R734*$AC$27+S734*$AC$28+T734*$AC$29+U734*$AC$30</f>
        <v/>
      </c>
      <c r="W734" s="8">
        <f>1/(1+EXP(-V734))</f>
        <v/>
      </c>
      <c r="X734" s="9">
        <f>-IF(C734=1,LN(W734),LN(1-W734))</f>
        <v/>
      </c>
      <c r="Y734" s="10">
        <f>IF(W734&gt;$AC$34,1,0)</f>
        <v/>
      </c>
      <c r="Z734">
        <f>IF(Y734=C734,1,0)</f>
        <v/>
      </c>
    </row>
    <row r="735">
      <c r="A735">
        <f>'1 prepared data'!A728</f>
        <v/>
      </c>
      <c r="B735" s="5">
        <f>'1 prepared data'!U728</f>
        <v/>
      </c>
      <c r="C735">
        <f>'1 prepared data'!B728</f>
        <v/>
      </c>
      <c r="D735" s="7">
        <f>'1 prepared data'!C728</f>
        <v/>
      </c>
      <c r="E735" s="7">
        <f>'1 prepared data'!D728</f>
        <v/>
      </c>
      <c r="F735" s="7">
        <f>'1 prepared data'!E728</f>
        <v/>
      </c>
      <c r="G735" s="7">
        <f>'1 prepared data'!F728</f>
        <v/>
      </c>
      <c r="H735" s="7">
        <f>'1 prepared data'!G728</f>
        <v/>
      </c>
      <c r="I735" s="7">
        <f>'1 prepared data'!H728</f>
        <v/>
      </c>
      <c r="J735" s="7">
        <f>'1 prepared data'!I728</f>
        <v/>
      </c>
      <c r="K735" s="7">
        <f>'1 prepared data'!J728</f>
        <v/>
      </c>
      <c r="L735" s="7">
        <f>'1 prepared data'!K728</f>
        <v/>
      </c>
      <c r="M735" s="7">
        <f>'1 prepared data'!L728</f>
        <v/>
      </c>
      <c r="N735" s="7">
        <f>'1 prepared data'!M728</f>
        <v/>
      </c>
      <c r="O735" s="7">
        <f>'1 prepared data'!N728</f>
        <v/>
      </c>
      <c r="P735" s="7">
        <f>'1 prepared data'!O728</f>
        <v/>
      </c>
      <c r="Q735" s="7">
        <f>'1 prepared data'!P728</f>
        <v/>
      </c>
      <c r="R735" s="7">
        <f>'1 prepared data'!Q728</f>
        <v/>
      </c>
      <c r="S735" s="7">
        <f>'1 prepared data'!R728</f>
        <v/>
      </c>
      <c r="T735" s="7">
        <f>'1 prepared data'!S728</f>
        <v/>
      </c>
      <c r="U735" s="7">
        <f>'1 prepared data'!T728</f>
        <v/>
      </c>
      <c r="V735" s="8">
        <f>$AC$12+D735*$AC$13+E735*$AC$14+F735*$AC$15+G735*$AC$16+H735*$AC$17+I735*$AC$18+J735*$AC$19+K735*$AC$20+L735*$AC$21+M735*$AC$22+N735*$AC$23+O735*$AC$24+P735*$AC$25+Q735*$AC$26+R735*$AC$27+S735*$AC$28+T735*$AC$29+U735*$AC$30</f>
        <v/>
      </c>
      <c r="W735" s="8">
        <f>1/(1+EXP(-V735))</f>
        <v/>
      </c>
      <c r="X735" s="9">
        <f>-IF(C735=1,LN(W735),LN(1-W735))</f>
        <v/>
      </c>
      <c r="Y735" s="10">
        <f>IF(W735&gt;$AC$34,1,0)</f>
        <v/>
      </c>
      <c r="Z735">
        <f>IF(Y735=C735,1,0)</f>
        <v/>
      </c>
    </row>
    <row r="736">
      <c r="A736">
        <f>'1 prepared data'!A729</f>
        <v/>
      </c>
      <c r="B736" s="5">
        <f>'1 prepared data'!U729</f>
        <v/>
      </c>
      <c r="C736">
        <f>'1 prepared data'!B729</f>
        <v/>
      </c>
      <c r="D736" s="7">
        <f>'1 prepared data'!C729</f>
        <v/>
      </c>
      <c r="E736" s="7">
        <f>'1 prepared data'!D729</f>
        <v/>
      </c>
      <c r="F736" s="7">
        <f>'1 prepared data'!E729</f>
        <v/>
      </c>
      <c r="G736" s="7">
        <f>'1 prepared data'!F729</f>
        <v/>
      </c>
      <c r="H736" s="7">
        <f>'1 prepared data'!G729</f>
        <v/>
      </c>
      <c r="I736" s="7">
        <f>'1 prepared data'!H729</f>
        <v/>
      </c>
      <c r="J736" s="7">
        <f>'1 prepared data'!I729</f>
        <v/>
      </c>
      <c r="K736" s="7">
        <f>'1 prepared data'!J729</f>
        <v/>
      </c>
      <c r="L736" s="7">
        <f>'1 prepared data'!K729</f>
        <v/>
      </c>
      <c r="M736" s="7">
        <f>'1 prepared data'!L729</f>
        <v/>
      </c>
      <c r="N736" s="7">
        <f>'1 prepared data'!M729</f>
        <v/>
      </c>
      <c r="O736" s="7">
        <f>'1 prepared data'!N729</f>
        <v/>
      </c>
      <c r="P736" s="7">
        <f>'1 prepared data'!O729</f>
        <v/>
      </c>
      <c r="Q736" s="7">
        <f>'1 prepared data'!P729</f>
        <v/>
      </c>
      <c r="R736" s="7">
        <f>'1 prepared data'!Q729</f>
        <v/>
      </c>
      <c r="S736" s="7">
        <f>'1 prepared data'!R729</f>
        <v/>
      </c>
      <c r="T736" s="7">
        <f>'1 prepared data'!S729</f>
        <v/>
      </c>
      <c r="U736" s="7">
        <f>'1 prepared data'!T729</f>
        <v/>
      </c>
      <c r="V736" s="8">
        <f>$AC$12+D736*$AC$13+E736*$AC$14+F736*$AC$15+G736*$AC$16+H736*$AC$17+I736*$AC$18+J736*$AC$19+K736*$AC$20+L736*$AC$21+M736*$AC$22+N736*$AC$23+O736*$AC$24+P736*$AC$25+Q736*$AC$26+R736*$AC$27+S736*$AC$28+T736*$AC$29+U736*$AC$30</f>
        <v/>
      </c>
      <c r="W736" s="8">
        <f>1/(1+EXP(-V736))</f>
        <v/>
      </c>
      <c r="X736" s="9">
        <f>-IF(C736=1,LN(W736),LN(1-W736))</f>
        <v/>
      </c>
      <c r="Y736" s="10">
        <f>IF(W736&gt;$AC$34,1,0)</f>
        <v/>
      </c>
      <c r="Z736">
        <f>IF(Y736=C736,1,0)</f>
        <v/>
      </c>
    </row>
    <row r="737">
      <c r="A737">
        <f>'1 prepared data'!A730</f>
        <v/>
      </c>
      <c r="B737" s="5">
        <f>'1 prepared data'!U730</f>
        <v/>
      </c>
      <c r="C737">
        <f>'1 prepared data'!B730</f>
        <v/>
      </c>
      <c r="D737" s="7">
        <f>'1 prepared data'!C730</f>
        <v/>
      </c>
      <c r="E737" s="7">
        <f>'1 prepared data'!D730</f>
        <v/>
      </c>
      <c r="F737" s="7">
        <f>'1 prepared data'!E730</f>
        <v/>
      </c>
      <c r="G737" s="7">
        <f>'1 prepared data'!F730</f>
        <v/>
      </c>
      <c r="H737" s="7">
        <f>'1 prepared data'!G730</f>
        <v/>
      </c>
      <c r="I737" s="7">
        <f>'1 prepared data'!H730</f>
        <v/>
      </c>
      <c r="J737" s="7">
        <f>'1 prepared data'!I730</f>
        <v/>
      </c>
      <c r="K737" s="7">
        <f>'1 prepared data'!J730</f>
        <v/>
      </c>
      <c r="L737" s="7">
        <f>'1 prepared data'!K730</f>
        <v/>
      </c>
      <c r="M737" s="7">
        <f>'1 prepared data'!L730</f>
        <v/>
      </c>
      <c r="N737" s="7">
        <f>'1 prepared data'!M730</f>
        <v/>
      </c>
      <c r="O737" s="7">
        <f>'1 prepared data'!N730</f>
        <v/>
      </c>
      <c r="P737" s="7">
        <f>'1 prepared data'!O730</f>
        <v/>
      </c>
      <c r="Q737" s="7">
        <f>'1 prepared data'!P730</f>
        <v/>
      </c>
      <c r="R737" s="7">
        <f>'1 prepared data'!Q730</f>
        <v/>
      </c>
      <c r="S737" s="7">
        <f>'1 prepared data'!R730</f>
        <v/>
      </c>
      <c r="T737" s="7">
        <f>'1 prepared data'!S730</f>
        <v/>
      </c>
      <c r="U737" s="7">
        <f>'1 prepared data'!T730</f>
        <v/>
      </c>
      <c r="V737" s="8">
        <f>$AC$12+D737*$AC$13+E737*$AC$14+F737*$AC$15+G737*$AC$16+H737*$AC$17+I737*$AC$18+J737*$AC$19+K737*$AC$20+L737*$AC$21+M737*$AC$22+N737*$AC$23+O737*$AC$24+P737*$AC$25+Q737*$AC$26+R737*$AC$27+S737*$AC$28+T737*$AC$29+U737*$AC$30</f>
        <v/>
      </c>
      <c r="W737" s="8">
        <f>1/(1+EXP(-V737))</f>
        <v/>
      </c>
      <c r="X737" s="9">
        <f>-IF(C737=1,LN(W737),LN(1-W737))</f>
        <v/>
      </c>
      <c r="Y737" s="10">
        <f>IF(W737&gt;$AC$34,1,0)</f>
        <v/>
      </c>
      <c r="Z737">
        <f>IF(Y737=C737,1,0)</f>
        <v/>
      </c>
    </row>
    <row r="738">
      <c r="A738">
        <f>'1 prepared data'!A731</f>
        <v/>
      </c>
      <c r="B738" s="5">
        <f>'1 prepared data'!U731</f>
        <v/>
      </c>
      <c r="C738">
        <f>'1 prepared data'!B731</f>
        <v/>
      </c>
      <c r="D738" s="7">
        <f>'1 prepared data'!C731</f>
        <v/>
      </c>
      <c r="E738" s="7">
        <f>'1 prepared data'!D731</f>
        <v/>
      </c>
      <c r="F738" s="7">
        <f>'1 prepared data'!E731</f>
        <v/>
      </c>
      <c r="G738" s="7">
        <f>'1 prepared data'!F731</f>
        <v/>
      </c>
      <c r="H738" s="7">
        <f>'1 prepared data'!G731</f>
        <v/>
      </c>
      <c r="I738" s="7">
        <f>'1 prepared data'!H731</f>
        <v/>
      </c>
      <c r="J738" s="7">
        <f>'1 prepared data'!I731</f>
        <v/>
      </c>
      <c r="K738" s="7">
        <f>'1 prepared data'!J731</f>
        <v/>
      </c>
      <c r="L738" s="7">
        <f>'1 prepared data'!K731</f>
        <v/>
      </c>
      <c r="M738" s="7">
        <f>'1 prepared data'!L731</f>
        <v/>
      </c>
      <c r="N738" s="7">
        <f>'1 prepared data'!M731</f>
        <v/>
      </c>
      <c r="O738" s="7">
        <f>'1 prepared data'!N731</f>
        <v/>
      </c>
      <c r="P738" s="7">
        <f>'1 prepared data'!O731</f>
        <v/>
      </c>
      <c r="Q738" s="7">
        <f>'1 prepared data'!P731</f>
        <v/>
      </c>
      <c r="R738" s="7">
        <f>'1 prepared data'!Q731</f>
        <v/>
      </c>
      <c r="S738" s="7">
        <f>'1 prepared data'!R731</f>
        <v/>
      </c>
      <c r="T738" s="7">
        <f>'1 prepared data'!S731</f>
        <v/>
      </c>
      <c r="U738" s="7">
        <f>'1 prepared data'!T731</f>
        <v/>
      </c>
      <c r="V738" s="8">
        <f>$AC$12+D738*$AC$13+E738*$AC$14+F738*$AC$15+G738*$AC$16+H738*$AC$17+I738*$AC$18+J738*$AC$19+K738*$AC$20+L738*$AC$21+M738*$AC$22+N738*$AC$23+O738*$AC$24+P738*$AC$25+Q738*$AC$26+R738*$AC$27+S738*$AC$28+T738*$AC$29+U738*$AC$30</f>
        <v/>
      </c>
      <c r="W738" s="8">
        <f>1/(1+EXP(-V738))</f>
        <v/>
      </c>
      <c r="X738" s="9">
        <f>-IF(C738=1,LN(W738),LN(1-W738))</f>
        <v/>
      </c>
      <c r="Y738" s="10">
        <f>IF(W738&gt;$AC$34,1,0)</f>
        <v/>
      </c>
      <c r="Z738">
        <f>IF(Y738=C738,1,0)</f>
        <v/>
      </c>
    </row>
    <row r="739">
      <c r="A739">
        <f>'1 prepared data'!A732</f>
        <v/>
      </c>
      <c r="B739" s="5">
        <f>'1 prepared data'!U732</f>
        <v/>
      </c>
      <c r="C739">
        <f>'1 prepared data'!B732</f>
        <v/>
      </c>
      <c r="D739" s="7">
        <f>'1 prepared data'!C732</f>
        <v/>
      </c>
      <c r="E739" s="7">
        <f>'1 prepared data'!D732</f>
        <v/>
      </c>
      <c r="F739" s="7">
        <f>'1 prepared data'!E732</f>
        <v/>
      </c>
      <c r="G739" s="7">
        <f>'1 prepared data'!F732</f>
        <v/>
      </c>
      <c r="H739" s="7">
        <f>'1 prepared data'!G732</f>
        <v/>
      </c>
      <c r="I739" s="7">
        <f>'1 prepared data'!H732</f>
        <v/>
      </c>
      <c r="J739" s="7">
        <f>'1 prepared data'!I732</f>
        <v/>
      </c>
      <c r="K739" s="7">
        <f>'1 prepared data'!J732</f>
        <v/>
      </c>
      <c r="L739" s="7">
        <f>'1 prepared data'!K732</f>
        <v/>
      </c>
      <c r="M739" s="7">
        <f>'1 prepared data'!L732</f>
        <v/>
      </c>
      <c r="N739" s="7">
        <f>'1 prepared data'!M732</f>
        <v/>
      </c>
      <c r="O739" s="7">
        <f>'1 prepared data'!N732</f>
        <v/>
      </c>
      <c r="P739" s="7">
        <f>'1 prepared data'!O732</f>
        <v/>
      </c>
      <c r="Q739" s="7">
        <f>'1 prepared data'!P732</f>
        <v/>
      </c>
      <c r="R739" s="7">
        <f>'1 prepared data'!Q732</f>
        <v/>
      </c>
      <c r="S739" s="7">
        <f>'1 prepared data'!R732</f>
        <v/>
      </c>
      <c r="T739" s="7">
        <f>'1 prepared data'!S732</f>
        <v/>
      </c>
      <c r="U739" s="7">
        <f>'1 prepared data'!T732</f>
        <v/>
      </c>
      <c r="V739" s="8">
        <f>$AC$12+D739*$AC$13+E739*$AC$14+F739*$AC$15+G739*$AC$16+H739*$AC$17+I739*$AC$18+J739*$AC$19+K739*$AC$20+L739*$AC$21+M739*$AC$22+N739*$AC$23+O739*$AC$24+P739*$AC$25+Q739*$AC$26+R739*$AC$27+S739*$AC$28+T739*$AC$29+U739*$AC$30</f>
        <v/>
      </c>
      <c r="W739" s="8">
        <f>1/(1+EXP(-V739))</f>
        <v/>
      </c>
      <c r="X739" s="9">
        <f>-IF(C739=1,LN(W739),LN(1-W739))</f>
        <v/>
      </c>
      <c r="Y739" s="10">
        <f>IF(W739&gt;$AC$34,1,0)</f>
        <v/>
      </c>
      <c r="Z739">
        <f>IF(Y739=C739,1,0)</f>
        <v/>
      </c>
    </row>
    <row r="740">
      <c r="A740">
        <f>'1 prepared data'!A733</f>
        <v/>
      </c>
      <c r="B740" s="5">
        <f>'1 prepared data'!U733</f>
        <v/>
      </c>
      <c r="C740">
        <f>'1 prepared data'!B733</f>
        <v/>
      </c>
      <c r="D740" s="7">
        <f>'1 prepared data'!C733</f>
        <v/>
      </c>
      <c r="E740" s="7">
        <f>'1 prepared data'!D733</f>
        <v/>
      </c>
      <c r="F740" s="7">
        <f>'1 prepared data'!E733</f>
        <v/>
      </c>
      <c r="G740" s="7">
        <f>'1 prepared data'!F733</f>
        <v/>
      </c>
      <c r="H740" s="7">
        <f>'1 prepared data'!G733</f>
        <v/>
      </c>
      <c r="I740" s="7">
        <f>'1 prepared data'!H733</f>
        <v/>
      </c>
      <c r="J740" s="7">
        <f>'1 prepared data'!I733</f>
        <v/>
      </c>
      <c r="K740" s="7">
        <f>'1 prepared data'!J733</f>
        <v/>
      </c>
      <c r="L740" s="7">
        <f>'1 prepared data'!K733</f>
        <v/>
      </c>
      <c r="M740" s="7">
        <f>'1 prepared data'!L733</f>
        <v/>
      </c>
      <c r="N740" s="7">
        <f>'1 prepared data'!M733</f>
        <v/>
      </c>
      <c r="O740" s="7">
        <f>'1 prepared data'!N733</f>
        <v/>
      </c>
      <c r="P740" s="7">
        <f>'1 prepared data'!O733</f>
        <v/>
      </c>
      <c r="Q740" s="7">
        <f>'1 prepared data'!P733</f>
        <v/>
      </c>
      <c r="R740" s="7">
        <f>'1 prepared data'!Q733</f>
        <v/>
      </c>
      <c r="S740" s="7">
        <f>'1 prepared data'!R733</f>
        <v/>
      </c>
      <c r="T740" s="7">
        <f>'1 prepared data'!S733</f>
        <v/>
      </c>
      <c r="U740" s="7">
        <f>'1 prepared data'!T733</f>
        <v/>
      </c>
      <c r="V740" s="8">
        <f>$AC$12+D740*$AC$13+E740*$AC$14+F740*$AC$15+G740*$AC$16+H740*$AC$17+I740*$AC$18+J740*$AC$19+K740*$AC$20+L740*$AC$21+M740*$AC$22+N740*$AC$23+O740*$AC$24+P740*$AC$25+Q740*$AC$26+R740*$AC$27+S740*$AC$28+T740*$AC$29+U740*$AC$30</f>
        <v/>
      </c>
      <c r="W740" s="8">
        <f>1/(1+EXP(-V740))</f>
        <v/>
      </c>
      <c r="X740" s="9">
        <f>-IF(C740=1,LN(W740),LN(1-W740))</f>
        <v/>
      </c>
      <c r="Y740" s="10">
        <f>IF(W740&gt;$AC$34,1,0)</f>
        <v/>
      </c>
      <c r="Z740">
        <f>IF(Y740=C740,1,0)</f>
        <v/>
      </c>
    </row>
    <row r="741">
      <c r="A741">
        <f>'1 prepared data'!A734</f>
        <v/>
      </c>
      <c r="B741" s="5">
        <f>'1 prepared data'!U734</f>
        <v/>
      </c>
      <c r="C741">
        <f>'1 prepared data'!B734</f>
        <v/>
      </c>
      <c r="D741" s="7">
        <f>'1 prepared data'!C734</f>
        <v/>
      </c>
      <c r="E741" s="7">
        <f>'1 prepared data'!D734</f>
        <v/>
      </c>
      <c r="F741" s="7">
        <f>'1 prepared data'!E734</f>
        <v/>
      </c>
      <c r="G741" s="7">
        <f>'1 prepared data'!F734</f>
        <v/>
      </c>
      <c r="H741" s="7">
        <f>'1 prepared data'!G734</f>
        <v/>
      </c>
      <c r="I741" s="7">
        <f>'1 prepared data'!H734</f>
        <v/>
      </c>
      <c r="J741" s="7">
        <f>'1 prepared data'!I734</f>
        <v/>
      </c>
      <c r="K741" s="7">
        <f>'1 prepared data'!J734</f>
        <v/>
      </c>
      <c r="L741" s="7">
        <f>'1 prepared data'!K734</f>
        <v/>
      </c>
      <c r="M741" s="7">
        <f>'1 prepared data'!L734</f>
        <v/>
      </c>
      <c r="N741" s="7">
        <f>'1 prepared data'!M734</f>
        <v/>
      </c>
      <c r="O741" s="7">
        <f>'1 prepared data'!N734</f>
        <v/>
      </c>
      <c r="P741" s="7">
        <f>'1 prepared data'!O734</f>
        <v/>
      </c>
      <c r="Q741" s="7">
        <f>'1 prepared data'!P734</f>
        <v/>
      </c>
      <c r="R741" s="7">
        <f>'1 prepared data'!Q734</f>
        <v/>
      </c>
      <c r="S741" s="7">
        <f>'1 prepared data'!R734</f>
        <v/>
      </c>
      <c r="T741" s="7">
        <f>'1 prepared data'!S734</f>
        <v/>
      </c>
      <c r="U741" s="7">
        <f>'1 prepared data'!T734</f>
        <v/>
      </c>
      <c r="V741" s="8">
        <f>$AC$12+D741*$AC$13+E741*$AC$14+F741*$AC$15+G741*$AC$16+H741*$AC$17+I741*$AC$18+J741*$AC$19+K741*$AC$20+L741*$AC$21+M741*$AC$22+N741*$AC$23+O741*$AC$24+P741*$AC$25+Q741*$AC$26+R741*$AC$27+S741*$AC$28+T741*$AC$29+U741*$AC$30</f>
        <v/>
      </c>
      <c r="W741" s="8">
        <f>1/(1+EXP(-V741))</f>
        <v/>
      </c>
      <c r="X741" s="9">
        <f>-IF(C741=1,LN(W741),LN(1-W741))</f>
        <v/>
      </c>
      <c r="Y741" s="10">
        <f>IF(W741&gt;$AC$34,1,0)</f>
        <v/>
      </c>
      <c r="Z741">
        <f>IF(Y741=C741,1,0)</f>
        <v/>
      </c>
    </row>
    <row r="742">
      <c r="A742">
        <f>'1 prepared data'!A735</f>
        <v/>
      </c>
      <c r="B742" s="5">
        <f>'1 prepared data'!U735</f>
        <v/>
      </c>
      <c r="C742">
        <f>'1 prepared data'!B735</f>
        <v/>
      </c>
      <c r="D742" s="7">
        <f>'1 prepared data'!C735</f>
        <v/>
      </c>
      <c r="E742" s="7">
        <f>'1 prepared data'!D735</f>
        <v/>
      </c>
      <c r="F742" s="7">
        <f>'1 prepared data'!E735</f>
        <v/>
      </c>
      <c r="G742" s="7">
        <f>'1 prepared data'!F735</f>
        <v/>
      </c>
      <c r="H742" s="7">
        <f>'1 prepared data'!G735</f>
        <v/>
      </c>
      <c r="I742" s="7">
        <f>'1 prepared data'!H735</f>
        <v/>
      </c>
      <c r="J742" s="7">
        <f>'1 prepared data'!I735</f>
        <v/>
      </c>
      <c r="K742" s="7">
        <f>'1 prepared data'!J735</f>
        <v/>
      </c>
      <c r="L742" s="7">
        <f>'1 prepared data'!K735</f>
        <v/>
      </c>
      <c r="M742" s="7">
        <f>'1 prepared data'!L735</f>
        <v/>
      </c>
      <c r="N742" s="7">
        <f>'1 prepared data'!M735</f>
        <v/>
      </c>
      <c r="O742" s="7">
        <f>'1 prepared data'!N735</f>
        <v/>
      </c>
      <c r="P742" s="7">
        <f>'1 prepared data'!O735</f>
        <v/>
      </c>
      <c r="Q742" s="7">
        <f>'1 prepared data'!P735</f>
        <v/>
      </c>
      <c r="R742" s="7">
        <f>'1 prepared data'!Q735</f>
        <v/>
      </c>
      <c r="S742" s="7">
        <f>'1 prepared data'!R735</f>
        <v/>
      </c>
      <c r="T742" s="7">
        <f>'1 prepared data'!S735</f>
        <v/>
      </c>
      <c r="U742" s="7">
        <f>'1 prepared data'!T735</f>
        <v/>
      </c>
      <c r="V742" s="8">
        <f>$AC$12+D742*$AC$13+E742*$AC$14+F742*$AC$15+G742*$AC$16+H742*$AC$17+I742*$AC$18+J742*$AC$19+K742*$AC$20+L742*$AC$21+M742*$AC$22+N742*$AC$23+O742*$AC$24+P742*$AC$25+Q742*$AC$26+R742*$AC$27+S742*$AC$28+T742*$AC$29+U742*$AC$30</f>
        <v/>
      </c>
      <c r="W742" s="8">
        <f>1/(1+EXP(-V742))</f>
        <v/>
      </c>
      <c r="X742" s="9">
        <f>-IF(C742=1,LN(W742),LN(1-W742))</f>
        <v/>
      </c>
      <c r="Y742" s="10">
        <f>IF(W742&gt;$AC$34,1,0)</f>
        <v/>
      </c>
      <c r="Z742">
        <f>IF(Y742=C742,1,0)</f>
        <v/>
      </c>
    </row>
    <row r="743">
      <c r="A743">
        <f>'1 prepared data'!A736</f>
        <v/>
      </c>
      <c r="B743" s="5">
        <f>'1 prepared data'!U736</f>
        <v/>
      </c>
      <c r="C743">
        <f>'1 prepared data'!B736</f>
        <v/>
      </c>
      <c r="D743" s="7">
        <f>'1 prepared data'!C736</f>
        <v/>
      </c>
      <c r="E743" s="7">
        <f>'1 prepared data'!D736</f>
        <v/>
      </c>
      <c r="F743" s="7">
        <f>'1 prepared data'!E736</f>
        <v/>
      </c>
      <c r="G743" s="7">
        <f>'1 prepared data'!F736</f>
        <v/>
      </c>
      <c r="H743" s="7">
        <f>'1 prepared data'!G736</f>
        <v/>
      </c>
      <c r="I743" s="7">
        <f>'1 prepared data'!H736</f>
        <v/>
      </c>
      <c r="J743" s="7">
        <f>'1 prepared data'!I736</f>
        <v/>
      </c>
      <c r="K743" s="7">
        <f>'1 prepared data'!J736</f>
        <v/>
      </c>
      <c r="L743" s="7">
        <f>'1 prepared data'!K736</f>
        <v/>
      </c>
      <c r="M743" s="7">
        <f>'1 prepared data'!L736</f>
        <v/>
      </c>
      <c r="N743" s="7">
        <f>'1 prepared data'!M736</f>
        <v/>
      </c>
      <c r="O743" s="7">
        <f>'1 prepared data'!N736</f>
        <v/>
      </c>
      <c r="P743" s="7">
        <f>'1 prepared data'!O736</f>
        <v/>
      </c>
      <c r="Q743" s="7">
        <f>'1 prepared data'!P736</f>
        <v/>
      </c>
      <c r="R743" s="7">
        <f>'1 prepared data'!Q736</f>
        <v/>
      </c>
      <c r="S743" s="7">
        <f>'1 prepared data'!R736</f>
        <v/>
      </c>
      <c r="T743" s="7">
        <f>'1 prepared data'!S736</f>
        <v/>
      </c>
      <c r="U743" s="7">
        <f>'1 prepared data'!T736</f>
        <v/>
      </c>
      <c r="V743" s="8">
        <f>$AC$12+D743*$AC$13+E743*$AC$14+F743*$AC$15+G743*$AC$16+H743*$AC$17+I743*$AC$18+J743*$AC$19+K743*$AC$20+L743*$AC$21+M743*$AC$22+N743*$AC$23+O743*$AC$24+P743*$AC$25+Q743*$AC$26+R743*$AC$27+S743*$AC$28+T743*$AC$29+U743*$AC$30</f>
        <v/>
      </c>
      <c r="W743" s="8">
        <f>1/(1+EXP(-V743))</f>
        <v/>
      </c>
      <c r="X743" s="9">
        <f>-IF(C743=1,LN(W743),LN(1-W743))</f>
        <v/>
      </c>
      <c r="Y743" s="10">
        <f>IF(W743&gt;$AC$34,1,0)</f>
        <v/>
      </c>
      <c r="Z743">
        <f>IF(Y743=C743,1,0)</f>
        <v/>
      </c>
    </row>
    <row r="744">
      <c r="A744">
        <f>'1 prepared data'!A737</f>
        <v/>
      </c>
      <c r="B744" s="5">
        <f>'1 prepared data'!U737</f>
        <v/>
      </c>
      <c r="C744">
        <f>'1 prepared data'!B737</f>
        <v/>
      </c>
      <c r="D744" s="7">
        <f>'1 prepared data'!C737</f>
        <v/>
      </c>
      <c r="E744" s="7">
        <f>'1 prepared data'!D737</f>
        <v/>
      </c>
      <c r="F744" s="7">
        <f>'1 prepared data'!E737</f>
        <v/>
      </c>
      <c r="G744" s="7">
        <f>'1 prepared data'!F737</f>
        <v/>
      </c>
      <c r="H744" s="7">
        <f>'1 prepared data'!G737</f>
        <v/>
      </c>
      <c r="I744" s="7">
        <f>'1 prepared data'!H737</f>
        <v/>
      </c>
      <c r="J744" s="7">
        <f>'1 prepared data'!I737</f>
        <v/>
      </c>
      <c r="K744" s="7">
        <f>'1 prepared data'!J737</f>
        <v/>
      </c>
      <c r="L744" s="7">
        <f>'1 prepared data'!K737</f>
        <v/>
      </c>
      <c r="M744" s="7">
        <f>'1 prepared data'!L737</f>
        <v/>
      </c>
      <c r="N744" s="7">
        <f>'1 prepared data'!M737</f>
        <v/>
      </c>
      <c r="O744" s="7">
        <f>'1 prepared data'!N737</f>
        <v/>
      </c>
      <c r="P744" s="7">
        <f>'1 prepared data'!O737</f>
        <v/>
      </c>
      <c r="Q744" s="7">
        <f>'1 prepared data'!P737</f>
        <v/>
      </c>
      <c r="R744" s="7">
        <f>'1 prepared data'!Q737</f>
        <v/>
      </c>
      <c r="S744" s="7">
        <f>'1 prepared data'!R737</f>
        <v/>
      </c>
      <c r="T744" s="7">
        <f>'1 prepared data'!S737</f>
        <v/>
      </c>
      <c r="U744" s="7">
        <f>'1 prepared data'!T737</f>
        <v/>
      </c>
      <c r="V744" s="8">
        <f>$AC$12+D744*$AC$13+E744*$AC$14+F744*$AC$15+G744*$AC$16+H744*$AC$17+I744*$AC$18+J744*$AC$19+K744*$AC$20+L744*$AC$21+M744*$AC$22+N744*$AC$23+O744*$AC$24+P744*$AC$25+Q744*$AC$26+R744*$AC$27+S744*$AC$28+T744*$AC$29+U744*$AC$30</f>
        <v/>
      </c>
      <c r="W744" s="8">
        <f>1/(1+EXP(-V744))</f>
        <v/>
      </c>
      <c r="X744" s="9">
        <f>-IF(C744=1,LN(W744),LN(1-W744))</f>
        <v/>
      </c>
      <c r="Y744" s="10">
        <f>IF(W744&gt;$AC$34,1,0)</f>
        <v/>
      </c>
      <c r="Z744">
        <f>IF(Y744=C744,1,0)</f>
        <v/>
      </c>
    </row>
    <row r="745">
      <c r="A745">
        <f>'1 prepared data'!A738</f>
        <v/>
      </c>
      <c r="B745" s="5">
        <f>'1 prepared data'!U738</f>
        <v/>
      </c>
      <c r="C745">
        <f>'1 prepared data'!B738</f>
        <v/>
      </c>
      <c r="D745" s="7">
        <f>'1 prepared data'!C738</f>
        <v/>
      </c>
      <c r="E745" s="7">
        <f>'1 prepared data'!D738</f>
        <v/>
      </c>
      <c r="F745" s="7">
        <f>'1 prepared data'!E738</f>
        <v/>
      </c>
      <c r="G745" s="7">
        <f>'1 prepared data'!F738</f>
        <v/>
      </c>
      <c r="H745" s="7">
        <f>'1 prepared data'!G738</f>
        <v/>
      </c>
      <c r="I745" s="7">
        <f>'1 prepared data'!H738</f>
        <v/>
      </c>
      <c r="J745" s="7">
        <f>'1 prepared data'!I738</f>
        <v/>
      </c>
      <c r="K745" s="7">
        <f>'1 prepared data'!J738</f>
        <v/>
      </c>
      <c r="L745" s="7">
        <f>'1 prepared data'!K738</f>
        <v/>
      </c>
      <c r="M745" s="7">
        <f>'1 prepared data'!L738</f>
        <v/>
      </c>
      <c r="N745" s="7">
        <f>'1 prepared data'!M738</f>
        <v/>
      </c>
      <c r="O745" s="7">
        <f>'1 prepared data'!N738</f>
        <v/>
      </c>
      <c r="P745" s="7">
        <f>'1 prepared data'!O738</f>
        <v/>
      </c>
      <c r="Q745" s="7">
        <f>'1 prepared data'!P738</f>
        <v/>
      </c>
      <c r="R745" s="7">
        <f>'1 prepared data'!Q738</f>
        <v/>
      </c>
      <c r="S745" s="7">
        <f>'1 prepared data'!R738</f>
        <v/>
      </c>
      <c r="T745" s="7">
        <f>'1 prepared data'!S738</f>
        <v/>
      </c>
      <c r="U745" s="7">
        <f>'1 prepared data'!T738</f>
        <v/>
      </c>
      <c r="V745" s="8">
        <f>$AC$12+D745*$AC$13+E745*$AC$14+F745*$AC$15+G745*$AC$16+H745*$AC$17+I745*$AC$18+J745*$AC$19+K745*$AC$20+L745*$AC$21+M745*$AC$22+N745*$AC$23+O745*$AC$24+P745*$AC$25+Q745*$AC$26+R745*$AC$27+S745*$AC$28+T745*$AC$29+U745*$AC$30</f>
        <v/>
      </c>
      <c r="W745" s="8">
        <f>1/(1+EXP(-V745))</f>
        <v/>
      </c>
      <c r="X745" s="9">
        <f>-IF(C745=1,LN(W745),LN(1-W745))</f>
        <v/>
      </c>
      <c r="Y745" s="10">
        <f>IF(W745&gt;$AC$34,1,0)</f>
        <v/>
      </c>
      <c r="Z745">
        <f>IF(Y745=C745,1,0)</f>
        <v/>
      </c>
    </row>
    <row r="746">
      <c r="A746">
        <f>'1 prepared data'!A739</f>
        <v/>
      </c>
      <c r="B746" s="5">
        <f>'1 prepared data'!U739</f>
        <v/>
      </c>
      <c r="C746">
        <f>'1 prepared data'!B739</f>
        <v/>
      </c>
      <c r="D746" s="7">
        <f>'1 prepared data'!C739</f>
        <v/>
      </c>
      <c r="E746" s="7">
        <f>'1 prepared data'!D739</f>
        <v/>
      </c>
      <c r="F746" s="7">
        <f>'1 prepared data'!E739</f>
        <v/>
      </c>
      <c r="G746" s="7">
        <f>'1 prepared data'!F739</f>
        <v/>
      </c>
      <c r="H746" s="7">
        <f>'1 prepared data'!G739</f>
        <v/>
      </c>
      <c r="I746" s="7">
        <f>'1 prepared data'!H739</f>
        <v/>
      </c>
      <c r="J746" s="7">
        <f>'1 prepared data'!I739</f>
        <v/>
      </c>
      <c r="K746" s="7">
        <f>'1 prepared data'!J739</f>
        <v/>
      </c>
      <c r="L746" s="7">
        <f>'1 prepared data'!K739</f>
        <v/>
      </c>
      <c r="M746" s="7">
        <f>'1 prepared data'!L739</f>
        <v/>
      </c>
      <c r="N746" s="7">
        <f>'1 prepared data'!M739</f>
        <v/>
      </c>
      <c r="O746" s="7">
        <f>'1 prepared data'!N739</f>
        <v/>
      </c>
      <c r="P746" s="7">
        <f>'1 prepared data'!O739</f>
        <v/>
      </c>
      <c r="Q746" s="7">
        <f>'1 prepared data'!P739</f>
        <v/>
      </c>
      <c r="R746" s="7">
        <f>'1 prepared data'!Q739</f>
        <v/>
      </c>
      <c r="S746" s="7">
        <f>'1 prepared data'!R739</f>
        <v/>
      </c>
      <c r="T746" s="7">
        <f>'1 prepared data'!S739</f>
        <v/>
      </c>
      <c r="U746" s="7">
        <f>'1 prepared data'!T739</f>
        <v/>
      </c>
      <c r="V746" s="8">
        <f>$AC$12+D746*$AC$13+E746*$AC$14+F746*$AC$15+G746*$AC$16+H746*$AC$17+I746*$AC$18+J746*$AC$19+K746*$AC$20+L746*$AC$21+M746*$AC$22+N746*$AC$23+O746*$AC$24+P746*$AC$25+Q746*$AC$26+R746*$AC$27+S746*$AC$28+T746*$AC$29+U746*$AC$30</f>
        <v/>
      </c>
      <c r="W746" s="8">
        <f>1/(1+EXP(-V746))</f>
        <v/>
      </c>
      <c r="X746" s="9">
        <f>-IF(C746=1,LN(W746),LN(1-W746))</f>
        <v/>
      </c>
      <c r="Y746" s="10">
        <f>IF(W746&gt;$AC$34,1,0)</f>
        <v/>
      </c>
      <c r="Z746">
        <f>IF(Y746=C746,1,0)</f>
        <v/>
      </c>
    </row>
    <row r="747">
      <c r="A747">
        <f>'1 prepared data'!A740</f>
        <v/>
      </c>
      <c r="B747" s="5">
        <f>'1 prepared data'!U740</f>
        <v/>
      </c>
      <c r="C747">
        <f>'1 prepared data'!B740</f>
        <v/>
      </c>
      <c r="D747" s="7">
        <f>'1 prepared data'!C740</f>
        <v/>
      </c>
      <c r="E747" s="7">
        <f>'1 prepared data'!D740</f>
        <v/>
      </c>
      <c r="F747" s="7">
        <f>'1 prepared data'!E740</f>
        <v/>
      </c>
      <c r="G747" s="7">
        <f>'1 prepared data'!F740</f>
        <v/>
      </c>
      <c r="H747" s="7">
        <f>'1 prepared data'!G740</f>
        <v/>
      </c>
      <c r="I747" s="7">
        <f>'1 prepared data'!H740</f>
        <v/>
      </c>
      <c r="J747" s="7">
        <f>'1 prepared data'!I740</f>
        <v/>
      </c>
      <c r="K747" s="7">
        <f>'1 prepared data'!J740</f>
        <v/>
      </c>
      <c r="L747" s="7">
        <f>'1 prepared data'!K740</f>
        <v/>
      </c>
      <c r="M747" s="7">
        <f>'1 prepared data'!L740</f>
        <v/>
      </c>
      <c r="N747" s="7">
        <f>'1 prepared data'!M740</f>
        <v/>
      </c>
      <c r="O747" s="7">
        <f>'1 prepared data'!N740</f>
        <v/>
      </c>
      <c r="P747" s="7">
        <f>'1 prepared data'!O740</f>
        <v/>
      </c>
      <c r="Q747" s="7">
        <f>'1 prepared data'!P740</f>
        <v/>
      </c>
      <c r="R747" s="7">
        <f>'1 prepared data'!Q740</f>
        <v/>
      </c>
      <c r="S747" s="7">
        <f>'1 prepared data'!R740</f>
        <v/>
      </c>
      <c r="T747" s="7">
        <f>'1 prepared data'!S740</f>
        <v/>
      </c>
      <c r="U747" s="7">
        <f>'1 prepared data'!T740</f>
        <v/>
      </c>
      <c r="V747" s="8">
        <f>$AC$12+D747*$AC$13+E747*$AC$14+F747*$AC$15+G747*$AC$16+H747*$AC$17+I747*$AC$18+J747*$AC$19+K747*$AC$20+L747*$AC$21+M747*$AC$22+N747*$AC$23+O747*$AC$24+P747*$AC$25+Q747*$AC$26+R747*$AC$27+S747*$AC$28+T747*$AC$29+U747*$AC$30</f>
        <v/>
      </c>
      <c r="W747" s="8">
        <f>1/(1+EXP(-V747))</f>
        <v/>
      </c>
      <c r="X747" s="9">
        <f>-IF(C747=1,LN(W747),LN(1-W747))</f>
        <v/>
      </c>
      <c r="Y747" s="10">
        <f>IF(W747&gt;$AC$34,1,0)</f>
        <v/>
      </c>
      <c r="Z747">
        <f>IF(Y747=C747,1,0)</f>
        <v/>
      </c>
    </row>
    <row r="748">
      <c r="A748">
        <f>'1 prepared data'!A741</f>
        <v/>
      </c>
      <c r="B748" s="5">
        <f>'1 prepared data'!U741</f>
        <v/>
      </c>
      <c r="C748">
        <f>'1 prepared data'!B741</f>
        <v/>
      </c>
      <c r="D748" s="7">
        <f>'1 prepared data'!C741</f>
        <v/>
      </c>
      <c r="E748" s="7">
        <f>'1 prepared data'!D741</f>
        <v/>
      </c>
      <c r="F748" s="7">
        <f>'1 prepared data'!E741</f>
        <v/>
      </c>
      <c r="G748" s="7">
        <f>'1 prepared data'!F741</f>
        <v/>
      </c>
      <c r="H748" s="7">
        <f>'1 prepared data'!G741</f>
        <v/>
      </c>
      <c r="I748" s="7">
        <f>'1 prepared data'!H741</f>
        <v/>
      </c>
      <c r="J748" s="7">
        <f>'1 prepared data'!I741</f>
        <v/>
      </c>
      <c r="K748" s="7">
        <f>'1 prepared data'!J741</f>
        <v/>
      </c>
      <c r="L748" s="7">
        <f>'1 prepared data'!K741</f>
        <v/>
      </c>
      <c r="M748" s="7">
        <f>'1 prepared data'!L741</f>
        <v/>
      </c>
      <c r="N748" s="7">
        <f>'1 prepared data'!M741</f>
        <v/>
      </c>
      <c r="O748" s="7">
        <f>'1 prepared data'!N741</f>
        <v/>
      </c>
      <c r="P748" s="7">
        <f>'1 prepared data'!O741</f>
        <v/>
      </c>
      <c r="Q748" s="7">
        <f>'1 prepared data'!P741</f>
        <v/>
      </c>
      <c r="R748" s="7">
        <f>'1 prepared data'!Q741</f>
        <v/>
      </c>
      <c r="S748" s="7">
        <f>'1 prepared data'!R741</f>
        <v/>
      </c>
      <c r="T748" s="7">
        <f>'1 prepared data'!S741</f>
        <v/>
      </c>
      <c r="U748" s="7">
        <f>'1 prepared data'!T741</f>
        <v/>
      </c>
      <c r="V748" s="8">
        <f>$AC$12+D748*$AC$13+E748*$AC$14+F748*$AC$15+G748*$AC$16+H748*$AC$17+I748*$AC$18+J748*$AC$19+K748*$AC$20+L748*$AC$21+M748*$AC$22+N748*$AC$23+O748*$AC$24+P748*$AC$25+Q748*$AC$26+R748*$AC$27+S748*$AC$28+T748*$AC$29+U748*$AC$30</f>
        <v/>
      </c>
      <c r="W748" s="8">
        <f>1/(1+EXP(-V748))</f>
        <v/>
      </c>
      <c r="X748" s="9">
        <f>-IF(C748=1,LN(W748),LN(1-W748))</f>
        <v/>
      </c>
      <c r="Y748" s="10">
        <f>IF(W748&gt;$AC$34,1,0)</f>
        <v/>
      </c>
      <c r="Z748">
        <f>IF(Y748=C748,1,0)</f>
        <v/>
      </c>
    </row>
    <row r="749">
      <c r="A749">
        <f>'1 prepared data'!A742</f>
        <v/>
      </c>
      <c r="B749" s="5">
        <f>'1 prepared data'!U742</f>
        <v/>
      </c>
      <c r="C749">
        <f>'1 prepared data'!B742</f>
        <v/>
      </c>
      <c r="D749" s="7">
        <f>'1 prepared data'!C742</f>
        <v/>
      </c>
      <c r="E749" s="7">
        <f>'1 prepared data'!D742</f>
        <v/>
      </c>
      <c r="F749" s="7">
        <f>'1 prepared data'!E742</f>
        <v/>
      </c>
      <c r="G749" s="7">
        <f>'1 prepared data'!F742</f>
        <v/>
      </c>
      <c r="H749" s="7">
        <f>'1 prepared data'!G742</f>
        <v/>
      </c>
      <c r="I749" s="7">
        <f>'1 prepared data'!H742</f>
        <v/>
      </c>
      <c r="J749" s="7">
        <f>'1 prepared data'!I742</f>
        <v/>
      </c>
      <c r="K749" s="7">
        <f>'1 prepared data'!J742</f>
        <v/>
      </c>
      <c r="L749" s="7">
        <f>'1 prepared data'!K742</f>
        <v/>
      </c>
      <c r="M749" s="7">
        <f>'1 prepared data'!L742</f>
        <v/>
      </c>
      <c r="N749" s="7">
        <f>'1 prepared data'!M742</f>
        <v/>
      </c>
      <c r="O749" s="7">
        <f>'1 prepared data'!N742</f>
        <v/>
      </c>
      <c r="P749" s="7">
        <f>'1 prepared data'!O742</f>
        <v/>
      </c>
      <c r="Q749" s="7">
        <f>'1 prepared data'!P742</f>
        <v/>
      </c>
      <c r="R749" s="7">
        <f>'1 prepared data'!Q742</f>
        <v/>
      </c>
      <c r="S749" s="7">
        <f>'1 prepared data'!R742</f>
        <v/>
      </c>
      <c r="T749" s="7">
        <f>'1 prepared data'!S742</f>
        <v/>
      </c>
      <c r="U749" s="7">
        <f>'1 prepared data'!T742</f>
        <v/>
      </c>
      <c r="V749" s="8">
        <f>$AC$12+D749*$AC$13+E749*$AC$14+F749*$AC$15+G749*$AC$16+H749*$AC$17+I749*$AC$18+J749*$AC$19+K749*$AC$20+L749*$AC$21+M749*$AC$22+N749*$AC$23+O749*$AC$24+P749*$AC$25+Q749*$AC$26+R749*$AC$27+S749*$AC$28+T749*$AC$29+U749*$AC$30</f>
        <v/>
      </c>
      <c r="W749" s="8">
        <f>1/(1+EXP(-V749))</f>
        <v/>
      </c>
      <c r="X749" s="9">
        <f>-IF(C749=1,LN(W749),LN(1-W749))</f>
        <v/>
      </c>
      <c r="Y749" s="10">
        <f>IF(W749&gt;$AC$34,1,0)</f>
        <v/>
      </c>
      <c r="Z749">
        <f>IF(Y749=C749,1,0)</f>
        <v/>
      </c>
    </row>
    <row r="750">
      <c r="A750">
        <f>'1 prepared data'!A743</f>
        <v/>
      </c>
      <c r="B750" s="5">
        <f>'1 prepared data'!U743</f>
        <v/>
      </c>
      <c r="C750">
        <f>'1 prepared data'!B743</f>
        <v/>
      </c>
      <c r="D750" s="7">
        <f>'1 prepared data'!C743</f>
        <v/>
      </c>
      <c r="E750" s="7">
        <f>'1 prepared data'!D743</f>
        <v/>
      </c>
      <c r="F750" s="7">
        <f>'1 prepared data'!E743</f>
        <v/>
      </c>
      <c r="G750" s="7">
        <f>'1 prepared data'!F743</f>
        <v/>
      </c>
      <c r="H750" s="7">
        <f>'1 prepared data'!G743</f>
        <v/>
      </c>
      <c r="I750" s="7">
        <f>'1 prepared data'!H743</f>
        <v/>
      </c>
      <c r="J750" s="7">
        <f>'1 prepared data'!I743</f>
        <v/>
      </c>
      <c r="K750" s="7">
        <f>'1 prepared data'!J743</f>
        <v/>
      </c>
      <c r="L750" s="7">
        <f>'1 prepared data'!K743</f>
        <v/>
      </c>
      <c r="M750" s="7">
        <f>'1 prepared data'!L743</f>
        <v/>
      </c>
      <c r="N750" s="7">
        <f>'1 prepared data'!M743</f>
        <v/>
      </c>
      <c r="O750" s="7">
        <f>'1 prepared data'!N743</f>
        <v/>
      </c>
      <c r="P750" s="7">
        <f>'1 prepared data'!O743</f>
        <v/>
      </c>
      <c r="Q750" s="7">
        <f>'1 prepared data'!P743</f>
        <v/>
      </c>
      <c r="R750" s="7">
        <f>'1 prepared data'!Q743</f>
        <v/>
      </c>
      <c r="S750" s="7">
        <f>'1 prepared data'!R743</f>
        <v/>
      </c>
      <c r="T750" s="7">
        <f>'1 prepared data'!S743</f>
        <v/>
      </c>
      <c r="U750" s="7">
        <f>'1 prepared data'!T743</f>
        <v/>
      </c>
      <c r="V750" s="8">
        <f>$AC$12+D750*$AC$13+E750*$AC$14+F750*$AC$15+G750*$AC$16+H750*$AC$17+I750*$AC$18+J750*$AC$19+K750*$AC$20+L750*$AC$21+M750*$AC$22+N750*$AC$23+O750*$AC$24+P750*$AC$25+Q750*$AC$26+R750*$AC$27+S750*$AC$28+T750*$AC$29+U750*$AC$30</f>
        <v/>
      </c>
      <c r="W750" s="8">
        <f>1/(1+EXP(-V750))</f>
        <v/>
      </c>
      <c r="X750" s="9">
        <f>-IF(C750=1,LN(W750),LN(1-W750))</f>
        <v/>
      </c>
      <c r="Y750" s="10">
        <f>IF(W750&gt;$AC$34,1,0)</f>
        <v/>
      </c>
      <c r="Z750">
        <f>IF(Y750=C750,1,0)</f>
        <v/>
      </c>
    </row>
    <row r="751">
      <c r="A751">
        <f>'1 prepared data'!A744</f>
        <v/>
      </c>
      <c r="B751" s="5">
        <f>'1 prepared data'!U744</f>
        <v/>
      </c>
      <c r="C751">
        <f>'1 prepared data'!B744</f>
        <v/>
      </c>
      <c r="D751" s="7">
        <f>'1 prepared data'!C744</f>
        <v/>
      </c>
      <c r="E751" s="7">
        <f>'1 prepared data'!D744</f>
        <v/>
      </c>
      <c r="F751" s="7">
        <f>'1 prepared data'!E744</f>
        <v/>
      </c>
      <c r="G751" s="7">
        <f>'1 prepared data'!F744</f>
        <v/>
      </c>
      <c r="H751" s="7">
        <f>'1 prepared data'!G744</f>
        <v/>
      </c>
      <c r="I751" s="7">
        <f>'1 prepared data'!H744</f>
        <v/>
      </c>
      <c r="J751" s="7">
        <f>'1 prepared data'!I744</f>
        <v/>
      </c>
      <c r="K751" s="7">
        <f>'1 prepared data'!J744</f>
        <v/>
      </c>
      <c r="L751" s="7">
        <f>'1 prepared data'!K744</f>
        <v/>
      </c>
      <c r="M751" s="7">
        <f>'1 prepared data'!L744</f>
        <v/>
      </c>
      <c r="N751" s="7">
        <f>'1 prepared data'!M744</f>
        <v/>
      </c>
      <c r="O751" s="7">
        <f>'1 prepared data'!N744</f>
        <v/>
      </c>
      <c r="P751" s="7">
        <f>'1 prepared data'!O744</f>
        <v/>
      </c>
      <c r="Q751" s="7">
        <f>'1 prepared data'!P744</f>
        <v/>
      </c>
      <c r="R751" s="7">
        <f>'1 prepared data'!Q744</f>
        <v/>
      </c>
      <c r="S751" s="7">
        <f>'1 prepared data'!R744</f>
        <v/>
      </c>
      <c r="T751" s="7">
        <f>'1 prepared data'!S744</f>
        <v/>
      </c>
      <c r="U751" s="7">
        <f>'1 prepared data'!T744</f>
        <v/>
      </c>
      <c r="V751" s="8">
        <f>$AC$12+D751*$AC$13+E751*$AC$14+F751*$AC$15+G751*$AC$16+H751*$AC$17+I751*$AC$18+J751*$AC$19+K751*$AC$20+L751*$AC$21+M751*$AC$22+N751*$AC$23+O751*$AC$24+P751*$AC$25+Q751*$AC$26+R751*$AC$27+S751*$AC$28+T751*$AC$29+U751*$AC$30</f>
        <v/>
      </c>
      <c r="W751" s="8">
        <f>1/(1+EXP(-V751))</f>
        <v/>
      </c>
      <c r="X751" s="9">
        <f>-IF(C751=1,LN(W751),LN(1-W751))</f>
        <v/>
      </c>
      <c r="Y751" s="10">
        <f>IF(W751&gt;$AC$34,1,0)</f>
        <v/>
      </c>
      <c r="Z751">
        <f>IF(Y751=C751,1,0)</f>
        <v/>
      </c>
    </row>
    <row r="752">
      <c r="A752">
        <f>'1 prepared data'!A745</f>
        <v/>
      </c>
      <c r="B752" s="5">
        <f>'1 prepared data'!U745</f>
        <v/>
      </c>
      <c r="C752">
        <f>'1 prepared data'!B745</f>
        <v/>
      </c>
      <c r="D752" s="7">
        <f>'1 prepared data'!C745</f>
        <v/>
      </c>
      <c r="E752" s="7">
        <f>'1 prepared data'!D745</f>
        <v/>
      </c>
      <c r="F752" s="7">
        <f>'1 prepared data'!E745</f>
        <v/>
      </c>
      <c r="G752" s="7">
        <f>'1 prepared data'!F745</f>
        <v/>
      </c>
      <c r="H752" s="7">
        <f>'1 prepared data'!G745</f>
        <v/>
      </c>
      <c r="I752" s="7">
        <f>'1 prepared data'!H745</f>
        <v/>
      </c>
      <c r="J752" s="7">
        <f>'1 prepared data'!I745</f>
        <v/>
      </c>
      <c r="K752" s="7">
        <f>'1 prepared data'!J745</f>
        <v/>
      </c>
      <c r="L752" s="7">
        <f>'1 prepared data'!K745</f>
        <v/>
      </c>
      <c r="M752" s="7">
        <f>'1 prepared data'!L745</f>
        <v/>
      </c>
      <c r="N752" s="7">
        <f>'1 prepared data'!M745</f>
        <v/>
      </c>
      <c r="O752" s="7">
        <f>'1 prepared data'!N745</f>
        <v/>
      </c>
      <c r="P752" s="7">
        <f>'1 prepared data'!O745</f>
        <v/>
      </c>
      <c r="Q752" s="7">
        <f>'1 prepared data'!P745</f>
        <v/>
      </c>
      <c r="R752" s="7">
        <f>'1 prepared data'!Q745</f>
        <v/>
      </c>
      <c r="S752" s="7">
        <f>'1 prepared data'!R745</f>
        <v/>
      </c>
      <c r="T752" s="7">
        <f>'1 prepared data'!S745</f>
        <v/>
      </c>
      <c r="U752" s="7">
        <f>'1 prepared data'!T745</f>
        <v/>
      </c>
      <c r="V752" s="8">
        <f>$AC$12+D752*$AC$13+E752*$AC$14+F752*$AC$15+G752*$AC$16+H752*$AC$17+I752*$AC$18+J752*$AC$19+K752*$AC$20+L752*$AC$21+M752*$AC$22+N752*$AC$23+O752*$AC$24+P752*$AC$25+Q752*$AC$26+R752*$AC$27+S752*$AC$28+T752*$AC$29+U752*$AC$30</f>
        <v/>
      </c>
      <c r="W752" s="8">
        <f>1/(1+EXP(-V752))</f>
        <v/>
      </c>
      <c r="X752" s="9">
        <f>-IF(C752=1,LN(W752),LN(1-W752))</f>
        <v/>
      </c>
      <c r="Y752" s="10">
        <f>IF(W752&gt;$AC$34,1,0)</f>
        <v/>
      </c>
      <c r="Z752">
        <f>IF(Y752=C752,1,0)</f>
        <v/>
      </c>
    </row>
    <row r="753">
      <c r="A753">
        <f>'1 prepared data'!A746</f>
        <v/>
      </c>
      <c r="B753" s="5">
        <f>'1 prepared data'!U746</f>
        <v/>
      </c>
      <c r="C753">
        <f>'1 prepared data'!B746</f>
        <v/>
      </c>
      <c r="D753" s="7">
        <f>'1 prepared data'!C746</f>
        <v/>
      </c>
      <c r="E753" s="7">
        <f>'1 prepared data'!D746</f>
        <v/>
      </c>
      <c r="F753" s="7">
        <f>'1 prepared data'!E746</f>
        <v/>
      </c>
      <c r="G753" s="7">
        <f>'1 prepared data'!F746</f>
        <v/>
      </c>
      <c r="H753" s="7">
        <f>'1 prepared data'!G746</f>
        <v/>
      </c>
      <c r="I753" s="7">
        <f>'1 prepared data'!H746</f>
        <v/>
      </c>
      <c r="J753" s="7">
        <f>'1 prepared data'!I746</f>
        <v/>
      </c>
      <c r="K753" s="7">
        <f>'1 prepared data'!J746</f>
        <v/>
      </c>
      <c r="L753" s="7">
        <f>'1 prepared data'!K746</f>
        <v/>
      </c>
      <c r="M753" s="7">
        <f>'1 prepared data'!L746</f>
        <v/>
      </c>
      <c r="N753" s="7">
        <f>'1 prepared data'!M746</f>
        <v/>
      </c>
      <c r="O753" s="7">
        <f>'1 prepared data'!N746</f>
        <v/>
      </c>
      <c r="P753" s="7">
        <f>'1 prepared data'!O746</f>
        <v/>
      </c>
      <c r="Q753" s="7">
        <f>'1 prepared data'!P746</f>
        <v/>
      </c>
      <c r="R753" s="7">
        <f>'1 prepared data'!Q746</f>
        <v/>
      </c>
      <c r="S753" s="7">
        <f>'1 prepared data'!R746</f>
        <v/>
      </c>
      <c r="T753" s="7">
        <f>'1 prepared data'!S746</f>
        <v/>
      </c>
      <c r="U753" s="7">
        <f>'1 prepared data'!T746</f>
        <v/>
      </c>
      <c r="V753" s="8">
        <f>$AC$12+D753*$AC$13+E753*$AC$14+F753*$AC$15+G753*$AC$16+H753*$AC$17+I753*$AC$18+J753*$AC$19+K753*$AC$20+L753*$AC$21+M753*$AC$22+N753*$AC$23+O753*$AC$24+P753*$AC$25+Q753*$AC$26+R753*$AC$27+S753*$AC$28+T753*$AC$29+U753*$AC$30</f>
        <v/>
      </c>
      <c r="W753" s="8">
        <f>1/(1+EXP(-V753))</f>
        <v/>
      </c>
      <c r="X753" s="9">
        <f>-IF(C753=1,LN(W753),LN(1-W753))</f>
        <v/>
      </c>
      <c r="Y753" s="10">
        <f>IF(W753&gt;$AC$34,1,0)</f>
        <v/>
      </c>
      <c r="Z753">
        <f>IF(Y753=C753,1,0)</f>
        <v/>
      </c>
    </row>
    <row r="754">
      <c r="A754">
        <f>'1 prepared data'!A747</f>
        <v/>
      </c>
      <c r="B754" s="5">
        <f>'1 prepared data'!U747</f>
        <v/>
      </c>
      <c r="C754">
        <f>'1 prepared data'!B747</f>
        <v/>
      </c>
      <c r="D754" s="7">
        <f>'1 prepared data'!C747</f>
        <v/>
      </c>
      <c r="E754" s="7">
        <f>'1 prepared data'!D747</f>
        <v/>
      </c>
      <c r="F754" s="7">
        <f>'1 prepared data'!E747</f>
        <v/>
      </c>
      <c r="G754" s="7">
        <f>'1 prepared data'!F747</f>
        <v/>
      </c>
      <c r="H754" s="7">
        <f>'1 prepared data'!G747</f>
        <v/>
      </c>
      <c r="I754" s="7">
        <f>'1 prepared data'!H747</f>
        <v/>
      </c>
      <c r="J754" s="7">
        <f>'1 prepared data'!I747</f>
        <v/>
      </c>
      <c r="K754" s="7">
        <f>'1 prepared data'!J747</f>
        <v/>
      </c>
      <c r="L754" s="7">
        <f>'1 prepared data'!K747</f>
        <v/>
      </c>
      <c r="M754" s="7">
        <f>'1 prepared data'!L747</f>
        <v/>
      </c>
      <c r="N754" s="7">
        <f>'1 prepared data'!M747</f>
        <v/>
      </c>
      <c r="O754" s="7">
        <f>'1 prepared data'!N747</f>
        <v/>
      </c>
      <c r="P754" s="7">
        <f>'1 prepared data'!O747</f>
        <v/>
      </c>
      <c r="Q754" s="7">
        <f>'1 prepared data'!P747</f>
        <v/>
      </c>
      <c r="R754" s="7">
        <f>'1 prepared data'!Q747</f>
        <v/>
      </c>
      <c r="S754" s="7">
        <f>'1 prepared data'!R747</f>
        <v/>
      </c>
      <c r="T754" s="7">
        <f>'1 prepared data'!S747</f>
        <v/>
      </c>
      <c r="U754" s="7">
        <f>'1 prepared data'!T747</f>
        <v/>
      </c>
      <c r="V754" s="8">
        <f>$AC$12+D754*$AC$13+E754*$AC$14+F754*$AC$15+G754*$AC$16+H754*$AC$17+I754*$AC$18+J754*$AC$19+K754*$AC$20+L754*$AC$21+M754*$AC$22+N754*$AC$23+O754*$AC$24+P754*$AC$25+Q754*$AC$26+R754*$AC$27+S754*$AC$28+T754*$AC$29+U754*$AC$30</f>
        <v/>
      </c>
      <c r="W754" s="8">
        <f>1/(1+EXP(-V754))</f>
        <v/>
      </c>
      <c r="X754" s="9">
        <f>-IF(C754=1,LN(W754),LN(1-W754))</f>
        <v/>
      </c>
      <c r="Y754" s="10">
        <f>IF(W754&gt;$AC$34,1,0)</f>
        <v/>
      </c>
      <c r="Z754">
        <f>IF(Y754=C754,1,0)</f>
        <v/>
      </c>
    </row>
    <row r="755">
      <c r="A755">
        <f>'1 prepared data'!A748</f>
        <v/>
      </c>
      <c r="B755" s="5">
        <f>'1 prepared data'!U748</f>
        <v/>
      </c>
      <c r="C755">
        <f>'1 prepared data'!B748</f>
        <v/>
      </c>
      <c r="D755" s="7">
        <f>'1 prepared data'!C748</f>
        <v/>
      </c>
      <c r="E755" s="7">
        <f>'1 prepared data'!D748</f>
        <v/>
      </c>
      <c r="F755" s="7">
        <f>'1 prepared data'!E748</f>
        <v/>
      </c>
      <c r="G755" s="7">
        <f>'1 prepared data'!F748</f>
        <v/>
      </c>
      <c r="H755" s="7">
        <f>'1 prepared data'!G748</f>
        <v/>
      </c>
      <c r="I755" s="7">
        <f>'1 prepared data'!H748</f>
        <v/>
      </c>
      <c r="J755" s="7">
        <f>'1 prepared data'!I748</f>
        <v/>
      </c>
      <c r="K755" s="7">
        <f>'1 prepared data'!J748</f>
        <v/>
      </c>
      <c r="L755" s="7">
        <f>'1 prepared data'!K748</f>
        <v/>
      </c>
      <c r="M755" s="7">
        <f>'1 prepared data'!L748</f>
        <v/>
      </c>
      <c r="N755" s="7">
        <f>'1 prepared data'!M748</f>
        <v/>
      </c>
      <c r="O755" s="7">
        <f>'1 prepared data'!N748</f>
        <v/>
      </c>
      <c r="P755" s="7">
        <f>'1 prepared data'!O748</f>
        <v/>
      </c>
      <c r="Q755" s="7">
        <f>'1 prepared data'!P748</f>
        <v/>
      </c>
      <c r="R755" s="7">
        <f>'1 prepared data'!Q748</f>
        <v/>
      </c>
      <c r="S755" s="7">
        <f>'1 prepared data'!R748</f>
        <v/>
      </c>
      <c r="T755" s="7">
        <f>'1 prepared data'!S748</f>
        <v/>
      </c>
      <c r="U755" s="7">
        <f>'1 prepared data'!T748</f>
        <v/>
      </c>
      <c r="V755" s="8">
        <f>$AC$12+D755*$AC$13+E755*$AC$14+F755*$AC$15+G755*$AC$16+H755*$AC$17+I755*$AC$18+J755*$AC$19+K755*$AC$20+L755*$AC$21+M755*$AC$22+N755*$AC$23+O755*$AC$24+P755*$AC$25+Q755*$AC$26+R755*$AC$27+S755*$AC$28+T755*$AC$29+U755*$AC$30</f>
        <v/>
      </c>
      <c r="W755" s="8">
        <f>1/(1+EXP(-V755))</f>
        <v/>
      </c>
      <c r="X755" s="9">
        <f>-IF(C755=1,LN(W755),LN(1-W755))</f>
        <v/>
      </c>
      <c r="Y755" s="10">
        <f>IF(W755&gt;$AC$34,1,0)</f>
        <v/>
      </c>
      <c r="Z755">
        <f>IF(Y755=C755,1,0)</f>
        <v/>
      </c>
    </row>
    <row r="756">
      <c r="A756">
        <f>'1 prepared data'!A749</f>
        <v/>
      </c>
      <c r="B756" s="5">
        <f>'1 prepared data'!U749</f>
        <v/>
      </c>
      <c r="C756">
        <f>'1 prepared data'!B749</f>
        <v/>
      </c>
      <c r="D756" s="7">
        <f>'1 prepared data'!C749</f>
        <v/>
      </c>
      <c r="E756" s="7">
        <f>'1 prepared data'!D749</f>
        <v/>
      </c>
      <c r="F756" s="7">
        <f>'1 prepared data'!E749</f>
        <v/>
      </c>
      <c r="G756" s="7">
        <f>'1 prepared data'!F749</f>
        <v/>
      </c>
      <c r="H756" s="7">
        <f>'1 prepared data'!G749</f>
        <v/>
      </c>
      <c r="I756" s="7">
        <f>'1 prepared data'!H749</f>
        <v/>
      </c>
      <c r="J756" s="7">
        <f>'1 prepared data'!I749</f>
        <v/>
      </c>
      <c r="K756" s="7">
        <f>'1 prepared data'!J749</f>
        <v/>
      </c>
      <c r="L756" s="7">
        <f>'1 prepared data'!K749</f>
        <v/>
      </c>
      <c r="M756" s="7">
        <f>'1 prepared data'!L749</f>
        <v/>
      </c>
      <c r="N756" s="7">
        <f>'1 prepared data'!M749</f>
        <v/>
      </c>
      <c r="O756" s="7">
        <f>'1 prepared data'!N749</f>
        <v/>
      </c>
      <c r="P756" s="7">
        <f>'1 prepared data'!O749</f>
        <v/>
      </c>
      <c r="Q756" s="7">
        <f>'1 prepared data'!P749</f>
        <v/>
      </c>
      <c r="R756" s="7">
        <f>'1 prepared data'!Q749</f>
        <v/>
      </c>
      <c r="S756" s="7">
        <f>'1 prepared data'!R749</f>
        <v/>
      </c>
      <c r="T756" s="7">
        <f>'1 prepared data'!S749</f>
        <v/>
      </c>
      <c r="U756" s="7">
        <f>'1 prepared data'!T749</f>
        <v/>
      </c>
      <c r="V756" s="8">
        <f>$AC$12+D756*$AC$13+E756*$AC$14+F756*$AC$15+G756*$AC$16+H756*$AC$17+I756*$AC$18+J756*$AC$19+K756*$AC$20+L756*$AC$21+M756*$AC$22+N756*$AC$23+O756*$AC$24+P756*$AC$25+Q756*$AC$26+R756*$AC$27+S756*$AC$28+T756*$AC$29+U756*$AC$30</f>
        <v/>
      </c>
      <c r="W756" s="8">
        <f>1/(1+EXP(-V756))</f>
        <v/>
      </c>
      <c r="X756" s="9">
        <f>-IF(C756=1,LN(W756),LN(1-W756))</f>
        <v/>
      </c>
      <c r="Y756" s="10">
        <f>IF(W756&gt;$AC$34,1,0)</f>
        <v/>
      </c>
      <c r="Z756">
        <f>IF(Y756=C756,1,0)</f>
        <v/>
      </c>
    </row>
    <row r="757">
      <c r="A757">
        <f>'1 prepared data'!A750</f>
        <v/>
      </c>
      <c r="B757" s="5">
        <f>'1 prepared data'!U750</f>
        <v/>
      </c>
      <c r="C757">
        <f>'1 prepared data'!B750</f>
        <v/>
      </c>
      <c r="D757" s="7">
        <f>'1 prepared data'!C750</f>
        <v/>
      </c>
      <c r="E757" s="7">
        <f>'1 prepared data'!D750</f>
        <v/>
      </c>
      <c r="F757" s="7">
        <f>'1 prepared data'!E750</f>
        <v/>
      </c>
      <c r="G757" s="7">
        <f>'1 prepared data'!F750</f>
        <v/>
      </c>
      <c r="H757" s="7">
        <f>'1 prepared data'!G750</f>
        <v/>
      </c>
      <c r="I757" s="7">
        <f>'1 prepared data'!H750</f>
        <v/>
      </c>
      <c r="J757" s="7">
        <f>'1 prepared data'!I750</f>
        <v/>
      </c>
      <c r="K757" s="7">
        <f>'1 prepared data'!J750</f>
        <v/>
      </c>
      <c r="L757" s="7">
        <f>'1 prepared data'!K750</f>
        <v/>
      </c>
      <c r="M757" s="7">
        <f>'1 prepared data'!L750</f>
        <v/>
      </c>
      <c r="N757" s="7">
        <f>'1 prepared data'!M750</f>
        <v/>
      </c>
      <c r="O757" s="7">
        <f>'1 prepared data'!N750</f>
        <v/>
      </c>
      <c r="P757" s="7">
        <f>'1 prepared data'!O750</f>
        <v/>
      </c>
      <c r="Q757" s="7">
        <f>'1 prepared data'!P750</f>
        <v/>
      </c>
      <c r="R757" s="7">
        <f>'1 prepared data'!Q750</f>
        <v/>
      </c>
      <c r="S757" s="7">
        <f>'1 prepared data'!R750</f>
        <v/>
      </c>
      <c r="T757" s="7">
        <f>'1 prepared data'!S750</f>
        <v/>
      </c>
      <c r="U757" s="7">
        <f>'1 prepared data'!T750</f>
        <v/>
      </c>
      <c r="V757" s="8">
        <f>$AC$12+D757*$AC$13+E757*$AC$14+F757*$AC$15+G757*$AC$16+H757*$AC$17+I757*$AC$18+J757*$AC$19+K757*$AC$20+L757*$AC$21+M757*$AC$22+N757*$AC$23+O757*$AC$24+P757*$AC$25+Q757*$AC$26+R757*$AC$27+S757*$AC$28+T757*$AC$29+U757*$AC$30</f>
        <v/>
      </c>
      <c r="W757" s="8">
        <f>1/(1+EXP(-V757))</f>
        <v/>
      </c>
      <c r="X757" s="9">
        <f>-IF(C757=1,LN(W757),LN(1-W757))</f>
        <v/>
      </c>
      <c r="Y757" s="10">
        <f>IF(W757&gt;$AC$34,1,0)</f>
        <v/>
      </c>
      <c r="Z757">
        <f>IF(Y757=C757,1,0)</f>
        <v/>
      </c>
    </row>
    <row r="758">
      <c r="A758">
        <f>'1 prepared data'!A751</f>
        <v/>
      </c>
      <c r="B758" s="5">
        <f>'1 prepared data'!U751</f>
        <v/>
      </c>
      <c r="C758">
        <f>'1 prepared data'!B751</f>
        <v/>
      </c>
      <c r="D758" s="7">
        <f>'1 prepared data'!C751</f>
        <v/>
      </c>
      <c r="E758" s="7">
        <f>'1 prepared data'!D751</f>
        <v/>
      </c>
      <c r="F758" s="7">
        <f>'1 prepared data'!E751</f>
        <v/>
      </c>
      <c r="G758" s="7">
        <f>'1 prepared data'!F751</f>
        <v/>
      </c>
      <c r="H758" s="7">
        <f>'1 prepared data'!G751</f>
        <v/>
      </c>
      <c r="I758" s="7">
        <f>'1 prepared data'!H751</f>
        <v/>
      </c>
      <c r="J758" s="7">
        <f>'1 prepared data'!I751</f>
        <v/>
      </c>
      <c r="K758" s="7">
        <f>'1 prepared data'!J751</f>
        <v/>
      </c>
      <c r="L758" s="7">
        <f>'1 prepared data'!K751</f>
        <v/>
      </c>
      <c r="M758" s="7">
        <f>'1 prepared data'!L751</f>
        <v/>
      </c>
      <c r="N758" s="7">
        <f>'1 prepared data'!M751</f>
        <v/>
      </c>
      <c r="O758" s="7">
        <f>'1 prepared data'!N751</f>
        <v/>
      </c>
      <c r="P758" s="7">
        <f>'1 prepared data'!O751</f>
        <v/>
      </c>
      <c r="Q758" s="7">
        <f>'1 prepared data'!P751</f>
        <v/>
      </c>
      <c r="R758" s="7">
        <f>'1 prepared data'!Q751</f>
        <v/>
      </c>
      <c r="S758" s="7">
        <f>'1 prepared data'!R751</f>
        <v/>
      </c>
      <c r="T758" s="7">
        <f>'1 prepared data'!S751</f>
        <v/>
      </c>
      <c r="U758" s="7">
        <f>'1 prepared data'!T751</f>
        <v/>
      </c>
      <c r="V758" s="8">
        <f>$AC$12+D758*$AC$13+E758*$AC$14+F758*$AC$15+G758*$AC$16+H758*$AC$17+I758*$AC$18+J758*$AC$19+K758*$AC$20+L758*$AC$21+M758*$AC$22+N758*$AC$23+O758*$AC$24+P758*$AC$25+Q758*$AC$26+R758*$AC$27+S758*$AC$28+T758*$AC$29+U758*$AC$30</f>
        <v/>
      </c>
      <c r="W758" s="8">
        <f>1/(1+EXP(-V758))</f>
        <v/>
      </c>
      <c r="X758" s="9">
        <f>-IF(C758=1,LN(W758),LN(1-W758))</f>
        <v/>
      </c>
      <c r="Y758" s="10">
        <f>IF(W758&gt;$AC$34,1,0)</f>
        <v/>
      </c>
      <c r="Z758">
        <f>IF(Y758=C758,1,0)</f>
        <v/>
      </c>
    </row>
    <row r="759">
      <c r="A759">
        <f>'1 prepared data'!A752</f>
        <v/>
      </c>
      <c r="B759" s="5">
        <f>'1 prepared data'!U752</f>
        <v/>
      </c>
      <c r="C759">
        <f>'1 prepared data'!B752</f>
        <v/>
      </c>
      <c r="D759" s="7">
        <f>'1 prepared data'!C752</f>
        <v/>
      </c>
      <c r="E759" s="7">
        <f>'1 prepared data'!D752</f>
        <v/>
      </c>
      <c r="F759" s="7">
        <f>'1 prepared data'!E752</f>
        <v/>
      </c>
      <c r="G759" s="7">
        <f>'1 prepared data'!F752</f>
        <v/>
      </c>
      <c r="H759" s="7">
        <f>'1 prepared data'!G752</f>
        <v/>
      </c>
      <c r="I759" s="7">
        <f>'1 prepared data'!H752</f>
        <v/>
      </c>
      <c r="J759" s="7">
        <f>'1 prepared data'!I752</f>
        <v/>
      </c>
      <c r="K759" s="7">
        <f>'1 prepared data'!J752</f>
        <v/>
      </c>
      <c r="L759" s="7">
        <f>'1 prepared data'!K752</f>
        <v/>
      </c>
      <c r="M759" s="7">
        <f>'1 prepared data'!L752</f>
        <v/>
      </c>
      <c r="N759" s="7">
        <f>'1 prepared data'!M752</f>
        <v/>
      </c>
      <c r="O759" s="7">
        <f>'1 prepared data'!N752</f>
        <v/>
      </c>
      <c r="P759" s="7">
        <f>'1 prepared data'!O752</f>
        <v/>
      </c>
      <c r="Q759" s="7">
        <f>'1 prepared data'!P752</f>
        <v/>
      </c>
      <c r="R759" s="7">
        <f>'1 prepared data'!Q752</f>
        <v/>
      </c>
      <c r="S759" s="7">
        <f>'1 prepared data'!R752</f>
        <v/>
      </c>
      <c r="T759" s="7">
        <f>'1 prepared data'!S752</f>
        <v/>
      </c>
      <c r="U759" s="7">
        <f>'1 prepared data'!T752</f>
        <v/>
      </c>
      <c r="V759" s="8">
        <f>$AC$12+D759*$AC$13+E759*$AC$14+F759*$AC$15+G759*$AC$16+H759*$AC$17+I759*$AC$18+J759*$AC$19+K759*$AC$20+L759*$AC$21+M759*$AC$22+N759*$AC$23+O759*$AC$24+P759*$AC$25+Q759*$AC$26+R759*$AC$27+S759*$AC$28+T759*$AC$29+U759*$AC$30</f>
        <v/>
      </c>
      <c r="W759" s="8">
        <f>1/(1+EXP(-V759))</f>
        <v/>
      </c>
      <c r="X759" s="9">
        <f>-IF(C759=1,LN(W759),LN(1-W759))</f>
        <v/>
      </c>
      <c r="Y759" s="10">
        <f>IF(W759&gt;$AC$34,1,0)</f>
        <v/>
      </c>
      <c r="Z759">
        <f>IF(Y759=C759,1,0)</f>
        <v/>
      </c>
    </row>
    <row r="760">
      <c r="A760">
        <f>'1 prepared data'!A753</f>
        <v/>
      </c>
      <c r="B760" s="5">
        <f>'1 prepared data'!U753</f>
        <v/>
      </c>
      <c r="C760">
        <f>'1 prepared data'!B753</f>
        <v/>
      </c>
      <c r="D760" s="7">
        <f>'1 prepared data'!C753</f>
        <v/>
      </c>
      <c r="E760" s="7">
        <f>'1 prepared data'!D753</f>
        <v/>
      </c>
      <c r="F760" s="7">
        <f>'1 prepared data'!E753</f>
        <v/>
      </c>
      <c r="G760" s="7">
        <f>'1 prepared data'!F753</f>
        <v/>
      </c>
      <c r="H760" s="7">
        <f>'1 prepared data'!G753</f>
        <v/>
      </c>
      <c r="I760" s="7">
        <f>'1 prepared data'!H753</f>
        <v/>
      </c>
      <c r="J760" s="7">
        <f>'1 prepared data'!I753</f>
        <v/>
      </c>
      <c r="K760" s="7">
        <f>'1 prepared data'!J753</f>
        <v/>
      </c>
      <c r="L760" s="7">
        <f>'1 prepared data'!K753</f>
        <v/>
      </c>
      <c r="M760" s="7">
        <f>'1 prepared data'!L753</f>
        <v/>
      </c>
      <c r="N760" s="7">
        <f>'1 prepared data'!M753</f>
        <v/>
      </c>
      <c r="O760" s="7">
        <f>'1 prepared data'!N753</f>
        <v/>
      </c>
      <c r="P760" s="7">
        <f>'1 prepared data'!O753</f>
        <v/>
      </c>
      <c r="Q760" s="7">
        <f>'1 prepared data'!P753</f>
        <v/>
      </c>
      <c r="R760" s="7">
        <f>'1 prepared data'!Q753</f>
        <v/>
      </c>
      <c r="S760" s="7">
        <f>'1 prepared data'!R753</f>
        <v/>
      </c>
      <c r="T760" s="7">
        <f>'1 prepared data'!S753</f>
        <v/>
      </c>
      <c r="U760" s="7">
        <f>'1 prepared data'!T753</f>
        <v/>
      </c>
      <c r="V760" s="8">
        <f>$AC$12+D760*$AC$13+E760*$AC$14+F760*$AC$15+G760*$AC$16+H760*$AC$17+I760*$AC$18+J760*$AC$19+K760*$AC$20+L760*$AC$21+M760*$AC$22+N760*$AC$23+O760*$AC$24+P760*$AC$25+Q760*$AC$26+R760*$AC$27+S760*$AC$28+T760*$AC$29+U760*$AC$30</f>
        <v/>
      </c>
      <c r="W760" s="8">
        <f>1/(1+EXP(-V760))</f>
        <v/>
      </c>
      <c r="X760" s="9">
        <f>-IF(C760=1,LN(W760),LN(1-W760))</f>
        <v/>
      </c>
      <c r="Y760" s="10">
        <f>IF(W760&gt;$AC$34,1,0)</f>
        <v/>
      </c>
      <c r="Z760">
        <f>IF(Y760=C760,1,0)</f>
        <v/>
      </c>
    </row>
    <row r="761">
      <c r="A761">
        <f>'1 prepared data'!A754</f>
        <v/>
      </c>
      <c r="B761" s="5">
        <f>'1 prepared data'!U754</f>
        <v/>
      </c>
      <c r="C761">
        <f>'1 prepared data'!B754</f>
        <v/>
      </c>
      <c r="D761" s="7">
        <f>'1 prepared data'!C754</f>
        <v/>
      </c>
      <c r="E761" s="7">
        <f>'1 prepared data'!D754</f>
        <v/>
      </c>
      <c r="F761" s="7">
        <f>'1 prepared data'!E754</f>
        <v/>
      </c>
      <c r="G761" s="7">
        <f>'1 prepared data'!F754</f>
        <v/>
      </c>
      <c r="H761" s="7">
        <f>'1 prepared data'!G754</f>
        <v/>
      </c>
      <c r="I761" s="7">
        <f>'1 prepared data'!H754</f>
        <v/>
      </c>
      <c r="J761" s="7">
        <f>'1 prepared data'!I754</f>
        <v/>
      </c>
      <c r="K761" s="7">
        <f>'1 prepared data'!J754</f>
        <v/>
      </c>
      <c r="L761" s="7">
        <f>'1 prepared data'!K754</f>
        <v/>
      </c>
      <c r="M761" s="7">
        <f>'1 prepared data'!L754</f>
        <v/>
      </c>
      <c r="N761" s="7">
        <f>'1 prepared data'!M754</f>
        <v/>
      </c>
      <c r="O761" s="7">
        <f>'1 prepared data'!N754</f>
        <v/>
      </c>
      <c r="P761" s="7">
        <f>'1 prepared data'!O754</f>
        <v/>
      </c>
      <c r="Q761" s="7">
        <f>'1 prepared data'!P754</f>
        <v/>
      </c>
      <c r="R761" s="7">
        <f>'1 prepared data'!Q754</f>
        <v/>
      </c>
      <c r="S761" s="7">
        <f>'1 prepared data'!R754</f>
        <v/>
      </c>
      <c r="T761" s="7">
        <f>'1 prepared data'!S754</f>
        <v/>
      </c>
      <c r="U761" s="7">
        <f>'1 prepared data'!T754</f>
        <v/>
      </c>
      <c r="V761" s="8">
        <f>$AC$12+D761*$AC$13+E761*$AC$14+F761*$AC$15+G761*$AC$16+H761*$AC$17+I761*$AC$18+J761*$AC$19+K761*$AC$20+L761*$AC$21+M761*$AC$22+N761*$AC$23+O761*$AC$24+P761*$AC$25+Q761*$AC$26+R761*$AC$27+S761*$AC$28+T761*$AC$29+U761*$AC$30</f>
        <v/>
      </c>
      <c r="W761" s="8">
        <f>1/(1+EXP(-V761))</f>
        <v/>
      </c>
      <c r="X761" s="9">
        <f>-IF(C761=1,LN(W761),LN(1-W761))</f>
        <v/>
      </c>
      <c r="Y761" s="10">
        <f>IF(W761&gt;$AC$34,1,0)</f>
        <v/>
      </c>
      <c r="Z761">
        <f>IF(Y761=C761,1,0)</f>
        <v/>
      </c>
    </row>
    <row r="762">
      <c r="A762">
        <f>'1 prepared data'!A755</f>
        <v/>
      </c>
      <c r="B762" s="5">
        <f>'1 prepared data'!U755</f>
        <v/>
      </c>
      <c r="C762">
        <f>'1 prepared data'!B755</f>
        <v/>
      </c>
      <c r="D762" s="7">
        <f>'1 prepared data'!C755</f>
        <v/>
      </c>
      <c r="E762" s="7">
        <f>'1 prepared data'!D755</f>
        <v/>
      </c>
      <c r="F762" s="7">
        <f>'1 prepared data'!E755</f>
        <v/>
      </c>
      <c r="G762" s="7">
        <f>'1 prepared data'!F755</f>
        <v/>
      </c>
      <c r="H762" s="7">
        <f>'1 prepared data'!G755</f>
        <v/>
      </c>
      <c r="I762" s="7">
        <f>'1 prepared data'!H755</f>
        <v/>
      </c>
      <c r="J762" s="7">
        <f>'1 prepared data'!I755</f>
        <v/>
      </c>
      <c r="K762" s="7">
        <f>'1 prepared data'!J755</f>
        <v/>
      </c>
      <c r="L762" s="7">
        <f>'1 prepared data'!K755</f>
        <v/>
      </c>
      <c r="M762" s="7">
        <f>'1 prepared data'!L755</f>
        <v/>
      </c>
      <c r="N762" s="7">
        <f>'1 prepared data'!M755</f>
        <v/>
      </c>
      <c r="O762" s="7">
        <f>'1 prepared data'!N755</f>
        <v/>
      </c>
      <c r="P762" s="7">
        <f>'1 prepared data'!O755</f>
        <v/>
      </c>
      <c r="Q762" s="7">
        <f>'1 prepared data'!P755</f>
        <v/>
      </c>
      <c r="R762" s="7">
        <f>'1 prepared data'!Q755</f>
        <v/>
      </c>
      <c r="S762" s="7">
        <f>'1 prepared data'!R755</f>
        <v/>
      </c>
      <c r="T762" s="7">
        <f>'1 prepared data'!S755</f>
        <v/>
      </c>
      <c r="U762" s="7">
        <f>'1 prepared data'!T755</f>
        <v/>
      </c>
      <c r="V762" s="8">
        <f>$AC$12+D762*$AC$13+E762*$AC$14+F762*$AC$15+G762*$AC$16+H762*$AC$17+I762*$AC$18+J762*$AC$19+K762*$AC$20+L762*$AC$21+M762*$AC$22+N762*$AC$23+O762*$AC$24+P762*$AC$25+Q762*$AC$26+R762*$AC$27+S762*$AC$28+T762*$AC$29+U762*$AC$30</f>
        <v/>
      </c>
      <c r="W762" s="8">
        <f>1/(1+EXP(-V762))</f>
        <v/>
      </c>
      <c r="X762" s="9">
        <f>-IF(C762=1,LN(W762),LN(1-W762))</f>
        <v/>
      </c>
      <c r="Y762" s="10">
        <f>IF(W762&gt;$AC$34,1,0)</f>
        <v/>
      </c>
      <c r="Z762">
        <f>IF(Y762=C762,1,0)</f>
        <v/>
      </c>
    </row>
    <row r="763">
      <c r="A763">
        <f>'1 prepared data'!A756</f>
        <v/>
      </c>
      <c r="B763" s="5">
        <f>'1 prepared data'!U756</f>
        <v/>
      </c>
      <c r="C763">
        <f>'1 prepared data'!B756</f>
        <v/>
      </c>
      <c r="D763" s="7">
        <f>'1 prepared data'!C756</f>
        <v/>
      </c>
      <c r="E763" s="7">
        <f>'1 prepared data'!D756</f>
        <v/>
      </c>
      <c r="F763" s="7">
        <f>'1 prepared data'!E756</f>
        <v/>
      </c>
      <c r="G763" s="7">
        <f>'1 prepared data'!F756</f>
        <v/>
      </c>
      <c r="H763" s="7">
        <f>'1 prepared data'!G756</f>
        <v/>
      </c>
      <c r="I763" s="7">
        <f>'1 prepared data'!H756</f>
        <v/>
      </c>
      <c r="J763" s="7">
        <f>'1 prepared data'!I756</f>
        <v/>
      </c>
      <c r="K763" s="7">
        <f>'1 prepared data'!J756</f>
        <v/>
      </c>
      <c r="L763" s="7">
        <f>'1 prepared data'!K756</f>
        <v/>
      </c>
      <c r="M763" s="7">
        <f>'1 prepared data'!L756</f>
        <v/>
      </c>
      <c r="N763" s="7">
        <f>'1 prepared data'!M756</f>
        <v/>
      </c>
      <c r="O763" s="7">
        <f>'1 prepared data'!N756</f>
        <v/>
      </c>
      <c r="P763" s="7">
        <f>'1 prepared data'!O756</f>
        <v/>
      </c>
      <c r="Q763" s="7">
        <f>'1 prepared data'!P756</f>
        <v/>
      </c>
      <c r="R763" s="7">
        <f>'1 prepared data'!Q756</f>
        <v/>
      </c>
      <c r="S763" s="7">
        <f>'1 prepared data'!R756</f>
        <v/>
      </c>
      <c r="T763" s="7">
        <f>'1 prepared data'!S756</f>
        <v/>
      </c>
      <c r="U763" s="7">
        <f>'1 prepared data'!T756</f>
        <v/>
      </c>
      <c r="V763" s="8">
        <f>$AC$12+D763*$AC$13+E763*$AC$14+F763*$AC$15+G763*$AC$16+H763*$AC$17+I763*$AC$18+J763*$AC$19+K763*$AC$20+L763*$AC$21+M763*$AC$22+N763*$AC$23+O763*$AC$24+P763*$AC$25+Q763*$AC$26+R763*$AC$27+S763*$AC$28+T763*$AC$29+U763*$AC$30</f>
        <v/>
      </c>
      <c r="W763" s="8">
        <f>1/(1+EXP(-V763))</f>
        <v/>
      </c>
      <c r="X763" s="9">
        <f>-IF(C763=1,LN(W763),LN(1-W763))</f>
        <v/>
      </c>
      <c r="Y763" s="10">
        <f>IF(W763&gt;$AC$34,1,0)</f>
        <v/>
      </c>
      <c r="Z763">
        <f>IF(Y763=C763,1,0)</f>
        <v/>
      </c>
    </row>
    <row r="764">
      <c r="A764">
        <f>'1 prepared data'!A757</f>
        <v/>
      </c>
      <c r="B764" s="5">
        <f>'1 prepared data'!U757</f>
        <v/>
      </c>
      <c r="C764">
        <f>'1 prepared data'!B757</f>
        <v/>
      </c>
      <c r="D764" s="7">
        <f>'1 prepared data'!C757</f>
        <v/>
      </c>
      <c r="E764" s="7">
        <f>'1 prepared data'!D757</f>
        <v/>
      </c>
      <c r="F764" s="7">
        <f>'1 prepared data'!E757</f>
        <v/>
      </c>
      <c r="G764" s="7">
        <f>'1 prepared data'!F757</f>
        <v/>
      </c>
      <c r="H764" s="7">
        <f>'1 prepared data'!G757</f>
        <v/>
      </c>
      <c r="I764" s="7">
        <f>'1 prepared data'!H757</f>
        <v/>
      </c>
      <c r="J764" s="7">
        <f>'1 prepared data'!I757</f>
        <v/>
      </c>
      <c r="K764" s="7">
        <f>'1 prepared data'!J757</f>
        <v/>
      </c>
      <c r="L764" s="7">
        <f>'1 prepared data'!K757</f>
        <v/>
      </c>
      <c r="M764" s="7">
        <f>'1 prepared data'!L757</f>
        <v/>
      </c>
      <c r="N764" s="7">
        <f>'1 prepared data'!M757</f>
        <v/>
      </c>
      <c r="O764" s="7">
        <f>'1 prepared data'!N757</f>
        <v/>
      </c>
      <c r="P764" s="7">
        <f>'1 prepared data'!O757</f>
        <v/>
      </c>
      <c r="Q764" s="7">
        <f>'1 prepared data'!P757</f>
        <v/>
      </c>
      <c r="R764" s="7">
        <f>'1 prepared data'!Q757</f>
        <v/>
      </c>
      <c r="S764" s="7">
        <f>'1 prepared data'!R757</f>
        <v/>
      </c>
      <c r="T764" s="7">
        <f>'1 prepared data'!S757</f>
        <v/>
      </c>
      <c r="U764" s="7">
        <f>'1 prepared data'!T757</f>
        <v/>
      </c>
      <c r="V764" s="8">
        <f>$AC$12+D764*$AC$13+E764*$AC$14+F764*$AC$15+G764*$AC$16+H764*$AC$17+I764*$AC$18+J764*$AC$19+K764*$AC$20+L764*$AC$21+M764*$AC$22+N764*$AC$23+O764*$AC$24+P764*$AC$25+Q764*$AC$26+R764*$AC$27+S764*$AC$28+T764*$AC$29+U764*$AC$30</f>
        <v/>
      </c>
      <c r="W764" s="8">
        <f>1/(1+EXP(-V764))</f>
        <v/>
      </c>
      <c r="X764" s="9">
        <f>-IF(C764=1,LN(W764),LN(1-W764))</f>
        <v/>
      </c>
      <c r="Y764" s="10">
        <f>IF(W764&gt;$AC$34,1,0)</f>
        <v/>
      </c>
      <c r="Z764">
        <f>IF(Y764=C764,1,0)</f>
        <v/>
      </c>
    </row>
    <row r="765">
      <c r="A765">
        <f>'1 prepared data'!A758</f>
        <v/>
      </c>
      <c r="B765" s="5">
        <f>'1 prepared data'!U758</f>
        <v/>
      </c>
      <c r="C765">
        <f>'1 prepared data'!B758</f>
        <v/>
      </c>
      <c r="D765" s="7">
        <f>'1 prepared data'!C758</f>
        <v/>
      </c>
      <c r="E765" s="7">
        <f>'1 prepared data'!D758</f>
        <v/>
      </c>
      <c r="F765" s="7">
        <f>'1 prepared data'!E758</f>
        <v/>
      </c>
      <c r="G765" s="7">
        <f>'1 prepared data'!F758</f>
        <v/>
      </c>
      <c r="H765" s="7">
        <f>'1 prepared data'!G758</f>
        <v/>
      </c>
      <c r="I765" s="7">
        <f>'1 prepared data'!H758</f>
        <v/>
      </c>
      <c r="J765" s="7">
        <f>'1 prepared data'!I758</f>
        <v/>
      </c>
      <c r="K765" s="7">
        <f>'1 prepared data'!J758</f>
        <v/>
      </c>
      <c r="L765" s="7">
        <f>'1 prepared data'!K758</f>
        <v/>
      </c>
      <c r="M765" s="7">
        <f>'1 prepared data'!L758</f>
        <v/>
      </c>
      <c r="N765" s="7">
        <f>'1 prepared data'!M758</f>
        <v/>
      </c>
      <c r="O765" s="7">
        <f>'1 prepared data'!N758</f>
        <v/>
      </c>
      <c r="P765" s="7">
        <f>'1 prepared data'!O758</f>
        <v/>
      </c>
      <c r="Q765" s="7">
        <f>'1 prepared data'!P758</f>
        <v/>
      </c>
      <c r="R765" s="7">
        <f>'1 prepared data'!Q758</f>
        <v/>
      </c>
      <c r="S765" s="7">
        <f>'1 prepared data'!R758</f>
        <v/>
      </c>
      <c r="T765" s="7">
        <f>'1 prepared data'!S758</f>
        <v/>
      </c>
      <c r="U765" s="7">
        <f>'1 prepared data'!T758</f>
        <v/>
      </c>
      <c r="V765" s="8">
        <f>$AC$12+D765*$AC$13+E765*$AC$14+F765*$AC$15+G765*$AC$16+H765*$AC$17+I765*$AC$18+J765*$AC$19+K765*$AC$20+L765*$AC$21+M765*$AC$22+N765*$AC$23+O765*$AC$24+P765*$AC$25+Q765*$AC$26+R765*$AC$27+S765*$AC$28+T765*$AC$29+U765*$AC$30</f>
        <v/>
      </c>
      <c r="W765" s="8">
        <f>1/(1+EXP(-V765))</f>
        <v/>
      </c>
      <c r="X765" s="9">
        <f>-IF(C765=1,LN(W765),LN(1-W765))</f>
        <v/>
      </c>
      <c r="Y765" s="10">
        <f>IF(W765&gt;$AC$34,1,0)</f>
        <v/>
      </c>
      <c r="Z765">
        <f>IF(Y765=C765,1,0)</f>
        <v/>
      </c>
    </row>
    <row r="766">
      <c r="A766">
        <f>'1 prepared data'!A759</f>
        <v/>
      </c>
      <c r="B766" s="5">
        <f>'1 prepared data'!U759</f>
        <v/>
      </c>
      <c r="C766">
        <f>'1 prepared data'!B759</f>
        <v/>
      </c>
      <c r="D766" s="7">
        <f>'1 prepared data'!C759</f>
        <v/>
      </c>
      <c r="E766" s="7">
        <f>'1 prepared data'!D759</f>
        <v/>
      </c>
      <c r="F766" s="7">
        <f>'1 prepared data'!E759</f>
        <v/>
      </c>
      <c r="G766" s="7">
        <f>'1 prepared data'!F759</f>
        <v/>
      </c>
      <c r="H766" s="7">
        <f>'1 prepared data'!G759</f>
        <v/>
      </c>
      <c r="I766" s="7">
        <f>'1 prepared data'!H759</f>
        <v/>
      </c>
      <c r="J766" s="7">
        <f>'1 prepared data'!I759</f>
        <v/>
      </c>
      <c r="K766" s="7">
        <f>'1 prepared data'!J759</f>
        <v/>
      </c>
      <c r="L766" s="7">
        <f>'1 prepared data'!K759</f>
        <v/>
      </c>
      <c r="M766" s="7">
        <f>'1 prepared data'!L759</f>
        <v/>
      </c>
      <c r="N766" s="7">
        <f>'1 prepared data'!M759</f>
        <v/>
      </c>
      <c r="O766" s="7">
        <f>'1 prepared data'!N759</f>
        <v/>
      </c>
      <c r="P766" s="7">
        <f>'1 prepared data'!O759</f>
        <v/>
      </c>
      <c r="Q766" s="7">
        <f>'1 prepared data'!P759</f>
        <v/>
      </c>
      <c r="R766" s="7">
        <f>'1 prepared data'!Q759</f>
        <v/>
      </c>
      <c r="S766" s="7">
        <f>'1 prepared data'!R759</f>
        <v/>
      </c>
      <c r="T766" s="7">
        <f>'1 prepared data'!S759</f>
        <v/>
      </c>
      <c r="U766" s="7">
        <f>'1 prepared data'!T759</f>
        <v/>
      </c>
      <c r="V766" s="8">
        <f>$AC$12+D766*$AC$13+E766*$AC$14+F766*$AC$15+G766*$AC$16+H766*$AC$17+I766*$AC$18+J766*$AC$19+K766*$AC$20+L766*$AC$21+M766*$AC$22+N766*$AC$23+O766*$AC$24+P766*$AC$25+Q766*$AC$26+R766*$AC$27+S766*$AC$28+T766*$AC$29+U766*$AC$30</f>
        <v/>
      </c>
      <c r="W766" s="8">
        <f>1/(1+EXP(-V766))</f>
        <v/>
      </c>
      <c r="X766" s="9">
        <f>-IF(C766=1,LN(W766),LN(1-W766))</f>
        <v/>
      </c>
      <c r="Y766" s="10">
        <f>IF(W766&gt;$AC$34,1,0)</f>
        <v/>
      </c>
      <c r="Z766">
        <f>IF(Y766=C766,1,0)</f>
        <v/>
      </c>
    </row>
    <row r="767">
      <c r="A767">
        <f>'1 prepared data'!A760</f>
        <v/>
      </c>
      <c r="B767" s="5">
        <f>'1 prepared data'!U760</f>
        <v/>
      </c>
      <c r="C767">
        <f>'1 prepared data'!B760</f>
        <v/>
      </c>
      <c r="D767" s="7">
        <f>'1 prepared data'!C760</f>
        <v/>
      </c>
      <c r="E767" s="7">
        <f>'1 prepared data'!D760</f>
        <v/>
      </c>
      <c r="F767" s="7">
        <f>'1 prepared data'!E760</f>
        <v/>
      </c>
      <c r="G767" s="7">
        <f>'1 prepared data'!F760</f>
        <v/>
      </c>
      <c r="H767" s="7">
        <f>'1 prepared data'!G760</f>
        <v/>
      </c>
      <c r="I767" s="7">
        <f>'1 prepared data'!H760</f>
        <v/>
      </c>
      <c r="J767" s="7">
        <f>'1 prepared data'!I760</f>
        <v/>
      </c>
      <c r="K767" s="7">
        <f>'1 prepared data'!J760</f>
        <v/>
      </c>
      <c r="L767" s="7">
        <f>'1 prepared data'!K760</f>
        <v/>
      </c>
      <c r="M767" s="7">
        <f>'1 prepared data'!L760</f>
        <v/>
      </c>
      <c r="N767" s="7">
        <f>'1 prepared data'!M760</f>
        <v/>
      </c>
      <c r="O767" s="7">
        <f>'1 prepared data'!N760</f>
        <v/>
      </c>
      <c r="P767" s="7">
        <f>'1 prepared data'!O760</f>
        <v/>
      </c>
      <c r="Q767" s="7">
        <f>'1 prepared data'!P760</f>
        <v/>
      </c>
      <c r="R767" s="7">
        <f>'1 prepared data'!Q760</f>
        <v/>
      </c>
      <c r="S767" s="7">
        <f>'1 prepared data'!R760</f>
        <v/>
      </c>
      <c r="T767" s="7">
        <f>'1 prepared data'!S760</f>
        <v/>
      </c>
      <c r="U767" s="7">
        <f>'1 prepared data'!T760</f>
        <v/>
      </c>
      <c r="V767" s="8">
        <f>$AC$12+D767*$AC$13+E767*$AC$14+F767*$AC$15+G767*$AC$16+H767*$AC$17+I767*$AC$18+J767*$AC$19+K767*$AC$20+L767*$AC$21+M767*$AC$22+N767*$AC$23+O767*$AC$24+P767*$AC$25+Q767*$AC$26+R767*$AC$27+S767*$AC$28+T767*$AC$29+U767*$AC$30</f>
        <v/>
      </c>
      <c r="W767" s="8">
        <f>1/(1+EXP(-V767))</f>
        <v/>
      </c>
      <c r="X767" s="9">
        <f>-IF(C767=1,LN(W767),LN(1-W767))</f>
        <v/>
      </c>
      <c r="Y767" s="10">
        <f>IF(W767&gt;$AC$34,1,0)</f>
        <v/>
      </c>
      <c r="Z767">
        <f>IF(Y767=C767,1,0)</f>
        <v/>
      </c>
    </row>
    <row r="768">
      <c r="A768">
        <f>'1 prepared data'!A761</f>
        <v/>
      </c>
      <c r="B768" s="5">
        <f>'1 prepared data'!U761</f>
        <v/>
      </c>
      <c r="C768">
        <f>'1 prepared data'!B761</f>
        <v/>
      </c>
      <c r="D768" s="7">
        <f>'1 prepared data'!C761</f>
        <v/>
      </c>
      <c r="E768" s="7">
        <f>'1 prepared data'!D761</f>
        <v/>
      </c>
      <c r="F768" s="7">
        <f>'1 prepared data'!E761</f>
        <v/>
      </c>
      <c r="G768" s="7">
        <f>'1 prepared data'!F761</f>
        <v/>
      </c>
      <c r="H768" s="7">
        <f>'1 prepared data'!G761</f>
        <v/>
      </c>
      <c r="I768" s="7">
        <f>'1 prepared data'!H761</f>
        <v/>
      </c>
      <c r="J768" s="7">
        <f>'1 prepared data'!I761</f>
        <v/>
      </c>
      <c r="K768" s="7">
        <f>'1 prepared data'!J761</f>
        <v/>
      </c>
      <c r="L768" s="7">
        <f>'1 prepared data'!K761</f>
        <v/>
      </c>
      <c r="M768" s="7">
        <f>'1 prepared data'!L761</f>
        <v/>
      </c>
      <c r="N768" s="7">
        <f>'1 prepared data'!M761</f>
        <v/>
      </c>
      <c r="O768" s="7">
        <f>'1 prepared data'!N761</f>
        <v/>
      </c>
      <c r="P768" s="7">
        <f>'1 prepared data'!O761</f>
        <v/>
      </c>
      <c r="Q768" s="7">
        <f>'1 prepared data'!P761</f>
        <v/>
      </c>
      <c r="R768" s="7">
        <f>'1 prepared data'!Q761</f>
        <v/>
      </c>
      <c r="S768" s="7">
        <f>'1 prepared data'!R761</f>
        <v/>
      </c>
      <c r="T768" s="7">
        <f>'1 prepared data'!S761</f>
        <v/>
      </c>
      <c r="U768" s="7">
        <f>'1 prepared data'!T761</f>
        <v/>
      </c>
      <c r="V768" s="8">
        <f>$AC$12+D768*$AC$13+E768*$AC$14+F768*$AC$15+G768*$AC$16+H768*$AC$17+I768*$AC$18+J768*$AC$19+K768*$AC$20+L768*$AC$21+M768*$AC$22+N768*$AC$23+O768*$AC$24+P768*$AC$25+Q768*$AC$26+R768*$AC$27+S768*$AC$28+T768*$AC$29+U768*$AC$30</f>
        <v/>
      </c>
      <c r="W768" s="8">
        <f>1/(1+EXP(-V768))</f>
        <v/>
      </c>
      <c r="X768" s="9">
        <f>-IF(C768=1,LN(W768),LN(1-W768))</f>
        <v/>
      </c>
      <c r="Y768" s="10">
        <f>IF(W768&gt;$AC$34,1,0)</f>
        <v/>
      </c>
      <c r="Z768">
        <f>IF(Y768=C768,1,0)</f>
        <v/>
      </c>
    </row>
    <row r="769">
      <c r="A769">
        <f>'1 prepared data'!A762</f>
        <v/>
      </c>
      <c r="B769" s="5">
        <f>'1 prepared data'!U762</f>
        <v/>
      </c>
      <c r="C769">
        <f>'1 prepared data'!B762</f>
        <v/>
      </c>
      <c r="D769" s="7">
        <f>'1 prepared data'!C762</f>
        <v/>
      </c>
      <c r="E769" s="7">
        <f>'1 prepared data'!D762</f>
        <v/>
      </c>
      <c r="F769" s="7">
        <f>'1 prepared data'!E762</f>
        <v/>
      </c>
      <c r="G769" s="7">
        <f>'1 prepared data'!F762</f>
        <v/>
      </c>
      <c r="H769" s="7">
        <f>'1 prepared data'!G762</f>
        <v/>
      </c>
      <c r="I769" s="7">
        <f>'1 prepared data'!H762</f>
        <v/>
      </c>
      <c r="J769" s="7">
        <f>'1 prepared data'!I762</f>
        <v/>
      </c>
      <c r="K769" s="7">
        <f>'1 prepared data'!J762</f>
        <v/>
      </c>
      <c r="L769" s="7">
        <f>'1 prepared data'!K762</f>
        <v/>
      </c>
      <c r="M769" s="7">
        <f>'1 prepared data'!L762</f>
        <v/>
      </c>
      <c r="N769" s="7">
        <f>'1 prepared data'!M762</f>
        <v/>
      </c>
      <c r="O769" s="7">
        <f>'1 prepared data'!N762</f>
        <v/>
      </c>
      <c r="P769" s="7">
        <f>'1 prepared data'!O762</f>
        <v/>
      </c>
      <c r="Q769" s="7">
        <f>'1 prepared data'!P762</f>
        <v/>
      </c>
      <c r="R769" s="7">
        <f>'1 prepared data'!Q762</f>
        <v/>
      </c>
      <c r="S769" s="7">
        <f>'1 prepared data'!R762</f>
        <v/>
      </c>
      <c r="T769" s="7">
        <f>'1 prepared data'!S762</f>
        <v/>
      </c>
      <c r="U769" s="7">
        <f>'1 prepared data'!T762</f>
        <v/>
      </c>
      <c r="V769" s="8">
        <f>$AC$12+D769*$AC$13+E769*$AC$14+F769*$AC$15+G769*$AC$16+H769*$AC$17+I769*$AC$18+J769*$AC$19+K769*$AC$20+L769*$AC$21+M769*$AC$22+N769*$AC$23+O769*$AC$24+P769*$AC$25+Q769*$AC$26+R769*$AC$27+S769*$AC$28+T769*$AC$29+U769*$AC$30</f>
        <v/>
      </c>
      <c r="W769" s="8">
        <f>1/(1+EXP(-V769))</f>
        <v/>
      </c>
      <c r="X769" s="9">
        <f>-IF(C769=1,LN(W769),LN(1-W769))</f>
        <v/>
      </c>
      <c r="Y769" s="10">
        <f>IF(W769&gt;$AC$34,1,0)</f>
        <v/>
      </c>
      <c r="Z769">
        <f>IF(Y769=C769,1,0)</f>
        <v/>
      </c>
    </row>
    <row r="770">
      <c r="A770">
        <f>'1 prepared data'!A763</f>
        <v/>
      </c>
      <c r="B770" s="5">
        <f>'1 prepared data'!U763</f>
        <v/>
      </c>
      <c r="C770">
        <f>'1 prepared data'!B763</f>
        <v/>
      </c>
      <c r="D770" s="7">
        <f>'1 prepared data'!C763</f>
        <v/>
      </c>
      <c r="E770" s="7">
        <f>'1 prepared data'!D763</f>
        <v/>
      </c>
      <c r="F770" s="7">
        <f>'1 prepared data'!E763</f>
        <v/>
      </c>
      <c r="G770" s="7">
        <f>'1 prepared data'!F763</f>
        <v/>
      </c>
      <c r="H770" s="7">
        <f>'1 prepared data'!G763</f>
        <v/>
      </c>
      <c r="I770" s="7">
        <f>'1 prepared data'!H763</f>
        <v/>
      </c>
      <c r="J770" s="7">
        <f>'1 prepared data'!I763</f>
        <v/>
      </c>
      <c r="K770" s="7">
        <f>'1 prepared data'!J763</f>
        <v/>
      </c>
      <c r="L770" s="7">
        <f>'1 prepared data'!K763</f>
        <v/>
      </c>
      <c r="M770" s="7">
        <f>'1 prepared data'!L763</f>
        <v/>
      </c>
      <c r="N770" s="7">
        <f>'1 prepared data'!M763</f>
        <v/>
      </c>
      <c r="O770" s="7">
        <f>'1 prepared data'!N763</f>
        <v/>
      </c>
      <c r="P770" s="7">
        <f>'1 prepared data'!O763</f>
        <v/>
      </c>
      <c r="Q770" s="7">
        <f>'1 prepared data'!P763</f>
        <v/>
      </c>
      <c r="R770" s="7">
        <f>'1 prepared data'!Q763</f>
        <v/>
      </c>
      <c r="S770" s="7">
        <f>'1 prepared data'!R763</f>
        <v/>
      </c>
      <c r="T770" s="7">
        <f>'1 prepared data'!S763</f>
        <v/>
      </c>
      <c r="U770" s="7">
        <f>'1 prepared data'!T763</f>
        <v/>
      </c>
      <c r="V770" s="8">
        <f>$AC$12+D770*$AC$13+E770*$AC$14+F770*$AC$15+G770*$AC$16+H770*$AC$17+I770*$AC$18+J770*$AC$19+K770*$AC$20+L770*$AC$21+M770*$AC$22+N770*$AC$23+O770*$AC$24+P770*$AC$25+Q770*$AC$26+R770*$AC$27+S770*$AC$28+T770*$AC$29+U770*$AC$30</f>
        <v/>
      </c>
      <c r="W770" s="8">
        <f>1/(1+EXP(-V770))</f>
        <v/>
      </c>
      <c r="X770" s="9">
        <f>-IF(C770=1,LN(W770),LN(1-W770))</f>
        <v/>
      </c>
      <c r="Y770" s="10">
        <f>IF(W770&gt;$AC$34,1,0)</f>
        <v/>
      </c>
      <c r="Z770">
        <f>IF(Y770=C770,1,0)</f>
        <v/>
      </c>
    </row>
    <row r="771">
      <c r="A771">
        <f>'1 prepared data'!A764</f>
        <v/>
      </c>
      <c r="B771" s="5">
        <f>'1 prepared data'!U764</f>
        <v/>
      </c>
      <c r="C771">
        <f>'1 prepared data'!B764</f>
        <v/>
      </c>
      <c r="D771" s="7">
        <f>'1 prepared data'!C764</f>
        <v/>
      </c>
      <c r="E771" s="7">
        <f>'1 prepared data'!D764</f>
        <v/>
      </c>
      <c r="F771" s="7">
        <f>'1 prepared data'!E764</f>
        <v/>
      </c>
      <c r="G771" s="7">
        <f>'1 prepared data'!F764</f>
        <v/>
      </c>
      <c r="H771" s="7">
        <f>'1 prepared data'!G764</f>
        <v/>
      </c>
      <c r="I771" s="7">
        <f>'1 prepared data'!H764</f>
        <v/>
      </c>
      <c r="J771" s="7">
        <f>'1 prepared data'!I764</f>
        <v/>
      </c>
      <c r="K771" s="7">
        <f>'1 prepared data'!J764</f>
        <v/>
      </c>
      <c r="L771" s="7">
        <f>'1 prepared data'!K764</f>
        <v/>
      </c>
      <c r="M771" s="7">
        <f>'1 prepared data'!L764</f>
        <v/>
      </c>
      <c r="N771" s="7">
        <f>'1 prepared data'!M764</f>
        <v/>
      </c>
      <c r="O771" s="7">
        <f>'1 prepared data'!N764</f>
        <v/>
      </c>
      <c r="P771" s="7">
        <f>'1 prepared data'!O764</f>
        <v/>
      </c>
      <c r="Q771" s="7">
        <f>'1 prepared data'!P764</f>
        <v/>
      </c>
      <c r="R771" s="7">
        <f>'1 prepared data'!Q764</f>
        <v/>
      </c>
      <c r="S771" s="7">
        <f>'1 prepared data'!R764</f>
        <v/>
      </c>
      <c r="T771" s="7">
        <f>'1 prepared data'!S764</f>
        <v/>
      </c>
      <c r="U771" s="7">
        <f>'1 prepared data'!T764</f>
        <v/>
      </c>
      <c r="V771" s="8">
        <f>$AC$12+D771*$AC$13+E771*$AC$14+F771*$AC$15+G771*$AC$16+H771*$AC$17+I771*$AC$18+J771*$AC$19+K771*$AC$20+L771*$AC$21+M771*$AC$22+N771*$AC$23+O771*$AC$24+P771*$AC$25+Q771*$AC$26+R771*$AC$27+S771*$AC$28+T771*$AC$29+U771*$AC$30</f>
        <v/>
      </c>
      <c r="W771" s="8">
        <f>1/(1+EXP(-V771))</f>
        <v/>
      </c>
      <c r="X771" s="9">
        <f>-IF(C771=1,LN(W771),LN(1-W771))</f>
        <v/>
      </c>
      <c r="Y771" s="10">
        <f>IF(W771&gt;$AC$34,1,0)</f>
        <v/>
      </c>
      <c r="Z771">
        <f>IF(Y771=C771,1,0)</f>
        <v/>
      </c>
    </row>
    <row r="772">
      <c r="A772">
        <f>'1 prepared data'!A765</f>
        <v/>
      </c>
      <c r="B772" s="5">
        <f>'1 prepared data'!U765</f>
        <v/>
      </c>
      <c r="C772">
        <f>'1 prepared data'!B765</f>
        <v/>
      </c>
      <c r="D772" s="7">
        <f>'1 prepared data'!C765</f>
        <v/>
      </c>
      <c r="E772" s="7">
        <f>'1 prepared data'!D765</f>
        <v/>
      </c>
      <c r="F772" s="7">
        <f>'1 prepared data'!E765</f>
        <v/>
      </c>
      <c r="G772" s="7">
        <f>'1 prepared data'!F765</f>
        <v/>
      </c>
      <c r="H772" s="7">
        <f>'1 prepared data'!G765</f>
        <v/>
      </c>
      <c r="I772" s="7">
        <f>'1 prepared data'!H765</f>
        <v/>
      </c>
      <c r="J772" s="7">
        <f>'1 prepared data'!I765</f>
        <v/>
      </c>
      <c r="K772" s="7">
        <f>'1 prepared data'!J765</f>
        <v/>
      </c>
      <c r="L772" s="7">
        <f>'1 prepared data'!K765</f>
        <v/>
      </c>
      <c r="M772" s="7">
        <f>'1 prepared data'!L765</f>
        <v/>
      </c>
      <c r="N772" s="7">
        <f>'1 prepared data'!M765</f>
        <v/>
      </c>
      <c r="O772" s="7">
        <f>'1 prepared data'!N765</f>
        <v/>
      </c>
      <c r="P772" s="7">
        <f>'1 prepared data'!O765</f>
        <v/>
      </c>
      <c r="Q772" s="7">
        <f>'1 prepared data'!P765</f>
        <v/>
      </c>
      <c r="R772" s="7">
        <f>'1 prepared data'!Q765</f>
        <v/>
      </c>
      <c r="S772" s="7">
        <f>'1 prepared data'!R765</f>
        <v/>
      </c>
      <c r="T772" s="7">
        <f>'1 prepared data'!S765</f>
        <v/>
      </c>
      <c r="U772" s="7">
        <f>'1 prepared data'!T765</f>
        <v/>
      </c>
      <c r="V772" s="8">
        <f>$AC$12+D772*$AC$13+E772*$AC$14+F772*$AC$15+G772*$AC$16+H772*$AC$17+I772*$AC$18+J772*$AC$19+K772*$AC$20+L772*$AC$21+M772*$AC$22+N772*$AC$23+O772*$AC$24+P772*$AC$25+Q772*$AC$26+R772*$AC$27+S772*$AC$28+T772*$AC$29+U772*$AC$30</f>
        <v/>
      </c>
      <c r="W772" s="8">
        <f>1/(1+EXP(-V772))</f>
        <v/>
      </c>
      <c r="X772" s="9">
        <f>-IF(C772=1,LN(W772),LN(1-W772))</f>
        <v/>
      </c>
      <c r="Y772" s="10">
        <f>IF(W772&gt;$AC$34,1,0)</f>
        <v/>
      </c>
      <c r="Z772">
        <f>IF(Y772=C772,1,0)</f>
        <v/>
      </c>
    </row>
    <row r="773">
      <c r="A773">
        <f>'1 prepared data'!A766</f>
        <v/>
      </c>
      <c r="B773" s="5">
        <f>'1 prepared data'!U766</f>
        <v/>
      </c>
      <c r="C773">
        <f>'1 prepared data'!B766</f>
        <v/>
      </c>
      <c r="D773" s="7">
        <f>'1 prepared data'!C766</f>
        <v/>
      </c>
      <c r="E773" s="7">
        <f>'1 prepared data'!D766</f>
        <v/>
      </c>
      <c r="F773" s="7">
        <f>'1 prepared data'!E766</f>
        <v/>
      </c>
      <c r="G773" s="7">
        <f>'1 prepared data'!F766</f>
        <v/>
      </c>
      <c r="H773" s="7">
        <f>'1 prepared data'!G766</f>
        <v/>
      </c>
      <c r="I773" s="7">
        <f>'1 prepared data'!H766</f>
        <v/>
      </c>
      <c r="J773" s="7">
        <f>'1 prepared data'!I766</f>
        <v/>
      </c>
      <c r="K773" s="7">
        <f>'1 prepared data'!J766</f>
        <v/>
      </c>
      <c r="L773" s="7">
        <f>'1 prepared data'!K766</f>
        <v/>
      </c>
      <c r="M773" s="7">
        <f>'1 prepared data'!L766</f>
        <v/>
      </c>
      <c r="N773" s="7">
        <f>'1 prepared data'!M766</f>
        <v/>
      </c>
      <c r="O773" s="7">
        <f>'1 prepared data'!N766</f>
        <v/>
      </c>
      <c r="P773" s="7">
        <f>'1 prepared data'!O766</f>
        <v/>
      </c>
      <c r="Q773" s="7">
        <f>'1 prepared data'!P766</f>
        <v/>
      </c>
      <c r="R773" s="7">
        <f>'1 prepared data'!Q766</f>
        <v/>
      </c>
      <c r="S773" s="7">
        <f>'1 prepared data'!R766</f>
        <v/>
      </c>
      <c r="T773" s="7">
        <f>'1 prepared data'!S766</f>
        <v/>
      </c>
      <c r="U773" s="7">
        <f>'1 prepared data'!T766</f>
        <v/>
      </c>
      <c r="V773" s="8">
        <f>$AC$12+D773*$AC$13+E773*$AC$14+F773*$AC$15+G773*$AC$16+H773*$AC$17+I773*$AC$18+J773*$AC$19+K773*$AC$20+L773*$AC$21+M773*$AC$22+N773*$AC$23+O773*$AC$24+P773*$AC$25+Q773*$AC$26+R773*$AC$27+S773*$AC$28+T773*$AC$29+U773*$AC$30</f>
        <v/>
      </c>
      <c r="W773" s="8">
        <f>1/(1+EXP(-V773))</f>
        <v/>
      </c>
      <c r="X773" s="9">
        <f>-IF(C773=1,LN(W773),LN(1-W773))</f>
        <v/>
      </c>
      <c r="Y773" s="10">
        <f>IF(W773&gt;$AC$34,1,0)</f>
        <v/>
      </c>
      <c r="Z773">
        <f>IF(Y773=C773,1,0)</f>
        <v/>
      </c>
    </row>
    <row r="774">
      <c r="A774">
        <f>'1 prepared data'!A767</f>
        <v/>
      </c>
      <c r="B774" s="5">
        <f>'1 prepared data'!U767</f>
        <v/>
      </c>
      <c r="C774">
        <f>'1 prepared data'!B767</f>
        <v/>
      </c>
      <c r="D774" s="7">
        <f>'1 prepared data'!C767</f>
        <v/>
      </c>
      <c r="E774" s="7">
        <f>'1 prepared data'!D767</f>
        <v/>
      </c>
      <c r="F774" s="7">
        <f>'1 prepared data'!E767</f>
        <v/>
      </c>
      <c r="G774" s="7">
        <f>'1 prepared data'!F767</f>
        <v/>
      </c>
      <c r="H774" s="7">
        <f>'1 prepared data'!G767</f>
        <v/>
      </c>
      <c r="I774" s="7">
        <f>'1 prepared data'!H767</f>
        <v/>
      </c>
      <c r="J774" s="7">
        <f>'1 prepared data'!I767</f>
        <v/>
      </c>
      <c r="K774" s="7">
        <f>'1 prepared data'!J767</f>
        <v/>
      </c>
      <c r="L774" s="7">
        <f>'1 prepared data'!K767</f>
        <v/>
      </c>
      <c r="M774" s="7">
        <f>'1 prepared data'!L767</f>
        <v/>
      </c>
      <c r="N774" s="7">
        <f>'1 prepared data'!M767</f>
        <v/>
      </c>
      <c r="O774" s="7">
        <f>'1 prepared data'!N767</f>
        <v/>
      </c>
      <c r="P774" s="7">
        <f>'1 prepared data'!O767</f>
        <v/>
      </c>
      <c r="Q774" s="7">
        <f>'1 prepared data'!P767</f>
        <v/>
      </c>
      <c r="R774" s="7">
        <f>'1 prepared data'!Q767</f>
        <v/>
      </c>
      <c r="S774" s="7">
        <f>'1 prepared data'!R767</f>
        <v/>
      </c>
      <c r="T774" s="7">
        <f>'1 prepared data'!S767</f>
        <v/>
      </c>
      <c r="U774" s="7">
        <f>'1 prepared data'!T767</f>
        <v/>
      </c>
      <c r="V774" s="8">
        <f>$AC$12+D774*$AC$13+E774*$AC$14+F774*$AC$15+G774*$AC$16+H774*$AC$17+I774*$AC$18+J774*$AC$19+K774*$AC$20+L774*$AC$21+M774*$AC$22+N774*$AC$23+O774*$AC$24+P774*$AC$25+Q774*$AC$26+R774*$AC$27+S774*$AC$28+T774*$AC$29+U774*$AC$30</f>
        <v/>
      </c>
      <c r="W774" s="8">
        <f>1/(1+EXP(-V774))</f>
        <v/>
      </c>
      <c r="X774" s="9">
        <f>-IF(C774=1,LN(W774),LN(1-W774))</f>
        <v/>
      </c>
      <c r="Y774" s="10">
        <f>IF(W774&gt;$AC$34,1,0)</f>
        <v/>
      </c>
      <c r="Z774">
        <f>IF(Y774=C774,1,0)</f>
        <v/>
      </c>
    </row>
    <row r="775">
      <c r="A775">
        <f>'1 prepared data'!A768</f>
        <v/>
      </c>
      <c r="B775" s="5">
        <f>'1 prepared data'!U768</f>
        <v/>
      </c>
      <c r="C775">
        <f>'1 prepared data'!B768</f>
        <v/>
      </c>
      <c r="D775" s="7">
        <f>'1 prepared data'!C768</f>
        <v/>
      </c>
      <c r="E775" s="7">
        <f>'1 prepared data'!D768</f>
        <v/>
      </c>
      <c r="F775" s="7">
        <f>'1 prepared data'!E768</f>
        <v/>
      </c>
      <c r="G775" s="7">
        <f>'1 prepared data'!F768</f>
        <v/>
      </c>
      <c r="H775" s="7">
        <f>'1 prepared data'!G768</f>
        <v/>
      </c>
      <c r="I775" s="7">
        <f>'1 prepared data'!H768</f>
        <v/>
      </c>
      <c r="J775" s="7">
        <f>'1 prepared data'!I768</f>
        <v/>
      </c>
      <c r="K775" s="7">
        <f>'1 prepared data'!J768</f>
        <v/>
      </c>
      <c r="L775" s="7">
        <f>'1 prepared data'!K768</f>
        <v/>
      </c>
      <c r="M775" s="7">
        <f>'1 prepared data'!L768</f>
        <v/>
      </c>
      <c r="N775" s="7">
        <f>'1 prepared data'!M768</f>
        <v/>
      </c>
      <c r="O775" s="7">
        <f>'1 prepared data'!N768</f>
        <v/>
      </c>
      <c r="P775" s="7">
        <f>'1 prepared data'!O768</f>
        <v/>
      </c>
      <c r="Q775" s="7">
        <f>'1 prepared data'!P768</f>
        <v/>
      </c>
      <c r="R775" s="7">
        <f>'1 prepared data'!Q768</f>
        <v/>
      </c>
      <c r="S775" s="7">
        <f>'1 prepared data'!R768</f>
        <v/>
      </c>
      <c r="T775" s="7">
        <f>'1 prepared data'!S768</f>
        <v/>
      </c>
      <c r="U775" s="7">
        <f>'1 prepared data'!T768</f>
        <v/>
      </c>
      <c r="V775" s="8">
        <f>$AC$12+D775*$AC$13+E775*$AC$14+F775*$AC$15+G775*$AC$16+H775*$AC$17+I775*$AC$18+J775*$AC$19+K775*$AC$20+L775*$AC$21+M775*$AC$22+N775*$AC$23+O775*$AC$24+P775*$AC$25+Q775*$AC$26+R775*$AC$27+S775*$AC$28+T775*$AC$29+U775*$AC$30</f>
        <v/>
      </c>
      <c r="W775" s="8">
        <f>1/(1+EXP(-V775))</f>
        <v/>
      </c>
      <c r="X775" s="9">
        <f>-IF(C775=1,LN(W775),LN(1-W775))</f>
        <v/>
      </c>
      <c r="Y775" s="10">
        <f>IF(W775&gt;$AC$34,1,0)</f>
        <v/>
      </c>
      <c r="Z775">
        <f>IF(Y775=C775,1,0)</f>
        <v/>
      </c>
    </row>
    <row r="776">
      <c r="A776">
        <f>'1 prepared data'!A769</f>
        <v/>
      </c>
      <c r="B776" s="5">
        <f>'1 prepared data'!U769</f>
        <v/>
      </c>
      <c r="C776">
        <f>'1 prepared data'!B769</f>
        <v/>
      </c>
      <c r="D776" s="7">
        <f>'1 prepared data'!C769</f>
        <v/>
      </c>
      <c r="E776" s="7">
        <f>'1 prepared data'!D769</f>
        <v/>
      </c>
      <c r="F776" s="7">
        <f>'1 prepared data'!E769</f>
        <v/>
      </c>
      <c r="G776" s="7">
        <f>'1 prepared data'!F769</f>
        <v/>
      </c>
      <c r="H776" s="7">
        <f>'1 prepared data'!G769</f>
        <v/>
      </c>
      <c r="I776" s="7">
        <f>'1 prepared data'!H769</f>
        <v/>
      </c>
      <c r="J776" s="7">
        <f>'1 prepared data'!I769</f>
        <v/>
      </c>
      <c r="K776" s="7">
        <f>'1 prepared data'!J769</f>
        <v/>
      </c>
      <c r="L776" s="7">
        <f>'1 prepared data'!K769</f>
        <v/>
      </c>
      <c r="M776" s="7">
        <f>'1 prepared data'!L769</f>
        <v/>
      </c>
      <c r="N776" s="7">
        <f>'1 prepared data'!M769</f>
        <v/>
      </c>
      <c r="O776" s="7">
        <f>'1 prepared data'!N769</f>
        <v/>
      </c>
      <c r="P776" s="7">
        <f>'1 prepared data'!O769</f>
        <v/>
      </c>
      <c r="Q776" s="7">
        <f>'1 prepared data'!P769</f>
        <v/>
      </c>
      <c r="R776" s="7">
        <f>'1 prepared data'!Q769</f>
        <v/>
      </c>
      <c r="S776" s="7">
        <f>'1 prepared data'!R769</f>
        <v/>
      </c>
      <c r="T776" s="7">
        <f>'1 prepared data'!S769</f>
        <v/>
      </c>
      <c r="U776" s="7">
        <f>'1 prepared data'!T769</f>
        <v/>
      </c>
      <c r="V776" s="8">
        <f>$AC$12+D776*$AC$13+E776*$AC$14+F776*$AC$15+G776*$AC$16+H776*$AC$17+I776*$AC$18+J776*$AC$19+K776*$AC$20+L776*$AC$21+M776*$AC$22+N776*$AC$23+O776*$AC$24+P776*$AC$25+Q776*$AC$26+R776*$AC$27+S776*$AC$28+T776*$AC$29+U776*$AC$30</f>
        <v/>
      </c>
      <c r="W776" s="8">
        <f>1/(1+EXP(-V776))</f>
        <v/>
      </c>
      <c r="X776" s="9">
        <f>-IF(C776=1,LN(W776),LN(1-W776))</f>
        <v/>
      </c>
      <c r="Y776" s="10">
        <f>IF(W776&gt;$AC$34,1,0)</f>
        <v/>
      </c>
      <c r="Z776">
        <f>IF(Y776=C776,1,0)</f>
        <v/>
      </c>
    </row>
    <row r="777">
      <c r="A777">
        <f>'1 prepared data'!A770</f>
        <v/>
      </c>
      <c r="B777" s="5">
        <f>'1 prepared data'!U770</f>
        <v/>
      </c>
      <c r="C777">
        <f>'1 prepared data'!B770</f>
        <v/>
      </c>
      <c r="D777" s="7">
        <f>'1 prepared data'!C770</f>
        <v/>
      </c>
      <c r="E777" s="7">
        <f>'1 prepared data'!D770</f>
        <v/>
      </c>
      <c r="F777" s="7">
        <f>'1 prepared data'!E770</f>
        <v/>
      </c>
      <c r="G777" s="7">
        <f>'1 prepared data'!F770</f>
        <v/>
      </c>
      <c r="H777" s="7">
        <f>'1 prepared data'!G770</f>
        <v/>
      </c>
      <c r="I777" s="7">
        <f>'1 prepared data'!H770</f>
        <v/>
      </c>
      <c r="J777" s="7">
        <f>'1 prepared data'!I770</f>
        <v/>
      </c>
      <c r="K777" s="7">
        <f>'1 prepared data'!J770</f>
        <v/>
      </c>
      <c r="L777" s="7">
        <f>'1 prepared data'!K770</f>
        <v/>
      </c>
      <c r="M777" s="7">
        <f>'1 prepared data'!L770</f>
        <v/>
      </c>
      <c r="N777" s="7">
        <f>'1 prepared data'!M770</f>
        <v/>
      </c>
      <c r="O777" s="7">
        <f>'1 prepared data'!N770</f>
        <v/>
      </c>
      <c r="P777" s="7">
        <f>'1 prepared data'!O770</f>
        <v/>
      </c>
      <c r="Q777" s="7">
        <f>'1 prepared data'!P770</f>
        <v/>
      </c>
      <c r="R777" s="7">
        <f>'1 prepared data'!Q770</f>
        <v/>
      </c>
      <c r="S777" s="7">
        <f>'1 prepared data'!R770</f>
        <v/>
      </c>
      <c r="T777" s="7">
        <f>'1 prepared data'!S770</f>
        <v/>
      </c>
      <c r="U777" s="7">
        <f>'1 prepared data'!T770</f>
        <v/>
      </c>
      <c r="V777" s="8">
        <f>$AC$12+D777*$AC$13+E777*$AC$14+F777*$AC$15+G777*$AC$16+H777*$AC$17+I777*$AC$18+J777*$AC$19+K777*$AC$20+L777*$AC$21+M777*$AC$22+N777*$AC$23+O777*$AC$24+P777*$AC$25+Q777*$AC$26+R777*$AC$27+S777*$AC$28+T777*$AC$29+U777*$AC$30</f>
        <v/>
      </c>
      <c r="W777" s="8">
        <f>1/(1+EXP(-V777))</f>
        <v/>
      </c>
      <c r="X777" s="9">
        <f>-IF(C777=1,LN(W777),LN(1-W777))</f>
        <v/>
      </c>
      <c r="Y777" s="10">
        <f>IF(W777&gt;$AC$34,1,0)</f>
        <v/>
      </c>
      <c r="Z777">
        <f>IF(Y777=C777,1,0)</f>
        <v/>
      </c>
    </row>
    <row r="778">
      <c r="A778">
        <f>'1 prepared data'!A771</f>
        <v/>
      </c>
      <c r="B778" s="5">
        <f>'1 prepared data'!U771</f>
        <v/>
      </c>
      <c r="C778">
        <f>'1 prepared data'!B771</f>
        <v/>
      </c>
      <c r="D778" s="7">
        <f>'1 prepared data'!C771</f>
        <v/>
      </c>
      <c r="E778" s="7">
        <f>'1 prepared data'!D771</f>
        <v/>
      </c>
      <c r="F778" s="7">
        <f>'1 prepared data'!E771</f>
        <v/>
      </c>
      <c r="G778" s="7">
        <f>'1 prepared data'!F771</f>
        <v/>
      </c>
      <c r="H778" s="7">
        <f>'1 prepared data'!G771</f>
        <v/>
      </c>
      <c r="I778" s="7">
        <f>'1 prepared data'!H771</f>
        <v/>
      </c>
      <c r="J778" s="7">
        <f>'1 prepared data'!I771</f>
        <v/>
      </c>
      <c r="K778" s="7">
        <f>'1 prepared data'!J771</f>
        <v/>
      </c>
      <c r="L778" s="7">
        <f>'1 prepared data'!K771</f>
        <v/>
      </c>
      <c r="M778" s="7">
        <f>'1 prepared data'!L771</f>
        <v/>
      </c>
      <c r="N778" s="7">
        <f>'1 prepared data'!M771</f>
        <v/>
      </c>
      <c r="O778" s="7">
        <f>'1 prepared data'!N771</f>
        <v/>
      </c>
      <c r="P778" s="7">
        <f>'1 prepared data'!O771</f>
        <v/>
      </c>
      <c r="Q778" s="7">
        <f>'1 prepared data'!P771</f>
        <v/>
      </c>
      <c r="R778" s="7">
        <f>'1 prepared data'!Q771</f>
        <v/>
      </c>
      <c r="S778" s="7">
        <f>'1 prepared data'!R771</f>
        <v/>
      </c>
      <c r="T778" s="7">
        <f>'1 prepared data'!S771</f>
        <v/>
      </c>
      <c r="U778" s="7">
        <f>'1 prepared data'!T771</f>
        <v/>
      </c>
      <c r="V778" s="8">
        <f>$AC$12+D778*$AC$13+E778*$AC$14+F778*$AC$15+G778*$AC$16+H778*$AC$17+I778*$AC$18+J778*$AC$19+K778*$AC$20+L778*$AC$21+M778*$AC$22+N778*$AC$23+O778*$AC$24+P778*$AC$25+Q778*$AC$26+R778*$AC$27+S778*$AC$28+T778*$AC$29+U778*$AC$30</f>
        <v/>
      </c>
      <c r="W778" s="8">
        <f>1/(1+EXP(-V778))</f>
        <v/>
      </c>
      <c r="X778" s="9">
        <f>-IF(C778=1,LN(W778),LN(1-W778))</f>
        <v/>
      </c>
      <c r="Y778" s="10">
        <f>IF(W778&gt;$AC$34,1,0)</f>
        <v/>
      </c>
      <c r="Z778">
        <f>IF(Y778=C778,1,0)</f>
        <v/>
      </c>
    </row>
    <row r="779">
      <c r="A779">
        <f>'1 prepared data'!A772</f>
        <v/>
      </c>
      <c r="B779" s="5">
        <f>'1 prepared data'!U772</f>
        <v/>
      </c>
      <c r="C779">
        <f>'1 prepared data'!B772</f>
        <v/>
      </c>
      <c r="D779" s="7">
        <f>'1 prepared data'!C772</f>
        <v/>
      </c>
      <c r="E779" s="7">
        <f>'1 prepared data'!D772</f>
        <v/>
      </c>
      <c r="F779" s="7">
        <f>'1 prepared data'!E772</f>
        <v/>
      </c>
      <c r="G779" s="7">
        <f>'1 prepared data'!F772</f>
        <v/>
      </c>
      <c r="H779" s="7">
        <f>'1 prepared data'!G772</f>
        <v/>
      </c>
      <c r="I779" s="7">
        <f>'1 prepared data'!H772</f>
        <v/>
      </c>
      <c r="J779" s="7">
        <f>'1 prepared data'!I772</f>
        <v/>
      </c>
      <c r="K779" s="7">
        <f>'1 prepared data'!J772</f>
        <v/>
      </c>
      <c r="L779" s="7">
        <f>'1 prepared data'!K772</f>
        <v/>
      </c>
      <c r="M779" s="7">
        <f>'1 prepared data'!L772</f>
        <v/>
      </c>
      <c r="N779" s="7">
        <f>'1 prepared data'!M772</f>
        <v/>
      </c>
      <c r="O779" s="7">
        <f>'1 prepared data'!N772</f>
        <v/>
      </c>
      <c r="P779" s="7">
        <f>'1 prepared data'!O772</f>
        <v/>
      </c>
      <c r="Q779" s="7">
        <f>'1 prepared data'!P772</f>
        <v/>
      </c>
      <c r="R779" s="7">
        <f>'1 prepared data'!Q772</f>
        <v/>
      </c>
      <c r="S779" s="7">
        <f>'1 prepared data'!R772</f>
        <v/>
      </c>
      <c r="T779" s="7">
        <f>'1 prepared data'!S772</f>
        <v/>
      </c>
      <c r="U779" s="7">
        <f>'1 prepared data'!T772</f>
        <v/>
      </c>
      <c r="V779" s="8">
        <f>$AC$12+D779*$AC$13+E779*$AC$14+F779*$AC$15+G779*$AC$16+H779*$AC$17+I779*$AC$18+J779*$AC$19+K779*$AC$20+L779*$AC$21+M779*$AC$22+N779*$AC$23+O779*$AC$24+P779*$AC$25+Q779*$AC$26+R779*$AC$27+S779*$AC$28+T779*$AC$29+U779*$AC$30</f>
        <v/>
      </c>
      <c r="W779" s="8">
        <f>1/(1+EXP(-V779))</f>
        <v/>
      </c>
      <c r="X779" s="9">
        <f>-IF(C779=1,LN(W779),LN(1-W779))</f>
        <v/>
      </c>
      <c r="Y779" s="10">
        <f>IF(W779&gt;$AC$34,1,0)</f>
        <v/>
      </c>
      <c r="Z779">
        <f>IF(Y779=C779,1,0)</f>
        <v/>
      </c>
    </row>
    <row r="780">
      <c r="A780">
        <f>'1 prepared data'!A773</f>
        <v/>
      </c>
      <c r="B780" s="5">
        <f>'1 prepared data'!U773</f>
        <v/>
      </c>
      <c r="C780">
        <f>'1 prepared data'!B773</f>
        <v/>
      </c>
      <c r="D780" s="7">
        <f>'1 prepared data'!C773</f>
        <v/>
      </c>
      <c r="E780" s="7">
        <f>'1 prepared data'!D773</f>
        <v/>
      </c>
      <c r="F780" s="7">
        <f>'1 prepared data'!E773</f>
        <v/>
      </c>
      <c r="G780" s="7">
        <f>'1 prepared data'!F773</f>
        <v/>
      </c>
      <c r="H780" s="7">
        <f>'1 prepared data'!G773</f>
        <v/>
      </c>
      <c r="I780" s="7">
        <f>'1 prepared data'!H773</f>
        <v/>
      </c>
      <c r="J780" s="7">
        <f>'1 prepared data'!I773</f>
        <v/>
      </c>
      <c r="K780" s="7">
        <f>'1 prepared data'!J773</f>
        <v/>
      </c>
      <c r="L780" s="7">
        <f>'1 prepared data'!K773</f>
        <v/>
      </c>
      <c r="M780" s="7">
        <f>'1 prepared data'!L773</f>
        <v/>
      </c>
      <c r="N780" s="7">
        <f>'1 prepared data'!M773</f>
        <v/>
      </c>
      <c r="O780" s="7">
        <f>'1 prepared data'!N773</f>
        <v/>
      </c>
      <c r="P780" s="7">
        <f>'1 prepared data'!O773</f>
        <v/>
      </c>
      <c r="Q780" s="7">
        <f>'1 prepared data'!P773</f>
        <v/>
      </c>
      <c r="R780" s="7">
        <f>'1 prepared data'!Q773</f>
        <v/>
      </c>
      <c r="S780" s="7">
        <f>'1 prepared data'!R773</f>
        <v/>
      </c>
      <c r="T780" s="7">
        <f>'1 prepared data'!S773</f>
        <v/>
      </c>
      <c r="U780" s="7">
        <f>'1 prepared data'!T773</f>
        <v/>
      </c>
      <c r="V780" s="8">
        <f>$AC$12+D780*$AC$13+E780*$AC$14+F780*$AC$15+G780*$AC$16+H780*$AC$17+I780*$AC$18+J780*$AC$19+K780*$AC$20+L780*$AC$21+M780*$AC$22+N780*$AC$23+O780*$AC$24+P780*$AC$25+Q780*$AC$26+R780*$AC$27+S780*$AC$28+T780*$AC$29+U780*$AC$30</f>
        <v/>
      </c>
      <c r="W780" s="8">
        <f>1/(1+EXP(-V780))</f>
        <v/>
      </c>
      <c r="X780" s="9">
        <f>-IF(C780=1,LN(W780),LN(1-W780))</f>
        <v/>
      </c>
      <c r="Y780" s="10">
        <f>IF(W780&gt;$AC$34,1,0)</f>
        <v/>
      </c>
      <c r="Z780">
        <f>IF(Y780=C780,1,0)</f>
        <v/>
      </c>
    </row>
    <row r="781">
      <c r="A781">
        <f>'1 prepared data'!A774</f>
        <v/>
      </c>
      <c r="B781" s="5">
        <f>'1 prepared data'!U774</f>
        <v/>
      </c>
      <c r="C781">
        <f>'1 prepared data'!B774</f>
        <v/>
      </c>
      <c r="D781" s="7">
        <f>'1 prepared data'!C774</f>
        <v/>
      </c>
      <c r="E781" s="7">
        <f>'1 prepared data'!D774</f>
        <v/>
      </c>
      <c r="F781" s="7">
        <f>'1 prepared data'!E774</f>
        <v/>
      </c>
      <c r="G781" s="7">
        <f>'1 prepared data'!F774</f>
        <v/>
      </c>
      <c r="H781" s="7">
        <f>'1 prepared data'!G774</f>
        <v/>
      </c>
      <c r="I781" s="7">
        <f>'1 prepared data'!H774</f>
        <v/>
      </c>
      <c r="J781" s="7">
        <f>'1 prepared data'!I774</f>
        <v/>
      </c>
      <c r="K781" s="7">
        <f>'1 prepared data'!J774</f>
        <v/>
      </c>
      <c r="L781" s="7">
        <f>'1 prepared data'!K774</f>
        <v/>
      </c>
      <c r="M781" s="7">
        <f>'1 prepared data'!L774</f>
        <v/>
      </c>
      <c r="N781" s="7">
        <f>'1 prepared data'!M774</f>
        <v/>
      </c>
      <c r="O781" s="7">
        <f>'1 prepared data'!N774</f>
        <v/>
      </c>
      <c r="P781" s="7">
        <f>'1 prepared data'!O774</f>
        <v/>
      </c>
      <c r="Q781" s="7">
        <f>'1 prepared data'!P774</f>
        <v/>
      </c>
      <c r="R781" s="7">
        <f>'1 prepared data'!Q774</f>
        <v/>
      </c>
      <c r="S781" s="7">
        <f>'1 prepared data'!R774</f>
        <v/>
      </c>
      <c r="T781" s="7">
        <f>'1 prepared data'!S774</f>
        <v/>
      </c>
      <c r="U781" s="7">
        <f>'1 prepared data'!T774</f>
        <v/>
      </c>
      <c r="V781" s="8">
        <f>$AC$12+D781*$AC$13+E781*$AC$14+F781*$AC$15+G781*$AC$16+H781*$AC$17+I781*$AC$18+J781*$AC$19+K781*$AC$20+L781*$AC$21+M781*$AC$22+N781*$AC$23+O781*$AC$24+P781*$AC$25+Q781*$AC$26+R781*$AC$27+S781*$AC$28+T781*$AC$29+U781*$AC$30</f>
        <v/>
      </c>
      <c r="W781" s="8">
        <f>1/(1+EXP(-V781))</f>
        <v/>
      </c>
      <c r="X781" s="9">
        <f>-IF(C781=1,LN(W781),LN(1-W781))</f>
        <v/>
      </c>
      <c r="Y781" s="10">
        <f>IF(W781&gt;$AC$34,1,0)</f>
        <v/>
      </c>
      <c r="Z781">
        <f>IF(Y781=C781,1,0)</f>
        <v/>
      </c>
    </row>
    <row r="782">
      <c r="A782">
        <f>'1 prepared data'!A775</f>
        <v/>
      </c>
      <c r="B782" s="5">
        <f>'1 prepared data'!U775</f>
        <v/>
      </c>
      <c r="C782">
        <f>'1 prepared data'!B775</f>
        <v/>
      </c>
      <c r="D782" s="7">
        <f>'1 prepared data'!C775</f>
        <v/>
      </c>
      <c r="E782" s="7">
        <f>'1 prepared data'!D775</f>
        <v/>
      </c>
      <c r="F782" s="7">
        <f>'1 prepared data'!E775</f>
        <v/>
      </c>
      <c r="G782" s="7">
        <f>'1 prepared data'!F775</f>
        <v/>
      </c>
      <c r="H782" s="7">
        <f>'1 prepared data'!G775</f>
        <v/>
      </c>
      <c r="I782" s="7">
        <f>'1 prepared data'!H775</f>
        <v/>
      </c>
      <c r="J782" s="7">
        <f>'1 prepared data'!I775</f>
        <v/>
      </c>
      <c r="K782" s="7">
        <f>'1 prepared data'!J775</f>
        <v/>
      </c>
      <c r="L782" s="7">
        <f>'1 prepared data'!K775</f>
        <v/>
      </c>
      <c r="M782" s="7">
        <f>'1 prepared data'!L775</f>
        <v/>
      </c>
      <c r="N782" s="7">
        <f>'1 prepared data'!M775</f>
        <v/>
      </c>
      <c r="O782" s="7">
        <f>'1 prepared data'!N775</f>
        <v/>
      </c>
      <c r="P782" s="7">
        <f>'1 prepared data'!O775</f>
        <v/>
      </c>
      <c r="Q782" s="7">
        <f>'1 prepared data'!P775</f>
        <v/>
      </c>
      <c r="R782" s="7">
        <f>'1 prepared data'!Q775</f>
        <v/>
      </c>
      <c r="S782" s="7">
        <f>'1 prepared data'!R775</f>
        <v/>
      </c>
      <c r="T782" s="7">
        <f>'1 prepared data'!S775</f>
        <v/>
      </c>
      <c r="U782" s="7">
        <f>'1 prepared data'!T775</f>
        <v/>
      </c>
      <c r="V782" s="8">
        <f>$AC$12+D782*$AC$13+E782*$AC$14+F782*$AC$15+G782*$AC$16+H782*$AC$17+I782*$AC$18+J782*$AC$19+K782*$AC$20+L782*$AC$21+M782*$AC$22+N782*$AC$23+O782*$AC$24+P782*$AC$25+Q782*$AC$26+R782*$AC$27+S782*$AC$28+T782*$AC$29+U782*$AC$30</f>
        <v/>
      </c>
      <c r="W782" s="8">
        <f>1/(1+EXP(-V782))</f>
        <v/>
      </c>
      <c r="X782" s="9">
        <f>-IF(C782=1,LN(W782),LN(1-W782))</f>
        <v/>
      </c>
      <c r="Y782" s="10">
        <f>IF(W782&gt;$AC$34,1,0)</f>
        <v/>
      </c>
      <c r="Z782">
        <f>IF(Y782=C782,1,0)</f>
        <v/>
      </c>
    </row>
    <row r="783">
      <c r="A783">
        <f>'1 prepared data'!A776</f>
        <v/>
      </c>
      <c r="B783" s="5">
        <f>'1 prepared data'!U776</f>
        <v/>
      </c>
      <c r="C783">
        <f>'1 prepared data'!B776</f>
        <v/>
      </c>
      <c r="D783" s="7">
        <f>'1 prepared data'!C776</f>
        <v/>
      </c>
      <c r="E783" s="7">
        <f>'1 prepared data'!D776</f>
        <v/>
      </c>
      <c r="F783" s="7">
        <f>'1 prepared data'!E776</f>
        <v/>
      </c>
      <c r="G783" s="7">
        <f>'1 prepared data'!F776</f>
        <v/>
      </c>
      <c r="H783" s="7">
        <f>'1 prepared data'!G776</f>
        <v/>
      </c>
      <c r="I783" s="7">
        <f>'1 prepared data'!H776</f>
        <v/>
      </c>
      <c r="J783" s="7">
        <f>'1 prepared data'!I776</f>
        <v/>
      </c>
      <c r="K783" s="7">
        <f>'1 prepared data'!J776</f>
        <v/>
      </c>
      <c r="L783" s="7">
        <f>'1 prepared data'!K776</f>
        <v/>
      </c>
      <c r="M783" s="7">
        <f>'1 prepared data'!L776</f>
        <v/>
      </c>
      <c r="N783" s="7">
        <f>'1 prepared data'!M776</f>
        <v/>
      </c>
      <c r="O783" s="7">
        <f>'1 prepared data'!N776</f>
        <v/>
      </c>
      <c r="P783" s="7">
        <f>'1 prepared data'!O776</f>
        <v/>
      </c>
      <c r="Q783" s="7">
        <f>'1 prepared data'!P776</f>
        <v/>
      </c>
      <c r="R783" s="7">
        <f>'1 prepared data'!Q776</f>
        <v/>
      </c>
      <c r="S783" s="7">
        <f>'1 prepared data'!R776</f>
        <v/>
      </c>
      <c r="T783" s="7">
        <f>'1 prepared data'!S776</f>
        <v/>
      </c>
      <c r="U783" s="7">
        <f>'1 prepared data'!T776</f>
        <v/>
      </c>
      <c r="V783" s="8">
        <f>$AC$12+D783*$AC$13+E783*$AC$14+F783*$AC$15+G783*$AC$16+H783*$AC$17+I783*$AC$18+J783*$AC$19+K783*$AC$20+L783*$AC$21+M783*$AC$22+N783*$AC$23+O783*$AC$24+P783*$AC$25+Q783*$AC$26+R783*$AC$27+S783*$AC$28+T783*$AC$29+U783*$AC$30</f>
        <v/>
      </c>
      <c r="W783" s="8">
        <f>1/(1+EXP(-V783))</f>
        <v/>
      </c>
      <c r="X783" s="9">
        <f>-IF(C783=1,LN(W783),LN(1-W783))</f>
        <v/>
      </c>
      <c r="Y783" s="10">
        <f>IF(W783&gt;$AC$34,1,0)</f>
        <v/>
      </c>
      <c r="Z783">
        <f>IF(Y783=C783,1,0)</f>
        <v/>
      </c>
    </row>
    <row r="784">
      <c r="A784">
        <f>'1 prepared data'!A777</f>
        <v/>
      </c>
      <c r="B784" s="5">
        <f>'1 prepared data'!U777</f>
        <v/>
      </c>
      <c r="C784">
        <f>'1 prepared data'!B777</f>
        <v/>
      </c>
      <c r="D784" s="7">
        <f>'1 prepared data'!C777</f>
        <v/>
      </c>
      <c r="E784" s="7">
        <f>'1 prepared data'!D777</f>
        <v/>
      </c>
      <c r="F784" s="7">
        <f>'1 prepared data'!E777</f>
        <v/>
      </c>
      <c r="G784" s="7">
        <f>'1 prepared data'!F777</f>
        <v/>
      </c>
      <c r="H784" s="7">
        <f>'1 prepared data'!G777</f>
        <v/>
      </c>
      <c r="I784" s="7">
        <f>'1 prepared data'!H777</f>
        <v/>
      </c>
      <c r="J784" s="7">
        <f>'1 prepared data'!I777</f>
        <v/>
      </c>
      <c r="K784" s="7">
        <f>'1 prepared data'!J777</f>
        <v/>
      </c>
      <c r="L784" s="7">
        <f>'1 prepared data'!K777</f>
        <v/>
      </c>
      <c r="M784" s="7">
        <f>'1 prepared data'!L777</f>
        <v/>
      </c>
      <c r="N784" s="7">
        <f>'1 prepared data'!M777</f>
        <v/>
      </c>
      <c r="O784" s="7">
        <f>'1 prepared data'!N777</f>
        <v/>
      </c>
      <c r="P784" s="7">
        <f>'1 prepared data'!O777</f>
        <v/>
      </c>
      <c r="Q784" s="7">
        <f>'1 prepared data'!P777</f>
        <v/>
      </c>
      <c r="R784" s="7">
        <f>'1 prepared data'!Q777</f>
        <v/>
      </c>
      <c r="S784" s="7">
        <f>'1 prepared data'!R777</f>
        <v/>
      </c>
      <c r="T784" s="7">
        <f>'1 prepared data'!S777</f>
        <v/>
      </c>
      <c r="U784" s="7">
        <f>'1 prepared data'!T777</f>
        <v/>
      </c>
      <c r="V784" s="8">
        <f>$AC$12+D784*$AC$13+E784*$AC$14+F784*$AC$15+G784*$AC$16+H784*$AC$17+I784*$AC$18+J784*$AC$19+K784*$AC$20+L784*$AC$21+M784*$AC$22+N784*$AC$23+O784*$AC$24+P784*$AC$25+Q784*$AC$26+R784*$AC$27+S784*$AC$28+T784*$AC$29+U784*$AC$30</f>
        <v/>
      </c>
      <c r="W784" s="8">
        <f>1/(1+EXP(-V784))</f>
        <v/>
      </c>
      <c r="X784" s="9">
        <f>-IF(C784=1,LN(W784),LN(1-W784))</f>
        <v/>
      </c>
      <c r="Y784" s="10">
        <f>IF(W784&gt;$AC$34,1,0)</f>
        <v/>
      </c>
      <c r="Z784">
        <f>IF(Y784=C784,1,0)</f>
        <v/>
      </c>
    </row>
    <row r="785">
      <c r="A785">
        <f>'1 prepared data'!A778</f>
        <v/>
      </c>
      <c r="B785" s="5">
        <f>'1 prepared data'!U778</f>
        <v/>
      </c>
      <c r="C785">
        <f>'1 prepared data'!B778</f>
        <v/>
      </c>
      <c r="D785" s="7">
        <f>'1 prepared data'!C778</f>
        <v/>
      </c>
      <c r="E785" s="7">
        <f>'1 prepared data'!D778</f>
        <v/>
      </c>
      <c r="F785" s="7">
        <f>'1 prepared data'!E778</f>
        <v/>
      </c>
      <c r="G785" s="7">
        <f>'1 prepared data'!F778</f>
        <v/>
      </c>
      <c r="H785" s="7">
        <f>'1 prepared data'!G778</f>
        <v/>
      </c>
      <c r="I785" s="7">
        <f>'1 prepared data'!H778</f>
        <v/>
      </c>
      <c r="J785" s="7">
        <f>'1 prepared data'!I778</f>
        <v/>
      </c>
      <c r="K785" s="7">
        <f>'1 prepared data'!J778</f>
        <v/>
      </c>
      <c r="L785" s="7">
        <f>'1 prepared data'!K778</f>
        <v/>
      </c>
      <c r="M785" s="7">
        <f>'1 prepared data'!L778</f>
        <v/>
      </c>
      <c r="N785" s="7">
        <f>'1 prepared data'!M778</f>
        <v/>
      </c>
      <c r="O785" s="7">
        <f>'1 prepared data'!N778</f>
        <v/>
      </c>
      <c r="P785" s="7">
        <f>'1 prepared data'!O778</f>
        <v/>
      </c>
      <c r="Q785" s="7">
        <f>'1 prepared data'!P778</f>
        <v/>
      </c>
      <c r="R785" s="7">
        <f>'1 prepared data'!Q778</f>
        <v/>
      </c>
      <c r="S785" s="7">
        <f>'1 prepared data'!R778</f>
        <v/>
      </c>
      <c r="T785" s="7">
        <f>'1 prepared data'!S778</f>
        <v/>
      </c>
      <c r="U785" s="7">
        <f>'1 prepared data'!T778</f>
        <v/>
      </c>
      <c r="V785" s="8">
        <f>$AC$12+D785*$AC$13+E785*$AC$14+F785*$AC$15+G785*$AC$16+H785*$AC$17+I785*$AC$18+J785*$AC$19+K785*$AC$20+L785*$AC$21+M785*$AC$22+N785*$AC$23+O785*$AC$24+P785*$AC$25+Q785*$AC$26+R785*$AC$27+S785*$AC$28+T785*$AC$29+U785*$AC$30</f>
        <v/>
      </c>
      <c r="W785" s="8">
        <f>1/(1+EXP(-V785))</f>
        <v/>
      </c>
      <c r="X785" s="9">
        <f>-IF(C785=1,LN(W785),LN(1-W785))</f>
        <v/>
      </c>
      <c r="Y785" s="10">
        <f>IF(W785&gt;$AC$34,1,0)</f>
        <v/>
      </c>
      <c r="Z785">
        <f>IF(Y785=C785,1,0)</f>
        <v/>
      </c>
    </row>
    <row r="786">
      <c r="A786">
        <f>'1 prepared data'!A779</f>
        <v/>
      </c>
      <c r="B786" s="5">
        <f>'1 prepared data'!U779</f>
        <v/>
      </c>
      <c r="C786">
        <f>'1 prepared data'!B779</f>
        <v/>
      </c>
      <c r="D786" s="7">
        <f>'1 prepared data'!C779</f>
        <v/>
      </c>
      <c r="E786" s="7">
        <f>'1 prepared data'!D779</f>
        <v/>
      </c>
      <c r="F786" s="7">
        <f>'1 prepared data'!E779</f>
        <v/>
      </c>
      <c r="G786" s="7">
        <f>'1 prepared data'!F779</f>
        <v/>
      </c>
      <c r="H786" s="7">
        <f>'1 prepared data'!G779</f>
        <v/>
      </c>
      <c r="I786" s="7">
        <f>'1 prepared data'!H779</f>
        <v/>
      </c>
      <c r="J786" s="7">
        <f>'1 prepared data'!I779</f>
        <v/>
      </c>
      <c r="K786" s="7">
        <f>'1 prepared data'!J779</f>
        <v/>
      </c>
      <c r="L786" s="7">
        <f>'1 prepared data'!K779</f>
        <v/>
      </c>
      <c r="M786" s="7">
        <f>'1 prepared data'!L779</f>
        <v/>
      </c>
      <c r="N786" s="7">
        <f>'1 prepared data'!M779</f>
        <v/>
      </c>
      <c r="O786" s="7">
        <f>'1 prepared data'!N779</f>
        <v/>
      </c>
      <c r="P786" s="7">
        <f>'1 prepared data'!O779</f>
        <v/>
      </c>
      <c r="Q786" s="7">
        <f>'1 prepared data'!P779</f>
        <v/>
      </c>
      <c r="R786" s="7">
        <f>'1 prepared data'!Q779</f>
        <v/>
      </c>
      <c r="S786" s="7">
        <f>'1 prepared data'!R779</f>
        <v/>
      </c>
      <c r="T786" s="7">
        <f>'1 prepared data'!S779</f>
        <v/>
      </c>
      <c r="U786" s="7">
        <f>'1 prepared data'!T779</f>
        <v/>
      </c>
      <c r="V786" s="8">
        <f>$AC$12+D786*$AC$13+E786*$AC$14+F786*$AC$15+G786*$AC$16+H786*$AC$17+I786*$AC$18+J786*$AC$19+K786*$AC$20+L786*$AC$21+M786*$AC$22+N786*$AC$23+O786*$AC$24+P786*$AC$25+Q786*$AC$26+R786*$AC$27+S786*$AC$28+T786*$AC$29+U786*$AC$30</f>
        <v/>
      </c>
      <c r="W786" s="8">
        <f>1/(1+EXP(-V786))</f>
        <v/>
      </c>
      <c r="X786" s="9">
        <f>-IF(C786=1,LN(W786),LN(1-W786))</f>
        <v/>
      </c>
      <c r="Y786" s="10">
        <f>IF(W786&gt;$AC$34,1,0)</f>
        <v/>
      </c>
      <c r="Z786">
        <f>IF(Y786=C786,1,0)</f>
        <v/>
      </c>
    </row>
    <row r="787">
      <c r="A787">
        <f>'1 prepared data'!A780</f>
        <v/>
      </c>
      <c r="B787" s="5">
        <f>'1 prepared data'!U780</f>
        <v/>
      </c>
      <c r="C787">
        <f>'1 prepared data'!B780</f>
        <v/>
      </c>
      <c r="D787" s="7">
        <f>'1 prepared data'!C780</f>
        <v/>
      </c>
      <c r="E787" s="7">
        <f>'1 prepared data'!D780</f>
        <v/>
      </c>
      <c r="F787" s="7">
        <f>'1 prepared data'!E780</f>
        <v/>
      </c>
      <c r="G787" s="7">
        <f>'1 prepared data'!F780</f>
        <v/>
      </c>
      <c r="H787" s="7">
        <f>'1 prepared data'!G780</f>
        <v/>
      </c>
      <c r="I787" s="7">
        <f>'1 prepared data'!H780</f>
        <v/>
      </c>
      <c r="J787" s="7">
        <f>'1 prepared data'!I780</f>
        <v/>
      </c>
      <c r="K787" s="7">
        <f>'1 prepared data'!J780</f>
        <v/>
      </c>
      <c r="L787" s="7">
        <f>'1 prepared data'!K780</f>
        <v/>
      </c>
      <c r="M787" s="7">
        <f>'1 prepared data'!L780</f>
        <v/>
      </c>
      <c r="N787" s="7">
        <f>'1 prepared data'!M780</f>
        <v/>
      </c>
      <c r="O787" s="7">
        <f>'1 prepared data'!N780</f>
        <v/>
      </c>
      <c r="P787" s="7">
        <f>'1 prepared data'!O780</f>
        <v/>
      </c>
      <c r="Q787" s="7">
        <f>'1 prepared data'!P780</f>
        <v/>
      </c>
      <c r="R787" s="7">
        <f>'1 prepared data'!Q780</f>
        <v/>
      </c>
      <c r="S787" s="7">
        <f>'1 prepared data'!R780</f>
        <v/>
      </c>
      <c r="T787" s="7">
        <f>'1 prepared data'!S780</f>
        <v/>
      </c>
      <c r="U787" s="7">
        <f>'1 prepared data'!T780</f>
        <v/>
      </c>
      <c r="V787" s="8">
        <f>$AC$12+D787*$AC$13+E787*$AC$14+F787*$AC$15+G787*$AC$16+H787*$AC$17+I787*$AC$18+J787*$AC$19+K787*$AC$20+L787*$AC$21+M787*$AC$22+N787*$AC$23+O787*$AC$24+P787*$AC$25+Q787*$AC$26+R787*$AC$27+S787*$AC$28+T787*$AC$29+U787*$AC$30</f>
        <v/>
      </c>
      <c r="W787" s="8">
        <f>1/(1+EXP(-V787))</f>
        <v/>
      </c>
      <c r="X787" s="9">
        <f>-IF(C787=1,LN(W787),LN(1-W787))</f>
        <v/>
      </c>
      <c r="Y787" s="10">
        <f>IF(W787&gt;$AC$34,1,0)</f>
        <v/>
      </c>
      <c r="Z787">
        <f>IF(Y787=C787,1,0)</f>
        <v/>
      </c>
    </row>
    <row r="788">
      <c r="A788">
        <f>'1 prepared data'!A781</f>
        <v/>
      </c>
      <c r="B788" s="5">
        <f>'1 prepared data'!U781</f>
        <v/>
      </c>
      <c r="C788">
        <f>'1 prepared data'!B781</f>
        <v/>
      </c>
      <c r="D788" s="7">
        <f>'1 prepared data'!C781</f>
        <v/>
      </c>
      <c r="E788" s="7">
        <f>'1 prepared data'!D781</f>
        <v/>
      </c>
      <c r="F788" s="7">
        <f>'1 prepared data'!E781</f>
        <v/>
      </c>
      <c r="G788" s="7">
        <f>'1 prepared data'!F781</f>
        <v/>
      </c>
      <c r="H788" s="7">
        <f>'1 prepared data'!G781</f>
        <v/>
      </c>
      <c r="I788" s="7">
        <f>'1 prepared data'!H781</f>
        <v/>
      </c>
      <c r="J788" s="7">
        <f>'1 prepared data'!I781</f>
        <v/>
      </c>
      <c r="K788" s="7">
        <f>'1 prepared data'!J781</f>
        <v/>
      </c>
      <c r="L788" s="7">
        <f>'1 prepared data'!K781</f>
        <v/>
      </c>
      <c r="M788" s="7">
        <f>'1 prepared data'!L781</f>
        <v/>
      </c>
      <c r="N788" s="7">
        <f>'1 prepared data'!M781</f>
        <v/>
      </c>
      <c r="O788" s="7">
        <f>'1 prepared data'!N781</f>
        <v/>
      </c>
      <c r="P788" s="7">
        <f>'1 prepared data'!O781</f>
        <v/>
      </c>
      <c r="Q788" s="7">
        <f>'1 prepared data'!P781</f>
        <v/>
      </c>
      <c r="R788" s="7">
        <f>'1 prepared data'!Q781</f>
        <v/>
      </c>
      <c r="S788" s="7">
        <f>'1 prepared data'!R781</f>
        <v/>
      </c>
      <c r="T788" s="7">
        <f>'1 prepared data'!S781</f>
        <v/>
      </c>
      <c r="U788" s="7">
        <f>'1 prepared data'!T781</f>
        <v/>
      </c>
      <c r="V788" s="8">
        <f>$AC$12+D788*$AC$13+E788*$AC$14+F788*$AC$15+G788*$AC$16+H788*$AC$17+I788*$AC$18+J788*$AC$19+K788*$AC$20+L788*$AC$21+M788*$AC$22+N788*$AC$23+O788*$AC$24+P788*$AC$25+Q788*$AC$26+R788*$AC$27+S788*$AC$28+T788*$AC$29+U788*$AC$30</f>
        <v/>
      </c>
      <c r="W788" s="8">
        <f>1/(1+EXP(-V788))</f>
        <v/>
      </c>
      <c r="X788" s="9">
        <f>-IF(C788=1,LN(W788),LN(1-W788))</f>
        <v/>
      </c>
      <c r="Y788" s="10">
        <f>IF(W788&gt;$AC$34,1,0)</f>
        <v/>
      </c>
      <c r="Z788">
        <f>IF(Y788=C788,1,0)</f>
        <v/>
      </c>
    </row>
    <row r="789">
      <c r="A789">
        <f>'1 prepared data'!A782</f>
        <v/>
      </c>
      <c r="B789" s="5">
        <f>'1 prepared data'!U782</f>
        <v/>
      </c>
      <c r="C789">
        <f>'1 prepared data'!B782</f>
        <v/>
      </c>
      <c r="D789" s="7">
        <f>'1 prepared data'!C782</f>
        <v/>
      </c>
      <c r="E789" s="7">
        <f>'1 prepared data'!D782</f>
        <v/>
      </c>
      <c r="F789" s="7">
        <f>'1 prepared data'!E782</f>
        <v/>
      </c>
      <c r="G789" s="7">
        <f>'1 prepared data'!F782</f>
        <v/>
      </c>
      <c r="H789" s="7">
        <f>'1 prepared data'!G782</f>
        <v/>
      </c>
      <c r="I789" s="7">
        <f>'1 prepared data'!H782</f>
        <v/>
      </c>
      <c r="J789" s="7">
        <f>'1 prepared data'!I782</f>
        <v/>
      </c>
      <c r="K789" s="7">
        <f>'1 prepared data'!J782</f>
        <v/>
      </c>
      <c r="L789" s="7">
        <f>'1 prepared data'!K782</f>
        <v/>
      </c>
      <c r="M789" s="7">
        <f>'1 prepared data'!L782</f>
        <v/>
      </c>
      <c r="N789" s="7">
        <f>'1 prepared data'!M782</f>
        <v/>
      </c>
      <c r="O789" s="7">
        <f>'1 prepared data'!N782</f>
        <v/>
      </c>
      <c r="P789" s="7">
        <f>'1 prepared data'!O782</f>
        <v/>
      </c>
      <c r="Q789" s="7">
        <f>'1 prepared data'!P782</f>
        <v/>
      </c>
      <c r="R789" s="7">
        <f>'1 prepared data'!Q782</f>
        <v/>
      </c>
      <c r="S789" s="7">
        <f>'1 prepared data'!R782</f>
        <v/>
      </c>
      <c r="T789" s="7">
        <f>'1 prepared data'!S782</f>
        <v/>
      </c>
      <c r="U789" s="7">
        <f>'1 prepared data'!T782</f>
        <v/>
      </c>
      <c r="V789" s="8">
        <f>$AC$12+D789*$AC$13+E789*$AC$14+F789*$AC$15+G789*$AC$16+H789*$AC$17+I789*$AC$18+J789*$AC$19+K789*$AC$20+L789*$AC$21+M789*$AC$22+N789*$AC$23+O789*$AC$24+P789*$AC$25+Q789*$AC$26+R789*$AC$27+S789*$AC$28+T789*$AC$29+U789*$AC$30</f>
        <v/>
      </c>
      <c r="W789" s="8">
        <f>1/(1+EXP(-V789))</f>
        <v/>
      </c>
      <c r="X789" s="9">
        <f>-IF(C789=1,LN(W789),LN(1-W789))</f>
        <v/>
      </c>
      <c r="Y789" s="10">
        <f>IF(W789&gt;$AC$34,1,0)</f>
        <v/>
      </c>
      <c r="Z789">
        <f>IF(Y789=C789,1,0)</f>
        <v/>
      </c>
    </row>
    <row r="790">
      <c r="A790">
        <f>'1 prepared data'!A783</f>
        <v/>
      </c>
      <c r="B790" s="5">
        <f>'1 prepared data'!U783</f>
        <v/>
      </c>
      <c r="C790">
        <f>'1 prepared data'!B783</f>
        <v/>
      </c>
      <c r="D790" s="7">
        <f>'1 prepared data'!C783</f>
        <v/>
      </c>
      <c r="E790" s="7">
        <f>'1 prepared data'!D783</f>
        <v/>
      </c>
      <c r="F790" s="7">
        <f>'1 prepared data'!E783</f>
        <v/>
      </c>
      <c r="G790" s="7">
        <f>'1 prepared data'!F783</f>
        <v/>
      </c>
      <c r="H790" s="7">
        <f>'1 prepared data'!G783</f>
        <v/>
      </c>
      <c r="I790" s="7">
        <f>'1 prepared data'!H783</f>
        <v/>
      </c>
      <c r="J790" s="7">
        <f>'1 prepared data'!I783</f>
        <v/>
      </c>
      <c r="K790" s="7">
        <f>'1 prepared data'!J783</f>
        <v/>
      </c>
      <c r="L790" s="7">
        <f>'1 prepared data'!K783</f>
        <v/>
      </c>
      <c r="M790" s="7">
        <f>'1 prepared data'!L783</f>
        <v/>
      </c>
      <c r="N790" s="7">
        <f>'1 prepared data'!M783</f>
        <v/>
      </c>
      <c r="O790" s="7">
        <f>'1 prepared data'!N783</f>
        <v/>
      </c>
      <c r="P790" s="7">
        <f>'1 prepared data'!O783</f>
        <v/>
      </c>
      <c r="Q790" s="7">
        <f>'1 prepared data'!P783</f>
        <v/>
      </c>
      <c r="R790" s="7">
        <f>'1 prepared data'!Q783</f>
        <v/>
      </c>
      <c r="S790" s="7">
        <f>'1 prepared data'!R783</f>
        <v/>
      </c>
      <c r="T790" s="7">
        <f>'1 prepared data'!S783</f>
        <v/>
      </c>
      <c r="U790" s="7">
        <f>'1 prepared data'!T783</f>
        <v/>
      </c>
      <c r="V790" s="8">
        <f>$AC$12+D790*$AC$13+E790*$AC$14+F790*$AC$15+G790*$AC$16+H790*$AC$17+I790*$AC$18+J790*$AC$19+K790*$AC$20+L790*$AC$21+M790*$AC$22+N790*$AC$23+O790*$AC$24+P790*$AC$25+Q790*$AC$26+R790*$AC$27+S790*$AC$28+T790*$AC$29+U790*$AC$30</f>
        <v/>
      </c>
      <c r="W790" s="8">
        <f>1/(1+EXP(-V790))</f>
        <v/>
      </c>
      <c r="X790" s="9">
        <f>-IF(C790=1,LN(W790),LN(1-W790))</f>
        <v/>
      </c>
      <c r="Y790" s="10">
        <f>IF(W790&gt;$AC$34,1,0)</f>
        <v/>
      </c>
      <c r="Z790">
        <f>IF(Y790=C790,1,0)</f>
        <v/>
      </c>
    </row>
    <row r="791">
      <c r="A791">
        <f>'1 prepared data'!A784</f>
        <v/>
      </c>
      <c r="B791" s="5">
        <f>'1 prepared data'!U784</f>
        <v/>
      </c>
      <c r="C791">
        <f>'1 prepared data'!B784</f>
        <v/>
      </c>
      <c r="D791" s="7">
        <f>'1 prepared data'!C784</f>
        <v/>
      </c>
      <c r="E791" s="7">
        <f>'1 prepared data'!D784</f>
        <v/>
      </c>
      <c r="F791" s="7">
        <f>'1 prepared data'!E784</f>
        <v/>
      </c>
      <c r="G791" s="7">
        <f>'1 prepared data'!F784</f>
        <v/>
      </c>
      <c r="H791" s="7">
        <f>'1 prepared data'!G784</f>
        <v/>
      </c>
      <c r="I791" s="7">
        <f>'1 prepared data'!H784</f>
        <v/>
      </c>
      <c r="J791" s="7">
        <f>'1 prepared data'!I784</f>
        <v/>
      </c>
      <c r="K791" s="7">
        <f>'1 prepared data'!J784</f>
        <v/>
      </c>
      <c r="L791" s="7">
        <f>'1 prepared data'!K784</f>
        <v/>
      </c>
      <c r="M791" s="7">
        <f>'1 prepared data'!L784</f>
        <v/>
      </c>
      <c r="N791" s="7">
        <f>'1 prepared data'!M784</f>
        <v/>
      </c>
      <c r="O791" s="7">
        <f>'1 prepared data'!N784</f>
        <v/>
      </c>
      <c r="P791" s="7">
        <f>'1 prepared data'!O784</f>
        <v/>
      </c>
      <c r="Q791" s="7">
        <f>'1 prepared data'!P784</f>
        <v/>
      </c>
      <c r="R791" s="7">
        <f>'1 prepared data'!Q784</f>
        <v/>
      </c>
      <c r="S791" s="7">
        <f>'1 prepared data'!R784</f>
        <v/>
      </c>
      <c r="T791" s="7">
        <f>'1 prepared data'!S784</f>
        <v/>
      </c>
      <c r="U791" s="7">
        <f>'1 prepared data'!T784</f>
        <v/>
      </c>
      <c r="V791" s="8">
        <f>$AC$12+D791*$AC$13+E791*$AC$14+F791*$AC$15+G791*$AC$16+H791*$AC$17+I791*$AC$18+J791*$AC$19+K791*$AC$20+L791*$AC$21+M791*$AC$22+N791*$AC$23+O791*$AC$24+P791*$AC$25+Q791*$AC$26+R791*$AC$27+S791*$AC$28+T791*$AC$29+U791*$AC$30</f>
        <v/>
      </c>
      <c r="W791" s="8">
        <f>1/(1+EXP(-V791))</f>
        <v/>
      </c>
      <c r="X791" s="9">
        <f>-IF(C791=1,LN(W791),LN(1-W791))</f>
        <v/>
      </c>
      <c r="Y791" s="10">
        <f>IF(W791&gt;$AC$34,1,0)</f>
        <v/>
      </c>
      <c r="Z791">
        <f>IF(Y791=C791,1,0)</f>
        <v/>
      </c>
    </row>
    <row r="792">
      <c r="A792">
        <f>'1 prepared data'!A785</f>
        <v/>
      </c>
      <c r="B792" s="5">
        <f>'1 prepared data'!U785</f>
        <v/>
      </c>
      <c r="C792">
        <f>'1 prepared data'!B785</f>
        <v/>
      </c>
      <c r="D792" s="7">
        <f>'1 prepared data'!C785</f>
        <v/>
      </c>
      <c r="E792" s="7">
        <f>'1 prepared data'!D785</f>
        <v/>
      </c>
      <c r="F792" s="7">
        <f>'1 prepared data'!E785</f>
        <v/>
      </c>
      <c r="G792" s="7">
        <f>'1 prepared data'!F785</f>
        <v/>
      </c>
      <c r="H792" s="7">
        <f>'1 prepared data'!G785</f>
        <v/>
      </c>
      <c r="I792" s="7">
        <f>'1 prepared data'!H785</f>
        <v/>
      </c>
      <c r="J792" s="7">
        <f>'1 prepared data'!I785</f>
        <v/>
      </c>
      <c r="K792" s="7">
        <f>'1 prepared data'!J785</f>
        <v/>
      </c>
      <c r="L792" s="7">
        <f>'1 prepared data'!K785</f>
        <v/>
      </c>
      <c r="M792" s="7">
        <f>'1 prepared data'!L785</f>
        <v/>
      </c>
      <c r="N792" s="7">
        <f>'1 prepared data'!M785</f>
        <v/>
      </c>
      <c r="O792" s="7">
        <f>'1 prepared data'!N785</f>
        <v/>
      </c>
      <c r="P792" s="7">
        <f>'1 prepared data'!O785</f>
        <v/>
      </c>
      <c r="Q792" s="7">
        <f>'1 prepared data'!P785</f>
        <v/>
      </c>
      <c r="R792" s="7">
        <f>'1 prepared data'!Q785</f>
        <v/>
      </c>
      <c r="S792" s="7">
        <f>'1 prepared data'!R785</f>
        <v/>
      </c>
      <c r="T792" s="7">
        <f>'1 prepared data'!S785</f>
        <v/>
      </c>
      <c r="U792" s="7">
        <f>'1 prepared data'!T785</f>
        <v/>
      </c>
      <c r="V792" s="8">
        <f>$AC$12+D792*$AC$13+E792*$AC$14+F792*$AC$15+G792*$AC$16+H792*$AC$17+I792*$AC$18+J792*$AC$19+K792*$AC$20+L792*$AC$21+M792*$AC$22+N792*$AC$23+O792*$AC$24+P792*$AC$25+Q792*$AC$26+R792*$AC$27+S792*$AC$28+T792*$AC$29+U792*$AC$30</f>
        <v/>
      </c>
      <c r="W792" s="8">
        <f>1/(1+EXP(-V792))</f>
        <v/>
      </c>
      <c r="X792" s="9">
        <f>-IF(C792=1,LN(W792),LN(1-W792))</f>
        <v/>
      </c>
      <c r="Y792" s="10">
        <f>IF(W792&gt;$AC$34,1,0)</f>
        <v/>
      </c>
      <c r="Z792">
        <f>IF(Y792=C792,1,0)</f>
        <v/>
      </c>
    </row>
    <row r="793">
      <c r="A793">
        <f>'1 prepared data'!A786</f>
        <v/>
      </c>
      <c r="B793" s="5">
        <f>'1 prepared data'!U786</f>
        <v/>
      </c>
      <c r="C793">
        <f>'1 prepared data'!B786</f>
        <v/>
      </c>
      <c r="D793" s="7">
        <f>'1 prepared data'!C786</f>
        <v/>
      </c>
      <c r="E793" s="7">
        <f>'1 prepared data'!D786</f>
        <v/>
      </c>
      <c r="F793" s="7">
        <f>'1 prepared data'!E786</f>
        <v/>
      </c>
      <c r="G793" s="7">
        <f>'1 prepared data'!F786</f>
        <v/>
      </c>
      <c r="H793" s="7">
        <f>'1 prepared data'!G786</f>
        <v/>
      </c>
      <c r="I793" s="7">
        <f>'1 prepared data'!H786</f>
        <v/>
      </c>
      <c r="J793" s="7">
        <f>'1 prepared data'!I786</f>
        <v/>
      </c>
      <c r="K793" s="7">
        <f>'1 prepared data'!J786</f>
        <v/>
      </c>
      <c r="L793" s="7">
        <f>'1 prepared data'!K786</f>
        <v/>
      </c>
      <c r="M793" s="7">
        <f>'1 prepared data'!L786</f>
        <v/>
      </c>
      <c r="N793" s="7">
        <f>'1 prepared data'!M786</f>
        <v/>
      </c>
      <c r="O793" s="7">
        <f>'1 prepared data'!N786</f>
        <v/>
      </c>
      <c r="P793" s="7">
        <f>'1 prepared data'!O786</f>
        <v/>
      </c>
      <c r="Q793" s="7">
        <f>'1 prepared data'!P786</f>
        <v/>
      </c>
      <c r="R793" s="7">
        <f>'1 prepared data'!Q786</f>
        <v/>
      </c>
      <c r="S793" s="7">
        <f>'1 prepared data'!R786</f>
        <v/>
      </c>
      <c r="T793" s="7">
        <f>'1 prepared data'!S786</f>
        <v/>
      </c>
      <c r="U793" s="7">
        <f>'1 prepared data'!T786</f>
        <v/>
      </c>
      <c r="V793" s="8">
        <f>$AC$12+D793*$AC$13+E793*$AC$14+F793*$AC$15+G793*$AC$16+H793*$AC$17+I793*$AC$18+J793*$AC$19+K793*$AC$20+L793*$AC$21+M793*$AC$22+N793*$AC$23+O793*$AC$24+P793*$AC$25+Q793*$AC$26+R793*$AC$27+S793*$AC$28+T793*$AC$29+U793*$AC$30</f>
        <v/>
      </c>
      <c r="W793" s="8">
        <f>1/(1+EXP(-V793))</f>
        <v/>
      </c>
      <c r="X793" s="9">
        <f>-IF(C793=1,LN(W793),LN(1-W793))</f>
        <v/>
      </c>
      <c r="Y793" s="10">
        <f>IF(W793&gt;$AC$34,1,0)</f>
        <v/>
      </c>
      <c r="Z793">
        <f>IF(Y793=C793,1,0)</f>
        <v/>
      </c>
    </row>
    <row r="794">
      <c r="A794">
        <f>'1 prepared data'!A787</f>
        <v/>
      </c>
      <c r="B794" s="5">
        <f>'1 prepared data'!U787</f>
        <v/>
      </c>
      <c r="C794">
        <f>'1 prepared data'!B787</f>
        <v/>
      </c>
      <c r="D794" s="7">
        <f>'1 prepared data'!C787</f>
        <v/>
      </c>
      <c r="E794" s="7">
        <f>'1 prepared data'!D787</f>
        <v/>
      </c>
      <c r="F794" s="7">
        <f>'1 prepared data'!E787</f>
        <v/>
      </c>
      <c r="G794" s="7">
        <f>'1 prepared data'!F787</f>
        <v/>
      </c>
      <c r="H794" s="7">
        <f>'1 prepared data'!G787</f>
        <v/>
      </c>
      <c r="I794" s="7">
        <f>'1 prepared data'!H787</f>
        <v/>
      </c>
      <c r="J794" s="7">
        <f>'1 prepared data'!I787</f>
        <v/>
      </c>
      <c r="K794" s="7">
        <f>'1 prepared data'!J787</f>
        <v/>
      </c>
      <c r="L794" s="7">
        <f>'1 prepared data'!K787</f>
        <v/>
      </c>
      <c r="M794" s="7">
        <f>'1 prepared data'!L787</f>
        <v/>
      </c>
      <c r="N794" s="7">
        <f>'1 prepared data'!M787</f>
        <v/>
      </c>
      <c r="O794" s="7">
        <f>'1 prepared data'!N787</f>
        <v/>
      </c>
      <c r="P794" s="7">
        <f>'1 prepared data'!O787</f>
        <v/>
      </c>
      <c r="Q794" s="7">
        <f>'1 prepared data'!P787</f>
        <v/>
      </c>
      <c r="R794" s="7">
        <f>'1 prepared data'!Q787</f>
        <v/>
      </c>
      <c r="S794" s="7">
        <f>'1 prepared data'!R787</f>
        <v/>
      </c>
      <c r="T794" s="7">
        <f>'1 prepared data'!S787</f>
        <v/>
      </c>
      <c r="U794" s="7">
        <f>'1 prepared data'!T787</f>
        <v/>
      </c>
      <c r="V794" s="8">
        <f>$AC$12+D794*$AC$13+E794*$AC$14+F794*$AC$15+G794*$AC$16+H794*$AC$17+I794*$AC$18+J794*$AC$19+K794*$AC$20+L794*$AC$21+M794*$AC$22+N794*$AC$23+O794*$AC$24+P794*$AC$25+Q794*$AC$26+R794*$AC$27+S794*$AC$28+T794*$AC$29+U794*$AC$30</f>
        <v/>
      </c>
      <c r="W794" s="8">
        <f>1/(1+EXP(-V794))</f>
        <v/>
      </c>
      <c r="X794" s="9">
        <f>-IF(C794=1,LN(W794),LN(1-W794))</f>
        <v/>
      </c>
      <c r="Y794" s="10">
        <f>IF(W794&gt;$AC$34,1,0)</f>
        <v/>
      </c>
      <c r="Z794">
        <f>IF(Y794=C794,1,0)</f>
        <v/>
      </c>
    </row>
    <row r="795">
      <c r="A795">
        <f>'1 prepared data'!A788</f>
        <v/>
      </c>
      <c r="B795" s="5">
        <f>'1 prepared data'!U788</f>
        <v/>
      </c>
      <c r="C795">
        <f>'1 prepared data'!B788</f>
        <v/>
      </c>
      <c r="D795" s="7">
        <f>'1 prepared data'!C788</f>
        <v/>
      </c>
      <c r="E795" s="7">
        <f>'1 prepared data'!D788</f>
        <v/>
      </c>
      <c r="F795" s="7">
        <f>'1 prepared data'!E788</f>
        <v/>
      </c>
      <c r="G795" s="7">
        <f>'1 prepared data'!F788</f>
        <v/>
      </c>
      <c r="H795" s="7">
        <f>'1 prepared data'!G788</f>
        <v/>
      </c>
      <c r="I795" s="7">
        <f>'1 prepared data'!H788</f>
        <v/>
      </c>
      <c r="J795" s="7">
        <f>'1 prepared data'!I788</f>
        <v/>
      </c>
      <c r="K795" s="7">
        <f>'1 prepared data'!J788</f>
        <v/>
      </c>
      <c r="L795" s="7">
        <f>'1 prepared data'!K788</f>
        <v/>
      </c>
      <c r="M795" s="7">
        <f>'1 prepared data'!L788</f>
        <v/>
      </c>
      <c r="N795" s="7">
        <f>'1 prepared data'!M788</f>
        <v/>
      </c>
      <c r="O795" s="7">
        <f>'1 prepared data'!N788</f>
        <v/>
      </c>
      <c r="P795" s="7">
        <f>'1 prepared data'!O788</f>
        <v/>
      </c>
      <c r="Q795" s="7">
        <f>'1 prepared data'!P788</f>
        <v/>
      </c>
      <c r="R795" s="7">
        <f>'1 prepared data'!Q788</f>
        <v/>
      </c>
      <c r="S795" s="7">
        <f>'1 prepared data'!R788</f>
        <v/>
      </c>
      <c r="T795" s="7">
        <f>'1 prepared data'!S788</f>
        <v/>
      </c>
      <c r="U795" s="7">
        <f>'1 prepared data'!T788</f>
        <v/>
      </c>
      <c r="V795" s="8">
        <f>$AC$12+D795*$AC$13+E795*$AC$14+F795*$AC$15+G795*$AC$16+H795*$AC$17+I795*$AC$18+J795*$AC$19+K795*$AC$20+L795*$AC$21+M795*$AC$22+N795*$AC$23+O795*$AC$24+P795*$AC$25+Q795*$AC$26+R795*$AC$27+S795*$AC$28+T795*$AC$29+U795*$AC$30</f>
        <v/>
      </c>
      <c r="W795" s="8">
        <f>1/(1+EXP(-V795))</f>
        <v/>
      </c>
      <c r="X795" s="9">
        <f>-IF(C795=1,LN(W795),LN(1-W795))</f>
        <v/>
      </c>
      <c r="Y795" s="10">
        <f>IF(W795&gt;$AC$34,1,0)</f>
        <v/>
      </c>
      <c r="Z795">
        <f>IF(Y795=C795,1,0)</f>
        <v/>
      </c>
    </row>
    <row r="796">
      <c r="A796">
        <f>'1 prepared data'!A789</f>
        <v/>
      </c>
      <c r="B796" s="5">
        <f>'1 prepared data'!U789</f>
        <v/>
      </c>
      <c r="C796">
        <f>'1 prepared data'!B789</f>
        <v/>
      </c>
      <c r="D796" s="7">
        <f>'1 prepared data'!C789</f>
        <v/>
      </c>
      <c r="E796" s="7">
        <f>'1 prepared data'!D789</f>
        <v/>
      </c>
      <c r="F796" s="7">
        <f>'1 prepared data'!E789</f>
        <v/>
      </c>
      <c r="G796" s="7">
        <f>'1 prepared data'!F789</f>
        <v/>
      </c>
      <c r="H796" s="7">
        <f>'1 prepared data'!G789</f>
        <v/>
      </c>
      <c r="I796" s="7">
        <f>'1 prepared data'!H789</f>
        <v/>
      </c>
      <c r="J796" s="7">
        <f>'1 prepared data'!I789</f>
        <v/>
      </c>
      <c r="K796" s="7">
        <f>'1 prepared data'!J789</f>
        <v/>
      </c>
      <c r="L796" s="7">
        <f>'1 prepared data'!K789</f>
        <v/>
      </c>
      <c r="M796" s="7">
        <f>'1 prepared data'!L789</f>
        <v/>
      </c>
      <c r="N796" s="7">
        <f>'1 prepared data'!M789</f>
        <v/>
      </c>
      <c r="O796" s="7">
        <f>'1 prepared data'!N789</f>
        <v/>
      </c>
      <c r="P796" s="7">
        <f>'1 prepared data'!O789</f>
        <v/>
      </c>
      <c r="Q796" s="7">
        <f>'1 prepared data'!P789</f>
        <v/>
      </c>
      <c r="R796" s="7">
        <f>'1 prepared data'!Q789</f>
        <v/>
      </c>
      <c r="S796" s="7">
        <f>'1 prepared data'!R789</f>
        <v/>
      </c>
      <c r="T796" s="7">
        <f>'1 prepared data'!S789</f>
        <v/>
      </c>
      <c r="U796" s="7">
        <f>'1 prepared data'!T789</f>
        <v/>
      </c>
      <c r="V796" s="8">
        <f>$AC$12+D796*$AC$13+E796*$AC$14+F796*$AC$15+G796*$AC$16+H796*$AC$17+I796*$AC$18+J796*$AC$19+K796*$AC$20+L796*$AC$21+M796*$AC$22+N796*$AC$23+O796*$AC$24+P796*$AC$25+Q796*$AC$26+R796*$AC$27+S796*$AC$28+T796*$AC$29+U796*$AC$30</f>
        <v/>
      </c>
      <c r="W796" s="8">
        <f>1/(1+EXP(-V796))</f>
        <v/>
      </c>
      <c r="X796" s="9">
        <f>-IF(C796=1,LN(W796),LN(1-W796))</f>
        <v/>
      </c>
      <c r="Y796" s="10">
        <f>IF(W796&gt;$AC$34,1,0)</f>
        <v/>
      </c>
      <c r="Z796">
        <f>IF(Y796=C796,1,0)</f>
        <v/>
      </c>
    </row>
    <row r="797">
      <c r="A797">
        <f>'1 prepared data'!A790</f>
        <v/>
      </c>
      <c r="B797" s="5">
        <f>'1 prepared data'!U790</f>
        <v/>
      </c>
      <c r="C797">
        <f>'1 prepared data'!B790</f>
        <v/>
      </c>
      <c r="D797" s="7">
        <f>'1 prepared data'!C790</f>
        <v/>
      </c>
      <c r="E797" s="7">
        <f>'1 prepared data'!D790</f>
        <v/>
      </c>
      <c r="F797" s="7">
        <f>'1 prepared data'!E790</f>
        <v/>
      </c>
      <c r="G797" s="7">
        <f>'1 prepared data'!F790</f>
        <v/>
      </c>
      <c r="H797" s="7">
        <f>'1 prepared data'!G790</f>
        <v/>
      </c>
      <c r="I797" s="7">
        <f>'1 prepared data'!H790</f>
        <v/>
      </c>
      <c r="J797" s="7">
        <f>'1 prepared data'!I790</f>
        <v/>
      </c>
      <c r="K797" s="7">
        <f>'1 prepared data'!J790</f>
        <v/>
      </c>
      <c r="L797" s="7">
        <f>'1 prepared data'!K790</f>
        <v/>
      </c>
      <c r="M797" s="7">
        <f>'1 prepared data'!L790</f>
        <v/>
      </c>
      <c r="N797" s="7">
        <f>'1 prepared data'!M790</f>
        <v/>
      </c>
      <c r="O797" s="7">
        <f>'1 prepared data'!N790</f>
        <v/>
      </c>
      <c r="P797" s="7">
        <f>'1 prepared data'!O790</f>
        <v/>
      </c>
      <c r="Q797" s="7">
        <f>'1 prepared data'!P790</f>
        <v/>
      </c>
      <c r="R797" s="7">
        <f>'1 prepared data'!Q790</f>
        <v/>
      </c>
      <c r="S797" s="7">
        <f>'1 prepared data'!R790</f>
        <v/>
      </c>
      <c r="T797" s="7">
        <f>'1 prepared data'!S790</f>
        <v/>
      </c>
      <c r="U797" s="7">
        <f>'1 prepared data'!T790</f>
        <v/>
      </c>
      <c r="V797" s="8">
        <f>$AC$12+D797*$AC$13+E797*$AC$14+F797*$AC$15+G797*$AC$16+H797*$AC$17+I797*$AC$18+J797*$AC$19+K797*$AC$20+L797*$AC$21+M797*$AC$22+N797*$AC$23+O797*$AC$24+P797*$AC$25+Q797*$AC$26+R797*$AC$27+S797*$AC$28+T797*$AC$29+U797*$AC$30</f>
        <v/>
      </c>
      <c r="W797" s="8">
        <f>1/(1+EXP(-V797))</f>
        <v/>
      </c>
      <c r="X797" s="9">
        <f>-IF(C797=1,LN(W797),LN(1-W797))</f>
        <v/>
      </c>
      <c r="Y797" s="10">
        <f>IF(W797&gt;$AC$34,1,0)</f>
        <v/>
      </c>
      <c r="Z797">
        <f>IF(Y797=C797,1,0)</f>
        <v/>
      </c>
    </row>
    <row r="798">
      <c r="A798">
        <f>'1 prepared data'!A791</f>
        <v/>
      </c>
      <c r="B798" s="5">
        <f>'1 prepared data'!U791</f>
        <v/>
      </c>
      <c r="C798">
        <f>'1 prepared data'!B791</f>
        <v/>
      </c>
      <c r="D798" s="7">
        <f>'1 prepared data'!C791</f>
        <v/>
      </c>
      <c r="E798" s="7">
        <f>'1 prepared data'!D791</f>
        <v/>
      </c>
      <c r="F798" s="7">
        <f>'1 prepared data'!E791</f>
        <v/>
      </c>
      <c r="G798" s="7">
        <f>'1 prepared data'!F791</f>
        <v/>
      </c>
      <c r="H798" s="7">
        <f>'1 prepared data'!G791</f>
        <v/>
      </c>
      <c r="I798" s="7">
        <f>'1 prepared data'!H791</f>
        <v/>
      </c>
      <c r="J798" s="7">
        <f>'1 prepared data'!I791</f>
        <v/>
      </c>
      <c r="K798" s="7">
        <f>'1 prepared data'!J791</f>
        <v/>
      </c>
      <c r="L798" s="7">
        <f>'1 prepared data'!K791</f>
        <v/>
      </c>
      <c r="M798" s="7">
        <f>'1 prepared data'!L791</f>
        <v/>
      </c>
      <c r="N798" s="7">
        <f>'1 prepared data'!M791</f>
        <v/>
      </c>
      <c r="O798" s="7">
        <f>'1 prepared data'!N791</f>
        <v/>
      </c>
      <c r="P798" s="7">
        <f>'1 prepared data'!O791</f>
        <v/>
      </c>
      <c r="Q798" s="7">
        <f>'1 prepared data'!P791</f>
        <v/>
      </c>
      <c r="R798" s="7">
        <f>'1 prepared data'!Q791</f>
        <v/>
      </c>
      <c r="S798" s="7">
        <f>'1 prepared data'!R791</f>
        <v/>
      </c>
      <c r="T798" s="7">
        <f>'1 prepared data'!S791</f>
        <v/>
      </c>
      <c r="U798" s="7">
        <f>'1 prepared data'!T791</f>
        <v/>
      </c>
      <c r="V798" s="8">
        <f>$AC$12+D798*$AC$13+E798*$AC$14+F798*$AC$15+G798*$AC$16+H798*$AC$17+I798*$AC$18+J798*$AC$19+K798*$AC$20+L798*$AC$21+M798*$AC$22+N798*$AC$23+O798*$AC$24+P798*$AC$25+Q798*$AC$26+R798*$AC$27+S798*$AC$28+T798*$AC$29+U798*$AC$30</f>
        <v/>
      </c>
      <c r="W798" s="8">
        <f>1/(1+EXP(-V798))</f>
        <v/>
      </c>
      <c r="X798" s="9">
        <f>-IF(C798=1,LN(W798),LN(1-W798))</f>
        <v/>
      </c>
      <c r="Y798" s="10">
        <f>IF(W798&gt;$AC$34,1,0)</f>
        <v/>
      </c>
      <c r="Z798">
        <f>IF(Y798=C798,1,0)</f>
        <v/>
      </c>
    </row>
    <row r="799">
      <c r="A799">
        <f>'1 prepared data'!A792</f>
        <v/>
      </c>
      <c r="B799" s="5">
        <f>'1 prepared data'!U792</f>
        <v/>
      </c>
      <c r="C799">
        <f>'1 prepared data'!B792</f>
        <v/>
      </c>
      <c r="D799" s="7">
        <f>'1 prepared data'!C792</f>
        <v/>
      </c>
      <c r="E799" s="7">
        <f>'1 prepared data'!D792</f>
        <v/>
      </c>
      <c r="F799" s="7">
        <f>'1 prepared data'!E792</f>
        <v/>
      </c>
      <c r="G799" s="7">
        <f>'1 prepared data'!F792</f>
        <v/>
      </c>
      <c r="H799" s="7">
        <f>'1 prepared data'!G792</f>
        <v/>
      </c>
      <c r="I799" s="7">
        <f>'1 prepared data'!H792</f>
        <v/>
      </c>
      <c r="J799" s="7">
        <f>'1 prepared data'!I792</f>
        <v/>
      </c>
      <c r="K799" s="7">
        <f>'1 prepared data'!J792</f>
        <v/>
      </c>
      <c r="L799" s="7">
        <f>'1 prepared data'!K792</f>
        <v/>
      </c>
      <c r="M799" s="7">
        <f>'1 prepared data'!L792</f>
        <v/>
      </c>
      <c r="N799" s="7">
        <f>'1 prepared data'!M792</f>
        <v/>
      </c>
      <c r="O799" s="7">
        <f>'1 prepared data'!N792</f>
        <v/>
      </c>
      <c r="P799" s="7">
        <f>'1 prepared data'!O792</f>
        <v/>
      </c>
      <c r="Q799" s="7">
        <f>'1 prepared data'!P792</f>
        <v/>
      </c>
      <c r="R799" s="7">
        <f>'1 prepared data'!Q792</f>
        <v/>
      </c>
      <c r="S799" s="7">
        <f>'1 prepared data'!R792</f>
        <v/>
      </c>
      <c r="T799" s="7">
        <f>'1 prepared data'!S792</f>
        <v/>
      </c>
      <c r="U799" s="7">
        <f>'1 prepared data'!T792</f>
        <v/>
      </c>
      <c r="V799" s="8">
        <f>$AC$12+D799*$AC$13+E799*$AC$14+F799*$AC$15+G799*$AC$16+H799*$AC$17+I799*$AC$18+J799*$AC$19+K799*$AC$20+L799*$AC$21+M799*$AC$22+N799*$AC$23+O799*$AC$24+P799*$AC$25+Q799*$AC$26+R799*$AC$27+S799*$AC$28+T799*$AC$29+U799*$AC$30</f>
        <v/>
      </c>
      <c r="W799" s="8">
        <f>1/(1+EXP(-V799))</f>
        <v/>
      </c>
      <c r="X799" s="9">
        <f>-IF(C799=1,LN(W799),LN(1-W799))</f>
        <v/>
      </c>
      <c r="Y799" s="10">
        <f>IF(W799&gt;$AC$34,1,0)</f>
        <v/>
      </c>
      <c r="Z799">
        <f>IF(Y799=C799,1,0)</f>
        <v/>
      </c>
    </row>
    <row r="800">
      <c r="A800">
        <f>'1 prepared data'!A793</f>
        <v/>
      </c>
      <c r="B800" s="5">
        <f>'1 prepared data'!U793</f>
        <v/>
      </c>
      <c r="C800">
        <f>'1 prepared data'!B793</f>
        <v/>
      </c>
      <c r="D800" s="7">
        <f>'1 prepared data'!C793</f>
        <v/>
      </c>
      <c r="E800" s="7">
        <f>'1 prepared data'!D793</f>
        <v/>
      </c>
      <c r="F800" s="7">
        <f>'1 prepared data'!E793</f>
        <v/>
      </c>
      <c r="G800" s="7">
        <f>'1 prepared data'!F793</f>
        <v/>
      </c>
      <c r="H800" s="7">
        <f>'1 prepared data'!G793</f>
        <v/>
      </c>
      <c r="I800" s="7">
        <f>'1 prepared data'!H793</f>
        <v/>
      </c>
      <c r="J800" s="7">
        <f>'1 prepared data'!I793</f>
        <v/>
      </c>
      <c r="K800" s="7">
        <f>'1 prepared data'!J793</f>
        <v/>
      </c>
      <c r="L800" s="7">
        <f>'1 prepared data'!K793</f>
        <v/>
      </c>
      <c r="M800" s="7">
        <f>'1 prepared data'!L793</f>
        <v/>
      </c>
      <c r="N800" s="7">
        <f>'1 prepared data'!M793</f>
        <v/>
      </c>
      <c r="O800" s="7">
        <f>'1 prepared data'!N793</f>
        <v/>
      </c>
      <c r="P800" s="7">
        <f>'1 prepared data'!O793</f>
        <v/>
      </c>
      <c r="Q800" s="7">
        <f>'1 prepared data'!P793</f>
        <v/>
      </c>
      <c r="R800" s="7">
        <f>'1 prepared data'!Q793</f>
        <v/>
      </c>
      <c r="S800" s="7">
        <f>'1 prepared data'!R793</f>
        <v/>
      </c>
      <c r="T800" s="7">
        <f>'1 prepared data'!S793</f>
        <v/>
      </c>
      <c r="U800" s="7">
        <f>'1 prepared data'!T793</f>
        <v/>
      </c>
      <c r="V800" s="8">
        <f>$AC$12+D800*$AC$13+E800*$AC$14+F800*$AC$15+G800*$AC$16+H800*$AC$17+I800*$AC$18+J800*$AC$19+K800*$AC$20+L800*$AC$21+M800*$AC$22+N800*$AC$23+O800*$AC$24+P800*$AC$25+Q800*$AC$26+R800*$AC$27+S800*$AC$28+T800*$AC$29+U800*$AC$30</f>
        <v/>
      </c>
      <c r="W800" s="8">
        <f>1/(1+EXP(-V800))</f>
        <v/>
      </c>
      <c r="X800" s="9">
        <f>-IF(C800=1,LN(W800),LN(1-W800))</f>
        <v/>
      </c>
      <c r="Y800" s="10">
        <f>IF(W800&gt;$AC$34,1,0)</f>
        <v/>
      </c>
      <c r="Z800">
        <f>IF(Y800=C800,1,0)</f>
        <v/>
      </c>
    </row>
    <row r="801">
      <c r="A801">
        <f>'1 prepared data'!A794</f>
        <v/>
      </c>
      <c r="B801" s="5">
        <f>'1 prepared data'!U794</f>
        <v/>
      </c>
      <c r="C801">
        <f>'1 prepared data'!B794</f>
        <v/>
      </c>
      <c r="D801" s="7">
        <f>'1 prepared data'!C794</f>
        <v/>
      </c>
      <c r="E801" s="7">
        <f>'1 prepared data'!D794</f>
        <v/>
      </c>
      <c r="F801" s="7">
        <f>'1 prepared data'!E794</f>
        <v/>
      </c>
      <c r="G801" s="7">
        <f>'1 prepared data'!F794</f>
        <v/>
      </c>
      <c r="H801" s="7">
        <f>'1 prepared data'!G794</f>
        <v/>
      </c>
      <c r="I801" s="7">
        <f>'1 prepared data'!H794</f>
        <v/>
      </c>
      <c r="J801" s="7">
        <f>'1 prepared data'!I794</f>
        <v/>
      </c>
      <c r="K801" s="7">
        <f>'1 prepared data'!J794</f>
        <v/>
      </c>
      <c r="L801" s="7">
        <f>'1 prepared data'!K794</f>
        <v/>
      </c>
      <c r="M801" s="7">
        <f>'1 prepared data'!L794</f>
        <v/>
      </c>
      <c r="N801" s="7">
        <f>'1 prepared data'!M794</f>
        <v/>
      </c>
      <c r="O801" s="7">
        <f>'1 prepared data'!N794</f>
        <v/>
      </c>
      <c r="P801" s="7">
        <f>'1 prepared data'!O794</f>
        <v/>
      </c>
      <c r="Q801" s="7">
        <f>'1 prepared data'!P794</f>
        <v/>
      </c>
      <c r="R801" s="7">
        <f>'1 prepared data'!Q794</f>
        <v/>
      </c>
      <c r="S801" s="7">
        <f>'1 prepared data'!R794</f>
        <v/>
      </c>
      <c r="T801" s="7">
        <f>'1 prepared data'!S794</f>
        <v/>
      </c>
      <c r="U801" s="7">
        <f>'1 prepared data'!T794</f>
        <v/>
      </c>
      <c r="V801" s="8">
        <f>$AC$12+D801*$AC$13+E801*$AC$14+F801*$AC$15+G801*$AC$16+H801*$AC$17+I801*$AC$18+J801*$AC$19+K801*$AC$20+L801*$AC$21+M801*$AC$22+N801*$AC$23+O801*$AC$24+P801*$AC$25+Q801*$AC$26+R801*$AC$27+S801*$AC$28+T801*$AC$29+U801*$AC$30</f>
        <v/>
      </c>
      <c r="W801" s="8">
        <f>1/(1+EXP(-V801))</f>
        <v/>
      </c>
      <c r="X801" s="9">
        <f>-IF(C801=1,LN(W801),LN(1-W801))</f>
        <v/>
      </c>
      <c r="Y801" s="10">
        <f>IF(W801&gt;$AC$34,1,0)</f>
        <v/>
      </c>
      <c r="Z801">
        <f>IF(Y801=C801,1,0)</f>
        <v/>
      </c>
    </row>
    <row r="802">
      <c r="A802">
        <f>'1 prepared data'!A795</f>
        <v/>
      </c>
      <c r="B802" s="5">
        <f>'1 prepared data'!U795</f>
        <v/>
      </c>
      <c r="C802">
        <f>'1 prepared data'!B795</f>
        <v/>
      </c>
      <c r="D802" s="7">
        <f>'1 prepared data'!C795</f>
        <v/>
      </c>
      <c r="E802" s="7">
        <f>'1 prepared data'!D795</f>
        <v/>
      </c>
      <c r="F802" s="7">
        <f>'1 prepared data'!E795</f>
        <v/>
      </c>
      <c r="G802" s="7">
        <f>'1 prepared data'!F795</f>
        <v/>
      </c>
      <c r="H802" s="7">
        <f>'1 prepared data'!G795</f>
        <v/>
      </c>
      <c r="I802" s="7">
        <f>'1 prepared data'!H795</f>
        <v/>
      </c>
      <c r="J802" s="7">
        <f>'1 prepared data'!I795</f>
        <v/>
      </c>
      <c r="K802" s="7">
        <f>'1 prepared data'!J795</f>
        <v/>
      </c>
      <c r="L802" s="7">
        <f>'1 prepared data'!K795</f>
        <v/>
      </c>
      <c r="M802" s="7">
        <f>'1 prepared data'!L795</f>
        <v/>
      </c>
      <c r="N802" s="7">
        <f>'1 prepared data'!M795</f>
        <v/>
      </c>
      <c r="O802" s="7">
        <f>'1 prepared data'!N795</f>
        <v/>
      </c>
      <c r="P802" s="7">
        <f>'1 prepared data'!O795</f>
        <v/>
      </c>
      <c r="Q802" s="7">
        <f>'1 prepared data'!P795</f>
        <v/>
      </c>
      <c r="R802" s="7">
        <f>'1 prepared data'!Q795</f>
        <v/>
      </c>
      <c r="S802" s="7">
        <f>'1 prepared data'!R795</f>
        <v/>
      </c>
      <c r="T802" s="7">
        <f>'1 prepared data'!S795</f>
        <v/>
      </c>
      <c r="U802" s="7">
        <f>'1 prepared data'!T795</f>
        <v/>
      </c>
      <c r="V802" s="8">
        <f>$AC$12+D802*$AC$13+E802*$AC$14+F802*$AC$15+G802*$AC$16+H802*$AC$17+I802*$AC$18+J802*$AC$19+K802*$AC$20+L802*$AC$21+M802*$AC$22+N802*$AC$23+O802*$AC$24+P802*$AC$25+Q802*$AC$26+R802*$AC$27+S802*$AC$28+T802*$AC$29+U802*$AC$30</f>
        <v/>
      </c>
      <c r="W802" s="8">
        <f>1/(1+EXP(-V802))</f>
        <v/>
      </c>
      <c r="X802" s="9">
        <f>-IF(C802=1,LN(W802),LN(1-W802))</f>
        <v/>
      </c>
      <c r="Y802" s="10">
        <f>IF(W802&gt;$AC$34,1,0)</f>
        <v/>
      </c>
      <c r="Z802">
        <f>IF(Y802=C802,1,0)</f>
        <v/>
      </c>
    </row>
    <row r="803">
      <c r="A803">
        <f>'1 prepared data'!A796</f>
        <v/>
      </c>
      <c r="B803" s="5">
        <f>'1 prepared data'!U796</f>
        <v/>
      </c>
      <c r="C803">
        <f>'1 prepared data'!B796</f>
        <v/>
      </c>
      <c r="D803" s="7">
        <f>'1 prepared data'!C796</f>
        <v/>
      </c>
      <c r="E803" s="7">
        <f>'1 prepared data'!D796</f>
        <v/>
      </c>
      <c r="F803" s="7">
        <f>'1 prepared data'!E796</f>
        <v/>
      </c>
      <c r="G803" s="7">
        <f>'1 prepared data'!F796</f>
        <v/>
      </c>
      <c r="H803" s="7">
        <f>'1 prepared data'!G796</f>
        <v/>
      </c>
      <c r="I803" s="7">
        <f>'1 prepared data'!H796</f>
        <v/>
      </c>
      <c r="J803" s="7">
        <f>'1 prepared data'!I796</f>
        <v/>
      </c>
      <c r="K803" s="7">
        <f>'1 prepared data'!J796</f>
        <v/>
      </c>
      <c r="L803" s="7">
        <f>'1 prepared data'!K796</f>
        <v/>
      </c>
      <c r="M803" s="7">
        <f>'1 prepared data'!L796</f>
        <v/>
      </c>
      <c r="N803" s="7">
        <f>'1 prepared data'!M796</f>
        <v/>
      </c>
      <c r="O803" s="7">
        <f>'1 prepared data'!N796</f>
        <v/>
      </c>
      <c r="P803" s="7">
        <f>'1 prepared data'!O796</f>
        <v/>
      </c>
      <c r="Q803" s="7">
        <f>'1 prepared data'!P796</f>
        <v/>
      </c>
      <c r="R803" s="7">
        <f>'1 prepared data'!Q796</f>
        <v/>
      </c>
      <c r="S803" s="7">
        <f>'1 prepared data'!R796</f>
        <v/>
      </c>
      <c r="T803" s="7">
        <f>'1 prepared data'!S796</f>
        <v/>
      </c>
      <c r="U803" s="7">
        <f>'1 prepared data'!T796</f>
        <v/>
      </c>
      <c r="V803" s="8">
        <f>$AC$12+D803*$AC$13+E803*$AC$14+F803*$AC$15+G803*$AC$16+H803*$AC$17+I803*$AC$18+J803*$AC$19+K803*$AC$20+L803*$AC$21+M803*$AC$22+N803*$AC$23+O803*$AC$24+P803*$AC$25+Q803*$AC$26+R803*$AC$27+S803*$AC$28+T803*$AC$29+U803*$AC$30</f>
        <v/>
      </c>
      <c r="W803" s="8">
        <f>1/(1+EXP(-V803))</f>
        <v/>
      </c>
      <c r="X803" s="9">
        <f>-IF(C803=1,LN(W803),LN(1-W803))</f>
        <v/>
      </c>
      <c r="Y803" s="10">
        <f>IF(W803&gt;$AC$34,1,0)</f>
        <v/>
      </c>
      <c r="Z803">
        <f>IF(Y803=C803,1,0)</f>
        <v/>
      </c>
    </row>
    <row r="804">
      <c r="A804">
        <f>'1 prepared data'!A797</f>
        <v/>
      </c>
      <c r="B804" s="5">
        <f>'1 prepared data'!U797</f>
        <v/>
      </c>
      <c r="C804">
        <f>'1 prepared data'!B797</f>
        <v/>
      </c>
      <c r="D804" s="7">
        <f>'1 prepared data'!C797</f>
        <v/>
      </c>
      <c r="E804" s="7">
        <f>'1 prepared data'!D797</f>
        <v/>
      </c>
      <c r="F804" s="7">
        <f>'1 prepared data'!E797</f>
        <v/>
      </c>
      <c r="G804" s="7">
        <f>'1 prepared data'!F797</f>
        <v/>
      </c>
      <c r="H804" s="7">
        <f>'1 prepared data'!G797</f>
        <v/>
      </c>
      <c r="I804" s="7">
        <f>'1 prepared data'!H797</f>
        <v/>
      </c>
      <c r="J804" s="7">
        <f>'1 prepared data'!I797</f>
        <v/>
      </c>
      <c r="K804" s="7">
        <f>'1 prepared data'!J797</f>
        <v/>
      </c>
      <c r="L804" s="7">
        <f>'1 prepared data'!K797</f>
        <v/>
      </c>
      <c r="M804" s="7">
        <f>'1 prepared data'!L797</f>
        <v/>
      </c>
      <c r="N804" s="7">
        <f>'1 prepared data'!M797</f>
        <v/>
      </c>
      <c r="O804" s="7">
        <f>'1 prepared data'!N797</f>
        <v/>
      </c>
      <c r="P804" s="7">
        <f>'1 prepared data'!O797</f>
        <v/>
      </c>
      <c r="Q804" s="7">
        <f>'1 prepared data'!P797</f>
        <v/>
      </c>
      <c r="R804" s="7">
        <f>'1 prepared data'!Q797</f>
        <v/>
      </c>
      <c r="S804" s="7">
        <f>'1 prepared data'!R797</f>
        <v/>
      </c>
      <c r="T804" s="7">
        <f>'1 prepared data'!S797</f>
        <v/>
      </c>
      <c r="U804" s="7">
        <f>'1 prepared data'!T797</f>
        <v/>
      </c>
      <c r="V804" s="8">
        <f>$AC$12+D804*$AC$13+E804*$AC$14+F804*$AC$15+G804*$AC$16+H804*$AC$17+I804*$AC$18+J804*$AC$19+K804*$AC$20+L804*$AC$21+M804*$AC$22+N804*$AC$23+O804*$AC$24+P804*$AC$25+Q804*$AC$26+R804*$AC$27+S804*$AC$28+T804*$AC$29+U804*$AC$30</f>
        <v/>
      </c>
      <c r="W804" s="8">
        <f>1/(1+EXP(-V804))</f>
        <v/>
      </c>
      <c r="X804" s="9">
        <f>-IF(C804=1,LN(W804),LN(1-W804))</f>
        <v/>
      </c>
      <c r="Y804" s="10">
        <f>IF(W804&gt;$AC$34,1,0)</f>
        <v/>
      </c>
      <c r="Z804">
        <f>IF(Y804=C804,1,0)</f>
        <v/>
      </c>
    </row>
    <row r="805">
      <c r="A805">
        <f>'1 prepared data'!A798</f>
        <v/>
      </c>
      <c r="B805" s="5">
        <f>'1 prepared data'!U798</f>
        <v/>
      </c>
      <c r="C805">
        <f>'1 prepared data'!B798</f>
        <v/>
      </c>
      <c r="D805" s="7">
        <f>'1 prepared data'!C798</f>
        <v/>
      </c>
      <c r="E805" s="7">
        <f>'1 prepared data'!D798</f>
        <v/>
      </c>
      <c r="F805" s="7">
        <f>'1 prepared data'!E798</f>
        <v/>
      </c>
      <c r="G805" s="7">
        <f>'1 prepared data'!F798</f>
        <v/>
      </c>
      <c r="H805" s="7">
        <f>'1 prepared data'!G798</f>
        <v/>
      </c>
      <c r="I805" s="7">
        <f>'1 prepared data'!H798</f>
        <v/>
      </c>
      <c r="J805" s="7">
        <f>'1 prepared data'!I798</f>
        <v/>
      </c>
      <c r="K805" s="7">
        <f>'1 prepared data'!J798</f>
        <v/>
      </c>
      <c r="L805" s="7">
        <f>'1 prepared data'!K798</f>
        <v/>
      </c>
      <c r="M805" s="7">
        <f>'1 prepared data'!L798</f>
        <v/>
      </c>
      <c r="N805" s="7">
        <f>'1 prepared data'!M798</f>
        <v/>
      </c>
      <c r="O805" s="7">
        <f>'1 prepared data'!N798</f>
        <v/>
      </c>
      <c r="P805" s="7">
        <f>'1 prepared data'!O798</f>
        <v/>
      </c>
      <c r="Q805" s="7">
        <f>'1 prepared data'!P798</f>
        <v/>
      </c>
      <c r="R805" s="7">
        <f>'1 prepared data'!Q798</f>
        <v/>
      </c>
      <c r="S805" s="7">
        <f>'1 prepared data'!R798</f>
        <v/>
      </c>
      <c r="T805" s="7">
        <f>'1 prepared data'!S798</f>
        <v/>
      </c>
      <c r="U805" s="7">
        <f>'1 prepared data'!T798</f>
        <v/>
      </c>
      <c r="V805" s="8">
        <f>$AC$12+D805*$AC$13+E805*$AC$14+F805*$AC$15+G805*$AC$16+H805*$AC$17+I805*$AC$18+J805*$AC$19+K805*$AC$20+L805*$AC$21+M805*$AC$22+N805*$AC$23+O805*$AC$24+P805*$AC$25+Q805*$AC$26+R805*$AC$27+S805*$AC$28+T805*$AC$29+U805*$AC$30</f>
        <v/>
      </c>
      <c r="W805" s="8">
        <f>1/(1+EXP(-V805))</f>
        <v/>
      </c>
      <c r="X805" s="9">
        <f>-IF(C805=1,LN(W805),LN(1-W805))</f>
        <v/>
      </c>
      <c r="Y805" s="10">
        <f>IF(W805&gt;$AC$34,1,0)</f>
        <v/>
      </c>
      <c r="Z805">
        <f>IF(Y805=C805,1,0)</f>
        <v/>
      </c>
    </row>
    <row r="806">
      <c r="A806">
        <f>'1 prepared data'!A799</f>
        <v/>
      </c>
      <c r="B806" s="5">
        <f>'1 prepared data'!U799</f>
        <v/>
      </c>
      <c r="C806">
        <f>'1 prepared data'!B799</f>
        <v/>
      </c>
      <c r="D806" s="7">
        <f>'1 prepared data'!C799</f>
        <v/>
      </c>
      <c r="E806" s="7">
        <f>'1 prepared data'!D799</f>
        <v/>
      </c>
      <c r="F806" s="7">
        <f>'1 prepared data'!E799</f>
        <v/>
      </c>
      <c r="G806" s="7">
        <f>'1 prepared data'!F799</f>
        <v/>
      </c>
      <c r="H806" s="7">
        <f>'1 prepared data'!G799</f>
        <v/>
      </c>
      <c r="I806" s="7">
        <f>'1 prepared data'!H799</f>
        <v/>
      </c>
      <c r="J806" s="7">
        <f>'1 prepared data'!I799</f>
        <v/>
      </c>
      <c r="K806" s="7">
        <f>'1 prepared data'!J799</f>
        <v/>
      </c>
      <c r="L806" s="7">
        <f>'1 prepared data'!K799</f>
        <v/>
      </c>
      <c r="M806" s="7">
        <f>'1 prepared data'!L799</f>
        <v/>
      </c>
      <c r="N806" s="7">
        <f>'1 prepared data'!M799</f>
        <v/>
      </c>
      <c r="O806" s="7">
        <f>'1 prepared data'!N799</f>
        <v/>
      </c>
      <c r="P806" s="7">
        <f>'1 prepared data'!O799</f>
        <v/>
      </c>
      <c r="Q806" s="7">
        <f>'1 prepared data'!P799</f>
        <v/>
      </c>
      <c r="R806" s="7">
        <f>'1 prepared data'!Q799</f>
        <v/>
      </c>
      <c r="S806" s="7">
        <f>'1 prepared data'!R799</f>
        <v/>
      </c>
      <c r="T806" s="7">
        <f>'1 prepared data'!S799</f>
        <v/>
      </c>
      <c r="U806" s="7">
        <f>'1 prepared data'!T799</f>
        <v/>
      </c>
      <c r="V806" s="8">
        <f>$AC$12+D806*$AC$13+E806*$AC$14+F806*$AC$15+G806*$AC$16+H806*$AC$17+I806*$AC$18+J806*$AC$19+K806*$AC$20+L806*$AC$21+M806*$AC$22+N806*$AC$23+O806*$AC$24+P806*$AC$25+Q806*$AC$26+R806*$AC$27+S806*$AC$28+T806*$AC$29+U806*$AC$30</f>
        <v/>
      </c>
      <c r="W806" s="8">
        <f>1/(1+EXP(-V806))</f>
        <v/>
      </c>
      <c r="X806" s="9">
        <f>-IF(C806=1,LN(W806),LN(1-W806))</f>
        <v/>
      </c>
      <c r="Y806" s="10">
        <f>IF(W806&gt;$AC$34,1,0)</f>
        <v/>
      </c>
      <c r="Z806">
        <f>IF(Y806=C806,1,0)</f>
        <v/>
      </c>
    </row>
    <row r="807">
      <c r="A807">
        <f>'1 prepared data'!A800</f>
        <v/>
      </c>
      <c r="B807" s="5">
        <f>'1 prepared data'!U800</f>
        <v/>
      </c>
      <c r="C807">
        <f>'1 prepared data'!B800</f>
        <v/>
      </c>
      <c r="D807" s="7">
        <f>'1 prepared data'!C800</f>
        <v/>
      </c>
      <c r="E807" s="7">
        <f>'1 prepared data'!D800</f>
        <v/>
      </c>
      <c r="F807" s="7">
        <f>'1 prepared data'!E800</f>
        <v/>
      </c>
      <c r="G807" s="7">
        <f>'1 prepared data'!F800</f>
        <v/>
      </c>
      <c r="H807" s="7">
        <f>'1 prepared data'!G800</f>
        <v/>
      </c>
      <c r="I807" s="7">
        <f>'1 prepared data'!H800</f>
        <v/>
      </c>
      <c r="J807" s="7">
        <f>'1 prepared data'!I800</f>
        <v/>
      </c>
      <c r="K807" s="7">
        <f>'1 prepared data'!J800</f>
        <v/>
      </c>
      <c r="L807" s="7">
        <f>'1 prepared data'!K800</f>
        <v/>
      </c>
      <c r="M807" s="7">
        <f>'1 prepared data'!L800</f>
        <v/>
      </c>
      <c r="N807" s="7">
        <f>'1 prepared data'!M800</f>
        <v/>
      </c>
      <c r="O807" s="7">
        <f>'1 prepared data'!N800</f>
        <v/>
      </c>
      <c r="P807" s="7">
        <f>'1 prepared data'!O800</f>
        <v/>
      </c>
      <c r="Q807" s="7">
        <f>'1 prepared data'!P800</f>
        <v/>
      </c>
      <c r="R807" s="7">
        <f>'1 prepared data'!Q800</f>
        <v/>
      </c>
      <c r="S807" s="7">
        <f>'1 prepared data'!R800</f>
        <v/>
      </c>
      <c r="T807" s="7">
        <f>'1 prepared data'!S800</f>
        <v/>
      </c>
      <c r="U807" s="7">
        <f>'1 prepared data'!T800</f>
        <v/>
      </c>
      <c r="V807" s="8">
        <f>$AC$12+D807*$AC$13+E807*$AC$14+F807*$AC$15+G807*$AC$16+H807*$AC$17+I807*$AC$18+J807*$AC$19+K807*$AC$20+L807*$AC$21+M807*$AC$22+N807*$AC$23+O807*$AC$24+P807*$AC$25+Q807*$AC$26+R807*$AC$27+S807*$AC$28+T807*$AC$29+U807*$AC$30</f>
        <v/>
      </c>
      <c r="W807" s="8">
        <f>1/(1+EXP(-V807))</f>
        <v/>
      </c>
      <c r="X807" s="9">
        <f>-IF(C807=1,LN(W807),LN(1-W807))</f>
        <v/>
      </c>
      <c r="Y807" s="10">
        <f>IF(W807&gt;$AC$34,1,0)</f>
        <v/>
      </c>
      <c r="Z807">
        <f>IF(Y807=C807,1,0)</f>
        <v/>
      </c>
    </row>
    <row r="808">
      <c r="A808">
        <f>'1 prepared data'!A801</f>
        <v/>
      </c>
      <c r="B808" s="5">
        <f>'1 prepared data'!U801</f>
        <v/>
      </c>
      <c r="C808">
        <f>'1 prepared data'!B801</f>
        <v/>
      </c>
      <c r="D808" s="7">
        <f>'1 prepared data'!C801</f>
        <v/>
      </c>
      <c r="E808" s="7">
        <f>'1 prepared data'!D801</f>
        <v/>
      </c>
      <c r="F808" s="7">
        <f>'1 prepared data'!E801</f>
        <v/>
      </c>
      <c r="G808" s="7">
        <f>'1 prepared data'!F801</f>
        <v/>
      </c>
      <c r="H808" s="7">
        <f>'1 prepared data'!G801</f>
        <v/>
      </c>
      <c r="I808" s="7">
        <f>'1 prepared data'!H801</f>
        <v/>
      </c>
      <c r="J808" s="7">
        <f>'1 prepared data'!I801</f>
        <v/>
      </c>
      <c r="K808" s="7">
        <f>'1 prepared data'!J801</f>
        <v/>
      </c>
      <c r="L808" s="7">
        <f>'1 prepared data'!K801</f>
        <v/>
      </c>
      <c r="M808" s="7">
        <f>'1 prepared data'!L801</f>
        <v/>
      </c>
      <c r="N808" s="7">
        <f>'1 prepared data'!M801</f>
        <v/>
      </c>
      <c r="O808" s="7">
        <f>'1 prepared data'!N801</f>
        <v/>
      </c>
      <c r="P808" s="7">
        <f>'1 prepared data'!O801</f>
        <v/>
      </c>
      <c r="Q808" s="7">
        <f>'1 prepared data'!P801</f>
        <v/>
      </c>
      <c r="R808" s="7">
        <f>'1 prepared data'!Q801</f>
        <v/>
      </c>
      <c r="S808" s="7">
        <f>'1 prepared data'!R801</f>
        <v/>
      </c>
      <c r="T808" s="7">
        <f>'1 prepared data'!S801</f>
        <v/>
      </c>
      <c r="U808" s="7">
        <f>'1 prepared data'!T801</f>
        <v/>
      </c>
      <c r="V808" s="8">
        <f>$AC$12+D808*$AC$13+E808*$AC$14+F808*$AC$15+G808*$AC$16+H808*$AC$17+I808*$AC$18+J808*$AC$19+K808*$AC$20+L808*$AC$21+M808*$AC$22+N808*$AC$23+O808*$AC$24+P808*$AC$25+Q808*$AC$26+R808*$AC$27+S808*$AC$28+T808*$AC$29+U808*$AC$30</f>
        <v/>
      </c>
      <c r="W808" s="8">
        <f>1/(1+EXP(-V808))</f>
        <v/>
      </c>
      <c r="X808" s="9">
        <f>-IF(C808=1,LN(W808),LN(1-W808))</f>
        <v/>
      </c>
      <c r="Y808" s="10">
        <f>IF(W808&gt;$AC$34,1,0)</f>
        <v/>
      </c>
      <c r="Z808">
        <f>IF(Y808=C808,1,0)</f>
        <v/>
      </c>
    </row>
    <row r="809">
      <c r="A809">
        <f>'1 prepared data'!A802</f>
        <v/>
      </c>
      <c r="B809" s="5">
        <f>'1 prepared data'!U802</f>
        <v/>
      </c>
      <c r="C809">
        <f>'1 prepared data'!B802</f>
        <v/>
      </c>
      <c r="D809" s="7">
        <f>'1 prepared data'!C802</f>
        <v/>
      </c>
      <c r="E809" s="7">
        <f>'1 prepared data'!D802</f>
        <v/>
      </c>
      <c r="F809" s="7">
        <f>'1 prepared data'!E802</f>
        <v/>
      </c>
      <c r="G809" s="7">
        <f>'1 prepared data'!F802</f>
        <v/>
      </c>
      <c r="H809" s="7">
        <f>'1 prepared data'!G802</f>
        <v/>
      </c>
      <c r="I809" s="7">
        <f>'1 prepared data'!H802</f>
        <v/>
      </c>
      <c r="J809" s="7">
        <f>'1 prepared data'!I802</f>
        <v/>
      </c>
      <c r="K809" s="7">
        <f>'1 prepared data'!J802</f>
        <v/>
      </c>
      <c r="L809" s="7">
        <f>'1 prepared data'!K802</f>
        <v/>
      </c>
      <c r="M809" s="7">
        <f>'1 prepared data'!L802</f>
        <v/>
      </c>
      <c r="N809" s="7">
        <f>'1 prepared data'!M802</f>
        <v/>
      </c>
      <c r="O809" s="7">
        <f>'1 prepared data'!N802</f>
        <v/>
      </c>
      <c r="P809" s="7">
        <f>'1 prepared data'!O802</f>
        <v/>
      </c>
      <c r="Q809" s="7">
        <f>'1 prepared data'!P802</f>
        <v/>
      </c>
      <c r="R809" s="7">
        <f>'1 prepared data'!Q802</f>
        <v/>
      </c>
      <c r="S809" s="7">
        <f>'1 prepared data'!R802</f>
        <v/>
      </c>
      <c r="T809" s="7">
        <f>'1 prepared data'!S802</f>
        <v/>
      </c>
      <c r="U809" s="7">
        <f>'1 prepared data'!T802</f>
        <v/>
      </c>
      <c r="V809" s="8">
        <f>$AC$12+D809*$AC$13+E809*$AC$14+F809*$AC$15+G809*$AC$16+H809*$AC$17+I809*$AC$18+J809*$AC$19+K809*$AC$20+L809*$AC$21+M809*$AC$22+N809*$AC$23+O809*$AC$24+P809*$AC$25+Q809*$AC$26+R809*$AC$27+S809*$AC$28+T809*$AC$29+U809*$AC$30</f>
        <v/>
      </c>
      <c r="W809" s="8">
        <f>1/(1+EXP(-V809))</f>
        <v/>
      </c>
      <c r="X809" s="9">
        <f>-IF(C809=1,LN(W809),LN(1-W809))</f>
        <v/>
      </c>
      <c r="Y809" s="10">
        <f>IF(W809&gt;$AC$34,1,0)</f>
        <v/>
      </c>
      <c r="Z809">
        <f>IF(Y809=C809,1,0)</f>
        <v/>
      </c>
    </row>
    <row r="810">
      <c r="A810">
        <f>'1 prepared data'!A803</f>
        <v/>
      </c>
      <c r="B810" s="5">
        <f>'1 prepared data'!U803</f>
        <v/>
      </c>
      <c r="C810">
        <f>'1 prepared data'!B803</f>
        <v/>
      </c>
      <c r="D810" s="7">
        <f>'1 prepared data'!C803</f>
        <v/>
      </c>
      <c r="E810" s="7">
        <f>'1 prepared data'!D803</f>
        <v/>
      </c>
      <c r="F810" s="7">
        <f>'1 prepared data'!E803</f>
        <v/>
      </c>
      <c r="G810" s="7">
        <f>'1 prepared data'!F803</f>
        <v/>
      </c>
      <c r="H810" s="7">
        <f>'1 prepared data'!G803</f>
        <v/>
      </c>
      <c r="I810" s="7">
        <f>'1 prepared data'!H803</f>
        <v/>
      </c>
      <c r="J810" s="7">
        <f>'1 prepared data'!I803</f>
        <v/>
      </c>
      <c r="K810" s="7">
        <f>'1 prepared data'!J803</f>
        <v/>
      </c>
      <c r="L810" s="7">
        <f>'1 prepared data'!K803</f>
        <v/>
      </c>
      <c r="M810" s="7">
        <f>'1 prepared data'!L803</f>
        <v/>
      </c>
      <c r="N810" s="7">
        <f>'1 prepared data'!M803</f>
        <v/>
      </c>
      <c r="O810" s="7">
        <f>'1 prepared data'!N803</f>
        <v/>
      </c>
      <c r="P810" s="7">
        <f>'1 prepared data'!O803</f>
        <v/>
      </c>
      <c r="Q810" s="7">
        <f>'1 prepared data'!P803</f>
        <v/>
      </c>
      <c r="R810" s="7">
        <f>'1 prepared data'!Q803</f>
        <v/>
      </c>
      <c r="S810" s="7">
        <f>'1 prepared data'!R803</f>
        <v/>
      </c>
      <c r="T810" s="7">
        <f>'1 prepared data'!S803</f>
        <v/>
      </c>
      <c r="U810" s="7">
        <f>'1 prepared data'!T803</f>
        <v/>
      </c>
      <c r="V810" s="8">
        <f>$AC$12+D810*$AC$13+E810*$AC$14+F810*$AC$15+G810*$AC$16+H810*$AC$17+I810*$AC$18+J810*$AC$19+K810*$AC$20+L810*$AC$21+M810*$AC$22+N810*$AC$23+O810*$AC$24+P810*$AC$25+Q810*$AC$26+R810*$AC$27+S810*$AC$28+T810*$AC$29+U810*$AC$30</f>
        <v/>
      </c>
      <c r="W810" s="8">
        <f>1/(1+EXP(-V810))</f>
        <v/>
      </c>
      <c r="X810" s="9">
        <f>-IF(C810=1,LN(W810),LN(1-W810))</f>
        <v/>
      </c>
      <c r="Y810" s="10">
        <f>IF(W810&gt;$AC$34,1,0)</f>
        <v/>
      </c>
      <c r="Z810">
        <f>IF(Y810=C810,1,0)</f>
        <v/>
      </c>
    </row>
    <row r="811">
      <c r="A811">
        <f>'1 prepared data'!A804</f>
        <v/>
      </c>
      <c r="B811" s="5">
        <f>'1 prepared data'!U804</f>
        <v/>
      </c>
      <c r="C811">
        <f>'1 prepared data'!B804</f>
        <v/>
      </c>
      <c r="D811" s="7">
        <f>'1 prepared data'!C804</f>
        <v/>
      </c>
      <c r="E811" s="7">
        <f>'1 prepared data'!D804</f>
        <v/>
      </c>
      <c r="F811" s="7">
        <f>'1 prepared data'!E804</f>
        <v/>
      </c>
      <c r="G811" s="7">
        <f>'1 prepared data'!F804</f>
        <v/>
      </c>
      <c r="H811" s="7">
        <f>'1 prepared data'!G804</f>
        <v/>
      </c>
      <c r="I811" s="7">
        <f>'1 prepared data'!H804</f>
        <v/>
      </c>
      <c r="J811" s="7">
        <f>'1 prepared data'!I804</f>
        <v/>
      </c>
      <c r="K811" s="7">
        <f>'1 prepared data'!J804</f>
        <v/>
      </c>
      <c r="L811" s="7">
        <f>'1 prepared data'!K804</f>
        <v/>
      </c>
      <c r="M811" s="7">
        <f>'1 prepared data'!L804</f>
        <v/>
      </c>
      <c r="N811" s="7">
        <f>'1 prepared data'!M804</f>
        <v/>
      </c>
      <c r="O811" s="7">
        <f>'1 prepared data'!N804</f>
        <v/>
      </c>
      <c r="P811" s="7">
        <f>'1 prepared data'!O804</f>
        <v/>
      </c>
      <c r="Q811" s="7">
        <f>'1 prepared data'!P804</f>
        <v/>
      </c>
      <c r="R811" s="7">
        <f>'1 prepared data'!Q804</f>
        <v/>
      </c>
      <c r="S811" s="7">
        <f>'1 prepared data'!R804</f>
        <v/>
      </c>
      <c r="T811" s="7">
        <f>'1 prepared data'!S804</f>
        <v/>
      </c>
      <c r="U811" s="7">
        <f>'1 prepared data'!T804</f>
        <v/>
      </c>
      <c r="V811" s="8">
        <f>$AC$12+D811*$AC$13+E811*$AC$14+F811*$AC$15+G811*$AC$16+H811*$AC$17+I811*$AC$18+J811*$AC$19+K811*$AC$20+L811*$AC$21+M811*$AC$22+N811*$AC$23+O811*$AC$24+P811*$AC$25+Q811*$AC$26+R811*$AC$27+S811*$AC$28+T811*$AC$29+U811*$AC$30</f>
        <v/>
      </c>
      <c r="W811" s="8">
        <f>1/(1+EXP(-V811))</f>
        <v/>
      </c>
      <c r="X811" s="9">
        <f>-IF(C811=1,LN(W811),LN(1-W811))</f>
        <v/>
      </c>
      <c r="Y811" s="10">
        <f>IF(W811&gt;$AC$34,1,0)</f>
        <v/>
      </c>
      <c r="Z811">
        <f>IF(Y811=C811,1,0)</f>
        <v/>
      </c>
    </row>
    <row r="812">
      <c r="A812">
        <f>'1 prepared data'!A805</f>
        <v/>
      </c>
      <c r="B812" s="5">
        <f>'1 prepared data'!U805</f>
        <v/>
      </c>
      <c r="C812">
        <f>'1 prepared data'!B805</f>
        <v/>
      </c>
      <c r="D812" s="7">
        <f>'1 prepared data'!C805</f>
        <v/>
      </c>
      <c r="E812" s="7">
        <f>'1 prepared data'!D805</f>
        <v/>
      </c>
      <c r="F812" s="7">
        <f>'1 prepared data'!E805</f>
        <v/>
      </c>
      <c r="G812" s="7">
        <f>'1 prepared data'!F805</f>
        <v/>
      </c>
      <c r="H812" s="7">
        <f>'1 prepared data'!G805</f>
        <v/>
      </c>
      <c r="I812" s="7">
        <f>'1 prepared data'!H805</f>
        <v/>
      </c>
      <c r="J812" s="7">
        <f>'1 prepared data'!I805</f>
        <v/>
      </c>
      <c r="K812" s="7">
        <f>'1 prepared data'!J805</f>
        <v/>
      </c>
      <c r="L812" s="7">
        <f>'1 prepared data'!K805</f>
        <v/>
      </c>
      <c r="M812" s="7">
        <f>'1 prepared data'!L805</f>
        <v/>
      </c>
      <c r="N812" s="7">
        <f>'1 prepared data'!M805</f>
        <v/>
      </c>
      <c r="O812" s="7">
        <f>'1 prepared data'!N805</f>
        <v/>
      </c>
      <c r="P812" s="7">
        <f>'1 prepared data'!O805</f>
        <v/>
      </c>
      <c r="Q812" s="7">
        <f>'1 prepared data'!P805</f>
        <v/>
      </c>
      <c r="R812" s="7">
        <f>'1 prepared data'!Q805</f>
        <v/>
      </c>
      <c r="S812" s="7">
        <f>'1 prepared data'!R805</f>
        <v/>
      </c>
      <c r="T812" s="7">
        <f>'1 prepared data'!S805</f>
        <v/>
      </c>
      <c r="U812" s="7">
        <f>'1 prepared data'!T805</f>
        <v/>
      </c>
      <c r="V812" s="8">
        <f>$AC$12+D812*$AC$13+E812*$AC$14+F812*$AC$15+G812*$AC$16+H812*$AC$17+I812*$AC$18+J812*$AC$19+K812*$AC$20+L812*$AC$21+M812*$AC$22+N812*$AC$23+O812*$AC$24+P812*$AC$25+Q812*$AC$26+R812*$AC$27+S812*$AC$28+T812*$AC$29+U812*$AC$30</f>
        <v/>
      </c>
      <c r="W812" s="8">
        <f>1/(1+EXP(-V812))</f>
        <v/>
      </c>
      <c r="X812" s="9">
        <f>-IF(C812=1,LN(W812),LN(1-W812))</f>
        <v/>
      </c>
      <c r="Y812" s="10">
        <f>IF(W812&gt;$AC$34,1,0)</f>
        <v/>
      </c>
      <c r="Z812">
        <f>IF(Y812=C812,1,0)</f>
        <v/>
      </c>
    </row>
    <row r="813">
      <c r="A813">
        <f>'1 prepared data'!A806</f>
        <v/>
      </c>
      <c r="B813" s="5">
        <f>'1 prepared data'!U806</f>
        <v/>
      </c>
      <c r="C813">
        <f>'1 prepared data'!B806</f>
        <v/>
      </c>
      <c r="D813" s="7">
        <f>'1 prepared data'!C806</f>
        <v/>
      </c>
      <c r="E813" s="7">
        <f>'1 prepared data'!D806</f>
        <v/>
      </c>
      <c r="F813" s="7">
        <f>'1 prepared data'!E806</f>
        <v/>
      </c>
      <c r="G813" s="7">
        <f>'1 prepared data'!F806</f>
        <v/>
      </c>
      <c r="H813" s="7">
        <f>'1 prepared data'!G806</f>
        <v/>
      </c>
      <c r="I813" s="7">
        <f>'1 prepared data'!H806</f>
        <v/>
      </c>
      <c r="J813" s="7">
        <f>'1 prepared data'!I806</f>
        <v/>
      </c>
      <c r="K813" s="7">
        <f>'1 prepared data'!J806</f>
        <v/>
      </c>
      <c r="L813" s="7">
        <f>'1 prepared data'!K806</f>
        <v/>
      </c>
      <c r="M813" s="7">
        <f>'1 prepared data'!L806</f>
        <v/>
      </c>
      <c r="N813" s="7">
        <f>'1 prepared data'!M806</f>
        <v/>
      </c>
      <c r="O813" s="7">
        <f>'1 prepared data'!N806</f>
        <v/>
      </c>
      <c r="P813" s="7">
        <f>'1 prepared data'!O806</f>
        <v/>
      </c>
      <c r="Q813" s="7">
        <f>'1 prepared data'!P806</f>
        <v/>
      </c>
      <c r="R813" s="7">
        <f>'1 prepared data'!Q806</f>
        <v/>
      </c>
      <c r="S813" s="7">
        <f>'1 prepared data'!R806</f>
        <v/>
      </c>
      <c r="T813" s="7">
        <f>'1 prepared data'!S806</f>
        <v/>
      </c>
      <c r="U813" s="7">
        <f>'1 prepared data'!T806</f>
        <v/>
      </c>
      <c r="V813" s="8">
        <f>$AC$12+D813*$AC$13+E813*$AC$14+F813*$AC$15+G813*$AC$16+H813*$AC$17+I813*$AC$18+J813*$AC$19+K813*$AC$20+L813*$AC$21+M813*$AC$22+N813*$AC$23+O813*$AC$24+P813*$AC$25+Q813*$AC$26+R813*$AC$27+S813*$AC$28+T813*$AC$29+U813*$AC$30</f>
        <v/>
      </c>
      <c r="W813" s="8">
        <f>1/(1+EXP(-V813))</f>
        <v/>
      </c>
      <c r="X813" s="9">
        <f>-IF(C813=1,LN(W813),LN(1-W813))</f>
        <v/>
      </c>
      <c r="Y813" s="10">
        <f>IF(W813&gt;$AC$34,1,0)</f>
        <v/>
      </c>
      <c r="Z813">
        <f>IF(Y813=C813,1,0)</f>
        <v/>
      </c>
    </row>
    <row r="814">
      <c r="A814">
        <f>'1 prepared data'!A807</f>
        <v/>
      </c>
      <c r="B814" s="5">
        <f>'1 prepared data'!U807</f>
        <v/>
      </c>
      <c r="C814">
        <f>'1 prepared data'!B807</f>
        <v/>
      </c>
      <c r="D814" s="7">
        <f>'1 prepared data'!C807</f>
        <v/>
      </c>
      <c r="E814" s="7">
        <f>'1 prepared data'!D807</f>
        <v/>
      </c>
      <c r="F814" s="7">
        <f>'1 prepared data'!E807</f>
        <v/>
      </c>
      <c r="G814" s="7">
        <f>'1 prepared data'!F807</f>
        <v/>
      </c>
      <c r="H814" s="7">
        <f>'1 prepared data'!G807</f>
        <v/>
      </c>
      <c r="I814" s="7">
        <f>'1 prepared data'!H807</f>
        <v/>
      </c>
      <c r="J814" s="7">
        <f>'1 prepared data'!I807</f>
        <v/>
      </c>
      <c r="K814" s="7">
        <f>'1 prepared data'!J807</f>
        <v/>
      </c>
      <c r="L814" s="7">
        <f>'1 prepared data'!K807</f>
        <v/>
      </c>
      <c r="M814" s="7">
        <f>'1 prepared data'!L807</f>
        <v/>
      </c>
      <c r="N814" s="7">
        <f>'1 prepared data'!M807</f>
        <v/>
      </c>
      <c r="O814" s="7">
        <f>'1 prepared data'!N807</f>
        <v/>
      </c>
      <c r="P814" s="7">
        <f>'1 prepared data'!O807</f>
        <v/>
      </c>
      <c r="Q814" s="7">
        <f>'1 prepared data'!P807</f>
        <v/>
      </c>
      <c r="R814" s="7">
        <f>'1 prepared data'!Q807</f>
        <v/>
      </c>
      <c r="S814" s="7">
        <f>'1 prepared data'!R807</f>
        <v/>
      </c>
      <c r="T814" s="7">
        <f>'1 prepared data'!S807</f>
        <v/>
      </c>
      <c r="U814" s="7">
        <f>'1 prepared data'!T807</f>
        <v/>
      </c>
      <c r="V814" s="8">
        <f>$AC$12+D814*$AC$13+E814*$AC$14+F814*$AC$15+G814*$AC$16+H814*$AC$17+I814*$AC$18+J814*$AC$19+K814*$AC$20+L814*$AC$21+M814*$AC$22+N814*$AC$23+O814*$AC$24+P814*$AC$25+Q814*$AC$26+R814*$AC$27+S814*$AC$28+T814*$AC$29+U814*$AC$30</f>
        <v/>
      </c>
      <c r="W814" s="8">
        <f>1/(1+EXP(-V814))</f>
        <v/>
      </c>
      <c r="X814" s="9">
        <f>-IF(C814=1,LN(W814),LN(1-W814))</f>
        <v/>
      </c>
      <c r="Y814" s="10">
        <f>IF(W814&gt;$AC$34,1,0)</f>
        <v/>
      </c>
      <c r="Z814">
        <f>IF(Y814=C814,1,0)</f>
        <v/>
      </c>
    </row>
    <row r="815">
      <c r="A815">
        <f>'1 prepared data'!A808</f>
        <v/>
      </c>
      <c r="B815" s="5">
        <f>'1 prepared data'!U808</f>
        <v/>
      </c>
      <c r="C815">
        <f>'1 prepared data'!B808</f>
        <v/>
      </c>
      <c r="D815" s="7">
        <f>'1 prepared data'!C808</f>
        <v/>
      </c>
      <c r="E815" s="7">
        <f>'1 prepared data'!D808</f>
        <v/>
      </c>
      <c r="F815" s="7">
        <f>'1 prepared data'!E808</f>
        <v/>
      </c>
      <c r="G815" s="7">
        <f>'1 prepared data'!F808</f>
        <v/>
      </c>
      <c r="H815" s="7">
        <f>'1 prepared data'!G808</f>
        <v/>
      </c>
      <c r="I815" s="7">
        <f>'1 prepared data'!H808</f>
        <v/>
      </c>
      <c r="J815" s="7">
        <f>'1 prepared data'!I808</f>
        <v/>
      </c>
      <c r="K815" s="7">
        <f>'1 prepared data'!J808</f>
        <v/>
      </c>
      <c r="L815" s="7">
        <f>'1 prepared data'!K808</f>
        <v/>
      </c>
      <c r="M815" s="7">
        <f>'1 prepared data'!L808</f>
        <v/>
      </c>
      <c r="N815" s="7">
        <f>'1 prepared data'!M808</f>
        <v/>
      </c>
      <c r="O815" s="7">
        <f>'1 prepared data'!N808</f>
        <v/>
      </c>
      <c r="P815" s="7">
        <f>'1 prepared data'!O808</f>
        <v/>
      </c>
      <c r="Q815" s="7">
        <f>'1 prepared data'!P808</f>
        <v/>
      </c>
      <c r="R815" s="7">
        <f>'1 prepared data'!Q808</f>
        <v/>
      </c>
      <c r="S815" s="7">
        <f>'1 prepared data'!R808</f>
        <v/>
      </c>
      <c r="T815" s="7">
        <f>'1 prepared data'!S808</f>
        <v/>
      </c>
      <c r="U815" s="7">
        <f>'1 prepared data'!T808</f>
        <v/>
      </c>
      <c r="V815" s="8">
        <f>$AC$12+D815*$AC$13+E815*$AC$14+F815*$AC$15+G815*$AC$16+H815*$AC$17+I815*$AC$18+J815*$AC$19+K815*$AC$20+L815*$AC$21+M815*$AC$22+N815*$AC$23+O815*$AC$24+P815*$AC$25+Q815*$AC$26+R815*$AC$27+S815*$AC$28+T815*$AC$29+U815*$AC$30</f>
        <v/>
      </c>
      <c r="W815" s="8">
        <f>1/(1+EXP(-V815))</f>
        <v/>
      </c>
      <c r="X815" s="9">
        <f>-IF(C815=1,LN(W815),LN(1-W815))</f>
        <v/>
      </c>
      <c r="Y815" s="10">
        <f>IF(W815&gt;$AC$34,1,0)</f>
        <v/>
      </c>
      <c r="Z815">
        <f>IF(Y815=C815,1,0)</f>
        <v/>
      </c>
    </row>
    <row r="816">
      <c r="A816">
        <f>'1 prepared data'!A809</f>
        <v/>
      </c>
      <c r="B816" s="5">
        <f>'1 prepared data'!U809</f>
        <v/>
      </c>
      <c r="C816">
        <f>'1 prepared data'!B809</f>
        <v/>
      </c>
      <c r="D816" s="7">
        <f>'1 prepared data'!C809</f>
        <v/>
      </c>
      <c r="E816" s="7">
        <f>'1 prepared data'!D809</f>
        <v/>
      </c>
      <c r="F816" s="7">
        <f>'1 prepared data'!E809</f>
        <v/>
      </c>
      <c r="G816" s="7">
        <f>'1 prepared data'!F809</f>
        <v/>
      </c>
      <c r="H816" s="7">
        <f>'1 prepared data'!G809</f>
        <v/>
      </c>
      <c r="I816" s="7">
        <f>'1 prepared data'!H809</f>
        <v/>
      </c>
      <c r="J816" s="7">
        <f>'1 prepared data'!I809</f>
        <v/>
      </c>
      <c r="K816" s="7">
        <f>'1 prepared data'!J809</f>
        <v/>
      </c>
      <c r="L816" s="7">
        <f>'1 prepared data'!K809</f>
        <v/>
      </c>
      <c r="M816" s="7">
        <f>'1 prepared data'!L809</f>
        <v/>
      </c>
      <c r="N816" s="7">
        <f>'1 prepared data'!M809</f>
        <v/>
      </c>
      <c r="O816" s="7">
        <f>'1 prepared data'!N809</f>
        <v/>
      </c>
      <c r="P816" s="7">
        <f>'1 prepared data'!O809</f>
        <v/>
      </c>
      <c r="Q816" s="7">
        <f>'1 prepared data'!P809</f>
        <v/>
      </c>
      <c r="R816" s="7">
        <f>'1 prepared data'!Q809</f>
        <v/>
      </c>
      <c r="S816" s="7">
        <f>'1 prepared data'!R809</f>
        <v/>
      </c>
      <c r="T816" s="7">
        <f>'1 prepared data'!S809</f>
        <v/>
      </c>
      <c r="U816" s="7">
        <f>'1 prepared data'!T809</f>
        <v/>
      </c>
      <c r="V816" s="8">
        <f>$AC$12+D816*$AC$13+E816*$AC$14+F816*$AC$15+G816*$AC$16+H816*$AC$17+I816*$AC$18+J816*$AC$19+K816*$AC$20+L816*$AC$21+M816*$AC$22+N816*$AC$23+O816*$AC$24+P816*$AC$25+Q816*$AC$26+R816*$AC$27+S816*$AC$28+T816*$AC$29+U816*$AC$30</f>
        <v/>
      </c>
      <c r="W816" s="8">
        <f>1/(1+EXP(-V816))</f>
        <v/>
      </c>
      <c r="X816" s="9">
        <f>-IF(C816=1,LN(W816),LN(1-W816))</f>
        <v/>
      </c>
      <c r="Y816" s="10">
        <f>IF(W816&gt;$AC$34,1,0)</f>
        <v/>
      </c>
      <c r="Z816">
        <f>IF(Y816=C816,1,0)</f>
        <v/>
      </c>
    </row>
    <row r="817">
      <c r="A817">
        <f>'1 prepared data'!A810</f>
        <v/>
      </c>
      <c r="B817" s="5">
        <f>'1 prepared data'!U810</f>
        <v/>
      </c>
      <c r="C817">
        <f>'1 prepared data'!B810</f>
        <v/>
      </c>
      <c r="D817" s="7">
        <f>'1 prepared data'!C810</f>
        <v/>
      </c>
      <c r="E817" s="7">
        <f>'1 prepared data'!D810</f>
        <v/>
      </c>
      <c r="F817" s="7">
        <f>'1 prepared data'!E810</f>
        <v/>
      </c>
      <c r="G817" s="7">
        <f>'1 prepared data'!F810</f>
        <v/>
      </c>
      <c r="H817" s="7">
        <f>'1 prepared data'!G810</f>
        <v/>
      </c>
      <c r="I817" s="7">
        <f>'1 prepared data'!H810</f>
        <v/>
      </c>
      <c r="J817" s="7">
        <f>'1 prepared data'!I810</f>
        <v/>
      </c>
      <c r="K817" s="7">
        <f>'1 prepared data'!J810</f>
        <v/>
      </c>
      <c r="L817" s="7">
        <f>'1 prepared data'!K810</f>
        <v/>
      </c>
      <c r="M817" s="7">
        <f>'1 prepared data'!L810</f>
        <v/>
      </c>
      <c r="N817" s="7">
        <f>'1 prepared data'!M810</f>
        <v/>
      </c>
      <c r="O817" s="7">
        <f>'1 prepared data'!N810</f>
        <v/>
      </c>
      <c r="P817" s="7">
        <f>'1 prepared data'!O810</f>
        <v/>
      </c>
      <c r="Q817" s="7">
        <f>'1 prepared data'!P810</f>
        <v/>
      </c>
      <c r="R817" s="7">
        <f>'1 prepared data'!Q810</f>
        <v/>
      </c>
      <c r="S817" s="7">
        <f>'1 prepared data'!R810</f>
        <v/>
      </c>
      <c r="T817" s="7">
        <f>'1 prepared data'!S810</f>
        <v/>
      </c>
      <c r="U817" s="7">
        <f>'1 prepared data'!T810</f>
        <v/>
      </c>
      <c r="V817" s="8">
        <f>$AC$12+D817*$AC$13+E817*$AC$14+F817*$AC$15+G817*$AC$16+H817*$AC$17+I817*$AC$18+J817*$AC$19+K817*$AC$20+L817*$AC$21+M817*$AC$22+N817*$AC$23+O817*$AC$24+P817*$AC$25+Q817*$AC$26+R817*$AC$27+S817*$AC$28+T817*$AC$29+U817*$AC$30</f>
        <v/>
      </c>
      <c r="W817" s="8">
        <f>1/(1+EXP(-V817))</f>
        <v/>
      </c>
      <c r="X817" s="9">
        <f>-IF(C817=1,LN(W817),LN(1-W817))</f>
        <v/>
      </c>
      <c r="Y817" s="10">
        <f>IF(W817&gt;$AC$34,1,0)</f>
        <v/>
      </c>
      <c r="Z817">
        <f>IF(Y817=C817,1,0)</f>
        <v/>
      </c>
    </row>
    <row r="818">
      <c r="A818">
        <f>'1 prepared data'!A811</f>
        <v/>
      </c>
      <c r="B818" s="5">
        <f>'1 prepared data'!U811</f>
        <v/>
      </c>
      <c r="C818">
        <f>'1 prepared data'!B811</f>
        <v/>
      </c>
      <c r="D818" s="7">
        <f>'1 prepared data'!C811</f>
        <v/>
      </c>
      <c r="E818" s="7">
        <f>'1 prepared data'!D811</f>
        <v/>
      </c>
      <c r="F818" s="7">
        <f>'1 prepared data'!E811</f>
        <v/>
      </c>
      <c r="G818" s="7">
        <f>'1 prepared data'!F811</f>
        <v/>
      </c>
      <c r="H818" s="7">
        <f>'1 prepared data'!G811</f>
        <v/>
      </c>
      <c r="I818" s="7">
        <f>'1 prepared data'!H811</f>
        <v/>
      </c>
      <c r="J818" s="7">
        <f>'1 prepared data'!I811</f>
        <v/>
      </c>
      <c r="K818" s="7">
        <f>'1 prepared data'!J811</f>
        <v/>
      </c>
      <c r="L818" s="7">
        <f>'1 prepared data'!K811</f>
        <v/>
      </c>
      <c r="M818" s="7">
        <f>'1 prepared data'!L811</f>
        <v/>
      </c>
      <c r="N818" s="7">
        <f>'1 prepared data'!M811</f>
        <v/>
      </c>
      <c r="O818" s="7">
        <f>'1 prepared data'!N811</f>
        <v/>
      </c>
      <c r="P818" s="7">
        <f>'1 prepared data'!O811</f>
        <v/>
      </c>
      <c r="Q818" s="7">
        <f>'1 prepared data'!P811</f>
        <v/>
      </c>
      <c r="R818" s="7">
        <f>'1 prepared data'!Q811</f>
        <v/>
      </c>
      <c r="S818" s="7">
        <f>'1 prepared data'!R811</f>
        <v/>
      </c>
      <c r="T818" s="7">
        <f>'1 prepared data'!S811</f>
        <v/>
      </c>
      <c r="U818" s="7">
        <f>'1 prepared data'!T811</f>
        <v/>
      </c>
      <c r="V818" s="8">
        <f>$AC$12+D818*$AC$13+E818*$AC$14+F818*$AC$15+G818*$AC$16+H818*$AC$17+I818*$AC$18+J818*$AC$19+K818*$AC$20+L818*$AC$21+M818*$AC$22+N818*$AC$23+O818*$AC$24+P818*$AC$25+Q818*$AC$26+R818*$AC$27+S818*$AC$28+T818*$AC$29+U818*$AC$30</f>
        <v/>
      </c>
      <c r="W818" s="8">
        <f>1/(1+EXP(-V818))</f>
        <v/>
      </c>
      <c r="X818" s="9">
        <f>-IF(C818=1,LN(W818),LN(1-W818))</f>
        <v/>
      </c>
      <c r="Y818" s="10">
        <f>IF(W818&gt;$AC$34,1,0)</f>
        <v/>
      </c>
      <c r="Z818">
        <f>IF(Y818=C818,1,0)</f>
        <v/>
      </c>
    </row>
    <row r="819">
      <c r="A819">
        <f>'1 prepared data'!A812</f>
        <v/>
      </c>
      <c r="B819" s="5">
        <f>'1 prepared data'!U812</f>
        <v/>
      </c>
      <c r="C819">
        <f>'1 prepared data'!B812</f>
        <v/>
      </c>
      <c r="D819" s="7">
        <f>'1 prepared data'!C812</f>
        <v/>
      </c>
      <c r="E819" s="7">
        <f>'1 prepared data'!D812</f>
        <v/>
      </c>
      <c r="F819" s="7">
        <f>'1 prepared data'!E812</f>
        <v/>
      </c>
      <c r="G819" s="7">
        <f>'1 prepared data'!F812</f>
        <v/>
      </c>
      <c r="H819" s="7">
        <f>'1 prepared data'!G812</f>
        <v/>
      </c>
      <c r="I819" s="7">
        <f>'1 prepared data'!H812</f>
        <v/>
      </c>
      <c r="J819" s="7">
        <f>'1 prepared data'!I812</f>
        <v/>
      </c>
      <c r="K819" s="7">
        <f>'1 prepared data'!J812</f>
        <v/>
      </c>
      <c r="L819" s="7">
        <f>'1 prepared data'!K812</f>
        <v/>
      </c>
      <c r="M819" s="7">
        <f>'1 prepared data'!L812</f>
        <v/>
      </c>
      <c r="N819" s="7">
        <f>'1 prepared data'!M812</f>
        <v/>
      </c>
      <c r="O819" s="7">
        <f>'1 prepared data'!N812</f>
        <v/>
      </c>
      <c r="P819" s="7">
        <f>'1 prepared data'!O812</f>
        <v/>
      </c>
      <c r="Q819" s="7">
        <f>'1 prepared data'!P812</f>
        <v/>
      </c>
      <c r="R819" s="7">
        <f>'1 prepared data'!Q812</f>
        <v/>
      </c>
      <c r="S819" s="7">
        <f>'1 prepared data'!R812</f>
        <v/>
      </c>
      <c r="T819" s="7">
        <f>'1 prepared data'!S812</f>
        <v/>
      </c>
      <c r="U819" s="7">
        <f>'1 prepared data'!T812</f>
        <v/>
      </c>
      <c r="V819" s="8">
        <f>$AC$12+D819*$AC$13+E819*$AC$14+F819*$AC$15+G819*$AC$16+H819*$AC$17+I819*$AC$18+J819*$AC$19+K819*$AC$20+L819*$AC$21+M819*$AC$22+N819*$AC$23+O819*$AC$24+P819*$AC$25+Q819*$AC$26+R819*$AC$27+S819*$AC$28+T819*$AC$29+U819*$AC$30</f>
        <v/>
      </c>
      <c r="W819" s="8">
        <f>1/(1+EXP(-V819))</f>
        <v/>
      </c>
      <c r="X819" s="9">
        <f>-IF(C819=1,LN(W819),LN(1-W819))</f>
        <v/>
      </c>
      <c r="Y819" s="10">
        <f>IF(W819&gt;$AC$34,1,0)</f>
        <v/>
      </c>
      <c r="Z819">
        <f>IF(Y819=C819,1,0)</f>
        <v/>
      </c>
    </row>
    <row r="820">
      <c r="A820">
        <f>'1 prepared data'!A813</f>
        <v/>
      </c>
      <c r="B820" s="5">
        <f>'1 prepared data'!U813</f>
        <v/>
      </c>
      <c r="C820">
        <f>'1 prepared data'!B813</f>
        <v/>
      </c>
      <c r="D820" s="7">
        <f>'1 prepared data'!C813</f>
        <v/>
      </c>
      <c r="E820" s="7">
        <f>'1 prepared data'!D813</f>
        <v/>
      </c>
      <c r="F820" s="7">
        <f>'1 prepared data'!E813</f>
        <v/>
      </c>
      <c r="G820" s="7">
        <f>'1 prepared data'!F813</f>
        <v/>
      </c>
      <c r="H820" s="7">
        <f>'1 prepared data'!G813</f>
        <v/>
      </c>
      <c r="I820" s="7">
        <f>'1 prepared data'!H813</f>
        <v/>
      </c>
      <c r="J820" s="7">
        <f>'1 prepared data'!I813</f>
        <v/>
      </c>
      <c r="K820" s="7">
        <f>'1 prepared data'!J813</f>
        <v/>
      </c>
      <c r="L820" s="7">
        <f>'1 prepared data'!K813</f>
        <v/>
      </c>
      <c r="M820" s="7">
        <f>'1 prepared data'!L813</f>
        <v/>
      </c>
      <c r="N820" s="7">
        <f>'1 prepared data'!M813</f>
        <v/>
      </c>
      <c r="O820" s="7">
        <f>'1 prepared data'!N813</f>
        <v/>
      </c>
      <c r="P820" s="7">
        <f>'1 prepared data'!O813</f>
        <v/>
      </c>
      <c r="Q820" s="7">
        <f>'1 prepared data'!P813</f>
        <v/>
      </c>
      <c r="R820" s="7">
        <f>'1 prepared data'!Q813</f>
        <v/>
      </c>
      <c r="S820" s="7">
        <f>'1 prepared data'!R813</f>
        <v/>
      </c>
      <c r="T820" s="7">
        <f>'1 prepared data'!S813</f>
        <v/>
      </c>
      <c r="U820" s="7">
        <f>'1 prepared data'!T813</f>
        <v/>
      </c>
      <c r="V820" s="8">
        <f>$AC$12+D820*$AC$13+E820*$AC$14+F820*$AC$15+G820*$AC$16+H820*$AC$17+I820*$AC$18+J820*$AC$19+K820*$AC$20+L820*$AC$21+M820*$AC$22+N820*$AC$23+O820*$AC$24+P820*$AC$25+Q820*$AC$26+R820*$AC$27+S820*$AC$28+T820*$AC$29+U820*$AC$30</f>
        <v/>
      </c>
      <c r="W820" s="8">
        <f>1/(1+EXP(-V820))</f>
        <v/>
      </c>
      <c r="X820" s="9">
        <f>-IF(C820=1,LN(W820),LN(1-W820))</f>
        <v/>
      </c>
      <c r="Y820" s="10">
        <f>IF(W820&gt;$AC$34,1,0)</f>
        <v/>
      </c>
      <c r="Z820">
        <f>IF(Y820=C820,1,0)</f>
        <v/>
      </c>
    </row>
    <row r="821">
      <c r="A821">
        <f>'1 prepared data'!A814</f>
        <v/>
      </c>
      <c r="B821" s="5">
        <f>'1 prepared data'!U814</f>
        <v/>
      </c>
      <c r="C821">
        <f>'1 prepared data'!B814</f>
        <v/>
      </c>
      <c r="D821" s="7">
        <f>'1 prepared data'!C814</f>
        <v/>
      </c>
      <c r="E821" s="7">
        <f>'1 prepared data'!D814</f>
        <v/>
      </c>
      <c r="F821" s="7">
        <f>'1 prepared data'!E814</f>
        <v/>
      </c>
      <c r="G821" s="7">
        <f>'1 prepared data'!F814</f>
        <v/>
      </c>
      <c r="H821" s="7">
        <f>'1 prepared data'!G814</f>
        <v/>
      </c>
      <c r="I821" s="7">
        <f>'1 prepared data'!H814</f>
        <v/>
      </c>
      <c r="J821" s="7">
        <f>'1 prepared data'!I814</f>
        <v/>
      </c>
      <c r="K821" s="7">
        <f>'1 prepared data'!J814</f>
        <v/>
      </c>
      <c r="L821" s="7">
        <f>'1 prepared data'!K814</f>
        <v/>
      </c>
      <c r="M821" s="7">
        <f>'1 prepared data'!L814</f>
        <v/>
      </c>
      <c r="N821" s="7">
        <f>'1 prepared data'!M814</f>
        <v/>
      </c>
      <c r="O821" s="7">
        <f>'1 prepared data'!N814</f>
        <v/>
      </c>
      <c r="P821" s="7">
        <f>'1 prepared data'!O814</f>
        <v/>
      </c>
      <c r="Q821" s="7">
        <f>'1 prepared data'!P814</f>
        <v/>
      </c>
      <c r="R821" s="7">
        <f>'1 prepared data'!Q814</f>
        <v/>
      </c>
      <c r="S821" s="7">
        <f>'1 prepared data'!R814</f>
        <v/>
      </c>
      <c r="T821" s="7">
        <f>'1 prepared data'!S814</f>
        <v/>
      </c>
      <c r="U821" s="7">
        <f>'1 prepared data'!T814</f>
        <v/>
      </c>
      <c r="V821" s="8">
        <f>$AC$12+D821*$AC$13+E821*$AC$14+F821*$AC$15+G821*$AC$16+H821*$AC$17+I821*$AC$18+J821*$AC$19+K821*$AC$20+L821*$AC$21+M821*$AC$22+N821*$AC$23+O821*$AC$24+P821*$AC$25+Q821*$AC$26+R821*$AC$27+S821*$AC$28+T821*$AC$29+U821*$AC$30</f>
        <v/>
      </c>
      <c r="W821" s="8">
        <f>1/(1+EXP(-V821))</f>
        <v/>
      </c>
      <c r="X821" s="9">
        <f>-IF(C821=1,LN(W821),LN(1-W821))</f>
        <v/>
      </c>
      <c r="Y821" s="10">
        <f>IF(W821&gt;$AC$34,1,0)</f>
        <v/>
      </c>
      <c r="Z821">
        <f>IF(Y821=C821,1,0)</f>
        <v/>
      </c>
    </row>
    <row r="822">
      <c r="A822">
        <f>'1 prepared data'!A815</f>
        <v/>
      </c>
      <c r="B822" s="5">
        <f>'1 prepared data'!U815</f>
        <v/>
      </c>
      <c r="C822">
        <f>'1 prepared data'!B815</f>
        <v/>
      </c>
      <c r="D822" s="7">
        <f>'1 prepared data'!C815</f>
        <v/>
      </c>
      <c r="E822" s="7">
        <f>'1 prepared data'!D815</f>
        <v/>
      </c>
      <c r="F822" s="7">
        <f>'1 prepared data'!E815</f>
        <v/>
      </c>
      <c r="G822" s="7">
        <f>'1 prepared data'!F815</f>
        <v/>
      </c>
      <c r="H822" s="7">
        <f>'1 prepared data'!G815</f>
        <v/>
      </c>
      <c r="I822" s="7">
        <f>'1 prepared data'!H815</f>
        <v/>
      </c>
      <c r="J822" s="7">
        <f>'1 prepared data'!I815</f>
        <v/>
      </c>
      <c r="K822" s="7">
        <f>'1 prepared data'!J815</f>
        <v/>
      </c>
      <c r="L822" s="7">
        <f>'1 prepared data'!K815</f>
        <v/>
      </c>
      <c r="M822" s="7">
        <f>'1 prepared data'!L815</f>
        <v/>
      </c>
      <c r="N822" s="7">
        <f>'1 prepared data'!M815</f>
        <v/>
      </c>
      <c r="O822" s="7">
        <f>'1 prepared data'!N815</f>
        <v/>
      </c>
      <c r="P822" s="7">
        <f>'1 prepared data'!O815</f>
        <v/>
      </c>
      <c r="Q822" s="7">
        <f>'1 prepared data'!P815</f>
        <v/>
      </c>
      <c r="R822" s="7">
        <f>'1 prepared data'!Q815</f>
        <v/>
      </c>
      <c r="S822" s="7">
        <f>'1 prepared data'!R815</f>
        <v/>
      </c>
      <c r="T822" s="7">
        <f>'1 prepared data'!S815</f>
        <v/>
      </c>
      <c r="U822" s="7">
        <f>'1 prepared data'!T815</f>
        <v/>
      </c>
      <c r="V822" s="8">
        <f>$AC$12+D822*$AC$13+E822*$AC$14+F822*$AC$15+G822*$AC$16+H822*$AC$17+I822*$AC$18+J822*$AC$19+K822*$AC$20+L822*$AC$21+M822*$AC$22+N822*$AC$23+O822*$AC$24+P822*$AC$25+Q822*$AC$26+R822*$AC$27+S822*$AC$28+T822*$AC$29+U822*$AC$30</f>
        <v/>
      </c>
      <c r="W822" s="8">
        <f>1/(1+EXP(-V822))</f>
        <v/>
      </c>
      <c r="X822" s="9">
        <f>-IF(C822=1,LN(W822),LN(1-W822))</f>
        <v/>
      </c>
      <c r="Y822" s="10">
        <f>IF(W822&gt;$AC$34,1,0)</f>
        <v/>
      </c>
      <c r="Z822">
        <f>IF(Y822=C822,1,0)</f>
        <v/>
      </c>
    </row>
    <row r="823">
      <c r="A823">
        <f>'1 prepared data'!A816</f>
        <v/>
      </c>
      <c r="B823" s="5">
        <f>'1 prepared data'!U816</f>
        <v/>
      </c>
      <c r="C823">
        <f>'1 prepared data'!B816</f>
        <v/>
      </c>
      <c r="D823" s="7">
        <f>'1 prepared data'!C816</f>
        <v/>
      </c>
      <c r="E823" s="7">
        <f>'1 prepared data'!D816</f>
        <v/>
      </c>
      <c r="F823" s="7">
        <f>'1 prepared data'!E816</f>
        <v/>
      </c>
      <c r="G823" s="7">
        <f>'1 prepared data'!F816</f>
        <v/>
      </c>
      <c r="H823" s="7">
        <f>'1 prepared data'!G816</f>
        <v/>
      </c>
      <c r="I823" s="7">
        <f>'1 prepared data'!H816</f>
        <v/>
      </c>
      <c r="J823" s="7">
        <f>'1 prepared data'!I816</f>
        <v/>
      </c>
      <c r="K823" s="7">
        <f>'1 prepared data'!J816</f>
        <v/>
      </c>
      <c r="L823" s="7">
        <f>'1 prepared data'!K816</f>
        <v/>
      </c>
      <c r="M823" s="7">
        <f>'1 prepared data'!L816</f>
        <v/>
      </c>
      <c r="N823" s="7">
        <f>'1 prepared data'!M816</f>
        <v/>
      </c>
      <c r="O823" s="7">
        <f>'1 prepared data'!N816</f>
        <v/>
      </c>
      <c r="P823" s="7">
        <f>'1 prepared data'!O816</f>
        <v/>
      </c>
      <c r="Q823" s="7">
        <f>'1 prepared data'!P816</f>
        <v/>
      </c>
      <c r="R823" s="7">
        <f>'1 prepared data'!Q816</f>
        <v/>
      </c>
      <c r="S823" s="7">
        <f>'1 prepared data'!R816</f>
        <v/>
      </c>
      <c r="T823" s="7">
        <f>'1 prepared data'!S816</f>
        <v/>
      </c>
      <c r="U823" s="7">
        <f>'1 prepared data'!T816</f>
        <v/>
      </c>
      <c r="V823" s="8">
        <f>$AC$12+D823*$AC$13+E823*$AC$14+F823*$AC$15+G823*$AC$16+H823*$AC$17+I823*$AC$18+J823*$AC$19+K823*$AC$20+L823*$AC$21+M823*$AC$22+N823*$AC$23+O823*$AC$24+P823*$AC$25+Q823*$AC$26+R823*$AC$27+S823*$AC$28+T823*$AC$29+U823*$AC$30</f>
        <v/>
      </c>
      <c r="W823" s="8">
        <f>1/(1+EXP(-V823))</f>
        <v/>
      </c>
      <c r="X823" s="9">
        <f>-IF(C823=1,LN(W823),LN(1-W823))</f>
        <v/>
      </c>
      <c r="Y823" s="10">
        <f>IF(W823&gt;$AC$34,1,0)</f>
        <v/>
      </c>
      <c r="Z823">
        <f>IF(Y823=C823,1,0)</f>
        <v/>
      </c>
    </row>
    <row r="824">
      <c r="A824">
        <f>'1 prepared data'!A817</f>
        <v/>
      </c>
      <c r="B824" s="5">
        <f>'1 prepared data'!U817</f>
        <v/>
      </c>
      <c r="C824">
        <f>'1 prepared data'!B817</f>
        <v/>
      </c>
      <c r="D824" s="7">
        <f>'1 prepared data'!C817</f>
        <v/>
      </c>
      <c r="E824" s="7">
        <f>'1 prepared data'!D817</f>
        <v/>
      </c>
      <c r="F824" s="7">
        <f>'1 prepared data'!E817</f>
        <v/>
      </c>
      <c r="G824" s="7">
        <f>'1 prepared data'!F817</f>
        <v/>
      </c>
      <c r="H824" s="7">
        <f>'1 prepared data'!G817</f>
        <v/>
      </c>
      <c r="I824" s="7">
        <f>'1 prepared data'!H817</f>
        <v/>
      </c>
      <c r="J824" s="7">
        <f>'1 prepared data'!I817</f>
        <v/>
      </c>
      <c r="K824" s="7">
        <f>'1 prepared data'!J817</f>
        <v/>
      </c>
      <c r="L824" s="7">
        <f>'1 prepared data'!K817</f>
        <v/>
      </c>
      <c r="M824" s="7">
        <f>'1 prepared data'!L817</f>
        <v/>
      </c>
      <c r="N824" s="7">
        <f>'1 prepared data'!M817</f>
        <v/>
      </c>
      <c r="O824" s="7">
        <f>'1 prepared data'!N817</f>
        <v/>
      </c>
      <c r="P824" s="7">
        <f>'1 prepared data'!O817</f>
        <v/>
      </c>
      <c r="Q824" s="7">
        <f>'1 prepared data'!P817</f>
        <v/>
      </c>
      <c r="R824" s="7">
        <f>'1 prepared data'!Q817</f>
        <v/>
      </c>
      <c r="S824" s="7">
        <f>'1 prepared data'!R817</f>
        <v/>
      </c>
      <c r="T824" s="7">
        <f>'1 prepared data'!S817</f>
        <v/>
      </c>
      <c r="U824" s="7">
        <f>'1 prepared data'!T817</f>
        <v/>
      </c>
      <c r="V824" s="8">
        <f>$AC$12+D824*$AC$13+E824*$AC$14+F824*$AC$15+G824*$AC$16+H824*$AC$17+I824*$AC$18+J824*$AC$19+K824*$AC$20+L824*$AC$21+M824*$AC$22+N824*$AC$23+O824*$AC$24+P824*$AC$25+Q824*$AC$26+R824*$AC$27+S824*$AC$28+T824*$AC$29+U824*$AC$30</f>
        <v/>
      </c>
      <c r="W824" s="8">
        <f>1/(1+EXP(-V824))</f>
        <v/>
      </c>
      <c r="X824" s="9">
        <f>-IF(C824=1,LN(W824),LN(1-W824))</f>
        <v/>
      </c>
      <c r="Y824" s="10">
        <f>IF(W824&gt;$AC$34,1,0)</f>
        <v/>
      </c>
      <c r="Z824">
        <f>IF(Y824=C824,1,0)</f>
        <v/>
      </c>
    </row>
    <row r="825">
      <c r="A825">
        <f>'1 prepared data'!A818</f>
        <v/>
      </c>
      <c r="B825" s="5">
        <f>'1 prepared data'!U818</f>
        <v/>
      </c>
      <c r="C825">
        <f>'1 prepared data'!B818</f>
        <v/>
      </c>
      <c r="D825" s="7">
        <f>'1 prepared data'!C818</f>
        <v/>
      </c>
      <c r="E825" s="7">
        <f>'1 prepared data'!D818</f>
        <v/>
      </c>
      <c r="F825" s="7">
        <f>'1 prepared data'!E818</f>
        <v/>
      </c>
      <c r="G825" s="7">
        <f>'1 prepared data'!F818</f>
        <v/>
      </c>
      <c r="H825" s="7">
        <f>'1 prepared data'!G818</f>
        <v/>
      </c>
      <c r="I825" s="7">
        <f>'1 prepared data'!H818</f>
        <v/>
      </c>
      <c r="J825" s="7">
        <f>'1 prepared data'!I818</f>
        <v/>
      </c>
      <c r="K825" s="7">
        <f>'1 prepared data'!J818</f>
        <v/>
      </c>
      <c r="L825" s="7">
        <f>'1 prepared data'!K818</f>
        <v/>
      </c>
      <c r="M825" s="7">
        <f>'1 prepared data'!L818</f>
        <v/>
      </c>
      <c r="N825" s="7">
        <f>'1 prepared data'!M818</f>
        <v/>
      </c>
      <c r="O825" s="7">
        <f>'1 prepared data'!N818</f>
        <v/>
      </c>
      <c r="P825" s="7">
        <f>'1 prepared data'!O818</f>
        <v/>
      </c>
      <c r="Q825" s="7">
        <f>'1 prepared data'!P818</f>
        <v/>
      </c>
      <c r="R825" s="7">
        <f>'1 prepared data'!Q818</f>
        <v/>
      </c>
      <c r="S825" s="7">
        <f>'1 prepared data'!R818</f>
        <v/>
      </c>
      <c r="T825" s="7">
        <f>'1 prepared data'!S818</f>
        <v/>
      </c>
      <c r="U825" s="7">
        <f>'1 prepared data'!T818</f>
        <v/>
      </c>
      <c r="V825" s="8">
        <f>$AC$12+D825*$AC$13+E825*$AC$14+F825*$AC$15+G825*$AC$16+H825*$AC$17+I825*$AC$18+J825*$AC$19+K825*$AC$20+L825*$AC$21+M825*$AC$22+N825*$AC$23+O825*$AC$24+P825*$AC$25+Q825*$AC$26+R825*$AC$27+S825*$AC$28+T825*$AC$29+U825*$AC$30</f>
        <v/>
      </c>
      <c r="W825" s="8">
        <f>1/(1+EXP(-V825))</f>
        <v/>
      </c>
      <c r="X825" s="9">
        <f>-IF(C825=1,LN(W825),LN(1-W825))</f>
        <v/>
      </c>
      <c r="Y825" s="10">
        <f>IF(W825&gt;$AC$34,1,0)</f>
        <v/>
      </c>
      <c r="Z825">
        <f>IF(Y825=C825,1,0)</f>
        <v/>
      </c>
    </row>
    <row r="826">
      <c r="A826">
        <f>'1 prepared data'!A819</f>
        <v/>
      </c>
      <c r="B826" s="5">
        <f>'1 prepared data'!U819</f>
        <v/>
      </c>
      <c r="C826">
        <f>'1 prepared data'!B819</f>
        <v/>
      </c>
      <c r="D826" s="7">
        <f>'1 prepared data'!C819</f>
        <v/>
      </c>
      <c r="E826" s="7">
        <f>'1 prepared data'!D819</f>
        <v/>
      </c>
      <c r="F826" s="7">
        <f>'1 prepared data'!E819</f>
        <v/>
      </c>
      <c r="G826" s="7">
        <f>'1 prepared data'!F819</f>
        <v/>
      </c>
      <c r="H826" s="7">
        <f>'1 prepared data'!G819</f>
        <v/>
      </c>
      <c r="I826" s="7">
        <f>'1 prepared data'!H819</f>
        <v/>
      </c>
      <c r="J826" s="7">
        <f>'1 prepared data'!I819</f>
        <v/>
      </c>
      <c r="K826" s="7">
        <f>'1 prepared data'!J819</f>
        <v/>
      </c>
      <c r="L826" s="7">
        <f>'1 prepared data'!K819</f>
        <v/>
      </c>
      <c r="M826" s="7">
        <f>'1 prepared data'!L819</f>
        <v/>
      </c>
      <c r="N826" s="7">
        <f>'1 prepared data'!M819</f>
        <v/>
      </c>
      <c r="O826" s="7">
        <f>'1 prepared data'!N819</f>
        <v/>
      </c>
      <c r="P826" s="7">
        <f>'1 prepared data'!O819</f>
        <v/>
      </c>
      <c r="Q826" s="7">
        <f>'1 prepared data'!P819</f>
        <v/>
      </c>
      <c r="R826" s="7">
        <f>'1 prepared data'!Q819</f>
        <v/>
      </c>
      <c r="S826" s="7">
        <f>'1 prepared data'!R819</f>
        <v/>
      </c>
      <c r="T826" s="7">
        <f>'1 prepared data'!S819</f>
        <v/>
      </c>
      <c r="U826" s="7">
        <f>'1 prepared data'!T819</f>
        <v/>
      </c>
      <c r="V826" s="8">
        <f>$AC$12+D826*$AC$13+E826*$AC$14+F826*$AC$15+G826*$AC$16+H826*$AC$17+I826*$AC$18+J826*$AC$19+K826*$AC$20+L826*$AC$21+M826*$AC$22+N826*$AC$23+O826*$AC$24+P826*$AC$25+Q826*$AC$26+R826*$AC$27+S826*$AC$28+T826*$AC$29+U826*$AC$30</f>
        <v/>
      </c>
      <c r="W826" s="8">
        <f>1/(1+EXP(-V826))</f>
        <v/>
      </c>
      <c r="X826" s="9">
        <f>-IF(C826=1,LN(W826),LN(1-W826))</f>
        <v/>
      </c>
      <c r="Y826" s="10">
        <f>IF(W826&gt;$AC$34,1,0)</f>
        <v/>
      </c>
      <c r="Z826">
        <f>IF(Y826=C826,1,0)</f>
        <v/>
      </c>
    </row>
    <row r="827">
      <c r="A827">
        <f>'1 prepared data'!A820</f>
        <v/>
      </c>
      <c r="B827" s="5">
        <f>'1 prepared data'!U820</f>
        <v/>
      </c>
      <c r="C827">
        <f>'1 prepared data'!B820</f>
        <v/>
      </c>
      <c r="D827" s="7">
        <f>'1 prepared data'!C820</f>
        <v/>
      </c>
      <c r="E827" s="7">
        <f>'1 prepared data'!D820</f>
        <v/>
      </c>
      <c r="F827" s="7">
        <f>'1 prepared data'!E820</f>
        <v/>
      </c>
      <c r="G827" s="7">
        <f>'1 prepared data'!F820</f>
        <v/>
      </c>
      <c r="H827" s="7">
        <f>'1 prepared data'!G820</f>
        <v/>
      </c>
      <c r="I827" s="7">
        <f>'1 prepared data'!H820</f>
        <v/>
      </c>
      <c r="J827" s="7">
        <f>'1 prepared data'!I820</f>
        <v/>
      </c>
      <c r="K827" s="7">
        <f>'1 prepared data'!J820</f>
        <v/>
      </c>
      <c r="L827" s="7">
        <f>'1 prepared data'!K820</f>
        <v/>
      </c>
      <c r="M827" s="7">
        <f>'1 prepared data'!L820</f>
        <v/>
      </c>
      <c r="N827" s="7">
        <f>'1 prepared data'!M820</f>
        <v/>
      </c>
      <c r="O827" s="7">
        <f>'1 prepared data'!N820</f>
        <v/>
      </c>
      <c r="P827" s="7">
        <f>'1 prepared data'!O820</f>
        <v/>
      </c>
      <c r="Q827" s="7">
        <f>'1 prepared data'!P820</f>
        <v/>
      </c>
      <c r="R827" s="7">
        <f>'1 prepared data'!Q820</f>
        <v/>
      </c>
      <c r="S827" s="7">
        <f>'1 prepared data'!R820</f>
        <v/>
      </c>
      <c r="T827" s="7">
        <f>'1 prepared data'!S820</f>
        <v/>
      </c>
      <c r="U827" s="7">
        <f>'1 prepared data'!T820</f>
        <v/>
      </c>
      <c r="V827" s="8">
        <f>$AC$12+D827*$AC$13+E827*$AC$14+F827*$AC$15+G827*$AC$16+H827*$AC$17+I827*$AC$18+J827*$AC$19+K827*$AC$20+L827*$AC$21+M827*$AC$22+N827*$AC$23+O827*$AC$24+P827*$AC$25+Q827*$AC$26+R827*$AC$27+S827*$AC$28+T827*$AC$29+U827*$AC$30</f>
        <v/>
      </c>
      <c r="W827" s="8">
        <f>1/(1+EXP(-V827))</f>
        <v/>
      </c>
      <c r="X827" s="9">
        <f>-IF(C827=1,LN(W827),LN(1-W827))</f>
        <v/>
      </c>
      <c r="Y827" s="10">
        <f>IF(W827&gt;$AC$34,1,0)</f>
        <v/>
      </c>
      <c r="Z827">
        <f>IF(Y827=C827,1,0)</f>
        <v/>
      </c>
    </row>
    <row r="828">
      <c r="A828">
        <f>'1 prepared data'!A821</f>
        <v/>
      </c>
      <c r="B828" s="5">
        <f>'1 prepared data'!U821</f>
        <v/>
      </c>
      <c r="C828">
        <f>'1 prepared data'!B821</f>
        <v/>
      </c>
      <c r="D828" s="7">
        <f>'1 prepared data'!C821</f>
        <v/>
      </c>
      <c r="E828" s="7">
        <f>'1 prepared data'!D821</f>
        <v/>
      </c>
      <c r="F828" s="7">
        <f>'1 prepared data'!E821</f>
        <v/>
      </c>
      <c r="G828" s="7">
        <f>'1 prepared data'!F821</f>
        <v/>
      </c>
      <c r="H828" s="7">
        <f>'1 prepared data'!G821</f>
        <v/>
      </c>
      <c r="I828" s="7">
        <f>'1 prepared data'!H821</f>
        <v/>
      </c>
      <c r="J828" s="7">
        <f>'1 prepared data'!I821</f>
        <v/>
      </c>
      <c r="K828" s="7">
        <f>'1 prepared data'!J821</f>
        <v/>
      </c>
      <c r="L828" s="7">
        <f>'1 prepared data'!K821</f>
        <v/>
      </c>
      <c r="M828" s="7">
        <f>'1 prepared data'!L821</f>
        <v/>
      </c>
      <c r="N828" s="7">
        <f>'1 prepared data'!M821</f>
        <v/>
      </c>
      <c r="O828" s="7">
        <f>'1 prepared data'!N821</f>
        <v/>
      </c>
      <c r="P828" s="7">
        <f>'1 prepared data'!O821</f>
        <v/>
      </c>
      <c r="Q828" s="7">
        <f>'1 prepared data'!P821</f>
        <v/>
      </c>
      <c r="R828" s="7">
        <f>'1 prepared data'!Q821</f>
        <v/>
      </c>
      <c r="S828" s="7">
        <f>'1 prepared data'!R821</f>
        <v/>
      </c>
      <c r="T828" s="7">
        <f>'1 prepared data'!S821</f>
        <v/>
      </c>
      <c r="U828" s="7">
        <f>'1 prepared data'!T821</f>
        <v/>
      </c>
      <c r="V828" s="8">
        <f>$AC$12+D828*$AC$13+E828*$AC$14+F828*$AC$15+G828*$AC$16+H828*$AC$17+I828*$AC$18+J828*$AC$19+K828*$AC$20+L828*$AC$21+M828*$AC$22+N828*$AC$23+O828*$AC$24+P828*$AC$25+Q828*$AC$26+R828*$AC$27+S828*$AC$28+T828*$AC$29+U828*$AC$30</f>
        <v/>
      </c>
      <c r="W828" s="8">
        <f>1/(1+EXP(-V828))</f>
        <v/>
      </c>
      <c r="X828" s="9">
        <f>-IF(C828=1,LN(W828),LN(1-W828))</f>
        <v/>
      </c>
      <c r="Y828" s="10">
        <f>IF(W828&gt;$AC$34,1,0)</f>
        <v/>
      </c>
      <c r="Z828">
        <f>IF(Y828=C828,1,0)</f>
        <v/>
      </c>
    </row>
    <row r="829">
      <c r="A829">
        <f>'1 prepared data'!A822</f>
        <v/>
      </c>
      <c r="B829" s="5">
        <f>'1 prepared data'!U822</f>
        <v/>
      </c>
      <c r="C829">
        <f>'1 prepared data'!B822</f>
        <v/>
      </c>
      <c r="D829" s="7">
        <f>'1 prepared data'!C822</f>
        <v/>
      </c>
      <c r="E829" s="7">
        <f>'1 prepared data'!D822</f>
        <v/>
      </c>
      <c r="F829" s="7">
        <f>'1 prepared data'!E822</f>
        <v/>
      </c>
      <c r="G829" s="7">
        <f>'1 prepared data'!F822</f>
        <v/>
      </c>
      <c r="H829" s="7">
        <f>'1 prepared data'!G822</f>
        <v/>
      </c>
      <c r="I829" s="7">
        <f>'1 prepared data'!H822</f>
        <v/>
      </c>
      <c r="J829" s="7">
        <f>'1 prepared data'!I822</f>
        <v/>
      </c>
      <c r="K829" s="7">
        <f>'1 prepared data'!J822</f>
        <v/>
      </c>
      <c r="L829" s="7">
        <f>'1 prepared data'!K822</f>
        <v/>
      </c>
      <c r="M829" s="7">
        <f>'1 prepared data'!L822</f>
        <v/>
      </c>
      <c r="N829" s="7">
        <f>'1 prepared data'!M822</f>
        <v/>
      </c>
      <c r="O829" s="7">
        <f>'1 prepared data'!N822</f>
        <v/>
      </c>
      <c r="P829" s="7">
        <f>'1 prepared data'!O822</f>
        <v/>
      </c>
      <c r="Q829" s="7">
        <f>'1 prepared data'!P822</f>
        <v/>
      </c>
      <c r="R829" s="7">
        <f>'1 prepared data'!Q822</f>
        <v/>
      </c>
      <c r="S829" s="7">
        <f>'1 prepared data'!R822</f>
        <v/>
      </c>
      <c r="T829" s="7">
        <f>'1 prepared data'!S822</f>
        <v/>
      </c>
      <c r="U829" s="7">
        <f>'1 prepared data'!T822</f>
        <v/>
      </c>
      <c r="V829" s="8">
        <f>$AC$12+D829*$AC$13+E829*$AC$14+F829*$AC$15+G829*$AC$16+H829*$AC$17+I829*$AC$18+J829*$AC$19+K829*$AC$20+L829*$AC$21+M829*$AC$22+N829*$AC$23+O829*$AC$24+P829*$AC$25+Q829*$AC$26+R829*$AC$27+S829*$AC$28+T829*$AC$29+U829*$AC$30</f>
        <v/>
      </c>
      <c r="W829" s="8">
        <f>1/(1+EXP(-V829))</f>
        <v/>
      </c>
      <c r="X829" s="9">
        <f>-IF(C829=1,LN(W829),LN(1-W829))</f>
        <v/>
      </c>
      <c r="Y829" s="10">
        <f>IF(W829&gt;$AC$34,1,0)</f>
        <v/>
      </c>
      <c r="Z829">
        <f>IF(Y829=C829,1,0)</f>
        <v/>
      </c>
    </row>
    <row r="830">
      <c r="A830">
        <f>'1 prepared data'!A823</f>
        <v/>
      </c>
      <c r="B830" s="5">
        <f>'1 prepared data'!U823</f>
        <v/>
      </c>
      <c r="C830">
        <f>'1 prepared data'!B823</f>
        <v/>
      </c>
      <c r="D830" s="7">
        <f>'1 prepared data'!C823</f>
        <v/>
      </c>
      <c r="E830" s="7">
        <f>'1 prepared data'!D823</f>
        <v/>
      </c>
      <c r="F830" s="7">
        <f>'1 prepared data'!E823</f>
        <v/>
      </c>
      <c r="G830" s="7">
        <f>'1 prepared data'!F823</f>
        <v/>
      </c>
      <c r="H830" s="7">
        <f>'1 prepared data'!G823</f>
        <v/>
      </c>
      <c r="I830" s="7">
        <f>'1 prepared data'!H823</f>
        <v/>
      </c>
      <c r="J830" s="7">
        <f>'1 prepared data'!I823</f>
        <v/>
      </c>
      <c r="K830" s="7">
        <f>'1 prepared data'!J823</f>
        <v/>
      </c>
      <c r="L830" s="7">
        <f>'1 prepared data'!K823</f>
        <v/>
      </c>
      <c r="M830" s="7">
        <f>'1 prepared data'!L823</f>
        <v/>
      </c>
      <c r="N830" s="7">
        <f>'1 prepared data'!M823</f>
        <v/>
      </c>
      <c r="O830" s="7">
        <f>'1 prepared data'!N823</f>
        <v/>
      </c>
      <c r="P830" s="7">
        <f>'1 prepared data'!O823</f>
        <v/>
      </c>
      <c r="Q830" s="7">
        <f>'1 prepared data'!P823</f>
        <v/>
      </c>
      <c r="R830" s="7">
        <f>'1 prepared data'!Q823</f>
        <v/>
      </c>
      <c r="S830" s="7">
        <f>'1 prepared data'!R823</f>
        <v/>
      </c>
      <c r="T830" s="7">
        <f>'1 prepared data'!S823</f>
        <v/>
      </c>
      <c r="U830" s="7">
        <f>'1 prepared data'!T823</f>
        <v/>
      </c>
      <c r="V830" s="8">
        <f>$AC$12+D830*$AC$13+E830*$AC$14+F830*$AC$15+G830*$AC$16+H830*$AC$17+I830*$AC$18+J830*$AC$19+K830*$AC$20+L830*$AC$21+M830*$AC$22+N830*$AC$23+O830*$AC$24+P830*$AC$25+Q830*$AC$26+R830*$AC$27+S830*$AC$28+T830*$AC$29+U830*$AC$30</f>
        <v/>
      </c>
      <c r="W830" s="8">
        <f>1/(1+EXP(-V830))</f>
        <v/>
      </c>
      <c r="X830" s="9">
        <f>-IF(C830=1,LN(W830),LN(1-W830))</f>
        <v/>
      </c>
      <c r="Y830" s="10">
        <f>IF(W830&gt;$AC$34,1,0)</f>
        <v/>
      </c>
      <c r="Z830">
        <f>IF(Y830=C830,1,0)</f>
        <v/>
      </c>
    </row>
    <row r="831">
      <c r="A831">
        <f>'1 prepared data'!A824</f>
        <v/>
      </c>
      <c r="B831" s="5">
        <f>'1 prepared data'!U824</f>
        <v/>
      </c>
      <c r="C831">
        <f>'1 prepared data'!B824</f>
        <v/>
      </c>
      <c r="D831" s="7">
        <f>'1 prepared data'!C824</f>
        <v/>
      </c>
      <c r="E831" s="7">
        <f>'1 prepared data'!D824</f>
        <v/>
      </c>
      <c r="F831" s="7">
        <f>'1 prepared data'!E824</f>
        <v/>
      </c>
      <c r="G831" s="7">
        <f>'1 prepared data'!F824</f>
        <v/>
      </c>
      <c r="H831" s="7">
        <f>'1 prepared data'!G824</f>
        <v/>
      </c>
      <c r="I831" s="7">
        <f>'1 prepared data'!H824</f>
        <v/>
      </c>
      <c r="J831" s="7">
        <f>'1 prepared data'!I824</f>
        <v/>
      </c>
      <c r="K831" s="7">
        <f>'1 prepared data'!J824</f>
        <v/>
      </c>
      <c r="L831" s="7">
        <f>'1 prepared data'!K824</f>
        <v/>
      </c>
      <c r="M831" s="7">
        <f>'1 prepared data'!L824</f>
        <v/>
      </c>
      <c r="N831" s="7">
        <f>'1 prepared data'!M824</f>
        <v/>
      </c>
      <c r="O831" s="7">
        <f>'1 prepared data'!N824</f>
        <v/>
      </c>
      <c r="P831" s="7">
        <f>'1 prepared data'!O824</f>
        <v/>
      </c>
      <c r="Q831" s="7">
        <f>'1 prepared data'!P824</f>
        <v/>
      </c>
      <c r="R831" s="7">
        <f>'1 prepared data'!Q824</f>
        <v/>
      </c>
      <c r="S831" s="7">
        <f>'1 prepared data'!R824</f>
        <v/>
      </c>
      <c r="T831" s="7">
        <f>'1 prepared data'!S824</f>
        <v/>
      </c>
      <c r="U831" s="7">
        <f>'1 prepared data'!T824</f>
        <v/>
      </c>
      <c r="V831" s="8">
        <f>$AC$12+D831*$AC$13+E831*$AC$14+F831*$AC$15+G831*$AC$16+H831*$AC$17+I831*$AC$18+J831*$AC$19+K831*$AC$20+L831*$AC$21+M831*$AC$22+N831*$AC$23+O831*$AC$24+P831*$AC$25+Q831*$AC$26+R831*$AC$27+S831*$AC$28+T831*$AC$29+U831*$AC$30</f>
        <v/>
      </c>
      <c r="W831" s="8">
        <f>1/(1+EXP(-V831))</f>
        <v/>
      </c>
      <c r="X831" s="9">
        <f>-IF(C831=1,LN(W831),LN(1-W831))</f>
        <v/>
      </c>
      <c r="Y831" s="10">
        <f>IF(W831&gt;$AC$34,1,0)</f>
        <v/>
      </c>
      <c r="Z831">
        <f>IF(Y831=C831,1,0)</f>
        <v/>
      </c>
    </row>
    <row r="832">
      <c r="A832">
        <f>'1 prepared data'!A825</f>
        <v/>
      </c>
      <c r="B832" s="5">
        <f>'1 prepared data'!U825</f>
        <v/>
      </c>
      <c r="C832">
        <f>'1 prepared data'!B825</f>
        <v/>
      </c>
      <c r="D832" s="7">
        <f>'1 prepared data'!C825</f>
        <v/>
      </c>
      <c r="E832" s="7">
        <f>'1 prepared data'!D825</f>
        <v/>
      </c>
      <c r="F832" s="7">
        <f>'1 prepared data'!E825</f>
        <v/>
      </c>
      <c r="G832" s="7">
        <f>'1 prepared data'!F825</f>
        <v/>
      </c>
      <c r="H832" s="7">
        <f>'1 prepared data'!G825</f>
        <v/>
      </c>
      <c r="I832" s="7">
        <f>'1 prepared data'!H825</f>
        <v/>
      </c>
      <c r="J832" s="7">
        <f>'1 prepared data'!I825</f>
        <v/>
      </c>
      <c r="K832" s="7">
        <f>'1 prepared data'!J825</f>
        <v/>
      </c>
      <c r="L832" s="7">
        <f>'1 prepared data'!K825</f>
        <v/>
      </c>
      <c r="M832" s="7">
        <f>'1 prepared data'!L825</f>
        <v/>
      </c>
      <c r="N832" s="7">
        <f>'1 prepared data'!M825</f>
        <v/>
      </c>
      <c r="O832" s="7">
        <f>'1 prepared data'!N825</f>
        <v/>
      </c>
      <c r="P832" s="7">
        <f>'1 prepared data'!O825</f>
        <v/>
      </c>
      <c r="Q832" s="7">
        <f>'1 prepared data'!P825</f>
        <v/>
      </c>
      <c r="R832" s="7">
        <f>'1 prepared data'!Q825</f>
        <v/>
      </c>
      <c r="S832" s="7">
        <f>'1 prepared data'!R825</f>
        <v/>
      </c>
      <c r="T832" s="7">
        <f>'1 prepared data'!S825</f>
        <v/>
      </c>
      <c r="U832" s="7">
        <f>'1 prepared data'!T825</f>
        <v/>
      </c>
      <c r="V832" s="8">
        <f>$AC$12+D832*$AC$13+E832*$AC$14+F832*$AC$15+G832*$AC$16+H832*$AC$17+I832*$AC$18+J832*$AC$19+K832*$AC$20+L832*$AC$21+M832*$AC$22+N832*$AC$23+O832*$AC$24+P832*$AC$25+Q832*$AC$26+R832*$AC$27+S832*$AC$28+T832*$AC$29+U832*$AC$30</f>
        <v/>
      </c>
      <c r="W832" s="8">
        <f>1/(1+EXP(-V832))</f>
        <v/>
      </c>
      <c r="X832" s="9">
        <f>-IF(C832=1,LN(W832),LN(1-W832))</f>
        <v/>
      </c>
      <c r="Y832" s="10">
        <f>IF(W832&gt;$AC$34,1,0)</f>
        <v/>
      </c>
      <c r="Z832">
        <f>IF(Y832=C832,1,0)</f>
        <v/>
      </c>
    </row>
    <row r="833">
      <c r="A833">
        <f>'1 prepared data'!A826</f>
        <v/>
      </c>
      <c r="B833" s="5">
        <f>'1 prepared data'!U826</f>
        <v/>
      </c>
      <c r="C833">
        <f>'1 prepared data'!B826</f>
        <v/>
      </c>
      <c r="D833" s="7">
        <f>'1 prepared data'!C826</f>
        <v/>
      </c>
      <c r="E833" s="7">
        <f>'1 prepared data'!D826</f>
        <v/>
      </c>
      <c r="F833" s="7">
        <f>'1 prepared data'!E826</f>
        <v/>
      </c>
      <c r="G833" s="7">
        <f>'1 prepared data'!F826</f>
        <v/>
      </c>
      <c r="H833" s="7">
        <f>'1 prepared data'!G826</f>
        <v/>
      </c>
      <c r="I833" s="7">
        <f>'1 prepared data'!H826</f>
        <v/>
      </c>
      <c r="J833" s="7">
        <f>'1 prepared data'!I826</f>
        <v/>
      </c>
      <c r="K833" s="7">
        <f>'1 prepared data'!J826</f>
        <v/>
      </c>
      <c r="L833" s="7">
        <f>'1 prepared data'!K826</f>
        <v/>
      </c>
      <c r="M833" s="7">
        <f>'1 prepared data'!L826</f>
        <v/>
      </c>
      <c r="N833" s="7">
        <f>'1 prepared data'!M826</f>
        <v/>
      </c>
      <c r="O833" s="7">
        <f>'1 prepared data'!N826</f>
        <v/>
      </c>
      <c r="P833" s="7">
        <f>'1 prepared data'!O826</f>
        <v/>
      </c>
      <c r="Q833" s="7">
        <f>'1 prepared data'!P826</f>
        <v/>
      </c>
      <c r="R833" s="7">
        <f>'1 prepared data'!Q826</f>
        <v/>
      </c>
      <c r="S833" s="7">
        <f>'1 prepared data'!R826</f>
        <v/>
      </c>
      <c r="T833" s="7">
        <f>'1 prepared data'!S826</f>
        <v/>
      </c>
      <c r="U833" s="7">
        <f>'1 prepared data'!T826</f>
        <v/>
      </c>
      <c r="V833" s="8">
        <f>$AC$12+D833*$AC$13+E833*$AC$14+F833*$AC$15+G833*$AC$16+H833*$AC$17+I833*$AC$18+J833*$AC$19+K833*$AC$20+L833*$AC$21+M833*$AC$22+N833*$AC$23+O833*$AC$24+P833*$AC$25+Q833*$AC$26+R833*$AC$27+S833*$AC$28+T833*$AC$29+U833*$AC$30</f>
        <v/>
      </c>
      <c r="W833" s="8">
        <f>1/(1+EXP(-V833))</f>
        <v/>
      </c>
      <c r="X833" s="9">
        <f>-IF(C833=1,LN(W833),LN(1-W833))</f>
        <v/>
      </c>
      <c r="Y833" s="10">
        <f>IF(W833&gt;$AC$34,1,0)</f>
        <v/>
      </c>
      <c r="Z833">
        <f>IF(Y833=C833,1,0)</f>
        <v/>
      </c>
    </row>
    <row r="834">
      <c r="A834">
        <f>'1 prepared data'!A827</f>
        <v/>
      </c>
      <c r="B834" s="5">
        <f>'1 prepared data'!U827</f>
        <v/>
      </c>
      <c r="C834">
        <f>'1 prepared data'!B827</f>
        <v/>
      </c>
      <c r="D834" s="7">
        <f>'1 prepared data'!C827</f>
        <v/>
      </c>
      <c r="E834" s="7">
        <f>'1 prepared data'!D827</f>
        <v/>
      </c>
      <c r="F834" s="7">
        <f>'1 prepared data'!E827</f>
        <v/>
      </c>
      <c r="G834" s="7">
        <f>'1 prepared data'!F827</f>
        <v/>
      </c>
      <c r="H834" s="7">
        <f>'1 prepared data'!G827</f>
        <v/>
      </c>
      <c r="I834" s="7">
        <f>'1 prepared data'!H827</f>
        <v/>
      </c>
      <c r="J834" s="7">
        <f>'1 prepared data'!I827</f>
        <v/>
      </c>
      <c r="K834" s="7">
        <f>'1 prepared data'!J827</f>
        <v/>
      </c>
      <c r="L834" s="7">
        <f>'1 prepared data'!K827</f>
        <v/>
      </c>
      <c r="M834" s="7">
        <f>'1 prepared data'!L827</f>
        <v/>
      </c>
      <c r="N834" s="7">
        <f>'1 prepared data'!M827</f>
        <v/>
      </c>
      <c r="O834" s="7">
        <f>'1 prepared data'!N827</f>
        <v/>
      </c>
      <c r="P834" s="7">
        <f>'1 prepared data'!O827</f>
        <v/>
      </c>
      <c r="Q834" s="7">
        <f>'1 prepared data'!P827</f>
        <v/>
      </c>
      <c r="R834" s="7">
        <f>'1 prepared data'!Q827</f>
        <v/>
      </c>
      <c r="S834" s="7">
        <f>'1 prepared data'!R827</f>
        <v/>
      </c>
      <c r="T834" s="7">
        <f>'1 prepared data'!S827</f>
        <v/>
      </c>
      <c r="U834" s="7">
        <f>'1 prepared data'!T827</f>
        <v/>
      </c>
      <c r="V834" s="8">
        <f>$AC$12+D834*$AC$13+E834*$AC$14+F834*$AC$15+G834*$AC$16+H834*$AC$17+I834*$AC$18+J834*$AC$19+K834*$AC$20+L834*$AC$21+M834*$AC$22+N834*$AC$23+O834*$AC$24+P834*$AC$25+Q834*$AC$26+R834*$AC$27+S834*$AC$28+T834*$AC$29+U834*$AC$30</f>
        <v/>
      </c>
      <c r="W834" s="8">
        <f>1/(1+EXP(-V834))</f>
        <v/>
      </c>
      <c r="X834" s="9">
        <f>-IF(C834=1,LN(W834),LN(1-W834))</f>
        <v/>
      </c>
      <c r="Y834" s="10">
        <f>IF(W834&gt;$AC$34,1,0)</f>
        <v/>
      </c>
      <c r="Z834">
        <f>IF(Y834=C834,1,0)</f>
        <v/>
      </c>
    </row>
    <row r="835">
      <c r="A835">
        <f>'1 prepared data'!A828</f>
        <v/>
      </c>
      <c r="B835" s="5">
        <f>'1 prepared data'!U828</f>
        <v/>
      </c>
      <c r="C835">
        <f>'1 prepared data'!B828</f>
        <v/>
      </c>
      <c r="D835" s="7">
        <f>'1 prepared data'!C828</f>
        <v/>
      </c>
      <c r="E835" s="7">
        <f>'1 prepared data'!D828</f>
        <v/>
      </c>
      <c r="F835" s="7">
        <f>'1 prepared data'!E828</f>
        <v/>
      </c>
      <c r="G835" s="7">
        <f>'1 prepared data'!F828</f>
        <v/>
      </c>
      <c r="H835" s="7">
        <f>'1 prepared data'!G828</f>
        <v/>
      </c>
      <c r="I835" s="7">
        <f>'1 prepared data'!H828</f>
        <v/>
      </c>
      <c r="J835" s="7">
        <f>'1 prepared data'!I828</f>
        <v/>
      </c>
      <c r="K835" s="7">
        <f>'1 prepared data'!J828</f>
        <v/>
      </c>
      <c r="L835" s="7">
        <f>'1 prepared data'!K828</f>
        <v/>
      </c>
      <c r="M835" s="7">
        <f>'1 prepared data'!L828</f>
        <v/>
      </c>
      <c r="N835" s="7">
        <f>'1 prepared data'!M828</f>
        <v/>
      </c>
      <c r="O835" s="7">
        <f>'1 prepared data'!N828</f>
        <v/>
      </c>
      <c r="P835" s="7">
        <f>'1 prepared data'!O828</f>
        <v/>
      </c>
      <c r="Q835" s="7">
        <f>'1 prepared data'!P828</f>
        <v/>
      </c>
      <c r="R835" s="7">
        <f>'1 prepared data'!Q828</f>
        <v/>
      </c>
      <c r="S835" s="7">
        <f>'1 prepared data'!R828</f>
        <v/>
      </c>
      <c r="T835" s="7">
        <f>'1 prepared data'!S828</f>
        <v/>
      </c>
      <c r="U835" s="7">
        <f>'1 prepared data'!T828</f>
        <v/>
      </c>
      <c r="V835" s="8">
        <f>$AC$12+D835*$AC$13+E835*$AC$14+F835*$AC$15+G835*$AC$16+H835*$AC$17+I835*$AC$18+J835*$AC$19+K835*$AC$20+L835*$AC$21+M835*$AC$22+N835*$AC$23+O835*$AC$24+P835*$AC$25+Q835*$AC$26+R835*$AC$27+S835*$AC$28+T835*$AC$29+U835*$AC$30</f>
        <v/>
      </c>
      <c r="W835" s="8">
        <f>1/(1+EXP(-V835))</f>
        <v/>
      </c>
      <c r="X835" s="9">
        <f>-IF(C835=1,LN(W835),LN(1-W835))</f>
        <v/>
      </c>
      <c r="Y835" s="10">
        <f>IF(W835&gt;$AC$34,1,0)</f>
        <v/>
      </c>
      <c r="Z835">
        <f>IF(Y835=C835,1,0)</f>
        <v/>
      </c>
    </row>
    <row r="836">
      <c r="A836">
        <f>'1 prepared data'!A829</f>
        <v/>
      </c>
      <c r="B836" s="5">
        <f>'1 prepared data'!U829</f>
        <v/>
      </c>
      <c r="C836">
        <f>'1 prepared data'!B829</f>
        <v/>
      </c>
      <c r="D836" s="7">
        <f>'1 prepared data'!C829</f>
        <v/>
      </c>
      <c r="E836" s="7">
        <f>'1 prepared data'!D829</f>
        <v/>
      </c>
      <c r="F836" s="7">
        <f>'1 prepared data'!E829</f>
        <v/>
      </c>
      <c r="G836" s="7">
        <f>'1 prepared data'!F829</f>
        <v/>
      </c>
      <c r="H836" s="7">
        <f>'1 prepared data'!G829</f>
        <v/>
      </c>
      <c r="I836" s="7">
        <f>'1 prepared data'!H829</f>
        <v/>
      </c>
      <c r="J836" s="7">
        <f>'1 prepared data'!I829</f>
        <v/>
      </c>
      <c r="K836" s="7">
        <f>'1 prepared data'!J829</f>
        <v/>
      </c>
      <c r="L836" s="7">
        <f>'1 prepared data'!K829</f>
        <v/>
      </c>
      <c r="M836" s="7">
        <f>'1 prepared data'!L829</f>
        <v/>
      </c>
      <c r="N836" s="7">
        <f>'1 prepared data'!M829</f>
        <v/>
      </c>
      <c r="O836" s="7">
        <f>'1 prepared data'!N829</f>
        <v/>
      </c>
      <c r="P836" s="7">
        <f>'1 prepared data'!O829</f>
        <v/>
      </c>
      <c r="Q836" s="7">
        <f>'1 prepared data'!P829</f>
        <v/>
      </c>
      <c r="R836" s="7">
        <f>'1 prepared data'!Q829</f>
        <v/>
      </c>
      <c r="S836" s="7">
        <f>'1 prepared data'!R829</f>
        <v/>
      </c>
      <c r="T836" s="7">
        <f>'1 prepared data'!S829</f>
        <v/>
      </c>
      <c r="U836" s="7">
        <f>'1 prepared data'!T829</f>
        <v/>
      </c>
      <c r="V836" s="8">
        <f>$AC$12+D836*$AC$13+E836*$AC$14+F836*$AC$15+G836*$AC$16+H836*$AC$17+I836*$AC$18+J836*$AC$19+K836*$AC$20+L836*$AC$21+M836*$AC$22+N836*$AC$23+O836*$AC$24+P836*$AC$25+Q836*$AC$26+R836*$AC$27+S836*$AC$28+T836*$AC$29+U836*$AC$30</f>
        <v/>
      </c>
      <c r="W836" s="8">
        <f>1/(1+EXP(-V836))</f>
        <v/>
      </c>
      <c r="X836" s="9">
        <f>-IF(C836=1,LN(W836),LN(1-W836))</f>
        <v/>
      </c>
      <c r="Y836" s="10">
        <f>IF(W836&gt;$AC$34,1,0)</f>
        <v/>
      </c>
      <c r="Z836">
        <f>IF(Y836=C836,1,0)</f>
        <v/>
      </c>
    </row>
    <row r="837">
      <c r="A837">
        <f>'1 prepared data'!A830</f>
        <v/>
      </c>
      <c r="B837" s="5">
        <f>'1 prepared data'!U830</f>
        <v/>
      </c>
      <c r="C837">
        <f>'1 prepared data'!B830</f>
        <v/>
      </c>
      <c r="D837" s="7">
        <f>'1 prepared data'!C830</f>
        <v/>
      </c>
      <c r="E837" s="7">
        <f>'1 prepared data'!D830</f>
        <v/>
      </c>
      <c r="F837" s="7">
        <f>'1 prepared data'!E830</f>
        <v/>
      </c>
      <c r="G837" s="7">
        <f>'1 prepared data'!F830</f>
        <v/>
      </c>
      <c r="H837" s="7">
        <f>'1 prepared data'!G830</f>
        <v/>
      </c>
      <c r="I837" s="7">
        <f>'1 prepared data'!H830</f>
        <v/>
      </c>
      <c r="J837" s="7">
        <f>'1 prepared data'!I830</f>
        <v/>
      </c>
      <c r="K837" s="7">
        <f>'1 prepared data'!J830</f>
        <v/>
      </c>
      <c r="L837" s="7">
        <f>'1 prepared data'!K830</f>
        <v/>
      </c>
      <c r="M837" s="7">
        <f>'1 prepared data'!L830</f>
        <v/>
      </c>
      <c r="N837" s="7">
        <f>'1 prepared data'!M830</f>
        <v/>
      </c>
      <c r="O837" s="7">
        <f>'1 prepared data'!N830</f>
        <v/>
      </c>
      <c r="P837" s="7">
        <f>'1 prepared data'!O830</f>
        <v/>
      </c>
      <c r="Q837" s="7">
        <f>'1 prepared data'!P830</f>
        <v/>
      </c>
      <c r="R837" s="7">
        <f>'1 prepared data'!Q830</f>
        <v/>
      </c>
      <c r="S837" s="7">
        <f>'1 prepared data'!R830</f>
        <v/>
      </c>
      <c r="T837" s="7">
        <f>'1 prepared data'!S830</f>
        <v/>
      </c>
      <c r="U837" s="7">
        <f>'1 prepared data'!T830</f>
        <v/>
      </c>
      <c r="V837" s="8">
        <f>$AC$12+D837*$AC$13+E837*$AC$14+F837*$AC$15+G837*$AC$16+H837*$AC$17+I837*$AC$18+J837*$AC$19+K837*$AC$20+L837*$AC$21+M837*$AC$22+N837*$AC$23+O837*$AC$24+P837*$AC$25+Q837*$AC$26+R837*$AC$27+S837*$AC$28+T837*$AC$29+U837*$AC$30</f>
        <v/>
      </c>
      <c r="W837" s="8">
        <f>1/(1+EXP(-V837))</f>
        <v/>
      </c>
      <c r="X837" s="9">
        <f>-IF(C837=1,LN(W837),LN(1-W837))</f>
        <v/>
      </c>
      <c r="Y837" s="10">
        <f>IF(W837&gt;$AC$34,1,0)</f>
        <v/>
      </c>
      <c r="Z837">
        <f>IF(Y837=C837,1,0)</f>
        <v/>
      </c>
    </row>
    <row r="838">
      <c r="A838">
        <f>'1 prepared data'!A831</f>
        <v/>
      </c>
      <c r="B838" s="5">
        <f>'1 prepared data'!U831</f>
        <v/>
      </c>
      <c r="C838">
        <f>'1 prepared data'!B831</f>
        <v/>
      </c>
      <c r="D838" s="7">
        <f>'1 prepared data'!C831</f>
        <v/>
      </c>
      <c r="E838" s="7">
        <f>'1 prepared data'!D831</f>
        <v/>
      </c>
      <c r="F838" s="7">
        <f>'1 prepared data'!E831</f>
        <v/>
      </c>
      <c r="G838" s="7">
        <f>'1 prepared data'!F831</f>
        <v/>
      </c>
      <c r="H838" s="7">
        <f>'1 prepared data'!G831</f>
        <v/>
      </c>
      <c r="I838" s="7">
        <f>'1 prepared data'!H831</f>
        <v/>
      </c>
      <c r="J838" s="7">
        <f>'1 prepared data'!I831</f>
        <v/>
      </c>
      <c r="K838" s="7">
        <f>'1 prepared data'!J831</f>
        <v/>
      </c>
      <c r="L838" s="7">
        <f>'1 prepared data'!K831</f>
        <v/>
      </c>
      <c r="M838" s="7">
        <f>'1 prepared data'!L831</f>
        <v/>
      </c>
      <c r="N838" s="7">
        <f>'1 prepared data'!M831</f>
        <v/>
      </c>
      <c r="O838" s="7">
        <f>'1 prepared data'!N831</f>
        <v/>
      </c>
      <c r="P838" s="7">
        <f>'1 prepared data'!O831</f>
        <v/>
      </c>
      <c r="Q838" s="7">
        <f>'1 prepared data'!P831</f>
        <v/>
      </c>
      <c r="R838" s="7">
        <f>'1 prepared data'!Q831</f>
        <v/>
      </c>
      <c r="S838" s="7">
        <f>'1 prepared data'!R831</f>
        <v/>
      </c>
      <c r="T838" s="7">
        <f>'1 prepared data'!S831</f>
        <v/>
      </c>
      <c r="U838" s="7">
        <f>'1 prepared data'!T831</f>
        <v/>
      </c>
      <c r="V838" s="8">
        <f>$AC$12+D838*$AC$13+E838*$AC$14+F838*$AC$15+G838*$AC$16+H838*$AC$17+I838*$AC$18+J838*$AC$19+K838*$AC$20+L838*$AC$21+M838*$AC$22+N838*$AC$23+O838*$AC$24+P838*$AC$25+Q838*$AC$26+R838*$AC$27+S838*$AC$28+T838*$AC$29+U838*$AC$30</f>
        <v/>
      </c>
      <c r="W838" s="8">
        <f>1/(1+EXP(-V838))</f>
        <v/>
      </c>
      <c r="X838" s="9">
        <f>-IF(C838=1,LN(W838),LN(1-W838))</f>
        <v/>
      </c>
      <c r="Y838" s="10">
        <f>IF(W838&gt;$AC$34,1,0)</f>
        <v/>
      </c>
      <c r="Z838">
        <f>IF(Y838=C838,1,0)</f>
        <v/>
      </c>
    </row>
    <row r="839">
      <c r="A839">
        <f>'1 prepared data'!A832</f>
        <v/>
      </c>
      <c r="B839" s="5">
        <f>'1 prepared data'!U832</f>
        <v/>
      </c>
      <c r="C839">
        <f>'1 prepared data'!B832</f>
        <v/>
      </c>
      <c r="D839" s="7">
        <f>'1 prepared data'!C832</f>
        <v/>
      </c>
      <c r="E839" s="7">
        <f>'1 prepared data'!D832</f>
        <v/>
      </c>
      <c r="F839" s="7">
        <f>'1 prepared data'!E832</f>
        <v/>
      </c>
      <c r="G839" s="7">
        <f>'1 prepared data'!F832</f>
        <v/>
      </c>
      <c r="H839" s="7">
        <f>'1 prepared data'!G832</f>
        <v/>
      </c>
      <c r="I839" s="7">
        <f>'1 prepared data'!H832</f>
        <v/>
      </c>
      <c r="J839" s="7">
        <f>'1 prepared data'!I832</f>
        <v/>
      </c>
      <c r="K839" s="7">
        <f>'1 prepared data'!J832</f>
        <v/>
      </c>
      <c r="L839" s="7">
        <f>'1 prepared data'!K832</f>
        <v/>
      </c>
      <c r="M839" s="7">
        <f>'1 prepared data'!L832</f>
        <v/>
      </c>
      <c r="N839" s="7">
        <f>'1 prepared data'!M832</f>
        <v/>
      </c>
      <c r="O839" s="7">
        <f>'1 prepared data'!N832</f>
        <v/>
      </c>
      <c r="P839" s="7">
        <f>'1 prepared data'!O832</f>
        <v/>
      </c>
      <c r="Q839" s="7">
        <f>'1 prepared data'!P832</f>
        <v/>
      </c>
      <c r="R839" s="7">
        <f>'1 prepared data'!Q832</f>
        <v/>
      </c>
      <c r="S839" s="7">
        <f>'1 prepared data'!R832</f>
        <v/>
      </c>
      <c r="T839" s="7">
        <f>'1 prepared data'!S832</f>
        <v/>
      </c>
      <c r="U839" s="7">
        <f>'1 prepared data'!T832</f>
        <v/>
      </c>
      <c r="V839" s="8">
        <f>$AC$12+D839*$AC$13+E839*$AC$14+F839*$AC$15+G839*$AC$16+H839*$AC$17+I839*$AC$18+J839*$AC$19+K839*$AC$20+L839*$AC$21+M839*$AC$22+N839*$AC$23+O839*$AC$24+P839*$AC$25+Q839*$AC$26+R839*$AC$27+S839*$AC$28+T839*$AC$29+U839*$AC$30</f>
        <v/>
      </c>
      <c r="W839" s="8">
        <f>1/(1+EXP(-V839))</f>
        <v/>
      </c>
      <c r="X839" s="9">
        <f>-IF(C839=1,LN(W839),LN(1-W839))</f>
        <v/>
      </c>
      <c r="Y839" s="10">
        <f>IF(W839&gt;$AC$34,1,0)</f>
        <v/>
      </c>
      <c r="Z839">
        <f>IF(Y839=C839,1,0)</f>
        <v/>
      </c>
    </row>
    <row r="840">
      <c r="A840">
        <f>'1 prepared data'!A833</f>
        <v/>
      </c>
      <c r="B840" s="5">
        <f>'1 prepared data'!U833</f>
        <v/>
      </c>
      <c r="C840">
        <f>'1 prepared data'!B833</f>
        <v/>
      </c>
      <c r="D840" s="7">
        <f>'1 prepared data'!C833</f>
        <v/>
      </c>
      <c r="E840" s="7">
        <f>'1 prepared data'!D833</f>
        <v/>
      </c>
      <c r="F840" s="7">
        <f>'1 prepared data'!E833</f>
        <v/>
      </c>
      <c r="G840" s="7">
        <f>'1 prepared data'!F833</f>
        <v/>
      </c>
      <c r="H840" s="7">
        <f>'1 prepared data'!G833</f>
        <v/>
      </c>
      <c r="I840" s="7">
        <f>'1 prepared data'!H833</f>
        <v/>
      </c>
      <c r="J840" s="7">
        <f>'1 prepared data'!I833</f>
        <v/>
      </c>
      <c r="K840" s="7">
        <f>'1 prepared data'!J833</f>
        <v/>
      </c>
      <c r="L840" s="7">
        <f>'1 prepared data'!K833</f>
        <v/>
      </c>
      <c r="M840" s="7">
        <f>'1 prepared data'!L833</f>
        <v/>
      </c>
      <c r="N840" s="7">
        <f>'1 prepared data'!M833</f>
        <v/>
      </c>
      <c r="O840" s="7">
        <f>'1 prepared data'!N833</f>
        <v/>
      </c>
      <c r="P840" s="7">
        <f>'1 prepared data'!O833</f>
        <v/>
      </c>
      <c r="Q840" s="7">
        <f>'1 prepared data'!P833</f>
        <v/>
      </c>
      <c r="R840" s="7">
        <f>'1 prepared data'!Q833</f>
        <v/>
      </c>
      <c r="S840" s="7">
        <f>'1 prepared data'!R833</f>
        <v/>
      </c>
      <c r="T840" s="7">
        <f>'1 prepared data'!S833</f>
        <v/>
      </c>
      <c r="U840" s="7">
        <f>'1 prepared data'!T833</f>
        <v/>
      </c>
      <c r="V840" s="8">
        <f>$AC$12+D840*$AC$13+E840*$AC$14+F840*$AC$15+G840*$AC$16+H840*$AC$17+I840*$AC$18+J840*$AC$19+K840*$AC$20+L840*$AC$21+M840*$AC$22+N840*$AC$23+O840*$AC$24+P840*$AC$25+Q840*$AC$26+R840*$AC$27+S840*$AC$28+T840*$AC$29+U840*$AC$30</f>
        <v/>
      </c>
      <c r="W840" s="8">
        <f>1/(1+EXP(-V840))</f>
        <v/>
      </c>
      <c r="X840" s="9">
        <f>-IF(C840=1,LN(W840),LN(1-W840))</f>
        <v/>
      </c>
      <c r="Y840" s="10">
        <f>IF(W840&gt;$AC$34,1,0)</f>
        <v/>
      </c>
      <c r="Z840">
        <f>IF(Y840=C840,1,0)</f>
        <v/>
      </c>
    </row>
    <row r="841">
      <c r="A841">
        <f>'1 prepared data'!A834</f>
        <v/>
      </c>
      <c r="B841" s="5">
        <f>'1 prepared data'!U834</f>
        <v/>
      </c>
      <c r="C841">
        <f>'1 prepared data'!B834</f>
        <v/>
      </c>
      <c r="D841" s="7">
        <f>'1 prepared data'!C834</f>
        <v/>
      </c>
      <c r="E841" s="7">
        <f>'1 prepared data'!D834</f>
        <v/>
      </c>
      <c r="F841" s="7">
        <f>'1 prepared data'!E834</f>
        <v/>
      </c>
      <c r="G841" s="7">
        <f>'1 prepared data'!F834</f>
        <v/>
      </c>
      <c r="H841" s="7">
        <f>'1 prepared data'!G834</f>
        <v/>
      </c>
      <c r="I841" s="7">
        <f>'1 prepared data'!H834</f>
        <v/>
      </c>
      <c r="J841" s="7">
        <f>'1 prepared data'!I834</f>
        <v/>
      </c>
      <c r="K841" s="7">
        <f>'1 prepared data'!J834</f>
        <v/>
      </c>
      <c r="L841" s="7">
        <f>'1 prepared data'!K834</f>
        <v/>
      </c>
      <c r="M841" s="7">
        <f>'1 prepared data'!L834</f>
        <v/>
      </c>
      <c r="N841" s="7">
        <f>'1 prepared data'!M834</f>
        <v/>
      </c>
      <c r="O841" s="7">
        <f>'1 prepared data'!N834</f>
        <v/>
      </c>
      <c r="P841" s="7">
        <f>'1 prepared data'!O834</f>
        <v/>
      </c>
      <c r="Q841" s="7">
        <f>'1 prepared data'!P834</f>
        <v/>
      </c>
      <c r="R841" s="7">
        <f>'1 prepared data'!Q834</f>
        <v/>
      </c>
      <c r="S841" s="7">
        <f>'1 prepared data'!R834</f>
        <v/>
      </c>
      <c r="T841" s="7">
        <f>'1 prepared data'!S834</f>
        <v/>
      </c>
      <c r="U841" s="7">
        <f>'1 prepared data'!T834</f>
        <v/>
      </c>
      <c r="V841" s="8">
        <f>$AC$12+D841*$AC$13+E841*$AC$14+F841*$AC$15+G841*$AC$16+H841*$AC$17+I841*$AC$18+J841*$AC$19+K841*$AC$20+L841*$AC$21+M841*$AC$22+N841*$AC$23+O841*$AC$24+P841*$AC$25+Q841*$AC$26+R841*$AC$27+S841*$AC$28+T841*$AC$29+U841*$AC$30</f>
        <v/>
      </c>
      <c r="W841" s="8">
        <f>1/(1+EXP(-V841))</f>
        <v/>
      </c>
      <c r="X841" s="9">
        <f>-IF(C841=1,LN(W841),LN(1-W841))</f>
        <v/>
      </c>
      <c r="Y841" s="10">
        <f>IF(W841&gt;$AC$34,1,0)</f>
        <v/>
      </c>
      <c r="Z841">
        <f>IF(Y841=C841,1,0)</f>
        <v/>
      </c>
    </row>
    <row r="842">
      <c r="A842">
        <f>'1 prepared data'!A835</f>
        <v/>
      </c>
      <c r="B842" s="5">
        <f>'1 prepared data'!U835</f>
        <v/>
      </c>
      <c r="C842">
        <f>'1 prepared data'!B835</f>
        <v/>
      </c>
      <c r="D842" s="7">
        <f>'1 prepared data'!C835</f>
        <v/>
      </c>
      <c r="E842" s="7">
        <f>'1 prepared data'!D835</f>
        <v/>
      </c>
      <c r="F842" s="7">
        <f>'1 prepared data'!E835</f>
        <v/>
      </c>
      <c r="G842" s="7">
        <f>'1 prepared data'!F835</f>
        <v/>
      </c>
      <c r="H842" s="7">
        <f>'1 prepared data'!G835</f>
        <v/>
      </c>
      <c r="I842" s="7">
        <f>'1 prepared data'!H835</f>
        <v/>
      </c>
      <c r="J842" s="7">
        <f>'1 prepared data'!I835</f>
        <v/>
      </c>
      <c r="K842" s="7">
        <f>'1 prepared data'!J835</f>
        <v/>
      </c>
      <c r="L842" s="7">
        <f>'1 prepared data'!K835</f>
        <v/>
      </c>
      <c r="M842" s="7">
        <f>'1 prepared data'!L835</f>
        <v/>
      </c>
      <c r="N842" s="7">
        <f>'1 prepared data'!M835</f>
        <v/>
      </c>
      <c r="O842" s="7">
        <f>'1 prepared data'!N835</f>
        <v/>
      </c>
      <c r="P842" s="7">
        <f>'1 prepared data'!O835</f>
        <v/>
      </c>
      <c r="Q842" s="7">
        <f>'1 prepared data'!P835</f>
        <v/>
      </c>
      <c r="R842" s="7">
        <f>'1 prepared data'!Q835</f>
        <v/>
      </c>
      <c r="S842" s="7">
        <f>'1 prepared data'!R835</f>
        <v/>
      </c>
      <c r="T842" s="7">
        <f>'1 prepared data'!S835</f>
        <v/>
      </c>
      <c r="U842" s="7">
        <f>'1 prepared data'!T835</f>
        <v/>
      </c>
      <c r="V842" s="8">
        <f>$AC$12+D842*$AC$13+E842*$AC$14+F842*$AC$15+G842*$AC$16+H842*$AC$17+I842*$AC$18+J842*$AC$19+K842*$AC$20+L842*$AC$21+M842*$AC$22+N842*$AC$23+O842*$AC$24+P842*$AC$25+Q842*$AC$26+R842*$AC$27+S842*$AC$28+T842*$AC$29+U842*$AC$30</f>
        <v/>
      </c>
      <c r="W842" s="8">
        <f>1/(1+EXP(-V842))</f>
        <v/>
      </c>
      <c r="X842" s="9">
        <f>-IF(C842=1,LN(W842),LN(1-W842))</f>
        <v/>
      </c>
      <c r="Y842" s="10">
        <f>IF(W842&gt;$AC$34,1,0)</f>
        <v/>
      </c>
      <c r="Z842">
        <f>IF(Y842=C842,1,0)</f>
        <v/>
      </c>
    </row>
    <row r="843">
      <c r="A843">
        <f>'1 prepared data'!A836</f>
        <v/>
      </c>
      <c r="B843" s="5">
        <f>'1 prepared data'!U836</f>
        <v/>
      </c>
      <c r="C843">
        <f>'1 prepared data'!B836</f>
        <v/>
      </c>
      <c r="D843" s="7">
        <f>'1 prepared data'!C836</f>
        <v/>
      </c>
      <c r="E843" s="7">
        <f>'1 prepared data'!D836</f>
        <v/>
      </c>
      <c r="F843" s="7">
        <f>'1 prepared data'!E836</f>
        <v/>
      </c>
      <c r="G843" s="7">
        <f>'1 prepared data'!F836</f>
        <v/>
      </c>
      <c r="H843" s="7">
        <f>'1 prepared data'!G836</f>
        <v/>
      </c>
      <c r="I843" s="7">
        <f>'1 prepared data'!H836</f>
        <v/>
      </c>
      <c r="J843" s="7">
        <f>'1 prepared data'!I836</f>
        <v/>
      </c>
      <c r="K843" s="7">
        <f>'1 prepared data'!J836</f>
        <v/>
      </c>
      <c r="L843" s="7">
        <f>'1 prepared data'!K836</f>
        <v/>
      </c>
      <c r="M843" s="7">
        <f>'1 prepared data'!L836</f>
        <v/>
      </c>
      <c r="N843" s="7">
        <f>'1 prepared data'!M836</f>
        <v/>
      </c>
      <c r="O843" s="7">
        <f>'1 prepared data'!N836</f>
        <v/>
      </c>
      <c r="P843" s="7">
        <f>'1 prepared data'!O836</f>
        <v/>
      </c>
      <c r="Q843" s="7">
        <f>'1 prepared data'!P836</f>
        <v/>
      </c>
      <c r="R843" s="7">
        <f>'1 prepared data'!Q836</f>
        <v/>
      </c>
      <c r="S843" s="7">
        <f>'1 prepared data'!R836</f>
        <v/>
      </c>
      <c r="T843" s="7">
        <f>'1 prepared data'!S836</f>
        <v/>
      </c>
      <c r="U843" s="7">
        <f>'1 prepared data'!T836</f>
        <v/>
      </c>
      <c r="V843" s="8">
        <f>$AC$12+D843*$AC$13+E843*$AC$14+F843*$AC$15+G843*$AC$16+H843*$AC$17+I843*$AC$18+J843*$AC$19+K843*$AC$20+L843*$AC$21+M843*$AC$22+N843*$AC$23+O843*$AC$24+P843*$AC$25+Q843*$AC$26+R843*$AC$27+S843*$AC$28+T843*$AC$29+U843*$AC$30</f>
        <v/>
      </c>
      <c r="W843" s="8">
        <f>1/(1+EXP(-V843))</f>
        <v/>
      </c>
      <c r="X843" s="9">
        <f>-IF(C843=1,LN(W843),LN(1-W843))</f>
        <v/>
      </c>
      <c r="Y843" s="10">
        <f>IF(W843&gt;$AC$34,1,0)</f>
        <v/>
      </c>
      <c r="Z843">
        <f>IF(Y843=C843,1,0)</f>
        <v/>
      </c>
    </row>
    <row r="844">
      <c r="A844">
        <f>'1 prepared data'!A837</f>
        <v/>
      </c>
      <c r="B844" s="5">
        <f>'1 prepared data'!U837</f>
        <v/>
      </c>
      <c r="C844">
        <f>'1 prepared data'!B837</f>
        <v/>
      </c>
      <c r="D844" s="7">
        <f>'1 prepared data'!C837</f>
        <v/>
      </c>
      <c r="E844" s="7">
        <f>'1 prepared data'!D837</f>
        <v/>
      </c>
      <c r="F844" s="7">
        <f>'1 prepared data'!E837</f>
        <v/>
      </c>
      <c r="G844" s="7">
        <f>'1 prepared data'!F837</f>
        <v/>
      </c>
      <c r="H844" s="7">
        <f>'1 prepared data'!G837</f>
        <v/>
      </c>
      <c r="I844" s="7">
        <f>'1 prepared data'!H837</f>
        <v/>
      </c>
      <c r="J844" s="7">
        <f>'1 prepared data'!I837</f>
        <v/>
      </c>
      <c r="K844" s="7">
        <f>'1 prepared data'!J837</f>
        <v/>
      </c>
      <c r="L844" s="7">
        <f>'1 prepared data'!K837</f>
        <v/>
      </c>
      <c r="M844" s="7">
        <f>'1 prepared data'!L837</f>
        <v/>
      </c>
      <c r="N844" s="7">
        <f>'1 prepared data'!M837</f>
        <v/>
      </c>
      <c r="O844" s="7">
        <f>'1 prepared data'!N837</f>
        <v/>
      </c>
      <c r="P844" s="7">
        <f>'1 prepared data'!O837</f>
        <v/>
      </c>
      <c r="Q844" s="7">
        <f>'1 prepared data'!P837</f>
        <v/>
      </c>
      <c r="R844" s="7">
        <f>'1 prepared data'!Q837</f>
        <v/>
      </c>
      <c r="S844" s="7">
        <f>'1 prepared data'!R837</f>
        <v/>
      </c>
      <c r="T844" s="7">
        <f>'1 prepared data'!S837</f>
        <v/>
      </c>
      <c r="U844" s="7">
        <f>'1 prepared data'!T837</f>
        <v/>
      </c>
      <c r="V844" s="8">
        <f>$AC$12+D844*$AC$13+E844*$AC$14+F844*$AC$15+G844*$AC$16+H844*$AC$17+I844*$AC$18+J844*$AC$19+K844*$AC$20+L844*$AC$21+M844*$AC$22+N844*$AC$23+O844*$AC$24+P844*$AC$25+Q844*$AC$26+R844*$AC$27+S844*$AC$28+T844*$AC$29+U844*$AC$30</f>
        <v/>
      </c>
      <c r="W844" s="8">
        <f>1/(1+EXP(-V844))</f>
        <v/>
      </c>
      <c r="X844" s="9">
        <f>-IF(C844=1,LN(W844),LN(1-W844))</f>
        <v/>
      </c>
      <c r="Y844" s="10">
        <f>IF(W844&gt;$AC$34,1,0)</f>
        <v/>
      </c>
      <c r="Z844">
        <f>IF(Y844=C844,1,0)</f>
        <v/>
      </c>
    </row>
    <row r="845">
      <c r="A845">
        <f>'1 prepared data'!A838</f>
        <v/>
      </c>
      <c r="B845" s="5">
        <f>'1 prepared data'!U838</f>
        <v/>
      </c>
      <c r="C845">
        <f>'1 prepared data'!B838</f>
        <v/>
      </c>
      <c r="D845" s="7">
        <f>'1 prepared data'!C838</f>
        <v/>
      </c>
      <c r="E845" s="7">
        <f>'1 prepared data'!D838</f>
        <v/>
      </c>
      <c r="F845" s="7">
        <f>'1 prepared data'!E838</f>
        <v/>
      </c>
      <c r="G845" s="7">
        <f>'1 prepared data'!F838</f>
        <v/>
      </c>
      <c r="H845" s="7">
        <f>'1 prepared data'!G838</f>
        <v/>
      </c>
      <c r="I845" s="7">
        <f>'1 prepared data'!H838</f>
        <v/>
      </c>
      <c r="J845" s="7">
        <f>'1 prepared data'!I838</f>
        <v/>
      </c>
      <c r="K845" s="7">
        <f>'1 prepared data'!J838</f>
        <v/>
      </c>
      <c r="L845" s="7">
        <f>'1 prepared data'!K838</f>
        <v/>
      </c>
      <c r="M845" s="7">
        <f>'1 prepared data'!L838</f>
        <v/>
      </c>
      <c r="N845" s="7">
        <f>'1 prepared data'!M838</f>
        <v/>
      </c>
      <c r="O845" s="7">
        <f>'1 prepared data'!N838</f>
        <v/>
      </c>
      <c r="P845" s="7">
        <f>'1 prepared data'!O838</f>
        <v/>
      </c>
      <c r="Q845" s="7">
        <f>'1 prepared data'!P838</f>
        <v/>
      </c>
      <c r="R845" s="7">
        <f>'1 prepared data'!Q838</f>
        <v/>
      </c>
      <c r="S845" s="7">
        <f>'1 prepared data'!R838</f>
        <v/>
      </c>
      <c r="T845" s="7">
        <f>'1 prepared data'!S838</f>
        <v/>
      </c>
      <c r="U845" s="7">
        <f>'1 prepared data'!T838</f>
        <v/>
      </c>
      <c r="V845" s="8">
        <f>$AC$12+D845*$AC$13+E845*$AC$14+F845*$AC$15+G845*$AC$16+H845*$AC$17+I845*$AC$18+J845*$AC$19+K845*$AC$20+L845*$AC$21+M845*$AC$22+N845*$AC$23+O845*$AC$24+P845*$AC$25+Q845*$AC$26+R845*$AC$27+S845*$AC$28+T845*$AC$29+U845*$AC$30</f>
        <v/>
      </c>
      <c r="W845" s="8">
        <f>1/(1+EXP(-V845))</f>
        <v/>
      </c>
      <c r="X845" s="9">
        <f>-IF(C845=1,LN(W845),LN(1-W845))</f>
        <v/>
      </c>
      <c r="Y845" s="10">
        <f>IF(W845&gt;$AC$34,1,0)</f>
        <v/>
      </c>
      <c r="Z845">
        <f>IF(Y845=C845,1,0)</f>
        <v/>
      </c>
    </row>
    <row r="846">
      <c r="A846">
        <f>'1 prepared data'!A839</f>
        <v/>
      </c>
      <c r="B846" s="5">
        <f>'1 prepared data'!U839</f>
        <v/>
      </c>
      <c r="C846">
        <f>'1 prepared data'!B839</f>
        <v/>
      </c>
      <c r="D846" s="7">
        <f>'1 prepared data'!C839</f>
        <v/>
      </c>
      <c r="E846" s="7">
        <f>'1 prepared data'!D839</f>
        <v/>
      </c>
      <c r="F846" s="7">
        <f>'1 prepared data'!E839</f>
        <v/>
      </c>
      <c r="G846" s="7">
        <f>'1 prepared data'!F839</f>
        <v/>
      </c>
      <c r="H846" s="7">
        <f>'1 prepared data'!G839</f>
        <v/>
      </c>
      <c r="I846" s="7">
        <f>'1 prepared data'!H839</f>
        <v/>
      </c>
      <c r="J846" s="7">
        <f>'1 prepared data'!I839</f>
        <v/>
      </c>
      <c r="K846" s="7">
        <f>'1 prepared data'!J839</f>
        <v/>
      </c>
      <c r="L846" s="7">
        <f>'1 prepared data'!K839</f>
        <v/>
      </c>
      <c r="M846" s="7">
        <f>'1 prepared data'!L839</f>
        <v/>
      </c>
      <c r="N846" s="7">
        <f>'1 prepared data'!M839</f>
        <v/>
      </c>
      <c r="O846" s="7">
        <f>'1 prepared data'!N839</f>
        <v/>
      </c>
      <c r="P846" s="7">
        <f>'1 prepared data'!O839</f>
        <v/>
      </c>
      <c r="Q846" s="7">
        <f>'1 prepared data'!P839</f>
        <v/>
      </c>
      <c r="R846" s="7">
        <f>'1 prepared data'!Q839</f>
        <v/>
      </c>
      <c r="S846" s="7">
        <f>'1 prepared data'!R839</f>
        <v/>
      </c>
      <c r="T846" s="7">
        <f>'1 prepared data'!S839</f>
        <v/>
      </c>
      <c r="U846" s="7">
        <f>'1 prepared data'!T839</f>
        <v/>
      </c>
      <c r="V846" s="8">
        <f>$AC$12+D846*$AC$13+E846*$AC$14+F846*$AC$15+G846*$AC$16+H846*$AC$17+I846*$AC$18+J846*$AC$19+K846*$AC$20+L846*$AC$21+M846*$AC$22+N846*$AC$23+O846*$AC$24+P846*$AC$25+Q846*$AC$26+R846*$AC$27+S846*$AC$28+T846*$AC$29+U846*$AC$30</f>
        <v/>
      </c>
      <c r="W846" s="8">
        <f>1/(1+EXP(-V846))</f>
        <v/>
      </c>
      <c r="X846" s="9">
        <f>-IF(C846=1,LN(W846),LN(1-W846))</f>
        <v/>
      </c>
      <c r="Y846" s="10">
        <f>IF(W846&gt;$AC$34,1,0)</f>
        <v/>
      </c>
      <c r="Z846">
        <f>IF(Y846=C846,1,0)</f>
        <v/>
      </c>
    </row>
    <row r="847">
      <c r="A847">
        <f>'1 prepared data'!A840</f>
        <v/>
      </c>
      <c r="B847" s="5">
        <f>'1 prepared data'!U840</f>
        <v/>
      </c>
      <c r="C847">
        <f>'1 prepared data'!B840</f>
        <v/>
      </c>
      <c r="D847" s="7">
        <f>'1 prepared data'!C840</f>
        <v/>
      </c>
      <c r="E847" s="7">
        <f>'1 prepared data'!D840</f>
        <v/>
      </c>
      <c r="F847" s="7">
        <f>'1 prepared data'!E840</f>
        <v/>
      </c>
      <c r="G847" s="7">
        <f>'1 prepared data'!F840</f>
        <v/>
      </c>
      <c r="H847" s="7">
        <f>'1 prepared data'!G840</f>
        <v/>
      </c>
      <c r="I847" s="7">
        <f>'1 prepared data'!H840</f>
        <v/>
      </c>
      <c r="J847" s="7">
        <f>'1 prepared data'!I840</f>
        <v/>
      </c>
      <c r="K847" s="7">
        <f>'1 prepared data'!J840</f>
        <v/>
      </c>
      <c r="L847" s="7">
        <f>'1 prepared data'!K840</f>
        <v/>
      </c>
      <c r="M847" s="7">
        <f>'1 prepared data'!L840</f>
        <v/>
      </c>
      <c r="N847" s="7">
        <f>'1 prepared data'!M840</f>
        <v/>
      </c>
      <c r="O847" s="7">
        <f>'1 prepared data'!N840</f>
        <v/>
      </c>
      <c r="P847" s="7">
        <f>'1 prepared data'!O840</f>
        <v/>
      </c>
      <c r="Q847" s="7">
        <f>'1 prepared data'!P840</f>
        <v/>
      </c>
      <c r="R847" s="7">
        <f>'1 prepared data'!Q840</f>
        <v/>
      </c>
      <c r="S847" s="7">
        <f>'1 prepared data'!R840</f>
        <v/>
      </c>
      <c r="T847" s="7">
        <f>'1 prepared data'!S840</f>
        <v/>
      </c>
      <c r="U847" s="7">
        <f>'1 prepared data'!T840</f>
        <v/>
      </c>
      <c r="V847" s="8">
        <f>$AC$12+D847*$AC$13+E847*$AC$14+F847*$AC$15+G847*$AC$16+H847*$AC$17+I847*$AC$18+J847*$AC$19+K847*$AC$20+L847*$AC$21+M847*$AC$22+N847*$AC$23+O847*$AC$24+P847*$AC$25+Q847*$AC$26+R847*$AC$27+S847*$AC$28+T847*$AC$29+U847*$AC$30</f>
        <v/>
      </c>
      <c r="W847" s="8">
        <f>1/(1+EXP(-V847))</f>
        <v/>
      </c>
      <c r="X847" s="9">
        <f>-IF(C847=1,LN(W847),LN(1-W847))</f>
        <v/>
      </c>
      <c r="Y847" s="10">
        <f>IF(W847&gt;$AC$34,1,0)</f>
        <v/>
      </c>
      <c r="Z847">
        <f>IF(Y847=C847,1,0)</f>
        <v/>
      </c>
    </row>
    <row r="848">
      <c r="A848">
        <f>'1 prepared data'!A841</f>
        <v/>
      </c>
      <c r="B848" s="5">
        <f>'1 prepared data'!U841</f>
        <v/>
      </c>
      <c r="C848">
        <f>'1 prepared data'!B841</f>
        <v/>
      </c>
      <c r="D848" s="7">
        <f>'1 prepared data'!C841</f>
        <v/>
      </c>
      <c r="E848" s="7">
        <f>'1 prepared data'!D841</f>
        <v/>
      </c>
      <c r="F848" s="7">
        <f>'1 prepared data'!E841</f>
        <v/>
      </c>
      <c r="G848" s="7">
        <f>'1 prepared data'!F841</f>
        <v/>
      </c>
      <c r="H848" s="7">
        <f>'1 prepared data'!G841</f>
        <v/>
      </c>
      <c r="I848" s="7">
        <f>'1 prepared data'!H841</f>
        <v/>
      </c>
      <c r="J848" s="7">
        <f>'1 prepared data'!I841</f>
        <v/>
      </c>
      <c r="K848" s="7">
        <f>'1 prepared data'!J841</f>
        <v/>
      </c>
      <c r="L848" s="7">
        <f>'1 prepared data'!K841</f>
        <v/>
      </c>
      <c r="M848" s="7">
        <f>'1 prepared data'!L841</f>
        <v/>
      </c>
      <c r="N848" s="7">
        <f>'1 prepared data'!M841</f>
        <v/>
      </c>
      <c r="O848" s="7">
        <f>'1 prepared data'!N841</f>
        <v/>
      </c>
      <c r="P848" s="7">
        <f>'1 prepared data'!O841</f>
        <v/>
      </c>
      <c r="Q848" s="7">
        <f>'1 prepared data'!P841</f>
        <v/>
      </c>
      <c r="R848" s="7">
        <f>'1 prepared data'!Q841</f>
        <v/>
      </c>
      <c r="S848" s="7">
        <f>'1 prepared data'!R841</f>
        <v/>
      </c>
      <c r="T848" s="7">
        <f>'1 prepared data'!S841</f>
        <v/>
      </c>
      <c r="U848" s="7">
        <f>'1 prepared data'!T841</f>
        <v/>
      </c>
      <c r="V848" s="8">
        <f>$AC$12+D848*$AC$13+E848*$AC$14+F848*$AC$15+G848*$AC$16+H848*$AC$17+I848*$AC$18+J848*$AC$19+K848*$AC$20+L848*$AC$21+M848*$AC$22+N848*$AC$23+O848*$AC$24+P848*$AC$25+Q848*$AC$26+R848*$AC$27+S848*$AC$28+T848*$AC$29+U848*$AC$30</f>
        <v/>
      </c>
      <c r="W848" s="8">
        <f>1/(1+EXP(-V848))</f>
        <v/>
      </c>
      <c r="X848" s="9">
        <f>-IF(C848=1,LN(W848),LN(1-W848))</f>
        <v/>
      </c>
      <c r="Y848" s="10">
        <f>IF(W848&gt;$AC$34,1,0)</f>
        <v/>
      </c>
      <c r="Z848">
        <f>IF(Y848=C848,1,0)</f>
        <v/>
      </c>
    </row>
    <row r="849">
      <c r="A849">
        <f>'1 prepared data'!A842</f>
        <v/>
      </c>
      <c r="B849" s="5">
        <f>'1 prepared data'!U842</f>
        <v/>
      </c>
      <c r="C849">
        <f>'1 prepared data'!B842</f>
        <v/>
      </c>
      <c r="D849" s="7">
        <f>'1 prepared data'!C842</f>
        <v/>
      </c>
      <c r="E849" s="7">
        <f>'1 prepared data'!D842</f>
        <v/>
      </c>
      <c r="F849" s="7">
        <f>'1 prepared data'!E842</f>
        <v/>
      </c>
      <c r="G849" s="7">
        <f>'1 prepared data'!F842</f>
        <v/>
      </c>
      <c r="H849" s="7">
        <f>'1 prepared data'!G842</f>
        <v/>
      </c>
      <c r="I849" s="7">
        <f>'1 prepared data'!H842</f>
        <v/>
      </c>
      <c r="J849" s="7">
        <f>'1 prepared data'!I842</f>
        <v/>
      </c>
      <c r="K849" s="7">
        <f>'1 prepared data'!J842</f>
        <v/>
      </c>
      <c r="L849" s="7">
        <f>'1 prepared data'!K842</f>
        <v/>
      </c>
      <c r="M849" s="7">
        <f>'1 prepared data'!L842</f>
        <v/>
      </c>
      <c r="N849" s="7">
        <f>'1 prepared data'!M842</f>
        <v/>
      </c>
      <c r="O849" s="7">
        <f>'1 prepared data'!N842</f>
        <v/>
      </c>
      <c r="P849" s="7">
        <f>'1 prepared data'!O842</f>
        <v/>
      </c>
      <c r="Q849" s="7">
        <f>'1 prepared data'!P842</f>
        <v/>
      </c>
      <c r="R849" s="7">
        <f>'1 prepared data'!Q842</f>
        <v/>
      </c>
      <c r="S849" s="7">
        <f>'1 prepared data'!R842</f>
        <v/>
      </c>
      <c r="T849" s="7">
        <f>'1 prepared data'!S842</f>
        <v/>
      </c>
      <c r="U849" s="7">
        <f>'1 prepared data'!T842</f>
        <v/>
      </c>
      <c r="V849" s="8">
        <f>$AC$12+D849*$AC$13+E849*$AC$14+F849*$AC$15+G849*$AC$16+H849*$AC$17+I849*$AC$18+J849*$AC$19+K849*$AC$20+L849*$AC$21+M849*$AC$22+N849*$AC$23+O849*$AC$24+P849*$AC$25+Q849*$AC$26+R849*$AC$27+S849*$AC$28+T849*$AC$29+U849*$AC$30</f>
        <v/>
      </c>
      <c r="W849" s="8">
        <f>1/(1+EXP(-V849))</f>
        <v/>
      </c>
      <c r="X849" s="9">
        <f>-IF(C849=1,LN(W849),LN(1-W849))</f>
        <v/>
      </c>
      <c r="Y849" s="10">
        <f>IF(W849&gt;$AC$34,1,0)</f>
        <v/>
      </c>
      <c r="Z849">
        <f>IF(Y849=C849,1,0)</f>
        <v/>
      </c>
    </row>
    <row r="850">
      <c r="A850">
        <f>'1 prepared data'!A843</f>
        <v/>
      </c>
      <c r="B850" s="5">
        <f>'1 prepared data'!U843</f>
        <v/>
      </c>
      <c r="C850">
        <f>'1 prepared data'!B843</f>
        <v/>
      </c>
      <c r="D850" s="7">
        <f>'1 prepared data'!C843</f>
        <v/>
      </c>
      <c r="E850" s="7">
        <f>'1 prepared data'!D843</f>
        <v/>
      </c>
      <c r="F850" s="7">
        <f>'1 prepared data'!E843</f>
        <v/>
      </c>
      <c r="G850" s="7">
        <f>'1 prepared data'!F843</f>
        <v/>
      </c>
      <c r="H850" s="7">
        <f>'1 prepared data'!G843</f>
        <v/>
      </c>
      <c r="I850" s="7">
        <f>'1 prepared data'!H843</f>
        <v/>
      </c>
      <c r="J850" s="7">
        <f>'1 prepared data'!I843</f>
        <v/>
      </c>
      <c r="K850" s="7">
        <f>'1 prepared data'!J843</f>
        <v/>
      </c>
      <c r="L850" s="7">
        <f>'1 prepared data'!K843</f>
        <v/>
      </c>
      <c r="M850" s="7">
        <f>'1 prepared data'!L843</f>
        <v/>
      </c>
      <c r="N850" s="7">
        <f>'1 prepared data'!M843</f>
        <v/>
      </c>
      <c r="O850" s="7">
        <f>'1 prepared data'!N843</f>
        <v/>
      </c>
      <c r="P850" s="7">
        <f>'1 prepared data'!O843</f>
        <v/>
      </c>
      <c r="Q850" s="7">
        <f>'1 prepared data'!P843</f>
        <v/>
      </c>
      <c r="R850" s="7">
        <f>'1 prepared data'!Q843</f>
        <v/>
      </c>
      <c r="S850" s="7">
        <f>'1 prepared data'!R843</f>
        <v/>
      </c>
      <c r="T850" s="7">
        <f>'1 prepared data'!S843</f>
        <v/>
      </c>
      <c r="U850" s="7">
        <f>'1 prepared data'!T843</f>
        <v/>
      </c>
      <c r="V850" s="8">
        <f>$AC$12+D850*$AC$13+E850*$AC$14+F850*$AC$15+G850*$AC$16+H850*$AC$17+I850*$AC$18+J850*$AC$19+K850*$AC$20+L850*$AC$21+M850*$AC$22+N850*$AC$23+O850*$AC$24+P850*$AC$25+Q850*$AC$26+R850*$AC$27+S850*$AC$28+T850*$AC$29+U850*$AC$30</f>
        <v/>
      </c>
      <c r="W850" s="8">
        <f>1/(1+EXP(-V850))</f>
        <v/>
      </c>
      <c r="X850" s="9">
        <f>-IF(C850=1,LN(W850),LN(1-W850))</f>
        <v/>
      </c>
      <c r="Y850" s="10">
        <f>IF(W850&gt;$AC$34,1,0)</f>
        <v/>
      </c>
      <c r="Z850">
        <f>IF(Y850=C850,1,0)</f>
        <v/>
      </c>
    </row>
    <row r="851">
      <c r="A851">
        <f>'1 prepared data'!A844</f>
        <v/>
      </c>
      <c r="B851" s="5">
        <f>'1 prepared data'!U844</f>
        <v/>
      </c>
      <c r="C851">
        <f>'1 prepared data'!B844</f>
        <v/>
      </c>
      <c r="D851" s="7">
        <f>'1 prepared data'!C844</f>
        <v/>
      </c>
      <c r="E851" s="7">
        <f>'1 prepared data'!D844</f>
        <v/>
      </c>
      <c r="F851" s="7">
        <f>'1 prepared data'!E844</f>
        <v/>
      </c>
      <c r="G851" s="7">
        <f>'1 prepared data'!F844</f>
        <v/>
      </c>
      <c r="H851" s="7">
        <f>'1 prepared data'!G844</f>
        <v/>
      </c>
      <c r="I851" s="7">
        <f>'1 prepared data'!H844</f>
        <v/>
      </c>
      <c r="J851" s="7">
        <f>'1 prepared data'!I844</f>
        <v/>
      </c>
      <c r="K851" s="7">
        <f>'1 prepared data'!J844</f>
        <v/>
      </c>
      <c r="L851" s="7">
        <f>'1 prepared data'!K844</f>
        <v/>
      </c>
      <c r="M851" s="7">
        <f>'1 prepared data'!L844</f>
        <v/>
      </c>
      <c r="N851" s="7">
        <f>'1 prepared data'!M844</f>
        <v/>
      </c>
      <c r="O851" s="7">
        <f>'1 prepared data'!N844</f>
        <v/>
      </c>
      <c r="P851" s="7">
        <f>'1 prepared data'!O844</f>
        <v/>
      </c>
      <c r="Q851" s="7">
        <f>'1 prepared data'!P844</f>
        <v/>
      </c>
      <c r="R851" s="7">
        <f>'1 prepared data'!Q844</f>
        <v/>
      </c>
      <c r="S851" s="7">
        <f>'1 prepared data'!R844</f>
        <v/>
      </c>
      <c r="T851" s="7">
        <f>'1 prepared data'!S844</f>
        <v/>
      </c>
      <c r="U851" s="7">
        <f>'1 prepared data'!T844</f>
        <v/>
      </c>
      <c r="V851" s="8">
        <f>$AC$12+D851*$AC$13+E851*$AC$14+F851*$AC$15+G851*$AC$16+H851*$AC$17+I851*$AC$18+J851*$AC$19+K851*$AC$20+L851*$AC$21+M851*$AC$22+N851*$AC$23+O851*$AC$24+P851*$AC$25+Q851*$AC$26+R851*$AC$27+S851*$AC$28+T851*$AC$29+U851*$AC$30</f>
        <v/>
      </c>
      <c r="W851" s="8">
        <f>1/(1+EXP(-V851))</f>
        <v/>
      </c>
      <c r="X851" s="9">
        <f>-IF(C851=1,LN(W851),LN(1-W851))</f>
        <v/>
      </c>
      <c r="Y851" s="10">
        <f>IF(W851&gt;$AC$34,1,0)</f>
        <v/>
      </c>
      <c r="Z851">
        <f>IF(Y851=C851,1,0)</f>
        <v/>
      </c>
    </row>
    <row r="852">
      <c r="A852">
        <f>'1 prepared data'!A845</f>
        <v/>
      </c>
      <c r="B852" s="5">
        <f>'1 prepared data'!U845</f>
        <v/>
      </c>
      <c r="C852">
        <f>'1 prepared data'!B845</f>
        <v/>
      </c>
      <c r="D852" s="7">
        <f>'1 prepared data'!C845</f>
        <v/>
      </c>
      <c r="E852" s="7">
        <f>'1 prepared data'!D845</f>
        <v/>
      </c>
      <c r="F852" s="7">
        <f>'1 prepared data'!E845</f>
        <v/>
      </c>
      <c r="G852" s="7">
        <f>'1 prepared data'!F845</f>
        <v/>
      </c>
      <c r="H852" s="7">
        <f>'1 prepared data'!G845</f>
        <v/>
      </c>
      <c r="I852" s="7">
        <f>'1 prepared data'!H845</f>
        <v/>
      </c>
      <c r="J852" s="7">
        <f>'1 prepared data'!I845</f>
        <v/>
      </c>
      <c r="K852" s="7">
        <f>'1 prepared data'!J845</f>
        <v/>
      </c>
      <c r="L852" s="7">
        <f>'1 prepared data'!K845</f>
        <v/>
      </c>
      <c r="M852" s="7">
        <f>'1 prepared data'!L845</f>
        <v/>
      </c>
      <c r="N852" s="7">
        <f>'1 prepared data'!M845</f>
        <v/>
      </c>
      <c r="O852" s="7">
        <f>'1 prepared data'!N845</f>
        <v/>
      </c>
      <c r="P852" s="7">
        <f>'1 prepared data'!O845</f>
        <v/>
      </c>
      <c r="Q852" s="7">
        <f>'1 prepared data'!P845</f>
        <v/>
      </c>
      <c r="R852" s="7">
        <f>'1 prepared data'!Q845</f>
        <v/>
      </c>
      <c r="S852" s="7">
        <f>'1 prepared data'!R845</f>
        <v/>
      </c>
      <c r="T852" s="7">
        <f>'1 prepared data'!S845</f>
        <v/>
      </c>
      <c r="U852" s="7">
        <f>'1 prepared data'!T845</f>
        <v/>
      </c>
      <c r="V852" s="8">
        <f>$AC$12+D852*$AC$13+E852*$AC$14+F852*$AC$15+G852*$AC$16+H852*$AC$17+I852*$AC$18+J852*$AC$19+K852*$AC$20+L852*$AC$21+M852*$AC$22+N852*$AC$23+O852*$AC$24+P852*$AC$25+Q852*$AC$26+R852*$AC$27+S852*$AC$28+T852*$AC$29+U852*$AC$30</f>
        <v/>
      </c>
      <c r="W852" s="8">
        <f>1/(1+EXP(-V852))</f>
        <v/>
      </c>
      <c r="X852" s="9">
        <f>-IF(C852=1,LN(W852),LN(1-W852))</f>
        <v/>
      </c>
      <c r="Y852" s="10">
        <f>IF(W852&gt;$AC$34,1,0)</f>
        <v/>
      </c>
      <c r="Z852">
        <f>IF(Y852=C852,1,0)</f>
        <v/>
      </c>
    </row>
    <row r="853">
      <c r="A853">
        <f>'1 prepared data'!A846</f>
        <v/>
      </c>
      <c r="B853" s="5">
        <f>'1 prepared data'!U846</f>
        <v/>
      </c>
      <c r="C853">
        <f>'1 prepared data'!B846</f>
        <v/>
      </c>
      <c r="D853" s="7">
        <f>'1 prepared data'!C846</f>
        <v/>
      </c>
      <c r="E853" s="7">
        <f>'1 prepared data'!D846</f>
        <v/>
      </c>
      <c r="F853" s="7">
        <f>'1 prepared data'!E846</f>
        <v/>
      </c>
      <c r="G853" s="7">
        <f>'1 prepared data'!F846</f>
        <v/>
      </c>
      <c r="H853" s="7">
        <f>'1 prepared data'!G846</f>
        <v/>
      </c>
      <c r="I853" s="7">
        <f>'1 prepared data'!H846</f>
        <v/>
      </c>
      <c r="J853" s="7">
        <f>'1 prepared data'!I846</f>
        <v/>
      </c>
      <c r="K853" s="7">
        <f>'1 prepared data'!J846</f>
        <v/>
      </c>
      <c r="L853" s="7">
        <f>'1 prepared data'!K846</f>
        <v/>
      </c>
      <c r="M853" s="7">
        <f>'1 prepared data'!L846</f>
        <v/>
      </c>
      <c r="N853" s="7">
        <f>'1 prepared data'!M846</f>
        <v/>
      </c>
      <c r="O853" s="7">
        <f>'1 prepared data'!N846</f>
        <v/>
      </c>
      <c r="P853" s="7">
        <f>'1 prepared data'!O846</f>
        <v/>
      </c>
      <c r="Q853" s="7">
        <f>'1 prepared data'!P846</f>
        <v/>
      </c>
      <c r="R853" s="7">
        <f>'1 prepared data'!Q846</f>
        <v/>
      </c>
      <c r="S853" s="7">
        <f>'1 prepared data'!R846</f>
        <v/>
      </c>
      <c r="T853" s="7">
        <f>'1 prepared data'!S846</f>
        <v/>
      </c>
      <c r="U853" s="7">
        <f>'1 prepared data'!T846</f>
        <v/>
      </c>
      <c r="V853" s="8">
        <f>$AC$12+D853*$AC$13+E853*$AC$14+F853*$AC$15+G853*$AC$16+H853*$AC$17+I853*$AC$18+J853*$AC$19+K853*$AC$20+L853*$AC$21+M853*$AC$22+N853*$AC$23+O853*$AC$24+P853*$AC$25+Q853*$AC$26+R853*$AC$27+S853*$AC$28+T853*$AC$29+U853*$AC$30</f>
        <v/>
      </c>
      <c r="W853" s="8">
        <f>1/(1+EXP(-V853))</f>
        <v/>
      </c>
      <c r="X853" s="9">
        <f>-IF(C853=1,LN(W853),LN(1-W853))</f>
        <v/>
      </c>
      <c r="Y853" s="10">
        <f>IF(W853&gt;$AC$34,1,0)</f>
        <v/>
      </c>
      <c r="Z853">
        <f>IF(Y853=C853,1,0)</f>
        <v/>
      </c>
    </row>
    <row r="854">
      <c r="A854">
        <f>'1 prepared data'!A847</f>
        <v/>
      </c>
      <c r="B854" s="5">
        <f>'1 prepared data'!U847</f>
        <v/>
      </c>
      <c r="C854">
        <f>'1 prepared data'!B847</f>
        <v/>
      </c>
      <c r="D854" s="7">
        <f>'1 prepared data'!C847</f>
        <v/>
      </c>
      <c r="E854" s="7">
        <f>'1 prepared data'!D847</f>
        <v/>
      </c>
      <c r="F854" s="7">
        <f>'1 prepared data'!E847</f>
        <v/>
      </c>
      <c r="G854" s="7">
        <f>'1 prepared data'!F847</f>
        <v/>
      </c>
      <c r="H854" s="7">
        <f>'1 prepared data'!G847</f>
        <v/>
      </c>
      <c r="I854" s="7">
        <f>'1 prepared data'!H847</f>
        <v/>
      </c>
      <c r="J854" s="7">
        <f>'1 prepared data'!I847</f>
        <v/>
      </c>
      <c r="K854" s="7">
        <f>'1 prepared data'!J847</f>
        <v/>
      </c>
      <c r="L854" s="7">
        <f>'1 prepared data'!K847</f>
        <v/>
      </c>
      <c r="M854" s="7">
        <f>'1 prepared data'!L847</f>
        <v/>
      </c>
      <c r="N854" s="7">
        <f>'1 prepared data'!M847</f>
        <v/>
      </c>
      <c r="O854" s="7">
        <f>'1 prepared data'!N847</f>
        <v/>
      </c>
      <c r="P854" s="7">
        <f>'1 prepared data'!O847</f>
        <v/>
      </c>
      <c r="Q854" s="7">
        <f>'1 prepared data'!P847</f>
        <v/>
      </c>
      <c r="R854" s="7">
        <f>'1 prepared data'!Q847</f>
        <v/>
      </c>
      <c r="S854" s="7">
        <f>'1 prepared data'!R847</f>
        <v/>
      </c>
      <c r="T854" s="7">
        <f>'1 prepared data'!S847</f>
        <v/>
      </c>
      <c r="U854" s="7">
        <f>'1 prepared data'!T847</f>
        <v/>
      </c>
      <c r="V854" s="8">
        <f>$AC$12+D854*$AC$13+E854*$AC$14+F854*$AC$15+G854*$AC$16+H854*$AC$17+I854*$AC$18+J854*$AC$19+K854*$AC$20+L854*$AC$21+M854*$AC$22+N854*$AC$23+O854*$AC$24+P854*$AC$25+Q854*$AC$26+R854*$AC$27+S854*$AC$28+T854*$AC$29+U854*$AC$30</f>
        <v/>
      </c>
      <c r="W854" s="8">
        <f>1/(1+EXP(-V854))</f>
        <v/>
      </c>
      <c r="X854" s="9">
        <f>-IF(C854=1,LN(W854),LN(1-W854))</f>
        <v/>
      </c>
      <c r="Y854" s="10">
        <f>IF(W854&gt;$AC$34,1,0)</f>
        <v/>
      </c>
      <c r="Z854">
        <f>IF(Y854=C854,1,0)</f>
        <v/>
      </c>
    </row>
    <row r="855">
      <c r="A855">
        <f>'1 prepared data'!A848</f>
        <v/>
      </c>
      <c r="B855" s="5">
        <f>'1 prepared data'!U848</f>
        <v/>
      </c>
      <c r="C855">
        <f>'1 prepared data'!B848</f>
        <v/>
      </c>
      <c r="D855" s="7">
        <f>'1 prepared data'!C848</f>
        <v/>
      </c>
      <c r="E855" s="7">
        <f>'1 prepared data'!D848</f>
        <v/>
      </c>
      <c r="F855" s="7">
        <f>'1 prepared data'!E848</f>
        <v/>
      </c>
      <c r="G855" s="7">
        <f>'1 prepared data'!F848</f>
        <v/>
      </c>
      <c r="H855" s="7">
        <f>'1 prepared data'!G848</f>
        <v/>
      </c>
      <c r="I855" s="7">
        <f>'1 prepared data'!H848</f>
        <v/>
      </c>
      <c r="J855" s="7">
        <f>'1 prepared data'!I848</f>
        <v/>
      </c>
      <c r="K855" s="7">
        <f>'1 prepared data'!J848</f>
        <v/>
      </c>
      <c r="L855" s="7">
        <f>'1 prepared data'!K848</f>
        <v/>
      </c>
      <c r="M855" s="7">
        <f>'1 prepared data'!L848</f>
        <v/>
      </c>
      <c r="N855" s="7">
        <f>'1 prepared data'!M848</f>
        <v/>
      </c>
      <c r="O855" s="7">
        <f>'1 prepared data'!N848</f>
        <v/>
      </c>
      <c r="P855" s="7">
        <f>'1 prepared data'!O848</f>
        <v/>
      </c>
      <c r="Q855" s="7">
        <f>'1 prepared data'!P848</f>
        <v/>
      </c>
      <c r="R855" s="7">
        <f>'1 prepared data'!Q848</f>
        <v/>
      </c>
      <c r="S855" s="7">
        <f>'1 prepared data'!R848</f>
        <v/>
      </c>
      <c r="T855" s="7">
        <f>'1 prepared data'!S848</f>
        <v/>
      </c>
      <c r="U855" s="7">
        <f>'1 prepared data'!T848</f>
        <v/>
      </c>
      <c r="V855" s="8">
        <f>$AC$12+D855*$AC$13+E855*$AC$14+F855*$AC$15+G855*$AC$16+H855*$AC$17+I855*$AC$18+J855*$AC$19+K855*$AC$20+L855*$AC$21+M855*$AC$22+N855*$AC$23+O855*$AC$24+P855*$AC$25+Q855*$AC$26+R855*$AC$27+S855*$AC$28+T855*$AC$29+U855*$AC$30</f>
        <v/>
      </c>
      <c r="W855" s="8">
        <f>1/(1+EXP(-V855))</f>
        <v/>
      </c>
      <c r="X855" s="9">
        <f>-IF(C855=1,LN(W855),LN(1-W855))</f>
        <v/>
      </c>
      <c r="Y855" s="10">
        <f>IF(W855&gt;$AC$34,1,0)</f>
        <v/>
      </c>
      <c r="Z855">
        <f>IF(Y855=C855,1,0)</f>
        <v/>
      </c>
    </row>
    <row r="856">
      <c r="A856">
        <f>'1 prepared data'!A849</f>
        <v/>
      </c>
      <c r="B856" s="5">
        <f>'1 prepared data'!U849</f>
        <v/>
      </c>
      <c r="C856">
        <f>'1 prepared data'!B849</f>
        <v/>
      </c>
      <c r="D856" s="7">
        <f>'1 prepared data'!C849</f>
        <v/>
      </c>
      <c r="E856" s="7">
        <f>'1 prepared data'!D849</f>
        <v/>
      </c>
      <c r="F856" s="7">
        <f>'1 prepared data'!E849</f>
        <v/>
      </c>
      <c r="G856" s="7">
        <f>'1 prepared data'!F849</f>
        <v/>
      </c>
      <c r="H856" s="7">
        <f>'1 prepared data'!G849</f>
        <v/>
      </c>
      <c r="I856" s="7">
        <f>'1 prepared data'!H849</f>
        <v/>
      </c>
      <c r="J856" s="7">
        <f>'1 prepared data'!I849</f>
        <v/>
      </c>
      <c r="K856" s="7">
        <f>'1 prepared data'!J849</f>
        <v/>
      </c>
      <c r="L856" s="7">
        <f>'1 prepared data'!K849</f>
        <v/>
      </c>
      <c r="M856" s="7">
        <f>'1 prepared data'!L849</f>
        <v/>
      </c>
      <c r="N856" s="7">
        <f>'1 prepared data'!M849</f>
        <v/>
      </c>
      <c r="O856" s="7">
        <f>'1 prepared data'!N849</f>
        <v/>
      </c>
      <c r="P856" s="7">
        <f>'1 prepared data'!O849</f>
        <v/>
      </c>
      <c r="Q856" s="7">
        <f>'1 prepared data'!P849</f>
        <v/>
      </c>
      <c r="R856" s="7">
        <f>'1 prepared data'!Q849</f>
        <v/>
      </c>
      <c r="S856" s="7">
        <f>'1 prepared data'!R849</f>
        <v/>
      </c>
      <c r="T856" s="7">
        <f>'1 prepared data'!S849</f>
        <v/>
      </c>
      <c r="U856" s="7">
        <f>'1 prepared data'!T849</f>
        <v/>
      </c>
      <c r="V856" s="8">
        <f>$AC$12+D856*$AC$13+E856*$AC$14+F856*$AC$15+G856*$AC$16+H856*$AC$17+I856*$AC$18+J856*$AC$19+K856*$AC$20+L856*$AC$21+M856*$AC$22+N856*$AC$23+O856*$AC$24+P856*$AC$25+Q856*$AC$26+R856*$AC$27+S856*$AC$28+T856*$AC$29+U856*$AC$30</f>
        <v/>
      </c>
      <c r="W856" s="8">
        <f>1/(1+EXP(-V856))</f>
        <v/>
      </c>
      <c r="X856" s="9">
        <f>-IF(C856=1,LN(W856),LN(1-W856))</f>
        <v/>
      </c>
      <c r="Y856" s="10">
        <f>IF(W856&gt;$AC$34,1,0)</f>
        <v/>
      </c>
      <c r="Z856">
        <f>IF(Y856=C856,1,0)</f>
        <v/>
      </c>
    </row>
    <row r="857">
      <c r="A857">
        <f>'1 prepared data'!A850</f>
        <v/>
      </c>
      <c r="B857" s="5">
        <f>'1 prepared data'!U850</f>
        <v/>
      </c>
      <c r="C857">
        <f>'1 prepared data'!B850</f>
        <v/>
      </c>
      <c r="D857" s="7">
        <f>'1 prepared data'!C850</f>
        <v/>
      </c>
      <c r="E857" s="7">
        <f>'1 prepared data'!D850</f>
        <v/>
      </c>
      <c r="F857" s="7">
        <f>'1 prepared data'!E850</f>
        <v/>
      </c>
      <c r="G857" s="7">
        <f>'1 prepared data'!F850</f>
        <v/>
      </c>
      <c r="H857" s="7">
        <f>'1 prepared data'!G850</f>
        <v/>
      </c>
      <c r="I857" s="7">
        <f>'1 prepared data'!H850</f>
        <v/>
      </c>
      <c r="J857" s="7">
        <f>'1 prepared data'!I850</f>
        <v/>
      </c>
      <c r="K857" s="7">
        <f>'1 prepared data'!J850</f>
        <v/>
      </c>
      <c r="L857" s="7">
        <f>'1 prepared data'!K850</f>
        <v/>
      </c>
      <c r="M857" s="7">
        <f>'1 prepared data'!L850</f>
        <v/>
      </c>
      <c r="N857" s="7">
        <f>'1 prepared data'!M850</f>
        <v/>
      </c>
      <c r="O857" s="7">
        <f>'1 prepared data'!N850</f>
        <v/>
      </c>
      <c r="P857" s="7">
        <f>'1 prepared data'!O850</f>
        <v/>
      </c>
      <c r="Q857" s="7">
        <f>'1 prepared data'!P850</f>
        <v/>
      </c>
      <c r="R857" s="7">
        <f>'1 prepared data'!Q850</f>
        <v/>
      </c>
      <c r="S857" s="7">
        <f>'1 prepared data'!R850</f>
        <v/>
      </c>
      <c r="T857" s="7">
        <f>'1 prepared data'!S850</f>
        <v/>
      </c>
      <c r="U857" s="7">
        <f>'1 prepared data'!T850</f>
        <v/>
      </c>
      <c r="V857" s="8">
        <f>$AC$12+D857*$AC$13+E857*$AC$14+F857*$AC$15+G857*$AC$16+H857*$AC$17+I857*$AC$18+J857*$AC$19+K857*$AC$20+L857*$AC$21+M857*$AC$22+N857*$AC$23+O857*$AC$24+P857*$AC$25+Q857*$AC$26+R857*$AC$27+S857*$AC$28+T857*$AC$29+U857*$AC$30</f>
        <v/>
      </c>
      <c r="W857" s="8">
        <f>1/(1+EXP(-V857))</f>
        <v/>
      </c>
      <c r="X857" s="9">
        <f>-IF(C857=1,LN(W857),LN(1-W857))</f>
        <v/>
      </c>
      <c r="Y857" s="10">
        <f>IF(W857&gt;$AC$34,1,0)</f>
        <v/>
      </c>
      <c r="Z857">
        <f>IF(Y857=C857,1,0)</f>
        <v/>
      </c>
    </row>
    <row r="858">
      <c r="A858">
        <f>'1 prepared data'!A851</f>
        <v/>
      </c>
      <c r="B858" s="5">
        <f>'1 prepared data'!U851</f>
        <v/>
      </c>
      <c r="C858">
        <f>'1 prepared data'!B851</f>
        <v/>
      </c>
      <c r="D858" s="7">
        <f>'1 prepared data'!C851</f>
        <v/>
      </c>
      <c r="E858" s="7">
        <f>'1 prepared data'!D851</f>
        <v/>
      </c>
      <c r="F858" s="7">
        <f>'1 prepared data'!E851</f>
        <v/>
      </c>
      <c r="G858" s="7">
        <f>'1 prepared data'!F851</f>
        <v/>
      </c>
      <c r="H858" s="7">
        <f>'1 prepared data'!G851</f>
        <v/>
      </c>
      <c r="I858" s="7">
        <f>'1 prepared data'!H851</f>
        <v/>
      </c>
      <c r="J858" s="7">
        <f>'1 prepared data'!I851</f>
        <v/>
      </c>
      <c r="K858" s="7">
        <f>'1 prepared data'!J851</f>
        <v/>
      </c>
      <c r="L858" s="7">
        <f>'1 prepared data'!K851</f>
        <v/>
      </c>
      <c r="M858" s="7">
        <f>'1 prepared data'!L851</f>
        <v/>
      </c>
      <c r="N858" s="7">
        <f>'1 prepared data'!M851</f>
        <v/>
      </c>
      <c r="O858" s="7">
        <f>'1 prepared data'!N851</f>
        <v/>
      </c>
      <c r="P858" s="7">
        <f>'1 prepared data'!O851</f>
        <v/>
      </c>
      <c r="Q858" s="7">
        <f>'1 prepared data'!P851</f>
        <v/>
      </c>
      <c r="R858" s="7">
        <f>'1 prepared data'!Q851</f>
        <v/>
      </c>
      <c r="S858" s="7">
        <f>'1 prepared data'!R851</f>
        <v/>
      </c>
      <c r="T858" s="7">
        <f>'1 prepared data'!S851</f>
        <v/>
      </c>
      <c r="U858" s="7">
        <f>'1 prepared data'!T851</f>
        <v/>
      </c>
      <c r="V858" s="8">
        <f>$AC$12+D858*$AC$13+E858*$AC$14+F858*$AC$15+G858*$AC$16+H858*$AC$17+I858*$AC$18+J858*$AC$19+K858*$AC$20+L858*$AC$21+M858*$AC$22+N858*$AC$23+O858*$AC$24+P858*$AC$25+Q858*$AC$26+R858*$AC$27+S858*$AC$28+T858*$AC$29+U858*$AC$30</f>
        <v/>
      </c>
      <c r="W858" s="8">
        <f>1/(1+EXP(-V858))</f>
        <v/>
      </c>
      <c r="X858" s="9">
        <f>-IF(C858=1,LN(W858),LN(1-W858))</f>
        <v/>
      </c>
      <c r="Y858" s="10">
        <f>IF(W858&gt;$AC$34,1,0)</f>
        <v/>
      </c>
      <c r="Z858">
        <f>IF(Y858=C858,1,0)</f>
        <v/>
      </c>
    </row>
    <row r="859">
      <c r="A859">
        <f>'1 prepared data'!A852</f>
        <v/>
      </c>
      <c r="B859" s="5">
        <f>'1 prepared data'!U852</f>
        <v/>
      </c>
      <c r="C859">
        <f>'1 prepared data'!B852</f>
        <v/>
      </c>
      <c r="D859" s="7">
        <f>'1 prepared data'!C852</f>
        <v/>
      </c>
      <c r="E859" s="7">
        <f>'1 prepared data'!D852</f>
        <v/>
      </c>
      <c r="F859" s="7">
        <f>'1 prepared data'!E852</f>
        <v/>
      </c>
      <c r="G859" s="7">
        <f>'1 prepared data'!F852</f>
        <v/>
      </c>
      <c r="H859" s="7">
        <f>'1 prepared data'!G852</f>
        <v/>
      </c>
      <c r="I859" s="7">
        <f>'1 prepared data'!H852</f>
        <v/>
      </c>
      <c r="J859" s="7">
        <f>'1 prepared data'!I852</f>
        <v/>
      </c>
      <c r="K859" s="7">
        <f>'1 prepared data'!J852</f>
        <v/>
      </c>
      <c r="L859" s="7">
        <f>'1 prepared data'!K852</f>
        <v/>
      </c>
      <c r="M859" s="7">
        <f>'1 prepared data'!L852</f>
        <v/>
      </c>
      <c r="N859" s="7">
        <f>'1 prepared data'!M852</f>
        <v/>
      </c>
      <c r="O859" s="7">
        <f>'1 prepared data'!N852</f>
        <v/>
      </c>
      <c r="P859" s="7">
        <f>'1 prepared data'!O852</f>
        <v/>
      </c>
      <c r="Q859" s="7">
        <f>'1 prepared data'!P852</f>
        <v/>
      </c>
      <c r="R859" s="7">
        <f>'1 prepared data'!Q852</f>
        <v/>
      </c>
      <c r="S859" s="7">
        <f>'1 prepared data'!R852</f>
        <v/>
      </c>
      <c r="T859" s="7">
        <f>'1 prepared data'!S852</f>
        <v/>
      </c>
      <c r="U859" s="7">
        <f>'1 prepared data'!T852</f>
        <v/>
      </c>
      <c r="V859" s="8">
        <f>$AC$12+D859*$AC$13+E859*$AC$14+F859*$AC$15+G859*$AC$16+H859*$AC$17+I859*$AC$18+J859*$AC$19+K859*$AC$20+L859*$AC$21+M859*$AC$22+N859*$AC$23+O859*$AC$24+P859*$AC$25+Q859*$AC$26+R859*$AC$27+S859*$AC$28+T859*$AC$29+U859*$AC$30</f>
        <v/>
      </c>
      <c r="W859" s="8">
        <f>1/(1+EXP(-V859))</f>
        <v/>
      </c>
      <c r="X859" s="9">
        <f>-IF(C859=1,LN(W859),LN(1-W859))</f>
        <v/>
      </c>
      <c r="Y859" s="10">
        <f>IF(W859&gt;$AC$34,1,0)</f>
        <v/>
      </c>
      <c r="Z859">
        <f>IF(Y859=C859,1,0)</f>
        <v/>
      </c>
    </row>
    <row r="860">
      <c r="A860">
        <f>'1 prepared data'!A853</f>
        <v/>
      </c>
      <c r="B860" s="5">
        <f>'1 prepared data'!U853</f>
        <v/>
      </c>
      <c r="C860">
        <f>'1 prepared data'!B853</f>
        <v/>
      </c>
      <c r="D860" s="7">
        <f>'1 prepared data'!C853</f>
        <v/>
      </c>
      <c r="E860" s="7">
        <f>'1 prepared data'!D853</f>
        <v/>
      </c>
      <c r="F860" s="7">
        <f>'1 prepared data'!E853</f>
        <v/>
      </c>
      <c r="G860" s="7">
        <f>'1 prepared data'!F853</f>
        <v/>
      </c>
      <c r="H860" s="7">
        <f>'1 prepared data'!G853</f>
        <v/>
      </c>
      <c r="I860" s="7">
        <f>'1 prepared data'!H853</f>
        <v/>
      </c>
      <c r="J860" s="7">
        <f>'1 prepared data'!I853</f>
        <v/>
      </c>
      <c r="K860" s="7">
        <f>'1 prepared data'!J853</f>
        <v/>
      </c>
      <c r="L860" s="7">
        <f>'1 prepared data'!K853</f>
        <v/>
      </c>
      <c r="M860" s="7">
        <f>'1 prepared data'!L853</f>
        <v/>
      </c>
      <c r="N860" s="7">
        <f>'1 prepared data'!M853</f>
        <v/>
      </c>
      <c r="O860" s="7">
        <f>'1 prepared data'!N853</f>
        <v/>
      </c>
      <c r="P860" s="7">
        <f>'1 prepared data'!O853</f>
        <v/>
      </c>
      <c r="Q860" s="7">
        <f>'1 prepared data'!P853</f>
        <v/>
      </c>
      <c r="R860" s="7">
        <f>'1 prepared data'!Q853</f>
        <v/>
      </c>
      <c r="S860" s="7">
        <f>'1 prepared data'!R853</f>
        <v/>
      </c>
      <c r="T860" s="7">
        <f>'1 prepared data'!S853</f>
        <v/>
      </c>
      <c r="U860" s="7">
        <f>'1 prepared data'!T853</f>
        <v/>
      </c>
      <c r="V860" s="8">
        <f>$AC$12+D860*$AC$13+E860*$AC$14+F860*$AC$15+G860*$AC$16+H860*$AC$17+I860*$AC$18+J860*$AC$19+K860*$AC$20+L860*$AC$21+M860*$AC$22+N860*$AC$23+O860*$AC$24+P860*$AC$25+Q860*$AC$26+R860*$AC$27+S860*$AC$28+T860*$AC$29+U860*$AC$30</f>
        <v/>
      </c>
      <c r="W860" s="8">
        <f>1/(1+EXP(-V860))</f>
        <v/>
      </c>
      <c r="X860" s="9">
        <f>-IF(C860=1,LN(W860),LN(1-W860))</f>
        <v/>
      </c>
      <c r="Y860" s="10">
        <f>IF(W860&gt;$AC$34,1,0)</f>
        <v/>
      </c>
      <c r="Z860">
        <f>IF(Y860=C860,1,0)</f>
        <v/>
      </c>
    </row>
    <row r="861">
      <c r="A861">
        <f>'1 prepared data'!A854</f>
        <v/>
      </c>
      <c r="B861" s="5">
        <f>'1 prepared data'!U854</f>
        <v/>
      </c>
      <c r="C861">
        <f>'1 prepared data'!B854</f>
        <v/>
      </c>
      <c r="D861" s="7">
        <f>'1 prepared data'!C854</f>
        <v/>
      </c>
      <c r="E861" s="7">
        <f>'1 prepared data'!D854</f>
        <v/>
      </c>
      <c r="F861" s="7">
        <f>'1 prepared data'!E854</f>
        <v/>
      </c>
      <c r="G861" s="7">
        <f>'1 prepared data'!F854</f>
        <v/>
      </c>
      <c r="H861" s="7">
        <f>'1 prepared data'!G854</f>
        <v/>
      </c>
      <c r="I861" s="7">
        <f>'1 prepared data'!H854</f>
        <v/>
      </c>
      <c r="J861" s="7">
        <f>'1 prepared data'!I854</f>
        <v/>
      </c>
      <c r="K861" s="7">
        <f>'1 prepared data'!J854</f>
        <v/>
      </c>
      <c r="L861" s="7">
        <f>'1 prepared data'!K854</f>
        <v/>
      </c>
      <c r="M861" s="7">
        <f>'1 prepared data'!L854</f>
        <v/>
      </c>
      <c r="N861" s="7">
        <f>'1 prepared data'!M854</f>
        <v/>
      </c>
      <c r="O861" s="7">
        <f>'1 prepared data'!N854</f>
        <v/>
      </c>
      <c r="P861" s="7">
        <f>'1 prepared data'!O854</f>
        <v/>
      </c>
      <c r="Q861" s="7">
        <f>'1 prepared data'!P854</f>
        <v/>
      </c>
      <c r="R861" s="7">
        <f>'1 prepared data'!Q854</f>
        <v/>
      </c>
      <c r="S861" s="7">
        <f>'1 prepared data'!R854</f>
        <v/>
      </c>
      <c r="T861" s="7">
        <f>'1 prepared data'!S854</f>
        <v/>
      </c>
      <c r="U861" s="7">
        <f>'1 prepared data'!T854</f>
        <v/>
      </c>
      <c r="V861" s="8">
        <f>$AC$12+D861*$AC$13+E861*$AC$14+F861*$AC$15+G861*$AC$16+H861*$AC$17+I861*$AC$18+J861*$AC$19+K861*$AC$20+L861*$AC$21+M861*$AC$22+N861*$AC$23+O861*$AC$24+P861*$AC$25+Q861*$AC$26+R861*$AC$27+S861*$AC$28+T861*$AC$29+U861*$AC$30</f>
        <v/>
      </c>
      <c r="W861" s="8">
        <f>1/(1+EXP(-V861))</f>
        <v/>
      </c>
      <c r="X861" s="9">
        <f>-IF(C861=1,LN(W861),LN(1-W861))</f>
        <v/>
      </c>
      <c r="Y861" s="10">
        <f>IF(W861&gt;$AC$34,1,0)</f>
        <v/>
      </c>
      <c r="Z861">
        <f>IF(Y861=C861,1,0)</f>
        <v/>
      </c>
    </row>
    <row r="862">
      <c r="A862">
        <f>'1 prepared data'!A855</f>
        <v/>
      </c>
      <c r="B862" s="5">
        <f>'1 prepared data'!U855</f>
        <v/>
      </c>
      <c r="C862">
        <f>'1 prepared data'!B855</f>
        <v/>
      </c>
      <c r="D862" s="7">
        <f>'1 prepared data'!C855</f>
        <v/>
      </c>
      <c r="E862" s="7">
        <f>'1 prepared data'!D855</f>
        <v/>
      </c>
      <c r="F862" s="7">
        <f>'1 prepared data'!E855</f>
        <v/>
      </c>
      <c r="G862" s="7">
        <f>'1 prepared data'!F855</f>
        <v/>
      </c>
      <c r="H862" s="7">
        <f>'1 prepared data'!G855</f>
        <v/>
      </c>
      <c r="I862" s="7">
        <f>'1 prepared data'!H855</f>
        <v/>
      </c>
      <c r="J862" s="7">
        <f>'1 prepared data'!I855</f>
        <v/>
      </c>
      <c r="K862" s="7">
        <f>'1 prepared data'!J855</f>
        <v/>
      </c>
      <c r="L862" s="7">
        <f>'1 prepared data'!K855</f>
        <v/>
      </c>
      <c r="M862" s="7">
        <f>'1 prepared data'!L855</f>
        <v/>
      </c>
      <c r="N862" s="7">
        <f>'1 prepared data'!M855</f>
        <v/>
      </c>
      <c r="O862" s="7">
        <f>'1 prepared data'!N855</f>
        <v/>
      </c>
      <c r="P862" s="7">
        <f>'1 prepared data'!O855</f>
        <v/>
      </c>
      <c r="Q862" s="7">
        <f>'1 prepared data'!P855</f>
        <v/>
      </c>
      <c r="R862" s="7">
        <f>'1 prepared data'!Q855</f>
        <v/>
      </c>
      <c r="S862" s="7">
        <f>'1 prepared data'!R855</f>
        <v/>
      </c>
      <c r="T862" s="7">
        <f>'1 prepared data'!S855</f>
        <v/>
      </c>
      <c r="U862" s="7">
        <f>'1 prepared data'!T855</f>
        <v/>
      </c>
      <c r="V862" s="8">
        <f>$AC$12+D862*$AC$13+E862*$AC$14+F862*$AC$15+G862*$AC$16+H862*$AC$17+I862*$AC$18+J862*$AC$19+K862*$AC$20+L862*$AC$21+M862*$AC$22+N862*$AC$23+O862*$AC$24+P862*$AC$25+Q862*$AC$26+R862*$AC$27+S862*$AC$28+T862*$AC$29+U862*$AC$30</f>
        <v/>
      </c>
      <c r="W862" s="8">
        <f>1/(1+EXP(-V862))</f>
        <v/>
      </c>
      <c r="X862" s="9">
        <f>-IF(C862=1,LN(W862),LN(1-W862))</f>
        <v/>
      </c>
      <c r="Y862" s="10">
        <f>IF(W862&gt;$AC$34,1,0)</f>
        <v/>
      </c>
      <c r="Z862">
        <f>IF(Y862=C862,1,0)</f>
        <v/>
      </c>
    </row>
    <row r="863">
      <c r="A863">
        <f>'1 prepared data'!A856</f>
        <v/>
      </c>
      <c r="B863" s="5">
        <f>'1 prepared data'!U856</f>
        <v/>
      </c>
      <c r="C863">
        <f>'1 prepared data'!B856</f>
        <v/>
      </c>
      <c r="D863" s="7">
        <f>'1 prepared data'!C856</f>
        <v/>
      </c>
      <c r="E863" s="7">
        <f>'1 prepared data'!D856</f>
        <v/>
      </c>
      <c r="F863" s="7">
        <f>'1 prepared data'!E856</f>
        <v/>
      </c>
      <c r="G863" s="7">
        <f>'1 prepared data'!F856</f>
        <v/>
      </c>
      <c r="H863" s="7">
        <f>'1 prepared data'!G856</f>
        <v/>
      </c>
      <c r="I863" s="7">
        <f>'1 prepared data'!H856</f>
        <v/>
      </c>
      <c r="J863" s="7">
        <f>'1 prepared data'!I856</f>
        <v/>
      </c>
      <c r="K863" s="7">
        <f>'1 prepared data'!J856</f>
        <v/>
      </c>
      <c r="L863" s="7">
        <f>'1 prepared data'!K856</f>
        <v/>
      </c>
      <c r="M863" s="7">
        <f>'1 prepared data'!L856</f>
        <v/>
      </c>
      <c r="N863" s="7">
        <f>'1 prepared data'!M856</f>
        <v/>
      </c>
      <c r="O863" s="7">
        <f>'1 prepared data'!N856</f>
        <v/>
      </c>
      <c r="P863" s="7">
        <f>'1 prepared data'!O856</f>
        <v/>
      </c>
      <c r="Q863" s="7">
        <f>'1 prepared data'!P856</f>
        <v/>
      </c>
      <c r="R863" s="7">
        <f>'1 prepared data'!Q856</f>
        <v/>
      </c>
      <c r="S863" s="7">
        <f>'1 prepared data'!R856</f>
        <v/>
      </c>
      <c r="T863" s="7">
        <f>'1 prepared data'!S856</f>
        <v/>
      </c>
      <c r="U863" s="7">
        <f>'1 prepared data'!T856</f>
        <v/>
      </c>
      <c r="V863" s="8">
        <f>$AC$12+D863*$AC$13+E863*$AC$14+F863*$AC$15+G863*$AC$16+H863*$AC$17+I863*$AC$18+J863*$AC$19+K863*$AC$20+L863*$AC$21+M863*$AC$22+N863*$AC$23+O863*$AC$24+P863*$AC$25+Q863*$AC$26+R863*$AC$27+S863*$AC$28+T863*$AC$29+U863*$AC$30</f>
        <v/>
      </c>
      <c r="W863" s="8">
        <f>1/(1+EXP(-V863))</f>
        <v/>
      </c>
      <c r="X863" s="9">
        <f>-IF(C863=1,LN(W863),LN(1-W863))</f>
        <v/>
      </c>
      <c r="Y863" s="10">
        <f>IF(W863&gt;$AC$34,1,0)</f>
        <v/>
      </c>
      <c r="Z863">
        <f>IF(Y863=C863,1,0)</f>
        <v/>
      </c>
    </row>
    <row r="864">
      <c r="A864">
        <f>'1 prepared data'!A857</f>
        <v/>
      </c>
      <c r="B864" s="5">
        <f>'1 prepared data'!U857</f>
        <v/>
      </c>
      <c r="C864">
        <f>'1 prepared data'!B857</f>
        <v/>
      </c>
      <c r="D864" s="7">
        <f>'1 prepared data'!C857</f>
        <v/>
      </c>
      <c r="E864" s="7">
        <f>'1 prepared data'!D857</f>
        <v/>
      </c>
      <c r="F864" s="7">
        <f>'1 prepared data'!E857</f>
        <v/>
      </c>
      <c r="G864" s="7">
        <f>'1 prepared data'!F857</f>
        <v/>
      </c>
      <c r="H864" s="7">
        <f>'1 prepared data'!G857</f>
        <v/>
      </c>
      <c r="I864" s="7">
        <f>'1 prepared data'!H857</f>
        <v/>
      </c>
      <c r="J864" s="7">
        <f>'1 prepared data'!I857</f>
        <v/>
      </c>
      <c r="K864" s="7">
        <f>'1 prepared data'!J857</f>
        <v/>
      </c>
      <c r="L864" s="7">
        <f>'1 prepared data'!K857</f>
        <v/>
      </c>
      <c r="M864" s="7">
        <f>'1 prepared data'!L857</f>
        <v/>
      </c>
      <c r="N864" s="7">
        <f>'1 prepared data'!M857</f>
        <v/>
      </c>
      <c r="O864" s="7">
        <f>'1 prepared data'!N857</f>
        <v/>
      </c>
      <c r="P864" s="7">
        <f>'1 prepared data'!O857</f>
        <v/>
      </c>
      <c r="Q864" s="7">
        <f>'1 prepared data'!P857</f>
        <v/>
      </c>
      <c r="R864" s="7">
        <f>'1 prepared data'!Q857</f>
        <v/>
      </c>
      <c r="S864" s="7">
        <f>'1 prepared data'!R857</f>
        <v/>
      </c>
      <c r="T864" s="7">
        <f>'1 prepared data'!S857</f>
        <v/>
      </c>
      <c r="U864" s="7">
        <f>'1 prepared data'!T857</f>
        <v/>
      </c>
      <c r="V864" s="8">
        <f>$AC$12+D864*$AC$13+E864*$AC$14+F864*$AC$15+G864*$AC$16+H864*$AC$17+I864*$AC$18+J864*$AC$19+K864*$AC$20+L864*$AC$21+M864*$AC$22+N864*$AC$23+O864*$AC$24+P864*$AC$25+Q864*$AC$26+R864*$AC$27+S864*$AC$28+T864*$AC$29+U864*$AC$30</f>
        <v/>
      </c>
      <c r="W864" s="8">
        <f>1/(1+EXP(-V864))</f>
        <v/>
      </c>
      <c r="X864" s="9">
        <f>-IF(C864=1,LN(W864),LN(1-W864))</f>
        <v/>
      </c>
      <c r="Y864" s="10">
        <f>IF(W864&gt;$AC$34,1,0)</f>
        <v/>
      </c>
      <c r="Z864">
        <f>IF(Y864=C864,1,0)</f>
        <v/>
      </c>
    </row>
    <row r="865">
      <c r="A865">
        <f>'1 prepared data'!A858</f>
        <v/>
      </c>
      <c r="B865" s="5">
        <f>'1 prepared data'!U858</f>
        <v/>
      </c>
      <c r="C865">
        <f>'1 prepared data'!B858</f>
        <v/>
      </c>
      <c r="D865" s="7">
        <f>'1 prepared data'!C858</f>
        <v/>
      </c>
      <c r="E865" s="7">
        <f>'1 prepared data'!D858</f>
        <v/>
      </c>
      <c r="F865" s="7">
        <f>'1 prepared data'!E858</f>
        <v/>
      </c>
      <c r="G865" s="7">
        <f>'1 prepared data'!F858</f>
        <v/>
      </c>
      <c r="H865" s="7">
        <f>'1 prepared data'!G858</f>
        <v/>
      </c>
      <c r="I865" s="7">
        <f>'1 prepared data'!H858</f>
        <v/>
      </c>
      <c r="J865" s="7">
        <f>'1 prepared data'!I858</f>
        <v/>
      </c>
      <c r="K865" s="7">
        <f>'1 prepared data'!J858</f>
        <v/>
      </c>
      <c r="L865" s="7">
        <f>'1 prepared data'!K858</f>
        <v/>
      </c>
      <c r="M865" s="7">
        <f>'1 prepared data'!L858</f>
        <v/>
      </c>
      <c r="N865" s="7">
        <f>'1 prepared data'!M858</f>
        <v/>
      </c>
      <c r="O865" s="7">
        <f>'1 prepared data'!N858</f>
        <v/>
      </c>
      <c r="P865" s="7">
        <f>'1 prepared data'!O858</f>
        <v/>
      </c>
      <c r="Q865" s="7">
        <f>'1 prepared data'!P858</f>
        <v/>
      </c>
      <c r="R865" s="7">
        <f>'1 prepared data'!Q858</f>
        <v/>
      </c>
      <c r="S865" s="7">
        <f>'1 prepared data'!R858</f>
        <v/>
      </c>
      <c r="T865" s="7">
        <f>'1 prepared data'!S858</f>
        <v/>
      </c>
      <c r="U865" s="7">
        <f>'1 prepared data'!T858</f>
        <v/>
      </c>
      <c r="V865" s="8">
        <f>$AC$12+D865*$AC$13+E865*$AC$14+F865*$AC$15+G865*$AC$16+H865*$AC$17+I865*$AC$18+J865*$AC$19+K865*$AC$20+L865*$AC$21+M865*$AC$22+N865*$AC$23+O865*$AC$24+P865*$AC$25+Q865*$AC$26+R865*$AC$27+S865*$AC$28+T865*$AC$29+U865*$AC$30</f>
        <v/>
      </c>
      <c r="W865" s="8">
        <f>1/(1+EXP(-V865))</f>
        <v/>
      </c>
      <c r="X865" s="9">
        <f>-IF(C865=1,LN(W865),LN(1-W865))</f>
        <v/>
      </c>
      <c r="Y865" s="10">
        <f>IF(W865&gt;$AC$34,1,0)</f>
        <v/>
      </c>
      <c r="Z865">
        <f>IF(Y865=C865,1,0)</f>
        <v/>
      </c>
    </row>
    <row r="866">
      <c r="A866">
        <f>'1 prepared data'!A859</f>
        <v/>
      </c>
      <c r="B866" s="5">
        <f>'1 prepared data'!U859</f>
        <v/>
      </c>
      <c r="C866">
        <f>'1 prepared data'!B859</f>
        <v/>
      </c>
      <c r="D866" s="7">
        <f>'1 prepared data'!C859</f>
        <v/>
      </c>
      <c r="E866" s="7">
        <f>'1 prepared data'!D859</f>
        <v/>
      </c>
      <c r="F866" s="7">
        <f>'1 prepared data'!E859</f>
        <v/>
      </c>
      <c r="G866" s="7">
        <f>'1 prepared data'!F859</f>
        <v/>
      </c>
      <c r="H866" s="7">
        <f>'1 prepared data'!G859</f>
        <v/>
      </c>
      <c r="I866" s="7">
        <f>'1 prepared data'!H859</f>
        <v/>
      </c>
      <c r="J866" s="7">
        <f>'1 prepared data'!I859</f>
        <v/>
      </c>
      <c r="K866" s="7">
        <f>'1 prepared data'!J859</f>
        <v/>
      </c>
      <c r="L866" s="7">
        <f>'1 prepared data'!K859</f>
        <v/>
      </c>
      <c r="M866" s="7">
        <f>'1 prepared data'!L859</f>
        <v/>
      </c>
      <c r="N866" s="7">
        <f>'1 prepared data'!M859</f>
        <v/>
      </c>
      <c r="O866" s="7">
        <f>'1 prepared data'!N859</f>
        <v/>
      </c>
      <c r="P866" s="7">
        <f>'1 prepared data'!O859</f>
        <v/>
      </c>
      <c r="Q866" s="7">
        <f>'1 prepared data'!P859</f>
        <v/>
      </c>
      <c r="R866" s="7">
        <f>'1 prepared data'!Q859</f>
        <v/>
      </c>
      <c r="S866" s="7">
        <f>'1 prepared data'!R859</f>
        <v/>
      </c>
      <c r="T866" s="7">
        <f>'1 prepared data'!S859</f>
        <v/>
      </c>
      <c r="U866" s="7">
        <f>'1 prepared data'!T859</f>
        <v/>
      </c>
      <c r="V866" s="8">
        <f>$AC$12+D866*$AC$13+E866*$AC$14+F866*$AC$15+G866*$AC$16+H866*$AC$17+I866*$AC$18+J866*$AC$19+K866*$AC$20+L866*$AC$21+M866*$AC$22+N866*$AC$23+O866*$AC$24+P866*$AC$25+Q866*$AC$26+R866*$AC$27+S866*$AC$28+T866*$AC$29+U866*$AC$30</f>
        <v/>
      </c>
      <c r="W866" s="8">
        <f>1/(1+EXP(-V866))</f>
        <v/>
      </c>
      <c r="X866" s="9">
        <f>-IF(C866=1,LN(W866),LN(1-W866))</f>
        <v/>
      </c>
      <c r="Y866" s="10">
        <f>IF(W866&gt;$AC$34,1,0)</f>
        <v/>
      </c>
      <c r="Z866">
        <f>IF(Y866=C866,1,0)</f>
        <v/>
      </c>
    </row>
    <row r="867">
      <c r="A867">
        <f>'1 prepared data'!A860</f>
        <v/>
      </c>
      <c r="B867" s="5">
        <f>'1 prepared data'!U860</f>
        <v/>
      </c>
      <c r="C867">
        <f>'1 prepared data'!B860</f>
        <v/>
      </c>
      <c r="D867" s="7">
        <f>'1 prepared data'!C860</f>
        <v/>
      </c>
      <c r="E867" s="7">
        <f>'1 prepared data'!D860</f>
        <v/>
      </c>
      <c r="F867" s="7">
        <f>'1 prepared data'!E860</f>
        <v/>
      </c>
      <c r="G867" s="7">
        <f>'1 prepared data'!F860</f>
        <v/>
      </c>
      <c r="H867" s="7">
        <f>'1 prepared data'!G860</f>
        <v/>
      </c>
      <c r="I867" s="7">
        <f>'1 prepared data'!H860</f>
        <v/>
      </c>
      <c r="J867" s="7">
        <f>'1 prepared data'!I860</f>
        <v/>
      </c>
      <c r="K867" s="7">
        <f>'1 prepared data'!J860</f>
        <v/>
      </c>
      <c r="L867" s="7">
        <f>'1 prepared data'!K860</f>
        <v/>
      </c>
      <c r="M867" s="7">
        <f>'1 prepared data'!L860</f>
        <v/>
      </c>
      <c r="N867" s="7">
        <f>'1 prepared data'!M860</f>
        <v/>
      </c>
      <c r="O867" s="7">
        <f>'1 prepared data'!N860</f>
        <v/>
      </c>
      <c r="P867" s="7">
        <f>'1 prepared data'!O860</f>
        <v/>
      </c>
      <c r="Q867" s="7">
        <f>'1 prepared data'!P860</f>
        <v/>
      </c>
      <c r="R867" s="7">
        <f>'1 prepared data'!Q860</f>
        <v/>
      </c>
      <c r="S867" s="7">
        <f>'1 prepared data'!R860</f>
        <v/>
      </c>
      <c r="T867" s="7">
        <f>'1 prepared data'!S860</f>
        <v/>
      </c>
      <c r="U867" s="7">
        <f>'1 prepared data'!T860</f>
        <v/>
      </c>
      <c r="V867" s="8">
        <f>$AC$12+D867*$AC$13+E867*$AC$14+F867*$AC$15+G867*$AC$16+H867*$AC$17+I867*$AC$18+J867*$AC$19+K867*$AC$20+L867*$AC$21+M867*$AC$22+N867*$AC$23+O867*$AC$24+P867*$AC$25+Q867*$AC$26+R867*$AC$27+S867*$AC$28+T867*$AC$29+U867*$AC$30</f>
        <v/>
      </c>
      <c r="W867" s="8">
        <f>1/(1+EXP(-V867))</f>
        <v/>
      </c>
      <c r="X867" s="9">
        <f>-IF(C867=1,LN(W867),LN(1-W867))</f>
        <v/>
      </c>
      <c r="Y867" s="10">
        <f>IF(W867&gt;$AC$34,1,0)</f>
        <v/>
      </c>
      <c r="Z867">
        <f>IF(Y867=C867,1,0)</f>
        <v/>
      </c>
    </row>
    <row r="868">
      <c r="A868">
        <f>'1 prepared data'!A861</f>
        <v/>
      </c>
      <c r="B868" s="5">
        <f>'1 prepared data'!U861</f>
        <v/>
      </c>
      <c r="C868">
        <f>'1 prepared data'!B861</f>
        <v/>
      </c>
      <c r="D868" s="7">
        <f>'1 prepared data'!C861</f>
        <v/>
      </c>
      <c r="E868" s="7">
        <f>'1 prepared data'!D861</f>
        <v/>
      </c>
      <c r="F868" s="7">
        <f>'1 prepared data'!E861</f>
        <v/>
      </c>
      <c r="G868" s="7">
        <f>'1 prepared data'!F861</f>
        <v/>
      </c>
      <c r="H868" s="7">
        <f>'1 prepared data'!G861</f>
        <v/>
      </c>
      <c r="I868" s="7">
        <f>'1 prepared data'!H861</f>
        <v/>
      </c>
      <c r="J868" s="7">
        <f>'1 prepared data'!I861</f>
        <v/>
      </c>
      <c r="K868" s="7">
        <f>'1 prepared data'!J861</f>
        <v/>
      </c>
      <c r="L868" s="7">
        <f>'1 prepared data'!K861</f>
        <v/>
      </c>
      <c r="M868" s="7">
        <f>'1 prepared data'!L861</f>
        <v/>
      </c>
      <c r="N868" s="7">
        <f>'1 prepared data'!M861</f>
        <v/>
      </c>
      <c r="O868" s="7">
        <f>'1 prepared data'!N861</f>
        <v/>
      </c>
      <c r="P868" s="7">
        <f>'1 prepared data'!O861</f>
        <v/>
      </c>
      <c r="Q868" s="7">
        <f>'1 prepared data'!P861</f>
        <v/>
      </c>
      <c r="R868" s="7">
        <f>'1 prepared data'!Q861</f>
        <v/>
      </c>
      <c r="S868" s="7">
        <f>'1 prepared data'!R861</f>
        <v/>
      </c>
      <c r="T868" s="7">
        <f>'1 prepared data'!S861</f>
        <v/>
      </c>
      <c r="U868" s="7">
        <f>'1 prepared data'!T861</f>
        <v/>
      </c>
      <c r="V868" s="8">
        <f>$AC$12+D868*$AC$13+E868*$AC$14+F868*$AC$15+G868*$AC$16+H868*$AC$17+I868*$AC$18+J868*$AC$19+K868*$AC$20+L868*$AC$21+M868*$AC$22+N868*$AC$23+O868*$AC$24+P868*$AC$25+Q868*$AC$26+R868*$AC$27+S868*$AC$28+T868*$AC$29+U868*$AC$30</f>
        <v/>
      </c>
      <c r="W868" s="8">
        <f>1/(1+EXP(-V868))</f>
        <v/>
      </c>
      <c r="X868" s="9">
        <f>-IF(C868=1,LN(W868),LN(1-W868))</f>
        <v/>
      </c>
      <c r="Y868" s="10">
        <f>IF(W868&gt;$AC$34,1,0)</f>
        <v/>
      </c>
      <c r="Z868">
        <f>IF(Y868=C868,1,0)</f>
        <v/>
      </c>
    </row>
    <row r="869">
      <c r="A869">
        <f>'1 prepared data'!A862</f>
        <v/>
      </c>
      <c r="B869" s="5">
        <f>'1 prepared data'!U862</f>
        <v/>
      </c>
      <c r="C869">
        <f>'1 prepared data'!B862</f>
        <v/>
      </c>
      <c r="D869" s="7">
        <f>'1 prepared data'!C862</f>
        <v/>
      </c>
      <c r="E869" s="7">
        <f>'1 prepared data'!D862</f>
        <v/>
      </c>
      <c r="F869" s="7">
        <f>'1 prepared data'!E862</f>
        <v/>
      </c>
      <c r="G869" s="7">
        <f>'1 prepared data'!F862</f>
        <v/>
      </c>
      <c r="H869" s="7">
        <f>'1 prepared data'!G862</f>
        <v/>
      </c>
      <c r="I869" s="7">
        <f>'1 prepared data'!H862</f>
        <v/>
      </c>
      <c r="J869" s="7">
        <f>'1 prepared data'!I862</f>
        <v/>
      </c>
      <c r="K869" s="7">
        <f>'1 prepared data'!J862</f>
        <v/>
      </c>
      <c r="L869" s="7">
        <f>'1 prepared data'!K862</f>
        <v/>
      </c>
      <c r="M869" s="7">
        <f>'1 prepared data'!L862</f>
        <v/>
      </c>
      <c r="N869" s="7">
        <f>'1 prepared data'!M862</f>
        <v/>
      </c>
      <c r="O869" s="7">
        <f>'1 prepared data'!N862</f>
        <v/>
      </c>
      <c r="P869" s="7">
        <f>'1 prepared data'!O862</f>
        <v/>
      </c>
      <c r="Q869" s="7">
        <f>'1 prepared data'!P862</f>
        <v/>
      </c>
      <c r="R869" s="7">
        <f>'1 prepared data'!Q862</f>
        <v/>
      </c>
      <c r="S869" s="7">
        <f>'1 prepared data'!R862</f>
        <v/>
      </c>
      <c r="T869" s="7">
        <f>'1 prepared data'!S862</f>
        <v/>
      </c>
      <c r="U869" s="7">
        <f>'1 prepared data'!T862</f>
        <v/>
      </c>
      <c r="V869" s="8">
        <f>$AC$12+D869*$AC$13+E869*$AC$14+F869*$AC$15+G869*$AC$16+H869*$AC$17+I869*$AC$18+J869*$AC$19+K869*$AC$20+L869*$AC$21+M869*$AC$22+N869*$AC$23+O869*$AC$24+P869*$AC$25+Q869*$AC$26+R869*$AC$27+S869*$AC$28+T869*$AC$29+U869*$AC$30</f>
        <v/>
      </c>
      <c r="W869" s="8">
        <f>1/(1+EXP(-V869))</f>
        <v/>
      </c>
      <c r="X869" s="9">
        <f>-IF(C869=1,LN(W869),LN(1-W869))</f>
        <v/>
      </c>
      <c r="Y869" s="10">
        <f>IF(W869&gt;$AC$34,1,0)</f>
        <v/>
      </c>
      <c r="Z869">
        <f>IF(Y869=C869,1,0)</f>
        <v/>
      </c>
    </row>
    <row r="870">
      <c r="A870">
        <f>'1 prepared data'!A863</f>
        <v/>
      </c>
      <c r="B870" s="5">
        <f>'1 prepared data'!U863</f>
        <v/>
      </c>
      <c r="C870">
        <f>'1 prepared data'!B863</f>
        <v/>
      </c>
      <c r="D870" s="7">
        <f>'1 prepared data'!C863</f>
        <v/>
      </c>
      <c r="E870" s="7">
        <f>'1 prepared data'!D863</f>
        <v/>
      </c>
      <c r="F870" s="7">
        <f>'1 prepared data'!E863</f>
        <v/>
      </c>
      <c r="G870" s="7">
        <f>'1 prepared data'!F863</f>
        <v/>
      </c>
      <c r="H870" s="7">
        <f>'1 prepared data'!G863</f>
        <v/>
      </c>
      <c r="I870" s="7">
        <f>'1 prepared data'!H863</f>
        <v/>
      </c>
      <c r="J870" s="7">
        <f>'1 prepared data'!I863</f>
        <v/>
      </c>
      <c r="K870" s="7">
        <f>'1 prepared data'!J863</f>
        <v/>
      </c>
      <c r="L870" s="7">
        <f>'1 prepared data'!K863</f>
        <v/>
      </c>
      <c r="M870" s="7">
        <f>'1 prepared data'!L863</f>
        <v/>
      </c>
      <c r="N870" s="7">
        <f>'1 prepared data'!M863</f>
        <v/>
      </c>
      <c r="O870" s="7">
        <f>'1 prepared data'!N863</f>
        <v/>
      </c>
      <c r="P870" s="7">
        <f>'1 prepared data'!O863</f>
        <v/>
      </c>
      <c r="Q870" s="7">
        <f>'1 prepared data'!P863</f>
        <v/>
      </c>
      <c r="R870" s="7">
        <f>'1 prepared data'!Q863</f>
        <v/>
      </c>
      <c r="S870" s="7">
        <f>'1 prepared data'!R863</f>
        <v/>
      </c>
      <c r="T870" s="7">
        <f>'1 prepared data'!S863</f>
        <v/>
      </c>
      <c r="U870" s="7">
        <f>'1 prepared data'!T863</f>
        <v/>
      </c>
      <c r="V870" s="8">
        <f>$AC$12+D870*$AC$13+E870*$AC$14+F870*$AC$15+G870*$AC$16+H870*$AC$17+I870*$AC$18+J870*$AC$19+K870*$AC$20+L870*$AC$21+M870*$AC$22+N870*$AC$23+O870*$AC$24+P870*$AC$25+Q870*$AC$26+R870*$AC$27+S870*$AC$28+T870*$AC$29+U870*$AC$30</f>
        <v/>
      </c>
      <c r="W870" s="8">
        <f>1/(1+EXP(-V870))</f>
        <v/>
      </c>
      <c r="X870" s="9">
        <f>-IF(C870=1,LN(W870),LN(1-W870))</f>
        <v/>
      </c>
      <c r="Y870" s="10">
        <f>IF(W870&gt;$AC$34,1,0)</f>
        <v/>
      </c>
      <c r="Z870">
        <f>IF(Y870=C870,1,0)</f>
        <v/>
      </c>
    </row>
    <row r="871">
      <c r="A871">
        <f>'1 prepared data'!A864</f>
        <v/>
      </c>
      <c r="B871" s="5">
        <f>'1 prepared data'!U864</f>
        <v/>
      </c>
      <c r="C871">
        <f>'1 prepared data'!B864</f>
        <v/>
      </c>
      <c r="D871" s="7">
        <f>'1 prepared data'!C864</f>
        <v/>
      </c>
      <c r="E871" s="7">
        <f>'1 prepared data'!D864</f>
        <v/>
      </c>
      <c r="F871" s="7">
        <f>'1 prepared data'!E864</f>
        <v/>
      </c>
      <c r="G871" s="7">
        <f>'1 prepared data'!F864</f>
        <v/>
      </c>
      <c r="H871" s="7">
        <f>'1 prepared data'!G864</f>
        <v/>
      </c>
      <c r="I871" s="7">
        <f>'1 prepared data'!H864</f>
        <v/>
      </c>
      <c r="J871" s="7">
        <f>'1 prepared data'!I864</f>
        <v/>
      </c>
      <c r="K871" s="7">
        <f>'1 prepared data'!J864</f>
        <v/>
      </c>
      <c r="L871" s="7">
        <f>'1 prepared data'!K864</f>
        <v/>
      </c>
      <c r="M871" s="7">
        <f>'1 prepared data'!L864</f>
        <v/>
      </c>
      <c r="N871" s="7">
        <f>'1 prepared data'!M864</f>
        <v/>
      </c>
      <c r="O871" s="7">
        <f>'1 prepared data'!N864</f>
        <v/>
      </c>
      <c r="P871" s="7">
        <f>'1 prepared data'!O864</f>
        <v/>
      </c>
      <c r="Q871" s="7">
        <f>'1 prepared data'!P864</f>
        <v/>
      </c>
      <c r="R871" s="7">
        <f>'1 prepared data'!Q864</f>
        <v/>
      </c>
      <c r="S871" s="7">
        <f>'1 prepared data'!R864</f>
        <v/>
      </c>
      <c r="T871" s="7">
        <f>'1 prepared data'!S864</f>
        <v/>
      </c>
      <c r="U871" s="7">
        <f>'1 prepared data'!T864</f>
        <v/>
      </c>
      <c r="V871" s="8">
        <f>$AC$12+D871*$AC$13+E871*$AC$14+F871*$AC$15+G871*$AC$16+H871*$AC$17+I871*$AC$18+J871*$AC$19+K871*$AC$20+L871*$AC$21+M871*$AC$22+N871*$AC$23+O871*$AC$24+P871*$AC$25+Q871*$AC$26+R871*$AC$27+S871*$AC$28+T871*$AC$29+U871*$AC$30</f>
        <v/>
      </c>
      <c r="W871" s="8">
        <f>1/(1+EXP(-V871))</f>
        <v/>
      </c>
      <c r="X871" s="9">
        <f>-IF(C871=1,LN(W871),LN(1-W871))</f>
        <v/>
      </c>
      <c r="Y871" s="10">
        <f>IF(W871&gt;$AC$34,1,0)</f>
        <v/>
      </c>
      <c r="Z871">
        <f>IF(Y871=C871,1,0)</f>
        <v/>
      </c>
    </row>
    <row r="872">
      <c r="A872">
        <f>'1 prepared data'!A865</f>
        <v/>
      </c>
      <c r="B872" s="5">
        <f>'1 prepared data'!U865</f>
        <v/>
      </c>
      <c r="C872">
        <f>'1 prepared data'!B865</f>
        <v/>
      </c>
      <c r="D872" s="7">
        <f>'1 prepared data'!C865</f>
        <v/>
      </c>
      <c r="E872" s="7">
        <f>'1 prepared data'!D865</f>
        <v/>
      </c>
      <c r="F872" s="7">
        <f>'1 prepared data'!E865</f>
        <v/>
      </c>
      <c r="G872" s="7">
        <f>'1 prepared data'!F865</f>
        <v/>
      </c>
      <c r="H872" s="7">
        <f>'1 prepared data'!G865</f>
        <v/>
      </c>
      <c r="I872" s="7">
        <f>'1 prepared data'!H865</f>
        <v/>
      </c>
      <c r="J872" s="7">
        <f>'1 prepared data'!I865</f>
        <v/>
      </c>
      <c r="K872" s="7">
        <f>'1 prepared data'!J865</f>
        <v/>
      </c>
      <c r="L872" s="7">
        <f>'1 prepared data'!K865</f>
        <v/>
      </c>
      <c r="M872" s="7">
        <f>'1 prepared data'!L865</f>
        <v/>
      </c>
      <c r="N872" s="7">
        <f>'1 prepared data'!M865</f>
        <v/>
      </c>
      <c r="O872" s="7">
        <f>'1 prepared data'!N865</f>
        <v/>
      </c>
      <c r="P872" s="7">
        <f>'1 prepared data'!O865</f>
        <v/>
      </c>
      <c r="Q872" s="7">
        <f>'1 prepared data'!P865</f>
        <v/>
      </c>
      <c r="R872" s="7">
        <f>'1 prepared data'!Q865</f>
        <v/>
      </c>
      <c r="S872" s="7">
        <f>'1 prepared data'!R865</f>
        <v/>
      </c>
      <c r="T872" s="7">
        <f>'1 prepared data'!S865</f>
        <v/>
      </c>
      <c r="U872" s="7">
        <f>'1 prepared data'!T865</f>
        <v/>
      </c>
      <c r="V872" s="8">
        <f>$AC$12+D872*$AC$13+E872*$AC$14+F872*$AC$15+G872*$AC$16+H872*$AC$17+I872*$AC$18+J872*$AC$19+K872*$AC$20+L872*$AC$21+M872*$AC$22+N872*$AC$23+O872*$AC$24+P872*$AC$25+Q872*$AC$26+R872*$AC$27+S872*$AC$28+T872*$AC$29+U872*$AC$30</f>
        <v/>
      </c>
      <c r="W872" s="8">
        <f>1/(1+EXP(-V872))</f>
        <v/>
      </c>
      <c r="X872" s="9">
        <f>-IF(C872=1,LN(W872),LN(1-W872))</f>
        <v/>
      </c>
      <c r="Y872" s="10">
        <f>IF(W872&gt;$AC$34,1,0)</f>
        <v/>
      </c>
      <c r="Z872">
        <f>IF(Y872=C872,1,0)</f>
        <v/>
      </c>
    </row>
    <row r="873">
      <c r="A873">
        <f>'1 prepared data'!A866</f>
        <v/>
      </c>
      <c r="B873" s="5">
        <f>'1 prepared data'!U866</f>
        <v/>
      </c>
      <c r="C873">
        <f>'1 prepared data'!B866</f>
        <v/>
      </c>
      <c r="D873" s="7">
        <f>'1 prepared data'!C866</f>
        <v/>
      </c>
      <c r="E873" s="7">
        <f>'1 prepared data'!D866</f>
        <v/>
      </c>
      <c r="F873" s="7">
        <f>'1 prepared data'!E866</f>
        <v/>
      </c>
      <c r="G873" s="7">
        <f>'1 prepared data'!F866</f>
        <v/>
      </c>
      <c r="H873" s="7">
        <f>'1 prepared data'!G866</f>
        <v/>
      </c>
      <c r="I873" s="7">
        <f>'1 prepared data'!H866</f>
        <v/>
      </c>
      <c r="J873" s="7">
        <f>'1 prepared data'!I866</f>
        <v/>
      </c>
      <c r="K873" s="7">
        <f>'1 prepared data'!J866</f>
        <v/>
      </c>
      <c r="L873" s="7">
        <f>'1 prepared data'!K866</f>
        <v/>
      </c>
      <c r="M873" s="7">
        <f>'1 prepared data'!L866</f>
        <v/>
      </c>
      <c r="N873" s="7">
        <f>'1 prepared data'!M866</f>
        <v/>
      </c>
      <c r="O873" s="7">
        <f>'1 prepared data'!N866</f>
        <v/>
      </c>
      <c r="P873" s="7">
        <f>'1 prepared data'!O866</f>
        <v/>
      </c>
      <c r="Q873" s="7">
        <f>'1 prepared data'!P866</f>
        <v/>
      </c>
      <c r="R873" s="7">
        <f>'1 prepared data'!Q866</f>
        <v/>
      </c>
      <c r="S873" s="7">
        <f>'1 prepared data'!R866</f>
        <v/>
      </c>
      <c r="T873" s="7">
        <f>'1 prepared data'!S866</f>
        <v/>
      </c>
      <c r="U873" s="7">
        <f>'1 prepared data'!T866</f>
        <v/>
      </c>
      <c r="V873" s="8">
        <f>$AC$12+D873*$AC$13+E873*$AC$14+F873*$AC$15+G873*$AC$16+H873*$AC$17+I873*$AC$18+J873*$AC$19+K873*$AC$20+L873*$AC$21+M873*$AC$22+N873*$AC$23+O873*$AC$24+P873*$AC$25+Q873*$AC$26+R873*$AC$27+S873*$AC$28+T873*$AC$29+U873*$AC$30</f>
        <v/>
      </c>
      <c r="W873" s="8">
        <f>1/(1+EXP(-V873))</f>
        <v/>
      </c>
      <c r="X873" s="9">
        <f>-IF(C873=1,LN(W873),LN(1-W873))</f>
        <v/>
      </c>
      <c r="Y873" s="10">
        <f>IF(W873&gt;$AC$34,1,0)</f>
        <v/>
      </c>
      <c r="Z873">
        <f>IF(Y873=C873,1,0)</f>
        <v/>
      </c>
    </row>
    <row r="874">
      <c r="A874">
        <f>'1 prepared data'!A867</f>
        <v/>
      </c>
      <c r="B874" s="5">
        <f>'1 prepared data'!U867</f>
        <v/>
      </c>
      <c r="C874">
        <f>'1 prepared data'!B867</f>
        <v/>
      </c>
      <c r="D874" s="7">
        <f>'1 prepared data'!C867</f>
        <v/>
      </c>
      <c r="E874" s="7">
        <f>'1 prepared data'!D867</f>
        <v/>
      </c>
      <c r="F874" s="7">
        <f>'1 prepared data'!E867</f>
        <v/>
      </c>
      <c r="G874" s="7">
        <f>'1 prepared data'!F867</f>
        <v/>
      </c>
      <c r="H874" s="7">
        <f>'1 prepared data'!G867</f>
        <v/>
      </c>
      <c r="I874" s="7">
        <f>'1 prepared data'!H867</f>
        <v/>
      </c>
      <c r="J874" s="7">
        <f>'1 prepared data'!I867</f>
        <v/>
      </c>
      <c r="K874" s="7">
        <f>'1 prepared data'!J867</f>
        <v/>
      </c>
      <c r="L874" s="7">
        <f>'1 prepared data'!K867</f>
        <v/>
      </c>
      <c r="M874" s="7">
        <f>'1 prepared data'!L867</f>
        <v/>
      </c>
      <c r="N874" s="7">
        <f>'1 prepared data'!M867</f>
        <v/>
      </c>
      <c r="O874" s="7">
        <f>'1 prepared data'!N867</f>
        <v/>
      </c>
      <c r="P874" s="7">
        <f>'1 prepared data'!O867</f>
        <v/>
      </c>
      <c r="Q874" s="7">
        <f>'1 prepared data'!P867</f>
        <v/>
      </c>
      <c r="R874" s="7">
        <f>'1 prepared data'!Q867</f>
        <v/>
      </c>
      <c r="S874" s="7">
        <f>'1 prepared data'!R867</f>
        <v/>
      </c>
      <c r="T874" s="7">
        <f>'1 prepared data'!S867</f>
        <v/>
      </c>
      <c r="U874" s="7">
        <f>'1 prepared data'!T867</f>
        <v/>
      </c>
      <c r="V874" s="8">
        <f>$AC$12+D874*$AC$13+E874*$AC$14+F874*$AC$15+G874*$AC$16+H874*$AC$17+I874*$AC$18+J874*$AC$19+K874*$AC$20+L874*$AC$21+M874*$AC$22+N874*$AC$23+O874*$AC$24+P874*$AC$25+Q874*$AC$26+R874*$AC$27+S874*$AC$28+T874*$AC$29+U874*$AC$30</f>
        <v/>
      </c>
      <c r="W874" s="8">
        <f>1/(1+EXP(-V874))</f>
        <v/>
      </c>
      <c r="X874" s="9">
        <f>-IF(C874=1,LN(W874),LN(1-W874))</f>
        <v/>
      </c>
      <c r="Y874" s="10">
        <f>IF(W874&gt;$AC$34,1,0)</f>
        <v/>
      </c>
      <c r="Z874">
        <f>IF(Y874=C874,1,0)</f>
        <v/>
      </c>
    </row>
    <row r="875">
      <c r="A875">
        <f>'1 prepared data'!A868</f>
        <v/>
      </c>
      <c r="B875" s="5">
        <f>'1 prepared data'!U868</f>
        <v/>
      </c>
      <c r="C875">
        <f>'1 prepared data'!B868</f>
        <v/>
      </c>
      <c r="D875" s="7">
        <f>'1 prepared data'!C868</f>
        <v/>
      </c>
      <c r="E875" s="7">
        <f>'1 prepared data'!D868</f>
        <v/>
      </c>
      <c r="F875" s="7">
        <f>'1 prepared data'!E868</f>
        <v/>
      </c>
      <c r="G875" s="7">
        <f>'1 prepared data'!F868</f>
        <v/>
      </c>
      <c r="H875" s="7">
        <f>'1 prepared data'!G868</f>
        <v/>
      </c>
      <c r="I875" s="7">
        <f>'1 prepared data'!H868</f>
        <v/>
      </c>
      <c r="J875" s="7">
        <f>'1 prepared data'!I868</f>
        <v/>
      </c>
      <c r="K875" s="7">
        <f>'1 prepared data'!J868</f>
        <v/>
      </c>
      <c r="L875" s="7">
        <f>'1 prepared data'!K868</f>
        <v/>
      </c>
      <c r="M875" s="7">
        <f>'1 prepared data'!L868</f>
        <v/>
      </c>
      <c r="N875" s="7">
        <f>'1 prepared data'!M868</f>
        <v/>
      </c>
      <c r="O875" s="7">
        <f>'1 prepared data'!N868</f>
        <v/>
      </c>
      <c r="P875" s="7">
        <f>'1 prepared data'!O868</f>
        <v/>
      </c>
      <c r="Q875" s="7">
        <f>'1 prepared data'!P868</f>
        <v/>
      </c>
      <c r="R875" s="7">
        <f>'1 prepared data'!Q868</f>
        <v/>
      </c>
      <c r="S875" s="7">
        <f>'1 prepared data'!R868</f>
        <v/>
      </c>
      <c r="T875" s="7">
        <f>'1 prepared data'!S868</f>
        <v/>
      </c>
      <c r="U875" s="7">
        <f>'1 prepared data'!T868</f>
        <v/>
      </c>
      <c r="V875" s="8">
        <f>$AC$12+D875*$AC$13+E875*$AC$14+F875*$AC$15+G875*$AC$16+H875*$AC$17+I875*$AC$18+J875*$AC$19+K875*$AC$20+L875*$AC$21+M875*$AC$22+N875*$AC$23+O875*$AC$24+P875*$AC$25+Q875*$AC$26+R875*$AC$27+S875*$AC$28+T875*$AC$29+U875*$AC$30</f>
        <v/>
      </c>
      <c r="W875" s="8">
        <f>1/(1+EXP(-V875))</f>
        <v/>
      </c>
      <c r="X875" s="9">
        <f>-IF(C875=1,LN(W875),LN(1-W875))</f>
        <v/>
      </c>
      <c r="Y875" s="10">
        <f>IF(W875&gt;$AC$34,1,0)</f>
        <v/>
      </c>
      <c r="Z875">
        <f>IF(Y875=C875,1,0)</f>
        <v/>
      </c>
    </row>
    <row r="876">
      <c r="A876">
        <f>'1 prepared data'!A869</f>
        <v/>
      </c>
      <c r="B876" s="5">
        <f>'1 prepared data'!U869</f>
        <v/>
      </c>
      <c r="C876">
        <f>'1 prepared data'!B869</f>
        <v/>
      </c>
      <c r="D876" s="7">
        <f>'1 prepared data'!C869</f>
        <v/>
      </c>
      <c r="E876" s="7">
        <f>'1 prepared data'!D869</f>
        <v/>
      </c>
      <c r="F876" s="7">
        <f>'1 prepared data'!E869</f>
        <v/>
      </c>
      <c r="G876" s="7">
        <f>'1 prepared data'!F869</f>
        <v/>
      </c>
      <c r="H876" s="7">
        <f>'1 prepared data'!G869</f>
        <v/>
      </c>
      <c r="I876" s="7">
        <f>'1 prepared data'!H869</f>
        <v/>
      </c>
      <c r="J876" s="7">
        <f>'1 prepared data'!I869</f>
        <v/>
      </c>
      <c r="K876" s="7">
        <f>'1 prepared data'!J869</f>
        <v/>
      </c>
      <c r="L876" s="7">
        <f>'1 prepared data'!K869</f>
        <v/>
      </c>
      <c r="M876" s="7">
        <f>'1 prepared data'!L869</f>
        <v/>
      </c>
      <c r="N876" s="7">
        <f>'1 prepared data'!M869</f>
        <v/>
      </c>
      <c r="O876" s="7">
        <f>'1 prepared data'!N869</f>
        <v/>
      </c>
      <c r="P876" s="7">
        <f>'1 prepared data'!O869</f>
        <v/>
      </c>
      <c r="Q876" s="7">
        <f>'1 prepared data'!P869</f>
        <v/>
      </c>
      <c r="R876" s="7">
        <f>'1 prepared data'!Q869</f>
        <v/>
      </c>
      <c r="S876" s="7">
        <f>'1 prepared data'!R869</f>
        <v/>
      </c>
      <c r="T876" s="7">
        <f>'1 prepared data'!S869</f>
        <v/>
      </c>
      <c r="U876" s="7">
        <f>'1 prepared data'!T869</f>
        <v/>
      </c>
      <c r="V876" s="8">
        <f>$AC$12+D876*$AC$13+E876*$AC$14+F876*$AC$15+G876*$AC$16+H876*$AC$17+I876*$AC$18+J876*$AC$19+K876*$AC$20+L876*$AC$21+M876*$AC$22+N876*$AC$23+O876*$AC$24+P876*$AC$25+Q876*$AC$26+R876*$AC$27+S876*$AC$28+T876*$AC$29+U876*$AC$30</f>
        <v/>
      </c>
      <c r="W876" s="8">
        <f>1/(1+EXP(-V876))</f>
        <v/>
      </c>
      <c r="X876" s="9">
        <f>-IF(C876=1,LN(W876),LN(1-W876))</f>
        <v/>
      </c>
      <c r="Y876" s="10">
        <f>IF(W876&gt;$AC$34,1,0)</f>
        <v/>
      </c>
      <c r="Z876">
        <f>IF(Y876=C876,1,0)</f>
        <v/>
      </c>
    </row>
    <row r="877">
      <c r="A877">
        <f>'1 prepared data'!A870</f>
        <v/>
      </c>
      <c r="B877" s="5">
        <f>'1 prepared data'!U870</f>
        <v/>
      </c>
      <c r="C877">
        <f>'1 prepared data'!B870</f>
        <v/>
      </c>
      <c r="D877" s="7">
        <f>'1 prepared data'!C870</f>
        <v/>
      </c>
      <c r="E877" s="7">
        <f>'1 prepared data'!D870</f>
        <v/>
      </c>
      <c r="F877" s="7">
        <f>'1 prepared data'!E870</f>
        <v/>
      </c>
      <c r="G877" s="7">
        <f>'1 prepared data'!F870</f>
        <v/>
      </c>
      <c r="H877" s="7">
        <f>'1 prepared data'!G870</f>
        <v/>
      </c>
      <c r="I877" s="7">
        <f>'1 prepared data'!H870</f>
        <v/>
      </c>
      <c r="J877" s="7">
        <f>'1 prepared data'!I870</f>
        <v/>
      </c>
      <c r="K877" s="7">
        <f>'1 prepared data'!J870</f>
        <v/>
      </c>
      <c r="L877" s="7">
        <f>'1 prepared data'!K870</f>
        <v/>
      </c>
      <c r="M877" s="7">
        <f>'1 prepared data'!L870</f>
        <v/>
      </c>
      <c r="N877" s="7">
        <f>'1 prepared data'!M870</f>
        <v/>
      </c>
      <c r="O877" s="7">
        <f>'1 prepared data'!N870</f>
        <v/>
      </c>
      <c r="P877" s="7">
        <f>'1 prepared data'!O870</f>
        <v/>
      </c>
      <c r="Q877" s="7">
        <f>'1 prepared data'!P870</f>
        <v/>
      </c>
      <c r="R877" s="7">
        <f>'1 prepared data'!Q870</f>
        <v/>
      </c>
      <c r="S877" s="7">
        <f>'1 prepared data'!R870</f>
        <v/>
      </c>
      <c r="T877" s="7">
        <f>'1 prepared data'!S870</f>
        <v/>
      </c>
      <c r="U877" s="7">
        <f>'1 prepared data'!T870</f>
        <v/>
      </c>
      <c r="V877" s="8">
        <f>$AC$12+D877*$AC$13+E877*$AC$14+F877*$AC$15+G877*$AC$16+H877*$AC$17+I877*$AC$18+J877*$AC$19+K877*$AC$20+L877*$AC$21+M877*$AC$22+N877*$AC$23+O877*$AC$24+P877*$AC$25+Q877*$AC$26+R877*$AC$27+S877*$AC$28+T877*$AC$29+U877*$AC$30</f>
        <v/>
      </c>
      <c r="W877" s="8">
        <f>1/(1+EXP(-V877))</f>
        <v/>
      </c>
      <c r="X877" s="9">
        <f>-IF(C877=1,LN(W877),LN(1-W877))</f>
        <v/>
      </c>
      <c r="Y877" s="10">
        <f>IF(W877&gt;$AC$34,1,0)</f>
        <v/>
      </c>
      <c r="Z877">
        <f>IF(Y877=C877,1,0)</f>
        <v/>
      </c>
    </row>
    <row r="878">
      <c r="A878">
        <f>'1 prepared data'!A871</f>
        <v/>
      </c>
      <c r="B878" s="5">
        <f>'1 prepared data'!U871</f>
        <v/>
      </c>
      <c r="C878">
        <f>'1 prepared data'!B871</f>
        <v/>
      </c>
      <c r="D878" s="7">
        <f>'1 prepared data'!C871</f>
        <v/>
      </c>
      <c r="E878" s="7">
        <f>'1 prepared data'!D871</f>
        <v/>
      </c>
      <c r="F878" s="7">
        <f>'1 prepared data'!E871</f>
        <v/>
      </c>
      <c r="G878" s="7">
        <f>'1 prepared data'!F871</f>
        <v/>
      </c>
      <c r="H878" s="7">
        <f>'1 prepared data'!G871</f>
        <v/>
      </c>
      <c r="I878" s="7">
        <f>'1 prepared data'!H871</f>
        <v/>
      </c>
      <c r="J878" s="7">
        <f>'1 prepared data'!I871</f>
        <v/>
      </c>
      <c r="K878" s="7">
        <f>'1 prepared data'!J871</f>
        <v/>
      </c>
      <c r="L878" s="7">
        <f>'1 prepared data'!K871</f>
        <v/>
      </c>
      <c r="M878" s="7">
        <f>'1 prepared data'!L871</f>
        <v/>
      </c>
      <c r="N878" s="7">
        <f>'1 prepared data'!M871</f>
        <v/>
      </c>
      <c r="O878" s="7">
        <f>'1 prepared data'!N871</f>
        <v/>
      </c>
      <c r="P878" s="7">
        <f>'1 prepared data'!O871</f>
        <v/>
      </c>
      <c r="Q878" s="7">
        <f>'1 prepared data'!P871</f>
        <v/>
      </c>
      <c r="R878" s="7">
        <f>'1 prepared data'!Q871</f>
        <v/>
      </c>
      <c r="S878" s="7">
        <f>'1 prepared data'!R871</f>
        <v/>
      </c>
      <c r="T878" s="7">
        <f>'1 prepared data'!S871</f>
        <v/>
      </c>
      <c r="U878" s="7">
        <f>'1 prepared data'!T871</f>
        <v/>
      </c>
      <c r="V878" s="8">
        <f>$AC$12+D878*$AC$13+E878*$AC$14+F878*$AC$15+G878*$AC$16+H878*$AC$17+I878*$AC$18+J878*$AC$19+K878*$AC$20+L878*$AC$21+M878*$AC$22+N878*$AC$23+O878*$AC$24+P878*$AC$25+Q878*$AC$26+R878*$AC$27+S878*$AC$28+T878*$AC$29+U878*$AC$30</f>
        <v/>
      </c>
      <c r="W878" s="8">
        <f>1/(1+EXP(-V878))</f>
        <v/>
      </c>
      <c r="X878" s="9">
        <f>-IF(C878=1,LN(W878),LN(1-W878))</f>
        <v/>
      </c>
      <c r="Y878" s="10">
        <f>IF(W878&gt;$AC$34,1,0)</f>
        <v/>
      </c>
      <c r="Z878">
        <f>IF(Y878=C878,1,0)</f>
        <v/>
      </c>
    </row>
    <row r="879">
      <c r="A879">
        <f>'1 prepared data'!A872</f>
        <v/>
      </c>
      <c r="B879" s="5">
        <f>'1 prepared data'!U872</f>
        <v/>
      </c>
      <c r="C879">
        <f>'1 prepared data'!B872</f>
        <v/>
      </c>
      <c r="D879" s="7">
        <f>'1 prepared data'!C872</f>
        <v/>
      </c>
      <c r="E879" s="7">
        <f>'1 prepared data'!D872</f>
        <v/>
      </c>
      <c r="F879" s="7">
        <f>'1 prepared data'!E872</f>
        <v/>
      </c>
      <c r="G879" s="7">
        <f>'1 prepared data'!F872</f>
        <v/>
      </c>
      <c r="H879" s="7">
        <f>'1 prepared data'!G872</f>
        <v/>
      </c>
      <c r="I879" s="7">
        <f>'1 prepared data'!H872</f>
        <v/>
      </c>
      <c r="J879" s="7">
        <f>'1 prepared data'!I872</f>
        <v/>
      </c>
      <c r="K879" s="7">
        <f>'1 prepared data'!J872</f>
        <v/>
      </c>
      <c r="L879" s="7">
        <f>'1 prepared data'!K872</f>
        <v/>
      </c>
      <c r="M879" s="7">
        <f>'1 prepared data'!L872</f>
        <v/>
      </c>
      <c r="N879" s="7">
        <f>'1 prepared data'!M872</f>
        <v/>
      </c>
      <c r="O879" s="7">
        <f>'1 prepared data'!N872</f>
        <v/>
      </c>
      <c r="P879" s="7">
        <f>'1 prepared data'!O872</f>
        <v/>
      </c>
      <c r="Q879" s="7">
        <f>'1 prepared data'!P872</f>
        <v/>
      </c>
      <c r="R879" s="7">
        <f>'1 prepared data'!Q872</f>
        <v/>
      </c>
      <c r="S879" s="7">
        <f>'1 prepared data'!R872</f>
        <v/>
      </c>
      <c r="T879" s="7">
        <f>'1 prepared data'!S872</f>
        <v/>
      </c>
      <c r="U879" s="7">
        <f>'1 prepared data'!T872</f>
        <v/>
      </c>
      <c r="V879" s="8">
        <f>$AC$12+D879*$AC$13+E879*$AC$14+F879*$AC$15+G879*$AC$16+H879*$AC$17+I879*$AC$18+J879*$AC$19+K879*$AC$20+L879*$AC$21+M879*$AC$22+N879*$AC$23+O879*$AC$24+P879*$AC$25+Q879*$AC$26+R879*$AC$27+S879*$AC$28+T879*$AC$29+U879*$AC$30</f>
        <v/>
      </c>
      <c r="W879" s="8">
        <f>1/(1+EXP(-V879))</f>
        <v/>
      </c>
      <c r="X879" s="9">
        <f>-IF(C879=1,LN(W879),LN(1-W879))</f>
        <v/>
      </c>
      <c r="Y879" s="10">
        <f>IF(W879&gt;$AC$34,1,0)</f>
        <v/>
      </c>
      <c r="Z879">
        <f>IF(Y879=C879,1,0)</f>
        <v/>
      </c>
    </row>
    <row r="880">
      <c r="A880">
        <f>'1 prepared data'!A873</f>
        <v/>
      </c>
      <c r="B880" s="5">
        <f>'1 prepared data'!U873</f>
        <v/>
      </c>
      <c r="C880">
        <f>'1 prepared data'!B873</f>
        <v/>
      </c>
      <c r="D880" s="7">
        <f>'1 prepared data'!C873</f>
        <v/>
      </c>
      <c r="E880" s="7">
        <f>'1 prepared data'!D873</f>
        <v/>
      </c>
      <c r="F880" s="7">
        <f>'1 prepared data'!E873</f>
        <v/>
      </c>
      <c r="G880" s="7">
        <f>'1 prepared data'!F873</f>
        <v/>
      </c>
      <c r="H880" s="7">
        <f>'1 prepared data'!G873</f>
        <v/>
      </c>
      <c r="I880" s="7">
        <f>'1 prepared data'!H873</f>
        <v/>
      </c>
      <c r="J880" s="7">
        <f>'1 prepared data'!I873</f>
        <v/>
      </c>
      <c r="K880" s="7">
        <f>'1 prepared data'!J873</f>
        <v/>
      </c>
      <c r="L880" s="7">
        <f>'1 prepared data'!K873</f>
        <v/>
      </c>
      <c r="M880" s="7">
        <f>'1 prepared data'!L873</f>
        <v/>
      </c>
      <c r="N880" s="7">
        <f>'1 prepared data'!M873</f>
        <v/>
      </c>
      <c r="O880" s="7">
        <f>'1 prepared data'!N873</f>
        <v/>
      </c>
      <c r="P880" s="7">
        <f>'1 prepared data'!O873</f>
        <v/>
      </c>
      <c r="Q880" s="7">
        <f>'1 prepared data'!P873</f>
        <v/>
      </c>
      <c r="R880" s="7">
        <f>'1 prepared data'!Q873</f>
        <v/>
      </c>
      <c r="S880" s="7">
        <f>'1 prepared data'!R873</f>
        <v/>
      </c>
      <c r="T880" s="7">
        <f>'1 prepared data'!S873</f>
        <v/>
      </c>
      <c r="U880" s="7">
        <f>'1 prepared data'!T873</f>
        <v/>
      </c>
      <c r="V880" s="8">
        <f>$AC$12+D880*$AC$13+E880*$AC$14+F880*$AC$15+G880*$AC$16+H880*$AC$17+I880*$AC$18+J880*$AC$19+K880*$AC$20+L880*$AC$21+M880*$AC$22+N880*$AC$23+O880*$AC$24+P880*$AC$25+Q880*$AC$26+R880*$AC$27+S880*$AC$28+T880*$AC$29+U880*$AC$30</f>
        <v/>
      </c>
      <c r="W880" s="8">
        <f>1/(1+EXP(-V880))</f>
        <v/>
      </c>
      <c r="X880" s="9">
        <f>-IF(C880=1,LN(W880),LN(1-W880))</f>
        <v/>
      </c>
      <c r="Y880" s="10">
        <f>IF(W880&gt;$AC$34,1,0)</f>
        <v/>
      </c>
      <c r="Z880">
        <f>IF(Y880=C880,1,0)</f>
        <v/>
      </c>
    </row>
    <row r="881">
      <c r="A881">
        <f>'1 prepared data'!A874</f>
        <v/>
      </c>
      <c r="B881" s="5">
        <f>'1 prepared data'!U874</f>
        <v/>
      </c>
      <c r="C881">
        <f>'1 prepared data'!B874</f>
        <v/>
      </c>
      <c r="D881" s="7">
        <f>'1 prepared data'!C874</f>
        <v/>
      </c>
      <c r="E881" s="7">
        <f>'1 prepared data'!D874</f>
        <v/>
      </c>
      <c r="F881" s="7">
        <f>'1 prepared data'!E874</f>
        <v/>
      </c>
      <c r="G881" s="7">
        <f>'1 prepared data'!F874</f>
        <v/>
      </c>
      <c r="H881" s="7">
        <f>'1 prepared data'!G874</f>
        <v/>
      </c>
      <c r="I881" s="7">
        <f>'1 prepared data'!H874</f>
        <v/>
      </c>
      <c r="J881" s="7">
        <f>'1 prepared data'!I874</f>
        <v/>
      </c>
      <c r="K881" s="7">
        <f>'1 prepared data'!J874</f>
        <v/>
      </c>
      <c r="L881" s="7">
        <f>'1 prepared data'!K874</f>
        <v/>
      </c>
      <c r="M881" s="7">
        <f>'1 prepared data'!L874</f>
        <v/>
      </c>
      <c r="N881" s="7">
        <f>'1 prepared data'!M874</f>
        <v/>
      </c>
      <c r="O881" s="7">
        <f>'1 prepared data'!N874</f>
        <v/>
      </c>
      <c r="P881" s="7">
        <f>'1 prepared data'!O874</f>
        <v/>
      </c>
      <c r="Q881" s="7">
        <f>'1 prepared data'!P874</f>
        <v/>
      </c>
      <c r="R881" s="7">
        <f>'1 prepared data'!Q874</f>
        <v/>
      </c>
      <c r="S881" s="7">
        <f>'1 prepared data'!R874</f>
        <v/>
      </c>
      <c r="T881" s="7">
        <f>'1 prepared data'!S874</f>
        <v/>
      </c>
      <c r="U881" s="7">
        <f>'1 prepared data'!T874</f>
        <v/>
      </c>
      <c r="V881" s="8">
        <f>$AC$12+D881*$AC$13+E881*$AC$14+F881*$AC$15+G881*$AC$16+H881*$AC$17+I881*$AC$18+J881*$AC$19+K881*$AC$20+L881*$AC$21+M881*$AC$22+N881*$AC$23+O881*$AC$24+P881*$AC$25+Q881*$AC$26+R881*$AC$27+S881*$AC$28+T881*$AC$29+U881*$AC$30</f>
        <v/>
      </c>
      <c r="W881" s="8">
        <f>1/(1+EXP(-V881))</f>
        <v/>
      </c>
      <c r="X881" s="9">
        <f>-IF(C881=1,LN(W881),LN(1-W881))</f>
        <v/>
      </c>
      <c r="Y881" s="10">
        <f>IF(W881&gt;$AC$34,1,0)</f>
        <v/>
      </c>
      <c r="Z881">
        <f>IF(Y881=C881,1,0)</f>
        <v/>
      </c>
    </row>
    <row r="882">
      <c r="A882">
        <f>'1 prepared data'!A875</f>
        <v/>
      </c>
      <c r="B882" s="5">
        <f>'1 prepared data'!U875</f>
        <v/>
      </c>
      <c r="C882">
        <f>'1 prepared data'!B875</f>
        <v/>
      </c>
      <c r="D882" s="7">
        <f>'1 prepared data'!C875</f>
        <v/>
      </c>
      <c r="E882" s="7">
        <f>'1 prepared data'!D875</f>
        <v/>
      </c>
      <c r="F882" s="7">
        <f>'1 prepared data'!E875</f>
        <v/>
      </c>
      <c r="G882" s="7">
        <f>'1 prepared data'!F875</f>
        <v/>
      </c>
      <c r="H882" s="7">
        <f>'1 prepared data'!G875</f>
        <v/>
      </c>
      <c r="I882" s="7">
        <f>'1 prepared data'!H875</f>
        <v/>
      </c>
      <c r="J882" s="7">
        <f>'1 prepared data'!I875</f>
        <v/>
      </c>
      <c r="K882" s="7">
        <f>'1 prepared data'!J875</f>
        <v/>
      </c>
      <c r="L882" s="7">
        <f>'1 prepared data'!K875</f>
        <v/>
      </c>
      <c r="M882" s="7">
        <f>'1 prepared data'!L875</f>
        <v/>
      </c>
      <c r="N882" s="7">
        <f>'1 prepared data'!M875</f>
        <v/>
      </c>
      <c r="O882" s="7">
        <f>'1 prepared data'!N875</f>
        <v/>
      </c>
      <c r="P882" s="7">
        <f>'1 prepared data'!O875</f>
        <v/>
      </c>
      <c r="Q882" s="7">
        <f>'1 prepared data'!P875</f>
        <v/>
      </c>
      <c r="R882" s="7">
        <f>'1 prepared data'!Q875</f>
        <v/>
      </c>
      <c r="S882" s="7">
        <f>'1 prepared data'!R875</f>
        <v/>
      </c>
      <c r="T882" s="7">
        <f>'1 prepared data'!S875</f>
        <v/>
      </c>
      <c r="U882" s="7">
        <f>'1 prepared data'!T875</f>
        <v/>
      </c>
      <c r="V882" s="8">
        <f>$AC$12+D882*$AC$13+E882*$AC$14+F882*$AC$15+G882*$AC$16+H882*$AC$17+I882*$AC$18+J882*$AC$19+K882*$AC$20+L882*$AC$21+M882*$AC$22+N882*$AC$23+O882*$AC$24+P882*$AC$25+Q882*$AC$26+R882*$AC$27+S882*$AC$28+T882*$AC$29+U882*$AC$30</f>
        <v/>
      </c>
      <c r="W882" s="8">
        <f>1/(1+EXP(-V882))</f>
        <v/>
      </c>
      <c r="X882" s="9">
        <f>-IF(C882=1,LN(W882),LN(1-W882))</f>
        <v/>
      </c>
      <c r="Y882" s="10">
        <f>IF(W882&gt;$AC$34,1,0)</f>
        <v/>
      </c>
      <c r="Z882">
        <f>IF(Y882=C882,1,0)</f>
        <v/>
      </c>
    </row>
    <row r="883">
      <c r="A883">
        <f>'1 prepared data'!A876</f>
        <v/>
      </c>
      <c r="B883" s="5">
        <f>'1 prepared data'!U876</f>
        <v/>
      </c>
      <c r="C883">
        <f>'1 prepared data'!B876</f>
        <v/>
      </c>
      <c r="D883" s="7">
        <f>'1 prepared data'!C876</f>
        <v/>
      </c>
      <c r="E883" s="7">
        <f>'1 prepared data'!D876</f>
        <v/>
      </c>
      <c r="F883" s="7">
        <f>'1 prepared data'!E876</f>
        <v/>
      </c>
      <c r="G883" s="7">
        <f>'1 prepared data'!F876</f>
        <v/>
      </c>
      <c r="H883" s="7">
        <f>'1 prepared data'!G876</f>
        <v/>
      </c>
      <c r="I883" s="7">
        <f>'1 prepared data'!H876</f>
        <v/>
      </c>
      <c r="J883" s="7">
        <f>'1 prepared data'!I876</f>
        <v/>
      </c>
      <c r="K883" s="7">
        <f>'1 prepared data'!J876</f>
        <v/>
      </c>
      <c r="L883" s="7">
        <f>'1 prepared data'!K876</f>
        <v/>
      </c>
      <c r="M883" s="7">
        <f>'1 prepared data'!L876</f>
        <v/>
      </c>
      <c r="N883" s="7">
        <f>'1 prepared data'!M876</f>
        <v/>
      </c>
      <c r="O883" s="7">
        <f>'1 prepared data'!N876</f>
        <v/>
      </c>
      <c r="P883" s="7">
        <f>'1 prepared data'!O876</f>
        <v/>
      </c>
      <c r="Q883" s="7">
        <f>'1 prepared data'!P876</f>
        <v/>
      </c>
      <c r="R883" s="7">
        <f>'1 prepared data'!Q876</f>
        <v/>
      </c>
      <c r="S883" s="7">
        <f>'1 prepared data'!R876</f>
        <v/>
      </c>
      <c r="T883" s="7">
        <f>'1 prepared data'!S876</f>
        <v/>
      </c>
      <c r="U883" s="7">
        <f>'1 prepared data'!T876</f>
        <v/>
      </c>
      <c r="V883" s="8">
        <f>$AC$12+D883*$AC$13+E883*$AC$14+F883*$AC$15+G883*$AC$16+H883*$AC$17+I883*$AC$18+J883*$AC$19+K883*$AC$20+L883*$AC$21+M883*$AC$22+N883*$AC$23+O883*$AC$24+P883*$AC$25+Q883*$AC$26+R883*$AC$27+S883*$AC$28+T883*$AC$29+U883*$AC$30</f>
        <v/>
      </c>
      <c r="W883" s="8">
        <f>1/(1+EXP(-V883))</f>
        <v/>
      </c>
      <c r="X883" s="9">
        <f>-IF(C883=1,LN(W883),LN(1-W883))</f>
        <v/>
      </c>
      <c r="Y883" s="10">
        <f>IF(W883&gt;$AC$34,1,0)</f>
        <v/>
      </c>
      <c r="Z883">
        <f>IF(Y883=C883,1,0)</f>
        <v/>
      </c>
    </row>
    <row r="884">
      <c r="A884">
        <f>'1 prepared data'!A877</f>
        <v/>
      </c>
      <c r="B884" s="5">
        <f>'1 prepared data'!U877</f>
        <v/>
      </c>
      <c r="C884">
        <f>'1 prepared data'!B877</f>
        <v/>
      </c>
      <c r="D884" s="7">
        <f>'1 prepared data'!C877</f>
        <v/>
      </c>
      <c r="E884" s="7">
        <f>'1 prepared data'!D877</f>
        <v/>
      </c>
      <c r="F884" s="7">
        <f>'1 prepared data'!E877</f>
        <v/>
      </c>
      <c r="G884" s="7">
        <f>'1 prepared data'!F877</f>
        <v/>
      </c>
      <c r="H884" s="7">
        <f>'1 prepared data'!G877</f>
        <v/>
      </c>
      <c r="I884" s="7">
        <f>'1 prepared data'!H877</f>
        <v/>
      </c>
      <c r="J884" s="7">
        <f>'1 prepared data'!I877</f>
        <v/>
      </c>
      <c r="K884" s="7">
        <f>'1 prepared data'!J877</f>
        <v/>
      </c>
      <c r="L884" s="7">
        <f>'1 prepared data'!K877</f>
        <v/>
      </c>
      <c r="M884" s="7">
        <f>'1 prepared data'!L877</f>
        <v/>
      </c>
      <c r="N884" s="7">
        <f>'1 prepared data'!M877</f>
        <v/>
      </c>
      <c r="O884" s="7">
        <f>'1 prepared data'!N877</f>
        <v/>
      </c>
      <c r="P884" s="7">
        <f>'1 prepared data'!O877</f>
        <v/>
      </c>
      <c r="Q884" s="7">
        <f>'1 prepared data'!P877</f>
        <v/>
      </c>
      <c r="R884" s="7">
        <f>'1 prepared data'!Q877</f>
        <v/>
      </c>
      <c r="S884" s="7">
        <f>'1 prepared data'!R877</f>
        <v/>
      </c>
      <c r="T884" s="7">
        <f>'1 prepared data'!S877</f>
        <v/>
      </c>
      <c r="U884" s="7">
        <f>'1 prepared data'!T877</f>
        <v/>
      </c>
      <c r="V884" s="8">
        <f>$AC$12+D884*$AC$13+E884*$AC$14+F884*$AC$15+G884*$AC$16+H884*$AC$17+I884*$AC$18+J884*$AC$19+K884*$AC$20+L884*$AC$21+M884*$AC$22+N884*$AC$23+O884*$AC$24+P884*$AC$25+Q884*$AC$26+R884*$AC$27+S884*$AC$28+T884*$AC$29+U884*$AC$30</f>
        <v/>
      </c>
      <c r="W884" s="8">
        <f>1/(1+EXP(-V884))</f>
        <v/>
      </c>
      <c r="X884" s="9">
        <f>-IF(C884=1,LN(W884),LN(1-W884))</f>
        <v/>
      </c>
      <c r="Y884" s="10">
        <f>IF(W884&gt;$AC$34,1,0)</f>
        <v/>
      </c>
      <c r="Z884">
        <f>IF(Y884=C884,1,0)</f>
        <v/>
      </c>
    </row>
    <row r="885">
      <c r="A885">
        <f>'1 prepared data'!A878</f>
        <v/>
      </c>
      <c r="B885" s="5">
        <f>'1 prepared data'!U878</f>
        <v/>
      </c>
      <c r="C885">
        <f>'1 prepared data'!B878</f>
        <v/>
      </c>
      <c r="D885" s="7">
        <f>'1 prepared data'!C878</f>
        <v/>
      </c>
      <c r="E885" s="7">
        <f>'1 prepared data'!D878</f>
        <v/>
      </c>
      <c r="F885" s="7">
        <f>'1 prepared data'!E878</f>
        <v/>
      </c>
      <c r="G885" s="7">
        <f>'1 prepared data'!F878</f>
        <v/>
      </c>
      <c r="H885" s="7">
        <f>'1 prepared data'!G878</f>
        <v/>
      </c>
      <c r="I885" s="7">
        <f>'1 prepared data'!H878</f>
        <v/>
      </c>
      <c r="J885" s="7">
        <f>'1 prepared data'!I878</f>
        <v/>
      </c>
      <c r="K885" s="7">
        <f>'1 prepared data'!J878</f>
        <v/>
      </c>
      <c r="L885" s="7">
        <f>'1 prepared data'!K878</f>
        <v/>
      </c>
      <c r="M885" s="7">
        <f>'1 prepared data'!L878</f>
        <v/>
      </c>
      <c r="N885" s="7">
        <f>'1 prepared data'!M878</f>
        <v/>
      </c>
      <c r="O885" s="7">
        <f>'1 prepared data'!N878</f>
        <v/>
      </c>
      <c r="P885" s="7">
        <f>'1 prepared data'!O878</f>
        <v/>
      </c>
      <c r="Q885" s="7">
        <f>'1 prepared data'!P878</f>
        <v/>
      </c>
      <c r="R885" s="7">
        <f>'1 prepared data'!Q878</f>
        <v/>
      </c>
      <c r="S885" s="7">
        <f>'1 prepared data'!R878</f>
        <v/>
      </c>
      <c r="T885" s="7">
        <f>'1 prepared data'!S878</f>
        <v/>
      </c>
      <c r="U885" s="7">
        <f>'1 prepared data'!T878</f>
        <v/>
      </c>
      <c r="V885" s="8">
        <f>$AC$12+D885*$AC$13+E885*$AC$14+F885*$AC$15+G885*$AC$16+H885*$AC$17+I885*$AC$18+J885*$AC$19+K885*$AC$20+L885*$AC$21+M885*$AC$22+N885*$AC$23+O885*$AC$24+P885*$AC$25+Q885*$AC$26+R885*$AC$27+S885*$AC$28+T885*$AC$29+U885*$AC$30</f>
        <v/>
      </c>
      <c r="W885" s="8">
        <f>1/(1+EXP(-V885))</f>
        <v/>
      </c>
      <c r="X885" s="9">
        <f>-IF(C885=1,LN(W885),LN(1-W885))</f>
        <v/>
      </c>
      <c r="Y885" s="10">
        <f>IF(W885&gt;$AC$34,1,0)</f>
        <v/>
      </c>
      <c r="Z885">
        <f>IF(Y885=C885,1,0)</f>
        <v/>
      </c>
    </row>
    <row r="886">
      <c r="A886">
        <f>'1 prepared data'!A879</f>
        <v/>
      </c>
      <c r="B886" s="5">
        <f>'1 prepared data'!U879</f>
        <v/>
      </c>
      <c r="C886">
        <f>'1 prepared data'!B879</f>
        <v/>
      </c>
      <c r="D886" s="7">
        <f>'1 prepared data'!C879</f>
        <v/>
      </c>
      <c r="E886" s="7">
        <f>'1 prepared data'!D879</f>
        <v/>
      </c>
      <c r="F886" s="7">
        <f>'1 prepared data'!E879</f>
        <v/>
      </c>
      <c r="G886" s="7">
        <f>'1 prepared data'!F879</f>
        <v/>
      </c>
      <c r="H886" s="7">
        <f>'1 prepared data'!G879</f>
        <v/>
      </c>
      <c r="I886" s="7">
        <f>'1 prepared data'!H879</f>
        <v/>
      </c>
      <c r="J886" s="7">
        <f>'1 prepared data'!I879</f>
        <v/>
      </c>
      <c r="K886" s="7">
        <f>'1 prepared data'!J879</f>
        <v/>
      </c>
      <c r="L886" s="7">
        <f>'1 prepared data'!K879</f>
        <v/>
      </c>
      <c r="M886" s="7">
        <f>'1 prepared data'!L879</f>
        <v/>
      </c>
      <c r="N886" s="7">
        <f>'1 prepared data'!M879</f>
        <v/>
      </c>
      <c r="O886" s="7">
        <f>'1 prepared data'!N879</f>
        <v/>
      </c>
      <c r="P886" s="7">
        <f>'1 prepared data'!O879</f>
        <v/>
      </c>
      <c r="Q886" s="7">
        <f>'1 prepared data'!P879</f>
        <v/>
      </c>
      <c r="R886" s="7">
        <f>'1 prepared data'!Q879</f>
        <v/>
      </c>
      <c r="S886" s="7">
        <f>'1 prepared data'!R879</f>
        <v/>
      </c>
      <c r="T886" s="7">
        <f>'1 prepared data'!S879</f>
        <v/>
      </c>
      <c r="U886" s="7">
        <f>'1 prepared data'!T879</f>
        <v/>
      </c>
      <c r="V886" s="8">
        <f>$AC$12+D886*$AC$13+E886*$AC$14+F886*$AC$15+G886*$AC$16+H886*$AC$17+I886*$AC$18+J886*$AC$19+K886*$AC$20+L886*$AC$21+M886*$AC$22+N886*$AC$23+O886*$AC$24+P886*$AC$25+Q886*$AC$26+R886*$AC$27+S886*$AC$28+T886*$AC$29+U886*$AC$30</f>
        <v/>
      </c>
      <c r="W886" s="8">
        <f>1/(1+EXP(-V886))</f>
        <v/>
      </c>
      <c r="X886" s="9">
        <f>-IF(C886=1,LN(W886),LN(1-W886))</f>
        <v/>
      </c>
      <c r="Y886" s="10">
        <f>IF(W886&gt;$AC$34,1,0)</f>
        <v/>
      </c>
      <c r="Z886">
        <f>IF(Y886=C886,1,0)</f>
        <v/>
      </c>
    </row>
    <row r="887">
      <c r="A887">
        <f>'1 prepared data'!A880</f>
        <v/>
      </c>
      <c r="B887" s="5">
        <f>'1 prepared data'!U880</f>
        <v/>
      </c>
      <c r="C887">
        <f>'1 prepared data'!B880</f>
        <v/>
      </c>
      <c r="D887" s="7">
        <f>'1 prepared data'!C880</f>
        <v/>
      </c>
      <c r="E887" s="7">
        <f>'1 prepared data'!D880</f>
        <v/>
      </c>
      <c r="F887" s="7">
        <f>'1 prepared data'!E880</f>
        <v/>
      </c>
      <c r="G887" s="7">
        <f>'1 prepared data'!F880</f>
        <v/>
      </c>
      <c r="H887" s="7">
        <f>'1 prepared data'!G880</f>
        <v/>
      </c>
      <c r="I887" s="7">
        <f>'1 prepared data'!H880</f>
        <v/>
      </c>
      <c r="J887" s="7">
        <f>'1 prepared data'!I880</f>
        <v/>
      </c>
      <c r="K887" s="7">
        <f>'1 prepared data'!J880</f>
        <v/>
      </c>
      <c r="L887" s="7">
        <f>'1 prepared data'!K880</f>
        <v/>
      </c>
      <c r="M887" s="7">
        <f>'1 prepared data'!L880</f>
        <v/>
      </c>
      <c r="N887" s="7">
        <f>'1 prepared data'!M880</f>
        <v/>
      </c>
      <c r="O887" s="7">
        <f>'1 prepared data'!N880</f>
        <v/>
      </c>
      <c r="P887" s="7">
        <f>'1 prepared data'!O880</f>
        <v/>
      </c>
      <c r="Q887" s="7">
        <f>'1 prepared data'!P880</f>
        <v/>
      </c>
      <c r="R887" s="7">
        <f>'1 prepared data'!Q880</f>
        <v/>
      </c>
      <c r="S887" s="7">
        <f>'1 prepared data'!R880</f>
        <v/>
      </c>
      <c r="T887" s="7">
        <f>'1 prepared data'!S880</f>
        <v/>
      </c>
      <c r="U887" s="7">
        <f>'1 prepared data'!T880</f>
        <v/>
      </c>
      <c r="V887" s="8">
        <f>$AC$12+D887*$AC$13+E887*$AC$14+F887*$AC$15+G887*$AC$16+H887*$AC$17+I887*$AC$18+J887*$AC$19+K887*$AC$20+L887*$AC$21+M887*$AC$22+N887*$AC$23+O887*$AC$24+P887*$AC$25+Q887*$AC$26+R887*$AC$27+S887*$AC$28+T887*$AC$29+U887*$AC$30</f>
        <v/>
      </c>
      <c r="W887" s="8">
        <f>1/(1+EXP(-V887))</f>
        <v/>
      </c>
      <c r="X887" s="9">
        <f>-IF(C887=1,LN(W887),LN(1-W887))</f>
        <v/>
      </c>
      <c r="Y887" s="10">
        <f>IF(W887&gt;$AC$34,1,0)</f>
        <v/>
      </c>
      <c r="Z887">
        <f>IF(Y887=C887,1,0)</f>
        <v/>
      </c>
    </row>
    <row r="888">
      <c r="A888">
        <f>'1 prepared data'!A881</f>
        <v/>
      </c>
      <c r="B888" s="5">
        <f>'1 prepared data'!U881</f>
        <v/>
      </c>
      <c r="C888">
        <f>'1 prepared data'!B881</f>
        <v/>
      </c>
      <c r="D888" s="7">
        <f>'1 prepared data'!C881</f>
        <v/>
      </c>
      <c r="E888" s="7">
        <f>'1 prepared data'!D881</f>
        <v/>
      </c>
      <c r="F888" s="7">
        <f>'1 prepared data'!E881</f>
        <v/>
      </c>
      <c r="G888" s="7">
        <f>'1 prepared data'!F881</f>
        <v/>
      </c>
      <c r="H888" s="7">
        <f>'1 prepared data'!G881</f>
        <v/>
      </c>
      <c r="I888" s="7">
        <f>'1 prepared data'!H881</f>
        <v/>
      </c>
      <c r="J888" s="7">
        <f>'1 prepared data'!I881</f>
        <v/>
      </c>
      <c r="K888" s="7">
        <f>'1 prepared data'!J881</f>
        <v/>
      </c>
      <c r="L888" s="7">
        <f>'1 prepared data'!K881</f>
        <v/>
      </c>
      <c r="M888" s="7">
        <f>'1 prepared data'!L881</f>
        <v/>
      </c>
      <c r="N888" s="7">
        <f>'1 prepared data'!M881</f>
        <v/>
      </c>
      <c r="O888" s="7">
        <f>'1 prepared data'!N881</f>
        <v/>
      </c>
      <c r="P888" s="7">
        <f>'1 prepared data'!O881</f>
        <v/>
      </c>
      <c r="Q888" s="7">
        <f>'1 prepared data'!P881</f>
        <v/>
      </c>
      <c r="R888" s="7">
        <f>'1 prepared data'!Q881</f>
        <v/>
      </c>
      <c r="S888" s="7">
        <f>'1 prepared data'!R881</f>
        <v/>
      </c>
      <c r="T888" s="7">
        <f>'1 prepared data'!S881</f>
        <v/>
      </c>
      <c r="U888" s="7">
        <f>'1 prepared data'!T881</f>
        <v/>
      </c>
      <c r="V888" s="8">
        <f>$AC$12+D888*$AC$13+E888*$AC$14+F888*$AC$15+G888*$AC$16+H888*$AC$17+I888*$AC$18+J888*$AC$19+K888*$AC$20+L888*$AC$21+M888*$AC$22+N888*$AC$23+O888*$AC$24+P888*$AC$25+Q888*$AC$26+R888*$AC$27+S888*$AC$28+T888*$AC$29+U888*$AC$30</f>
        <v/>
      </c>
      <c r="W888" s="8">
        <f>1/(1+EXP(-V888))</f>
        <v/>
      </c>
      <c r="X888" s="9">
        <f>-IF(C888=1,LN(W888),LN(1-W888))</f>
        <v/>
      </c>
      <c r="Y888" s="10">
        <f>IF(W888&gt;$AC$34,1,0)</f>
        <v/>
      </c>
      <c r="Z888">
        <f>IF(Y888=C888,1,0)</f>
        <v/>
      </c>
    </row>
    <row r="889">
      <c r="A889">
        <f>'1 prepared data'!A882</f>
        <v/>
      </c>
      <c r="B889" s="5">
        <f>'1 prepared data'!U882</f>
        <v/>
      </c>
      <c r="C889">
        <f>'1 prepared data'!B882</f>
        <v/>
      </c>
      <c r="D889" s="7">
        <f>'1 prepared data'!C882</f>
        <v/>
      </c>
      <c r="E889" s="7">
        <f>'1 prepared data'!D882</f>
        <v/>
      </c>
      <c r="F889" s="7">
        <f>'1 prepared data'!E882</f>
        <v/>
      </c>
      <c r="G889" s="7">
        <f>'1 prepared data'!F882</f>
        <v/>
      </c>
      <c r="H889" s="7">
        <f>'1 prepared data'!G882</f>
        <v/>
      </c>
      <c r="I889" s="7">
        <f>'1 prepared data'!H882</f>
        <v/>
      </c>
      <c r="J889" s="7">
        <f>'1 prepared data'!I882</f>
        <v/>
      </c>
      <c r="K889" s="7">
        <f>'1 prepared data'!J882</f>
        <v/>
      </c>
      <c r="L889" s="7">
        <f>'1 prepared data'!K882</f>
        <v/>
      </c>
      <c r="M889" s="7">
        <f>'1 prepared data'!L882</f>
        <v/>
      </c>
      <c r="N889" s="7">
        <f>'1 prepared data'!M882</f>
        <v/>
      </c>
      <c r="O889" s="7">
        <f>'1 prepared data'!N882</f>
        <v/>
      </c>
      <c r="P889" s="7">
        <f>'1 prepared data'!O882</f>
        <v/>
      </c>
      <c r="Q889" s="7">
        <f>'1 prepared data'!P882</f>
        <v/>
      </c>
      <c r="R889" s="7">
        <f>'1 prepared data'!Q882</f>
        <v/>
      </c>
      <c r="S889" s="7">
        <f>'1 prepared data'!R882</f>
        <v/>
      </c>
      <c r="T889" s="7">
        <f>'1 prepared data'!S882</f>
        <v/>
      </c>
      <c r="U889" s="7">
        <f>'1 prepared data'!T882</f>
        <v/>
      </c>
      <c r="V889" s="8">
        <f>$AC$12+D889*$AC$13+E889*$AC$14+F889*$AC$15+G889*$AC$16+H889*$AC$17+I889*$AC$18+J889*$AC$19+K889*$AC$20+L889*$AC$21+M889*$AC$22+N889*$AC$23+O889*$AC$24+P889*$AC$25+Q889*$AC$26+R889*$AC$27+S889*$AC$28+T889*$AC$29+U889*$AC$30</f>
        <v/>
      </c>
      <c r="W889" s="8">
        <f>1/(1+EXP(-V889))</f>
        <v/>
      </c>
      <c r="X889" s="9">
        <f>-IF(C889=1,LN(W889),LN(1-W889))</f>
        <v/>
      </c>
      <c r="Y889" s="10">
        <f>IF(W889&gt;$AC$34,1,0)</f>
        <v/>
      </c>
      <c r="Z889">
        <f>IF(Y889=C889,1,0)</f>
        <v/>
      </c>
    </row>
    <row r="890">
      <c r="A890">
        <f>'1 prepared data'!A883</f>
        <v/>
      </c>
      <c r="B890" s="5">
        <f>'1 prepared data'!U883</f>
        <v/>
      </c>
      <c r="C890">
        <f>'1 prepared data'!B883</f>
        <v/>
      </c>
      <c r="D890" s="7">
        <f>'1 prepared data'!C883</f>
        <v/>
      </c>
      <c r="E890" s="7">
        <f>'1 prepared data'!D883</f>
        <v/>
      </c>
      <c r="F890" s="7">
        <f>'1 prepared data'!E883</f>
        <v/>
      </c>
      <c r="G890" s="7">
        <f>'1 prepared data'!F883</f>
        <v/>
      </c>
      <c r="H890" s="7">
        <f>'1 prepared data'!G883</f>
        <v/>
      </c>
      <c r="I890" s="7">
        <f>'1 prepared data'!H883</f>
        <v/>
      </c>
      <c r="J890" s="7">
        <f>'1 prepared data'!I883</f>
        <v/>
      </c>
      <c r="K890" s="7">
        <f>'1 prepared data'!J883</f>
        <v/>
      </c>
      <c r="L890" s="7">
        <f>'1 prepared data'!K883</f>
        <v/>
      </c>
      <c r="M890" s="7">
        <f>'1 prepared data'!L883</f>
        <v/>
      </c>
      <c r="N890" s="7">
        <f>'1 prepared data'!M883</f>
        <v/>
      </c>
      <c r="O890" s="7">
        <f>'1 prepared data'!N883</f>
        <v/>
      </c>
      <c r="P890" s="7">
        <f>'1 prepared data'!O883</f>
        <v/>
      </c>
      <c r="Q890" s="7">
        <f>'1 prepared data'!P883</f>
        <v/>
      </c>
      <c r="R890" s="7">
        <f>'1 prepared data'!Q883</f>
        <v/>
      </c>
      <c r="S890" s="7">
        <f>'1 prepared data'!R883</f>
        <v/>
      </c>
      <c r="T890" s="7">
        <f>'1 prepared data'!S883</f>
        <v/>
      </c>
      <c r="U890" s="7">
        <f>'1 prepared data'!T883</f>
        <v/>
      </c>
      <c r="V890" s="8">
        <f>$AC$12+D890*$AC$13+E890*$AC$14+F890*$AC$15+G890*$AC$16+H890*$AC$17+I890*$AC$18+J890*$AC$19+K890*$AC$20+L890*$AC$21+M890*$AC$22+N890*$AC$23+O890*$AC$24+P890*$AC$25+Q890*$AC$26+R890*$AC$27+S890*$AC$28+T890*$AC$29+U890*$AC$30</f>
        <v/>
      </c>
      <c r="W890" s="8">
        <f>1/(1+EXP(-V890))</f>
        <v/>
      </c>
      <c r="X890" s="9">
        <f>-IF(C890=1,LN(W890),LN(1-W890))</f>
        <v/>
      </c>
      <c r="Y890" s="10">
        <f>IF(W890&gt;$AC$34,1,0)</f>
        <v/>
      </c>
      <c r="Z890">
        <f>IF(Y890=C890,1,0)</f>
        <v/>
      </c>
    </row>
    <row r="891">
      <c r="A891">
        <f>'1 prepared data'!A884</f>
        <v/>
      </c>
      <c r="B891" s="5">
        <f>'1 prepared data'!U884</f>
        <v/>
      </c>
      <c r="C891">
        <f>'1 prepared data'!B884</f>
        <v/>
      </c>
      <c r="D891" s="7">
        <f>'1 prepared data'!C884</f>
        <v/>
      </c>
      <c r="E891" s="7">
        <f>'1 prepared data'!D884</f>
        <v/>
      </c>
      <c r="F891" s="7">
        <f>'1 prepared data'!E884</f>
        <v/>
      </c>
      <c r="G891" s="7">
        <f>'1 prepared data'!F884</f>
        <v/>
      </c>
      <c r="H891" s="7">
        <f>'1 prepared data'!G884</f>
        <v/>
      </c>
      <c r="I891" s="7">
        <f>'1 prepared data'!H884</f>
        <v/>
      </c>
      <c r="J891" s="7">
        <f>'1 prepared data'!I884</f>
        <v/>
      </c>
      <c r="K891" s="7">
        <f>'1 prepared data'!J884</f>
        <v/>
      </c>
      <c r="L891" s="7">
        <f>'1 prepared data'!K884</f>
        <v/>
      </c>
      <c r="M891" s="7">
        <f>'1 prepared data'!L884</f>
        <v/>
      </c>
      <c r="N891" s="7">
        <f>'1 prepared data'!M884</f>
        <v/>
      </c>
      <c r="O891" s="7">
        <f>'1 prepared data'!N884</f>
        <v/>
      </c>
      <c r="P891" s="7">
        <f>'1 prepared data'!O884</f>
        <v/>
      </c>
      <c r="Q891" s="7">
        <f>'1 prepared data'!P884</f>
        <v/>
      </c>
      <c r="R891" s="7">
        <f>'1 prepared data'!Q884</f>
        <v/>
      </c>
      <c r="S891" s="7">
        <f>'1 prepared data'!R884</f>
        <v/>
      </c>
      <c r="T891" s="7">
        <f>'1 prepared data'!S884</f>
        <v/>
      </c>
      <c r="U891" s="7">
        <f>'1 prepared data'!T884</f>
        <v/>
      </c>
      <c r="V891" s="8">
        <f>$AC$12+D891*$AC$13+E891*$AC$14+F891*$AC$15+G891*$AC$16+H891*$AC$17+I891*$AC$18+J891*$AC$19+K891*$AC$20+L891*$AC$21+M891*$AC$22+N891*$AC$23+O891*$AC$24+P891*$AC$25+Q891*$AC$26+R891*$AC$27+S891*$AC$28+T891*$AC$29+U891*$AC$30</f>
        <v/>
      </c>
      <c r="W891" s="8">
        <f>1/(1+EXP(-V891))</f>
        <v/>
      </c>
      <c r="X891" s="9">
        <f>-IF(C891=1,LN(W891),LN(1-W891))</f>
        <v/>
      </c>
      <c r="Y891" s="10">
        <f>IF(W891&gt;$AC$34,1,0)</f>
        <v/>
      </c>
      <c r="Z891">
        <f>IF(Y891=C891,1,0)</f>
        <v/>
      </c>
    </row>
    <row r="892">
      <c r="A892">
        <f>'1 prepared data'!A885</f>
        <v/>
      </c>
      <c r="B892" s="5">
        <f>'1 prepared data'!U885</f>
        <v/>
      </c>
      <c r="C892">
        <f>'1 prepared data'!B885</f>
        <v/>
      </c>
      <c r="D892" s="7">
        <f>'1 prepared data'!C885</f>
        <v/>
      </c>
      <c r="E892" s="7">
        <f>'1 prepared data'!D885</f>
        <v/>
      </c>
      <c r="F892" s="7">
        <f>'1 prepared data'!E885</f>
        <v/>
      </c>
      <c r="G892" s="7">
        <f>'1 prepared data'!F885</f>
        <v/>
      </c>
      <c r="H892" s="7">
        <f>'1 prepared data'!G885</f>
        <v/>
      </c>
      <c r="I892" s="7">
        <f>'1 prepared data'!H885</f>
        <v/>
      </c>
      <c r="J892" s="7">
        <f>'1 prepared data'!I885</f>
        <v/>
      </c>
      <c r="K892" s="7">
        <f>'1 prepared data'!J885</f>
        <v/>
      </c>
      <c r="L892" s="7">
        <f>'1 prepared data'!K885</f>
        <v/>
      </c>
      <c r="M892" s="7">
        <f>'1 prepared data'!L885</f>
        <v/>
      </c>
      <c r="N892" s="7">
        <f>'1 prepared data'!M885</f>
        <v/>
      </c>
      <c r="O892" s="7">
        <f>'1 prepared data'!N885</f>
        <v/>
      </c>
      <c r="P892" s="7">
        <f>'1 prepared data'!O885</f>
        <v/>
      </c>
      <c r="Q892" s="7">
        <f>'1 prepared data'!P885</f>
        <v/>
      </c>
      <c r="R892" s="7">
        <f>'1 prepared data'!Q885</f>
        <v/>
      </c>
      <c r="S892" s="7">
        <f>'1 prepared data'!R885</f>
        <v/>
      </c>
      <c r="T892" s="7">
        <f>'1 prepared data'!S885</f>
        <v/>
      </c>
      <c r="U892" s="7">
        <f>'1 prepared data'!T885</f>
        <v/>
      </c>
      <c r="V892" s="8">
        <f>$AC$12+D892*$AC$13+E892*$AC$14+F892*$AC$15+G892*$AC$16+H892*$AC$17+I892*$AC$18+J892*$AC$19+K892*$AC$20+L892*$AC$21+M892*$AC$22+N892*$AC$23+O892*$AC$24+P892*$AC$25+Q892*$AC$26+R892*$AC$27+S892*$AC$28+T892*$AC$29+U892*$AC$30</f>
        <v/>
      </c>
      <c r="W892" s="8">
        <f>1/(1+EXP(-V892))</f>
        <v/>
      </c>
      <c r="X892" s="9">
        <f>-IF(C892=1,LN(W892),LN(1-W892))</f>
        <v/>
      </c>
      <c r="Y892" s="10">
        <f>IF(W892&gt;$AC$34,1,0)</f>
        <v/>
      </c>
      <c r="Z892">
        <f>IF(Y892=C892,1,0)</f>
        <v/>
      </c>
    </row>
    <row r="893">
      <c r="A893">
        <f>'1 prepared data'!A886</f>
        <v/>
      </c>
      <c r="B893" s="5">
        <f>'1 prepared data'!U886</f>
        <v/>
      </c>
      <c r="C893">
        <f>'1 prepared data'!B886</f>
        <v/>
      </c>
      <c r="D893" s="7">
        <f>'1 prepared data'!C886</f>
        <v/>
      </c>
      <c r="E893" s="7">
        <f>'1 prepared data'!D886</f>
        <v/>
      </c>
      <c r="F893" s="7">
        <f>'1 prepared data'!E886</f>
        <v/>
      </c>
      <c r="G893" s="7">
        <f>'1 prepared data'!F886</f>
        <v/>
      </c>
      <c r="H893" s="7">
        <f>'1 prepared data'!G886</f>
        <v/>
      </c>
      <c r="I893" s="7">
        <f>'1 prepared data'!H886</f>
        <v/>
      </c>
      <c r="J893" s="7">
        <f>'1 prepared data'!I886</f>
        <v/>
      </c>
      <c r="K893" s="7">
        <f>'1 prepared data'!J886</f>
        <v/>
      </c>
      <c r="L893" s="7">
        <f>'1 prepared data'!K886</f>
        <v/>
      </c>
      <c r="M893" s="7">
        <f>'1 prepared data'!L886</f>
        <v/>
      </c>
      <c r="N893" s="7">
        <f>'1 prepared data'!M886</f>
        <v/>
      </c>
      <c r="O893" s="7">
        <f>'1 prepared data'!N886</f>
        <v/>
      </c>
      <c r="P893" s="7">
        <f>'1 prepared data'!O886</f>
        <v/>
      </c>
      <c r="Q893" s="7">
        <f>'1 prepared data'!P886</f>
        <v/>
      </c>
      <c r="R893" s="7">
        <f>'1 prepared data'!Q886</f>
        <v/>
      </c>
      <c r="S893" s="7">
        <f>'1 prepared data'!R886</f>
        <v/>
      </c>
      <c r="T893" s="7">
        <f>'1 prepared data'!S886</f>
        <v/>
      </c>
      <c r="U893" s="7">
        <f>'1 prepared data'!T886</f>
        <v/>
      </c>
      <c r="V893" s="8">
        <f>$AC$12+D893*$AC$13+E893*$AC$14+F893*$AC$15+G893*$AC$16+H893*$AC$17+I893*$AC$18+J893*$AC$19+K893*$AC$20+L893*$AC$21+M893*$AC$22+N893*$AC$23+O893*$AC$24+P893*$AC$25+Q893*$AC$26+R893*$AC$27+S893*$AC$28+T893*$AC$29+U893*$AC$30</f>
        <v/>
      </c>
      <c r="W893" s="8">
        <f>1/(1+EXP(-V893))</f>
        <v/>
      </c>
      <c r="X893" s="9">
        <f>-IF(C893=1,LN(W893),LN(1-W893))</f>
        <v/>
      </c>
      <c r="Y893" s="10">
        <f>IF(W893&gt;$AC$34,1,0)</f>
        <v/>
      </c>
      <c r="Z893">
        <f>IF(Y893=C893,1,0)</f>
        <v/>
      </c>
    </row>
    <row r="894">
      <c r="A894">
        <f>'1 prepared data'!A887</f>
        <v/>
      </c>
      <c r="B894" s="5">
        <f>'1 prepared data'!U887</f>
        <v/>
      </c>
      <c r="C894">
        <f>'1 prepared data'!B887</f>
        <v/>
      </c>
      <c r="D894" s="7">
        <f>'1 prepared data'!C887</f>
        <v/>
      </c>
      <c r="E894" s="7">
        <f>'1 prepared data'!D887</f>
        <v/>
      </c>
      <c r="F894" s="7">
        <f>'1 prepared data'!E887</f>
        <v/>
      </c>
      <c r="G894" s="7">
        <f>'1 prepared data'!F887</f>
        <v/>
      </c>
      <c r="H894" s="7">
        <f>'1 prepared data'!G887</f>
        <v/>
      </c>
      <c r="I894" s="7">
        <f>'1 prepared data'!H887</f>
        <v/>
      </c>
      <c r="J894" s="7">
        <f>'1 prepared data'!I887</f>
        <v/>
      </c>
      <c r="K894" s="7">
        <f>'1 prepared data'!J887</f>
        <v/>
      </c>
      <c r="L894" s="7">
        <f>'1 prepared data'!K887</f>
        <v/>
      </c>
      <c r="M894" s="7">
        <f>'1 prepared data'!L887</f>
        <v/>
      </c>
      <c r="N894" s="7">
        <f>'1 prepared data'!M887</f>
        <v/>
      </c>
      <c r="O894" s="7">
        <f>'1 prepared data'!N887</f>
        <v/>
      </c>
      <c r="P894" s="7">
        <f>'1 prepared data'!O887</f>
        <v/>
      </c>
      <c r="Q894" s="7">
        <f>'1 prepared data'!P887</f>
        <v/>
      </c>
      <c r="R894" s="7">
        <f>'1 prepared data'!Q887</f>
        <v/>
      </c>
      <c r="S894" s="7">
        <f>'1 prepared data'!R887</f>
        <v/>
      </c>
      <c r="T894" s="7">
        <f>'1 prepared data'!S887</f>
        <v/>
      </c>
      <c r="U894" s="7">
        <f>'1 prepared data'!T887</f>
        <v/>
      </c>
      <c r="V894" s="8">
        <f>$AC$12+D894*$AC$13+E894*$AC$14+F894*$AC$15+G894*$AC$16+H894*$AC$17+I894*$AC$18+J894*$AC$19+K894*$AC$20+L894*$AC$21+M894*$AC$22+N894*$AC$23+O894*$AC$24+P894*$AC$25+Q894*$AC$26+R894*$AC$27+S894*$AC$28+T894*$AC$29+U894*$AC$30</f>
        <v/>
      </c>
      <c r="W894" s="8">
        <f>1/(1+EXP(-V894))</f>
        <v/>
      </c>
      <c r="X894" s="9">
        <f>-IF(C894=1,LN(W894),LN(1-W894))</f>
        <v/>
      </c>
      <c r="Y894" s="10">
        <f>IF(W894&gt;$AC$34,1,0)</f>
        <v/>
      </c>
      <c r="Z894">
        <f>IF(Y894=C894,1,0)</f>
        <v/>
      </c>
    </row>
    <row r="895">
      <c r="A895">
        <f>'1 prepared data'!A888</f>
        <v/>
      </c>
      <c r="B895" s="5">
        <f>'1 prepared data'!U888</f>
        <v/>
      </c>
      <c r="C895">
        <f>'1 prepared data'!B888</f>
        <v/>
      </c>
      <c r="D895" s="7">
        <f>'1 prepared data'!C888</f>
        <v/>
      </c>
      <c r="E895" s="7">
        <f>'1 prepared data'!D888</f>
        <v/>
      </c>
      <c r="F895" s="7">
        <f>'1 prepared data'!E888</f>
        <v/>
      </c>
      <c r="G895" s="7">
        <f>'1 prepared data'!F888</f>
        <v/>
      </c>
      <c r="H895" s="7">
        <f>'1 prepared data'!G888</f>
        <v/>
      </c>
      <c r="I895" s="7">
        <f>'1 prepared data'!H888</f>
        <v/>
      </c>
      <c r="J895" s="7">
        <f>'1 prepared data'!I888</f>
        <v/>
      </c>
      <c r="K895" s="7">
        <f>'1 prepared data'!J888</f>
        <v/>
      </c>
      <c r="L895" s="7">
        <f>'1 prepared data'!K888</f>
        <v/>
      </c>
      <c r="M895" s="7">
        <f>'1 prepared data'!L888</f>
        <v/>
      </c>
      <c r="N895" s="7">
        <f>'1 prepared data'!M888</f>
        <v/>
      </c>
      <c r="O895" s="7">
        <f>'1 prepared data'!N888</f>
        <v/>
      </c>
      <c r="P895" s="7">
        <f>'1 prepared data'!O888</f>
        <v/>
      </c>
      <c r="Q895" s="7">
        <f>'1 prepared data'!P888</f>
        <v/>
      </c>
      <c r="R895" s="7">
        <f>'1 prepared data'!Q888</f>
        <v/>
      </c>
      <c r="S895" s="7">
        <f>'1 prepared data'!R888</f>
        <v/>
      </c>
      <c r="T895" s="7">
        <f>'1 prepared data'!S888</f>
        <v/>
      </c>
      <c r="U895" s="7">
        <f>'1 prepared data'!T888</f>
        <v/>
      </c>
      <c r="V895" s="8">
        <f>$AC$12+D895*$AC$13+E895*$AC$14+F895*$AC$15+G895*$AC$16+H895*$AC$17+I895*$AC$18+J895*$AC$19+K895*$AC$20+L895*$AC$21+M895*$AC$22+N895*$AC$23+O895*$AC$24+P895*$AC$25+Q895*$AC$26+R895*$AC$27+S895*$AC$28+T895*$AC$29+U895*$AC$30</f>
        <v/>
      </c>
      <c r="W895" s="8">
        <f>1/(1+EXP(-V895))</f>
        <v/>
      </c>
      <c r="X895" s="9">
        <f>-IF(C895=1,LN(W895),LN(1-W895))</f>
        <v/>
      </c>
      <c r="Y895" s="10">
        <f>IF(W895&gt;$AC$34,1,0)</f>
        <v/>
      </c>
      <c r="Z895">
        <f>IF(Y895=C895,1,0)</f>
        <v/>
      </c>
    </row>
    <row r="896">
      <c r="A896">
        <f>'1 prepared data'!A889</f>
        <v/>
      </c>
      <c r="B896" s="5">
        <f>'1 prepared data'!U889</f>
        <v/>
      </c>
      <c r="C896">
        <f>'1 prepared data'!B889</f>
        <v/>
      </c>
      <c r="D896" s="7">
        <f>'1 prepared data'!C889</f>
        <v/>
      </c>
      <c r="E896" s="7">
        <f>'1 prepared data'!D889</f>
        <v/>
      </c>
      <c r="F896" s="7">
        <f>'1 prepared data'!E889</f>
        <v/>
      </c>
      <c r="G896" s="7">
        <f>'1 prepared data'!F889</f>
        <v/>
      </c>
      <c r="H896" s="7">
        <f>'1 prepared data'!G889</f>
        <v/>
      </c>
      <c r="I896" s="7">
        <f>'1 prepared data'!H889</f>
        <v/>
      </c>
      <c r="J896" s="7">
        <f>'1 prepared data'!I889</f>
        <v/>
      </c>
      <c r="K896" s="7">
        <f>'1 prepared data'!J889</f>
        <v/>
      </c>
      <c r="L896" s="7">
        <f>'1 prepared data'!K889</f>
        <v/>
      </c>
      <c r="M896" s="7">
        <f>'1 prepared data'!L889</f>
        <v/>
      </c>
      <c r="N896" s="7">
        <f>'1 prepared data'!M889</f>
        <v/>
      </c>
      <c r="O896" s="7">
        <f>'1 prepared data'!N889</f>
        <v/>
      </c>
      <c r="P896" s="7">
        <f>'1 prepared data'!O889</f>
        <v/>
      </c>
      <c r="Q896" s="7">
        <f>'1 prepared data'!P889</f>
        <v/>
      </c>
      <c r="R896" s="7">
        <f>'1 prepared data'!Q889</f>
        <v/>
      </c>
      <c r="S896" s="7">
        <f>'1 prepared data'!R889</f>
        <v/>
      </c>
      <c r="T896" s="7">
        <f>'1 prepared data'!S889</f>
        <v/>
      </c>
      <c r="U896" s="7">
        <f>'1 prepared data'!T889</f>
        <v/>
      </c>
      <c r="V896" s="8">
        <f>$AC$12+D896*$AC$13+E896*$AC$14+F896*$AC$15+G896*$AC$16+H896*$AC$17+I896*$AC$18+J896*$AC$19+K896*$AC$20+L896*$AC$21+M896*$AC$22+N896*$AC$23+O896*$AC$24+P896*$AC$25+Q896*$AC$26+R896*$AC$27+S896*$AC$28+T896*$AC$29+U896*$AC$30</f>
        <v/>
      </c>
      <c r="W896" s="8">
        <f>1/(1+EXP(-V896))</f>
        <v/>
      </c>
      <c r="X896" s="9">
        <f>-IF(C896=1,LN(W896),LN(1-W896))</f>
        <v/>
      </c>
      <c r="Y896" s="10">
        <f>IF(W896&gt;$AC$34,1,0)</f>
        <v/>
      </c>
      <c r="Z896">
        <f>IF(Y896=C896,1,0)</f>
        <v/>
      </c>
    </row>
    <row r="897">
      <c r="A897">
        <f>'1 prepared data'!A890</f>
        <v/>
      </c>
      <c r="B897" s="5">
        <f>'1 prepared data'!U890</f>
        <v/>
      </c>
      <c r="C897">
        <f>'1 prepared data'!B890</f>
        <v/>
      </c>
      <c r="D897" s="7">
        <f>'1 prepared data'!C890</f>
        <v/>
      </c>
      <c r="E897" s="7">
        <f>'1 prepared data'!D890</f>
        <v/>
      </c>
      <c r="F897" s="7">
        <f>'1 prepared data'!E890</f>
        <v/>
      </c>
      <c r="G897" s="7">
        <f>'1 prepared data'!F890</f>
        <v/>
      </c>
      <c r="H897" s="7">
        <f>'1 prepared data'!G890</f>
        <v/>
      </c>
      <c r="I897" s="7">
        <f>'1 prepared data'!H890</f>
        <v/>
      </c>
      <c r="J897" s="7">
        <f>'1 prepared data'!I890</f>
        <v/>
      </c>
      <c r="K897" s="7">
        <f>'1 prepared data'!J890</f>
        <v/>
      </c>
      <c r="L897" s="7">
        <f>'1 prepared data'!K890</f>
        <v/>
      </c>
      <c r="M897" s="7">
        <f>'1 prepared data'!L890</f>
        <v/>
      </c>
      <c r="N897" s="7">
        <f>'1 prepared data'!M890</f>
        <v/>
      </c>
      <c r="O897" s="7">
        <f>'1 prepared data'!N890</f>
        <v/>
      </c>
      <c r="P897" s="7">
        <f>'1 prepared data'!O890</f>
        <v/>
      </c>
      <c r="Q897" s="7">
        <f>'1 prepared data'!P890</f>
        <v/>
      </c>
      <c r="R897" s="7">
        <f>'1 prepared data'!Q890</f>
        <v/>
      </c>
      <c r="S897" s="7">
        <f>'1 prepared data'!R890</f>
        <v/>
      </c>
      <c r="T897" s="7">
        <f>'1 prepared data'!S890</f>
        <v/>
      </c>
      <c r="U897" s="7">
        <f>'1 prepared data'!T890</f>
        <v/>
      </c>
      <c r="V897" s="8">
        <f>$AC$12+D897*$AC$13+E897*$AC$14+F897*$AC$15+G897*$AC$16+H897*$AC$17+I897*$AC$18+J897*$AC$19+K897*$AC$20+L897*$AC$21+M897*$AC$22+N897*$AC$23+O897*$AC$24+P897*$AC$25+Q897*$AC$26+R897*$AC$27+S897*$AC$28+T897*$AC$29+U897*$AC$30</f>
        <v/>
      </c>
      <c r="W897" s="8">
        <f>1/(1+EXP(-V897))</f>
        <v/>
      </c>
      <c r="X897" s="9">
        <f>-IF(C897=1,LN(W897),LN(1-W897))</f>
        <v/>
      </c>
      <c r="Y897" s="10">
        <f>IF(W897&gt;$AC$34,1,0)</f>
        <v/>
      </c>
      <c r="Z897">
        <f>IF(Y897=C897,1,0)</f>
        <v/>
      </c>
    </row>
    <row r="898">
      <c r="A898">
        <f>'1 prepared data'!A891</f>
        <v/>
      </c>
      <c r="B898" s="5">
        <f>'1 prepared data'!U891</f>
        <v/>
      </c>
      <c r="C898">
        <f>'1 prepared data'!B891</f>
        <v/>
      </c>
      <c r="D898" s="7">
        <f>'1 prepared data'!C891</f>
        <v/>
      </c>
      <c r="E898" s="7">
        <f>'1 prepared data'!D891</f>
        <v/>
      </c>
      <c r="F898" s="7">
        <f>'1 prepared data'!E891</f>
        <v/>
      </c>
      <c r="G898" s="7">
        <f>'1 prepared data'!F891</f>
        <v/>
      </c>
      <c r="H898" s="7">
        <f>'1 prepared data'!G891</f>
        <v/>
      </c>
      <c r="I898" s="7">
        <f>'1 prepared data'!H891</f>
        <v/>
      </c>
      <c r="J898" s="7">
        <f>'1 prepared data'!I891</f>
        <v/>
      </c>
      <c r="K898" s="7">
        <f>'1 prepared data'!J891</f>
        <v/>
      </c>
      <c r="L898" s="7">
        <f>'1 prepared data'!K891</f>
        <v/>
      </c>
      <c r="M898" s="7">
        <f>'1 prepared data'!L891</f>
        <v/>
      </c>
      <c r="N898" s="7">
        <f>'1 prepared data'!M891</f>
        <v/>
      </c>
      <c r="O898" s="7">
        <f>'1 prepared data'!N891</f>
        <v/>
      </c>
      <c r="P898" s="7">
        <f>'1 prepared data'!O891</f>
        <v/>
      </c>
      <c r="Q898" s="7">
        <f>'1 prepared data'!P891</f>
        <v/>
      </c>
      <c r="R898" s="7">
        <f>'1 prepared data'!Q891</f>
        <v/>
      </c>
      <c r="S898" s="7">
        <f>'1 prepared data'!R891</f>
        <v/>
      </c>
      <c r="T898" s="7">
        <f>'1 prepared data'!S891</f>
        <v/>
      </c>
      <c r="U898" s="7">
        <f>'1 prepared data'!T891</f>
        <v/>
      </c>
      <c r="V898" s="8">
        <f>$AC$12+D898*$AC$13+E898*$AC$14+F898*$AC$15+G898*$AC$16+H898*$AC$17+I898*$AC$18+J898*$AC$19+K898*$AC$20+L898*$AC$21+M898*$AC$22+N898*$AC$23+O898*$AC$24+P898*$AC$25+Q898*$AC$26+R898*$AC$27+S898*$AC$28+T898*$AC$29+U898*$AC$30</f>
        <v/>
      </c>
      <c r="W898" s="8">
        <f>1/(1+EXP(-V898))</f>
        <v/>
      </c>
      <c r="X898" s="9">
        <f>-IF(C898=1,LN(W898),LN(1-W898))</f>
        <v/>
      </c>
      <c r="Y898" s="10">
        <f>IF(W898&gt;$AC$34,1,0)</f>
        <v/>
      </c>
      <c r="Z898">
        <f>IF(Y898=C898,1,0)</f>
        <v/>
      </c>
    </row>
    <row r="899">
      <c r="A899">
        <f>'1 prepared data'!A892</f>
        <v/>
      </c>
      <c r="B899" s="5">
        <f>'1 prepared data'!U892</f>
        <v/>
      </c>
      <c r="C899">
        <f>'1 prepared data'!B892</f>
        <v/>
      </c>
      <c r="D899" s="7">
        <f>'1 prepared data'!C892</f>
        <v/>
      </c>
      <c r="E899" s="7">
        <f>'1 prepared data'!D892</f>
        <v/>
      </c>
      <c r="F899" s="7">
        <f>'1 prepared data'!E892</f>
        <v/>
      </c>
      <c r="G899" s="7">
        <f>'1 prepared data'!F892</f>
        <v/>
      </c>
      <c r="H899" s="7">
        <f>'1 prepared data'!G892</f>
        <v/>
      </c>
      <c r="I899" s="7">
        <f>'1 prepared data'!H892</f>
        <v/>
      </c>
      <c r="J899" s="7">
        <f>'1 prepared data'!I892</f>
        <v/>
      </c>
      <c r="K899" s="7">
        <f>'1 prepared data'!J892</f>
        <v/>
      </c>
      <c r="L899" s="7">
        <f>'1 prepared data'!K892</f>
        <v/>
      </c>
      <c r="M899" s="7">
        <f>'1 prepared data'!L892</f>
        <v/>
      </c>
      <c r="N899" s="7">
        <f>'1 prepared data'!M892</f>
        <v/>
      </c>
      <c r="O899" s="7">
        <f>'1 prepared data'!N892</f>
        <v/>
      </c>
      <c r="P899" s="7">
        <f>'1 prepared data'!O892</f>
        <v/>
      </c>
      <c r="Q899" s="7">
        <f>'1 prepared data'!P892</f>
        <v/>
      </c>
      <c r="R899" s="7">
        <f>'1 prepared data'!Q892</f>
        <v/>
      </c>
      <c r="S899" s="7">
        <f>'1 prepared data'!R892</f>
        <v/>
      </c>
      <c r="T899" s="7">
        <f>'1 prepared data'!S892</f>
        <v/>
      </c>
      <c r="U899" s="7">
        <f>'1 prepared data'!T892</f>
        <v/>
      </c>
      <c r="V899" s="8">
        <f>$AC$12+D899*$AC$13+E899*$AC$14+F899*$AC$15+G899*$AC$16+H899*$AC$17+I899*$AC$18+J899*$AC$19+K899*$AC$20+L899*$AC$21+M899*$AC$22+N899*$AC$23+O899*$AC$24+P899*$AC$25+Q899*$AC$26+R899*$AC$27+S899*$AC$28+T899*$AC$29+U899*$AC$30</f>
        <v/>
      </c>
      <c r="W899" s="8">
        <f>1/(1+EXP(-V899))</f>
        <v/>
      </c>
      <c r="X899" s="9">
        <f>-IF(C899=1,LN(W899),LN(1-W899))</f>
        <v/>
      </c>
      <c r="Y899" s="10">
        <f>IF(W899&gt;$AC$34,1,0)</f>
        <v/>
      </c>
      <c r="Z899">
        <f>IF(Y899=C899,1,0)</f>
        <v/>
      </c>
    </row>
    <row r="900">
      <c r="A900">
        <f>'1 prepared data'!A893</f>
        <v/>
      </c>
      <c r="B900" s="5">
        <f>'1 prepared data'!U893</f>
        <v/>
      </c>
      <c r="C900">
        <f>'1 prepared data'!B893</f>
        <v/>
      </c>
      <c r="D900" s="7">
        <f>'1 prepared data'!C893</f>
        <v/>
      </c>
      <c r="E900" s="7">
        <f>'1 prepared data'!D893</f>
        <v/>
      </c>
      <c r="F900" s="7">
        <f>'1 prepared data'!E893</f>
        <v/>
      </c>
      <c r="G900" s="7">
        <f>'1 prepared data'!F893</f>
        <v/>
      </c>
      <c r="H900" s="7">
        <f>'1 prepared data'!G893</f>
        <v/>
      </c>
      <c r="I900" s="7">
        <f>'1 prepared data'!H893</f>
        <v/>
      </c>
      <c r="J900" s="7">
        <f>'1 prepared data'!I893</f>
        <v/>
      </c>
      <c r="K900" s="7">
        <f>'1 prepared data'!J893</f>
        <v/>
      </c>
      <c r="L900" s="7">
        <f>'1 prepared data'!K893</f>
        <v/>
      </c>
      <c r="M900" s="7">
        <f>'1 prepared data'!L893</f>
        <v/>
      </c>
      <c r="N900" s="7">
        <f>'1 prepared data'!M893</f>
        <v/>
      </c>
      <c r="O900" s="7">
        <f>'1 prepared data'!N893</f>
        <v/>
      </c>
      <c r="P900" s="7">
        <f>'1 prepared data'!O893</f>
        <v/>
      </c>
      <c r="Q900" s="7">
        <f>'1 prepared data'!P893</f>
        <v/>
      </c>
      <c r="R900" s="7">
        <f>'1 prepared data'!Q893</f>
        <v/>
      </c>
      <c r="S900" s="7">
        <f>'1 prepared data'!R893</f>
        <v/>
      </c>
      <c r="T900" s="7">
        <f>'1 prepared data'!S893</f>
        <v/>
      </c>
      <c r="U900" s="7">
        <f>'1 prepared data'!T893</f>
        <v/>
      </c>
      <c r="V900" s="8">
        <f>$AC$12+D900*$AC$13+E900*$AC$14+F900*$AC$15+G900*$AC$16+H900*$AC$17+I900*$AC$18+J900*$AC$19+K900*$AC$20+L900*$AC$21+M900*$AC$22+N900*$AC$23+O900*$AC$24+P900*$AC$25+Q900*$AC$26+R900*$AC$27+S900*$AC$28+T900*$AC$29+U900*$AC$30</f>
        <v/>
      </c>
      <c r="W900" s="8">
        <f>1/(1+EXP(-V900))</f>
        <v/>
      </c>
      <c r="X900" s="9">
        <f>-IF(C900=1,LN(W900),LN(1-W900))</f>
        <v/>
      </c>
      <c r="Y900" s="10">
        <f>IF(W900&gt;$AC$34,1,0)</f>
        <v/>
      </c>
      <c r="Z900">
        <f>IF(Y900=C900,1,0)</f>
        <v/>
      </c>
    </row>
    <row r="901">
      <c r="A901">
        <f>'1 prepared data'!A894</f>
        <v/>
      </c>
      <c r="B901" s="5">
        <f>'1 prepared data'!U894</f>
        <v/>
      </c>
      <c r="C901">
        <f>'1 prepared data'!B894</f>
        <v/>
      </c>
      <c r="D901" s="7">
        <f>'1 prepared data'!C894</f>
        <v/>
      </c>
      <c r="E901" s="7">
        <f>'1 prepared data'!D894</f>
        <v/>
      </c>
      <c r="F901" s="7">
        <f>'1 prepared data'!E894</f>
        <v/>
      </c>
      <c r="G901" s="7">
        <f>'1 prepared data'!F894</f>
        <v/>
      </c>
      <c r="H901" s="7">
        <f>'1 prepared data'!G894</f>
        <v/>
      </c>
      <c r="I901" s="7">
        <f>'1 prepared data'!H894</f>
        <v/>
      </c>
      <c r="J901" s="7">
        <f>'1 prepared data'!I894</f>
        <v/>
      </c>
      <c r="K901" s="7">
        <f>'1 prepared data'!J894</f>
        <v/>
      </c>
      <c r="L901" s="7">
        <f>'1 prepared data'!K894</f>
        <v/>
      </c>
      <c r="M901" s="7">
        <f>'1 prepared data'!L894</f>
        <v/>
      </c>
      <c r="N901" s="7">
        <f>'1 prepared data'!M894</f>
        <v/>
      </c>
      <c r="O901" s="7">
        <f>'1 prepared data'!N894</f>
        <v/>
      </c>
      <c r="P901" s="7">
        <f>'1 prepared data'!O894</f>
        <v/>
      </c>
      <c r="Q901" s="7">
        <f>'1 prepared data'!P894</f>
        <v/>
      </c>
      <c r="R901" s="7">
        <f>'1 prepared data'!Q894</f>
        <v/>
      </c>
      <c r="S901" s="7">
        <f>'1 prepared data'!R894</f>
        <v/>
      </c>
      <c r="T901" s="7">
        <f>'1 prepared data'!S894</f>
        <v/>
      </c>
      <c r="U901" s="7">
        <f>'1 prepared data'!T894</f>
        <v/>
      </c>
      <c r="V901" s="8">
        <f>$AC$12+D901*$AC$13+E901*$AC$14+F901*$AC$15+G901*$AC$16+H901*$AC$17+I901*$AC$18+J901*$AC$19+K901*$AC$20+L901*$AC$21+M901*$AC$22+N901*$AC$23+O901*$AC$24+P901*$AC$25+Q901*$AC$26+R901*$AC$27+S901*$AC$28+T901*$AC$29+U901*$AC$30</f>
        <v/>
      </c>
      <c r="W901" s="8">
        <f>1/(1+EXP(-V901))</f>
        <v/>
      </c>
      <c r="X901" s="9">
        <f>-IF(C901=1,LN(W901),LN(1-W901))</f>
        <v/>
      </c>
      <c r="Y901" s="10">
        <f>IF(W901&gt;$AC$34,1,0)</f>
        <v/>
      </c>
      <c r="Z901">
        <f>IF(Y901=C901,1,0)</f>
        <v/>
      </c>
    </row>
    <row r="902">
      <c r="A902">
        <f>'1 prepared data'!A895</f>
        <v/>
      </c>
      <c r="B902" s="5">
        <f>'1 prepared data'!U895</f>
        <v/>
      </c>
      <c r="C902">
        <f>'1 prepared data'!B895</f>
        <v/>
      </c>
      <c r="D902" s="7">
        <f>'1 prepared data'!C895</f>
        <v/>
      </c>
      <c r="E902" s="7">
        <f>'1 prepared data'!D895</f>
        <v/>
      </c>
      <c r="F902" s="7">
        <f>'1 prepared data'!E895</f>
        <v/>
      </c>
      <c r="G902" s="7">
        <f>'1 prepared data'!F895</f>
        <v/>
      </c>
      <c r="H902" s="7">
        <f>'1 prepared data'!G895</f>
        <v/>
      </c>
      <c r="I902" s="7">
        <f>'1 prepared data'!H895</f>
        <v/>
      </c>
      <c r="J902" s="7">
        <f>'1 prepared data'!I895</f>
        <v/>
      </c>
      <c r="K902" s="7">
        <f>'1 prepared data'!J895</f>
        <v/>
      </c>
      <c r="L902" s="7">
        <f>'1 prepared data'!K895</f>
        <v/>
      </c>
      <c r="M902" s="7">
        <f>'1 prepared data'!L895</f>
        <v/>
      </c>
      <c r="N902" s="7">
        <f>'1 prepared data'!M895</f>
        <v/>
      </c>
      <c r="O902" s="7">
        <f>'1 prepared data'!N895</f>
        <v/>
      </c>
      <c r="P902" s="7">
        <f>'1 prepared data'!O895</f>
        <v/>
      </c>
      <c r="Q902" s="7">
        <f>'1 prepared data'!P895</f>
        <v/>
      </c>
      <c r="R902" s="7">
        <f>'1 prepared data'!Q895</f>
        <v/>
      </c>
      <c r="S902" s="7">
        <f>'1 prepared data'!R895</f>
        <v/>
      </c>
      <c r="T902" s="7">
        <f>'1 prepared data'!S895</f>
        <v/>
      </c>
      <c r="U902" s="7">
        <f>'1 prepared data'!T895</f>
        <v/>
      </c>
      <c r="V902" s="8">
        <f>$AC$12+D902*$AC$13+E902*$AC$14+F902*$AC$15+G902*$AC$16+H902*$AC$17+I902*$AC$18+J902*$AC$19+K902*$AC$20+L902*$AC$21+M902*$AC$22+N902*$AC$23+O902*$AC$24+P902*$AC$25+Q902*$AC$26+R902*$AC$27+S902*$AC$28+T902*$AC$29+U902*$AC$30</f>
        <v/>
      </c>
      <c r="W902" s="8">
        <f>1/(1+EXP(-V902))</f>
        <v/>
      </c>
      <c r="X902" s="9">
        <f>-IF(C902=1,LN(W902),LN(1-W902))</f>
        <v/>
      </c>
      <c r="Y902" s="10">
        <f>IF(W902&gt;$AC$34,1,0)</f>
        <v/>
      </c>
      <c r="Z902">
        <f>IF(Y902=C902,1,0)</f>
        <v/>
      </c>
    </row>
    <row r="903">
      <c r="A903">
        <f>'1 prepared data'!A896</f>
        <v/>
      </c>
      <c r="B903" s="5">
        <f>'1 prepared data'!U896</f>
        <v/>
      </c>
      <c r="C903">
        <f>'1 prepared data'!B896</f>
        <v/>
      </c>
      <c r="D903" s="7">
        <f>'1 prepared data'!C896</f>
        <v/>
      </c>
      <c r="E903" s="7">
        <f>'1 prepared data'!D896</f>
        <v/>
      </c>
      <c r="F903" s="7">
        <f>'1 prepared data'!E896</f>
        <v/>
      </c>
      <c r="G903" s="7">
        <f>'1 prepared data'!F896</f>
        <v/>
      </c>
      <c r="H903" s="7">
        <f>'1 prepared data'!G896</f>
        <v/>
      </c>
      <c r="I903" s="7">
        <f>'1 prepared data'!H896</f>
        <v/>
      </c>
      <c r="J903" s="7">
        <f>'1 prepared data'!I896</f>
        <v/>
      </c>
      <c r="K903" s="7">
        <f>'1 prepared data'!J896</f>
        <v/>
      </c>
      <c r="L903" s="7">
        <f>'1 prepared data'!K896</f>
        <v/>
      </c>
      <c r="M903" s="7">
        <f>'1 prepared data'!L896</f>
        <v/>
      </c>
      <c r="N903" s="7">
        <f>'1 prepared data'!M896</f>
        <v/>
      </c>
      <c r="O903" s="7">
        <f>'1 prepared data'!N896</f>
        <v/>
      </c>
      <c r="P903" s="7">
        <f>'1 prepared data'!O896</f>
        <v/>
      </c>
      <c r="Q903" s="7">
        <f>'1 prepared data'!P896</f>
        <v/>
      </c>
      <c r="R903" s="7">
        <f>'1 prepared data'!Q896</f>
        <v/>
      </c>
      <c r="S903" s="7">
        <f>'1 prepared data'!R896</f>
        <v/>
      </c>
      <c r="T903" s="7">
        <f>'1 prepared data'!S896</f>
        <v/>
      </c>
      <c r="U903" s="7">
        <f>'1 prepared data'!T896</f>
        <v/>
      </c>
      <c r="V903" s="8">
        <f>$AC$12+D903*$AC$13+E903*$AC$14+F903*$AC$15+G903*$AC$16+H903*$AC$17+I903*$AC$18+J903*$AC$19+K903*$AC$20+L903*$AC$21+M903*$AC$22+N903*$AC$23+O903*$AC$24+P903*$AC$25+Q903*$AC$26+R903*$AC$27+S903*$AC$28+T903*$AC$29+U903*$AC$30</f>
        <v/>
      </c>
      <c r="W903" s="8">
        <f>1/(1+EXP(-V903))</f>
        <v/>
      </c>
      <c r="X903" s="9">
        <f>-IF(C903=1,LN(W903),LN(1-W903))</f>
        <v/>
      </c>
      <c r="Y903" s="10">
        <f>IF(W903&gt;$AC$34,1,0)</f>
        <v/>
      </c>
      <c r="Z903">
        <f>IF(Y903=C903,1,0)</f>
        <v/>
      </c>
    </row>
    <row r="904">
      <c r="A904">
        <f>'1 prepared data'!A897</f>
        <v/>
      </c>
      <c r="B904" s="5">
        <f>'1 prepared data'!U897</f>
        <v/>
      </c>
      <c r="C904">
        <f>'1 prepared data'!B897</f>
        <v/>
      </c>
      <c r="D904" s="7">
        <f>'1 prepared data'!C897</f>
        <v/>
      </c>
      <c r="E904" s="7">
        <f>'1 prepared data'!D897</f>
        <v/>
      </c>
      <c r="F904" s="7">
        <f>'1 prepared data'!E897</f>
        <v/>
      </c>
      <c r="G904" s="7">
        <f>'1 prepared data'!F897</f>
        <v/>
      </c>
      <c r="H904" s="7">
        <f>'1 prepared data'!G897</f>
        <v/>
      </c>
      <c r="I904" s="7">
        <f>'1 prepared data'!H897</f>
        <v/>
      </c>
      <c r="J904" s="7">
        <f>'1 prepared data'!I897</f>
        <v/>
      </c>
      <c r="K904" s="7">
        <f>'1 prepared data'!J897</f>
        <v/>
      </c>
      <c r="L904" s="7">
        <f>'1 prepared data'!K897</f>
        <v/>
      </c>
      <c r="M904" s="7">
        <f>'1 prepared data'!L897</f>
        <v/>
      </c>
      <c r="N904" s="7">
        <f>'1 prepared data'!M897</f>
        <v/>
      </c>
      <c r="O904" s="7">
        <f>'1 prepared data'!N897</f>
        <v/>
      </c>
      <c r="P904" s="7">
        <f>'1 prepared data'!O897</f>
        <v/>
      </c>
      <c r="Q904" s="7">
        <f>'1 prepared data'!P897</f>
        <v/>
      </c>
      <c r="R904" s="7">
        <f>'1 prepared data'!Q897</f>
        <v/>
      </c>
      <c r="S904" s="7">
        <f>'1 prepared data'!R897</f>
        <v/>
      </c>
      <c r="T904" s="7">
        <f>'1 prepared data'!S897</f>
        <v/>
      </c>
      <c r="U904" s="7">
        <f>'1 prepared data'!T897</f>
        <v/>
      </c>
      <c r="V904" s="8">
        <f>$AC$12+D904*$AC$13+E904*$AC$14+F904*$AC$15+G904*$AC$16+H904*$AC$17+I904*$AC$18+J904*$AC$19+K904*$AC$20+L904*$AC$21+M904*$AC$22+N904*$AC$23+O904*$AC$24+P904*$AC$25+Q904*$AC$26+R904*$AC$27+S904*$AC$28+T904*$AC$29+U904*$AC$30</f>
        <v/>
      </c>
      <c r="W904" s="8">
        <f>1/(1+EXP(-V904))</f>
        <v/>
      </c>
      <c r="X904" s="9">
        <f>-IF(C904=1,LN(W904),LN(1-W904))</f>
        <v/>
      </c>
      <c r="Y904" s="10">
        <f>IF(W904&gt;$AC$34,1,0)</f>
        <v/>
      </c>
      <c r="Z904">
        <f>IF(Y904=C904,1,0)</f>
        <v/>
      </c>
    </row>
    <row r="905">
      <c r="A905">
        <f>'1 prepared data'!A898</f>
        <v/>
      </c>
      <c r="B905" s="5">
        <f>'1 prepared data'!U898</f>
        <v/>
      </c>
      <c r="C905">
        <f>'1 prepared data'!B898</f>
        <v/>
      </c>
      <c r="D905" s="7">
        <f>'1 prepared data'!C898</f>
        <v/>
      </c>
      <c r="E905" s="7">
        <f>'1 prepared data'!D898</f>
        <v/>
      </c>
      <c r="F905" s="7">
        <f>'1 prepared data'!E898</f>
        <v/>
      </c>
      <c r="G905" s="7">
        <f>'1 prepared data'!F898</f>
        <v/>
      </c>
      <c r="H905" s="7">
        <f>'1 prepared data'!G898</f>
        <v/>
      </c>
      <c r="I905" s="7">
        <f>'1 prepared data'!H898</f>
        <v/>
      </c>
      <c r="J905" s="7">
        <f>'1 prepared data'!I898</f>
        <v/>
      </c>
      <c r="K905" s="7">
        <f>'1 prepared data'!J898</f>
        <v/>
      </c>
      <c r="L905" s="7">
        <f>'1 prepared data'!K898</f>
        <v/>
      </c>
      <c r="M905" s="7">
        <f>'1 prepared data'!L898</f>
        <v/>
      </c>
      <c r="N905" s="7">
        <f>'1 prepared data'!M898</f>
        <v/>
      </c>
      <c r="O905" s="7">
        <f>'1 prepared data'!N898</f>
        <v/>
      </c>
      <c r="P905" s="7">
        <f>'1 prepared data'!O898</f>
        <v/>
      </c>
      <c r="Q905" s="7">
        <f>'1 prepared data'!P898</f>
        <v/>
      </c>
      <c r="R905" s="7">
        <f>'1 prepared data'!Q898</f>
        <v/>
      </c>
      <c r="S905" s="7">
        <f>'1 prepared data'!R898</f>
        <v/>
      </c>
      <c r="T905" s="7">
        <f>'1 prepared data'!S898</f>
        <v/>
      </c>
      <c r="U905" s="7">
        <f>'1 prepared data'!T898</f>
        <v/>
      </c>
      <c r="V905" s="8">
        <f>$AC$12+D905*$AC$13+E905*$AC$14+F905*$AC$15+G905*$AC$16+H905*$AC$17+I905*$AC$18+J905*$AC$19+K905*$AC$20+L905*$AC$21+M905*$AC$22+N905*$AC$23+O905*$AC$24+P905*$AC$25+Q905*$AC$26+R905*$AC$27+S905*$AC$28+T905*$AC$29+U905*$AC$30</f>
        <v/>
      </c>
      <c r="W905" s="8">
        <f>1/(1+EXP(-V905))</f>
        <v/>
      </c>
      <c r="X905" s="9">
        <f>-IF(C905=1,LN(W905),LN(1-W905))</f>
        <v/>
      </c>
      <c r="Y905" s="10">
        <f>IF(W905&gt;$AC$34,1,0)</f>
        <v/>
      </c>
      <c r="Z905">
        <f>IF(Y905=C905,1,0)</f>
        <v/>
      </c>
    </row>
    <row r="906">
      <c r="A906">
        <f>'1 prepared data'!A899</f>
        <v/>
      </c>
      <c r="B906" s="5">
        <f>'1 prepared data'!U899</f>
        <v/>
      </c>
      <c r="C906">
        <f>'1 prepared data'!B899</f>
        <v/>
      </c>
      <c r="D906" s="7">
        <f>'1 prepared data'!C899</f>
        <v/>
      </c>
      <c r="E906" s="7">
        <f>'1 prepared data'!D899</f>
        <v/>
      </c>
      <c r="F906" s="7">
        <f>'1 prepared data'!E899</f>
        <v/>
      </c>
      <c r="G906" s="7">
        <f>'1 prepared data'!F899</f>
        <v/>
      </c>
      <c r="H906" s="7">
        <f>'1 prepared data'!G899</f>
        <v/>
      </c>
      <c r="I906" s="7">
        <f>'1 prepared data'!H899</f>
        <v/>
      </c>
      <c r="J906" s="7">
        <f>'1 prepared data'!I899</f>
        <v/>
      </c>
      <c r="K906" s="7">
        <f>'1 prepared data'!J899</f>
        <v/>
      </c>
      <c r="L906" s="7">
        <f>'1 prepared data'!K899</f>
        <v/>
      </c>
      <c r="M906" s="7">
        <f>'1 prepared data'!L899</f>
        <v/>
      </c>
      <c r="N906" s="7">
        <f>'1 prepared data'!M899</f>
        <v/>
      </c>
      <c r="O906" s="7">
        <f>'1 prepared data'!N899</f>
        <v/>
      </c>
      <c r="P906" s="7">
        <f>'1 prepared data'!O899</f>
        <v/>
      </c>
      <c r="Q906" s="7">
        <f>'1 prepared data'!P899</f>
        <v/>
      </c>
      <c r="R906" s="7">
        <f>'1 prepared data'!Q899</f>
        <v/>
      </c>
      <c r="S906" s="7">
        <f>'1 prepared data'!R899</f>
        <v/>
      </c>
      <c r="T906" s="7">
        <f>'1 prepared data'!S899</f>
        <v/>
      </c>
      <c r="U906" s="7">
        <f>'1 prepared data'!T899</f>
        <v/>
      </c>
      <c r="V906" s="8">
        <f>$AC$12+D906*$AC$13+E906*$AC$14+F906*$AC$15+G906*$AC$16+H906*$AC$17+I906*$AC$18+J906*$AC$19+K906*$AC$20+L906*$AC$21+M906*$AC$22+N906*$AC$23+O906*$AC$24+P906*$AC$25+Q906*$AC$26+R906*$AC$27+S906*$AC$28+T906*$AC$29+U906*$AC$30</f>
        <v/>
      </c>
      <c r="W906" s="8">
        <f>1/(1+EXP(-V906))</f>
        <v/>
      </c>
      <c r="X906" s="9">
        <f>-IF(C906=1,LN(W906),LN(1-W906))</f>
        <v/>
      </c>
      <c r="Y906" s="10">
        <f>IF(W906&gt;$AC$34,1,0)</f>
        <v/>
      </c>
      <c r="Z906">
        <f>IF(Y906=C906,1,0)</f>
        <v/>
      </c>
    </row>
    <row r="907">
      <c r="A907">
        <f>'1 prepared data'!A900</f>
        <v/>
      </c>
      <c r="B907" s="5">
        <f>'1 prepared data'!U900</f>
        <v/>
      </c>
      <c r="C907">
        <f>'1 prepared data'!B900</f>
        <v/>
      </c>
      <c r="D907" s="7">
        <f>'1 prepared data'!C900</f>
        <v/>
      </c>
      <c r="E907" s="7">
        <f>'1 prepared data'!D900</f>
        <v/>
      </c>
      <c r="F907" s="7">
        <f>'1 prepared data'!E900</f>
        <v/>
      </c>
      <c r="G907" s="7">
        <f>'1 prepared data'!F900</f>
        <v/>
      </c>
      <c r="H907" s="7">
        <f>'1 prepared data'!G900</f>
        <v/>
      </c>
      <c r="I907" s="7">
        <f>'1 prepared data'!H900</f>
        <v/>
      </c>
      <c r="J907" s="7">
        <f>'1 prepared data'!I900</f>
        <v/>
      </c>
      <c r="K907" s="7">
        <f>'1 prepared data'!J900</f>
        <v/>
      </c>
      <c r="L907" s="7">
        <f>'1 prepared data'!K900</f>
        <v/>
      </c>
      <c r="M907" s="7">
        <f>'1 prepared data'!L900</f>
        <v/>
      </c>
      <c r="N907" s="7">
        <f>'1 prepared data'!M900</f>
        <v/>
      </c>
      <c r="O907" s="7">
        <f>'1 prepared data'!N900</f>
        <v/>
      </c>
      <c r="P907" s="7">
        <f>'1 prepared data'!O900</f>
        <v/>
      </c>
      <c r="Q907" s="7">
        <f>'1 prepared data'!P900</f>
        <v/>
      </c>
      <c r="R907" s="7">
        <f>'1 prepared data'!Q900</f>
        <v/>
      </c>
      <c r="S907" s="7">
        <f>'1 prepared data'!R900</f>
        <v/>
      </c>
      <c r="T907" s="7">
        <f>'1 prepared data'!S900</f>
        <v/>
      </c>
      <c r="U907" s="7">
        <f>'1 prepared data'!T900</f>
        <v/>
      </c>
      <c r="V907" s="8">
        <f>$AC$12+D907*$AC$13+E907*$AC$14+F907*$AC$15+G907*$AC$16+H907*$AC$17+I907*$AC$18+J907*$AC$19+K907*$AC$20+L907*$AC$21+M907*$AC$22+N907*$AC$23+O907*$AC$24+P907*$AC$25+Q907*$AC$26+R907*$AC$27+S907*$AC$28+T907*$AC$29+U907*$AC$30</f>
        <v/>
      </c>
      <c r="W907" s="8">
        <f>1/(1+EXP(-V907))</f>
        <v/>
      </c>
      <c r="X907" s="9">
        <f>-IF(C907=1,LN(W907),LN(1-W907))</f>
        <v/>
      </c>
      <c r="Y907" s="10">
        <f>IF(W907&gt;$AC$34,1,0)</f>
        <v/>
      </c>
      <c r="Z907">
        <f>IF(Y907=C907,1,0)</f>
        <v/>
      </c>
    </row>
    <row r="908">
      <c r="A908">
        <f>'1 prepared data'!A901</f>
        <v/>
      </c>
      <c r="B908" s="5">
        <f>'1 prepared data'!U901</f>
        <v/>
      </c>
      <c r="C908">
        <f>'1 prepared data'!B901</f>
        <v/>
      </c>
      <c r="D908" s="7">
        <f>'1 prepared data'!C901</f>
        <v/>
      </c>
      <c r="E908" s="7">
        <f>'1 prepared data'!D901</f>
        <v/>
      </c>
      <c r="F908" s="7">
        <f>'1 prepared data'!E901</f>
        <v/>
      </c>
      <c r="G908" s="7">
        <f>'1 prepared data'!F901</f>
        <v/>
      </c>
      <c r="H908" s="7">
        <f>'1 prepared data'!G901</f>
        <v/>
      </c>
      <c r="I908" s="7">
        <f>'1 prepared data'!H901</f>
        <v/>
      </c>
      <c r="J908" s="7">
        <f>'1 prepared data'!I901</f>
        <v/>
      </c>
      <c r="K908" s="7">
        <f>'1 prepared data'!J901</f>
        <v/>
      </c>
      <c r="L908" s="7">
        <f>'1 prepared data'!K901</f>
        <v/>
      </c>
      <c r="M908" s="7">
        <f>'1 prepared data'!L901</f>
        <v/>
      </c>
      <c r="N908" s="7">
        <f>'1 prepared data'!M901</f>
        <v/>
      </c>
      <c r="O908" s="7">
        <f>'1 prepared data'!N901</f>
        <v/>
      </c>
      <c r="P908" s="7">
        <f>'1 prepared data'!O901</f>
        <v/>
      </c>
      <c r="Q908" s="7">
        <f>'1 prepared data'!P901</f>
        <v/>
      </c>
      <c r="R908" s="7">
        <f>'1 prepared data'!Q901</f>
        <v/>
      </c>
      <c r="S908" s="7">
        <f>'1 prepared data'!R901</f>
        <v/>
      </c>
      <c r="T908" s="7">
        <f>'1 prepared data'!S901</f>
        <v/>
      </c>
      <c r="U908" s="7">
        <f>'1 prepared data'!T901</f>
        <v/>
      </c>
      <c r="V908" s="8">
        <f>$AC$12+D908*$AC$13+E908*$AC$14+F908*$AC$15+G908*$AC$16+H908*$AC$17+I908*$AC$18+J908*$AC$19+K908*$AC$20+L908*$AC$21+M908*$AC$22+N908*$AC$23+O908*$AC$24+P908*$AC$25+Q908*$AC$26+R908*$AC$27+S908*$AC$28+T908*$AC$29+U908*$AC$30</f>
        <v/>
      </c>
      <c r="W908" s="8">
        <f>1/(1+EXP(-V908))</f>
        <v/>
      </c>
      <c r="X908" s="9">
        <f>-IF(C908=1,LN(W908),LN(1-W908))</f>
        <v/>
      </c>
      <c r="Y908" s="10">
        <f>IF(W908&gt;$AC$34,1,0)</f>
        <v/>
      </c>
      <c r="Z908">
        <f>IF(Y908=C908,1,0)</f>
        <v/>
      </c>
    </row>
    <row r="909">
      <c r="A909">
        <f>'1 prepared data'!A902</f>
        <v/>
      </c>
      <c r="B909" s="5">
        <f>'1 prepared data'!U902</f>
        <v/>
      </c>
      <c r="C909">
        <f>'1 prepared data'!B902</f>
        <v/>
      </c>
      <c r="D909" s="7">
        <f>'1 prepared data'!C902</f>
        <v/>
      </c>
      <c r="E909" s="7">
        <f>'1 prepared data'!D902</f>
        <v/>
      </c>
      <c r="F909" s="7">
        <f>'1 prepared data'!E902</f>
        <v/>
      </c>
      <c r="G909" s="7">
        <f>'1 prepared data'!F902</f>
        <v/>
      </c>
      <c r="H909" s="7">
        <f>'1 prepared data'!G902</f>
        <v/>
      </c>
      <c r="I909" s="7">
        <f>'1 prepared data'!H902</f>
        <v/>
      </c>
      <c r="J909" s="7">
        <f>'1 prepared data'!I902</f>
        <v/>
      </c>
      <c r="K909" s="7">
        <f>'1 prepared data'!J902</f>
        <v/>
      </c>
      <c r="L909" s="7">
        <f>'1 prepared data'!K902</f>
        <v/>
      </c>
      <c r="M909" s="7">
        <f>'1 prepared data'!L902</f>
        <v/>
      </c>
      <c r="N909" s="7">
        <f>'1 prepared data'!M902</f>
        <v/>
      </c>
      <c r="O909" s="7">
        <f>'1 prepared data'!N902</f>
        <v/>
      </c>
      <c r="P909" s="7">
        <f>'1 prepared data'!O902</f>
        <v/>
      </c>
      <c r="Q909" s="7">
        <f>'1 prepared data'!P902</f>
        <v/>
      </c>
      <c r="R909" s="7">
        <f>'1 prepared data'!Q902</f>
        <v/>
      </c>
      <c r="S909" s="7">
        <f>'1 prepared data'!R902</f>
        <v/>
      </c>
      <c r="T909" s="7">
        <f>'1 prepared data'!S902</f>
        <v/>
      </c>
      <c r="U909" s="7">
        <f>'1 prepared data'!T902</f>
        <v/>
      </c>
      <c r="V909" s="8">
        <f>$AC$12+D909*$AC$13+E909*$AC$14+F909*$AC$15+G909*$AC$16+H909*$AC$17+I909*$AC$18+J909*$AC$19+K909*$AC$20+L909*$AC$21+M909*$AC$22+N909*$AC$23+O909*$AC$24+P909*$AC$25+Q909*$AC$26+R909*$AC$27+S909*$AC$28+T909*$AC$29+U909*$AC$30</f>
        <v/>
      </c>
      <c r="W909" s="8">
        <f>1/(1+EXP(-V909))</f>
        <v/>
      </c>
      <c r="X909" s="9">
        <f>-IF(C909=1,LN(W909),LN(1-W909))</f>
        <v/>
      </c>
      <c r="Y909" s="10">
        <f>IF(W909&gt;$AC$34,1,0)</f>
        <v/>
      </c>
      <c r="Z909">
        <f>IF(Y909=C909,1,0)</f>
        <v/>
      </c>
    </row>
    <row r="910">
      <c r="A910">
        <f>'1 prepared data'!A903</f>
        <v/>
      </c>
      <c r="B910" s="5">
        <f>'1 prepared data'!U903</f>
        <v/>
      </c>
      <c r="C910">
        <f>'1 prepared data'!B903</f>
        <v/>
      </c>
      <c r="D910" s="7">
        <f>'1 prepared data'!C903</f>
        <v/>
      </c>
      <c r="E910" s="7">
        <f>'1 prepared data'!D903</f>
        <v/>
      </c>
      <c r="F910" s="7">
        <f>'1 prepared data'!E903</f>
        <v/>
      </c>
      <c r="G910" s="7">
        <f>'1 prepared data'!F903</f>
        <v/>
      </c>
      <c r="H910" s="7">
        <f>'1 prepared data'!G903</f>
        <v/>
      </c>
      <c r="I910" s="7">
        <f>'1 prepared data'!H903</f>
        <v/>
      </c>
      <c r="J910" s="7">
        <f>'1 prepared data'!I903</f>
        <v/>
      </c>
      <c r="K910" s="7">
        <f>'1 prepared data'!J903</f>
        <v/>
      </c>
      <c r="L910" s="7">
        <f>'1 prepared data'!K903</f>
        <v/>
      </c>
      <c r="M910" s="7">
        <f>'1 prepared data'!L903</f>
        <v/>
      </c>
      <c r="N910" s="7">
        <f>'1 prepared data'!M903</f>
        <v/>
      </c>
      <c r="O910" s="7">
        <f>'1 prepared data'!N903</f>
        <v/>
      </c>
      <c r="P910" s="7">
        <f>'1 prepared data'!O903</f>
        <v/>
      </c>
      <c r="Q910" s="7">
        <f>'1 prepared data'!P903</f>
        <v/>
      </c>
      <c r="R910" s="7">
        <f>'1 prepared data'!Q903</f>
        <v/>
      </c>
      <c r="S910" s="7">
        <f>'1 prepared data'!R903</f>
        <v/>
      </c>
      <c r="T910" s="7">
        <f>'1 prepared data'!S903</f>
        <v/>
      </c>
      <c r="U910" s="7">
        <f>'1 prepared data'!T903</f>
        <v/>
      </c>
      <c r="V910" s="8">
        <f>$AC$12+D910*$AC$13+E910*$AC$14+F910*$AC$15+G910*$AC$16+H910*$AC$17+I910*$AC$18+J910*$AC$19+K910*$AC$20+L910*$AC$21+M910*$AC$22+N910*$AC$23+O910*$AC$24+P910*$AC$25+Q910*$AC$26+R910*$AC$27+S910*$AC$28+T910*$AC$29+U910*$AC$30</f>
        <v/>
      </c>
      <c r="W910" s="8">
        <f>1/(1+EXP(-V910))</f>
        <v/>
      </c>
      <c r="X910" s="9">
        <f>-IF(C910=1,LN(W910),LN(1-W910))</f>
        <v/>
      </c>
      <c r="Y910" s="10">
        <f>IF(W910&gt;$AC$34,1,0)</f>
        <v/>
      </c>
      <c r="Z910">
        <f>IF(Y910=C910,1,0)</f>
        <v/>
      </c>
    </row>
    <row r="911">
      <c r="A911">
        <f>'1 prepared data'!A904</f>
        <v/>
      </c>
      <c r="B911" s="5">
        <f>'1 prepared data'!U904</f>
        <v/>
      </c>
      <c r="C911">
        <f>'1 prepared data'!B904</f>
        <v/>
      </c>
      <c r="D911" s="7">
        <f>'1 prepared data'!C904</f>
        <v/>
      </c>
      <c r="E911" s="7">
        <f>'1 prepared data'!D904</f>
        <v/>
      </c>
      <c r="F911" s="7">
        <f>'1 prepared data'!E904</f>
        <v/>
      </c>
      <c r="G911" s="7">
        <f>'1 prepared data'!F904</f>
        <v/>
      </c>
      <c r="H911" s="7">
        <f>'1 prepared data'!G904</f>
        <v/>
      </c>
      <c r="I911" s="7">
        <f>'1 prepared data'!H904</f>
        <v/>
      </c>
      <c r="J911" s="7">
        <f>'1 prepared data'!I904</f>
        <v/>
      </c>
      <c r="K911" s="7">
        <f>'1 prepared data'!J904</f>
        <v/>
      </c>
      <c r="L911" s="7">
        <f>'1 prepared data'!K904</f>
        <v/>
      </c>
      <c r="M911" s="7">
        <f>'1 prepared data'!L904</f>
        <v/>
      </c>
      <c r="N911" s="7">
        <f>'1 prepared data'!M904</f>
        <v/>
      </c>
      <c r="O911" s="7">
        <f>'1 prepared data'!N904</f>
        <v/>
      </c>
      <c r="P911" s="7">
        <f>'1 prepared data'!O904</f>
        <v/>
      </c>
      <c r="Q911" s="7">
        <f>'1 prepared data'!P904</f>
        <v/>
      </c>
      <c r="R911" s="7">
        <f>'1 prepared data'!Q904</f>
        <v/>
      </c>
      <c r="S911" s="7">
        <f>'1 prepared data'!R904</f>
        <v/>
      </c>
      <c r="T911" s="7">
        <f>'1 prepared data'!S904</f>
        <v/>
      </c>
      <c r="U911" s="7">
        <f>'1 prepared data'!T904</f>
        <v/>
      </c>
      <c r="V911" s="8">
        <f>$AC$12+D911*$AC$13+E911*$AC$14+F911*$AC$15+G911*$AC$16+H911*$AC$17+I911*$AC$18+J911*$AC$19+K911*$AC$20+L911*$AC$21+M911*$AC$22+N911*$AC$23+O911*$AC$24+P911*$AC$25+Q911*$AC$26+R911*$AC$27+S911*$AC$28+T911*$AC$29+U911*$AC$30</f>
        <v/>
      </c>
      <c r="W911" s="8">
        <f>1/(1+EXP(-V911))</f>
        <v/>
      </c>
      <c r="X911" s="9">
        <f>-IF(C911=1,LN(W911),LN(1-W911))</f>
        <v/>
      </c>
      <c r="Y911" s="10">
        <f>IF(W911&gt;$AC$34,1,0)</f>
        <v/>
      </c>
      <c r="Z911">
        <f>IF(Y911=C911,1,0)</f>
        <v/>
      </c>
    </row>
    <row r="912">
      <c r="A912">
        <f>'1 prepared data'!A905</f>
        <v/>
      </c>
      <c r="B912" s="5">
        <f>'1 prepared data'!U905</f>
        <v/>
      </c>
      <c r="C912">
        <f>'1 prepared data'!B905</f>
        <v/>
      </c>
      <c r="D912" s="7">
        <f>'1 prepared data'!C905</f>
        <v/>
      </c>
      <c r="E912" s="7">
        <f>'1 prepared data'!D905</f>
        <v/>
      </c>
      <c r="F912" s="7">
        <f>'1 prepared data'!E905</f>
        <v/>
      </c>
      <c r="G912" s="7">
        <f>'1 prepared data'!F905</f>
        <v/>
      </c>
      <c r="H912" s="7">
        <f>'1 prepared data'!G905</f>
        <v/>
      </c>
      <c r="I912" s="7">
        <f>'1 prepared data'!H905</f>
        <v/>
      </c>
      <c r="J912" s="7">
        <f>'1 prepared data'!I905</f>
        <v/>
      </c>
      <c r="K912" s="7">
        <f>'1 prepared data'!J905</f>
        <v/>
      </c>
      <c r="L912" s="7">
        <f>'1 prepared data'!K905</f>
        <v/>
      </c>
      <c r="M912" s="7">
        <f>'1 prepared data'!L905</f>
        <v/>
      </c>
      <c r="N912" s="7">
        <f>'1 prepared data'!M905</f>
        <v/>
      </c>
      <c r="O912" s="7">
        <f>'1 prepared data'!N905</f>
        <v/>
      </c>
      <c r="P912" s="7">
        <f>'1 prepared data'!O905</f>
        <v/>
      </c>
      <c r="Q912" s="7">
        <f>'1 prepared data'!P905</f>
        <v/>
      </c>
      <c r="R912" s="7">
        <f>'1 prepared data'!Q905</f>
        <v/>
      </c>
      <c r="S912" s="7">
        <f>'1 prepared data'!R905</f>
        <v/>
      </c>
      <c r="T912" s="7">
        <f>'1 prepared data'!S905</f>
        <v/>
      </c>
      <c r="U912" s="7">
        <f>'1 prepared data'!T905</f>
        <v/>
      </c>
      <c r="V912" s="8">
        <f>$AC$12+D912*$AC$13+E912*$AC$14+F912*$AC$15+G912*$AC$16+H912*$AC$17+I912*$AC$18+J912*$AC$19+K912*$AC$20+L912*$AC$21+M912*$AC$22+N912*$AC$23+O912*$AC$24+P912*$AC$25+Q912*$AC$26+R912*$AC$27+S912*$AC$28+T912*$AC$29+U912*$AC$30</f>
        <v/>
      </c>
      <c r="W912" s="8">
        <f>1/(1+EXP(-V912))</f>
        <v/>
      </c>
      <c r="X912" s="9">
        <f>-IF(C912=1,LN(W912),LN(1-W912))</f>
        <v/>
      </c>
      <c r="Y912" s="10">
        <f>IF(W912&gt;$AC$34,1,0)</f>
        <v/>
      </c>
      <c r="Z912">
        <f>IF(Y912=C912,1,0)</f>
        <v/>
      </c>
    </row>
    <row r="913">
      <c r="A913">
        <f>'1 prepared data'!A906</f>
        <v/>
      </c>
      <c r="B913" s="5">
        <f>'1 prepared data'!U906</f>
        <v/>
      </c>
      <c r="C913">
        <f>'1 prepared data'!B906</f>
        <v/>
      </c>
      <c r="D913" s="7">
        <f>'1 prepared data'!C906</f>
        <v/>
      </c>
      <c r="E913" s="7">
        <f>'1 prepared data'!D906</f>
        <v/>
      </c>
      <c r="F913" s="7">
        <f>'1 prepared data'!E906</f>
        <v/>
      </c>
      <c r="G913" s="7">
        <f>'1 prepared data'!F906</f>
        <v/>
      </c>
      <c r="H913" s="7">
        <f>'1 prepared data'!G906</f>
        <v/>
      </c>
      <c r="I913" s="7">
        <f>'1 prepared data'!H906</f>
        <v/>
      </c>
      <c r="J913" s="7">
        <f>'1 prepared data'!I906</f>
        <v/>
      </c>
      <c r="K913" s="7">
        <f>'1 prepared data'!J906</f>
        <v/>
      </c>
      <c r="L913" s="7">
        <f>'1 prepared data'!K906</f>
        <v/>
      </c>
      <c r="M913" s="7">
        <f>'1 prepared data'!L906</f>
        <v/>
      </c>
      <c r="N913" s="7">
        <f>'1 prepared data'!M906</f>
        <v/>
      </c>
      <c r="O913" s="7">
        <f>'1 prepared data'!N906</f>
        <v/>
      </c>
      <c r="P913" s="7">
        <f>'1 prepared data'!O906</f>
        <v/>
      </c>
      <c r="Q913" s="7">
        <f>'1 prepared data'!P906</f>
        <v/>
      </c>
      <c r="R913" s="7">
        <f>'1 prepared data'!Q906</f>
        <v/>
      </c>
      <c r="S913" s="7">
        <f>'1 prepared data'!R906</f>
        <v/>
      </c>
      <c r="T913" s="7">
        <f>'1 prepared data'!S906</f>
        <v/>
      </c>
      <c r="U913" s="7">
        <f>'1 prepared data'!T906</f>
        <v/>
      </c>
      <c r="V913" s="8">
        <f>$AC$12+D913*$AC$13+E913*$AC$14+F913*$AC$15+G913*$AC$16+H913*$AC$17+I913*$AC$18+J913*$AC$19+K913*$AC$20+L913*$AC$21+M913*$AC$22+N913*$AC$23+O913*$AC$24+P913*$AC$25+Q913*$AC$26+R913*$AC$27+S913*$AC$28+T913*$AC$29+U913*$AC$30</f>
        <v/>
      </c>
      <c r="W913" s="8">
        <f>1/(1+EXP(-V913))</f>
        <v/>
      </c>
      <c r="X913" s="9">
        <f>-IF(C913=1,LN(W913),LN(1-W913))</f>
        <v/>
      </c>
      <c r="Y913" s="10">
        <f>IF(W913&gt;$AC$34,1,0)</f>
        <v/>
      </c>
      <c r="Z913">
        <f>IF(Y913=C913,1,0)</f>
        <v/>
      </c>
    </row>
    <row r="914">
      <c r="A914">
        <f>'1 prepared data'!A907</f>
        <v/>
      </c>
      <c r="B914" s="5">
        <f>'1 prepared data'!U907</f>
        <v/>
      </c>
      <c r="C914">
        <f>'1 prepared data'!B907</f>
        <v/>
      </c>
      <c r="D914" s="7">
        <f>'1 prepared data'!C907</f>
        <v/>
      </c>
      <c r="E914" s="7">
        <f>'1 prepared data'!D907</f>
        <v/>
      </c>
      <c r="F914" s="7">
        <f>'1 prepared data'!E907</f>
        <v/>
      </c>
      <c r="G914" s="7">
        <f>'1 prepared data'!F907</f>
        <v/>
      </c>
      <c r="H914" s="7">
        <f>'1 prepared data'!G907</f>
        <v/>
      </c>
      <c r="I914" s="7">
        <f>'1 prepared data'!H907</f>
        <v/>
      </c>
      <c r="J914" s="7">
        <f>'1 prepared data'!I907</f>
        <v/>
      </c>
      <c r="K914" s="7">
        <f>'1 prepared data'!J907</f>
        <v/>
      </c>
      <c r="L914" s="7">
        <f>'1 prepared data'!K907</f>
        <v/>
      </c>
      <c r="M914" s="7">
        <f>'1 prepared data'!L907</f>
        <v/>
      </c>
      <c r="N914" s="7">
        <f>'1 prepared data'!M907</f>
        <v/>
      </c>
      <c r="O914" s="7">
        <f>'1 prepared data'!N907</f>
        <v/>
      </c>
      <c r="P914" s="7">
        <f>'1 prepared data'!O907</f>
        <v/>
      </c>
      <c r="Q914" s="7">
        <f>'1 prepared data'!P907</f>
        <v/>
      </c>
      <c r="R914" s="7">
        <f>'1 prepared data'!Q907</f>
        <v/>
      </c>
      <c r="S914" s="7">
        <f>'1 prepared data'!R907</f>
        <v/>
      </c>
      <c r="T914" s="7">
        <f>'1 prepared data'!S907</f>
        <v/>
      </c>
      <c r="U914" s="7">
        <f>'1 prepared data'!T907</f>
        <v/>
      </c>
      <c r="V914" s="8">
        <f>$AC$12+D914*$AC$13+E914*$AC$14+F914*$AC$15+G914*$AC$16+H914*$AC$17+I914*$AC$18+J914*$AC$19+K914*$AC$20+L914*$AC$21+M914*$AC$22+N914*$AC$23+O914*$AC$24+P914*$AC$25+Q914*$AC$26+R914*$AC$27+S914*$AC$28+T914*$AC$29+U914*$AC$30</f>
        <v/>
      </c>
      <c r="W914" s="8">
        <f>1/(1+EXP(-V914))</f>
        <v/>
      </c>
      <c r="X914" s="9">
        <f>-IF(C914=1,LN(W914),LN(1-W914))</f>
        <v/>
      </c>
      <c r="Y914" s="10">
        <f>IF(W914&gt;$AC$34,1,0)</f>
        <v/>
      </c>
      <c r="Z914">
        <f>IF(Y914=C914,1,0)</f>
        <v/>
      </c>
    </row>
    <row r="915">
      <c r="A915">
        <f>'1 prepared data'!A908</f>
        <v/>
      </c>
      <c r="B915" s="5">
        <f>'1 prepared data'!U908</f>
        <v/>
      </c>
      <c r="C915">
        <f>'1 prepared data'!B908</f>
        <v/>
      </c>
      <c r="D915" s="7">
        <f>'1 prepared data'!C908</f>
        <v/>
      </c>
      <c r="E915" s="7">
        <f>'1 prepared data'!D908</f>
        <v/>
      </c>
      <c r="F915" s="7">
        <f>'1 prepared data'!E908</f>
        <v/>
      </c>
      <c r="G915" s="7">
        <f>'1 prepared data'!F908</f>
        <v/>
      </c>
      <c r="H915" s="7">
        <f>'1 prepared data'!G908</f>
        <v/>
      </c>
      <c r="I915" s="7">
        <f>'1 prepared data'!H908</f>
        <v/>
      </c>
      <c r="J915" s="7">
        <f>'1 prepared data'!I908</f>
        <v/>
      </c>
      <c r="K915" s="7">
        <f>'1 prepared data'!J908</f>
        <v/>
      </c>
      <c r="L915" s="7">
        <f>'1 prepared data'!K908</f>
        <v/>
      </c>
      <c r="M915" s="7">
        <f>'1 prepared data'!L908</f>
        <v/>
      </c>
      <c r="N915" s="7">
        <f>'1 prepared data'!M908</f>
        <v/>
      </c>
      <c r="O915" s="7">
        <f>'1 prepared data'!N908</f>
        <v/>
      </c>
      <c r="P915" s="7">
        <f>'1 prepared data'!O908</f>
        <v/>
      </c>
      <c r="Q915" s="7">
        <f>'1 prepared data'!P908</f>
        <v/>
      </c>
      <c r="R915" s="7">
        <f>'1 prepared data'!Q908</f>
        <v/>
      </c>
      <c r="S915" s="7">
        <f>'1 prepared data'!R908</f>
        <v/>
      </c>
      <c r="T915" s="7">
        <f>'1 prepared data'!S908</f>
        <v/>
      </c>
      <c r="U915" s="7">
        <f>'1 prepared data'!T908</f>
        <v/>
      </c>
      <c r="V915" s="8">
        <f>$AC$12+D915*$AC$13+E915*$AC$14+F915*$AC$15+G915*$AC$16+H915*$AC$17+I915*$AC$18+J915*$AC$19+K915*$AC$20+L915*$AC$21+M915*$AC$22+N915*$AC$23+O915*$AC$24+P915*$AC$25+Q915*$AC$26+R915*$AC$27+S915*$AC$28+T915*$AC$29+U915*$AC$30</f>
        <v/>
      </c>
      <c r="W915" s="8">
        <f>1/(1+EXP(-V915))</f>
        <v/>
      </c>
      <c r="X915" s="9">
        <f>-IF(C915=1,LN(W915),LN(1-W915))</f>
        <v/>
      </c>
      <c r="Y915" s="10">
        <f>IF(W915&gt;$AC$34,1,0)</f>
        <v/>
      </c>
      <c r="Z915">
        <f>IF(Y915=C915,1,0)</f>
        <v/>
      </c>
    </row>
    <row r="916">
      <c r="A916">
        <f>'1 prepared data'!A909</f>
        <v/>
      </c>
      <c r="B916" s="5">
        <f>'1 prepared data'!U909</f>
        <v/>
      </c>
      <c r="C916">
        <f>'1 prepared data'!B909</f>
        <v/>
      </c>
      <c r="D916" s="7">
        <f>'1 prepared data'!C909</f>
        <v/>
      </c>
      <c r="E916" s="7">
        <f>'1 prepared data'!D909</f>
        <v/>
      </c>
      <c r="F916" s="7">
        <f>'1 prepared data'!E909</f>
        <v/>
      </c>
      <c r="G916" s="7">
        <f>'1 prepared data'!F909</f>
        <v/>
      </c>
      <c r="H916" s="7">
        <f>'1 prepared data'!G909</f>
        <v/>
      </c>
      <c r="I916" s="7">
        <f>'1 prepared data'!H909</f>
        <v/>
      </c>
      <c r="J916" s="7">
        <f>'1 prepared data'!I909</f>
        <v/>
      </c>
      <c r="K916" s="7">
        <f>'1 prepared data'!J909</f>
        <v/>
      </c>
      <c r="L916" s="7">
        <f>'1 prepared data'!K909</f>
        <v/>
      </c>
      <c r="M916" s="7">
        <f>'1 prepared data'!L909</f>
        <v/>
      </c>
      <c r="N916" s="7">
        <f>'1 prepared data'!M909</f>
        <v/>
      </c>
      <c r="O916" s="7">
        <f>'1 prepared data'!N909</f>
        <v/>
      </c>
      <c r="P916" s="7">
        <f>'1 prepared data'!O909</f>
        <v/>
      </c>
      <c r="Q916" s="7">
        <f>'1 prepared data'!P909</f>
        <v/>
      </c>
      <c r="R916" s="7">
        <f>'1 prepared data'!Q909</f>
        <v/>
      </c>
      <c r="S916" s="7">
        <f>'1 prepared data'!R909</f>
        <v/>
      </c>
      <c r="T916" s="7">
        <f>'1 prepared data'!S909</f>
        <v/>
      </c>
      <c r="U916" s="7">
        <f>'1 prepared data'!T909</f>
        <v/>
      </c>
      <c r="V916" s="8">
        <f>$AC$12+D916*$AC$13+E916*$AC$14+F916*$AC$15+G916*$AC$16+H916*$AC$17+I916*$AC$18+J916*$AC$19+K916*$AC$20+L916*$AC$21+M916*$AC$22+N916*$AC$23+O916*$AC$24+P916*$AC$25+Q916*$AC$26+R916*$AC$27+S916*$AC$28+T916*$AC$29+U916*$AC$30</f>
        <v/>
      </c>
      <c r="W916" s="8">
        <f>1/(1+EXP(-V916))</f>
        <v/>
      </c>
      <c r="X916" s="9">
        <f>-IF(C916=1,LN(W916),LN(1-W916))</f>
        <v/>
      </c>
      <c r="Y916" s="10">
        <f>IF(W916&gt;$AC$34,1,0)</f>
        <v/>
      </c>
      <c r="Z916">
        <f>IF(Y916=C916,1,0)</f>
        <v/>
      </c>
    </row>
    <row r="917">
      <c r="A917">
        <f>'1 prepared data'!A910</f>
        <v/>
      </c>
      <c r="B917" s="5">
        <f>'1 prepared data'!U910</f>
        <v/>
      </c>
      <c r="C917">
        <f>'1 prepared data'!B910</f>
        <v/>
      </c>
      <c r="D917" s="7">
        <f>'1 prepared data'!C910</f>
        <v/>
      </c>
      <c r="E917" s="7">
        <f>'1 prepared data'!D910</f>
        <v/>
      </c>
      <c r="F917" s="7">
        <f>'1 prepared data'!E910</f>
        <v/>
      </c>
      <c r="G917" s="7">
        <f>'1 prepared data'!F910</f>
        <v/>
      </c>
      <c r="H917" s="7">
        <f>'1 prepared data'!G910</f>
        <v/>
      </c>
      <c r="I917" s="7">
        <f>'1 prepared data'!H910</f>
        <v/>
      </c>
      <c r="J917" s="7">
        <f>'1 prepared data'!I910</f>
        <v/>
      </c>
      <c r="K917" s="7">
        <f>'1 prepared data'!J910</f>
        <v/>
      </c>
      <c r="L917" s="7">
        <f>'1 prepared data'!K910</f>
        <v/>
      </c>
      <c r="M917" s="7">
        <f>'1 prepared data'!L910</f>
        <v/>
      </c>
      <c r="N917" s="7">
        <f>'1 prepared data'!M910</f>
        <v/>
      </c>
      <c r="O917" s="7">
        <f>'1 prepared data'!N910</f>
        <v/>
      </c>
      <c r="P917" s="7">
        <f>'1 prepared data'!O910</f>
        <v/>
      </c>
      <c r="Q917" s="7">
        <f>'1 prepared data'!P910</f>
        <v/>
      </c>
      <c r="R917" s="7">
        <f>'1 prepared data'!Q910</f>
        <v/>
      </c>
      <c r="S917" s="7">
        <f>'1 prepared data'!R910</f>
        <v/>
      </c>
      <c r="T917" s="7">
        <f>'1 prepared data'!S910</f>
        <v/>
      </c>
      <c r="U917" s="7">
        <f>'1 prepared data'!T910</f>
        <v/>
      </c>
      <c r="V917" s="8">
        <f>$AC$12+D917*$AC$13+E917*$AC$14+F917*$AC$15+G917*$AC$16+H917*$AC$17+I917*$AC$18+J917*$AC$19+K917*$AC$20+L917*$AC$21+M917*$AC$22+N917*$AC$23+O917*$AC$24+P917*$AC$25+Q917*$AC$26+R917*$AC$27+S917*$AC$28+T917*$AC$29+U917*$AC$30</f>
        <v/>
      </c>
      <c r="W917" s="8">
        <f>1/(1+EXP(-V917))</f>
        <v/>
      </c>
      <c r="X917" s="9">
        <f>-IF(C917=1,LN(W917),LN(1-W917))</f>
        <v/>
      </c>
      <c r="Y917" s="10">
        <f>IF(W917&gt;$AC$34,1,0)</f>
        <v/>
      </c>
      <c r="Z917">
        <f>IF(Y917=C917,1,0)</f>
        <v/>
      </c>
    </row>
    <row r="918">
      <c r="A918">
        <f>'1 prepared data'!A911</f>
        <v/>
      </c>
      <c r="B918" s="5">
        <f>'1 prepared data'!U911</f>
        <v/>
      </c>
      <c r="C918">
        <f>'1 prepared data'!B911</f>
        <v/>
      </c>
      <c r="D918" s="7">
        <f>'1 prepared data'!C911</f>
        <v/>
      </c>
      <c r="E918" s="7">
        <f>'1 prepared data'!D911</f>
        <v/>
      </c>
      <c r="F918" s="7">
        <f>'1 prepared data'!E911</f>
        <v/>
      </c>
      <c r="G918" s="7">
        <f>'1 prepared data'!F911</f>
        <v/>
      </c>
      <c r="H918" s="7">
        <f>'1 prepared data'!G911</f>
        <v/>
      </c>
      <c r="I918" s="7">
        <f>'1 prepared data'!H911</f>
        <v/>
      </c>
      <c r="J918" s="7">
        <f>'1 prepared data'!I911</f>
        <v/>
      </c>
      <c r="K918" s="7">
        <f>'1 prepared data'!J911</f>
        <v/>
      </c>
      <c r="L918" s="7">
        <f>'1 prepared data'!K911</f>
        <v/>
      </c>
      <c r="M918" s="7">
        <f>'1 prepared data'!L911</f>
        <v/>
      </c>
      <c r="N918" s="7">
        <f>'1 prepared data'!M911</f>
        <v/>
      </c>
      <c r="O918" s="7">
        <f>'1 prepared data'!N911</f>
        <v/>
      </c>
      <c r="P918" s="7">
        <f>'1 prepared data'!O911</f>
        <v/>
      </c>
      <c r="Q918" s="7">
        <f>'1 prepared data'!P911</f>
        <v/>
      </c>
      <c r="R918" s="7">
        <f>'1 prepared data'!Q911</f>
        <v/>
      </c>
      <c r="S918" s="7">
        <f>'1 prepared data'!R911</f>
        <v/>
      </c>
      <c r="T918" s="7">
        <f>'1 prepared data'!S911</f>
        <v/>
      </c>
      <c r="U918" s="7">
        <f>'1 prepared data'!T911</f>
        <v/>
      </c>
      <c r="V918" s="8">
        <f>$AC$12+D918*$AC$13+E918*$AC$14+F918*$AC$15+G918*$AC$16+H918*$AC$17+I918*$AC$18+J918*$AC$19+K918*$AC$20+L918*$AC$21+M918*$AC$22+N918*$AC$23+O918*$AC$24+P918*$AC$25+Q918*$AC$26+R918*$AC$27+S918*$AC$28+T918*$AC$29+U918*$AC$30</f>
        <v/>
      </c>
      <c r="W918" s="8">
        <f>1/(1+EXP(-V918))</f>
        <v/>
      </c>
      <c r="X918" s="9">
        <f>-IF(C918=1,LN(W918),LN(1-W918))</f>
        <v/>
      </c>
      <c r="Y918" s="10">
        <f>IF(W918&gt;$AC$34,1,0)</f>
        <v/>
      </c>
      <c r="Z918">
        <f>IF(Y918=C918,1,0)</f>
        <v/>
      </c>
    </row>
    <row r="919">
      <c r="A919">
        <f>'1 prepared data'!A912</f>
        <v/>
      </c>
      <c r="B919" s="5">
        <f>'1 prepared data'!U912</f>
        <v/>
      </c>
      <c r="C919">
        <f>'1 prepared data'!B912</f>
        <v/>
      </c>
      <c r="D919" s="7">
        <f>'1 prepared data'!C912</f>
        <v/>
      </c>
      <c r="E919" s="7">
        <f>'1 prepared data'!D912</f>
        <v/>
      </c>
      <c r="F919" s="7">
        <f>'1 prepared data'!E912</f>
        <v/>
      </c>
      <c r="G919" s="7">
        <f>'1 prepared data'!F912</f>
        <v/>
      </c>
      <c r="H919" s="7">
        <f>'1 prepared data'!G912</f>
        <v/>
      </c>
      <c r="I919" s="7">
        <f>'1 prepared data'!H912</f>
        <v/>
      </c>
      <c r="J919" s="7">
        <f>'1 prepared data'!I912</f>
        <v/>
      </c>
      <c r="K919" s="7">
        <f>'1 prepared data'!J912</f>
        <v/>
      </c>
      <c r="L919" s="7">
        <f>'1 prepared data'!K912</f>
        <v/>
      </c>
      <c r="M919" s="7">
        <f>'1 prepared data'!L912</f>
        <v/>
      </c>
      <c r="N919" s="7">
        <f>'1 prepared data'!M912</f>
        <v/>
      </c>
      <c r="O919" s="7">
        <f>'1 prepared data'!N912</f>
        <v/>
      </c>
      <c r="P919" s="7">
        <f>'1 prepared data'!O912</f>
        <v/>
      </c>
      <c r="Q919" s="7">
        <f>'1 prepared data'!P912</f>
        <v/>
      </c>
      <c r="R919" s="7">
        <f>'1 prepared data'!Q912</f>
        <v/>
      </c>
      <c r="S919" s="7">
        <f>'1 prepared data'!R912</f>
        <v/>
      </c>
      <c r="T919" s="7">
        <f>'1 prepared data'!S912</f>
        <v/>
      </c>
      <c r="U919" s="7">
        <f>'1 prepared data'!T912</f>
        <v/>
      </c>
      <c r="V919" s="8">
        <f>$AC$12+D919*$AC$13+E919*$AC$14+F919*$AC$15+G919*$AC$16+H919*$AC$17+I919*$AC$18+J919*$AC$19+K919*$AC$20+L919*$AC$21+M919*$AC$22+N919*$AC$23+O919*$AC$24+P919*$AC$25+Q919*$AC$26+R919*$AC$27+S919*$AC$28+T919*$AC$29+U919*$AC$30</f>
        <v/>
      </c>
      <c r="W919" s="8">
        <f>1/(1+EXP(-V919))</f>
        <v/>
      </c>
      <c r="X919" s="9">
        <f>-IF(C919=1,LN(W919),LN(1-W919))</f>
        <v/>
      </c>
      <c r="Y919" s="10">
        <f>IF(W919&gt;$AC$34,1,0)</f>
        <v/>
      </c>
      <c r="Z919">
        <f>IF(Y919=C919,1,0)</f>
        <v/>
      </c>
    </row>
    <row r="920">
      <c r="A920">
        <f>'1 prepared data'!A913</f>
        <v/>
      </c>
      <c r="B920" s="5">
        <f>'1 prepared data'!U913</f>
        <v/>
      </c>
      <c r="C920">
        <f>'1 prepared data'!B913</f>
        <v/>
      </c>
      <c r="D920" s="7">
        <f>'1 prepared data'!C913</f>
        <v/>
      </c>
      <c r="E920" s="7">
        <f>'1 prepared data'!D913</f>
        <v/>
      </c>
      <c r="F920" s="7">
        <f>'1 prepared data'!E913</f>
        <v/>
      </c>
      <c r="G920" s="7">
        <f>'1 prepared data'!F913</f>
        <v/>
      </c>
      <c r="H920" s="7">
        <f>'1 prepared data'!G913</f>
        <v/>
      </c>
      <c r="I920" s="7">
        <f>'1 prepared data'!H913</f>
        <v/>
      </c>
      <c r="J920" s="7">
        <f>'1 prepared data'!I913</f>
        <v/>
      </c>
      <c r="K920" s="7">
        <f>'1 prepared data'!J913</f>
        <v/>
      </c>
      <c r="L920" s="7">
        <f>'1 prepared data'!K913</f>
        <v/>
      </c>
      <c r="M920" s="7">
        <f>'1 prepared data'!L913</f>
        <v/>
      </c>
      <c r="N920" s="7">
        <f>'1 prepared data'!M913</f>
        <v/>
      </c>
      <c r="O920" s="7">
        <f>'1 prepared data'!N913</f>
        <v/>
      </c>
      <c r="P920" s="7">
        <f>'1 prepared data'!O913</f>
        <v/>
      </c>
      <c r="Q920" s="7">
        <f>'1 prepared data'!P913</f>
        <v/>
      </c>
      <c r="R920" s="7">
        <f>'1 prepared data'!Q913</f>
        <v/>
      </c>
      <c r="S920" s="7">
        <f>'1 prepared data'!R913</f>
        <v/>
      </c>
      <c r="T920" s="7">
        <f>'1 prepared data'!S913</f>
        <v/>
      </c>
      <c r="U920" s="7">
        <f>'1 prepared data'!T913</f>
        <v/>
      </c>
      <c r="V920" s="8">
        <f>$AC$12+D920*$AC$13+E920*$AC$14+F920*$AC$15+G920*$AC$16+H920*$AC$17+I920*$AC$18+J920*$AC$19+K920*$AC$20+L920*$AC$21+M920*$AC$22+N920*$AC$23+O920*$AC$24+P920*$AC$25+Q920*$AC$26+R920*$AC$27+S920*$AC$28+T920*$AC$29+U920*$AC$30</f>
        <v/>
      </c>
      <c r="W920" s="8">
        <f>1/(1+EXP(-V920))</f>
        <v/>
      </c>
      <c r="X920" s="9">
        <f>-IF(C920=1,LN(W920),LN(1-W920))</f>
        <v/>
      </c>
      <c r="Y920" s="10">
        <f>IF(W920&gt;$AC$34,1,0)</f>
        <v/>
      </c>
      <c r="Z920">
        <f>IF(Y920=C920,1,0)</f>
        <v/>
      </c>
    </row>
    <row r="921">
      <c r="A921">
        <f>'1 prepared data'!A914</f>
        <v/>
      </c>
      <c r="B921" s="5">
        <f>'1 prepared data'!U914</f>
        <v/>
      </c>
      <c r="C921">
        <f>'1 prepared data'!B914</f>
        <v/>
      </c>
      <c r="D921" s="7">
        <f>'1 prepared data'!C914</f>
        <v/>
      </c>
      <c r="E921" s="7">
        <f>'1 prepared data'!D914</f>
        <v/>
      </c>
      <c r="F921" s="7">
        <f>'1 prepared data'!E914</f>
        <v/>
      </c>
      <c r="G921" s="7">
        <f>'1 prepared data'!F914</f>
        <v/>
      </c>
      <c r="H921" s="7">
        <f>'1 prepared data'!G914</f>
        <v/>
      </c>
      <c r="I921" s="7">
        <f>'1 prepared data'!H914</f>
        <v/>
      </c>
      <c r="J921" s="7">
        <f>'1 prepared data'!I914</f>
        <v/>
      </c>
      <c r="K921" s="7">
        <f>'1 prepared data'!J914</f>
        <v/>
      </c>
      <c r="L921" s="7">
        <f>'1 prepared data'!K914</f>
        <v/>
      </c>
      <c r="M921" s="7">
        <f>'1 prepared data'!L914</f>
        <v/>
      </c>
      <c r="N921" s="7">
        <f>'1 prepared data'!M914</f>
        <v/>
      </c>
      <c r="O921" s="7">
        <f>'1 prepared data'!N914</f>
        <v/>
      </c>
      <c r="P921" s="7">
        <f>'1 prepared data'!O914</f>
        <v/>
      </c>
      <c r="Q921" s="7">
        <f>'1 prepared data'!P914</f>
        <v/>
      </c>
      <c r="R921" s="7">
        <f>'1 prepared data'!Q914</f>
        <v/>
      </c>
      <c r="S921" s="7">
        <f>'1 prepared data'!R914</f>
        <v/>
      </c>
      <c r="T921" s="7">
        <f>'1 prepared data'!S914</f>
        <v/>
      </c>
      <c r="U921" s="7">
        <f>'1 prepared data'!T914</f>
        <v/>
      </c>
      <c r="V921" s="8">
        <f>$AC$12+D921*$AC$13+E921*$AC$14+F921*$AC$15+G921*$AC$16+H921*$AC$17+I921*$AC$18+J921*$AC$19+K921*$AC$20+L921*$AC$21+M921*$AC$22+N921*$AC$23+O921*$AC$24+P921*$AC$25+Q921*$AC$26+R921*$AC$27+S921*$AC$28+T921*$AC$29+U921*$AC$30</f>
        <v/>
      </c>
      <c r="W921" s="8">
        <f>1/(1+EXP(-V921))</f>
        <v/>
      </c>
      <c r="X921" s="9">
        <f>-IF(C921=1,LN(W921),LN(1-W921))</f>
        <v/>
      </c>
      <c r="Y921" s="10">
        <f>IF(W921&gt;$AC$34,1,0)</f>
        <v/>
      </c>
      <c r="Z921">
        <f>IF(Y921=C921,1,0)</f>
        <v/>
      </c>
    </row>
    <row r="922">
      <c r="A922">
        <f>'1 prepared data'!A915</f>
        <v/>
      </c>
      <c r="B922" s="5">
        <f>'1 prepared data'!U915</f>
        <v/>
      </c>
      <c r="C922">
        <f>'1 prepared data'!B915</f>
        <v/>
      </c>
      <c r="D922" s="7">
        <f>'1 prepared data'!C915</f>
        <v/>
      </c>
      <c r="E922" s="7">
        <f>'1 prepared data'!D915</f>
        <v/>
      </c>
      <c r="F922" s="7">
        <f>'1 prepared data'!E915</f>
        <v/>
      </c>
      <c r="G922" s="7">
        <f>'1 prepared data'!F915</f>
        <v/>
      </c>
      <c r="H922" s="7">
        <f>'1 prepared data'!G915</f>
        <v/>
      </c>
      <c r="I922" s="7">
        <f>'1 prepared data'!H915</f>
        <v/>
      </c>
      <c r="J922" s="7">
        <f>'1 prepared data'!I915</f>
        <v/>
      </c>
      <c r="K922" s="7">
        <f>'1 prepared data'!J915</f>
        <v/>
      </c>
      <c r="L922" s="7">
        <f>'1 prepared data'!K915</f>
        <v/>
      </c>
      <c r="M922" s="7">
        <f>'1 prepared data'!L915</f>
        <v/>
      </c>
      <c r="N922" s="7">
        <f>'1 prepared data'!M915</f>
        <v/>
      </c>
      <c r="O922" s="7">
        <f>'1 prepared data'!N915</f>
        <v/>
      </c>
      <c r="P922" s="7">
        <f>'1 prepared data'!O915</f>
        <v/>
      </c>
      <c r="Q922" s="7">
        <f>'1 prepared data'!P915</f>
        <v/>
      </c>
      <c r="R922" s="7">
        <f>'1 prepared data'!Q915</f>
        <v/>
      </c>
      <c r="S922" s="7">
        <f>'1 prepared data'!R915</f>
        <v/>
      </c>
      <c r="T922" s="7">
        <f>'1 prepared data'!S915</f>
        <v/>
      </c>
      <c r="U922" s="7">
        <f>'1 prepared data'!T915</f>
        <v/>
      </c>
      <c r="V922" s="8">
        <f>$AC$12+D922*$AC$13+E922*$AC$14+F922*$AC$15+G922*$AC$16+H922*$AC$17+I922*$AC$18+J922*$AC$19+K922*$AC$20+L922*$AC$21+M922*$AC$22+N922*$AC$23+O922*$AC$24+P922*$AC$25+Q922*$AC$26+R922*$AC$27+S922*$AC$28+T922*$AC$29+U922*$AC$30</f>
        <v/>
      </c>
      <c r="W922" s="8">
        <f>1/(1+EXP(-V922))</f>
        <v/>
      </c>
      <c r="X922" s="9">
        <f>-IF(C922=1,LN(W922),LN(1-W922))</f>
        <v/>
      </c>
      <c r="Y922" s="10">
        <f>IF(W922&gt;$AC$34,1,0)</f>
        <v/>
      </c>
      <c r="Z922">
        <f>IF(Y922=C922,1,0)</f>
        <v/>
      </c>
    </row>
    <row r="923">
      <c r="A923">
        <f>'1 prepared data'!A916</f>
        <v/>
      </c>
      <c r="B923" s="5">
        <f>'1 prepared data'!U916</f>
        <v/>
      </c>
      <c r="C923">
        <f>'1 prepared data'!B916</f>
        <v/>
      </c>
      <c r="D923" s="7">
        <f>'1 prepared data'!C916</f>
        <v/>
      </c>
      <c r="E923" s="7">
        <f>'1 prepared data'!D916</f>
        <v/>
      </c>
      <c r="F923" s="7">
        <f>'1 prepared data'!E916</f>
        <v/>
      </c>
      <c r="G923" s="7">
        <f>'1 prepared data'!F916</f>
        <v/>
      </c>
      <c r="H923" s="7">
        <f>'1 prepared data'!G916</f>
        <v/>
      </c>
      <c r="I923" s="7">
        <f>'1 prepared data'!H916</f>
        <v/>
      </c>
      <c r="J923" s="7">
        <f>'1 prepared data'!I916</f>
        <v/>
      </c>
      <c r="K923" s="7">
        <f>'1 prepared data'!J916</f>
        <v/>
      </c>
      <c r="L923" s="7">
        <f>'1 prepared data'!K916</f>
        <v/>
      </c>
      <c r="M923" s="7">
        <f>'1 prepared data'!L916</f>
        <v/>
      </c>
      <c r="N923" s="7">
        <f>'1 prepared data'!M916</f>
        <v/>
      </c>
      <c r="O923" s="7">
        <f>'1 prepared data'!N916</f>
        <v/>
      </c>
      <c r="P923" s="7">
        <f>'1 prepared data'!O916</f>
        <v/>
      </c>
      <c r="Q923" s="7">
        <f>'1 prepared data'!P916</f>
        <v/>
      </c>
      <c r="R923" s="7">
        <f>'1 prepared data'!Q916</f>
        <v/>
      </c>
      <c r="S923" s="7">
        <f>'1 prepared data'!R916</f>
        <v/>
      </c>
      <c r="T923" s="7">
        <f>'1 prepared data'!S916</f>
        <v/>
      </c>
      <c r="U923" s="7">
        <f>'1 prepared data'!T916</f>
        <v/>
      </c>
      <c r="V923" s="8">
        <f>$AC$12+D923*$AC$13+E923*$AC$14+F923*$AC$15+G923*$AC$16+H923*$AC$17+I923*$AC$18+J923*$AC$19+K923*$AC$20+L923*$AC$21+M923*$AC$22+N923*$AC$23+O923*$AC$24+P923*$AC$25+Q923*$AC$26+R923*$AC$27+S923*$AC$28+T923*$AC$29+U923*$AC$30</f>
        <v/>
      </c>
      <c r="W923" s="8">
        <f>1/(1+EXP(-V923))</f>
        <v/>
      </c>
      <c r="X923" s="9">
        <f>-IF(C923=1,LN(W923),LN(1-W923))</f>
        <v/>
      </c>
      <c r="Y923" s="10">
        <f>IF(W923&gt;$AC$34,1,0)</f>
        <v/>
      </c>
      <c r="Z923">
        <f>IF(Y923=C923,1,0)</f>
        <v/>
      </c>
    </row>
    <row r="924">
      <c r="A924">
        <f>'1 prepared data'!A917</f>
        <v/>
      </c>
      <c r="B924" s="5">
        <f>'1 prepared data'!U917</f>
        <v/>
      </c>
      <c r="C924">
        <f>'1 prepared data'!B917</f>
        <v/>
      </c>
      <c r="D924" s="7">
        <f>'1 prepared data'!C917</f>
        <v/>
      </c>
      <c r="E924" s="7">
        <f>'1 prepared data'!D917</f>
        <v/>
      </c>
      <c r="F924" s="7">
        <f>'1 prepared data'!E917</f>
        <v/>
      </c>
      <c r="G924" s="7">
        <f>'1 prepared data'!F917</f>
        <v/>
      </c>
      <c r="H924" s="7">
        <f>'1 prepared data'!G917</f>
        <v/>
      </c>
      <c r="I924" s="7">
        <f>'1 prepared data'!H917</f>
        <v/>
      </c>
      <c r="J924" s="7">
        <f>'1 prepared data'!I917</f>
        <v/>
      </c>
      <c r="K924" s="7">
        <f>'1 prepared data'!J917</f>
        <v/>
      </c>
      <c r="L924" s="7">
        <f>'1 prepared data'!K917</f>
        <v/>
      </c>
      <c r="M924" s="7">
        <f>'1 prepared data'!L917</f>
        <v/>
      </c>
      <c r="N924" s="7">
        <f>'1 prepared data'!M917</f>
        <v/>
      </c>
      <c r="O924" s="7">
        <f>'1 prepared data'!N917</f>
        <v/>
      </c>
      <c r="P924" s="7">
        <f>'1 prepared data'!O917</f>
        <v/>
      </c>
      <c r="Q924" s="7">
        <f>'1 prepared data'!P917</f>
        <v/>
      </c>
      <c r="R924" s="7">
        <f>'1 prepared data'!Q917</f>
        <v/>
      </c>
      <c r="S924" s="7">
        <f>'1 prepared data'!R917</f>
        <v/>
      </c>
      <c r="T924" s="7">
        <f>'1 prepared data'!S917</f>
        <v/>
      </c>
      <c r="U924" s="7">
        <f>'1 prepared data'!T917</f>
        <v/>
      </c>
      <c r="V924" s="8">
        <f>$AC$12+D924*$AC$13+E924*$AC$14+F924*$AC$15+G924*$AC$16+H924*$AC$17+I924*$AC$18+J924*$AC$19+K924*$AC$20+L924*$AC$21+M924*$AC$22+N924*$AC$23+O924*$AC$24+P924*$AC$25+Q924*$AC$26+R924*$AC$27+S924*$AC$28+T924*$AC$29+U924*$AC$30</f>
        <v/>
      </c>
      <c r="W924" s="8">
        <f>1/(1+EXP(-V924))</f>
        <v/>
      </c>
      <c r="X924" s="9">
        <f>-IF(C924=1,LN(W924),LN(1-W924))</f>
        <v/>
      </c>
      <c r="Y924" s="10">
        <f>IF(W924&gt;$AC$34,1,0)</f>
        <v/>
      </c>
      <c r="Z924">
        <f>IF(Y924=C924,1,0)</f>
        <v/>
      </c>
    </row>
    <row r="925">
      <c r="A925">
        <f>'1 prepared data'!A918</f>
        <v/>
      </c>
      <c r="B925" s="5">
        <f>'1 prepared data'!U918</f>
        <v/>
      </c>
      <c r="C925">
        <f>'1 prepared data'!B918</f>
        <v/>
      </c>
      <c r="D925" s="7">
        <f>'1 prepared data'!C918</f>
        <v/>
      </c>
      <c r="E925" s="7">
        <f>'1 prepared data'!D918</f>
        <v/>
      </c>
      <c r="F925" s="7">
        <f>'1 prepared data'!E918</f>
        <v/>
      </c>
      <c r="G925" s="7">
        <f>'1 prepared data'!F918</f>
        <v/>
      </c>
      <c r="H925" s="7">
        <f>'1 prepared data'!G918</f>
        <v/>
      </c>
      <c r="I925" s="7">
        <f>'1 prepared data'!H918</f>
        <v/>
      </c>
      <c r="J925" s="7">
        <f>'1 prepared data'!I918</f>
        <v/>
      </c>
      <c r="K925" s="7">
        <f>'1 prepared data'!J918</f>
        <v/>
      </c>
      <c r="L925" s="7">
        <f>'1 prepared data'!K918</f>
        <v/>
      </c>
      <c r="M925" s="7">
        <f>'1 prepared data'!L918</f>
        <v/>
      </c>
      <c r="N925" s="7">
        <f>'1 prepared data'!M918</f>
        <v/>
      </c>
      <c r="O925" s="7">
        <f>'1 prepared data'!N918</f>
        <v/>
      </c>
      <c r="P925" s="7">
        <f>'1 prepared data'!O918</f>
        <v/>
      </c>
      <c r="Q925" s="7">
        <f>'1 prepared data'!P918</f>
        <v/>
      </c>
      <c r="R925" s="7">
        <f>'1 prepared data'!Q918</f>
        <v/>
      </c>
      <c r="S925" s="7">
        <f>'1 prepared data'!R918</f>
        <v/>
      </c>
      <c r="T925" s="7">
        <f>'1 prepared data'!S918</f>
        <v/>
      </c>
      <c r="U925" s="7">
        <f>'1 prepared data'!T918</f>
        <v/>
      </c>
      <c r="V925" s="8">
        <f>$AC$12+D925*$AC$13+E925*$AC$14+F925*$AC$15+G925*$AC$16+H925*$AC$17+I925*$AC$18+J925*$AC$19+K925*$AC$20+L925*$AC$21+M925*$AC$22+N925*$AC$23+O925*$AC$24+P925*$AC$25+Q925*$AC$26+R925*$AC$27+S925*$AC$28+T925*$AC$29+U925*$AC$30</f>
        <v/>
      </c>
      <c r="W925" s="8">
        <f>1/(1+EXP(-V925))</f>
        <v/>
      </c>
      <c r="X925" s="9">
        <f>-IF(C925=1,LN(W925),LN(1-W925))</f>
        <v/>
      </c>
      <c r="Y925" s="10">
        <f>IF(W925&gt;$AC$34,1,0)</f>
        <v/>
      </c>
      <c r="Z925">
        <f>IF(Y925=C925,1,0)</f>
        <v/>
      </c>
    </row>
    <row r="926">
      <c r="A926">
        <f>'1 prepared data'!A919</f>
        <v/>
      </c>
      <c r="B926" s="5">
        <f>'1 prepared data'!U919</f>
        <v/>
      </c>
      <c r="C926">
        <f>'1 prepared data'!B919</f>
        <v/>
      </c>
      <c r="D926" s="7">
        <f>'1 prepared data'!C919</f>
        <v/>
      </c>
      <c r="E926" s="7">
        <f>'1 prepared data'!D919</f>
        <v/>
      </c>
      <c r="F926" s="7">
        <f>'1 prepared data'!E919</f>
        <v/>
      </c>
      <c r="G926" s="7">
        <f>'1 prepared data'!F919</f>
        <v/>
      </c>
      <c r="H926" s="7">
        <f>'1 prepared data'!G919</f>
        <v/>
      </c>
      <c r="I926" s="7">
        <f>'1 prepared data'!H919</f>
        <v/>
      </c>
      <c r="J926" s="7">
        <f>'1 prepared data'!I919</f>
        <v/>
      </c>
      <c r="K926" s="7">
        <f>'1 prepared data'!J919</f>
        <v/>
      </c>
      <c r="L926" s="7">
        <f>'1 prepared data'!K919</f>
        <v/>
      </c>
      <c r="M926" s="7">
        <f>'1 prepared data'!L919</f>
        <v/>
      </c>
      <c r="N926" s="7">
        <f>'1 prepared data'!M919</f>
        <v/>
      </c>
      <c r="O926" s="7">
        <f>'1 prepared data'!N919</f>
        <v/>
      </c>
      <c r="P926" s="7">
        <f>'1 prepared data'!O919</f>
        <v/>
      </c>
      <c r="Q926" s="7">
        <f>'1 prepared data'!P919</f>
        <v/>
      </c>
      <c r="R926" s="7">
        <f>'1 prepared data'!Q919</f>
        <v/>
      </c>
      <c r="S926" s="7">
        <f>'1 prepared data'!R919</f>
        <v/>
      </c>
      <c r="T926" s="7">
        <f>'1 prepared data'!S919</f>
        <v/>
      </c>
      <c r="U926" s="7">
        <f>'1 prepared data'!T919</f>
        <v/>
      </c>
      <c r="V926" s="8">
        <f>$AC$12+D926*$AC$13+E926*$AC$14+F926*$AC$15+G926*$AC$16+H926*$AC$17+I926*$AC$18+J926*$AC$19+K926*$AC$20+L926*$AC$21+M926*$AC$22+N926*$AC$23+O926*$AC$24+P926*$AC$25+Q926*$AC$26+R926*$AC$27+S926*$AC$28+T926*$AC$29+U926*$AC$30</f>
        <v/>
      </c>
      <c r="W926" s="8">
        <f>1/(1+EXP(-V926))</f>
        <v/>
      </c>
      <c r="X926" s="9">
        <f>-IF(C926=1,LN(W926),LN(1-W926))</f>
        <v/>
      </c>
      <c r="Y926" s="10">
        <f>IF(W926&gt;$AC$34,1,0)</f>
        <v/>
      </c>
      <c r="Z926">
        <f>IF(Y926=C926,1,0)</f>
        <v/>
      </c>
    </row>
    <row r="927">
      <c r="A927">
        <f>'1 prepared data'!A920</f>
        <v/>
      </c>
      <c r="B927" s="5">
        <f>'1 prepared data'!U920</f>
        <v/>
      </c>
      <c r="C927">
        <f>'1 prepared data'!B920</f>
        <v/>
      </c>
      <c r="D927" s="7">
        <f>'1 prepared data'!C920</f>
        <v/>
      </c>
      <c r="E927" s="7">
        <f>'1 prepared data'!D920</f>
        <v/>
      </c>
      <c r="F927" s="7">
        <f>'1 prepared data'!E920</f>
        <v/>
      </c>
      <c r="G927" s="7">
        <f>'1 prepared data'!F920</f>
        <v/>
      </c>
      <c r="H927" s="7">
        <f>'1 prepared data'!G920</f>
        <v/>
      </c>
      <c r="I927" s="7">
        <f>'1 prepared data'!H920</f>
        <v/>
      </c>
      <c r="J927" s="7">
        <f>'1 prepared data'!I920</f>
        <v/>
      </c>
      <c r="K927" s="7">
        <f>'1 prepared data'!J920</f>
        <v/>
      </c>
      <c r="L927" s="7">
        <f>'1 prepared data'!K920</f>
        <v/>
      </c>
      <c r="M927" s="7">
        <f>'1 prepared data'!L920</f>
        <v/>
      </c>
      <c r="N927" s="7">
        <f>'1 prepared data'!M920</f>
        <v/>
      </c>
      <c r="O927" s="7">
        <f>'1 prepared data'!N920</f>
        <v/>
      </c>
      <c r="P927" s="7">
        <f>'1 prepared data'!O920</f>
        <v/>
      </c>
      <c r="Q927" s="7">
        <f>'1 prepared data'!P920</f>
        <v/>
      </c>
      <c r="R927" s="7">
        <f>'1 prepared data'!Q920</f>
        <v/>
      </c>
      <c r="S927" s="7">
        <f>'1 prepared data'!R920</f>
        <v/>
      </c>
      <c r="T927" s="7">
        <f>'1 prepared data'!S920</f>
        <v/>
      </c>
      <c r="U927" s="7">
        <f>'1 prepared data'!T920</f>
        <v/>
      </c>
      <c r="V927" s="8">
        <f>$AC$12+D927*$AC$13+E927*$AC$14+F927*$AC$15+G927*$AC$16+H927*$AC$17+I927*$AC$18+J927*$AC$19+K927*$AC$20+L927*$AC$21+M927*$AC$22+N927*$AC$23+O927*$AC$24+P927*$AC$25+Q927*$AC$26+R927*$AC$27+S927*$AC$28+T927*$AC$29+U927*$AC$30</f>
        <v/>
      </c>
      <c r="W927" s="8">
        <f>1/(1+EXP(-V927))</f>
        <v/>
      </c>
      <c r="X927" s="9">
        <f>-IF(C927=1,LN(W927),LN(1-W927))</f>
        <v/>
      </c>
      <c r="Y927" s="10">
        <f>IF(W927&gt;$AC$34,1,0)</f>
        <v/>
      </c>
      <c r="Z927">
        <f>IF(Y927=C927,1,0)</f>
        <v/>
      </c>
    </row>
    <row r="928">
      <c r="A928">
        <f>'1 prepared data'!A921</f>
        <v/>
      </c>
      <c r="B928" s="5">
        <f>'1 prepared data'!U921</f>
        <v/>
      </c>
      <c r="C928">
        <f>'1 prepared data'!B921</f>
        <v/>
      </c>
      <c r="D928" s="7">
        <f>'1 prepared data'!C921</f>
        <v/>
      </c>
      <c r="E928" s="7">
        <f>'1 prepared data'!D921</f>
        <v/>
      </c>
      <c r="F928" s="7">
        <f>'1 prepared data'!E921</f>
        <v/>
      </c>
      <c r="G928" s="7">
        <f>'1 prepared data'!F921</f>
        <v/>
      </c>
      <c r="H928" s="7">
        <f>'1 prepared data'!G921</f>
        <v/>
      </c>
      <c r="I928" s="7">
        <f>'1 prepared data'!H921</f>
        <v/>
      </c>
      <c r="J928" s="7">
        <f>'1 prepared data'!I921</f>
        <v/>
      </c>
      <c r="K928" s="7">
        <f>'1 prepared data'!J921</f>
        <v/>
      </c>
      <c r="L928" s="7">
        <f>'1 prepared data'!K921</f>
        <v/>
      </c>
      <c r="M928" s="7">
        <f>'1 prepared data'!L921</f>
        <v/>
      </c>
      <c r="N928" s="7">
        <f>'1 prepared data'!M921</f>
        <v/>
      </c>
      <c r="O928" s="7">
        <f>'1 prepared data'!N921</f>
        <v/>
      </c>
      <c r="P928" s="7">
        <f>'1 prepared data'!O921</f>
        <v/>
      </c>
      <c r="Q928" s="7">
        <f>'1 prepared data'!P921</f>
        <v/>
      </c>
      <c r="R928" s="7">
        <f>'1 prepared data'!Q921</f>
        <v/>
      </c>
      <c r="S928" s="7">
        <f>'1 prepared data'!R921</f>
        <v/>
      </c>
      <c r="T928" s="7">
        <f>'1 prepared data'!S921</f>
        <v/>
      </c>
      <c r="U928" s="7">
        <f>'1 prepared data'!T921</f>
        <v/>
      </c>
      <c r="V928" s="8">
        <f>$AC$12+D928*$AC$13+E928*$AC$14+F928*$AC$15+G928*$AC$16+H928*$AC$17+I928*$AC$18+J928*$AC$19+K928*$AC$20+L928*$AC$21+M928*$AC$22+N928*$AC$23+O928*$AC$24+P928*$AC$25+Q928*$AC$26+R928*$AC$27+S928*$AC$28+T928*$AC$29+U928*$AC$30</f>
        <v/>
      </c>
      <c r="W928" s="8">
        <f>1/(1+EXP(-V928))</f>
        <v/>
      </c>
      <c r="X928" s="9">
        <f>-IF(C928=1,LN(W928),LN(1-W928))</f>
        <v/>
      </c>
      <c r="Y928" s="10">
        <f>IF(W928&gt;$AC$34,1,0)</f>
        <v/>
      </c>
      <c r="Z928">
        <f>IF(Y928=C928,1,0)</f>
        <v/>
      </c>
    </row>
    <row r="929">
      <c r="A929">
        <f>'1 prepared data'!A922</f>
        <v/>
      </c>
      <c r="B929" s="5">
        <f>'1 prepared data'!U922</f>
        <v/>
      </c>
      <c r="C929">
        <f>'1 prepared data'!B922</f>
        <v/>
      </c>
      <c r="D929" s="7">
        <f>'1 prepared data'!C922</f>
        <v/>
      </c>
      <c r="E929" s="7">
        <f>'1 prepared data'!D922</f>
        <v/>
      </c>
      <c r="F929" s="7">
        <f>'1 prepared data'!E922</f>
        <v/>
      </c>
      <c r="G929" s="7">
        <f>'1 prepared data'!F922</f>
        <v/>
      </c>
      <c r="H929" s="7">
        <f>'1 prepared data'!G922</f>
        <v/>
      </c>
      <c r="I929" s="7">
        <f>'1 prepared data'!H922</f>
        <v/>
      </c>
      <c r="J929" s="7">
        <f>'1 prepared data'!I922</f>
        <v/>
      </c>
      <c r="K929" s="7">
        <f>'1 prepared data'!J922</f>
        <v/>
      </c>
      <c r="L929" s="7">
        <f>'1 prepared data'!K922</f>
        <v/>
      </c>
      <c r="M929" s="7">
        <f>'1 prepared data'!L922</f>
        <v/>
      </c>
      <c r="N929" s="7">
        <f>'1 prepared data'!M922</f>
        <v/>
      </c>
      <c r="O929" s="7">
        <f>'1 prepared data'!N922</f>
        <v/>
      </c>
      <c r="P929" s="7">
        <f>'1 prepared data'!O922</f>
        <v/>
      </c>
      <c r="Q929" s="7">
        <f>'1 prepared data'!P922</f>
        <v/>
      </c>
      <c r="R929" s="7">
        <f>'1 prepared data'!Q922</f>
        <v/>
      </c>
      <c r="S929" s="7">
        <f>'1 prepared data'!R922</f>
        <v/>
      </c>
      <c r="T929" s="7">
        <f>'1 prepared data'!S922</f>
        <v/>
      </c>
      <c r="U929" s="7">
        <f>'1 prepared data'!T922</f>
        <v/>
      </c>
      <c r="V929" s="8">
        <f>$AC$12+D929*$AC$13+E929*$AC$14+F929*$AC$15+G929*$AC$16+H929*$AC$17+I929*$AC$18+J929*$AC$19+K929*$AC$20+L929*$AC$21+M929*$AC$22+N929*$AC$23+O929*$AC$24+P929*$AC$25+Q929*$AC$26+R929*$AC$27+S929*$AC$28+T929*$AC$29+U929*$AC$30</f>
        <v/>
      </c>
      <c r="W929" s="8">
        <f>1/(1+EXP(-V929))</f>
        <v/>
      </c>
      <c r="X929" s="9">
        <f>-IF(C929=1,LN(W929),LN(1-W929))</f>
        <v/>
      </c>
      <c r="Y929" s="10">
        <f>IF(W929&gt;$AC$34,1,0)</f>
        <v/>
      </c>
      <c r="Z929">
        <f>IF(Y929=C929,1,0)</f>
        <v/>
      </c>
    </row>
    <row r="930">
      <c r="A930">
        <f>'1 prepared data'!A923</f>
        <v/>
      </c>
      <c r="B930" s="5">
        <f>'1 prepared data'!U923</f>
        <v/>
      </c>
      <c r="C930">
        <f>'1 prepared data'!B923</f>
        <v/>
      </c>
      <c r="D930" s="7">
        <f>'1 prepared data'!C923</f>
        <v/>
      </c>
      <c r="E930" s="7">
        <f>'1 prepared data'!D923</f>
        <v/>
      </c>
      <c r="F930" s="7">
        <f>'1 prepared data'!E923</f>
        <v/>
      </c>
      <c r="G930" s="7">
        <f>'1 prepared data'!F923</f>
        <v/>
      </c>
      <c r="H930" s="7">
        <f>'1 prepared data'!G923</f>
        <v/>
      </c>
      <c r="I930" s="7">
        <f>'1 prepared data'!H923</f>
        <v/>
      </c>
      <c r="J930" s="7">
        <f>'1 prepared data'!I923</f>
        <v/>
      </c>
      <c r="K930" s="7">
        <f>'1 prepared data'!J923</f>
        <v/>
      </c>
      <c r="L930" s="7">
        <f>'1 prepared data'!K923</f>
        <v/>
      </c>
      <c r="M930" s="7">
        <f>'1 prepared data'!L923</f>
        <v/>
      </c>
      <c r="N930" s="7">
        <f>'1 prepared data'!M923</f>
        <v/>
      </c>
      <c r="O930" s="7">
        <f>'1 prepared data'!N923</f>
        <v/>
      </c>
      <c r="P930" s="7">
        <f>'1 prepared data'!O923</f>
        <v/>
      </c>
      <c r="Q930" s="7">
        <f>'1 prepared data'!P923</f>
        <v/>
      </c>
      <c r="R930" s="7">
        <f>'1 prepared data'!Q923</f>
        <v/>
      </c>
      <c r="S930" s="7">
        <f>'1 prepared data'!R923</f>
        <v/>
      </c>
      <c r="T930" s="7">
        <f>'1 prepared data'!S923</f>
        <v/>
      </c>
      <c r="U930" s="7">
        <f>'1 prepared data'!T923</f>
        <v/>
      </c>
      <c r="V930" s="8">
        <f>$AC$12+D930*$AC$13+E930*$AC$14+F930*$AC$15+G930*$AC$16+H930*$AC$17+I930*$AC$18+J930*$AC$19+K930*$AC$20+L930*$AC$21+M930*$AC$22+N930*$AC$23+O930*$AC$24+P930*$AC$25+Q930*$AC$26+R930*$AC$27+S930*$AC$28+T930*$AC$29+U930*$AC$30</f>
        <v/>
      </c>
      <c r="W930" s="8">
        <f>1/(1+EXP(-V930))</f>
        <v/>
      </c>
      <c r="X930" s="9">
        <f>-IF(C930=1,LN(W930),LN(1-W930))</f>
        <v/>
      </c>
      <c r="Y930" s="10">
        <f>IF(W930&gt;$AC$34,1,0)</f>
        <v/>
      </c>
      <c r="Z930">
        <f>IF(Y930=C930,1,0)</f>
        <v/>
      </c>
    </row>
    <row r="931">
      <c r="A931">
        <f>'1 prepared data'!A924</f>
        <v/>
      </c>
      <c r="B931" s="5">
        <f>'1 prepared data'!U924</f>
        <v/>
      </c>
      <c r="C931">
        <f>'1 prepared data'!B924</f>
        <v/>
      </c>
      <c r="D931" s="7">
        <f>'1 prepared data'!C924</f>
        <v/>
      </c>
      <c r="E931" s="7">
        <f>'1 prepared data'!D924</f>
        <v/>
      </c>
      <c r="F931" s="7">
        <f>'1 prepared data'!E924</f>
        <v/>
      </c>
      <c r="G931" s="7">
        <f>'1 prepared data'!F924</f>
        <v/>
      </c>
      <c r="H931" s="7">
        <f>'1 prepared data'!G924</f>
        <v/>
      </c>
      <c r="I931" s="7">
        <f>'1 prepared data'!H924</f>
        <v/>
      </c>
      <c r="J931" s="7">
        <f>'1 prepared data'!I924</f>
        <v/>
      </c>
      <c r="K931" s="7">
        <f>'1 prepared data'!J924</f>
        <v/>
      </c>
      <c r="L931" s="7">
        <f>'1 prepared data'!K924</f>
        <v/>
      </c>
      <c r="M931" s="7">
        <f>'1 prepared data'!L924</f>
        <v/>
      </c>
      <c r="N931" s="7">
        <f>'1 prepared data'!M924</f>
        <v/>
      </c>
      <c r="O931" s="7">
        <f>'1 prepared data'!N924</f>
        <v/>
      </c>
      <c r="P931" s="7">
        <f>'1 prepared data'!O924</f>
        <v/>
      </c>
      <c r="Q931" s="7">
        <f>'1 prepared data'!P924</f>
        <v/>
      </c>
      <c r="R931" s="7">
        <f>'1 prepared data'!Q924</f>
        <v/>
      </c>
      <c r="S931" s="7">
        <f>'1 prepared data'!R924</f>
        <v/>
      </c>
      <c r="T931" s="7">
        <f>'1 prepared data'!S924</f>
        <v/>
      </c>
      <c r="U931" s="7">
        <f>'1 prepared data'!T924</f>
        <v/>
      </c>
      <c r="V931" s="8">
        <f>$AC$12+D931*$AC$13+E931*$AC$14+F931*$AC$15+G931*$AC$16+H931*$AC$17+I931*$AC$18+J931*$AC$19+K931*$AC$20+L931*$AC$21+M931*$AC$22+N931*$AC$23+O931*$AC$24+P931*$AC$25+Q931*$AC$26+R931*$AC$27+S931*$AC$28+T931*$AC$29+U931*$AC$30</f>
        <v/>
      </c>
      <c r="W931" s="8">
        <f>1/(1+EXP(-V931))</f>
        <v/>
      </c>
      <c r="X931" s="9">
        <f>-IF(C931=1,LN(W931),LN(1-W931))</f>
        <v/>
      </c>
      <c r="Y931" s="10">
        <f>IF(W931&gt;$AC$34,1,0)</f>
        <v/>
      </c>
      <c r="Z931">
        <f>IF(Y931=C931,1,0)</f>
        <v/>
      </c>
    </row>
    <row r="932">
      <c r="A932">
        <f>'1 prepared data'!A925</f>
        <v/>
      </c>
      <c r="B932" s="5">
        <f>'1 prepared data'!U925</f>
        <v/>
      </c>
      <c r="C932">
        <f>'1 prepared data'!B925</f>
        <v/>
      </c>
      <c r="D932" s="7">
        <f>'1 prepared data'!C925</f>
        <v/>
      </c>
      <c r="E932" s="7">
        <f>'1 prepared data'!D925</f>
        <v/>
      </c>
      <c r="F932" s="7">
        <f>'1 prepared data'!E925</f>
        <v/>
      </c>
      <c r="G932" s="7">
        <f>'1 prepared data'!F925</f>
        <v/>
      </c>
      <c r="H932" s="7">
        <f>'1 prepared data'!G925</f>
        <v/>
      </c>
      <c r="I932" s="7">
        <f>'1 prepared data'!H925</f>
        <v/>
      </c>
      <c r="J932" s="7">
        <f>'1 prepared data'!I925</f>
        <v/>
      </c>
      <c r="K932" s="7">
        <f>'1 prepared data'!J925</f>
        <v/>
      </c>
      <c r="L932" s="7">
        <f>'1 prepared data'!K925</f>
        <v/>
      </c>
      <c r="M932" s="7">
        <f>'1 prepared data'!L925</f>
        <v/>
      </c>
      <c r="N932" s="7">
        <f>'1 prepared data'!M925</f>
        <v/>
      </c>
      <c r="O932" s="7">
        <f>'1 prepared data'!N925</f>
        <v/>
      </c>
      <c r="P932" s="7">
        <f>'1 prepared data'!O925</f>
        <v/>
      </c>
      <c r="Q932" s="7">
        <f>'1 prepared data'!P925</f>
        <v/>
      </c>
      <c r="R932" s="7">
        <f>'1 prepared data'!Q925</f>
        <v/>
      </c>
      <c r="S932" s="7">
        <f>'1 prepared data'!R925</f>
        <v/>
      </c>
      <c r="T932" s="7">
        <f>'1 prepared data'!S925</f>
        <v/>
      </c>
      <c r="U932" s="7">
        <f>'1 prepared data'!T925</f>
        <v/>
      </c>
      <c r="V932" s="8">
        <f>$AC$12+D932*$AC$13+E932*$AC$14+F932*$AC$15+G932*$AC$16+H932*$AC$17+I932*$AC$18+J932*$AC$19+K932*$AC$20+L932*$AC$21+M932*$AC$22+N932*$AC$23+O932*$AC$24+P932*$AC$25+Q932*$AC$26+R932*$AC$27+S932*$AC$28+T932*$AC$29+U932*$AC$30</f>
        <v/>
      </c>
      <c r="W932" s="8">
        <f>1/(1+EXP(-V932))</f>
        <v/>
      </c>
      <c r="X932" s="9">
        <f>-IF(C932=1,LN(W932),LN(1-W932))</f>
        <v/>
      </c>
      <c r="Y932" s="10">
        <f>IF(W932&gt;$AC$34,1,0)</f>
        <v/>
      </c>
      <c r="Z932">
        <f>IF(Y932=C932,1,0)</f>
        <v/>
      </c>
    </row>
    <row r="933">
      <c r="A933">
        <f>'1 prepared data'!A926</f>
        <v/>
      </c>
      <c r="B933" s="5">
        <f>'1 prepared data'!U926</f>
        <v/>
      </c>
      <c r="C933">
        <f>'1 prepared data'!B926</f>
        <v/>
      </c>
      <c r="D933" s="7">
        <f>'1 prepared data'!C926</f>
        <v/>
      </c>
      <c r="E933" s="7">
        <f>'1 prepared data'!D926</f>
        <v/>
      </c>
      <c r="F933" s="7">
        <f>'1 prepared data'!E926</f>
        <v/>
      </c>
      <c r="G933" s="7">
        <f>'1 prepared data'!F926</f>
        <v/>
      </c>
      <c r="H933" s="7">
        <f>'1 prepared data'!G926</f>
        <v/>
      </c>
      <c r="I933" s="7">
        <f>'1 prepared data'!H926</f>
        <v/>
      </c>
      <c r="J933" s="7">
        <f>'1 prepared data'!I926</f>
        <v/>
      </c>
      <c r="K933" s="7">
        <f>'1 prepared data'!J926</f>
        <v/>
      </c>
      <c r="L933" s="7">
        <f>'1 prepared data'!K926</f>
        <v/>
      </c>
      <c r="M933" s="7">
        <f>'1 prepared data'!L926</f>
        <v/>
      </c>
      <c r="N933" s="7">
        <f>'1 prepared data'!M926</f>
        <v/>
      </c>
      <c r="O933" s="7">
        <f>'1 prepared data'!N926</f>
        <v/>
      </c>
      <c r="P933" s="7">
        <f>'1 prepared data'!O926</f>
        <v/>
      </c>
      <c r="Q933" s="7">
        <f>'1 prepared data'!P926</f>
        <v/>
      </c>
      <c r="R933" s="7">
        <f>'1 prepared data'!Q926</f>
        <v/>
      </c>
      <c r="S933" s="7">
        <f>'1 prepared data'!R926</f>
        <v/>
      </c>
      <c r="T933" s="7">
        <f>'1 prepared data'!S926</f>
        <v/>
      </c>
      <c r="U933" s="7">
        <f>'1 prepared data'!T926</f>
        <v/>
      </c>
      <c r="V933" s="8">
        <f>$AC$12+D933*$AC$13+E933*$AC$14+F933*$AC$15+G933*$AC$16+H933*$AC$17+I933*$AC$18+J933*$AC$19+K933*$AC$20+L933*$AC$21+M933*$AC$22+N933*$AC$23+O933*$AC$24+P933*$AC$25+Q933*$AC$26+R933*$AC$27+S933*$AC$28+T933*$AC$29+U933*$AC$30</f>
        <v/>
      </c>
      <c r="W933" s="8">
        <f>1/(1+EXP(-V933))</f>
        <v/>
      </c>
      <c r="X933" s="9">
        <f>-IF(C933=1,LN(W933),LN(1-W933))</f>
        <v/>
      </c>
      <c r="Y933" s="10">
        <f>IF(W933&gt;$AC$34,1,0)</f>
        <v/>
      </c>
      <c r="Z933">
        <f>IF(Y933=C933,1,0)</f>
        <v/>
      </c>
    </row>
    <row r="934">
      <c r="A934">
        <f>'1 prepared data'!A927</f>
        <v/>
      </c>
      <c r="B934" s="5">
        <f>'1 prepared data'!U927</f>
        <v/>
      </c>
      <c r="C934">
        <f>'1 prepared data'!B927</f>
        <v/>
      </c>
      <c r="D934" s="7">
        <f>'1 prepared data'!C927</f>
        <v/>
      </c>
      <c r="E934" s="7">
        <f>'1 prepared data'!D927</f>
        <v/>
      </c>
      <c r="F934" s="7">
        <f>'1 prepared data'!E927</f>
        <v/>
      </c>
      <c r="G934" s="7">
        <f>'1 prepared data'!F927</f>
        <v/>
      </c>
      <c r="H934" s="7">
        <f>'1 prepared data'!G927</f>
        <v/>
      </c>
      <c r="I934" s="7">
        <f>'1 prepared data'!H927</f>
        <v/>
      </c>
      <c r="J934" s="7">
        <f>'1 prepared data'!I927</f>
        <v/>
      </c>
      <c r="K934" s="7">
        <f>'1 prepared data'!J927</f>
        <v/>
      </c>
      <c r="L934" s="7">
        <f>'1 prepared data'!K927</f>
        <v/>
      </c>
      <c r="M934" s="7">
        <f>'1 prepared data'!L927</f>
        <v/>
      </c>
      <c r="N934" s="7">
        <f>'1 prepared data'!M927</f>
        <v/>
      </c>
      <c r="O934" s="7">
        <f>'1 prepared data'!N927</f>
        <v/>
      </c>
      <c r="P934" s="7">
        <f>'1 prepared data'!O927</f>
        <v/>
      </c>
      <c r="Q934" s="7">
        <f>'1 prepared data'!P927</f>
        <v/>
      </c>
      <c r="R934" s="7">
        <f>'1 prepared data'!Q927</f>
        <v/>
      </c>
      <c r="S934" s="7">
        <f>'1 prepared data'!R927</f>
        <v/>
      </c>
      <c r="T934" s="7">
        <f>'1 prepared data'!S927</f>
        <v/>
      </c>
      <c r="U934" s="7">
        <f>'1 prepared data'!T927</f>
        <v/>
      </c>
      <c r="V934" s="8">
        <f>$AC$12+D934*$AC$13+E934*$AC$14+F934*$AC$15+G934*$AC$16+H934*$AC$17+I934*$AC$18+J934*$AC$19+K934*$AC$20+L934*$AC$21+M934*$AC$22+N934*$AC$23+O934*$AC$24+P934*$AC$25+Q934*$AC$26+R934*$AC$27+S934*$AC$28+T934*$AC$29+U934*$AC$30</f>
        <v/>
      </c>
      <c r="W934" s="8">
        <f>1/(1+EXP(-V934))</f>
        <v/>
      </c>
      <c r="X934" s="9">
        <f>-IF(C934=1,LN(W934),LN(1-W934))</f>
        <v/>
      </c>
      <c r="Y934" s="10">
        <f>IF(W934&gt;$AC$34,1,0)</f>
        <v/>
      </c>
      <c r="Z934">
        <f>IF(Y934=C934,1,0)</f>
        <v/>
      </c>
    </row>
    <row r="935">
      <c r="A935">
        <f>'1 prepared data'!A928</f>
        <v/>
      </c>
      <c r="B935" s="5">
        <f>'1 prepared data'!U928</f>
        <v/>
      </c>
      <c r="C935">
        <f>'1 prepared data'!B928</f>
        <v/>
      </c>
      <c r="D935" s="7">
        <f>'1 prepared data'!C928</f>
        <v/>
      </c>
      <c r="E935" s="7">
        <f>'1 prepared data'!D928</f>
        <v/>
      </c>
      <c r="F935" s="7">
        <f>'1 prepared data'!E928</f>
        <v/>
      </c>
      <c r="G935" s="7">
        <f>'1 prepared data'!F928</f>
        <v/>
      </c>
      <c r="H935" s="7">
        <f>'1 prepared data'!G928</f>
        <v/>
      </c>
      <c r="I935" s="7">
        <f>'1 prepared data'!H928</f>
        <v/>
      </c>
      <c r="J935" s="7">
        <f>'1 prepared data'!I928</f>
        <v/>
      </c>
      <c r="K935" s="7">
        <f>'1 prepared data'!J928</f>
        <v/>
      </c>
      <c r="L935" s="7">
        <f>'1 prepared data'!K928</f>
        <v/>
      </c>
      <c r="M935" s="7">
        <f>'1 prepared data'!L928</f>
        <v/>
      </c>
      <c r="N935" s="7">
        <f>'1 prepared data'!M928</f>
        <v/>
      </c>
      <c r="O935" s="7">
        <f>'1 prepared data'!N928</f>
        <v/>
      </c>
      <c r="P935" s="7">
        <f>'1 prepared data'!O928</f>
        <v/>
      </c>
      <c r="Q935" s="7">
        <f>'1 prepared data'!P928</f>
        <v/>
      </c>
      <c r="R935" s="7">
        <f>'1 prepared data'!Q928</f>
        <v/>
      </c>
      <c r="S935" s="7">
        <f>'1 prepared data'!R928</f>
        <v/>
      </c>
      <c r="T935" s="7">
        <f>'1 prepared data'!S928</f>
        <v/>
      </c>
      <c r="U935" s="7">
        <f>'1 prepared data'!T928</f>
        <v/>
      </c>
      <c r="V935" s="8">
        <f>$AC$12+D935*$AC$13+E935*$AC$14+F935*$AC$15+G935*$AC$16+H935*$AC$17+I935*$AC$18+J935*$AC$19+K935*$AC$20+L935*$AC$21+M935*$AC$22+N935*$AC$23+O935*$AC$24+P935*$AC$25+Q935*$AC$26+R935*$AC$27+S935*$AC$28+T935*$AC$29+U935*$AC$30</f>
        <v/>
      </c>
      <c r="W935" s="8">
        <f>1/(1+EXP(-V935))</f>
        <v/>
      </c>
      <c r="X935" s="9">
        <f>-IF(C935=1,LN(W935),LN(1-W935))</f>
        <v/>
      </c>
      <c r="Y935" s="10">
        <f>IF(W935&gt;$AC$34,1,0)</f>
        <v/>
      </c>
      <c r="Z935">
        <f>IF(Y935=C935,1,0)</f>
        <v/>
      </c>
    </row>
    <row r="936">
      <c r="A936">
        <f>'1 prepared data'!A929</f>
        <v/>
      </c>
      <c r="B936" s="5">
        <f>'1 prepared data'!U929</f>
        <v/>
      </c>
      <c r="C936">
        <f>'1 prepared data'!B929</f>
        <v/>
      </c>
      <c r="D936" s="7">
        <f>'1 prepared data'!C929</f>
        <v/>
      </c>
      <c r="E936" s="7">
        <f>'1 prepared data'!D929</f>
        <v/>
      </c>
      <c r="F936" s="7">
        <f>'1 prepared data'!E929</f>
        <v/>
      </c>
      <c r="G936" s="7">
        <f>'1 prepared data'!F929</f>
        <v/>
      </c>
      <c r="H936" s="7">
        <f>'1 prepared data'!G929</f>
        <v/>
      </c>
      <c r="I936" s="7">
        <f>'1 prepared data'!H929</f>
        <v/>
      </c>
      <c r="J936" s="7">
        <f>'1 prepared data'!I929</f>
        <v/>
      </c>
      <c r="K936" s="7">
        <f>'1 prepared data'!J929</f>
        <v/>
      </c>
      <c r="L936" s="7">
        <f>'1 prepared data'!K929</f>
        <v/>
      </c>
      <c r="M936" s="7">
        <f>'1 prepared data'!L929</f>
        <v/>
      </c>
      <c r="N936" s="7">
        <f>'1 prepared data'!M929</f>
        <v/>
      </c>
      <c r="O936" s="7">
        <f>'1 prepared data'!N929</f>
        <v/>
      </c>
      <c r="P936" s="7">
        <f>'1 prepared data'!O929</f>
        <v/>
      </c>
      <c r="Q936" s="7">
        <f>'1 prepared data'!P929</f>
        <v/>
      </c>
      <c r="R936" s="7">
        <f>'1 prepared data'!Q929</f>
        <v/>
      </c>
      <c r="S936" s="7">
        <f>'1 prepared data'!R929</f>
        <v/>
      </c>
      <c r="T936" s="7">
        <f>'1 prepared data'!S929</f>
        <v/>
      </c>
      <c r="U936" s="7">
        <f>'1 prepared data'!T929</f>
        <v/>
      </c>
      <c r="V936" s="8">
        <f>$AC$12+D936*$AC$13+E936*$AC$14+F936*$AC$15+G936*$AC$16+H936*$AC$17+I936*$AC$18+J936*$AC$19+K936*$AC$20+L936*$AC$21+M936*$AC$22+N936*$AC$23+O936*$AC$24+P936*$AC$25+Q936*$AC$26+R936*$AC$27+S936*$AC$28+T936*$AC$29+U936*$AC$30</f>
        <v/>
      </c>
      <c r="W936" s="8">
        <f>1/(1+EXP(-V936))</f>
        <v/>
      </c>
      <c r="X936" s="9">
        <f>-IF(C936=1,LN(W936),LN(1-W936))</f>
        <v/>
      </c>
      <c r="Y936" s="10">
        <f>IF(W936&gt;$AC$34,1,0)</f>
        <v/>
      </c>
      <c r="Z936">
        <f>IF(Y936=C936,1,0)</f>
        <v/>
      </c>
    </row>
    <row r="937">
      <c r="A937">
        <f>'1 prepared data'!A930</f>
        <v/>
      </c>
      <c r="B937" s="5">
        <f>'1 prepared data'!U930</f>
        <v/>
      </c>
      <c r="C937">
        <f>'1 prepared data'!B930</f>
        <v/>
      </c>
      <c r="D937" s="7">
        <f>'1 prepared data'!C930</f>
        <v/>
      </c>
      <c r="E937" s="7">
        <f>'1 prepared data'!D930</f>
        <v/>
      </c>
      <c r="F937" s="7">
        <f>'1 prepared data'!E930</f>
        <v/>
      </c>
      <c r="G937" s="7">
        <f>'1 prepared data'!F930</f>
        <v/>
      </c>
      <c r="H937" s="7">
        <f>'1 prepared data'!G930</f>
        <v/>
      </c>
      <c r="I937" s="7">
        <f>'1 prepared data'!H930</f>
        <v/>
      </c>
      <c r="J937" s="7">
        <f>'1 prepared data'!I930</f>
        <v/>
      </c>
      <c r="K937" s="7">
        <f>'1 prepared data'!J930</f>
        <v/>
      </c>
      <c r="L937" s="7">
        <f>'1 prepared data'!K930</f>
        <v/>
      </c>
      <c r="M937" s="7">
        <f>'1 prepared data'!L930</f>
        <v/>
      </c>
      <c r="N937" s="7">
        <f>'1 prepared data'!M930</f>
        <v/>
      </c>
      <c r="O937" s="7">
        <f>'1 prepared data'!N930</f>
        <v/>
      </c>
      <c r="P937" s="7">
        <f>'1 prepared data'!O930</f>
        <v/>
      </c>
      <c r="Q937" s="7">
        <f>'1 prepared data'!P930</f>
        <v/>
      </c>
      <c r="R937" s="7">
        <f>'1 prepared data'!Q930</f>
        <v/>
      </c>
      <c r="S937" s="7">
        <f>'1 prepared data'!R930</f>
        <v/>
      </c>
      <c r="T937" s="7">
        <f>'1 prepared data'!S930</f>
        <v/>
      </c>
      <c r="U937" s="7">
        <f>'1 prepared data'!T930</f>
        <v/>
      </c>
      <c r="V937" s="8">
        <f>$AC$12+D937*$AC$13+E937*$AC$14+F937*$AC$15+G937*$AC$16+H937*$AC$17+I937*$AC$18+J937*$AC$19+K937*$AC$20+L937*$AC$21+M937*$AC$22+N937*$AC$23+O937*$AC$24+P937*$AC$25+Q937*$AC$26+R937*$AC$27+S937*$AC$28+T937*$AC$29+U937*$AC$30</f>
        <v/>
      </c>
      <c r="W937" s="8">
        <f>1/(1+EXP(-V937))</f>
        <v/>
      </c>
      <c r="X937" s="9">
        <f>-IF(C937=1,LN(W937),LN(1-W937))</f>
        <v/>
      </c>
      <c r="Y937" s="10">
        <f>IF(W937&gt;$AC$34,1,0)</f>
        <v/>
      </c>
      <c r="Z937">
        <f>IF(Y937=C937,1,0)</f>
        <v/>
      </c>
    </row>
    <row r="938">
      <c r="A938">
        <f>'1 prepared data'!A931</f>
        <v/>
      </c>
      <c r="B938" s="5">
        <f>'1 prepared data'!U931</f>
        <v/>
      </c>
      <c r="C938">
        <f>'1 prepared data'!B931</f>
        <v/>
      </c>
      <c r="D938" s="7">
        <f>'1 prepared data'!C931</f>
        <v/>
      </c>
      <c r="E938" s="7">
        <f>'1 prepared data'!D931</f>
        <v/>
      </c>
      <c r="F938" s="7">
        <f>'1 prepared data'!E931</f>
        <v/>
      </c>
      <c r="G938" s="7">
        <f>'1 prepared data'!F931</f>
        <v/>
      </c>
      <c r="H938" s="7">
        <f>'1 prepared data'!G931</f>
        <v/>
      </c>
      <c r="I938" s="7">
        <f>'1 prepared data'!H931</f>
        <v/>
      </c>
      <c r="J938" s="7">
        <f>'1 prepared data'!I931</f>
        <v/>
      </c>
      <c r="K938" s="7">
        <f>'1 prepared data'!J931</f>
        <v/>
      </c>
      <c r="L938" s="7">
        <f>'1 prepared data'!K931</f>
        <v/>
      </c>
      <c r="M938" s="7">
        <f>'1 prepared data'!L931</f>
        <v/>
      </c>
      <c r="N938" s="7">
        <f>'1 prepared data'!M931</f>
        <v/>
      </c>
      <c r="O938" s="7">
        <f>'1 prepared data'!N931</f>
        <v/>
      </c>
      <c r="P938" s="7">
        <f>'1 prepared data'!O931</f>
        <v/>
      </c>
      <c r="Q938" s="7">
        <f>'1 prepared data'!P931</f>
        <v/>
      </c>
      <c r="R938" s="7">
        <f>'1 prepared data'!Q931</f>
        <v/>
      </c>
      <c r="S938" s="7">
        <f>'1 prepared data'!R931</f>
        <v/>
      </c>
      <c r="T938" s="7">
        <f>'1 prepared data'!S931</f>
        <v/>
      </c>
      <c r="U938" s="7">
        <f>'1 prepared data'!T931</f>
        <v/>
      </c>
      <c r="V938" s="8">
        <f>$AC$12+D938*$AC$13+E938*$AC$14+F938*$AC$15+G938*$AC$16+H938*$AC$17+I938*$AC$18+J938*$AC$19+K938*$AC$20+L938*$AC$21+M938*$AC$22+N938*$AC$23+O938*$AC$24+P938*$AC$25+Q938*$AC$26+R938*$AC$27+S938*$AC$28+T938*$AC$29+U938*$AC$30</f>
        <v/>
      </c>
      <c r="W938" s="8">
        <f>1/(1+EXP(-V938))</f>
        <v/>
      </c>
      <c r="X938" s="9">
        <f>-IF(C938=1,LN(W938),LN(1-W938))</f>
        <v/>
      </c>
      <c r="Y938" s="10">
        <f>IF(W938&gt;$AC$34,1,0)</f>
        <v/>
      </c>
      <c r="Z938">
        <f>IF(Y938=C938,1,0)</f>
        <v/>
      </c>
    </row>
    <row r="939">
      <c r="A939">
        <f>'1 prepared data'!A932</f>
        <v/>
      </c>
      <c r="B939" s="5">
        <f>'1 prepared data'!U932</f>
        <v/>
      </c>
      <c r="C939">
        <f>'1 prepared data'!B932</f>
        <v/>
      </c>
      <c r="D939" s="7">
        <f>'1 prepared data'!C932</f>
        <v/>
      </c>
      <c r="E939" s="7">
        <f>'1 prepared data'!D932</f>
        <v/>
      </c>
      <c r="F939" s="7">
        <f>'1 prepared data'!E932</f>
        <v/>
      </c>
      <c r="G939" s="7">
        <f>'1 prepared data'!F932</f>
        <v/>
      </c>
      <c r="H939" s="7">
        <f>'1 prepared data'!G932</f>
        <v/>
      </c>
      <c r="I939" s="7">
        <f>'1 prepared data'!H932</f>
        <v/>
      </c>
      <c r="J939" s="7">
        <f>'1 prepared data'!I932</f>
        <v/>
      </c>
      <c r="K939" s="7">
        <f>'1 prepared data'!J932</f>
        <v/>
      </c>
      <c r="L939" s="7">
        <f>'1 prepared data'!K932</f>
        <v/>
      </c>
      <c r="M939" s="7">
        <f>'1 prepared data'!L932</f>
        <v/>
      </c>
      <c r="N939" s="7">
        <f>'1 prepared data'!M932</f>
        <v/>
      </c>
      <c r="O939" s="7">
        <f>'1 prepared data'!N932</f>
        <v/>
      </c>
      <c r="P939" s="7">
        <f>'1 prepared data'!O932</f>
        <v/>
      </c>
      <c r="Q939" s="7">
        <f>'1 prepared data'!P932</f>
        <v/>
      </c>
      <c r="R939" s="7">
        <f>'1 prepared data'!Q932</f>
        <v/>
      </c>
      <c r="S939" s="7">
        <f>'1 prepared data'!R932</f>
        <v/>
      </c>
      <c r="T939" s="7">
        <f>'1 prepared data'!S932</f>
        <v/>
      </c>
      <c r="U939" s="7">
        <f>'1 prepared data'!T932</f>
        <v/>
      </c>
      <c r="V939" s="8">
        <f>$AC$12+D939*$AC$13+E939*$AC$14+F939*$AC$15+G939*$AC$16+H939*$AC$17+I939*$AC$18+J939*$AC$19+K939*$AC$20+L939*$AC$21+M939*$AC$22+N939*$AC$23+O939*$AC$24+P939*$AC$25+Q939*$AC$26+R939*$AC$27+S939*$AC$28+T939*$AC$29+U939*$AC$30</f>
        <v/>
      </c>
      <c r="W939" s="8">
        <f>1/(1+EXP(-V939))</f>
        <v/>
      </c>
      <c r="X939" s="9">
        <f>-IF(C939=1,LN(W939),LN(1-W939))</f>
        <v/>
      </c>
      <c r="Y939" s="10">
        <f>IF(W939&gt;$AC$34,1,0)</f>
        <v/>
      </c>
      <c r="Z939">
        <f>IF(Y939=C939,1,0)</f>
        <v/>
      </c>
    </row>
    <row r="940">
      <c r="A940">
        <f>'1 prepared data'!A933</f>
        <v/>
      </c>
      <c r="B940" s="5">
        <f>'1 prepared data'!U933</f>
        <v/>
      </c>
      <c r="C940">
        <f>'1 prepared data'!B933</f>
        <v/>
      </c>
      <c r="D940" s="7">
        <f>'1 prepared data'!C933</f>
        <v/>
      </c>
      <c r="E940" s="7">
        <f>'1 prepared data'!D933</f>
        <v/>
      </c>
      <c r="F940" s="7">
        <f>'1 prepared data'!E933</f>
        <v/>
      </c>
      <c r="G940" s="7">
        <f>'1 prepared data'!F933</f>
        <v/>
      </c>
      <c r="H940" s="7">
        <f>'1 prepared data'!G933</f>
        <v/>
      </c>
      <c r="I940" s="7">
        <f>'1 prepared data'!H933</f>
        <v/>
      </c>
      <c r="J940" s="7">
        <f>'1 prepared data'!I933</f>
        <v/>
      </c>
      <c r="K940" s="7">
        <f>'1 prepared data'!J933</f>
        <v/>
      </c>
      <c r="L940" s="7">
        <f>'1 prepared data'!K933</f>
        <v/>
      </c>
      <c r="M940" s="7">
        <f>'1 prepared data'!L933</f>
        <v/>
      </c>
      <c r="N940" s="7">
        <f>'1 prepared data'!M933</f>
        <v/>
      </c>
      <c r="O940" s="7">
        <f>'1 prepared data'!N933</f>
        <v/>
      </c>
      <c r="P940" s="7">
        <f>'1 prepared data'!O933</f>
        <v/>
      </c>
      <c r="Q940" s="7">
        <f>'1 prepared data'!P933</f>
        <v/>
      </c>
      <c r="R940" s="7">
        <f>'1 prepared data'!Q933</f>
        <v/>
      </c>
      <c r="S940" s="7">
        <f>'1 prepared data'!R933</f>
        <v/>
      </c>
      <c r="T940" s="7">
        <f>'1 prepared data'!S933</f>
        <v/>
      </c>
      <c r="U940" s="7">
        <f>'1 prepared data'!T933</f>
        <v/>
      </c>
      <c r="V940" s="8">
        <f>$AC$12+D940*$AC$13+E940*$AC$14+F940*$AC$15+G940*$AC$16+H940*$AC$17+I940*$AC$18+J940*$AC$19+K940*$AC$20+L940*$AC$21+M940*$AC$22+N940*$AC$23+O940*$AC$24+P940*$AC$25+Q940*$AC$26+R940*$AC$27+S940*$AC$28+T940*$AC$29+U940*$AC$30</f>
        <v/>
      </c>
      <c r="W940" s="8">
        <f>1/(1+EXP(-V940))</f>
        <v/>
      </c>
      <c r="X940" s="9">
        <f>-IF(C940=1,LN(W940),LN(1-W940))</f>
        <v/>
      </c>
      <c r="Y940" s="10">
        <f>IF(W940&gt;$AC$34,1,0)</f>
        <v/>
      </c>
      <c r="Z940">
        <f>IF(Y940=C940,1,0)</f>
        <v/>
      </c>
    </row>
    <row r="941">
      <c r="A941">
        <f>'1 prepared data'!A934</f>
        <v/>
      </c>
      <c r="B941" s="5">
        <f>'1 prepared data'!U934</f>
        <v/>
      </c>
      <c r="C941">
        <f>'1 prepared data'!B934</f>
        <v/>
      </c>
      <c r="D941" s="7">
        <f>'1 prepared data'!C934</f>
        <v/>
      </c>
      <c r="E941" s="7">
        <f>'1 prepared data'!D934</f>
        <v/>
      </c>
      <c r="F941" s="7">
        <f>'1 prepared data'!E934</f>
        <v/>
      </c>
      <c r="G941" s="7">
        <f>'1 prepared data'!F934</f>
        <v/>
      </c>
      <c r="H941" s="7">
        <f>'1 prepared data'!G934</f>
        <v/>
      </c>
      <c r="I941" s="7">
        <f>'1 prepared data'!H934</f>
        <v/>
      </c>
      <c r="J941" s="7">
        <f>'1 prepared data'!I934</f>
        <v/>
      </c>
      <c r="K941" s="7">
        <f>'1 prepared data'!J934</f>
        <v/>
      </c>
      <c r="L941" s="7">
        <f>'1 prepared data'!K934</f>
        <v/>
      </c>
      <c r="M941" s="7">
        <f>'1 prepared data'!L934</f>
        <v/>
      </c>
      <c r="N941" s="7">
        <f>'1 prepared data'!M934</f>
        <v/>
      </c>
      <c r="O941" s="7">
        <f>'1 prepared data'!N934</f>
        <v/>
      </c>
      <c r="P941" s="7">
        <f>'1 prepared data'!O934</f>
        <v/>
      </c>
      <c r="Q941" s="7">
        <f>'1 prepared data'!P934</f>
        <v/>
      </c>
      <c r="R941" s="7">
        <f>'1 prepared data'!Q934</f>
        <v/>
      </c>
      <c r="S941" s="7">
        <f>'1 prepared data'!R934</f>
        <v/>
      </c>
      <c r="T941" s="7">
        <f>'1 prepared data'!S934</f>
        <v/>
      </c>
      <c r="U941" s="7">
        <f>'1 prepared data'!T934</f>
        <v/>
      </c>
      <c r="V941" s="8">
        <f>$AC$12+D941*$AC$13+E941*$AC$14+F941*$AC$15+G941*$AC$16+H941*$AC$17+I941*$AC$18+J941*$AC$19+K941*$AC$20+L941*$AC$21+M941*$AC$22+N941*$AC$23+O941*$AC$24+P941*$AC$25+Q941*$AC$26+R941*$AC$27+S941*$AC$28+T941*$AC$29+U941*$AC$30</f>
        <v/>
      </c>
      <c r="W941" s="8">
        <f>1/(1+EXP(-V941))</f>
        <v/>
      </c>
      <c r="X941" s="9">
        <f>-IF(C941=1,LN(W941),LN(1-W941))</f>
        <v/>
      </c>
      <c r="Y941" s="10">
        <f>IF(W941&gt;$AC$34,1,0)</f>
        <v/>
      </c>
      <c r="Z941">
        <f>IF(Y941=C941,1,0)</f>
        <v/>
      </c>
    </row>
    <row r="942">
      <c r="A942">
        <f>'1 prepared data'!A935</f>
        <v/>
      </c>
      <c r="B942" s="5">
        <f>'1 prepared data'!U935</f>
        <v/>
      </c>
      <c r="C942">
        <f>'1 prepared data'!B935</f>
        <v/>
      </c>
      <c r="D942" s="7">
        <f>'1 prepared data'!C935</f>
        <v/>
      </c>
      <c r="E942" s="7">
        <f>'1 prepared data'!D935</f>
        <v/>
      </c>
      <c r="F942" s="7">
        <f>'1 prepared data'!E935</f>
        <v/>
      </c>
      <c r="G942" s="7">
        <f>'1 prepared data'!F935</f>
        <v/>
      </c>
      <c r="H942" s="7">
        <f>'1 prepared data'!G935</f>
        <v/>
      </c>
      <c r="I942" s="7">
        <f>'1 prepared data'!H935</f>
        <v/>
      </c>
      <c r="J942" s="7">
        <f>'1 prepared data'!I935</f>
        <v/>
      </c>
      <c r="K942" s="7">
        <f>'1 prepared data'!J935</f>
        <v/>
      </c>
      <c r="L942" s="7">
        <f>'1 prepared data'!K935</f>
        <v/>
      </c>
      <c r="M942" s="7">
        <f>'1 prepared data'!L935</f>
        <v/>
      </c>
      <c r="N942" s="7">
        <f>'1 prepared data'!M935</f>
        <v/>
      </c>
      <c r="O942" s="7">
        <f>'1 prepared data'!N935</f>
        <v/>
      </c>
      <c r="P942" s="7">
        <f>'1 prepared data'!O935</f>
        <v/>
      </c>
      <c r="Q942" s="7">
        <f>'1 prepared data'!P935</f>
        <v/>
      </c>
      <c r="R942" s="7">
        <f>'1 prepared data'!Q935</f>
        <v/>
      </c>
      <c r="S942" s="7">
        <f>'1 prepared data'!R935</f>
        <v/>
      </c>
      <c r="T942" s="7">
        <f>'1 prepared data'!S935</f>
        <v/>
      </c>
      <c r="U942" s="7">
        <f>'1 prepared data'!T935</f>
        <v/>
      </c>
      <c r="V942" s="8">
        <f>$AC$12+D942*$AC$13+E942*$AC$14+F942*$AC$15+G942*$AC$16+H942*$AC$17+I942*$AC$18+J942*$AC$19+K942*$AC$20+L942*$AC$21+M942*$AC$22+N942*$AC$23+O942*$AC$24+P942*$AC$25+Q942*$AC$26+R942*$AC$27+S942*$AC$28+T942*$AC$29+U942*$AC$30</f>
        <v/>
      </c>
      <c r="W942" s="8">
        <f>1/(1+EXP(-V942))</f>
        <v/>
      </c>
      <c r="X942" s="9">
        <f>-IF(C942=1,LN(W942),LN(1-W942))</f>
        <v/>
      </c>
      <c r="Y942" s="10">
        <f>IF(W942&gt;$AC$34,1,0)</f>
        <v/>
      </c>
      <c r="Z942">
        <f>IF(Y942=C942,1,0)</f>
        <v/>
      </c>
    </row>
    <row r="943">
      <c r="A943">
        <f>'1 prepared data'!A936</f>
        <v/>
      </c>
      <c r="B943" s="5">
        <f>'1 prepared data'!U936</f>
        <v/>
      </c>
      <c r="C943">
        <f>'1 prepared data'!B936</f>
        <v/>
      </c>
      <c r="D943" s="7">
        <f>'1 prepared data'!C936</f>
        <v/>
      </c>
      <c r="E943" s="7">
        <f>'1 prepared data'!D936</f>
        <v/>
      </c>
      <c r="F943" s="7">
        <f>'1 prepared data'!E936</f>
        <v/>
      </c>
      <c r="G943" s="7">
        <f>'1 prepared data'!F936</f>
        <v/>
      </c>
      <c r="H943" s="7">
        <f>'1 prepared data'!G936</f>
        <v/>
      </c>
      <c r="I943" s="7">
        <f>'1 prepared data'!H936</f>
        <v/>
      </c>
      <c r="J943" s="7">
        <f>'1 prepared data'!I936</f>
        <v/>
      </c>
      <c r="K943" s="7">
        <f>'1 prepared data'!J936</f>
        <v/>
      </c>
      <c r="L943" s="7">
        <f>'1 prepared data'!K936</f>
        <v/>
      </c>
      <c r="M943" s="7">
        <f>'1 prepared data'!L936</f>
        <v/>
      </c>
      <c r="N943" s="7">
        <f>'1 prepared data'!M936</f>
        <v/>
      </c>
      <c r="O943" s="7">
        <f>'1 prepared data'!N936</f>
        <v/>
      </c>
      <c r="P943" s="7">
        <f>'1 prepared data'!O936</f>
        <v/>
      </c>
      <c r="Q943" s="7">
        <f>'1 prepared data'!P936</f>
        <v/>
      </c>
      <c r="R943" s="7">
        <f>'1 prepared data'!Q936</f>
        <v/>
      </c>
      <c r="S943" s="7">
        <f>'1 prepared data'!R936</f>
        <v/>
      </c>
      <c r="T943" s="7">
        <f>'1 prepared data'!S936</f>
        <v/>
      </c>
      <c r="U943" s="7">
        <f>'1 prepared data'!T936</f>
        <v/>
      </c>
      <c r="V943" s="8">
        <f>$AC$12+D943*$AC$13+E943*$AC$14+F943*$AC$15+G943*$AC$16+H943*$AC$17+I943*$AC$18+J943*$AC$19+K943*$AC$20+L943*$AC$21+M943*$AC$22+N943*$AC$23+O943*$AC$24+P943*$AC$25+Q943*$AC$26+R943*$AC$27+S943*$AC$28+T943*$AC$29+U943*$AC$30</f>
        <v/>
      </c>
      <c r="W943" s="8">
        <f>1/(1+EXP(-V943))</f>
        <v/>
      </c>
      <c r="X943" s="9">
        <f>-IF(C943=1,LN(W943),LN(1-W943))</f>
        <v/>
      </c>
      <c r="Y943" s="10">
        <f>IF(W943&gt;$AC$34,1,0)</f>
        <v/>
      </c>
      <c r="Z943">
        <f>IF(Y943=C943,1,0)</f>
        <v/>
      </c>
    </row>
    <row r="944">
      <c r="A944">
        <f>'1 prepared data'!A937</f>
        <v/>
      </c>
      <c r="B944" s="5">
        <f>'1 prepared data'!U937</f>
        <v/>
      </c>
      <c r="C944">
        <f>'1 prepared data'!B937</f>
        <v/>
      </c>
      <c r="D944" s="7">
        <f>'1 prepared data'!C937</f>
        <v/>
      </c>
      <c r="E944" s="7">
        <f>'1 prepared data'!D937</f>
        <v/>
      </c>
      <c r="F944" s="7">
        <f>'1 prepared data'!E937</f>
        <v/>
      </c>
      <c r="G944" s="7">
        <f>'1 prepared data'!F937</f>
        <v/>
      </c>
      <c r="H944" s="7">
        <f>'1 prepared data'!G937</f>
        <v/>
      </c>
      <c r="I944" s="7">
        <f>'1 prepared data'!H937</f>
        <v/>
      </c>
      <c r="J944" s="7">
        <f>'1 prepared data'!I937</f>
        <v/>
      </c>
      <c r="K944" s="7">
        <f>'1 prepared data'!J937</f>
        <v/>
      </c>
      <c r="L944" s="7">
        <f>'1 prepared data'!K937</f>
        <v/>
      </c>
      <c r="M944" s="7">
        <f>'1 prepared data'!L937</f>
        <v/>
      </c>
      <c r="N944" s="7">
        <f>'1 prepared data'!M937</f>
        <v/>
      </c>
      <c r="O944" s="7">
        <f>'1 prepared data'!N937</f>
        <v/>
      </c>
      <c r="P944" s="7">
        <f>'1 prepared data'!O937</f>
        <v/>
      </c>
      <c r="Q944" s="7">
        <f>'1 prepared data'!P937</f>
        <v/>
      </c>
      <c r="R944" s="7">
        <f>'1 prepared data'!Q937</f>
        <v/>
      </c>
      <c r="S944" s="7">
        <f>'1 prepared data'!R937</f>
        <v/>
      </c>
      <c r="T944" s="7">
        <f>'1 prepared data'!S937</f>
        <v/>
      </c>
      <c r="U944" s="7">
        <f>'1 prepared data'!T937</f>
        <v/>
      </c>
      <c r="V944" s="8">
        <f>$AC$12+D944*$AC$13+E944*$AC$14+F944*$AC$15+G944*$AC$16+H944*$AC$17+I944*$AC$18+J944*$AC$19+K944*$AC$20+L944*$AC$21+M944*$AC$22+N944*$AC$23+O944*$AC$24+P944*$AC$25+Q944*$AC$26+R944*$AC$27+S944*$AC$28+T944*$AC$29+U944*$AC$30</f>
        <v/>
      </c>
      <c r="W944" s="8">
        <f>1/(1+EXP(-V944))</f>
        <v/>
      </c>
      <c r="X944" s="9">
        <f>-IF(C944=1,LN(W944),LN(1-W944))</f>
        <v/>
      </c>
      <c r="Y944" s="10">
        <f>IF(W944&gt;$AC$34,1,0)</f>
        <v/>
      </c>
      <c r="Z944">
        <f>IF(Y944=C944,1,0)</f>
        <v/>
      </c>
    </row>
    <row r="945">
      <c r="A945">
        <f>'1 prepared data'!A938</f>
        <v/>
      </c>
      <c r="B945" s="5">
        <f>'1 prepared data'!U938</f>
        <v/>
      </c>
      <c r="C945">
        <f>'1 prepared data'!B938</f>
        <v/>
      </c>
      <c r="D945" s="7">
        <f>'1 prepared data'!C938</f>
        <v/>
      </c>
      <c r="E945" s="7">
        <f>'1 prepared data'!D938</f>
        <v/>
      </c>
      <c r="F945" s="7">
        <f>'1 prepared data'!E938</f>
        <v/>
      </c>
      <c r="G945" s="7">
        <f>'1 prepared data'!F938</f>
        <v/>
      </c>
      <c r="H945" s="7">
        <f>'1 prepared data'!G938</f>
        <v/>
      </c>
      <c r="I945" s="7">
        <f>'1 prepared data'!H938</f>
        <v/>
      </c>
      <c r="J945" s="7">
        <f>'1 prepared data'!I938</f>
        <v/>
      </c>
      <c r="K945" s="7">
        <f>'1 prepared data'!J938</f>
        <v/>
      </c>
      <c r="L945" s="7">
        <f>'1 prepared data'!K938</f>
        <v/>
      </c>
      <c r="M945" s="7">
        <f>'1 prepared data'!L938</f>
        <v/>
      </c>
      <c r="N945" s="7">
        <f>'1 prepared data'!M938</f>
        <v/>
      </c>
      <c r="O945" s="7">
        <f>'1 prepared data'!N938</f>
        <v/>
      </c>
      <c r="P945" s="7">
        <f>'1 prepared data'!O938</f>
        <v/>
      </c>
      <c r="Q945" s="7">
        <f>'1 prepared data'!P938</f>
        <v/>
      </c>
      <c r="R945" s="7">
        <f>'1 prepared data'!Q938</f>
        <v/>
      </c>
      <c r="S945" s="7">
        <f>'1 prepared data'!R938</f>
        <v/>
      </c>
      <c r="T945" s="7">
        <f>'1 prepared data'!S938</f>
        <v/>
      </c>
      <c r="U945" s="7">
        <f>'1 prepared data'!T938</f>
        <v/>
      </c>
      <c r="V945" s="8">
        <f>$AC$12+D945*$AC$13+E945*$AC$14+F945*$AC$15+G945*$AC$16+H945*$AC$17+I945*$AC$18+J945*$AC$19+K945*$AC$20+L945*$AC$21+M945*$AC$22+N945*$AC$23+O945*$AC$24+P945*$AC$25+Q945*$AC$26+R945*$AC$27+S945*$AC$28+T945*$AC$29+U945*$AC$30</f>
        <v/>
      </c>
      <c r="W945" s="8">
        <f>1/(1+EXP(-V945))</f>
        <v/>
      </c>
      <c r="X945" s="9">
        <f>-IF(C945=1,LN(W945),LN(1-W945))</f>
        <v/>
      </c>
      <c r="Y945" s="10">
        <f>IF(W945&gt;$AC$34,1,0)</f>
        <v/>
      </c>
      <c r="Z945">
        <f>IF(Y945=C945,1,0)</f>
        <v/>
      </c>
    </row>
    <row r="946">
      <c r="A946">
        <f>'1 prepared data'!A939</f>
        <v/>
      </c>
      <c r="B946" s="5">
        <f>'1 prepared data'!U939</f>
        <v/>
      </c>
      <c r="C946">
        <f>'1 prepared data'!B939</f>
        <v/>
      </c>
      <c r="D946" s="7">
        <f>'1 prepared data'!C939</f>
        <v/>
      </c>
      <c r="E946" s="7">
        <f>'1 prepared data'!D939</f>
        <v/>
      </c>
      <c r="F946" s="7">
        <f>'1 prepared data'!E939</f>
        <v/>
      </c>
      <c r="G946" s="7">
        <f>'1 prepared data'!F939</f>
        <v/>
      </c>
      <c r="H946" s="7">
        <f>'1 prepared data'!G939</f>
        <v/>
      </c>
      <c r="I946" s="7">
        <f>'1 prepared data'!H939</f>
        <v/>
      </c>
      <c r="J946" s="7">
        <f>'1 prepared data'!I939</f>
        <v/>
      </c>
      <c r="K946" s="7">
        <f>'1 prepared data'!J939</f>
        <v/>
      </c>
      <c r="L946" s="7">
        <f>'1 prepared data'!K939</f>
        <v/>
      </c>
      <c r="M946" s="7">
        <f>'1 prepared data'!L939</f>
        <v/>
      </c>
      <c r="N946" s="7">
        <f>'1 prepared data'!M939</f>
        <v/>
      </c>
      <c r="O946" s="7">
        <f>'1 prepared data'!N939</f>
        <v/>
      </c>
      <c r="P946" s="7">
        <f>'1 prepared data'!O939</f>
        <v/>
      </c>
      <c r="Q946" s="7">
        <f>'1 prepared data'!P939</f>
        <v/>
      </c>
      <c r="R946" s="7">
        <f>'1 prepared data'!Q939</f>
        <v/>
      </c>
      <c r="S946" s="7">
        <f>'1 prepared data'!R939</f>
        <v/>
      </c>
      <c r="T946" s="7">
        <f>'1 prepared data'!S939</f>
        <v/>
      </c>
      <c r="U946" s="7">
        <f>'1 prepared data'!T939</f>
        <v/>
      </c>
      <c r="V946" s="8">
        <f>$AC$12+D946*$AC$13+E946*$AC$14+F946*$AC$15+G946*$AC$16+H946*$AC$17+I946*$AC$18+J946*$AC$19+K946*$AC$20+L946*$AC$21+M946*$AC$22+N946*$AC$23+O946*$AC$24+P946*$AC$25+Q946*$AC$26+R946*$AC$27+S946*$AC$28+T946*$AC$29+U946*$AC$30</f>
        <v/>
      </c>
      <c r="W946" s="8">
        <f>1/(1+EXP(-V946))</f>
        <v/>
      </c>
      <c r="X946" s="9">
        <f>-IF(C946=1,LN(W946),LN(1-W946))</f>
        <v/>
      </c>
      <c r="Y946" s="10">
        <f>IF(W946&gt;$AC$34,1,0)</f>
        <v/>
      </c>
      <c r="Z946">
        <f>IF(Y946=C946,1,0)</f>
        <v/>
      </c>
    </row>
    <row r="947">
      <c r="A947">
        <f>'1 prepared data'!A940</f>
        <v/>
      </c>
      <c r="B947" s="5">
        <f>'1 prepared data'!U940</f>
        <v/>
      </c>
      <c r="C947">
        <f>'1 prepared data'!B940</f>
        <v/>
      </c>
      <c r="D947" s="7">
        <f>'1 prepared data'!C940</f>
        <v/>
      </c>
      <c r="E947" s="7">
        <f>'1 prepared data'!D940</f>
        <v/>
      </c>
      <c r="F947" s="7">
        <f>'1 prepared data'!E940</f>
        <v/>
      </c>
      <c r="G947" s="7">
        <f>'1 prepared data'!F940</f>
        <v/>
      </c>
      <c r="H947" s="7">
        <f>'1 prepared data'!G940</f>
        <v/>
      </c>
      <c r="I947" s="7">
        <f>'1 prepared data'!H940</f>
        <v/>
      </c>
      <c r="J947" s="7">
        <f>'1 prepared data'!I940</f>
        <v/>
      </c>
      <c r="K947" s="7">
        <f>'1 prepared data'!J940</f>
        <v/>
      </c>
      <c r="L947" s="7">
        <f>'1 prepared data'!K940</f>
        <v/>
      </c>
      <c r="M947" s="7">
        <f>'1 prepared data'!L940</f>
        <v/>
      </c>
      <c r="N947" s="7">
        <f>'1 prepared data'!M940</f>
        <v/>
      </c>
      <c r="O947" s="7">
        <f>'1 prepared data'!N940</f>
        <v/>
      </c>
      <c r="P947" s="7">
        <f>'1 prepared data'!O940</f>
        <v/>
      </c>
      <c r="Q947" s="7">
        <f>'1 prepared data'!P940</f>
        <v/>
      </c>
      <c r="R947" s="7">
        <f>'1 prepared data'!Q940</f>
        <v/>
      </c>
      <c r="S947" s="7">
        <f>'1 prepared data'!R940</f>
        <v/>
      </c>
      <c r="T947" s="7">
        <f>'1 prepared data'!S940</f>
        <v/>
      </c>
      <c r="U947" s="7">
        <f>'1 prepared data'!T940</f>
        <v/>
      </c>
      <c r="V947" s="8">
        <f>$AC$12+D947*$AC$13+E947*$AC$14+F947*$AC$15+G947*$AC$16+H947*$AC$17+I947*$AC$18+J947*$AC$19+K947*$AC$20+L947*$AC$21+M947*$AC$22+N947*$AC$23+O947*$AC$24+P947*$AC$25+Q947*$AC$26+R947*$AC$27+S947*$AC$28+T947*$AC$29+U947*$AC$30</f>
        <v/>
      </c>
      <c r="W947" s="8">
        <f>1/(1+EXP(-V947))</f>
        <v/>
      </c>
      <c r="X947" s="9">
        <f>-IF(C947=1,LN(W947),LN(1-W947))</f>
        <v/>
      </c>
      <c r="Y947" s="10">
        <f>IF(W947&gt;$AC$34,1,0)</f>
        <v/>
      </c>
      <c r="Z947">
        <f>IF(Y947=C947,1,0)</f>
        <v/>
      </c>
    </row>
    <row r="948">
      <c r="A948">
        <f>'1 prepared data'!A941</f>
        <v/>
      </c>
      <c r="B948" s="5">
        <f>'1 prepared data'!U941</f>
        <v/>
      </c>
      <c r="C948">
        <f>'1 prepared data'!B941</f>
        <v/>
      </c>
      <c r="D948" s="7">
        <f>'1 prepared data'!C941</f>
        <v/>
      </c>
      <c r="E948" s="7">
        <f>'1 prepared data'!D941</f>
        <v/>
      </c>
      <c r="F948" s="7">
        <f>'1 prepared data'!E941</f>
        <v/>
      </c>
      <c r="G948" s="7">
        <f>'1 prepared data'!F941</f>
        <v/>
      </c>
      <c r="H948" s="7">
        <f>'1 prepared data'!G941</f>
        <v/>
      </c>
      <c r="I948" s="7">
        <f>'1 prepared data'!H941</f>
        <v/>
      </c>
      <c r="J948" s="7">
        <f>'1 prepared data'!I941</f>
        <v/>
      </c>
      <c r="K948" s="7">
        <f>'1 prepared data'!J941</f>
        <v/>
      </c>
      <c r="L948" s="7">
        <f>'1 prepared data'!K941</f>
        <v/>
      </c>
      <c r="M948" s="7">
        <f>'1 prepared data'!L941</f>
        <v/>
      </c>
      <c r="N948" s="7">
        <f>'1 prepared data'!M941</f>
        <v/>
      </c>
      <c r="O948" s="7">
        <f>'1 prepared data'!N941</f>
        <v/>
      </c>
      <c r="P948" s="7">
        <f>'1 prepared data'!O941</f>
        <v/>
      </c>
      <c r="Q948" s="7">
        <f>'1 prepared data'!P941</f>
        <v/>
      </c>
      <c r="R948" s="7">
        <f>'1 prepared data'!Q941</f>
        <v/>
      </c>
      <c r="S948" s="7">
        <f>'1 prepared data'!R941</f>
        <v/>
      </c>
      <c r="T948" s="7">
        <f>'1 prepared data'!S941</f>
        <v/>
      </c>
      <c r="U948" s="7">
        <f>'1 prepared data'!T941</f>
        <v/>
      </c>
      <c r="V948" s="8">
        <f>$AC$12+D948*$AC$13+E948*$AC$14+F948*$AC$15+G948*$AC$16+H948*$AC$17+I948*$AC$18+J948*$AC$19+K948*$AC$20+L948*$AC$21+M948*$AC$22+N948*$AC$23+O948*$AC$24+P948*$AC$25+Q948*$AC$26+R948*$AC$27+S948*$AC$28+T948*$AC$29+U948*$AC$30</f>
        <v/>
      </c>
      <c r="W948" s="8">
        <f>1/(1+EXP(-V948))</f>
        <v/>
      </c>
      <c r="X948" s="9">
        <f>-IF(C948=1,LN(W948),LN(1-W948))</f>
        <v/>
      </c>
      <c r="Y948" s="10">
        <f>IF(W948&gt;$AC$34,1,0)</f>
        <v/>
      </c>
      <c r="Z948">
        <f>IF(Y948=C948,1,0)</f>
        <v/>
      </c>
    </row>
    <row r="949">
      <c r="A949">
        <f>'1 prepared data'!A942</f>
        <v/>
      </c>
      <c r="B949" s="5">
        <f>'1 prepared data'!U942</f>
        <v/>
      </c>
      <c r="C949">
        <f>'1 prepared data'!B942</f>
        <v/>
      </c>
      <c r="D949" s="7">
        <f>'1 prepared data'!C942</f>
        <v/>
      </c>
      <c r="E949" s="7">
        <f>'1 prepared data'!D942</f>
        <v/>
      </c>
      <c r="F949" s="7">
        <f>'1 prepared data'!E942</f>
        <v/>
      </c>
      <c r="G949" s="7">
        <f>'1 prepared data'!F942</f>
        <v/>
      </c>
      <c r="H949" s="7">
        <f>'1 prepared data'!G942</f>
        <v/>
      </c>
      <c r="I949" s="7">
        <f>'1 prepared data'!H942</f>
        <v/>
      </c>
      <c r="J949" s="7">
        <f>'1 prepared data'!I942</f>
        <v/>
      </c>
      <c r="K949" s="7">
        <f>'1 prepared data'!J942</f>
        <v/>
      </c>
      <c r="L949" s="7">
        <f>'1 prepared data'!K942</f>
        <v/>
      </c>
      <c r="M949" s="7">
        <f>'1 prepared data'!L942</f>
        <v/>
      </c>
      <c r="N949" s="7">
        <f>'1 prepared data'!M942</f>
        <v/>
      </c>
      <c r="O949" s="7">
        <f>'1 prepared data'!N942</f>
        <v/>
      </c>
      <c r="P949" s="7">
        <f>'1 prepared data'!O942</f>
        <v/>
      </c>
      <c r="Q949" s="7">
        <f>'1 prepared data'!P942</f>
        <v/>
      </c>
      <c r="R949" s="7">
        <f>'1 prepared data'!Q942</f>
        <v/>
      </c>
      <c r="S949" s="7">
        <f>'1 prepared data'!R942</f>
        <v/>
      </c>
      <c r="T949" s="7">
        <f>'1 prepared data'!S942</f>
        <v/>
      </c>
      <c r="U949" s="7">
        <f>'1 prepared data'!T942</f>
        <v/>
      </c>
      <c r="V949" s="8">
        <f>$AC$12+D949*$AC$13+E949*$AC$14+F949*$AC$15+G949*$AC$16+H949*$AC$17+I949*$AC$18+J949*$AC$19+K949*$AC$20+L949*$AC$21+M949*$AC$22+N949*$AC$23+O949*$AC$24+P949*$AC$25+Q949*$AC$26+R949*$AC$27+S949*$AC$28+T949*$AC$29+U949*$AC$30</f>
        <v/>
      </c>
      <c r="W949" s="8">
        <f>1/(1+EXP(-V949))</f>
        <v/>
      </c>
      <c r="X949" s="9">
        <f>-IF(C949=1,LN(W949),LN(1-W949))</f>
        <v/>
      </c>
      <c r="Y949" s="10">
        <f>IF(W949&gt;$AC$34,1,0)</f>
        <v/>
      </c>
      <c r="Z949">
        <f>IF(Y949=C949,1,0)</f>
        <v/>
      </c>
    </row>
    <row r="950">
      <c r="A950">
        <f>'1 prepared data'!A943</f>
        <v/>
      </c>
      <c r="B950" s="5">
        <f>'1 prepared data'!U943</f>
        <v/>
      </c>
      <c r="C950">
        <f>'1 prepared data'!B943</f>
        <v/>
      </c>
      <c r="D950" s="7">
        <f>'1 prepared data'!C943</f>
        <v/>
      </c>
      <c r="E950" s="7">
        <f>'1 prepared data'!D943</f>
        <v/>
      </c>
      <c r="F950" s="7">
        <f>'1 prepared data'!E943</f>
        <v/>
      </c>
      <c r="G950" s="7">
        <f>'1 prepared data'!F943</f>
        <v/>
      </c>
      <c r="H950" s="7">
        <f>'1 prepared data'!G943</f>
        <v/>
      </c>
      <c r="I950" s="7">
        <f>'1 prepared data'!H943</f>
        <v/>
      </c>
      <c r="J950" s="7">
        <f>'1 prepared data'!I943</f>
        <v/>
      </c>
      <c r="K950" s="7">
        <f>'1 prepared data'!J943</f>
        <v/>
      </c>
      <c r="L950" s="7">
        <f>'1 prepared data'!K943</f>
        <v/>
      </c>
      <c r="M950" s="7">
        <f>'1 prepared data'!L943</f>
        <v/>
      </c>
      <c r="N950" s="7">
        <f>'1 prepared data'!M943</f>
        <v/>
      </c>
      <c r="O950" s="7">
        <f>'1 prepared data'!N943</f>
        <v/>
      </c>
      <c r="P950" s="7">
        <f>'1 prepared data'!O943</f>
        <v/>
      </c>
      <c r="Q950" s="7">
        <f>'1 prepared data'!P943</f>
        <v/>
      </c>
      <c r="R950" s="7">
        <f>'1 prepared data'!Q943</f>
        <v/>
      </c>
      <c r="S950" s="7">
        <f>'1 prepared data'!R943</f>
        <v/>
      </c>
      <c r="T950" s="7">
        <f>'1 prepared data'!S943</f>
        <v/>
      </c>
      <c r="U950" s="7">
        <f>'1 prepared data'!T943</f>
        <v/>
      </c>
      <c r="V950" s="8">
        <f>$AC$12+D950*$AC$13+E950*$AC$14+F950*$AC$15+G950*$AC$16+H950*$AC$17+I950*$AC$18+J950*$AC$19+K950*$AC$20+L950*$AC$21+M950*$AC$22+N950*$AC$23+O950*$AC$24+P950*$AC$25+Q950*$AC$26+R950*$AC$27+S950*$AC$28+T950*$AC$29+U950*$AC$30</f>
        <v/>
      </c>
      <c r="W950" s="8">
        <f>1/(1+EXP(-V950))</f>
        <v/>
      </c>
      <c r="X950" s="9">
        <f>-IF(C950=1,LN(W950),LN(1-W950))</f>
        <v/>
      </c>
      <c r="Y950" s="10">
        <f>IF(W950&gt;$AC$34,1,0)</f>
        <v/>
      </c>
      <c r="Z950">
        <f>IF(Y950=C950,1,0)</f>
        <v/>
      </c>
    </row>
    <row r="951">
      <c r="A951">
        <f>'1 prepared data'!A944</f>
        <v/>
      </c>
      <c r="B951" s="5">
        <f>'1 prepared data'!U944</f>
        <v/>
      </c>
      <c r="C951">
        <f>'1 prepared data'!B944</f>
        <v/>
      </c>
      <c r="D951" s="7">
        <f>'1 prepared data'!C944</f>
        <v/>
      </c>
      <c r="E951" s="7">
        <f>'1 prepared data'!D944</f>
        <v/>
      </c>
      <c r="F951" s="7">
        <f>'1 prepared data'!E944</f>
        <v/>
      </c>
      <c r="G951" s="7">
        <f>'1 prepared data'!F944</f>
        <v/>
      </c>
      <c r="H951" s="7">
        <f>'1 prepared data'!G944</f>
        <v/>
      </c>
      <c r="I951" s="7">
        <f>'1 prepared data'!H944</f>
        <v/>
      </c>
      <c r="J951" s="7">
        <f>'1 prepared data'!I944</f>
        <v/>
      </c>
      <c r="K951" s="7">
        <f>'1 prepared data'!J944</f>
        <v/>
      </c>
      <c r="L951" s="7">
        <f>'1 prepared data'!K944</f>
        <v/>
      </c>
      <c r="M951" s="7">
        <f>'1 prepared data'!L944</f>
        <v/>
      </c>
      <c r="N951" s="7">
        <f>'1 prepared data'!M944</f>
        <v/>
      </c>
      <c r="O951" s="7">
        <f>'1 prepared data'!N944</f>
        <v/>
      </c>
      <c r="P951" s="7">
        <f>'1 prepared data'!O944</f>
        <v/>
      </c>
      <c r="Q951" s="7">
        <f>'1 prepared data'!P944</f>
        <v/>
      </c>
      <c r="R951" s="7">
        <f>'1 prepared data'!Q944</f>
        <v/>
      </c>
      <c r="S951" s="7">
        <f>'1 prepared data'!R944</f>
        <v/>
      </c>
      <c r="T951" s="7">
        <f>'1 prepared data'!S944</f>
        <v/>
      </c>
      <c r="U951" s="7">
        <f>'1 prepared data'!T944</f>
        <v/>
      </c>
      <c r="V951" s="8">
        <f>$AC$12+D951*$AC$13+E951*$AC$14+F951*$AC$15+G951*$AC$16+H951*$AC$17+I951*$AC$18+J951*$AC$19+K951*$AC$20+L951*$AC$21+M951*$AC$22+N951*$AC$23+O951*$AC$24+P951*$AC$25+Q951*$AC$26+R951*$AC$27+S951*$AC$28+T951*$AC$29+U951*$AC$30</f>
        <v/>
      </c>
      <c r="W951" s="8">
        <f>1/(1+EXP(-V951))</f>
        <v/>
      </c>
      <c r="X951" s="9">
        <f>-IF(C951=1,LN(W951),LN(1-W951))</f>
        <v/>
      </c>
      <c r="Y951" s="10">
        <f>IF(W951&gt;$AC$34,1,0)</f>
        <v/>
      </c>
      <c r="Z951">
        <f>IF(Y951=C951,1,0)</f>
        <v/>
      </c>
    </row>
    <row r="952">
      <c r="A952">
        <f>'1 prepared data'!A945</f>
        <v/>
      </c>
      <c r="B952" s="5">
        <f>'1 prepared data'!U945</f>
        <v/>
      </c>
      <c r="C952">
        <f>'1 prepared data'!B945</f>
        <v/>
      </c>
      <c r="D952" s="7">
        <f>'1 prepared data'!C945</f>
        <v/>
      </c>
      <c r="E952" s="7">
        <f>'1 prepared data'!D945</f>
        <v/>
      </c>
      <c r="F952" s="7">
        <f>'1 prepared data'!E945</f>
        <v/>
      </c>
      <c r="G952" s="7">
        <f>'1 prepared data'!F945</f>
        <v/>
      </c>
      <c r="H952" s="7">
        <f>'1 prepared data'!G945</f>
        <v/>
      </c>
      <c r="I952" s="7">
        <f>'1 prepared data'!H945</f>
        <v/>
      </c>
      <c r="J952" s="7">
        <f>'1 prepared data'!I945</f>
        <v/>
      </c>
      <c r="K952" s="7">
        <f>'1 prepared data'!J945</f>
        <v/>
      </c>
      <c r="L952" s="7">
        <f>'1 prepared data'!K945</f>
        <v/>
      </c>
      <c r="M952" s="7">
        <f>'1 prepared data'!L945</f>
        <v/>
      </c>
      <c r="N952" s="7">
        <f>'1 prepared data'!M945</f>
        <v/>
      </c>
      <c r="O952" s="7">
        <f>'1 prepared data'!N945</f>
        <v/>
      </c>
      <c r="P952" s="7">
        <f>'1 prepared data'!O945</f>
        <v/>
      </c>
      <c r="Q952" s="7">
        <f>'1 prepared data'!P945</f>
        <v/>
      </c>
      <c r="R952" s="7">
        <f>'1 prepared data'!Q945</f>
        <v/>
      </c>
      <c r="S952" s="7">
        <f>'1 prepared data'!R945</f>
        <v/>
      </c>
      <c r="T952" s="7">
        <f>'1 prepared data'!S945</f>
        <v/>
      </c>
      <c r="U952" s="7">
        <f>'1 prepared data'!T945</f>
        <v/>
      </c>
      <c r="V952" s="8">
        <f>$AC$12+D952*$AC$13+E952*$AC$14+F952*$AC$15+G952*$AC$16+H952*$AC$17+I952*$AC$18+J952*$AC$19+K952*$AC$20+L952*$AC$21+M952*$AC$22+N952*$AC$23+O952*$AC$24+P952*$AC$25+Q952*$AC$26+R952*$AC$27+S952*$AC$28+T952*$AC$29+U952*$AC$30</f>
        <v/>
      </c>
      <c r="W952" s="8">
        <f>1/(1+EXP(-V952))</f>
        <v/>
      </c>
      <c r="X952" s="9">
        <f>-IF(C952=1,LN(W952),LN(1-W952))</f>
        <v/>
      </c>
      <c r="Y952" s="10">
        <f>IF(W952&gt;$AC$34,1,0)</f>
        <v/>
      </c>
      <c r="Z952">
        <f>IF(Y952=C952,1,0)</f>
        <v/>
      </c>
    </row>
    <row r="953">
      <c r="A953">
        <f>'1 prepared data'!A946</f>
        <v/>
      </c>
      <c r="B953" s="5">
        <f>'1 prepared data'!U946</f>
        <v/>
      </c>
      <c r="C953">
        <f>'1 prepared data'!B946</f>
        <v/>
      </c>
      <c r="D953" s="7">
        <f>'1 prepared data'!C946</f>
        <v/>
      </c>
      <c r="E953" s="7">
        <f>'1 prepared data'!D946</f>
        <v/>
      </c>
      <c r="F953" s="7">
        <f>'1 prepared data'!E946</f>
        <v/>
      </c>
      <c r="G953" s="7">
        <f>'1 prepared data'!F946</f>
        <v/>
      </c>
      <c r="H953" s="7">
        <f>'1 prepared data'!G946</f>
        <v/>
      </c>
      <c r="I953" s="7">
        <f>'1 prepared data'!H946</f>
        <v/>
      </c>
      <c r="J953" s="7">
        <f>'1 prepared data'!I946</f>
        <v/>
      </c>
      <c r="K953" s="7">
        <f>'1 prepared data'!J946</f>
        <v/>
      </c>
      <c r="L953" s="7">
        <f>'1 prepared data'!K946</f>
        <v/>
      </c>
      <c r="M953" s="7">
        <f>'1 prepared data'!L946</f>
        <v/>
      </c>
      <c r="N953" s="7">
        <f>'1 prepared data'!M946</f>
        <v/>
      </c>
      <c r="O953" s="7">
        <f>'1 prepared data'!N946</f>
        <v/>
      </c>
      <c r="P953" s="7">
        <f>'1 prepared data'!O946</f>
        <v/>
      </c>
      <c r="Q953" s="7">
        <f>'1 prepared data'!P946</f>
        <v/>
      </c>
      <c r="R953" s="7">
        <f>'1 prepared data'!Q946</f>
        <v/>
      </c>
      <c r="S953" s="7">
        <f>'1 prepared data'!R946</f>
        <v/>
      </c>
      <c r="T953" s="7">
        <f>'1 prepared data'!S946</f>
        <v/>
      </c>
      <c r="U953" s="7">
        <f>'1 prepared data'!T946</f>
        <v/>
      </c>
      <c r="V953" s="8">
        <f>$AC$12+D953*$AC$13+E953*$AC$14+F953*$AC$15+G953*$AC$16+H953*$AC$17+I953*$AC$18+J953*$AC$19+K953*$AC$20+L953*$AC$21+M953*$AC$22+N953*$AC$23+O953*$AC$24+P953*$AC$25+Q953*$AC$26+R953*$AC$27+S953*$AC$28+T953*$AC$29+U953*$AC$30</f>
        <v/>
      </c>
      <c r="W953" s="8">
        <f>1/(1+EXP(-V953))</f>
        <v/>
      </c>
      <c r="X953" s="9">
        <f>-IF(C953=1,LN(W953),LN(1-W953))</f>
        <v/>
      </c>
      <c r="Y953" s="10">
        <f>IF(W953&gt;$AC$34,1,0)</f>
        <v/>
      </c>
      <c r="Z953">
        <f>IF(Y953=C953,1,0)</f>
        <v/>
      </c>
    </row>
    <row r="954">
      <c r="A954">
        <f>'1 prepared data'!A947</f>
        <v/>
      </c>
      <c r="B954" s="5">
        <f>'1 prepared data'!U947</f>
        <v/>
      </c>
      <c r="C954">
        <f>'1 prepared data'!B947</f>
        <v/>
      </c>
      <c r="D954" s="7">
        <f>'1 prepared data'!C947</f>
        <v/>
      </c>
      <c r="E954" s="7">
        <f>'1 prepared data'!D947</f>
        <v/>
      </c>
      <c r="F954" s="7">
        <f>'1 prepared data'!E947</f>
        <v/>
      </c>
      <c r="G954" s="7">
        <f>'1 prepared data'!F947</f>
        <v/>
      </c>
      <c r="H954" s="7">
        <f>'1 prepared data'!G947</f>
        <v/>
      </c>
      <c r="I954" s="7">
        <f>'1 prepared data'!H947</f>
        <v/>
      </c>
      <c r="J954" s="7">
        <f>'1 prepared data'!I947</f>
        <v/>
      </c>
      <c r="K954" s="7">
        <f>'1 prepared data'!J947</f>
        <v/>
      </c>
      <c r="L954" s="7">
        <f>'1 prepared data'!K947</f>
        <v/>
      </c>
      <c r="M954" s="7">
        <f>'1 prepared data'!L947</f>
        <v/>
      </c>
      <c r="N954" s="7">
        <f>'1 prepared data'!M947</f>
        <v/>
      </c>
      <c r="O954" s="7">
        <f>'1 prepared data'!N947</f>
        <v/>
      </c>
      <c r="P954" s="7">
        <f>'1 prepared data'!O947</f>
        <v/>
      </c>
      <c r="Q954" s="7">
        <f>'1 prepared data'!P947</f>
        <v/>
      </c>
      <c r="R954" s="7">
        <f>'1 prepared data'!Q947</f>
        <v/>
      </c>
      <c r="S954" s="7">
        <f>'1 prepared data'!R947</f>
        <v/>
      </c>
      <c r="T954" s="7">
        <f>'1 prepared data'!S947</f>
        <v/>
      </c>
      <c r="U954" s="7">
        <f>'1 prepared data'!T947</f>
        <v/>
      </c>
      <c r="V954" s="8">
        <f>$AC$12+D954*$AC$13+E954*$AC$14+F954*$AC$15+G954*$AC$16+H954*$AC$17+I954*$AC$18+J954*$AC$19+K954*$AC$20+L954*$AC$21+M954*$AC$22+N954*$AC$23+O954*$AC$24+P954*$AC$25+Q954*$AC$26+R954*$AC$27+S954*$AC$28+T954*$AC$29+U954*$AC$30</f>
        <v/>
      </c>
      <c r="W954" s="8">
        <f>1/(1+EXP(-V954))</f>
        <v/>
      </c>
      <c r="X954" s="9">
        <f>-IF(C954=1,LN(W954),LN(1-W954))</f>
        <v/>
      </c>
      <c r="Y954" s="10">
        <f>IF(W954&gt;$AC$34,1,0)</f>
        <v/>
      </c>
      <c r="Z954">
        <f>IF(Y954=C954,1,0)</f>
        <v/>
      </c>
    </row>
    <row r="955">
      <c r="A955">
        <f>'1 prepared data'!A948</f>
        <v/>
      </c>
      <c r="B955" s="5">
        <f>'1 prepared data'!U948</f>
        <v/>
      </c>
      <c r="C955">
        <f>'1 prepared data'!B948</f>
        <v/>
      </c>
      <c r="D955" s="7">
        <f>'1 prepared data'!C948</f>
        <v/>
      </c>
      <c r="E955" s="7">
        <f>'1 prepared data'!D948</f>
        <v/>
      </c>
      <c r="F955" s="7">
        <f>'1 prepared data'!E948</f>
        <v/>
      </c>
      <c r="G955" s="7">
        <f>'1 prepared data'!F948</f>
        <v/>
      </c>
      <c r="H955" s="7">
        <f>'1 prepared data'!G948</f>
        <v/>
      </c>
      <c r="I955" s="7">
        <f>'1 prepared data'!H948</f>
        <v/>
      </c>
      <c r="J955" s="7">
        <f>'1 prepared data'!I948</f>
        <v/>
      </c>
      <c r="K955" s="7">
        <f>'1 prepared data'!J948</f>
        <v/>
      </c>
      <c r="L955" s="7">
        <f>'1 prepared data'!K948</f>
        <v/>
      </c>
      <c r="M955" s="7">
        <f>'1 prepared data'!L948</f>
        <v/>
      </c>
      <c r="N955" s="7">
        <f>'1 prepared data'!M948</f>
        <v/>
      </c>
      <c r="O955" s="7">
        <f>'1 prepared data'!N948</f>
        <v/>
      </c>
      <c r="P955" s="7">
        <f>'1 prepared data'!O948</f>
        <v/>
      </c>
      <c r="Q955" s="7">
        <f>'1 prepared data'!P948</f>
        <v/>
      </c>
      <c r="R955" s="7">
        <f>'1 prepared data'!Q948</f>
        <v/>
      </c>
      <c r="S955" s="7">
        <f>'1 prepared data'!R948</f>
        <v/>
      </c>
      <c r="T955" s="7">
        <f>'1 prepared data'!S948</f>
        <v/>
      </c>
      <c r="U955" s="7">
        <f>'1 prepared data'!T948</f>
        <v/>
      </c>
      <c r="V955" s="8">
        <f>$AC$12+D955*$AC$13+E955*$AC$14+F955*$AC$15+G955*$AC$16+H955*$AC$17+I955*$AC$18+J955*$AC$19+K955*$AC$20+L955*$AC$21+M955*$AC$22+N955*$AC$23+O955*$AC$24+P955*$AC$25+Q955*$AC$26+R955*$AC$27+S955*$AC$28+T955*$AC$29+U955*$AC$30</f>
        <v/>
      </c>
      <c r="W955" s="8">
        <f>1/(1+EXP(-V955))</f>
        <v/>
      </c>
      <c r="X955" s="9">
        <f>-IF(C955=1,LN(W955),LN(1-W955))</f>
        <v/>
      </c>
      <c r="Y955" s="10">
        <f>IF(W955&gt;$AC$34,1,0)</f>
        <v/>
      </c>
      <c r="Z955">
        <f>IF(Y955=C955,1,0)</f>
        <v/>
      </c>
    </row>
    <row r="956">
      <c r="A956">
        <f>'1 prepared data'!A949</f>
        <v/>
      </c>
      <c r="B956" s="5">
        <f>'1 prepared data'!U949</f>
        <v/>
      </c>
      <c r="C956">
        <f>'1 prepared data'!B949</f>
        <v/>
      </c>
      <c r="D956" s="7">
        <f>'1 prepared data'!C949</f>
        <v/>
      </c>
      <c r="E956" s="7">
        <f>'1 prepared data'!D949</f>
        <v/>
      </c>
      <c r="F956" s="7">
        <f>'1 prepared data'!E949</f>
        <v/>
      </c>
      <c r="G956" s="7">
        <f>'1 prepared data'!F949</f>
        <v/>
      </c>
      <c r="H956" s="7">
        <f>'1 prepared data'!G949</f>
        <v/>
      </c>
      <c r="I956" s="7">
        <f>'1 prepared data'!H949</f>
        <v/>
      </c>
      <c r="J956" s="7">
        <f>'1 prepared data'!I949</f>
        <v/>
      </c>
      <c r="K956" s="7">
        <f>'1 prepared data'!J949</f>
        <v/>
      </c>
      <c r="L956" s="7">
        <f>'1 prepared data'!K949</f>
        <v/>
      </c>
      <c r="M956" s="7">
        <f>'1 prepared data'!L949</f>
        <v/>
      </c>
      <c r="N956" s="7">
        <f>'1 prepared data'!M949</f>
        <v/>
      </c>
      <c r="O956" s="7">
        <f>'1 prepared data'!N949</f>
        <v/>
      </c>
      <c r="P956" s="7">
        <f>'1 prepared data'!O949</f>
        <v/>
      </c>
      <c r="Q956" s="7">
        <f>'1 prepared data'!P949</f>
        <v/>
      </c>
      <c r="R956" s="7">
        <f>'1 prepared data'!Q949</f>
        <v/>
      </c>
      <c r="S956" s="7">
        <f>'1 prepared data'!R949</f>
        <v/>
      </c>
      <c r="T956" s="7">
        <f>'1 prepared data'!S949</f>
        <v/>
      </c>
      <c r="U956" s="7">
        <f>'1 prepared data'!T949</f>
        <v/>
      </c>
      <c r="V956" s="8">
        <f>$AC$12+D956*$AC$13+E956*$AC$14+F956*$AC$15+G956*$AC$16+H956*$AC$17+I956*$AC$18+J956*$AC$19+K956*$AC$20+L956*$AC$21+M956*$AC$22+N956*$AC$23+O956*$AC$24+P956*$AC$25+Q956*$AC$26+R956*$AC$27+S956*$AC$28+T956*$AC$29+U956*$AC$30</f>
        <v/>
      </c>
      <c r="W956" s="8">
        <f>1/(1+EXP(-V956))</f>
        <v/>
      </c>
      <c r="X956" s="9">
        <f>-IF(C956=1,LN(W956),LN(1-W956))</f>
        <v/>
      </c>
      <c r="Y956" s="10">
        <f>IF(W956&gt;$AC$34,1,0)</f>
        <v/>
      </c>
      <c r="Z956">
        <f>IF(Y956=C956,1,0)</f>
        <v/>
      </c>
    </row>
    <row r="957">
      <c r="A957">
        <f>'1 prepared data'!A950</f>
        <v/>
      </c>
      <c r="B957" s="5">
        <f>'1 prepared data'!U950</f>
        <v/>
      </c>
      <c r="C957">
        <f>'1 prepared data'!B950</f>
        <v/>
      </c>
      <c r="D957" s="7">
        <f>'1 prepared data'!C950</f>
        <v/>
      </c>
      <c r="E957" s="7">
        <f>'1 prepared data'!D950</f>
        <v/>
      </c>
      <c r="F957" s="7">
        <f>'1 prepared data'!E950</f>
        <v/>
      </c>
      <c r="G957" s="7">
        <f>'1 prepared data'!F950</f>
        <v/>
      </c>
      <c r="H957" s="7">
        <f>'1 prepared data'!G950</f>
        <v/>
      </c>
      <c r="I957" s="7">
        <f>'1 prepared data'!H950</f>
        <v/>
      </c>
      <c r="J957" s="7">
        <f>'1 prepared data'!I950</f>
        <v/>
      </c>
      <c r="K957" s="7">
        <f>'1 prepared data'!J950</f>
        <v/>
      </c>
      <c r="L957" s="7">
        <f>'1 prepared data'!K950</f>
        <v/>
      </c>
      <c r="M957" s="7">
        <f>'1 prepared data'!L950</f>
        <v/>
      </c>
      <c r="N957" s="7">
        <f>'1 prepared data'!M950</f>
        <v/>
      </c>
      <c r="O957" s="7">
        <f>'1 prepared data'!N950</f>
        <v/>
      </c>
      <c r="P957" s="7">
        <f>'1 prepared data'!O950</f>
        <v/>
      </c>
      <c r="Q957" s="7">
        <f>'1 prepared data'!P950</f>
        <v/>
      </c>
      <c r="R957" s="7">
        <f>'1 prepared data'!Q950</f>
        <v/>
      </c>
      <c r="S957" s="7">
        <f>'1 prepared data'!R950</f>
        <v/>
      </c>
      <c r="T957" s="7">
        <f>'1 prepared data'!S950</f>
        <v/>
      </c>
      <c r="U957" s="7">
        <f>'1 prepared data'!T950</f>
        <v/>
      </c>
      <c r="V957" s="8">
        <f>$AC$12+D957*$AC$13+E957*$AC$14+F957*$AC$15+G957*$AC$16+H957*$AC$17+I957*$AC$18+J957*$AC$19+K957*$AC$20+L957*$AC$21+M957*$AC$22+N957*$AC$23+O957*$AC$24+P957*$AC$25+Q957*$AC$26+R957*$AC$27+S957*$AC$28+T957*$AC$29+U957*$AC$30</f>
        <v/>
      </c>
      <c r="W957" s="8">
        <f>1/(1+EXP(-V957))</f>
        <v/>
      </c>
      <c r="X957" s="9">
        <f>-IF(C957=1,LN(W957),LN(1-W957))</f>
        <v/>
      </c>
      <c r="Y957" s="10">
        <f>IF(W957&gt;$AC$34,1,0)</f>
        <v/>
      </c>
      <c r="Z957">
        <f>IF(Y957=C957,1,0)</f>
        <v/>
      </c>
    </row>
    <row r="958">
      <c r="A958">
        <f>'1 prepared data'!A951</f>
        <v/>
      </c>
      <c r="B958" s="5">
        <f>'1 prepared data'!U951</f>
        <v/>
      </c>
      <c r="C958">
        <f>'1 prepared data'!B951</f>
        <v/>
      </c>
      <c r="D958" s="7">
        <f>'1 prepared data'!C951</f>
        <v/>
      </c>
      <c r="E958" s="7">
        <f>'1 prepared data'!D951</f>
        <v/>
      </c>
      <c r="F958" s="7">
        <f>'1 prepared data'!E951</f>
        <v/>
      </c>
      <c r="G958" s="7">
        <f>'1 prepared data'!F951</f>
        <v/>
      </c>
      <c r="H958" s="7">
        <f>'1 prepared data'!G951</f>
        <v/>
      </c>
      <c r="I958" s="7">
        <f>'1 prepared data'!H951</f>
        <v/>
      </c>
      <c r="J958" s="7">
        <f>'1 prepared data'!I951</f>
        <v/>
      </c>
      <c r="K958" s="7">
        <f>'1 prepared data'!J951</f>
        <v/>
      </c>
      <c r="L958" s="7">
        <f>'1 prepared data'!K951</f>
        <v/>
      </c>
      <c r="M958" s="7">
        <f>'1 prepared data'!L951</f>
        <v/>
      </c>
      <c r="N958" s="7">
        <f>'1 prepared data'!M951</f>
        <v/>
      </c>
      <c r="O958" s="7">
        <f>'1 prepared data'!N951</f>
        <v/>
      </c>
      <c r="P958" s="7">
        <f>'1 prepared data'!O951</f>
        <v/>
      </c>
      <c r="Q958" s="7">
        <f>'1 prepared data'!P951</f>
        <v/>
      </c>
      <c r="R958" s="7">
        <f>'1 prepared data'!Q951</f>
        <v/>
      </c>
      <c r="S958" s="7">
        <f>'1 prepared data'!R951</f>
        <v/>
      </c>
      <c r="T958" s="7">
        <f>'1 prepared data'!S951</f>
        <v/>
      </c>
      <c r="U958" s="7">
        <f>'1 prepared data'!T951</f>
        <v/>
      </c>
      <c r="V958" s="8">
        <f>$AC$12+D958*$AC$13+E958*$AC$14+F958*$AC$15+G958*$AC$16+H958*$AC$17+I958*$AC$18+J958*$AC$19+K958*$AC$20+L958*$AC$21+M958*$AC$22+N958*$AC$23+O958*$AC$24+P958*$AC$25+Q958*$AC$26+R958*$AC$27+S958*$AC$28+T958*$AC$29+U958*$AC$30</f>
        <v/>
      </c>
      <c r="W958" s="8">
        <f>1/(1+EXP(-V958))</f>
        <v/>
      </c>
      <c r="X958" s="9">
        <f>-IF(C958=1,LN(W958),LN(1-W958))</f>
        <v/>
      </c>
      <c r="Y958" s="10">
        <f>IF(W958&gt;$AC$34,1,0)</f>
        <v/>
      </c>
      <c r="Z958">
        <f>IF(Y958=C958,1,0)</f>
        <v/>
      </c>
    </row>
    <row r="959">
      <c r="A959">
        <f>'1 prepared data'!A952</f>
        <v/>
      </c>
      <c r="B959" s="5">
        <f>'1 prepared data'!U952</f>
        <v/>
      </c>
      <c r="C959">
        <f>'1 prepared data'!B952</f>
        <v/>
      </c>
      <c r="D959" s="7">
        <f>'1 prepared data'!C952</f>
        <v/>
      </c>
      <c r="E959" s="7">
        <f>'1 prepared data'!D952</f>
        <v/>
      </c>
      <c r="F959" s="7">
        <f>'1 prepared data'!E952</f>
        <v/>
      </c>
      <c r="G959" s="7">
        <f>'1 prepared data'!F952</f>
        <v/>
      </c>
      <c r="H959" s="7">
        <f>'1 prepared data'!G952</f>
        <v/>
      </c>
      <c r="I959" s="7">
        <f>'1 prepared data'!H952</f>
        <v/>
      </c>
      <c r="J959" s="7">
        <f>'1 prepared data'!I952</f>
        <v/>
      </c>
      <c r="K959" s="7">
        <f>'1 prepared data'!J952</f>
        <v/>
      </c>
      <c r="L959" s="7">
        <f>'1 prepared data'!K952</f>
        <v/>
      </c>
      <c r="M959" s="7">
        <f>'1 prepared data'!L952</f>
        <v/>
      </c>
      <c r="N959" s="7">
        <f>'1 prepared data'!M952</f>
        <v/>
      </c>
      <c r="O959" s="7">
        <f>'1 prepared data'!N952</f>
        <v/>
      </c>
      <c r="P959" s="7">
        <f>'1 prepared data'!O952</f>
        <v/>
      </c>
      <c r="Q959" s="7">
        <f>'1 prepared data'!P952</f>
        <v/>
      </c>
      <c r="R959" s="7">
        <f>'1 prepared data'!Q952</f>
        <v/>
      </c>
      <c r="S959" s="7">
        <f>'1 prepared data'!R952</f>
        <v/>
      </c>
      <c r="T959" s="7">
        <f>'1 prepared data'!S952</f>
        <v/>
      </c>
      <c r="U959" s="7">
        <f>'1 prepared data'!T952</f>
        <v/>
      </c>
      <c r="V959" s="8">
        <f>$AC$12+D959*$AC$13+E959*$AC$14+F959*$AC$15+G959*$AC$16+H959*$AC$17+I959*$AC$18+J959*$AC$19+K959*$AC$20+L959*$AC$21+M959*$AC$22+N959*$AC$23+O959*$AC$24+P959*$AC$25+Q959*$AC$26+R959*$AC$27+S959*$AC$28+T959*$AC$29+U959*$AC$30</f>
        <v/>
      </c>
      <c r="W959" s="8">
        <f>1/(1+EXP(-V959))</f>
        <v/>
      </c>
      <c r="X959" s="9">
        <f>-IF(C959=1,LN(W959),LN(1-W959))</f>
        <v/>
      </c>
      <c r="Y959" s="10">
        <f>IF(W959&gt;$AC$34,1,0)</f>
        <v/>
      </c>
      <c r="Z959">
        <f>IF(Y959=C959,1,0)</f>
        <v/>
      </c>
    </row>
    <row r="960">
      <c r="A960">
        <f>'1 prepared data'!A953</f>
        <v/>
      </c>
      <c r="B960" s="5">
        <f>'1 prepared data'!U953</f>
        <v/>
      </c>
      <c r="C960">
        <f>'1 prepared data'!B953</f>
        <v/>
      </c>
      <c r="D960" s="7">
        <f>'1 prepared data'!C953</f>
        <v/>
      </c>
      <c r="E960" s="7">
        <f>'1 prepared data'!D953</f>
        <v/>
      </c>
      <c r="F960" s="7">
        <f>'1 prepared data'!E953</f>
        <v/>
      </c>
      <c r="G960" s="7">
        <f>'1 prepared data'!F953</f>
        <v/>
      </c>
      <c r="H960" s="7">
        <f>'1 prepared data'!G953</f>
        <v/>
      </c>
      <c r="I960" s="7">
        <f>'1 prepared data'!H953</f>
        <v/>
      </c>
      <c r="J960" s="7">
        <f>'1 prepared data'!I953</f>
        <v/>
      </c>
      <c r="K960" s="7">
        <f>'1 prepared data'!J953</f>
        <v/>
      </c>
      <c r="L960" s="7">
        <f>'1 prepared data'!K953</f>
        <v/>
      </c>
      <c r="M960" s="7">
        <f>'1 prepared data'!L953</f>
        <v/>
      </c>
      <c r="N960" s="7">
        <f>'1 prepared data'!M953</f>
        <v/>
      </c>
      <c r="O960" s="7">
        <f>'1 prepared data'!N953</f>
        <v/>
      </c>
      <c r="P960" s="7">
        <f>'1 prepared data'!O953</f>
        <v/>
      </c>
      <c r="Q960" s="7">
        <f>'1 prepared data'!P953</f>
        <v/>
      </c>
      <c r="R960" s="7">
        <f>'1 prepared data'!Q953</f>
        <v/>
      </c>
      <c r="S960" s="7">
        <f>'1 prepared data'!R953</f>
        <v/>
      </c>
      <c r="T960" s="7">
        <f>'1 prepared data'!S953</f>
        <v/>
      </c>
      <c r="U960" s="7">
        <f>'1 prepared data'!T953</f>
        <v/>
      </c>
      <c r="V960" s="8">
        <f>$AC$12+D960*$AC$13+E960*$AC$14+F960*$AC$15+G960*$AC$16+H960*$AC$17+I960*$AC$18+J960*$AC$19+K960*$AC$20+L960*$AC$21+M960*$AC$22+N960*$AC$23+O960*$AC$24+P960*$AC$25+Q960*$AC$26+R960*$AC$27+S960*$AC$28+T960*$AC$29+U960*$AC$30</f>
        <v/>
      </c>
      <c r="W960" s="8">
        <f>1/(1+EXP(-V960))</f>
        <v/>
      </c>
      <c r="X960" s="9">
        <f>-IF(C960=1,LN(W960),LN(1-W960))</f>
        <v/>
      </c>
      <c r="Y960" s="10">
        <f>IF(W960&gt;$AC$34,1,0)</f>
        <v/>
      </c>
      <c r="Z960">
        <f>IF(Y960=C960,1,0)</f>
        <v/>
      </c>
    </row>
    <row r="961">
      <c r="A961">
        <f>'1 prepared data'!A954</f>
        <v/>
      </c>
      <c r="B961" s="5">
        <f>'1 prepared data'!U954</f>
        <v/>
      </c>
      <c r="C961">
        <f>'1 prepared data'!B954</f>
        <v/>
      </c>
      <c r="D961" s="7">
        <f>'1 prepared data'!C954</f>
        <v/>
      </c>
      <c r="E961" s="7">
        <f>'1 prepared data'!D954</f>
        <v/>
      </c>
      <c r="F961" s="7">
        <f>'1 prepared data'!E954</f>
        <v/>
      </c>
      <c r="G961" s="7">
        <f>'1 prepared data'!F954</f>
        <v/>
      </c>
      <c r="H961" s="7">
        <f>'1 prepared data'!G954</f>
        <v/>
      </c>
      <c r="I961" s="7">
        <f>'1 prepared data'!H954</f>
        <v/>
      </c>
      <c r="J961" s="7">
        <f>'1 prepared data'!I954</f>
        <v/>
      </c>
      <c r="K961" s="7">
        <f>'1 prepared data'!J954</f>
        <v/>
      </c>
      <c r="L961" s="7">
        <f>'1 prepared data'!K954</f>
        <v/>
      </c>
      <c r="M961" s="7">
        <f>'1 prepared data'!L954</f>
        <v/>
      </c>
      <c r="N961" s="7">
        <f>'1 prepared data'!M954</f>
        <v/>
      </c>
      <c r="O961" s="7">
        <f>'1 prepared data'!N954</f>
        <v/>
      </c>
      <c r="P961" s="7">
        <f>'1 prepared data'!O954</f>
        <v/>
      </c>
      <c r="Q961" s="7">
        <f>'1 prepared data'!P954</f>
        <v/>
      </c>
      <c r="R961" s="7">
        <f>'1 prepared data'!Q954</f>
        <v/>
      </c>
      <c r="S961" s="7">
        <f>'1 prepared data'!R954</f>
        <v/>
      </c>
      <c r="T961" s="7">
        <f>'1 prepared data'!S954</f>
        <v/>
      </c>
      <c r="U961" s="7">
        <f>'1 prepared data'!T954</f>
        <v/>
      </c>
      <c r="V961" s="8">
        <f>$AC$12+D961*$AC$13+E961*$AC$14+F961*$AC$15+G961*$AC$16+H961*$AC$17+I961*$AC$18+J961*$AC$19+K961*$AC$20+L961*$AC$21+M961*$AC$22+N961*$AC$23+O961*$AC$24+P961*$AC$25+Q961*$AC$26+R961*$AC$27+S961*$AC$28+T961*$AC$29+U961*$AC$30</f>
        <v/>
      </c>
      <c r="W961" s="8">
        <f>1/(1+EXP(-V961))</f>
        <v/>
      </c>
      <c r="X961" s="9">
        <f>-IF(C961=1,LN(W961),LN(1-W961))</f>
        <v/>
      </c>
      <c r="Y961" s="10">
        <f>IF(W961&gt;$AC$34,1,0)</f>
        <v/>
      </c>
      <c r="Z961">
        <f>IF(Y961=C961,1,0)</f>
        <v/>
      </c>
    </row>
    <row r="962">
      <c r="A962">
        <f>'1 prepared data'!A955</f>
        <v/>
      </c>
      <c r="B962" s="5">
        <f>'1 prepared data'!U955</f>
        <v/>
      </c>
      <c r="C962">
        <f>'1 prepared data'!B955</f>
        <v/>
      </c>
      <c r="D962" s="7">
        <f>'1 prepared data'!C955</f>
        <v/>
      </c>
      <c r="E962" s="7">
        <f>'1 prepared data'!D955</f>
        <v/>
      </c>
      <c r="F962" s="7">
        <f>'1 prepared data'!E955</f>
        <v/>
      </c>
      <c r="G962" s="7">
        <f>'1 prepared data'!F955</f>
        <v/>
      </c>
      <c r="H962" s="7">
        <f>'1 prepared data'!G955</f>
        <v/>
      </c>
      <c r="I962" s="7">
        <f>'1 prepared data'!H955</f>
        <v/>
      </c>
      <c r="J962" s="7">
        <f>'1 prepared data'!I955</f>
        <v/>
      </c>
      <c r="K962" s="7">
        <f>'1 prepared data'!J955</f>
        <v/>
      </c>
      <c r="L962" s="7">
        <f>'1 prepared data'!K955</f>
        <v/>
      </c>
      <c r="M962" s="7">
        <f>'1 prepared data'!L955</f>
        <v/>
      </c>
      <c r="N962" s="7">
        <f>'1 prepared data'!M955</f>
        <v/>
      </c>
      <c r="O962" s="7">
        <f>'1 prepared data'!N955</f>
        <v/>
      </c>
      <c r="P962" s="7">
        <f>'1 prepared data'!O955</f>
        <v/>
      </c>
      <c r="Q962" s="7">
        <f>'1 prepared data'!P955</f>
        <v/>
      </c>
      <c r="R962" s="7">
        <f>'1 prepared data'!Q955</f>
        <v/>
      </c>
      <c r="S962" s="7">
        <f>'1 prepared data'!R955</f>
        <v/>
      </c>
      <c r="T962" s="7">
        <f>'1 prepared data'!S955</f>
        <v/>
      </c>
      <c r="U962" s="7">
        <f>'1 prepared data'!T955</f>
        <v/>
      </c>
      <c r="V962" s="8">
        <f>$AC$12+D962*$AC$13+E962*$AC$14+F962*$AC$15+G962*$AC$16+H962*$AC$17+I962*$AC$18+J962*$AC$19+K962*$AC$20+L962*$AC$21+M962*$AC$22+N962*$AC$23+O962*$AC$24+P962*$AC$25+Q962*$AC$26+R962*$AC$27+S962*$AC$28+T962*$AC$29+U962*$AC$30</f>
        <v/>
      </c>
      <c r="W962" s="8">
        <f>1/(1+EXP(-V962))</f>
        <v/>
      </c>
      <c r="X962" s="9">
        <f>-IF(C962=1,LN(W962),LN(1-W962))</f>
        <v/>
      </c>
      <c r="Y962" s="10">
        <f>IF(W962&gt;$AC$34,1,0)</f>
        <v/>
      </c>
      <c r="Z962">
        <f>IF(Y962=C962,1,0)</f>
        <v/>
      </c>
    </row>
    <row r="963">
      <c r="A963">
        <f>'1 prepared data'!A956</f>
        <v/>
      </c>
      <c r="B963" s="5">
        <f>'1 prepared data'!U956</f>
        <v/>
      </c>
      <c r="C963">
        <f>'1 prepared data'!B956</f>
        <v/>
      </c>
      <c r="D963" s="7">
        <f>'1 prepared data'!C956</f>
        <v/>
      </c>
      <c r="E963" s="7">
        <f>'1 prepared data'!D956</f>
        <v/>
      </c>
      <c r="F963" s="7">
        <f>'1 prepared data'!E956</f>
        <v/>
      </c>
      <c r="G963" s="7">
        <f>'1 prepared data'!F956</f>
        <v/>
      </c>
      <c r="H963" s="7">
        <f>'1 prepared data'!G956</f>
        <v/>
      </c>
      <c r="I963" s="7">
        <f>'1 prepared data'!H956</f>
        <v/>
      </c>
      <c r="J963" s="7">
        <f>'1 prepared data'!I956</f>
        <v/>
      </c>
      <c r="K963" s="7">
        <f>'1 prepared data'!J956</f>
        <v/>
      </c>
      <c r="L963" s="7">
        <f>'1 prepared data'!K956</f>
        <v/>
      </c>
      <c r="M963" s="7">
        <f>'1 prepared data'!L956</f>
        <v/>
      </c>
      <c r="N963" s="7">
        <f>'1 prepared data'!M956</f>
        <v/>
      </c>
      <c r="O963" s="7">
        <f>'1 prepared data'!N956</f>
        <v/>
      </c>
      <c r="P963" s="7">
        <f>'1 prepared data'!O956</f>
        <v/>
      </c>
      <c r="Q963" s="7">
        <f>'1 prepared data'!P956</f>
        <v/>
      </c>
      <c r="R963" s="7">
        <f>'1 prepared data'!Q956</f>
        <v/>
      </c>
      <c r="S963" s="7">
        <f>'1 prepared data'!R956</f>
        <v/>
      </c>
      <c r="T963" s="7">
        <f>'1 prepared data'!S956</f>
        <v/>
      </c>
      <c r="U963" s="7">
        <f>'1 prepared data'!T956</f>
        <v/>
      </c>
      <c r="V963" s="8">
        <f>$AC$12+D963*$AC$13+E963*$AC$14+F963*$AC$15+G963*$AC$16+H963*$AC$17+I963*$AC$18+J963*$AC$19+K963*$AC$20+L963*$AC$21+M963*$AC$22+N963*$AC$23+O963*$AC$24+P963*$AC$25+Q963*$AC$26+R963*$AC$27+S963*$AC$28+T963*$AC$29+U963*$AC$30</f>
        <v/>
      </c>
      <c r="W963" s="8">
        <f>1/(1+EXP(-V963))</f>
        <v/>
      </c>
      <c r="X963" s="9">
        <f>-IF(C963=1,LN(W963),LN(1-W963))</f>
        <v/>
      </c>
      <c r="Y963" s="10">
        <f>IF(W963&gt;$AC$34,1,0)</f>
        <v/>
      </c>
      <c r="Z963">
        <f>IF(Y963=C963,1,0)</f>
        <v/>
      </c>
    </row>
    <row r="964">
      <c r="A964">
        <f>'1 prepared data'!A957</f>
        <v/>
      </c>
      <c r="B964" s="5">
        <f>'1 prepared data'!U957</f>
        <v/>
      </c>
      <c r="C964">
        <f>'1 prepared data'!B957</f>
        <v/>
      </c>
      <c r="D964" s="7">
        <f>'1 prepared data'!C957</f>
        <v/>
      </c>
      <c r="E964" s="7">
        <f>'1 prepared data'!D957</f>
        <v/>
      </c>
      <c r="F964" s="7">
        <f>'1 prepared data'!E957</f>
        <v/>
      </c>
      <c r="G964" s="7">
        <f>'1 prepared data'!F957</f>
        <v/>
      </c>
      <c r="H964" s="7">
        <f>'1 prepared data'!G957</f>
        <v/>
      </c>
      <c r="I964" s="7">
        <f>'1 prepared data'!H957</f>
        <v/>
      </c>
      <c r="J964" s="7">
        <f>'1 prepared data'!I957</f>
        <v/>
      </c>
      <c r="K964" s="7">
        <f>'1 prepared data'!J957</f>
        <v/>
      </c>
      <c r="L964" s="7">
        <f>'1 prepared data'!K957</f>
        <v/>
      </c>
      <c r="M964" s="7">
        <f>'1 prepared data'!L957</f>
        <v/>
      </c>
      <c r="N964" s="7">
        <f>'1 prepared data'!M957</f>
        <v/>
      </c>
      <c r="O964" s="7">
        <f>'1 prepared data'!N957</f>
        <v/>
      </c>
      <c r="P964" s="7">
        <f>'1 prepared data'!O957</f>
        <v/>
      </c>
      <c r="Q964" s="7">
        <f>'1 prepared data'!P957</f>
        <v/>
      </c>
      <c r="R964" s="7">
        <f>'1 prepared data'!Q957</f>
        <v/>
      </c>
      <c r="S964" s="7">
        <f>'1 prepared data'!R957</f>
        <v/>
      </c>
      <c r="T964" s="7">
        <f>'1 prepared data'!S957</f>
        <v/>
      </c>
      <c r="U964" s="7">
        <f>'1 prepared data'!T957</f>
        <v/>
      </c>
      <c r="V964" s="8">
        <f>$AC$12+D964*$AC$13+E964*$AC$14+F964*$AC$15+G964*$AC$16+H964*$AC$17+I964*$AC$18+J964*$AC$19+K964*$AC$20+L964*$AC$21+M964*$AC$22+N964*$AC$23+O964*$AC$24+P964*$AC$25+Q964*$AC$26+R964*$AC$27+S964*$AC$28+T964*$AC$29+U964*$AC$30</f>
        <v/>
      </c>
      <c r="W964" s="8">
        <f>1/(1+EXP(-V964))</f>
        <v/>
      </c>
      <c r="X964" s="9">
        <f>-IF(C964=1,LN(W964),LN(1-W964))</f>
        <v/>
      </c>
      <c r="Y964" s="10">
        <f>IF(W964&gt;$AC$34,1,0)</f>
        <v/>
      </c>
      <c r="Z964">
        <f>IF(Y964=C964,1,0)</f>
        <v/>
      </c>
    </row>
    <row r="965">
      <c r="A965">
        <f>'1 prepared data'!A958</f>
        <v/>
      </c>
      <c r="B965" s="5">
        <f>'1 prepared data'!U958</f>
        <v/>
      </c>
      <c r="C965">
        <f>'1 prepared data'!B958</f>
        <v/>
      </c>
      <c r="D965" s="7">
        <f>'1 prepared data'!C958</f>
        <v/>
      </c>
      <c r="E965" s="7">
        <f>'1 prepared data'!D958</f>
        <v/>
      </c>
      <c r="F965" s="7">
        <f>'1 prepared data'!E958</f>
        <v/>
      </c>
      <c r="G965" s="7">
        <f>'1 prepared data'!F958</f>
        <v/>
      </c>
      <c r="H965" s="7">
        <f>'1 prepared data'!G958</f>
        <v/>
      </c>
      <c r="I965" s="7">
        <f>'1 prepared data'!H958</f>
        <v/>
      </c>
      <c r="J965" s="7">
        <f>'1 prepared data'!I958</f>
        <v/>
      </c>
      <c r="K965" s="7">
        <f>'1 prepared data'!J958</f>
        <v/>
      </c>
      <c r="L965" s="7">
        <f>'1 prepared data'!K958</f>
        <v/>
      </c>
      <c r="M965" s="7">
        <f>'1 prepared data'!L958</f>
        <v/>
      </c>
      <c r="N965" s="7">
        <f>'1 prepared data'!M958</f>
        <v/>
      </c>
      <c r="O965" s="7">
        <f>'1 prepared data'!N958</f>
        <v/>
      </c>
      <c r="P965" s="7">
        <f>'1 prepared data'!O958</f>
        <v/>
      </c>
      <c r="Q965" s="7">
        <f>'1 prepared data'!P958</f>
        <v/>
      </c>
      <c r="R965" s="7">
        <f>'1 prepared data'!Q958</f>
        <v/>
      </c>
      <c r="S965" s="7">
        <f>'1 prepared data'!R958</f>
        <v/>
      </c>
      <c r="T965" s="7">
        <f>'1 prepared data'!S958</f>
        <v/>
      </c>
      <c r="U965" s="7">
        <f>'1 prepared data'!T958</f>
        <v/>
      </c>
      <c r="V965" s="8">
        <f>$AC$12+D965*$AC$13+E965*$AC$14+F965*$AC$15+G965*$AC$16+H965*$AC$17+I965*$AC$18+J965*$AC$19+K965*$AC$20+L965*$AC$21+M965*$AC$22+N965*$AC$23+O965*$AC$24+P965*$AC$25+Q965*$AC$26+R965*$AC$27+S965*$AC$28+T965*$AC$29+U965*$AC$30</f>
        <v/>
      </c>
      <c r="W965" s="8">
        <f>1/(1+EXP(-V965))</f>
        <v/>
      </c>
      <c r="X965" s="9">
        <f>-IF(C965=1,LN(W965),LN(1-W965))</f>
        <v/>
      </c>
      <c r="Y965" s="10">
        <f>IF(W965&gt;$AC$34,1,0)</f>
        <v/>
      </c>
      <c r="Z965">
        <f>IF(Y965=C965,1,0)</f>
        <v/>
      </c>
    </row>
    <row r="966">
      <c r="A966">
        <f>'1 prepared data'!A959</f>
        <v/>
      </c>
      <c r="B966" s="5">
        <f>'1 prepared data'!U959</f>
        <v/>
      </c>
      <c r="C966">
        <f>'1 prepared data'!B959</f>
        <v/>
      </c>
      <c r="D966" s="7">
        <f>'1 prepared data'!C959</f>
        <v/>
      </c>
      <c r="E966" s="7">
        <f>'1 prepared data'!D959</f>
        <v/>
      </c>
      <c r="F966" s="7">
        <f>'1 prepared data'!E959</f>
        <v/>
      </c>
      <c r="G966" s="7">
        <f>'1 prepared data'!F959</f>
        <v/>
      </c>
      <c r="H966" s="7">
        <f>'1 prepared data'!G959</f>
        <v/>
      </c>
      <c r="I966" s="7">
        <f>'1 prepared data'!H959</f>
        <v/>
      </c>
      <c r="J966" s="7">
        <f>'1 prepared data'!I959</f>
        <v/>
      </c>
      <c r="K966" s="7">
        <f>'1 prepared data'!J959</f>
        <v/>
      </c>
      <c r="L966" s="7">
        <f>'1 prepared data'!K959</f>
        <v/>
      </c>
      <c r="M966" s="7">
        <f>'1 prepared data'!L959</f>
        <v/>
      </c>
      <c r="N966" s="7">
        <f>'1 prepared data'!M959</f>
        <v/>
      </c>
      <c r="O966" s="7">
        <f>'1 prepared data'!N959</f>
        <v/>
      </c>
      <c r="P966" s="7">
        <f>'1 prepared data'!O959</f>
        <v/>
      </c>
      <c r="Q966" s="7">
        <f>'1 prepared data'!P959</f>
        <v/>
      </c>
      <c r="R966" s="7">
        <f>'1 prepared data'!Q959</f>
        <v/>
      </c>
      <c r="S966" s="7">
        <f>'1 prepared data'!R959</f>
        <v/>
      </c>
      <c r="T966" s="7">
        <f>'1 prepared data'!S959</f>
        <v/>
      </c>
      <c r="U966" s="7">
        <f>'1 prepared data'!T959</f>
        <v/>
      </c>
      <c r="V966" s="8">
        <f>$AC$12+D966*$AC$13+E966*$AC$14+F966*$AC$15+G966*$AC$16+H966*$AC$17+I966*$AC$18+J966*$AC$19+K966*$AC$20+L966*$AC$21+M966*$AC$22+N966*$AC$23+O966*$AC$24+P966*$AC$25+Q966*$AC$26+R966*$AC$27+S966*$AC$28+T966*$AC$29+U966*$AC$30</f>
        <v/>
      </c>
      <c r="W966" s="8">
        <f>1/(1+EXP(-V966))</f>
        <v/>
      </c>
      <c r="X966" s="9">
        <f>-IF(C966=1,LN(W966),LN(1-W966))</f>
        <v/>
      </c>
      <c r="Y966" s="10">
        <f>IF(W966&gt;$AC$34,1,0)</f>
        <v/>
      </c>
      <c r="Z966">
        <f>IF(Y966=C966,1,0)</f>
        <v/>
      </c>
    </row>
    <row r="967">
      <c r="A967">
        <f>'1 prepared data'!A960</f>
        <v/>
      </c>
      <c r="B967" s="5">
        <f>'1 prepared data'!U960</f>
        <v/>
      </c>
      <c r="C967">
        <f>'1 prepared data'!B960</f>
        <v/>
      </c>
      <c r="D967" s="7">
        <f>'1 prepared data'!C960</f>
        <v/>
      </c>
      <c r="E967" s="7">
        <f>'1 prepared data'!D960</f>
        <v/>
      </c>
      <c r="F967" s="7">
        <f>'1 prepared data'!E960</f>
        <v/>
      </c>
      <c r="G967" s="7">
        <f>'1 prepared data'!F960</f>
        <v/>
      </c>
      <c r="H967" s="7">
        <f>'1 prepared data'!G960</f>
        <v/>
      </c>
      <c r="I967" s="7">
        <f>'1 prepared data'!H960</f>
        <v/>
      </c>
      <c r="J967" s="7">
        <f>'1 prepared data'!I960</f>
        <v/>
      </c>
      <c r="K967" s="7">
        <f>'1 prepared data'!J960</f>
        <v/>
      </c>
      <c r="L967" s="7">
        <f>'1 prepared data'!K960</f>
        <v/>
      </c>
      <c r="M967" s="7">
        <f>'1 prepared data'!L960</f>
        <v/>
      </c>
      <c r="N967" s="7">
        <f>'1 prepared data'!M960</f>
        <v/>
      </c>
      <c r="O967" s="7">
        <f>'1 prepared data'!N960</f>
        <v/>
      </c>
      <c r="P967" s="7">
        <f>'1 prepared data'!O960</f>
        <v/>
      </c>
      <c r="Q967" s="7">
        <f>'1 prepared data'!P960</f>
        <v/>
      </c>
      <c r="R967" s="7">
        <f>'1 prepared data'!Q960</f>
        <v/>
      </c>
      <c r="S967" s="7">
        <f>'1 prepared data'!R960</f>
        <v/>
      </c>
      <c r="T967" s="7">
        <f>'1 prepared data'!S960</f>
        <v/>
      </c>
      <c r="U967" s="7">
        <f>'1 prepared data'!T960</f>
        <v/>
      </c>
      <c r="V967" s="8">
        <f>$AC$12+D967*$AC$13+E967*$AC$14+F967*$AC$15+G967*$AC$16+H967*$AC$17+I967*$AC$18+J967*$AC$19+K967*$AC$20+L967*$AC$21+M967*$AC$22+N967*$AC$23+O967*$AC$24+P967*$AC$25+Q967*$AC$26+R967*$AC$27+S967*$AC$28+T967*$AC$29+U967*$AC$30</f>
        <v/>
      </c>
      <c r="W967" s="8">
        <f>1/(1+EXP(-V967))</f>
        <v/>
      </c>
      <c r="X967" s="9">
        <f>-IF(C967=1,LN(W967),LN(1-W967))</f>
        <v/>
      </c>
      <c r="Y967" s="10">
        <f>IF(W967&gt;$AC$34,1,0)</f>
        <v/>
      </c>
      <c r="Z967">
        <f>IF(Y967=C967,1,0)</f>
        <v/>
      </c>
    </row>
    <row r="968">
      <c r="A968">
        <f>'1 prepared data'!A961</f>
        <v/>
      </c>
      <c r="B968" s="5">
        <f>'1 prepared data'!U961</f>
        <v/>
      </c>
      <c r="C968">
        <f>'1 prepared data'!B961</f>
        <v/>
      </c>
      <c r="D968" s="7">
        <f>'1 prepared data'!C961</f>
        <v/>
      </c>
      <c r="E968" s="7">
        <f>'1 prepared data'!D961</f>
        <v/>
      </c>
      <c r="F968" s="7">
        <f>'1 prepared data'!E961</f>
        <v/>
      </c>
      <c r="G968" s="7">
        <f>'1 prepared data'!F961</f>
        <v/>
      </c>
      <c r="H968" s="7">
        <f>'1 prepared data'!G961</f>
        <v/>
      </c>
      <c r="I968" s="7">
        <f>'1 prepared data'!H961</f>
        <v/>
      </c>
      <c r="J968" s="7">
        <f>'1 prepared data'!I961</f>
        <v/>
      </c>
      <c r="K968" s="7">
        <f>'1 prepared data'!J961</f>
        <v/>
      </c>
      <c r="L968" s="7">
        <f>'1 prepared data'!K961</f>
        <v/>
      </c>
      <c r="M968" s="7">
        <f>'1 prepared data'!L961</f>
        <v/>
      </c>
      <c r="N968" s="7">
        <f>'1 prepared data'!M961</f>
        <v/>
      </c>
      <c r="O968" s="7">
        <f>'1 prepared data'!N961</f>
        <v/>
      </c>
      <c r="P968" s="7">
        <f>'1 prepared data'!O961</f>
        <v/>
      </c>
      <c r="Q968" s="7">
        <f>'1 prepared data'!P961</f>
        <v/>
      </c>
      <c r="R968" s="7">
        <f>'1 prepared data'!Q961</f>
        <v/>
      </c>
      <c r="S968" s="7">
        <f>'1 prepared data'!R961</f>
        <v/>
      </c>
      <c r="T968" s="7">
        <f>'1 prepared data'!S961</f>
        <v/>
      </c>
      <c r="U968" s="7">
        <f>'1 prepared data'!T961</f>
        <v/>
      </c>
      <c r="V968" s="8">
        <f>$AC$12+D968*$AC$13+E968*$AC$14+F968*$AC$15+G968*$AC$16+H968*$AC$17+I968*$AC$18+J968*$AC$19+K968*$AC$20+L968*$AC$21+M968*$AC$22+N968*$AC$23+O968*$AC$24+P968*$AC$25+Q968*$AC$26+R968*$AC$27+S968*$AC$28+T968*$AC$29+U968*$AC$30</f>
        <v/>
      </c>
      <c r="W968" s="8">
        <f>1/(1+EXP(-V968))</f>
        <v/>
      </c>
      <c r="X968" s="9">
        <f>-IF(C968=1,LN(W968),LN(1-W968))</f>
        <v/>
      </c>
      <c r="Y968" s="10">
        <f>IF(W968&gt;$AC$34,1,0)</f>
        <v/>
      </c>
      <c r="Z968">
        <f>IF(Y968=C968,1,0)</f>
        <v/>
      </c>
    </row>
    <row r="969">
      <c r="A969">
        <f>'1 prepared data'!A962</f>
        <v/>
      </c>
      <c r="B969" s="5">
        <f>'1 prepared data'!U962</f>
        <v/>
      </c>
      <c r="C969">
        <f>'1 prepared data'!B962</f>
        <v/>
      </c>
      <c r="D969" s="7">
        <f>'1 prepared data'!C962</f>
        <v/>
      </c>
      <c r="E969" s="7">
        <f>'1 prepared data'!D962</f>
        <v/>
      </c>
      <c r="F969" s="7">
        <f>'1 prepared data'!E962</f>
        <v/>
      </c>
      <c r="G969" s="7">
        <f>'1 prepared data'!F962</f>
        <v/>
      </c>
      <c r="H969" s="7">
        <f>'1 prepared data'!G962</f>
        <v/>
      </c>
      <c r="I969" s="7">
        <f>'1 prepared data'!H962</f>
        <v/>
      </c>
      <c r="J969" s="7">
        <f>'1 prepared data'!I962</f>
        <v/>
      </c>
      <c r="K969" s="7">
        <f>'1 prepared data'!J962</f>
        <v/>
      </c>
      <c r="L969" s="7">
        <f>'1 prepared data'!K962</f>
        <v/>
      </c>
      <c r="M969" s="7">
        <f>'1 prepared data'!L962</f>
        <v/>
      </c>
      <c r="N969" s="7">
        <f>'1 prepared data'!M962</f>
        <v/>
      </c>
      <c r="O969" s="7">
        <f>'1 prepared data'!N962</f>
        <v/>
      </c>
      <c r="P969" s="7">
        <f>'1 prepared data'!O962</f>
        <v/>
      </c>
      <c r="Q969" s="7">
        <f>'1 prepared data'!P962</f>
        <v/>
      </c>
      <c r="R969" s="7">
        <f>'1 prepared data'!Q962</f>
        <v/>
      </c>
      <c r="S969" s="7">
        <f>'1 prepared data'!R962</f>
        <v/>
      </c>
      <c r="T969" s="7">
        <f>'1 prepared data'!S962</f>
        <v/>
      </c>
      <c r="U969" s="7">
        <f>'1 prepared data'!T962</f>
        <v/>
      </c>
      <c r="V969" s="8">
        <f>$AC$12+D969*$AC$13+E969*$AC$14+F969*$AC$15+G969*$AC$16+H969*$AC$17+I969*$AC$18+J969*$AC$19+K969*$AC$20+L969*$AC$21+M969*$AC$22+N969*$AC$23+O969*$AC$24+P969*$AC$25+Q969*$AC$26+R969*$AC$27+S969*$AC$28+T969*$AC$29+U969*$AC$30</f>
        <v/>
      </c>
      <c r="W969" s="8">
        <f>1/(1+EXP(-V969))</f>
        <v/>
      </c>
      <c r="X969" s="9">
        <f>-IF(C969=1,LN(W969),LN(1-W969))</f>
        <v/>
      </c>
      <c r="Y969" s="10">
        <f>IF(W969&gt;$AC$34,1,0)</f>
        <v/>
      </c>
      <c r="Z969">
        <f>IF(Y969=C969,1,0)</f>
        <v/>
      </c>
    </row>
    <row r="970">
      <c r="A970">
        <f>'1 prepared data'!A963</f>
        <v/>
      </c>
      <c r="B970" s="5">
        <f>'1 prepared data'!U963</f>
        <v/>
      </c>
      <c r="C970">
        <f>'1 prepared data'!B963</f>
        <v/>
      </c>
      <c r="D970" s="7">
        <f>'1 prepared data'!C963</f>
        <v/>
      </c>
      <c r="E970" s="7">
        <f>'1 prepared data'!D963</f>
        <v/>
      </c>
      <c r="F970" s="7">
        <f>'1 prepared data'!E963</f>
        <v/>
      </c>
      <c r="G970" s="7">
        <f>'1 prepared data'!F963</f>
        <v/>
      </c>
      <c r="H970" s="7">
        <f>'1 prepared data'!G963</f>
        <v/>
      </c>
      <c r="I970" s="7">
        <f>'1 prepared data'!H963</f>
        <v/>
      </c>
      <c r="J970" s="7">
        <f>'1 prepared data'!I963</f>
        <v/>
      </c>
      <c r="K970" s="7">
        <f>'1 prepared data'!J963</f>
        <v/>
      </c>
      <c r="L970" s="7">
        <f>'1 prepared data'!K963</f>
        <v/>
      </c>
      <c r="M970" s="7">
        <f>'1 prepared data'!L963</f>
        <v/>
      </c>
      <c r="N970" s="7">
        <f>'1 prepared data'!M963</f>
        <v/>
      </c>
      <c r="O970" s="7">
        <f>'1 prepared data'!N963</f>
        <v/>
      </c>
      <c r="P970" s="7">
        <f>'1 prepared data'!O963</f>
        <v/>
      </c>
      <c r="Q970" s="7">
        <f>'1 prepared data'!P963</f>
        <v/>
      </c>
      <c r="R970" s="7">
        <f>'1 prepared data'!Q963</f>
        <v/>
      </c>
      <c r="S970" s="7">
        <f>'1 prepared data'!R963</f>
        <v/>
      </c>
      <c r="T970" s="7">
        <f>'1 prepared data'!S963</f>
        <v/>
      </c>
      <c r="U970" s="7">
        <f>'1 prepared data'!T963</f>
        <v/>
      </c>
      <c r="V970" s="8">
        <f>$AC$12+D970*$AC$13+E970*$AC$14+F970*$AC$15+G970*$AC$16+H970*$AC$17+I970*$AC$18+J970*$AC$19+K970*$AC$20+L970*$AC$21+M970*$AC$22+N970*$AC$23+O970*$AC$24+P970*$AC$25+Q970*$AC$26+R970*$AC$27+S970*$AC$28+T970*$AC$29+U970*$AC$30</f>
        <v/>
      </c>
      <c r="W970" s="8">
        <f>1/(1+EXP(-V970))</f>
        <v/>
      </c>
      <c r="X970" s="9">
        <f>-IF(C970=1,LN(W970),LN(1-W970))</f>
        <v/>
      </c>
      <c r="Y970" s="10">
        <f>IF(W970&gt;$AC$34,1,0)</f>
        <v/>
      </c>
      <c r="Z970">
        <f>IF(Y970=C970,1,0)</f>
        <v/>
      </c>
    </row>
    <row r="971">
      <c r="A971">
        <f>'1 prepared data'!A964</f>
        <v/>
      </c>
      <c r="B971" s="5">
        <f>'1 prepared data'!U964</f>
        <v/>
      </c>
      <c r="C971">
        <f>'1 prepared data'!B964</f>
        <v/>
      </c>
      <c r="D971" s="7">
        <f>'1 prepared data'!C964</f>
        <v/>
      </c>
      <c r="E971" s="7">
        <f>'1 prepared data'!D964</f>
        <v/>
      </c>
      <c r="F971" s="7">
        <f>'1 prepared data'!E964</f>
        <v/>
      </c>
      <c r="G971" s="7">
        <f>'1 prepared data'!F964</f>
        <v/>
      </c>
      <c r="H971" s="7">
        <f>'1 prepared data'!G964</f>
        <v/>
      </c>
      <c r="I971" s="7">
        <f>'1 prepared data'!H964</f>
        <v/>
      </c>
      <c r="J971" s="7">
        <f>'1 prepared data'!I964</f>
        <v/>
      </c>
      <c r="K971" s="7">
        <f>'1 prepared data'!J964</f>
        <v/>
      </c>
      <c r="L971" s="7">
        <f>'1 prepared data'!K964</f>
        <v/>
      </c>
      <c r="M971" s="7">
        <f>'1 prepared data'!L964</f>
        <v/>
      </c>
      <c r="N971" s="7">
        <f>'1 prepared data'!M964</f>
        <v/>
      </c>
      <c r="O971" s="7">
        <f>'1 prepared data'!N964</f>
        <v/>
      </c>
      <c r="P971" s="7">
        <f>'1 prepared data'!O964</f>
        <v/>
      </c>
      <c r="Q971" s="7">
        <f>'1 prepared data'!P964</f>
        <v/>
      </c>
      <c r="R971" s="7">
        <f>'1 prepared data'!Q964</f>
        <v/>
      </c>
      <c r="S971" s="7">
        <f>'1 prepared data'!R964</f>
        <v/>
      </c>
      <c r="T971" s="7">
        <f>'1 prepared data'!S964</f>
        <v/>
      </c>
      <c r="U971" s="7">
        <f>'1 prepared data'!T964</f>
        <v/>
      </c>
      <c r="V971" s="8">
        <f>$AC$12+D971*$AC$13+E971*$AC$14+F971*$AC$15+G971*$AC$16+H971*$AC$17+I971*$AC$18+J971*$AC$19+K971*$AC$20+L971*$AC$21+M971*$AC$22+N971*$AC$23+O971*$AC$24+P971*$AC$25+Q971*$AC$26+R971*$AC$27+S971*$AC$28+T971*$AC$29+U971*$AC$30</f>
        <v/>
      </c>
      <c r="W971" s="8">
        <f>1/(1+EXP(-V971))</f>
        <v/>
      </c>
      <c r="X971" s="9">
        <f>-IF(C971=1,LN(W971),LN(1-W971))</f>
        <v/>
      </c>
      <c r="Y971" s="10">
        <f>IF(W971&gt;$AC$34,1,0)</f>
        <v/>
      </c>
      <c r="Z971">
        <f>IF(Y971=C971,1,0)</f>
        <v/>
      </c>
    </row>
    <row r="972">
      <c r="A972">
        <f>'1 prepared data'!A965</f>
        <v/>
      </c>
      <c r="B972" s="5">
        <f>'1 prepared data'!U965</f>
        <v/>
      </c>
      <c r="C972">
        <f>'1 prepared data'!B965</f>
        <v/>
      </c>
      <c r="D972" s="7">
        <f>'1 prepared data'!C965</f>
        <v/>
      </c>
      <c r="E972" s="7">
        <f>'1 prepared data'!D965</f>
        <v/>
      </c>
      <c r="F972" s="7">
        <f>'1 prepared data'!E965</f>
        <v/>
      </c>
      <c r="G972" s="7">
        <f>'1 prepared data'!F965</f>
        <v/>
      </c>
      <c r="H972" s="7">
        <f>'1 prepared data'!G965</f>
        <v/>
      </c>
      <c r="I972" s="7">
        <f>'1 prepared data'!H965</f>
        <v/>
      </c>
      <c r="J972" s="7">
        <f>'1 prepared data'!I965</f>
        <v/>
      </c>
      <c r="K972" s="7">
        <f>'1 prepared data'!J965</f>
        <v/>
      </c>
      <c r="L972" s="7">
        <f>'1 prepared data'!K965</f>
        <v/>
      </c>
      <c r="M972" s="7">
        <f>'1 prepared data'!L965</f>
        <v/>
      </c>
      <c r="N972" s="7">
        <f>'1 prepared data'!M965</f>
        <v/>
      </c>
      <c r="O972" s="7">
        <f>'1 prepared data'!N965</f>
        <v/>
      </c>
      <c r="P972" s="7">
        <f>'1 prepared data'!O965</f>
        <v/>
      </c>
      <c r="Q972" s="7">
        <f>'1 prepared data'!P965</f>
        <v/>
      </c>
      <c r="R972" s="7">
        <f>'1 prepared data'!Q965</f>
        <v/>
      </c>
      <c r="S972" s="7">
        <f>'1 prepared data'!R965</f>
        <v/>
      </c>
      <c r="T972" s="7">
        <f>'1 prepared data'!S965</f>
        <v/>
      </c>
      <c r="U972" s="7">
        <f>'1 prepared data'!T965</f>
        <v/>
      </c>
      <c r="V972" s="8">
        <f>$AC$12+D972*$AC$13+E972*$AC$14+F972*$AC$15+G972*$AC$16+H972*$AC$17+I972*$AC$18+J972*$AC$19+K972*$AC$20+L972*$AC$21+M972*$AC$22+N972*$AC$23+O972*$AC$24+P972*$AC$25+Q972*$AC$26+R972*$AC$27+S972*$AC$28+T972*$AC$29+U972*$AC$30</f>
        <v/>
      </c>
      <c r="W972" s="8">
        <f>1/(1+EXP(-V972))</f>
        <v/>
      </c>
      <c r="X972" s="9">
        <f>-IF(C972=1,LN(W972),LN(1-W972))</f>
        <v/>
      </c>
      <c r="Y972" s="10">
        <f>IF(W972&gt;$AC$34,1,0)</f>
        <v/>
      </c>
      <c r="Z972">
        <f>IF(Y972=C972,1,0)</f>
        <v/>
      </c>
    </row>
    <row r="973">
      <c r="A973">
        <f>'1 prepared data'!A966</f>
        <v/>
      </c>
      <c r="B973" s="5">
        <f>'1 prepared data'!U966</f>
        <v/>
      </c>
      <c r="C973">
        <f>'1 prepared data'!B966</f>
        <v/>
      </c>
      <c r="D973" s="7">
        <f>'1 prepared data'!C966</f>
        <v/>
      </c>
      <c r="E973" s="7">
        <f>'1 prepared data'!D966</f>
        <v/>
      </c>
      <c r="F973" s="7">
        <f>'1 prepared data'!E966</f>
        <v/>
      </c>
      <c r="G973" s="7">
        <f>'1 prepared data'!F966</f>
        <v/>
      </c>
      <c r="H973" s="7">
        <f>'1 prepared data'!G966</f>
        <v/>
      </c>
      <c r="I973" s="7">
        <f>'1 prepared data'!H966</f>
        <v/>
      </c>
      <c r="J973" s="7">
        <f>'1 prepared data'!I966</f>
        <v/>
      </c>
      <c r="K973" s="7">
        <f>'1 prepared data'!J966</f>
        <v/>
      </c>
      <c r="L973" s="7">
        <f>'1 prepared data'!K966</f>
        <v/>
      </c>
      <c r="M973" s="7">
        <f>'1 prepared data'!L966</f>
        <v/>
      </c>
      <c r="N973" s="7">
        <f>'1 prepared data'!M966</f>
        <v/>
      </c>
      <c r="O973" s="7">
        <f>'1 prepared data'!N966</f>
        <v/>
      </c>
      <c r="P973" s="7">
        <f>'1 prepared data'!O966</f>
        <v/>
      </c>
      <c r="Q973" s="7">
        <f>'1 prepared data'!P966</f>
        <v/>
      </c>
      <c r="R973" s="7">
        <f>'1 prepared data'!Q966</f>
        <v/>
      </c>
      <c r="S973" s="7">
        <f>'1 prepared data'!R966</f>
        <v/>
      </c>
      <c r="T973" s="7">
        <f>'1 prepared data'!S966</f>
        <v/>
      </c>
      <c r="U973" s="7">
        <f>'1 prepared data'!T966</f>
        <v/>
      </c>
      <c r="V973" s="8">
        <f>$AC$12+D973*$AC$13+E973*$AC$14+F973*$AC$15+G973*$AC$16+H973*$AC$17+I973*$AC$18+J973*$AC$19+K973*$AC$20+L973*$AC$21+M973*$AC$22+N973*$AC$23+O973*$AC$24+P973*$AC$25+Q973*$AC$26+R973*$AC$27+S973*$AC$28+T973*$AC$29+U973*$AC$30</f>
        <v/>
      </c>
      <c r="W973" s="8">
        <f>1/(1+EXP(-V973))</f>
        <v/>
      </c>
      <c r="X973" s="9">
        <f>-IF(C973=1,LN(W973),LN(1-W973))</f>
        <v/>
      </c>
      <c r="Y973" s="10">
        <f>IF(W973&gt;$AC$34,1,0)</f>
        <v/>
      </c>
      <c r="Z973">
        <f>IF(Y973=C973,1,0)</f>
        <v/>
      </c>
    </row>
    <row r="974">
      <c r="A974">
        <f>'1 prepared data'!A967</f>
        <v/>
      </c>
      <c r="B974" s="5">
        <f>'1 prepared data'!U967</f>
        <v/>
      </c>
      <c r="C974">
        <f>'1 prepared data'!B967</f>
        <v/>
      </c>
      <c r="D974" s="7">
        <f>'1 prepared data'!C967</f>
        <v/>
      </c>
      <c r="E974" s="7">
        <f>'1 prepared data'!D967</f>
        <v/>
      </c>
      <c r="F974" s="7">
        <f>'1 prepared data'!E967</f>
        <v/>
      </c>
      <c r="G974" s="7">
        <f>'1 prepared data'!F967</f>
        <v/>
      </c>
      <c r="H974" s="7">
        <f>'1 prepared data'!G967</f>
        <v/>
      </c>
      <c r="I974" s="7">
        <f>'1 prepared data'!H967</f>
        <v/>
      </c>
      <c r="J974" s="7">
        <f>'1 prepared data'!I967</f>
        <v/>
      </c>
      <c r="K974" s="7">
        <f>'1 prepared data'!J967</f>
        <v/>
      </c>
      <c r="L974" s="7">
        <f>'1 prepared data'!K967</f>
        <v/>
      </c>
      <c r="M974" s="7">
        <f>'1 prepared data'!L967</f>
        <v/>
      </c>
      <c r="N974" s="7">
        <f>'1 prepared data'!M967</f>
        <v/>
      </c>
      <c r="O974" s="7">
        <f>'1 prepared data'!N967</f>
        <v/>
      </c>
      <c r="P974" s="7">
        <f>'1 prepared data'!O967</f>
        <v/>
      </c>
      <c r="Q974" s="7">
        <f>'1 prepared data'!P967</f>
        <v/>
      </c>
      <c r="R974" s="7">
        <f>'1 prepared data'!Q967</f>
        <v/>
      </c>
      <c r="S974" s="7">
        <f>'1 prepared data'!R967</f>
        <v/>
      </c>
      <c r="T974" s="7">
        <f>'1 prepared data'!S967</f>
        <v/>
      </c>
      <c r="U974" s="7">
        <f>'1 prepared data'!T967</f>
        <v/>
      </c>
      <c r="V974" s="8">
        <f>$AC$12+D974*$AC$13+E974*$AC$14+F974*$AC$15+G974*$AC$16+H974*$AC$17+I974*$AC$18+J974*$AC$19+K974*$AC$20+L974*$AC$21+M974*$AC$22+N974*$AC$23+O974*$AC$24+P974*$AC$25+Q974*$AC$26+R974*$AC$27+S974*$AC$28+T974*$AC$29+U974*$AC$30</f>
        <v/>
      </c>
      <c r="W974" s="8">
        <f>1/(1+EXP(-V974))</f>
        <v/>
      </c>
      <c r="X974" s="9">
        <f>-IF(C974=1,LN(W974),LN(1-W974))</f>
        <v/>
      </c>
      <c r="Y974" s="10">
        <f>IF(W974&gt;$AC$34,1,0)</f>
        <v/>
      </c>
      <c r="Z974">
        <f>IF(Y974=C974,1,0)</f>
        <v/>
      </c>
    </row>
    <row r="975">
      <c r="A975">
        <f>'1 prepared data'!A968</f>
        <v/>
      </c>
      <c r="B975" s="5">
        <f>'1 prepared data'!U968</f>
        <v/>
      </c>
      <c r="C975">
        <f>'1 prepared data'!B968</f>
        <v/>
      </c>
      <c r="D975" s="7">
        <f>'1 prepared data'!C968</f>
        <v/>
      </c>
      <c r="E975" s="7">
        <f>'1 prepared data'!D968</f>
        <v/>
      </c>
      <c r="F975" s="7">
        <f>'1 prepared data'!E968</f>
        <v/>
      </c>
      <c r="G975" s="7">
        <f>'1 prepared data'!F968</f>
        <v/>
      </c>
      <c r="H975" s="7">
        <f>'1 prepared data'!G968</f>
        <v/>
      </c>
      <c r="I975" s="7">
        <f>'1 prepared data'!H968</f>
        <v/>
      </c>
      <c r="J975" s="7">
        <f>'1 prepared data'!I968</f>
        <v/>
      </c>
      <c r="K975" s="7">
        <f>'1 prepared data'!J968</f>
        <v/>
      </c>
      <c r="L975" s="7">
        <f>'1 prepared data'!K968</f>
        <v/>
      </c>
      <c r="M975" s="7">
        <f>'1 prepared data'!L968</f>
        <v/>
      </c>
      <c r="N975" s="7">
        <f>'1 prepared data'!M968</f>
        <v/>
      </c>
      <c r="O975" s="7">
        <f>'1 prepared data'!N968</f>
        <v/>
      </c>
      <c r="P975" s="7">
        <f>'1 prepared data'!O968</f>
        <v/>
      </c>
      <c r="Q975" s="7">
        <f>'1 prepared data'!P968</f>
        <v/>
      </c>
      <c r="R975" s="7">
        <f>'1 prepared data'!Q968</f>
        <v/>
      </c>
      <c r="S975" s="7">
        <f>'1 prepared data'!R968</f>
        <v/>
      </c>
      <c r="T975" s="7">
        <f>'1 prepared data'!S968</f>
        <v/>
      </c>
      <c r="U975" s="7">
        <f>'1 prepared data'!T968</f>
        <v/>
      </c>
      <c r="V975" s="8">
        <f>$AC$12+D975*$AC$13+E975*$AC$14+F975*$AC$15+G975*$AC$16+H975*$AC$17+I975*$AC$18+J975*$AC$19+K975*$AC$20+L975*$AC$21+M975*$AC$22+N975*$AC$23+O975*$AC$24+P975*$AC$25+Q975*$AC$26+R975*$AC$27+S975*$AC$28+T975*$AC$29+U975*$AC$30</f>
        <v/>
      </c>
      <c r="W975" s="8">
        <f>1/(1+EXP(-V975))</f>
        <v/>
      </c>
      <c r="X975" s="9">
        <f>-IF(C975=1,LN(W975),LN(1-W975))</f>
        <v/>
      </c>
      <c r="Y975" s="10">
        <f>IF(W975&gt;$AC$34,1,0)</f>
        <v/>
      </c>
      <c r="Z975">
        <f>IF(Y975=C975,1,0)</f>
        <v/>
      </c>
    </row>
    <row r="976">
      <c r="A976">
        <f>'1 prepared data'!A969</f>
        <v/>
      </c>
      <c r="B976" s="5">
        <f>'1 prepared data'!U969</f>
        <v/>
      </c>
      <c r="C976">
        <f>'1 prepared data'!B969</f>
        <v/>
      </c>
      <c r="D976" s="7">
        <f>'1 prepared data'!C969</f>
        <v/>
      </c>
      <c r="E976" s="7">
        <f>'1 prepared data'!D969</f>
        <v/>
      </c>
      <c r="F976" s="7">
        <f>'1 prepared data'!E969</f>
        <v/>
      </c>
      <c r="G976" s="7">
        <f>'1 prepared data'!F969</f>
        <v/>
      </c>
      <c r="H976" s="7">
        <f>'1 prepared data'!G969</f>
        <v/>
      </c>
      <c r="I976" s="7">
        <f>'1 prepared data'!H969</f>
        <v/>
      </c>
      <c r="J976" s="7">
        <f>'1 prepared data'!I969</f>
        <v/>
      </c>
      <c r="K976" s="7">
        <f>'1 prepared data'!J969</f>
        <v/>
      </c>
      <c r="L976" s="7">
        <f>'1 prepared data'!K969</f>
        <v/>
      </c>
      <c r="M976" s="7">
        <f>'1 prepared data'!L969</f>
        <v/>
      </c>
      <c r="N976" s="7">
        <f>'1 prepared data'!M969</f>
        <v/>
      </c>
      <c r="O976" s="7">
        <f>'1 prepared data'!N969</f>
        <v/>
      </c>
      <c r="P976" s="7">
        <f>'1 prepared data'!O969</f>
        <v/>
      </c>
      <c r="Q976" s="7">
        <f>'1 prepared data'!P969</f>
        <v/>
      </c>
      <c r="R976" s="7">
        <f>'1 prepared data'!Q969</f>
        <v/>
      </c>
      <c r="S976" s="7">
        <f>'1 prepared data'!R969</f>
        <v/>
      </c>
      <c r="T976" s="7">
        <f>'1 prepared data'!S969</f>
        <v/>
      </c>
      <c r="U976" s="7">
        <f>'1 prepared data'!T969</f>
        <v/>
      </c>
      <c r="V976" s="8">
        <f>$AC$12+D976*$AC$13+E976*$AC$14+F976*$AC$15+G976*$AC$16+H976*$AC$17+I976*$AC$18+J976*$AC$19+K976*$AC$20+L976*$AC$21+M976*$AC$22+N976*$AC$23+O976*$AC$24+P976*$AC$25+Q976*$AC$26+R976*$AC$27+S976*$AC$28+T976*$AC$29+U976*$AC$30</f>
        <v/>
      </c>
      <c r="W976" s="8">
        <f>1/(1+EXP(-V976))</f>
        <v/>
      </c>
      <c r="X976" s="9">
        <f>-IF(C976=1,LN(W976),LN(1-W976))</f>
        <v/>
      </c>
      <c r="Y976" s="10">
        <f>IF(W976&gt;$AC$34,1,0)</f>
        <v/>
      </c>
      <c r="Z976">
        <f>IF(Y976=C976,1,0)</f>
        <v/>
      </c>
    </row>
    <row r="977">
      <c r="A977">
        <f>'1 prepared data'!A970</f>
        <v/>
      </c>
      <c r="B977" s="5">
        <f>'1 prepared data'!U970</f>
        <v/>
      </c>
      <c r="C977">
        <f>'1 prepared data'!B970</f>
        <v/>
      </c>
      <c r="D977" s="7">
        <f>'1 prepared data'!C970</f>
        <v/>
      </c>
      <c r="E977" s="7">
        <f>'1 prepared data'!D970</f>
        <v/>
      </c>
      <c r="F977" s="7">
        <f>'1 prepared data'!E970</f>
        <v/>
      </c>
      <c r="G977" s="7">
        <f>'1 prepared data'!F970</f>
        <v/>
      </c>
      <c r="H977" s="7">
        <f>'1 prepared data'!G970</f>
        <v/>
      </c>
      <c r="I977" s="7">
        <f>'1 prepared data'!H970</f>
        <v/>
      </c>
      <c r="J977" s="7">
        <f>'1 prepared data'!I970</f>
        <v/>
      </c>
      <c r="K977" s="7">
        <f>'1 prepared data'!J970</f>
        <v/>
      </c>
      <c r="L977" s="7">
        <f>'1 prepared data'!K970</f>
        <v/>
      </c>
      <c r="M977" s="7">
        <f>'1 prepared data'!L970</f>
        <v/>
      </c>
      <c r="N977" s="7">
        <f>'1 prepared data'!M970</f>
        <v/>
      </c>
      <c r="O977" s="7">
        <f>'1 prepared data'!N970</f>
        <v/>
      </c>
      <c r="P977" s="7">
        <f>'1 prepared data'!O970</f>
        <v/>
      </c>
      <c r="Q977" s="7">
        <f>'1 prepared data'!P970</f>
        <v/>
      </c>
      <c r="R977" s="7">
        <f>'1 prepared data'!Q970</f>
        <v/>
      </c>
      <c r="S977" s="7">
        <f>'1 prepared data'!R970</f>
        <v/>
      </c>
      <c r="T977" s="7">
        <f>'1 prepared data'!S970</f>
        <v/>
      </c>
      <c r="U977" s="7">
        <f>'1 prepared data'!T970</f>
        <v/>
      </c>
      <c r="V977" s="8">
        <f>$AC$12+D977*$AC$13+E977*$AC$14+F977*$AC$15+G977*$AC$16+H977*$AC$17+I977*$AC$18+J977*$AC$19+K977*$AC$20+L977*$AC$21+M977*$AC$22+N977*$AC$23+O977*$AC$24+P977*$AC$25+Q977*$AC$26+R977*$AC$27+S977*$AC$28+T977*$AC$29+U977*$AC$30</f>
        <v/>
      </c>
      <c r="W977" s="8">
        <f>1/(1+EXP(-V977))</f>
        <v/>
      </c>
      <c r="X977" s="9">
        <f>-IF(C977=1,LN(W977),LN(1-W977))</f>
        <v/>
      </c>
      <c r="Y977" s="10">
        <f>IF(W977&gt;$AC$34,1,0)</f>
        <v/>
      </c>
      <c r="Z977">
        <f>IF(Y977=C977,1,0)</f>
        <v/>
      </c>
    </row>
    <row r="978">
      <c r="A978">
        <f>'1 prepared data'!A971</f>
        <v/>
      </c>
      <c r="B978" s="5">
        <f>'1 prepared data'!U971</f>
        <v/>
      </c>
      <c r="C978">
        <f>'1 prepared data'!B971</f>
        <v/>
      </c>
      <c r="D978" s="7">
        <f>'1 prepared data'!C971</f>
        <v/>
      </c>
      <c r="E978" s="7">
        <f>'1 prepared data'!D971</f>
        <v/>
      </c>
      <c r="F978" s="7">
        <f>'1 prepared data'!E971</f>
        <v/>
      </c>
      <c r="G978" s="7">
        <f>'1 prepared data'!F971</f>
        <v/>
      </c>
      <c r="H978" s="7">
        <f>'1 prepared data'!G971</f>
        <v/>
      </c>
      <c r="I978" s="7">
        <f>'1 prepared data'!H971</f>
        <v/>
      </c>
      <c r="J978" s="7">
        <f>'1 prepared data'!I971</f>
        <v/>
      </c>
      <c r="K978" s="7">
        <f>'1 prepared data'!J971</f>
        <v/>
      </c>
      <c r="L978" s="7">
        <f>'1 prepared data'!K971</f>
        <v/>
      </c>
      <c r="M978" s="7">
        <f>'1 prepared data'!L971</f>
        <v/>
      </c>
      <c r="N978" s="7">
        <f>'1 prepared data'!M971</f>
        <v/>
      </c>
      <c r="O978" s="7">
        <f>'1 prepared data'!N971</f>
        <v/>
      </c>
      <c r="P978" s="7">
        <f>'1 prepared data'!O971</f>
        <v/>
      </c>
      <c r="Q978" s="7">
        <f>'1 prepared data'!P971</f>
        <v/>
      </c>
      <c r="R978" s="7">
        <f>'1 prepared data'!Q971</f>
        <v/>
      </c>
      <c r="S978" s="7">
        <f>'1 prepared data'!R971</f>
        <v/>
      </c>
      <c r="T978" s="7">
        <f>'1 prepared data'!S971</f>
        <v/>
      </c>
      <c r="U978" s="7">
        <f>'1 prepared data'!T971</f>
        <v/>
      </c>
      <c r="V978" s="8">
        <f>$AC$12+D978*$AC$13+E978*$AC$14+F978*$AC$15+G978*$AC$16+H978*$AC$17+I978*$AC$18+J978*$AC$19+K978*$AC$20+L978*$AC$21+M978*$AC$22+N978*$AC$23+O978*$AC$24+P978*$AC$25+Q978*$AC$26+R978*$AC$27+S978*$AC$28+T978*$AC$29+U978*$AC$30</f>
        <v/>
      </c>
      <c r="W978" s="8">
        <f>1/(1+EXP(-V978))</f>
        <v/>
      </c>
      <c r="X978" s="9">
        <f>-IF(C978=1,LN(W978),LN(1-W978))</f>
        <v/>
      </c>
      <c r="Y978" s="10">
        <f>IF(W978&gt;$AC$34,1,0)</f>
        <v/>
      </c>
      <c r="Z978">
        <f>IF(Y978=C978,1,0)</f>
        <v/>
      </c>
    </row>
    <row r="979">
      <c r="A979">
        <f>'1 prepared data'!A972</f>
        <v/>
      </c>
      <c r="B979" s="5">
        <f>'1 prepared data'!U972</f>
        <v/>
      </c>
      <c r="C979">
        <f>'1 prepared data'!B972</f>
        <v/>
      </c>
      <c r="D979" s="7">
        <f>'1 prepared data'!C972</f>
        <v/>
      </c>
      <c r="E979" s="7">
        <f>'1 prepared data'!D972</f>
        <v/>
      </c>
      <c r="F979" s="7">
        <f>'1 prepared data'!E972</f>
        <v/>
      </c>
      <c r="G979" s="7">
        <f>'1 prepared data'!F972</f>
        <v/>
      </c>
      <c r="H979" s="7">
        <f>'1 prepared data'!G972</f>
        <v/>
      </c>
      <c r="I979" s="7">
        <f>'1 prepared data'!H972</f>
        <v/>
      </c>
      <c r="J979" s="7">
        <f>'1 prepared data'!I972</f>
        <v/>
      </c>
      <c r="K979" s="7">
        <f>'1 prepared data'!J972</f>
        <v/>
      </c>
      <c r="L979" s="7">
        <f>'1 prepared data'!K972</f>
        <v/>
      </c>
      <c r="M979" s="7">
        <f>'1 prepared data'!L972</f>
        <v/>
      </c>
      <c r="N979" s="7">
        <f>'1 prepared data'!M972</f>
        <v/>
      </c>
      <c r="O979" s="7">
        <f>'1 prepared data'!N972</f>
        <v/>
      </c>
      <c r="P979" s="7">
        <f>'1 prepared data'!O972</f>
        <v/>
      </c>
      <c r="Q979" s="7">
        <f>'1 prepared data'!P972</f>
        <v/>
      </c>
      <c r="R979" s="7">
        <f>'1 prepared data'!Q972</f>
        <v/>
      </c>
      <c r="S979" s="7">
        <f>'1 prepared data'!R972</f>
        <v/>
      </c>
      <c r="T979" s="7">
        <f>'1 prepared data'!S972</f>
        <v/>
      </c>
      <c r="U979" s="7">
        <f>'1 prepared data'!T972</f>
        <v/>
      </c>
      <c r="V979" s="8">
        <f>$AC$12+D979*$AC$13+E979*$AC$14+F979*$AC$15+G979*$AC$16+H979*$AC$17+I979*$AC$18+J979*$AC$19+K979*$AC$20+L979*$AC$21+M979*$AC$22+N979*$AC$23+O979*$AC$24+P979*$AC$25+Q979*$AC$26+R979*$AC$27+S979*$AC$28+T979*$AC$29+U979*$AC$30</f>
        <v/>
      </c>
      <c r="W979" s="8">
        <f>1/(1+EXP(-V979))</f>
        <v/>
      </c>
      <c r="X979" s="9">
        <f>-IF(C979=1,LN(W979),LN(1-W979))</f>
        <v/>
      </c>
      <c r="Y979" s="10">
        <f>IF(W979&gt;$AC$34,1,0)</f>
        <v/>
      </c>
      <c r="Z979">
        <f>IF(Y979=C979,1,0)</f>
        <v/>
      </c>
    </row>
    <row r="980">
      <c r="A980">
        <f>'1 prepared data'!A973</f>
        <v/>
      </c>
      <c r="B980" s="5">
        <f>'1 prepared data'!U973</f>
        <v/>
      </c>
      <c r="C980">
        <f>'1 prepared data'!B973</f>
        <v/>
      </c>
      <c r="D980" s="7">
        <f>'1 prepared data'!C973</f>
        <v/>
      </c>
      <c r="E980" s="7">
        <f>'1 prepared data'!D973</f>
        <v/>
      </c>
      <c r="F980" s="7">
        <f>'1 prepared data'!E973</f>
        <v/>
      </c>
      <c r="G980" s="7">
        <f>'1 prepared data'!F973</f>
        <v/>
      </c>
      <c r="H980" s="7">
        <f>'1 prepared data'!G973</f>
        <v/>
      </c>
      <c r="I980" s="7">
        <f>'1 prepared data'!H973</f>
        <v/>
      </c>
      <c r="J980" s="7">
        <f>'1 prepared data'!I973</f>
        <v/>
      </c>
      <c r="K980" s="7">
        <f>'1 prepared data'!J973</f>
        <v/>
      </c>
      <c r="L980" s="7">
        <f>'1 prepared data'!K973</f>
        <v/>
      </c>
      <c r="M980" s="7">
        <f>'1 prepared data'!L973</f>
        <v/>
      </c>
      <c r="N980" s="7">
        <f>'1 prepared data'!M973</f>
        <v/>
      </c>
      <c r="O980" s="7">
        <f>'1 prepared data'!N973</f>
        <v/>
      </c>
      <c r="P980" s="7">
        <f>'1 prepared data'!O973</f>
        <v/>
      </c>
      <c r="Q980" s="7">
        <f>'1 prepared data'!P973</f>
        <v/>
      </c>
      <c r="R980" s="7">
        <f>'1 prepared data'!Q973</f>
        <v/>
      </c>
      <c r="S980" s="7">
        <f>'1 prepared data'!R973</f>
        <v/>
      </c>
      <c r="T980" s="7">
        <f>'1 prepared data'!S973</f>
        <v/>
      </c>
      <c r="U980" s="7">
        <f>'1 prepared data'!T973</f>
        <v/>
      </c>
      <c r="V980" s="8">
        <f>$AC$12+D980*$AC$13+E980*$AC$14+F980*$AC$15+G980*$AC$16+H980*$AC$17+I980*$AC$18+J980*$AC$19+K980*$AC$20+L980*$AC$21+M980*$AC$22+N980*$AC$23+O980*$AC$24+P980*$AC$25+Q980*$AC$26+R980*$AC$27+S980*$AC$28+T980*$AC$29+U980*$AC$30</f>
        <v/>
      </c>
      <c r="W980" s="8">
        <f>1/(1+EXP(-V980))</f>
        <v/>
      </c>
      <c r="X980" s="9">
        <f>-IF(C980=1,LN(W980),LN(1-W980))</f>
        <v/>
      </c>
      <c r="Y980" s="10">
        <f>IF(W980&gt;$AC$34,1,0)</f>
        <v/>
      </c>
      <c r="Z980">
        <f>IF(Y980=C980,1,0)</f>
        <v/>
      </c>
    </row>
    <row r="981">
      <c r="A981">
        <f>'1 prepared data'!A974</f>
        <v/>
      </c>
      <c r="B981" s="5">
        <f>'1 prepared data'!U974</f>
        <v/>
      </c>
      <c r="C981">
        <f>'1 prepared data'!B974</f>
        <v/>
      </c>
      <c r="D981" s="7">
        <f>'1 prepared data'!C974</f>
        <v/>
      </c>
      <c r="E981" s="7">
        <f>'1 prepared data'!D974</f>
        <v/>
      </c>
      <c r="F981" s="7">
        <f>'1 prepared data'!E974</f>
        <v/>
      </c>
      <c r="G981" s="7">
        <f>'1 prepared data'!F974</f>
        <v/>
      </c>
      <c r="H981" s="7">
        <f>'1 prepared data'!G974</f>
        <v/>
      </c>
      <c r="I981" s="7">
        <f>'1 prepared data'!H974</f>
        <v/>
      </c>
      <c r="J981" s="7">
        <f>'1 prepared data'!I974</f>
        <v/>
      </c>
      <c r="K981" s="7">
        <f>'1 prepared data'!J974</f>
        <v/>
      </c>
      <c r="L981" s="7">
        <f>'1 prepared data'!K974</f>
        <v/>
      </c>
      <c r="M981" s="7">
        <f>'1 prepared data'!L974</f>
        <v/>
      </c>
      <c r="N981" s="7">
        <f>'1 prepared data'!M974</f>
        <v/>
      </c>
      <c r="O981" s="7">
        <f>'1 prepared data'!N974</f>
        <v/>
      </c>
      <c r="P981" s="7">
        <f>'1 prepared data'!O974</f>
        <v/>
      </c>
      <c r="Q981" s="7">
        <f>'1 prepared data'!P974</f>
        <v/>
      </c>
      <c r="R981" s="7">
        <f>'1 prepared data'!Q974</f>
        <v/>
      </c>
      <c r="S981" s="7">
        <f>'1 prepared data'!R974</f>
        <v/>
      </c>
      <c r="T981" s="7">
        <f>'1 prepared data'!S974</f>
        <v/>
      </c>
      <c r="U981" s="7">
        <f>'1 prepared data'!T974</f>
        <v/>
      </c>
      <c r="V981" s="8">
        <f>$AC$12+D981*$AC$13+E981*$AC$14+F981*$AC$15+G981*$AC$16+H981*$AC$17+I981*$AC$18+J981*$AC$19+K981*$AC$20+L981*$AC$21+M981*$AC$22+N981*$AC$23+O981*$AC$24+P981*$AC$25+Q981*$AC$26+R981*$AC$27+S981*$AC$28+T981*$AC$29+U981*$AC$30</f>
        <v/>
      </c>
      <c r="W981" s="8">
        <f>1/(1+EXP(-V981))</f>
        <v/>
      </c>
      <c r="X981" s="9">
        <f>-IF(C981=1,LN(W981),LN(1-W981))</f>
        <v/>
      </c>
      <c r="Y981" s="10">
        <f>IF(W981&gt;$AC$34,1,0)</f>
        <v/>
      </c>
      <c r="Z981">
        <f>IF(Y981=C981,1,0)</f>
        <v/>
      </c>
    </row>
    <row r="982">
      <c r="A982">
        <f>'1 prepared data'!A975</f>
        <v/>
      </c>
      <c r="B982" s="5">
        <f>'1 prepared data'!U975</f>
        <v/>
      </c>
      <c r="C982">
        <f>'1 prepared data'!B975</f>
        <v/>
      </c>
      <c r="D982" s="7">
        <f>'1 prepared data'!C975</f>
        <v/>
      </c>
      <c r="E982" s="7">
        <f>'1 prepared data'!D975</f>
        <v/>
      </c>
      <c r="F982" s="7">
        <f>'1 prepared data'!E975</f>
        <v/>
      </c>
      <c r="G982" s="7">
        <f>'1 prepared data'!F975</f>
        <v/>
      </c>
      <c r="H982" s="7">
        <f>'1 prepared data'!G975</f>
        <v/>
      </c>
      <c r="I982" s="7">
        <f>'1 prepared data'!H975</f>
        <v/>
      </c>
      <c r="J982" s="7">
        <f>'1 prepared data'!I975</f>
        <v/>
      </c>
      <c r="K982" s="7">
        <f>'1 prepared data'!J975</f>
        <v/>
      </c>
      <c r="L982" s="7">
        <f>'1 prepared data'!K975</f>
        <v/>
      </c>
      <c r="M982" s="7">
        <f>'1 prepared data'!L975</f>
        <v/>
      </c>
      <c r="N982" s="7">
        <f>'1 prepared data'!M975</f>
        <v/>
      </c>
      <c r="O982" s="7">
        <f>'1 prepared data'!N975</f>
        <v/>
      </c>
      <c r="P982" s="7">
        <f>'1 prepared data'!O975</f>
        <v/>
      </c>
      <c r="Q982" s="7">
        <f>'1 prepared data'!P975</f>
        <v/>
      </c>
      <c r="R982" s="7">
        <f>'1 prepared data'!Q975</f>
        <v/>
      </c>
      <c r="S982" s="7">
        <f>'1 prepared data'!R975</f>
        <v/>
      </c>
      <c r="T982" s="7">
        <f>'1 prepared data'!S975</f>
        <v/>
      </c>
      <c r="U982" s="7">
        <f>'1 prepared data'!T975</f>
        <v/>
      </c>
      <c r="V982" s="8">
        <f>$AC$12+D982*$AC$13+E982*$AC$14+F982*$AC$15+G982*$AC$16+H982*$AC$17+I982*$AC$18+J982*$AC$19+K982*$AC$20+L982*$AC$21+M982*$AC$22+N982*$AC$23+O982*$AC$24+P982*$AC$25+Q982*$AC$26+R982*$AC$27+S982*$AC$28+T982*$AC$29+U982*$AC$30</f>
        <v/>
      </c>
      <c r="W982" s="8">
        <f>1/(1+EXP(-V982))</f>
        <v/>
      </c>
      <c r="X982" s="9">
        <f>-IF(C982=1,LN(W982),LN(1-W982))</f>
        <v/>
      </c>
      <c r="Y982" s="10">
        <f>IF(W982&gt;$AC$34,1,0)</f>
        <v/>
      </c>
      <c r="Z982">
        <f>IF(Y982=C982,1,0)</f>
        <v/>
      </c>
    </row>
    <row r="983">
      <c r="A983">
        <f>'1 prepared data'!A976</f>
        <v/>
      </c>
      <c r="B983" s="5">
        <f>'1 prepared data'!U976</f>
        <v/>
      </c>
      <c r="C983">
        <f>'1 prepared data'!B976</f>
        <v/>
      </c>
      <c r="D983" s="7">
        <f>'1 prepared data'!C976</f>
        <v/>
      </c>
      <c r="E983" s="7">
        <f>'1 prepared data'!D976</f>
        <v/>
      </c>
      <c r="F983" s="7">
        <f>'1 prepared data'!E976</f>
        <v/>
      </c>
      <c r="G983" s="7">
        <f>'1 prepared data'!F976</f>
        <v/>
      </c>
      <c r="H983" s="7">
        <f>'1 prepared data'!G976</f>
        <v/>
      </c>
      <c r="I983" s="7">
        <f>'1 prepared data'!H976</f>
        <v/>
      </c>
      <c r="J983" s="7">
        <f>'1 prepared data'!I976</f>
        <v/>
      </c>
      <c r="K983" s="7">
        <f>'1 prepared data'!J976</f>
        <v/>
      </c>
      <c r="L983" s="7">
        <f>'1 prepared data'!K976</f>
        <v/>
      </c>
      <c r="M983" s="7">
        <f>'1 prepared data'!L976</f>
        <v/>
      </c>
      <c r="N983" s="7">
        <f>'1 prepared data'!M976</f>
        <v/>
      </c>
      <c r="O983" s="7">
        <f>'1 prepared data'!N976</f>
        <v/>
      </c>
      <c r="P983" s="7">
        <f>'1 prepared data'!O976</f>
        <v/>
      </c>
      <c r="Q983" s="7">
        <f>'1 prepared data'!P976</f>
        <v/>
      </c>
      <c r="R983" s="7">
        <f>'1 prepared data'!Q976</f>
        <v/>
      </c>
      <c r="S983" s="7">
        <f>'1 prepared data'!R976</f>
        <v/>
      </c>
      <c r="T983" s="7">
        <f>'1 prepared data'!S976</f>
        <v/>
      </c>
      <c r="U983" s="7">
        <f>'1 prepared data'!T976</f>
        <v/>
      </c>
      <c r="V983" s="8">
        <f>$AC$12+D983*$AC$13+E983*$AC$14+F983*$AC$15+G983*$AC$16+H983*$AC$17+I983*$AC$18+J983*$AC$19+K983*$AC$20+L983*$AC$21+M983*$AC$22+N983*$AC$23+O983*$AC$24+P983*$AC$25+Q983*$AC$26+R983*$AC$27+S983*$AC$28+T983*$AC$29+U983*$AC$30</f>
        <v/>
      </c>
      <c r="W983" s="8">
        <f>1/(1+EXP(-V983))</f>
        <v/>
      </c>
      <c r="X983" s="9">
        <f>-IF(C983=1,LN(W983),LN(1-W983))</f>
        <v/>
      </c>
      <c r="Y983" s="10">
        <f>IF(W983&gt;$AC$34,1,0)</f>
        <v/>
      </c>
      <c r="Z983">
        <f>IF(Y983=C983,1,0)</f>
        <v/>
      </c>
    </row>
    <row r="984">
      <c r="A984">
        <f>'1 prepared data'!A977</f>
        <v/>
      </c>
      <c r="B984" s="5">
        <f>'1 prepared data'!U977</f>
        <v/>
      </c>
      <c r="C984">
        <f>'1 prepared data'!B977</f>
        <v/>
      </c>
      <c r="D984" s="7">
        <f>'1 prepared data'!C977</f>
        <v/>
      </c>
      <c r="E984" s="7">
        <f>'1 prepared data'!D977</f>
        <v/>
      </c>
      <c r="F984" s="7">
        <f>'1 prepared data'!E977</f>
        <v/>
      </c>
      <c r="G984" s="7">
        <f>'1 prepared data'!F977</f>
        <v/>
      </c>
      <c r="H984" s="7">
        <f>'1 prepared data'!G977</f>
        <v/>
      </c>
      <c r="I984" s="7">
        <f>'1 prepared data'!H977</f>
        <v/>
      </c>
      <c r="J984" s="7">
        <f>'1 prepared data'!I977</f>
        <v/>
      </c>
      <c r="K984" s="7">
        <f>'1 prepared data'!J977</f>
        <v/>
      </c>
      <c r="L984" s="7">
        <f>'1 prepared data'!K977</f>
        <v/>
      </c>
      <c r="M984" s="7">
        <f>'1 prepared data'!L977</f>
        <v/>
      </c>
      <c r="N984" s="7">
        <f>'1 prepared data'!M977</f>
        <v/>
      </c>
      <c r="O984" s="7">
        <f>'1 prepared data'!N977</f>
        <v/>
      </c>
      <c r="P984" s="7">
        <f>'1 prepared data'!O977</f>
        <v/>
      </c>
      <c r="Q984" s="7">
        <f>'1 prepared data'!P977</f>
        <v/>
      </c>
      <c r="R984" s="7">
        <f>'1 prepared data'!Q977</f>
        <v/>
      </c>
      <c r="S984" s="7">
        <f>'1 prepared data'!R977</f>
        <v/>
      </c>
      <c r="T984" s="7">
        <f>'1 prepared data'!S977</f>
        <v/>
      </c>
      <c r="U984" s="7">
        <f>'1 prepared data'!T977</f>
        <v/>
      </c>
      <c r="V984" s="8">
        <f>$AC$12+D984*$AC$13+E984*$AC$14+F984*$AC$15+G984*$AC$16+H984*$AC$17+I984*$AC$18+J984*$AC$19+K984*$AC$20+L984*$AC$21+M984*$AC$22+N984*$AC$23+O984*$AC$24+P984*$AC$25+Q984*$AC$26+R984*$AC$27+S984*$AC$28+T984*$AC$29+U984*$AC$30</f>
        <v/>
      </c>
      <c r="W984" s="8">
        <f>1/(1+EXP(-V984))</f>
        <v/>
      </c>
      <c r="X984" s="9">
        <f>-IF(C984=1,LN(W984),LN(1-W984))</f>
        <v/>
      </c>
      <c r="Y984" s="10">
        <f>IF(W984&gt;$AC$34,1,0)</f>
        <v/>
      </c>
      <c r="Z984">
        <f>IF(Y984=C984,1,0)</f>
        <v/>
      </c>
    </row>
    <row r="985">
      <c r="A985">
        <f>'1 prepared data'!A978</f>
        <v/>
      </c>
      <c r="B985" s="5">
        <f>'1 prepared data'!U978</f>
        <v/>
      </c>
      <c r="C985">
        <f>'1 prepared data'!B978</f>
        <v/>
      </c>
      <c r="D985" s="7">
        <f>'1 prepared data'!C978</f>
        <v/>
      </c>
      <c r="E985" s="7">
        <f>'1 prepared data'!D978</f>
        <v/>
      </c>
      <c r="F985" s="7">
        <f>'1 prepared data'!E978</f>
        <v/>
      </c>
      <c r="G985" s="7">
        <f>'1 prepared data'!F978</f>
        <v/>
      </c>
      <c r="H985" s="7">
        <f>'1 prepared data'!G978</f>
        <v/>
      </c>
      <c r="I985" s="7">
        <f>'1 prepared data'!H978</f>
        <v/>
      </c>
      <c r="J985" s="7">
        <f>'1 prepared data'!I978</f>
        <v/>
      </c>
      <c r="K985" s="7">
        <f>'1 prepared data'!J978</f>
        <v/>
      </c>
      <c r="L985" s="7">
        <f>'1 prepared data'!K978</f>
        <v/>
      </c>
      <c r="M985" s="7">
        <f>'1 prepared data'!L978</f>
        <v/>
      </c>
      <c r="N985" s="7">
        <f>'1 prepared data'!M978</f>
        <v/>
      </c>
      <c r="O985" s="7">
        <f>'1 prepared data'!N978</f>
        <v/>
      </c>
      <c r="P985" s="7">
        <f>'1 prepared data'!O978</f>
        <v/>
      </c>
      <c r="Q985" s="7">
        <f>'1 prepared data'!P978</f>
        <v/>
      </c>
      <c r="R985" s="7">
        <f>'1 prepared data'!Q978</f>
        <v/>
      </c>
      <c r="S985" s="7">
        <f>'1 prepared data'!R978</f>
        <v/>
      </c>
      <c r="T985" s="7">
        <f>'1 prepared data'!S978</f>
        <v/>
      </c>
      <c r="U985" s="7">
        <f>'1 prepared data'!T978</f>
        <v/>
      </c>
      <c r="V985" s="8">
        <f>$AC$12+D985*$AC$13+E985*$AC$14+F985*$AC$15+G985*$AC$16+H985*$AC$17+I985*$AC$18+J985*$AC$19+K985*$AC$20+L985*$AC$21+M985*$AC$22+N985*$AC$23+O985*$AC$24+P985*$AC$25+Q985*$AC$26+R985*$AC$27+S985*$AC$28+T985*$AC$29+U985*$AC$30</f>
        <v/>
      </c>
      <c r="W985" s="8">
        <f>1/(1+EXP(-V985))</f>
        <v/>
      </c>
      <c r="X985" s="9">
        <f>-IF(C985=1,LN(W985),LN(1-W985))</f>
        <v/>
      </c>
      <c r="Y985" s="10">
        <f>IF(W985&gt;$AC$34,1,0)</f>
        <v/>
      </c>
      <c r="Z985">
        <f>IF(Y985=C985,1,0)</f>
        <v/>
      </c>
    </row>
    <row r="986">
      <c r="A986">
        <f>'1 prepared data'!A979</f>
        <v/>
      </c>
      <c r="B986" s="5">
        <f>'1 prepared data'!U979</f>
        <v/>
      </c>
      <c r="C986">
        <f>'1 prepared data'!B979</f>
        <v/>
      </c>
      <c r="D986" s="7">
        <f>'1 prepared data'!C979</f>
        <v/>
      </c>
      <c r="E986" s="7">
        <f>'1 prepared data'!D979</f>
        <v/>
      </c>
      <c r="F986" s="7">
        <f>'1 prepared data'!E979</f>
        <v/>
      </c>
      <c r="G986" s="7">
        <f>'1 prepared data'!F979</f>
        <v/>
      </c>
      <c r="H986" s="7">
        <f>'1 prepared data'!G979</f>
        <v/>
      </c>
      <c r="I986" s="7">
        <f>'1 prepared data'!H979</f>
        <v/>
      </c>
      <c r="J986" s="7">
        <f>'1 prepared data'!I979</f>
        <v/>
      </c>
      <c r="K986" s="7">
        <f>'1 prepared data'!J979</f>
        <v/>
      </c>
      <c r="L986" s="7">
        <f>'1 prepared data'!K979</f>
        <v/>
      </c>
      <c r="M986" s="7">
        <f>'1 prepared data'!L979</f>
        <v/>
      </c>
      <c r="N986" s="7">
        <f>'1 prepared data'!M979</f>
        <v/>
      </c>
      <c r="O986" s="7">
        <f>'1 prepared data'!N979</f>
        <v/>
      </c>
      <c r="P986" s="7">
        <f>'1 prepared data'!O979</f>
        <v/>
      </c>
      <c r="Q986" s="7">
        <f>'1 prepared data'!P979</f>
        <v/>
      </c>
      <c r="R986" s="7">
        <f>'1 prepared data'!Q979</f>
        <v/>
      </c>
      <c r="S986" s="7">
        <f>'1 prepared data'!R979</f>
        <v/>
      </c>
      <c r="T986" s="7">
        <f>'1 prepared data'!S979</f>
        <v/>
      </c>
      <c r="U986" s="7">
        <f>'1 prepared data'!T979</f>
        <v/>
      </c>
      <c r="V986" s="8">
        <f>$AC$12+D986*$AC$13+E986*$AC$14+F986*$AC$15+G986*$AC$16+H986*$AC$17+I986*$AC$18+J986*$AC$19+K986*$AC$20+L986*$AC$21+M986*$AC$22+N986*$AC$23+O986*$AC$24+P986*$AC$25+Q986*$AC$26+R986*$AC$27+S986*$AC$28+T986*$AC$29+U986*$AC$30</f>
        <v/>
      </c>
      <c r="W986" s="8">
        <f>1/(1+EXP(-V986))</f>
        <v/>
      </c>
      <c r="X986" s="9">
        <f>-IF(C986=1,LN(W986),LN(1-W986))</f>
        <v/>
      </c>
      <c r="Y986" s="10">
        <f>IF(W986&gt;$AC$34,1,0)</f>
        <v/>
      </c>
      <c r="Z986">
        <f>IF(Y986=C986,1,0)</f>
        <v/>
      </c>
    </row>
    <row r="987">
      <c r="A987">
        <f>'1 prepared data'!A980</f>
        <v/>
      </c>
      <c r="B987" s="5">
        <f>'1 prepared data'!U980</f>
        <v/>
      </c>
      <c r="C987">
        <f>'1 prepared data'!B980</f>
        <v/>
      </c>
      <c r="D987" s="7">
        <f>'1 prepared data'!C980</f>
        <v/>
      </c>
      <c r="E987" s="7">
        <f>'1 prepared data'!D980</f>
        <v/>
      </c>
      <c r="F987" s="7">
        <f>'1 prepared data'!E980</f>
        <v/>
      </c>
      <c r="G987" s="7">
        <f>'1 prepared data'!F980</f>
        <v/>
      </c>
      <c r="H987" s="7">
        <f>'1 prepared data'!G980</f>
        <v/>
      </c>
      <c r="I987" s="7">
        <f>'1 prepared data'!H980</f>
        <v/>
      </c>
      <c r="J987" s="7">
        <f>'1 prepared data'!I980</f>
        <v/>
      </c>
      <c r="K987" s="7">
        <f>'1 prepared data'!J980</f>
        <v/>
      </c>
      <c r="L987" s="7">
        <f>'1 prepared data'!K980</f>
        <v/>
      </c>
      <c r="M987" s="7">
        <f>'1 prepared data'!L980</f>
        <v/>
      </c>
      <c r="N987" s="7">
        <f>'1 prepared data'!M980</f>
        <v/>
      </c>
      <c r="O987" s="7">
        <f>'1 prepared data'!N980</f>
        <v/>
      </c>
      <c r="P987" s="7">
        <f>'1 prepared data'!O980</f>
        <v/>
      </c>
      <c r="Q987" s="7">
        <f>'1 prepared data'!P980</f>
        <v/>
      </c>
      <c r="R987" s="7">
        <f>'1 prepared data'!Q980</f>
        <v/>
      </c>
      <c r="S987" s="7">
        <f>'1 prepared data'!R980</f>
        <v/>
      </c>
      <c r="T987" s="7">
        <f>'1 prepared data'!S980</f>
        <v/>
      </c>
      <c r="U987" s="7">
        <f>'1 prepared data'!T980</f>
        <v/>
      </c>
      <c r="V987" s="8">
        <f>$AC$12+D987*$AC$13+E987*$AC$14+F987*$AC$15+G987*$AC$16+H987*$AC$17+I987*$AC$18+J987*$AC$19+K987*$AC$20+L987*$AC$21+M987*$AC$22+N987*$AC$23+O987*$AC$24+P987*$AC$25+Q987*$AC$26+R987*$AC$27+S987*$AC$28+T987*$AC$29+U987*$AC$30</f>
        <v/>
      </c>
      <c r="W987" s="8">
        <f>1/(1+EXP(-V987))</f>
        <v/>
      </c>
      <c r="X987" s="9">
        <f>-IF(C987=1,LN(W987),LN(1-W987))</f>
        <v/>
      </c>
      <c r="Y987" s="10">
        <f>IF(W987&gt;$AC$34,1,0)</f>
        <v/>
      </c>
      <c r="Z987">
        <f>IF(Y987=C987,1,0)</f>
        <v/>
      </c>
    </row>
    <row r="988">
      <c r="A988">
        <f>'1 prepared data'!A981</f>
        <v/>
      </c>
      <c r="B988" s="5">
        <f>'1 prepared data'!U981</f>
        <v/>
      </c>
      <c r="C988">
        <f>'1 prepared data'!B981</f>
        <v/>
      </c>
      <c r="D988" s="7">
        <f>'1 prepared data'!C981</f>
        <v/>
      </c>
      <c r="E988" s="7">
        <f>'1 prepared data'!D981</f>
        <v/>
      </c>
      <c r="F988" s="7">
        <f>'1 prepared data'!E981</f>
        <v/>
      </c>
      <c r="G988" s="7">
        <f>'1 prepared data'!F981</f>
        <v/>
      </c>
      <c r="H988" s="7">
        <f>'1 prepared data'!G981</f>
        <v/>
      </c>
      <c r="I988" s="7">
        <f>'1 prepared data'!H981</f>
        <v/>
      </c>
      <c r="J988" s="7">
        <f>'1 prepared data'!I981</f>
        <v/>
      </c>
      <c r="K988" s="7">
        <f>'1 prepared data'!J981</f>
        <v/>
      </c>
      <c r="L988" s="7">
        <f>'1 prepared data'!K981</f>
        <v/>
      </c>
      <c r="M988" s="7">
        <f>'1 prepared data'!L981</f>
        <v/>
      </c>
      <c r="N988" s="7">
        <f>'1 prepared data'!M981</f>
        <v/>
      </c>
      <c r="O988" s="7">
        <f>'1 prepared data'!N981</f>
        <v/>
      </c>
      <c r="P988" s="7">
        <f>'1 prepared data'!O981</f>
        <v/>
      </c>
      <c r="Q988" s="7">
        <f>'1 prepared data'!P981</f>
        <v/>
      </c>
      <c r="R988" s="7">
        <f>'1 prepared data'!Q981</f>
        <v/>
      </c>
      <c r="S988" s="7">
        <f>'1 prepared data'!R981</f>
        <v/>
      </c>
      <c r="T988" s="7">
        <f>'1 prepared data'!S981</f>
        <v/>
      </c>
      <c r="U988" s="7">
        <f>'1 prepared data'!T981</f>
        <v/>
      </c>
      <c r="V988" s="8">
        <f>$AC$12+D988*$AC$13+E988*$AC$14+F988*$AC$15+G988*$AC$16+H988*$AC$17+I988*$AC$18+J988*$AC$19+K988*$AC$20+L988*$AC$21+M988*$AC$22+N988*$AC$23+O988*$AC$24+P988*$AC$25+Q988*$AC$26+R988*$AC$27+S988*$AC$28+T988*$AC$29+U988*$AC$30</f>
        <v/>
      </c>
      <c r="W988" s="8">
        <f>1/(1+EXP(-V988))</f>
        <v/>
      </c>
      <c r="X988" s="9">
        <f>-IF(C988=1,LN(W988),LN(1-W988))</f>
        <v/>
      </c>
      <c r="Y988" s="10">
        <f>IF(W988&gt;$AC$34,1,0)</f>
        <v/>
      </c>
      <c r="Z988">
        <f>IF(Y988=C988,1,0)</f>
        <v/>
      </c>
    </row>
    <row r="989">
      <c r="A989">
        <f>'1 prepared data'!A982</f>
        <v/>
      </c>
      <c r="B989" s="5">
        <f>'1 prepared data'!U982</f>
        <v/>
      </c>
      <c r="C989">
        <f>'1 prepared data'!B982</f>
        <v/>
      </c>
      <c r="D989" s="7">
        <f>'1 prepared data'!C982</f>
        <v/>
      </c>
      <c r="E989" s="7">
        <f>'1 prepared data'!D982</f>
        <v/>
      </c>
      <c r="F989" s="7">
        <f>'1 prepared data'!E982</f>
        <v/>
      </c>
      <c r="G989" s="7">
        <f>'1 prepared data'!F982</f>
        <v/>
      </c>
      <c r="H989" s="7">
        <f>'1 prepared data'!G982</f>
        <v/>
      </c>
      <c r="I989" s="7">
        <f>'1 prepared data'!H982</f>
        <v/>
      </c>
      <c r="J989" s="7">
        <f>'1 prepared data'!I982</f>
        <v/>
      </c>
      <c r="K989" s="7">
        <f>'1 prepared data'!J982</f>
        <v/>
      </c>
      <c r="L989" s="7">
        <f>'1 prepared data'!K982</f>
        <v/>
      </c>
      <c r="M989" s="7">
        <f>'1 prepared data'!L982</f>
        <v/>
      </c>
      <c r="N989" s="7">
        <f>'1 prepared data'!M982</f>
        <v/>
      </c>
      <c r="O989" s="7">
        <f>'1 prepared data'!N982</f>
        <v/>
      </c>
      <c r="P989" s="7">
        <f>'1 prepared data'!O982</f>
        <v/>
      </c>
      <c r="Q989" s="7">
        <f>'1 prepared data'!P982</f>
        <v/>
      </c>
      <c r="R989" s="7">
        <f>'1 prepared data'!Q982</f>
        <v/>
      </c>
      <c r="S989" s="7">
        <f>'1 prepared data'!R982</f>
        <v/>
      </c>
      <c r="T989" s="7">
        <f>'1 prepared data'!S982</f>
        <v/>
      </c>
      <c r="U989" s="7">
        <f>'1 prepared data'!T982</f>
        <v/>
      </c>
      <c r="V989" s="8">
        <f>$AC$12+D989*$AC$13+E989*$AC$14+F989*$AC$15+G989*$AC$16+H989*$AC$17+I989*$AC$18+J989*$AC$19+K989*$AC$20+L989*$AC$21+M989*$AC$22+N989*$AC$23+O989*$AC$24+P989*$AC$25+Q989*$AC$26+R989*$AC$27+S989*$AC$28+T989*$AC$29+U989*$AC$30</f>
        <v/>
      </c>
      <c r="W989" s="8">
        <f>1/(1+EXP(-V989))</f>
        <v/>
      </c>
      <c r="X989" s="9">
        <f>-IF(C989=1,LN(W989),LN(1-W989))</f>
        <v/>
      </c>
      <c r="Y989" s="10">
        <f>IF(W989&gt;$AC$34,1,0)</f>
        <v/>
      </c>
      <c r="Z989">
        <f>IF(Y989=C989,1,0)</f>
        <v/>
      </c>
    </row>
    <row r="990">
      <c r="A990">
        <f>'1 prepared data'!A983</f>
        <v/>
      </c>
      <c r="B990" s="5">
        <f>'1 prepared data'!U983</f>
        <v/>
      </c>
      <c r="C990">
        <f>'1 prepared data'!B983</f>
        <v/>
      </c>
      <c r="D990" s="7">
        <f>'1 prepared data'!C983</f>
        <v/>
      </c>
      <c r="E990" s="7">
        <f>'1 prepared data'!D983</f>
        <v/>
      </c>
      <c r="F990" s="7">
        <f>'1 prepared data'!E983</f>
        <v/>
      </c>
      <c r="G990" s="7">
        <f>'1 prepared data'!F983</f>
        <v/>
      </c>
      <c r="H990" s="7">
        <f>'1 prepared data'!G983</f>
        <v/>
      </c>
      <c r="I990" s="7">
        <f>'1 prepared data'!H983</f>
        <v/>
      </c>
      <c r="J990" s="7">
        <f>'1 prepared data'!I983</f>
        <v/>
      </c>
      <c r="K990" s="7">
        <f>'1 prepared data'!J983</f>
        <v/>
      </c>
      <c r="L990" s="7">
        <f>'1 prepared data'!K983</f>
        <v/>
      </c>
      <c r="M990" s="7">
        <f>'1 prepared data'!L983</f>
        <v/>
      </c>
      <c r="N990" s="7">
        <f>'1 prepared data'!M983</f>
        <v/>
      </c>
      <c r="O990" s="7">
        <f>'1 prepared data'!N983</f>
        <v/>
      </c>
      <c r="P990" s="7">
        <f>'1 prepared data'!O983</f>
        <v/>
      </c>
      <c r="Q990" s="7">
        <f>'1 prepared data'!P983</f>
        <v/>
      </c>
      <c r="R990" s="7">
        <f>'1 prepared data'!Q983</f>
        <v/>
      </c>
      <c r="S990" s="7">
        <f>'1 prepared data'!R983</f>
        <v/>
      </c>
      <c r="T990" s="7">
        <f>'1 prepared data'!S983</f>
        <v/>
      </c>
      <c r="U990" s="7">
        <f>'1 prepared data'!T983</f>
        <v/>
      </c>
      <c r="V990" s="8">
        <f>$AC$12+D990*$AC$13+E990*$AC$14+F990*$AC$15+G990*$AC$16+H990*$AC$17+I990*$AC$18+J990*$AC$19+K990*$AC$20+L990*$AC$21+M990*$AC$22+N990*$AC$23+O990*$AC$24+P990*$AC$25+Q990*$AC$26+R990*$AC$27+S990*$AC$28+T990*$AC$29+U990*$AC$30</f>
        <v/>
      </c>
      <c r="W990" s="8">
        <f>1/(1+EXP(-V990))</f>
        <v/>
      </c>
      <c r="X990" s="9">
        <f>-IF(C990=1,LN(W990),LN(1-W990))</f>
        <v/>
      </c>
      <c r="Y990" s="10">
        <f>IF(W990&gt;$AC$34,1,0)</f>
        <v/>
      </c>
      <c r="Z990">
        <f>IF(Y990=C990,1,0)</f>
        <v/>
      </c>
    </row>
    <row r="991">
      <c r="A991">
        <f>'1 prepared data'!A984</f>
        <v/>
      </c>
      <c r="B991" s="5">
        <f>'1 prepared data'!U984</f>
        <v/>
      </c>
      <c r="C991">
        <f>'1 prepared data'!B984</f>
        <v/>
      </c>
      <c r="D991" s="7">
        <f>'1 prepared data'!C984</f>
        <v/>
      </c>
      <c r="E991" s="7">
        <f>'1 prepared data'!D984</f>
        <v/>
      </c>
      <c r="F991" s="7">
        <f>'1 prepared data'!E984</f>
        <v/>
      </c>
      <c r="G991" s="7">
        <f>'1 prepared data'!F984</f>
        <v/>
      </c>
      <c r="H991" s="7">
        <f>'1 prepared data'!G984</f>
        <v/>
      </c>
      <c r="I991" s="7">
        <f>'1 prepared data'!H984</f>
        <v/>
      </c>
      <c r="J991" s="7">
        <f>'1 prepared data'!I984</f>
        <v/>
      </c>
      <c r="K991" s="7">
        <f>'1 prepared data'!J984</f>
        <v/>
      </c>
      <c r="L991" s="7">
        <f>'1 prepared data'!K984</f>
        <v/>
      </c>
      <c r="M991" s="7">
        <f>'1 prepared data'!L984</f>
        <v/>
      </c>
      <c r="N991" s="7">
        <f>'1 prepared data'!M984</f>
        <v/>
      </c>
      <c r="O991" s="7">
        <f>'1 prepared data'!N984</f>
        <v/>
      </c>
      <c r="P991" s="7">
        <f>'1 prepared data'!O984</f>
        <v/>
      </c>
      <c r="Q991" s="7">
        <f>'1 prepared data'!P984</f>
        <v/>
      </c>
      <c r="R991" s="7">
        <f>'1 prepared data'!Q984</f>
        <v/>
      </c>
      <c r="S991" s="7">
        <f>'1 prepared data'!R984</f>
        <v/>
      </c>
      <c r="T991" s="7">
        <f>'1 prepared data'!S984</f>
        <v/>
      </c>
      <c r="U991" s="7">
        <f>'1 prepared data'!T984</f>
        <v/>
      </c>
      <c r="V991" s="8">
        <f>$AC$12+D991*$AC$13+E991*$AC$14+F991*$AC$15+G991*$AC$16+H991*$AC$17+I991*$AC$18+J991*$AC$19+K991*$AC$20+L991*$AC$21+M991*$AC$22+N991*$AC$23+O991*$AC$24+P991*$AC$25+Q991*$AC$26+R991*$AC$27+S991*$AC$28+T991*$AC$29+U991*$AC$30</f>
        <v/>
      </c>
      <c r="W991" s="8">
        <f>1/(1+EXP(-V991))</f>
        <v/>
      </c>
      <c r="X991" s="9">
        <f>-IF(C991=1,LN(W991),LN(1-W991))</f>
        <v/>
      </c>
      <c r="Y991" s="10">
        <f>IF(W991&gt;$AC$34,1,0)</f>
        <v/>
      </c>
      <c r="Z991">
        <f>IF(Y991=C991,1,0)</f>
        <v/>
      </c>
    </row>
    <row r="992">
      <c r="A992">
        <f>'1 prepared data'!A985</f>
        <v/>
      </c>
      <c r="B992" s="5">
        <f>'1 prepared data'!U985</f>
        <v/>
      </c>
      <c r="C992">
        <f>'1 prepared data'!B985</f>
        <v/>
      </c>
      <c r="D992" s="7">
        <f>'1 prepared data'!C985</f>
        <v/>
      </c>
      <c r="E992" s="7">
        <f>'1 prepared data'!D985</f>
        <v/>
      </c>
      <c r="F992" s="7">
        <f>'1 prepared data'!E985</f>
        <v/>
      </c>
      <c r="G992" s="7">
        <f>'1 prepared data'!F985</f>
        <v/>
      </c>
      <c r="H992" s="7">
        <f>'1 prepared data'!G985</f>
        <v/>
      </c>
      <c r="I992" s="7">
        <f>'1 prepared data'!H985</f>
        <v/>
      </c>
      <c r="J992" s="7">
        <f>'1 prepared data'!I985</f>
        <v/>
      </c>
      <c r="K992" s="7">
        <f>'1 prepared data'!J985</f>
        <v/>
      </c>
      <c r="L992" s="7">
        <f>'1 prepared data'!K985</f>
        <v/>
      </c>
      <c r="M992" s="7">
        <f>'1 prepared data'!L985</f>
        <v/>
      </c>
      <c r="N992" s="7">
        <f>'1 prepared data'!M985</f>
        <v/>
      </c>
      <c r="O992" s="7">
        <f>'1 prepared data'!N985</f>
        <v/>
      </c>
      <c r="P992" s="7">
        <f>'1 prepared data'!O985</f>
        <v/>
      </c>
      <c r="Q992" s="7">
        <f>'1 prepared data'!P985</f>
        <v/>
      </c>
      <c r="R992" s="7">
        <f>'1 prepared data'!Q985</f>
        <v/>
      </c>
      <c r="S992" s="7">
        <f>'1 prepared data'!R985</f>
        <v/>
      </c>
      <c r="T992" s="7">
        <f>'1 prepared data'!S985</f>
        <v/>
      </c>
      <c r="U992" s="7">
        <f>'1 prepared data'!T985</f>
        <v/>
      </c>
      <c r="V992" s="8">
        <f>$AC$12+D992*$AC$13+E992*$AC$14+F992*$AC$15+G992*$AC$16+H992*$AC$17+I992*$AC$18+J992*$AC$19+K992*$AC$20+L992*$AC$21+M992*$AC$22+N992*$AC$23+O992*$AC$24+P992*$AC$25+Q992*$AC$26+R992*$AC$27+S992*$AC$28+T992*$AC$29+U992*$AC$30</f>
        <v/>
      </c>
      <c r="W992" s="8">
        <f>1/(1+EXP(-V992))</f>
        <v/>
      </c>
      <c r="X992" s="9">
        <f>-IF(C992=1,LN(W992),LN(1-W992))</f>
        <v/>
      </c>
      <c r="Y992" s="10">
        <f>IF(W992&gt;$AC$34,1,0)</f>
        <v/>
      </c>
      <c r="Z992">
        <f>IF(Y992=C992,1,0)</f>
        <v/>
      </c>
    </row>
    <row r="993">
      <c r="A993">
        <f>'1 prepared data'!A986</f>
        <v/>
      </c>
      <c r="B993" s="5">
        <f>'1 prepared data'!U986</f>
        <v/>
      </c>
      <c r="C993">
        <f>'1 prepared data'!B986</f>
        <v/>
      </c>
      <c r="D993" s="7">
        <f>'1 prepared data'!C986</f>
        <v/>
      </c>
      <c r="E993" s="7">
        <f>'1 prepared data'!D986</f>
        <v/>
      </c>
      <c r="F993" s="7">
        <f>'1 prepared data'!E986</f>
        <v/>
      </c>
      <c r="G993" s="7">
        <f>'1 prepared data'!F986</f>
        <v/>
      </c>
      <c r="H993" s="7">
        <f>'1 prepared data'!G986</f>
        <v/>
      </c>
      <c r="I993" s="7">
        <f>'1 prepared data'!H986</f>
        <v/>
      </c>
      <c r="J993" s="7">
        <f>'1 prepared data'!I986</f>
        <v/>
      </c>
      <c r="K993" s="7">
        <f>'1 prepared data'!J986</f>
        <v/>
      </c>
      <c r="L993" s="7">
        <f>'1 prepared data'!K986</f>
        <v/>
      </c>
      <c r="M993" s="7">
        <f>'1 prepared data'!L986</f>
        <v/>
      </c>
      <c r="N993" s="7">
        <f>'1 prepared data'!M986</f>
        <v/>
      </c>
      <c r="O993" s="7">
        <f>'1 prepared data'!N986</f>
        <v/>
      </c>
      <c r="P993" s="7">
        <f>'1 prepared data'!O986</f>
        <v/>
      </c>
      <c r="Q993" s="7">
        <f>'1 prepared data'!P986</f>
        <v/>
      </c>
      <c r="R993" s="7">
        <f>'1 prepared data'!Q986</f>
        <v/>
      </c>
      <c r="S993" s="7">
        <f>'1 prepared data'!R986</f>
        <v/>
      </c>
      <c r="T993" s="7">
        <f>'1 prepared data'!S986</f>
        <v/>
      </c>
      <c r="U993" s="7">
        <f>'1 prepared data'!T986</f>
        <v/>
      </c>
      <c r="V993" s="8">
        <f>$AC$12+D993*$AC$13+E993*$AC$14+F993*$AC$15+G993*$AC$16+H993*$AC$17+I993*$AC$18+J993*$AC$19+K993*$AC$20+L993*$AC$21+M993*$AC$22+N993*$AC$23+O993*$AC$24+P993*$AC$25+Q993*$AC$26+R993*$AC$27+S993*$AC$28+T993*$AC$29+U993*$AC$30</f>
        <v/>
      </c>
      <c r="W993" s="8">
        <f>1/(1+EXP(-V993))</f>
        <v/>
      </c>
      <c r="X993" s="9">
        <f>-IF(C993=1,LN(W993),LN(1-W993))</f>
        <v/>
      </c>
      <c r="Y993" s="10">
        <f>IF(W993&gt;$AC$34,1,0)</f>
        <v/>
      </c>
      <c r="Z993">
        <f>IF(Y993=C993,1,0)</f>
        <v/>
      </c>
    </row>
    <row r="994">
      <c r="A994">
        <f>'1 prepared data'!A987</f>
        <v/>
      </c>
      <c r="B994" s="5">
        <f>'1 prepared data'!U987</f>
        <v/>
      </c>
      <c r="C994">
        <f>'1 prepared data'!B987</f>
        <v/>
      </c>
      <c r="D994" s="7">
        <f>'1 prepared data'!C987</f>
        <v/>
      </c>
      <c r="E994" s="7">
        <f>'1 prepared data'!D987</f>
        <v/>
      </c>
      <c r="F994" s="7">
        <f>'1 prepared data'!E987</f>
        <v/>
      </c>
      <c r="G994" s="7">
        <f>'1 prepared data'!F987</f>
        <v/>
      </c>
      <c r="H994" s="7">
        <f>'1 prepared data'!G987</f>
        <v/>
      </c>
      <c r="I994" s="7">
        <f>'1 prepared data'!H987</f>
        <v/>
      </c>
      <c r="J994" s="7">
        <f>'1 prepared data'!I987</f>
        <v/>
      </c>
      <c r="K994" s="7">
        <f>'1 prepared data'!J987</f>
        <v/>
      </c>
      <c r="L994" s="7">
        <f>'1 prepared data'!K987</f>
        <v/>
      </c>
      <c r="M994" s="7">
        <f>'1 prepared data'!L987</f>
        <v/>
      </c>
      <c r="N994" s="7">
        <f>'1 prepared data'!M987</f>
        <v/>
      </c>
      <c r="O994" s="7">
        <f>'1 prepared data'!N987</f>
        <v/>
      </c>
      <c r="P994" s="7">
        <f>'1 prepared data'!O987</f>
        <v/>
      </c>
      <c r="Q994" s="7">
        <f>'1 prepared data'!P987</f>
        <v/>
      </c>
      <c r="R994" s="7">
        <f>'1 prepared data'!Q987</f>
        <v/>
      </c>
      <c r="S994" s="7">
        <f>'1 prepared data'!R987</f>
        <v/>
      </c>
      <c r="T994" s="7">
        <f>'1 prepared data'!S987</f>
        <v/>
      </c>
      <c r="U994" s="7">
        <f>'1 prepared data'!T987</f>
        <v/>
      </c>
      <c r="V994" s="8">
        <f>$AC$12+D994*$AC$13+E994*$AC$14+F994*$AC$15+G994*$AC$16+H994*$AC$17+I994*$AC$18+J994*$AC$19+K994*$AC$20+L994*$AC$21+M994*$AC$22+N994*$AC$23+O994*$AC$24+P994*$AC$25+Q994*$AC$26+R994*$AC$27+S994*$AC$28+T994*$AC$29+U994*$AC$30</f>
        <v/>
      </c>
      <c r="W994" s="8">
        <f>1/(1+EXP(-V994))</f>
        <v/>
      </c>
      <c r="X994" s="9">
        <f>-IF(C994=1,LN(W994),LN(1-W994))</f>
        <v/>
      </c>
      <c r="Y994" s="10">
        <f>IF(W994&gt;$AC$34,1,0)</f>
        <v/>
      </c>
      <c r="Z994">
        <f>IF(Y994=C994,1,0)</f>
        <v/>
      </c>
    </row>
    <row r="995">
      <c r="A995">
        <f>'1 prepared data'!A988</f>
        <v/>
      </c>
      <c r="B995" s="5">
        <f>'1 prepared data'!U988</f>
        <v/>
      </c>
      <c r="C995">
        <f>'1 prepared data'!B988</f>
        <v/>
      </c>
      <c r="D995" s="7">
        <f>'1 prepared data'!C988</f>
        <v/>
      </c>
      <c r="E995" s="7">
        <f>'1 prepared data'!D988</f>
        <v/>
      </c>
      <c r="F995" s="7">
        <f>'1 prepared data'!E988</f>
        <v/>
      </c>
      <c r="G995" s="7">
        <f>'1 prepared data'!F988</f>
        <v/>
      </c>
      <c r="H995" s="7">
        <f>'1 prepared data'!G988</f>
        <v/>
      </c>
      <c r="I995" s="7">
        <f>'1 prepared data'!H988</f>
        <v/>
      </c>
      <c r="J995" s="7">
        <f>'1 prepared data'!I988</f>
        <v/>
      </c>
      <c r="K995" s="7">
        <f>'1 prepared data'!J988</f>
        <v/>
      </c>
      <c r="L995" s="7">
        <f>'1 prepared data'!K988</f>
        <v/>
      </c>
      <c r="M995" s="7">
        <f>'1 prepared data'!L988</f>
        <v/>
      </c>
      <c r="N995" s="7">
        <f>'1 prepared data'!M988</f>
        <v/>
      </c>
      <c r="O995" s="7">
        <f>'1 prepared data'!N988</f>
        <v/>
      </c>
      <c r="P995" s="7">
        <f>'1 prepared data'!O988</f>
        <v/>
      </c>
      <c r="Q995" s="7">
        <f>'1 prepared data'!P988</f>
        <v/>
      </c>
      <c r="R995" s="7">
        <f>'1 prepared data'!Q988</f>
        <v/>
      </c>
      <c r="S995" s="7">
        <f>'1 prepared data'!R988</f>
        <v/>
      </c>
      <c r="T995" s="7">
        <f>'1 prepared data'!S988</f>
        <v/>
      </c>
      <c r="U995" s="7">
        <f>'1 prepared data'!T988</f>
        <v/>
      </c>
      <c r="V995" s="8">
        <f>$AC$12+D995*$AC$13+E995*$AC$14+F995*$AC$15+G995*$AC$16+H995*$AC$17+I995*$AC$18+J995*$AC$19+K995*$AC$20+L995*$AC$21+M995*$AC$22+N995*$AC$23+O995*$AC$24+P995*$AC$25+Q995*$AC$26+R995*$AC$27+S995*$AC$28+T995*$AC$29+U995*$AC$30</f>
        <v/>
      </c>
      <c r="W995" s="8">
        <f>1/(1+EXP(-V995))</f>
        <v/>
      </c>
      <c r="X995" s="9">
        <f>-IF(C995=1,LN(W995),LN(1-W995))</f>
        <v/>
      </c>
      <c r="Y995" s="10">
        <f>IF(W995&gt;$AC$34,1,0)</f>
        <v/>
      </c>
      <c r="Z995">
        <f>IF(Y995=C995,1,0)</f>
        <v/>
      </c>
    </row>
    <row r="996">
      <c r="A996">
        <f>'1 prepared data'!A989</f>
        <v/>
      </c>
      <c r="B996" s="5">
        <f>'1 prepared data'!U989</f>
        <v/>
      </c>
      <c r="C996">
        <f>'1 prepared data'!B989</f>
        <v/>
      </c>
      <c r="D996" s="7">
        <f>'1 prepared data'!C989</f>
        <v/>
      </c>
      <c r="E996" s="7">
        <f>'1 prepared data'!D989</f>
        <v/>
      </c>
      <c r="F996" s="7">
        <f>'1 prepared data'!E989</f>
        <v/>
      </c>
      <c r="G996" s="7">
        <f>'1 prepared data'!F989</f>
        <v/>
      </c>
      <c r="H996" s="7">
        <f>'1 prepared data'!G989</f>
        <v/>
      </c>
      <c r="I996" s="7">
        <f>'1 prepared data'!H989</f>
        <v/>
      </c>
      <c r="J996" s="7">
        <f>'1 prepared data'!I989</f>
        <v/>
      </c>
      <c r="K996" s="7">
        <f>'1 prepared data'!J989</f>
        <v/>
      </c>
      <c r="L996" s="7">
        <f>'1 prepared data'!K989</f>
        <v/>
      </c>
      <c r="M996" s="7">
        <f>'1 prepared data'!L989</f>
        <v/>
      </c>
      <c r="N996" s="7">
        <f>'1 prepared data'!M989</f>
        <v/>
      </c>
      <c r="O996" s="7">
        <f>'1 prepared data'!N989</f>
        <v/>
      </c>
      <c r="P996" s="7">
        <f>'1 prepared data'!O989</f>
        <v/>
      </c>
      <c r="Q996" s="7">
        <f>'1 prepared data'!P989</f>
        <v/>
      </c>
      <c r="R996" s="7">
        <f>'1 prepared data'!Q989</f>
        <v/>
      </c>
      <c r="S996" s="7">
        <f>'1 prepared data'!R989</f>
        <v/>
      </c>
      <c r="T996" s="7">
        <f>'1 prepared data'!S989</f>
        <v/>
      </c>
      <c r="U996" s="7">
        <f>'1 prepared data'!T989</f>
        <v/>
      </c>
      <c r="V996" s="8">
        <f>$AC$12+D996*$AC$13+E996*$AC$14+F996*$AC$15+G996*$AC$16+H996*$AC$17+I996*$AC$18+J996*$AC$19+K996*$AC$20+L996*$AC$21+M996*$AC$22+N996*$AC$23+O996*$AC$24+P996*$AC$25+Q996*$AC$26+R996*$AC$27+S996*$AC$28+T996*$AC$29+U996*$AC$30</f>
        <v/>
      </c>
      <c r="W996" s="8">
        <f>1/(1+EXP(-V996))</f>
        <v/>
      </c>
      <c r="X996" s="9">
        <f>-IF(C996=1,LN(W996),LN(1-W996))</f>
        <v/>
      </c>
      <c r="Y996" s="10">
        <f>IF(W996&gt;$AC$34,1,0)</f>
        <v/>
      </c>
      <c r="Z996">
        <f>IF(Y996=C996,1,0)</f>
        <v/>
      </c>
    </row>
    <row r="997">
      <c r="A997">
        <f>'1 prepared data'!A990</f>
        <v/>
      </c>
      <c r="B997" s="5">
        <f>'1 prepared data'!U990</f>
        <v/>
      </c>
      <c r="C997">
        <f>'1 prepared data'!B990</f>
        <v/>
      </c>
      <c r="D997" s="7">
        <f>'1 prepared data'!C990</f>
        <v/>
      </c>
      <c r="E997" s="7">
        <f>'1 prepared data'!D990</f>
        <v/>
      </c>
      <c r="F997" s="7">
        <f>'1 prepared data'!E990</f>
        <v/>
      </c>
      <c r="G997" s="7">
        <f>'1 prepared data'!F990</f>
        <v/>
      </c>
      <c r="H997" s="7">
        <f>'1 prepared data'!G990</f>
        <v/>
      </c>
      <c r="I997" s="7">
        <f>'1 prepared data'!H990</f>
        <v/>
      </c>
      <c r="J997" s="7">
        <f>'1 prepared data'!I990</f>
        <v/>
      </c>
      <c r="K997" s="7">
        <f>'1 prepared data'!J990</f>
        <v/>
      </c>
      <c r="L997" s="7">
        <f>'1 prepared data'!K990</f>
        <v/>
      </c>
      <c r="M997" s="7">
        <f>'1 prepared data'!L990</f>
        <v/>
      </c>
      <c r="N997" s="7">
        <f>'1 prepared data'!M990</f>
        <v/>
      </c>
      <c r="O997" s="7">
        <f>'1 prepared data'!N990</f>
        <v/>
      </c>
      <c r="P997" s="7">
        <f>'1 prepared data'!O990</f>
        <v/>
      </c>
      <c r="Q997" s="7">
        <f>'1 prepared data'!P990</f>
        <v/>
      </c>
      <c r="R997" s="7">
        <f>'1 prepared data'!Q990</f>
        <v/>
      </c>
      <c r="S997" s="7">
        <f>'1 prepared data'!R990</f>
        <v/>
      </c>
      <c r="T997" s="7">
        <f>'1 prepared data'!S990</f>
        <v/>
      </c>
      <c r="U997" s="7">
        <f>'1 prepared data'!T990</f>
        <v/>
      </c>
      <c r="V997" s="8">
        <f>$AC$12+D997*$AC$13+E997*$AC$14+F997*$AC$15+G997*$AC$16+H997*$AC$17+I997*$AC$18+J997*$AC$19+K997*$AC$20+L997*$AC$21+M997*$AC$22+N997*$AC$23+O997*$AC$24+P997*$AC$25+Q997*$AC$26+R997*$AC$27+S997*$AC$28+T997*$AC$29+U997*$AC$30</f>
        <v/>
      </c>
      <c r="W997" s="8">
        <f>1/(1+EXP(-V997))</f>
        <v/>
      </c>
      <c r="X997" s="9">
        <f>-IF(C997=1,LN(W997),LN(1-W997))</f>
        <v/>
      </c>
      <c r="Y997" s="10">
        <f>IF(W997&gt;$AC$34,1,0)</f>
        <v/>
      </c>
      <c r="Z997">
        <f>IF(Y997=C997,1,0)</f>
        <v/>
      </c>
    </row>
    <row r="998">
      <c r="A998">
        <f>'1 prepared data'!A991</f>
        <v/>
      </c>
      <c r="B998" s="5">
        <f>'1 prepared data'!U991</f>
        <v/>
      </c>
      <c r="C998">
        <f>'1 prepared data'!B991</f>
        <v/>
      </c>
      <c r="D998" s="7">
        <f>'1 prepared data'!C991</f>
        <v/>
      </c>
      <c r="E998" s="7">
        <f>'1 prepared data'!D991</f>
        <v/>
      </c>
      <c r="F998" s="7">
        <f>'1 prepared data'!E991</f>
        <v/>
      </c>
      <c r="G998" s="7">
        <f>'1 prepared data'!F991</f>
        <v/>
      </c>
      <c r="H998" s="7">
        <f>'1 prepared data'!G991</f>
        <v/>
      </c>
      <c r="I998" s="7">
        <f>'1 prepared data'!H991</f>
        <v/>
      </c>
      <c r="J998" s="7">
        <f>'1 prepared data'!I991</f>
        <v/>
      </c>
      <c r="K998" s="7">
        <f>'1 prepared data'!J991</f>
        <v/>
      </c>
      <c r="L998" s="7">
        <f>'1 prepared data'!K991</f>
        <v/>
      </c>
      <c r="M998" s="7">
        <f>'1 prepared data'!L991</f>
        <v/>
      </c>
      <c r="N998" s="7">
        <f>'1 prepared data'!M991</f>
        <v/>
      </c>
      <c r="O998" s="7">
        <f>'1 prepared data'!N991</f>
        <v/>
      </c>
      <c r="P998" s="7">
        <f>'1 prepared data'!O991</f>
        <v/>
      </c>
      <c r="Q998" s="7">
        <f>'1 prepared data'!P991</f>
        <v/>
      </c>
      <c r="R998" s="7">
        <f>'1 prepared data'!Q991</f>
        <v/>
      </c>
      <c r="S998" s="7">
        <f>'1 prepared data'!R991</f>
        <v/>
      </c>
      <c r="T998" s="7">
        <f>'1 prepared data'!S991</f>
        <v/>
      </c>
      <c r="U998" s="7">
        <f>'1 prepared data'!T991</f>
        <v/>
      </c>
      <c r="V998" s="8">
        <f>$AC$12+D998*$AC$13+E998*$AC$14+F998*$AC$15+G998*$AC$16+H998*$AC$17+I998*$AC$18+J998*$AC$19+K998*$AC$20+L998*$AC$21+M998*$AC$22+N998*$AC$23+O998*$AC$24+P998*$AC$25+Q998*$AC$26+R998*$AC$27+S998*$AC$28+T998*$AC$29+U998*$AC$30</f>
        <v/>
      </c>
      <c r="W998" s="8">
        <f>1/(1+EXP(-V998))</f>
        <v/>
      </c>
      <c r="X998" s="9">
        <f>-IF(C998=1,LN(W998),LN(1-W998))</f>
        <v/>
      </c>
      <c r="Y998" s="10">
        <f>IF(W998&gt;$AC$34,1,0)</f>
        <v/>
      </c>
      <c r="Z998">
        <f>IF(Y998=C998,1,0)</f>
        <v/>
      </c>
    </row>
    <row r="999">
      <c r="A999">
        <f>'1 prepared data'!A992</f>
        <v/>
      </c>
      <c r="B999" s="5">
        <f>'1 prepared data'!U992</f>
        <v/>
      </c>
      <c r="C999">
        <f>'1 prepared data'!B992</f>
        <v/>
      </c>
      <c r="D999" s="7">
        <f>'1 prepared data'!C992</f>
        <v/>
      </c>
      <c r="E999" s="7">
        <f>'1 prepared data'!D992</f>
        <v/>
      </c>
      <c r="F999" s="7">
        <f>'1 prepared data'!E992</f>
        <v/>
      </c>
      <c r="G999" s="7">
        <f>'1 prepared data'!F992</f>
        <v/>
      </c>
      <c r="H999" s="7">
        <f>'1 prepared data'!G992</f>
        <v/>
      </c>
      <c r="I999" s="7">
        <f>'1 prepared data'!H992</f>
        <v/>
      </c>
      <c r="J999" s="7">
        <f>'1 prepared data'!I992</f>
        <v/>
      </c>
      <c r="K999" s="7">
        <f>'1 prepared data'!J992</f>
        <v/>
      </c>
      <c r="L999" s="7">
        <f>'1 prepared data'!K992</f>
        <v/>
      </c>
      <c r="M999" s="7">
        <f>'1 prepared data'!L992</f>
        <v/>
      </c>
      <c r="N999" s="7">
        <f>'1 prepared data'!M992</f>
        <v/>
      </c>
      <c r="O999" s="7">
        <f>'1 prepared data'!N992</f>
        <v/>
      </c>
      <c r="P999" s="7">
        <f>'1 prepared data'!O992</f>
        <v/>
      </c>
      <c r="Q999" s="7">
        <f>'1 prepared data'!P992</f>
        <v/>
      </c>
      <c r="R999" s="7">
        <f>'1 prepared data'!Q992</f>
        <v/>
      </c>
      <c r="S999" s="7">
        <f>'1 prepared data'!R992</f>
        <v/>
      </c>
      <c r="T999" s="7">
        <f>'1 prepared data'!S992</f>
        <v/>
      </c>
      <c r="U999" s="7">
        <f>'1 prepared data'!T992</f>
        <v/>
      </c>
      <c r="V999" s="8">
        <f>$AC$12+D999*$AC$13+E999*$AC$14+F999*$AC$15+G999*$AC$16+H999*$AC$17+I999*$AC$18+J999*$AC$19+K999*$AC$20+L999*$AC$21+M999*$AC$22+N999*$AC$23+O999*$AC$24+P999*$AC$25+Q999*$AC$26+R999*$AC$27+S999*$AC$28+T999*$AC$29+U999*$AC$30</f>
        <v/>
      </c>
      <c r="W999" s="8">
        <f>1/(1+EXP(-V999))</f>
        <v/>
      </c>
      <c r="X999" s="9">
        <f>-IF(C999=1,LN(W999),LN(1-W999))</f>
        <v/>
      </c>
      <c r="Y999" s="10">
        <f>IF(W999&gt;$AC$34,1,0)</f>
        <v/>
      </c>
      <c r="Z999">
        <f>IF(Y999=C999,1,0)</f>
        <v/>
      </c>
    </row>
    <row r="1000">
      <c r="A1000">
        <f>'1 prepared data'!A993</f>
        <v/>
      </c>
      <c r="B1000" s="5">
        <f>'1 prepared data'!U993</f>
        <v/>
      </c>
      <c r="C1000">
        <f>'1 prepared data'!B993</f>
        <v/>
      </c>
      <c r="D1000" s="7">
        <f>'1 prepared data'!C993</f>
        <v/>
      </c>
      <c r="E1000" s="7">
        <f>'1 prepared data'!D993</f>
        <v/>
      </c>
      <c r="F1000" s="7">
        <f>'1 prepared data'!E993</f>
        <v/>
      </c>
      <c r="G1000" s="7">
        <f>'1 prepared data'!F993</f>
        <v/>
      </c>
      <c r="H1000" s="7">
        <f>'1 prepared data'!G993</f>
        <v/>
      </c>
      <c r="I1000" s="7">
        <f>'1 prepared data'!H993</f>
        <v/>
      </c>
      <c r="J1000" s="7">
        <f>'1 prepared data'!I993</f>
        <v/>
      </c>
      <c r="K1000" s="7">
        <f>'1 prepared data'!J993</f>
        <v/>
      </c>
      <c r="L1000" s="7">
        <f>'1 prepared data'!K993</f>
        <v/>
      </c>
      <c r="M1000" s="7">
        <f>'1 prepared data'!L993</f>
        <v/>
      </c>
      <c r="N1000" s="7">
        <f>'1 prepared data'!M993</f>
        <v/>
      </c>
      <c r="O1000" s="7">
        <f>'1 prepared data'!N993</f>
        <v/>
      </c>
      <c r="P1000" s="7">
        <f>'1 prepared data'!O993</f>
        <v/>
      </c>
      <c r="Q1000" s="7">
        <f>'1 prepared data'!P993</f>
        <v/>
      </c>
      <c r="R1000" s="7">
        <f>'1 prepared data'!Q993</f>
        <v/>
      </c>
      <c r="S1000" s="7">
        <f>'1 prepared data'!R993</f>
        <v/>
      </c>
      <c r="T1000" s="7">
        <f>'1 prepared data'!S993</f>
        <v/>
      </c>
      <c r="U1000" s="7">
        <f>'1 prepared data'!T993</f>
        <v/>
      </c>
      <c r="V1000" s="8">
        <f>$AC$12+D1000*$AC$13+E1000*$AC$14+F1000*$AC$15+G1000*$AC$16+H1000*$AC$17+I1000*$AC$18+J1000*$AC$19+K1000*$AC$20+L1000*$AC$21+M1000*$AC$22+N1000*$AC$23+O1000*$AC$24+P1000*$AC$25+Q1000*$AC$26+R1000*$AC$27+S1000*$AC$28+T1000*$AC$29+U1000*$AC$30</f>
        <v/>
      </c>
      <c r="W1000" s="8">
        <f>1/(1+EXP(-V1000))</f>
        <v/>
      </c>
      <c r="X1000" s="9">
        <f>-IF(C1000=1,LN(W1000),LN(1-W1000))</f>
        <v/>
      </c>
      <c r="Y1000" s="10">
        <f>IF(W1000&gt;$AC$34,1,0)</f>
        <v/>
      </c>
      <c r="Z1000">
        <f>IF(Y1000=C1000,1,0)</f>
        <v/>
      </c>
    </row>
    <row r="1001">
      <c r="A1001">
        <f>'1 prepared data'!A994</f>
        <v/>
      </c>
      <c r="B1001" s="5">
        <f>'1 prepared data'!U994</f>
        <v/>
      </c>
      <c r="C1001">
        <f>'1 prepared data'!B994</f>
        <v/>
      </c>
      <c r="D1001" s="7">
        <f>'1 prepared data'!C994</f>
        <v/>
      </c>
      <c r="E1001" s="7">
        <f>'1 prepared data'!D994</f>
        <v/>
      </c>
      <c r="F1001" s="7">
        <f>'1 prepared data'!E994</f>
        <v/>
      </c>
      <c r="G1001" s="7">
        <f>'1 prepared data'!F994</f>
        <v/>
      </c>
      <c r="H1001" s="7">
        <f>'1 prepared data'!G994</f>
        <v/>
      </c>
      <c r="I1001" s="7">
        <f>'1 prepared data'!H994</f>
        <v/>
      </c>
      <c r="J1001" s="7">
        <f>'1 prepared data'!I994</f>
        <v/>
      </c>
      <c r="K1001" s="7">
        <f>'1 prepared data'!J994</f>
        <v/>
      </c>
      <c r="L1001" s="7">
        <f>'1 prepared data'!K994</f>
        <v/>
      </c>
      <c r="M1001" s="7">
        <f>'1 prepared data'!L994</f>
        <v/>
      </c>
      <c r="N1001" s="7">
        <f>'1 prepared data'!M994</f>
        <v/>
      </c>
      <c r="O1001" s="7">
        <f>'1 prepared data'!N994</f>
        <v/>
      </c>
      <c r="P1001" s="7">
        <f>'1 prepared data'!O994</f>
        <v/>
      </c>
      <c r="Q1001" s="7">
        <f>'1 prepared data'!P994</f>
        <v/>
      </c>
      <c r="R1001" s="7">
        <f>'1 prepared data'!Q994</f>
        <v/>
      </c>
      <c r="S1001" s="7">
        <f>'1 prepared data'!R994</f>
        <v/>
      </c>
      <c r="T1001" s="7">
        <f>'1 prepared data'!S994</f>
        <v/>
      </c>
      <c r="U1001" s="7">
        <f>'1 prepared data'!T994</f>
        <v/>
      </c>
      <c r="V1001" s="8">
        <f>$AC$12+D1001*$AC$13+E1001*$AC$14+F1001*$AC$15+G1001*$AC$16+H1001*$AC$17+I1001*$AC$18+J1001*$AC$19+K1001*$AC$20+L1001*$AC$21+M1001*$AC$22+N1001*$AC$23+O1001*$AC$24+P1001*$AC$25+Q1001*$AC$26+R1001*$AC$27+S1001*$AC$28+T1001*$AC$29+U1001*$AC$30</f>
        <v/>
      </c>
      <c r="W1001" s="8">
        <f>1/(1+EXP(-V1001))</f>
        <v/>
      </c>
      <c r="X1001" s="9">
        <f>-IF(C1001=1,LN(W1001),LN(1-W1001))</f>
        <v/>
      </c>
      <c r="Y1001" s="10">
        <f>IF(W1001&gt;$AC$34,1,0)</f>
        <v/>
      </c>
      <c r="Z1001">
        <f>IF(Y1001=C1001,1,0)</f>
        <v/>
      </c>
    </row>
    <row r="1002">
      <c r="A1002">
        <f>'1 prepared data'!A995</f>
        <v/>
      </c>
      <c r="B1002" s="5">
        <f>'1 prepared data'!U995</f>
        <v/>
      </c>
      <c r="C1002">
        <f>'1 prepared data'!B995</f>
        <v/>
      </c>
      <c r="D1002" s="7">
        <f>'1 prepared data'!C995</f>
        <v/>
      </c>
      <c r="E1002" s="7">
        <f>'1 prepared data'!D995</f>
        <v/>
      </c>
      <c r="F1002" s="7">
        <f>'1 prepared data'!E995</f>
        <v/>
      </c>
      <c r="G1002" s="7">
        <f>'1 prepared data'!F995</f>
        <v/>
      </c>
      <c r="H1002" s="7">
        <f>'1 prepared data'!G995</f>
        <v/>
      </c>
      <c r="I1002" s="7">
        <f>'1 prepared data'!H995</f>
        <v/>
      </c>
      <c r="J1002" s="7">
        <f>'1 prepared data'!I995</f>
        <v/>
      </c>
      <c r="K1002" s="7">
        <f>'1 prepared data'!J995</f>
        <v/>
      </c>
      <c r="L1002" s="7">
        <f>'1 prepared data'!K995</f>
        <v/>
      </c>
      <c r="M1002" s="7">
        <f>'1 prepared data'!L995</f>
        <v/>
      </c>
      <c r="N1002" s="7">
        <f>'1 prepared data'!M995</f>
        <v/>
      </c>
      <c r="O1002" s="7">
        <f>'1 prepared data'!N995</f>
        <v/>
      </c>
      <c r="P1002" s="7">
        <f>'1 prepared data'!O995</f>
        <v/>
      </c>
      <c r="Q1002" s="7">
        <f>'1 prepared data'!P995</f>
        <v/>
      </c>
      <c r="R1002" s="7">
        <f>'1 prepared data'!Q995</f>
        <v/>
      </c>
      <c r="S1002" s="7">
        <f>'1 prepared data'!R995</f>
        <v/>
      </c>
      <c r="T1002" s="7">
        <f>'1 prepared data'!S995</f>
        <v/>
      </c>
      <c r="U1002" s="7">
        <f>'1 prepared data'!T995</f>
        <v/>
      </c>
      <c r="V1002" s="8">
        <f>$AC$12+D1002*$AC$13+E1002*$AC$14+F1002*$AC$15+G1002*$AC$16+H1002*$AC$17+I1002*$AC$18+J1002*$AC$19+K1002*$AC$20+L1002*$AC$21+M1002*$AC$22+N1002*$AC$23+O1002*$AC$24+P1002*$AC$25+Q1002*$AC$26+R1002*$AC$27+S1002*$AC$28+T1002*$AC$29+U1002*$AC$30</f>
        <v/>
      </c>
      <c r="W1002" s="8">
        <f>1/(1+EXP(-V1002))</f>
        <v/>
      </c>
      <c r="X1002" s="9">
        <f>-IF(C1002=1,LN(W1002),LN(1-W1002))</f>
        <v/>
      </c>
      <c r="Y1002" s="10">
        <f>IF(W1002&gt;$AC$34,1,0)</f>
        <v/>
      </c>
      <c r="Z1002">
        <f>IF(Y1002=C1002,1,0)</f>
        <v/>
      </c>
    </row>
    <row r="1003">
      <c r="A1003">
        <f>'1 prepared data'!A996</f>
        <v/>
      </c>
      <c r="B1003" s="5">
        <f>'1 prepared data'!U996</f>
        <v/>
      </c>
      <c r="C1003">
        <f>'1 prepared data'!B996</f>
        <v/>
      </c>
      <c r="D1003" s="7">
        <f>'1 prepared data'!C996</f>
        <v/>
      </c>
      <c r="E1003" s="7">
        <f>'1 prepared data'!D996</f>
        <v/>
      </c>
      <c r="F1003" s="7">
        <f>'1 prepared data'!E996</f>
        <v/>
      </c>
      <c r="G1003" s="7">
        <f>'1 prepared data'!F996</f>
        <v/>
      </c>
      <c r="H1003" s="7">
        <f>'1 prepared data'!G996</f>
        <v/>
      </c>
      <c r="I1003" s="7">
        <f>'1 prepared data'!H996</f>
        <v/>
      </c>
      <c r="J1003" s="7">
        <f>'1 prepared data'!I996</f>
        <v/>
      </c>
      <c r="K1003" s="7">
        <f>'1 prepared data'!J996</f>
        <v/>
      </c>
      <c r="L1003" s="7">
        <f>'1 prepared data'!K996</f>
        <v/>
      </c>
      <c r="M1003" s="7">
        <f>'1 prepared data'!L996</f>
        <v/>
      </c>
      <c r="N1003" s="7">
        <f>'1 prepared data'!M996</f>
        <v/>
      </c>
      <c r="O1003" s="7">
        <f>'1 prepared data'!N996</f>
        <v/>
      </c>
      <c r="P1003" s="7">
        <f>'1 prepared data'!O996</f>
        <v/>
      </c>
      <c r="Q1003" s="7">
        <f>'1 prepared data'!P996</f>
        <v/>
      </c>
      <c r="R1003" s="7">
        <f>'1 prepared data'!Q996</f>
        <v/>
      </c>
      <c r="S1003" s="7">
        <f>'1 prepared data'!R996</f>
        <v/>
      </c>
      <c r="T1003" s="7">
        <f>'1 prepared data'!S996</f>
        <v/>
      </c>
      <c r="U1003" s="7">
        <f>'1 prepared data'!T996</f>
        <v/>
      </c>
      <c r="V1003" s="8">
        <f>$AC$12+D1003*$AC$13+E1003*$AC$14+F1003*$AC$15+G1003*$AC$16+H1003*$AC$17+I1003*$AC$18+J1003*$AC$19+K1003*$AC$20+L1003*$AC$21+M1003*$AC$22+N1003*$AC$23+O1003*$AC$24+P1003*$AC$25+Q1003*$AC$26+R1003*$AC$27+S1003*$AC$28+T1003*$AC$29+U1003*$AC$30</f>
        <v/>
      </c>
      <c r="W1003" s="8">
        <f>1/(1+EXP(-V1003))</f>
        <v/>
      </c>
      <c r="X1003" s="9">
        <f>-IF(C1003=1,LN(W1003),LN(1-W1003))</f>
        <v/>
      </c>
      <c r="Y1003" s="10">
        <f>IF(W1003&gt;$AC$34,1,0)</f>
        <v/>
      </c>
      <c r="Z1003">
        <f>IF(Y1003=C1003,1,0)</f>
        <v/>
      </c>
    </row>
    <row r="1004">
      <c r="A1004">
        <f>'1 prepared data'!A997</f>
        <v/>
      </c>
      <c r="B1004" s="5">
        <f>'1 prepared data'!U997</f>
        <v/>
      </c>
      <c r="C1004">
        <f>'1 prepared data'!B997</f>
        <v/>
      </c>
      <c r="D1004" s="7">
        <f>'1 prepared data'!C997</f>
        <v/>
      </c>
      <c r="E1004" s="7">
        <f>'1 prepared data'!D997</f>
        <v/>
      </c>
      <c r="F1004" s="7">
        <f>'1 prepared data'!E997</f>
        <v/>
      </c>
      <c r="G1004" s="7">
        <f>'1 prepared data'!F997</f>
        <v/>
      </c>
      <c r="H1004" s="7">
        <f>'1 prepared data'!G997</f>
        <v/>
      </c>
      <c r="I1004" s="7">
        <f>'1 prepared data'!H997</f>
        <v/>
      </c>
      <c r="J1004" s="7">
        <f>'1 prepared data'!I997</f>
        <v/>
      </c>
      <c r="K1004" s="7">
        <f>'1 prepared data'!J997</f>
        <v/>
      </c>
      <c r="L1004" s="7">
        <f>'1 prepared data'!K997</f>
        <v/>
      </c>
      <c r="M1004" s="7">
        <f>'1 prepared data'!L997</f>
        <v/>
      </c>
      <c r="N1004" s="7">
        <f>'1 prepared data'!M997</f>
        <v/>
      </c>
      <c r="O1004" s="7">
        <f>'1 prepared data'!N997</f>
        <v/>
      </c>
      <c r="P1004" s="7">
        <f>'1 prepared data'!O997</f>
        <v/>
      </c>
      <c r="Q1004" s="7">
        <f>'1 prepared data'!P997</f>
        <v/>
      </c>
      <c r="R1004" s="7">
        <f>'1 prepared data'!Q997</f>
        <v/>
      </c>
      <c r="S1004" s="7">
        <f>'1 prepared data'!R997</f>
        <v/>
      </c>
      <c r="T1004" s="7">
        <f>'1 prepared data'!S997</f>
        <v/>
      </c>
      <c r="U1004" s="7">
        <f>'1 prepared data'!T997</f>
        <v/>
      </c>
      <c r="V1004" s="8">
        <f>$AC$12+D1004*$AC$13+E1004*$AC$14+F1004*$AC$15+G1004*$AC$16+H1004*$AC$17+I1004*$AC$18+J1004*$AC$19+K1004*$AC$20+L1004*$AC$21+M1004*$AC$22+N1004*$AC$23+O1004*$AC$24+P1004*$AC$25+Q1004*$AC$26+R1004*$AC$27+S1004*$AC$28+T1004*$AC$29+U1004*$AC$30</f>
        <v/>
      </c>
      <c r="W1004" s="8">
        <f>1/(1+EXP(-V1004))</f>
        <v/>
      </c>
      <c r="X1004" s="9">
        <f>-IF(C1004=1,LN(W1004),LN(1-W1004))</f>
        <v/>
      </c>
      <c r="Y1004" s="10">
        <f>IF(W1004&gt;$AC$34,1,0)</f>
        <v/>
      </c>
      <c r="Z1004">
        <f>IF(Y1004=C1004,1,0)</f>
        <v/>
      </c>
    </row>
    <row r="1005">
      <c r="A1005">
        <f>'1 prepared data'!A998</f>
        <v/>
      </c>
      <c r="B1005" s="5">
        <f>'1 prepared data'!U998</f>
        <v/>
      </c>
      <c r="C1005">
        <f>'1 prepared data'!B998</f>
        <v/>
      </c>
      <c r="D1005" s="7">
        <f>'1 prepared data'!C998</f>
        <v/>
      </c>
      <c r="E1005" s="7">
        <f>'1 prepared data'!D998</f>
        <v/>
      </c>
      <c r="F1005" s="7">
        <f>'1 prepared data'!E998</f>
        <v/>
      </c>
      <c r="G1005" s="7">
        <f>'1 prepared data'!F998</f>
        <v/>
      </c>
      <c r="H1005" s="7">
        <f>'1 prepared data'!G998</f>
        <v/>
      </c>
      <c r="I1005" s="7">
        <f>'1 prepared data'!H998</f>
        <v/>
      </c>
      <c r="J1005" s="7">
        <f>'1 prepared data'!I998</f>
        <v/>
      </c>
      <c r="K1005" s="7">
        <f>'1 prepared data'!J998</f>
        <v/>
      </c>
      <c r="L1005" s="7">
        <f>'1 prepared data'!K998</f>
        <v/>
      </c>
      <c r="M1005" s="7">
        <f>'1 prepared data'!L998</f>
        <v/>
      </c>
      <c r="N1005" s="7">
        <f>'1 prepared data'!M998</f>
        <v/>
      </c>
      <c r="O1005" s="7">
        <f>'1 prepared data'!N998</f>
        <v/>
      </c>
      <c r="P1005" s="7">
        <f>'1 prepared data'!O998</f>
        <v/>
      </c>
      <c r="Q1005" s="7">
        <f>'1 prepared data'!P998</f>
        <v/>
      </c>
      <c r="R1005" s="7">
        <f>'1 prepared data'!Q998</f>
        <v/>
      </c>
      <c r="S1005" s="7">
        <f>'1 prepared data'!R998</f>
        <v/>
      </c>
      <c r="T1005" s="7">
        <f>'1 prepared data'!S998</f>
        <v/>
      </c>
      <c r="U1005" s="7">
        <f>'1 prepared data'!T998</f>
        <v/>
      </c>
      <c r="V1005" s="8">
        <f>$AC$12+D1005*$AC$13+E1005*$AC$14+F1005*$AC$15+G1005*$AC$16+H1005*$AC$17+I1005*$AC$18+J1005*$AC$19+K1005*$AC$20+L1005*$AC$21+M1005*$AC$22+N1005*$AC$23+O1005*$AC$24+P1005*$AC$25+Q1005*$AC$26+R1005*$AC$27+S1005*$AC$28+T1005*$AC$29+U1005*$AC$30</f>
        <v/>
      </c>
      <c r="W1005" s="8">
        <f>1/(1+EXP(-V1005))</f>
        <v/>
      </c>
      <c r="X1005" s="9">
        <f>-IF(C1005=1,LN(W1005),LN(1-W1005))</f>
        <v/>
      </c>
      <c r="Y1005" s="10">
        <f>IF(W1005&gt;$AC$34,1,0)</f>
        <v/>
      </c>
      <c r="Z1005">
        <f>IF(Y1005=C1005,1,0)</f>
        <v/>
      </c>
    </row>
    <row r="1006">
      <c r="A1006">
        <f>'1 prepared data'!A999</f>
        <v/>
      </c>
      <c r="B1006" s="5">
        <f>'1 prepared data'!U999</f>
        <v/>
      </c>
      <c r="C1006">
        <f>'1 prepared data'!B999</f>
        <v/>
      </c>
      <c r="D1006" s="7">
        <f>'1 prepared data'!C999</f>
        <v/>
      </c>
      <c r="E1006" s="7">
        <f>'1 prepared data'!D999</f>
        <v/>
      </c>
      <c r="F1006" s="7">
        <f>'1 prepared data'!E999</f>
        <v/>
      </c>
      <c r="G1006" s="7">
        <f>'1 prepared data'!F999</f>
        <v/>
      </c>
      <c r="H1006" s="7">
        <f>'1 prepared data'!G999</f>
        <v/>
      </c>
      <c r="I1006" s="7">
        <f>'1 prepared data'!H999</f>
        <v/>
      </c>
      <c r="J1006" s="7">
        <f>'1 prepared data'!I999</f>
        <v/>
      </c>
      <c r="K1006" s="7">
        <f>'1 prepared data'!J999</f>
        <v/>
      </c>
      <c r="L1006" s="7">
        <f>'1 prepared data'!K999</f>
        <v/>
      </c>
      <c r="M1006" s="7">
        <f>'1 prepared data'!L999</f>
        <v/>
      </c>
      <c r="N1006" s="7">
        <f>'1 prepared data'!M999</f>
        <v/>
      </c>
      <c r="O1006" s="7">
        <f>'1 prepared data'!N999</f>
        <v/>
      </c>
      <c r="P1006" s="7">
        <f>'1 prepared data'!O999</f>
        <v/>
      </c>
      <c r="Q1006" s="7">
        <f>'1 prepared data'!P999</f>
        <v/>
      </c>
      <c r="R1006" s="7">
        <f>'1 prepared data'!Q999</f>
        <v/>
      </c>
      <c r="S1006" s="7">
        <f>'1 prepared data'!R999</f>
        <v/>
      </c>
      <c r="T1006" s="7">
        <f>'1 prepared data'!S999</f>
        <v/>
      </c>
      <c r="U1006" s="7">
        <f>'1 prepared data'!T999</f>
        <v/>
      </c>
      <c r="V1006" s="8">
        <f>$AC$12+D1006*$AC$13+E1006*$AC$14+F1006*$AC$15+G1006*$AC$16+H1006*$AC$17+I1006*$AC$18+J1006*$AC$19+K1006*$AC$20+L1006*$AC$21+M1006*$AC$22+N1006*$AC$23+O1006*$AC$24+P1006*$AC$25+Q1006*$AC$26+R1006*$AC$27+S1006*$AC$28+T1006*$AC$29+U1006*$AC$30</f>
        <v/>
      </c>
      <c r="W1006" s="8">
        <f>1/(1+EXP(-V1006))</f>
        <v/>
      </c>
      <c r="X1006" s="9">
        <f>-IF(C1006=1,LN(W1006),LN(1-W1006))</f>
        <v/>
      </c>
      <c r="Y1006" s="10">
        <f>IF(W1006&gt;$AC$34,1,0)</f>
        <v/>
      </c>
      <c r="Z1006">
        <f>IF(Y1006=C1006,1,0)</f>
        <v/>
      </c>
    </row>
    <row r="1007">
      <c r="A1007">
        <f>'1 prepared data'!A1000</f>
        <v/>
      </c>
      <c r="B1007" s="5">
        <f>'1 prepared data'!U1000</f>
        <v/>
      </c>
      <c r="C1007">
        <f>'1 prepared data'!B1000</f>
        <v/>
      </c>
      <c r="D1007" s="7">
        <f>'1 prepared data'!C1000</f>
        <v/>
      </c>
      <c r="E1007" s="7">
        <f>'1 prepared data'!D1000</f>
        <v/>
      </c>
      <c r="F1007" s="7">
        <f>'1 prepared data'!E1000</f>
        <v/>
      </c>
      <c r="G1007" s="7">
        <f>'1 prepared data'!F1000</f>
        <v/>
      </c>
      <c r="H1007" s="7">
        <f>'1 prepared data'!G1000</f>
        <v/>
      </c>
      <c r="I1007" s="7">
        <f>'1 prepared data'!H1000</f>
        <v/>
      </c>
      <c r="J1007" s="7">
        <f>'1 prepared data'!I1000</f>
        <v/>
      </c>
      <c r="K1007" s="7">
        <f>'1 prepared data'!J1000</f>
        <v/>
      </c>
      <c r="L1007" s="7">
        <f>'1 prepared data'!K1000</f>
        <v/>
      </c>
      <c r="M1007" s="7">
        <f>'1 prepared data'!L1000</f>
        <v/>
      </c>
      <c r="N1007" s="7">
        <f>'1 prepared data'!M1000</f>
        <v/>
      </c>
      <c r="O1007" s="7">
        <f>'1 prepared data'!N1000</f>
        <v/>
      </c>
      <c r="P1007" s="7">
        <f>'1 prepared data'!O1000</f>
        <v/>
      </c>
      <c r="Q1007" s="7">
        <f>'1 prepared data'!P1000</f>
        <v/>
      </c>
      <c r="R1007" s="7">
        <f>'1 prepared data'!Q1000</f>
        <v/>
      </c>
      <c r="S1007" s="7">
        <f>'1 prepared data'!R1000</f>
        <v/>
      </c>
      <c r="T1007" s="7">
        <f>'1 prepared data'!S1000</f>
        <v/>
      </c>
      <c r="U1007" s="7">
        <f>'1 prepared data'!T1000</f>
        <v/>
      </c>
      <c r="V1007" s="8">
        <f>$AC$12+D1007*$AC$13+E1007*$AC$14+F1007*$AC$15+G1007*$AC$16+H1007*$AC$17+I1007*$AC$18+J1007*$AC$19+K1007*$AC$20+L1007*$AC$21+M1007*$AC$22+N1007*$AC$23+O1007*$AC$24+P1007*$AC$25+Q1007*$AC$26+R1007*$AC$27+S1007*$AC$28+T1007*$AC$29+U1007*$AC$30</f>
        <v/>
      </c>
      <c r="W1007" s="8">
        <f>1/(1+EXP(-V1007))</f>
        <v/>
      </c>
      <c r="X1007" s="9">
        <f>-IF(C1007=1,LN(W1007),LN(1-W1007))</f>
        <v/>
      </c>
      <c r="Y1007" s="10">
        <f>IF(W1007&gt;$AC$34,1,0)</f>
        <v/>
      </c>
      <c r="Z1007">
        <f>IF(Y1007=C1007,1,0)</f>
        <v/>
      </c>
    </row>
    <row r="1008">
      <c r="A1008">
        <f>'1 prepared data'!A1001</f>
        <v/>
      </c>
      <c r="B1008" s="5">
        <f>'1 prepared data'!U1001</f>
        <v/>
      </c>
      <c r="C1008">
        <f>'1 prepared data'!B1001</f>
        <v/>
      </c>
      <c r="D1008" s="7">
        <f>'1 prepared data'!C1001</f>
        <v/>
      </c>
      <c r="E1008" s="7">
        <f>'1 prepared data'!D1001</f>
        <v/>
      </c>
      <c r="F1008" s="7">
        <f>'1 prepared data'!E1001</f>
        <v/>
      </c>
      <c r="G1008" s="7">
        <f>'1 prepared data'!F1001</f>
        <v/>
      </c>
      <c r="H1008" s="7">
        <f>'1 prepared data'!G1001</f>
        <v/>
      </c>
      <c r="I1008" s="7">
        <f>'1 prepared data'!H1001</f>
        <v/>
      </c>
      <c r="J1008" s="7">
        <f>'1 prepared data'!I1001</f>
        <v/>
      </c>
      <c r="K1008" s="7">
        <f>'1 prepared data'!J1001</f>
        <v/>
      </c>
      <c r="L1008" s="7">
        <f>'1 prepared data'!K1001</f>
        <v/>
      </c>
      <c r="M1008" s="7">
        <f>'1 prepared data'!L1001</f>
        <v/>
      </c>
      <c r="N1008" s="7">
        <f>'1 prepared data'!M1001</f>
        <v/>
      </c>
      <c r="O1008" s="7">
        <f>'1 prepared data'!N1001</f>
        <v/>
      </c>
      <c r="P1008" s="7">
        <f>'1 prepared data'!O1001</f>
        <v/>
      </c>
      <c r="Q1008" s="7">
        <f>'1 prepared data'!P1001</f>
        <v/>
      </c>
      <c r="R1008" s="7">
        <f>'1 prepared data'!Q1001</f>
        <v/>
      </c>
      <c r="S1008" s="7">
        <f>'1 prepared data'!R1001</f>
        <v/>
      </c>
      <c r="T1008" s="7">
        <f>'1 prepared data'!S1001</f>
        <v/>
      </c>
      <c r="U1008" s="7">
        <f>'1 prepared data'!T1001</f>
        <v/>
      </c>
      <c r="V1008" s="8">
        <f>$AC$12+D1008*$AC$13+E1008*$AC$14+F1008*$AC$15+G1008*$AC$16+H1008*$AC$17+I1008*$AC$18+J1008*$AC$19+K1008*$AC$20+L1008*$AC$21+M1008*$AC$22+N1008*$AC$23+O1008*$AC$24+P1008*$AC$25+Q1008*$AC$26+R1008*$AC$27+S1008*$AC$28+T1008*$AC$29+U1008*$AC$30</f>
        <v/>
      </c>
      <c r="W1008" s="8">
        <f>1/(1+EXP(-V1008))</f>
        <v/>
      </c>
      <c r="X1008" s="9">
        <f>-IF(C1008=1,LN(W1008),LN(1-W1008))</f>
        <v/>
      </c>
      <c r="Y1008" s="10">
        <f>IF(W1008&gt;$AC$34,1,0)</f>
        <v/>
      </c>
      <c r="Z1008">
        <f>IF(Y1008=C1008,1,0)</f>
        <v/>
      </c>
    </row>
    <row r="1009">
      <c r="A1009">
        <f>'1 prepared data'!A1002</f>
        <v/>
      </c>
      <c r="B1009" s="5">
        <f>'1 prepared data'!U1002</f>
        <v/>
      </c>
      <c r="C1009">
        <f>'1 prepared data'!B1002</f>
        <v/>
      </c>
      <c r="D1009" s="7">
        <f>'1 prepared data'!C1002</f>
        <v/>
      </c>
      <c r="E1009" s="7">
        <f>'1 prepared data'!D1002</f>
        <v/>
      </c>
      <c r="F1009" s="7">
        <f>'1 prepared data'!E1002</f>
        <v/>
      </c>
      <c r="G1009" s="7">
        <f>'1 prepared data'!F1002</f>
        <v/>
      </c>
      <c r="H1009" s="7">
        <f>'1 prepared data'!G1002</f>
        <v/>
      </c>
      <c r="I1009" s="7">
        <f>'1 prepared data'!H1002</f>
        <v/>
      </c>
      <c r="J1009" s="7">
        <f>'1 prepared data'!I1002</f>
        <v/>
      </c>
      <c r="K1009" s="7">
        <f>'1 prepared data'!J1002</f>
        <v/>
      </c>
      <c r="L1009" s="7">
        <f>'1 prepared data'!K1002</f>
        <v/>
      </c>
      <c r="M1009" s="7">
        <f>'1 prepared data'!L1002</f>
        <v/>
      </c>
      <c r="N1009" s="7">
        <f>'1 prepared data'!M1002</f>
        <v/>
      </c>
      <c r="O1009" s="7">
        <f>'1 prepared data'!N1002</f>
        <v/>
      </c>
      <c r="P1009" s="7">
        <f>'1 prepared data'!O1002</f>
        <v/>
      </c>
      <c r="Q1009" s="7">
        <f>'1 prepared data'!P1002</f>
        <v/>
      </c>
      <c r="R1009" s="7">
        <f>'1 prepared data'!Q1002</f>
        <v/>
      </c>
      <c r="S1009" s="7">
        <f>'1 prepared data'!R1002</f>
        <v/>
      </c>
      <c r="T1009" s="7">
        <f>'1 prepared data'!S1002</f>
        <v/>
      </c>
      <c r="U1009" s="7">
        <f>'1 prepared data'!T1002</f>
        <v/>
      </c>
      <c r="V1009" s="8">
        <f>$AC$12+D1009*$AC$13+E1009*$AC$14+F1009*$AC$15+G1009*$AC$16+H1009*$AC$17+I1009*$AC$18+J1009*$AC$19+K1009*$AC$20+L1009*$AC$21+M1009*$AC$22+N1009*$AC$23+O1009*$AC$24+P1009*$AC$25+Q1009*$AC$26+R1009*$AC$27+S1009*$AC$28+T1009*$AC$29+U1009*$AC$30</f>
        <v/>
      </c>
      <c r="W1009" s="8">
        <f>1/(1+EXP(-V1009))</f>
        <v/>
      </c>
      <c r="X1009" s="9">
        <f>-IF(C1009=1,LN(W1009),LN(1-W1009))</f>
        <v/>
      </c>
      <c r="Y1009" s="10">
        <f>IF(W1009&gt;$AC$34,1,0)</f>
        <v/>
      </c>
      <c r="Z1009">
        <f>IF(Y1009=C1009,1,0)</f>
        <v/>
      </c>
    </row>
    <row r="1010">
      <c r="A1010">
        <f>'1 prepared data'!A1003</f>
        <v/>
      </c>
      <c r="B1010" s="5">
        <f>'1 prepared data'!U1003</f>
        <v/>
      </c>
      <c r="C1010">
        <f>'1 prepared data'!B1003</f>
        <v/>
      </c>
      <c r="D1010" s="7">
        <f>'1 prepared data'!C1003</f>
        <v/>
      </c>
      <c r="E1010" s="7">
        <f>'1 prepared data'!D1003</f>
        <v/>
      </c>
      <c r="F1010" s="7">
        <f>'1 prepared data'!E1003</f>
        <v/>
      </c>
      <c r="G1010" s="7">
        <f>'1 prepared data'!F1003</f>
        <v/>
      </c>
      <c r="H1010" s="7">
        <f>'1 prepared data'!G1003</f>
        <v/>
      </c>
      <c r="I1010" s="7">
        <f>'1 prepared data'!H1003</f>
        <v/>
      </c>
      <c r="J1010" s="7">
        <f>'1 prepared data'!I1003</f>
        <v/>
      </c>
      <c r="K1010" s="7">
        <f>'1 prepared data'!J1003</f>
        <v/>
      </c>
      <c r="L1010" s="7">
        <f>'1 prepared data'!K1003</f>
        <v/>
      </c>
      <c r="M1010" s="7">
        <f>'1 prepared data'!L1003</f>
        <v/>
      </c>
      <c r="N1010" s="7">
        <f>'1 prepared data'!M1003</f>
        <v/>
      </c>
      <c r="O1010" s="7">
        <f>'1 prepared data'!N1003</f>
        <v/>
      </c>
      <c r="P1010" s="7">
        <f>'1 prepared data'!O1003</f>
        <v/>
      </c>
      <c r="Q1010" s="7">
        <f>'1 prepared data'!P1003</f>
        <v/>
      </c>
      <c r="R1010" s="7">
        <f>'1 prepared data'!Q1003</f>
        <v/>
      </c>
      <c r="S1010" s="7">
        <f>'1 prepared data'!R1003</f>
        <v/>
      </c>
      <c r="T1010" s="7">
        <f>'1 prepared data'!S1003</f>
        <v/>
      </c>
      <c r="U1010" s="7">
        <f>'1 prepared data'!T1003</f>
        <v/>
      </c>
      <c r="V1010" s="8">
        <f>$AC$12+D1010*$AC$13+E1010*$AC$14+F1010*$AC$15+G1010*$AC$16+H1010*$AC$17+I1010*$AC$18+J1010*$AC$19+K1010*$AC$20+L1010*$AC$21+M1010*$AC$22+N1010*$AC$23+O1010*$AC$24+P1010*$AC$25+Q1010*$AC$26+R1010*$AC$27+S1010*$AC$28+T1010*$AC$29+U1010*$AC$30</f>
        <v/>
      </c>
      <c r="W1010" s="8">
        <f>1/(1+EXP(-V1010))</f>
        <v/>
      </c>
      <c r="X1010" s="9">
        <f>-IF(C1010=1,LN(W1010),LN(1-W1010))</f>
        <v/>
      </c>
      <c r="Y1010" s="10">
        <f>IF(W1010&gt;$AC$34,1,0)</f>
        <v/>
      </c>
      <c r="Z1010">
        <f>IF(Y1010=C1010,1,0)</f>
        <v/>
      </c>
    </row>
    <row r="1011">
      <c r="A1011">
        <f>'1 prepared data'!A1004</f>
        <v/>
      </c>
      <c r="B1011" s="5">
        <f>'1 prepared data'!U1004</f>
        <v/>
      </c>
      <c r="C1011">
        <f>'1 prepared data'!B1004</f>
        <v/>
      </c>
      <c r="D1011" s="7">
        <f>'1 prepared data'!C1004</f>
        <v/>
      </c>
      <c r="E1011" s="7">
        <f>'1 prepared data'!D1004</f>
        <v/>
      </c>
      <c r="F1011" s="7">
        <f>'1 prepared data'!E1004</f>
        <v/>
      </c>
      <c r="G1011" s="7">
        <f>'1 prepared data'!F1004</f>
        <v/>
      </c>
      <c r="H1011" s="7">
        <f>'1 prepared data'!G1004</f>
        <v/>
      </c>
      <c r="I1011" s="7">
        <f>'1 prepared data'!H1004</f>
        <v/>
      </c>
      <c r="J1011" s="7">
        <f>'1 prepared data'!I1004</f>
        <v/>
      </c>
      <c r="K1011" s="7">
        <f>'1 prepared data'!J1004</f>
        <v/>
      </c>
      <c r="L1011" s="7">
        <f>'1 prepared data'!K1004</f>
        <v/>
      </c>
      <c r="M1011" s="7">
        <f>'1 prepared data'!L1004</f>
        <v/>
      </c>
      <c r="N1011" s="7">
        <f>'1 prepared data'!M1004</f>
        <v/>
      </c>
      <c r="O1011" s="7">
        <f>'1 prepared data'!N1004</f>
        <v/>
      </c>
      <c r="P1011" s="7">
        <f>'1 prepared data'!O1004</f>
        <v/>
      </c>
      <c r="Q1011" s="7">
        <f>'1 prepared data'!P1004</f>
        <v/>
      </c>
      <c r="R1011" s="7">
        <f>'1 prepared data'!Q1004</f>
        <v/>
      </c>
      <c r="S1011" s="7">
        <f>'1 prepared data'!R1004</f>
        <v/>
      </c>
      <c r="T1011" s="7">
        <f>'1 prepared data'!S1004</f>
        <v/>
      </c>
      <c r="U1011" s="7">
        <f>'1 prepared data'!T1004</f>
        <v/>
      </c>
      <c r="V1011" s="8">
        <f>$AC$12+D1011*$AC$13+E1011*$AC$14+F1011*$AC$15+G1011*$AC$16+H1011*$AC$17+I1011*$AC$18+J1011*$AC$19+K1011*$AC$20+L1011*$AC$21+M1011*$AC$22+N1011*$AC$23+O1011*$AC$24+P1011*$AC$25+Q1011*$AC$26+R1011*$AC$27+S1011*$AC$28+T1011*$AC$29+U1011*$AC$30</f>
        <v/>
      </c>
      <c r="W1011" s="8">
        <f>1/(1+EXP(-V1011))</f>
        <v/>
      </c>
      <c r="X1011" s="9">
        <f>-IF(C1011=1,LN(W1011),LN(1-W1011))</f>
        <v/>
      </c>
      <c r="Y1011" s="10">
        <f>IF(W1011&gt;$AC$34,1,0)</f>
        <v/>
      </c>
      <c r="Z1011">
        <f>IF(Y1011=C1011,1,0)</f>
        <v/>
      </c>
    </row>
  </sheetData>
  <mergeCells count="4">
    <mergeCell ref="A3:R3"/>
    <mergeCell ref="A2:R2"/>
    <mergeCell ref="AB49:AE49"/>
    <mergeCell ref="AB50:AE50"/>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P92"/>
  <sheetViews>
    <sheetView workbookViewId="0">
      <selection activeCell="A1" sqref="A1"/>
    </sheetView>
  </sheetViews>
  <sheetFormatPr baseColWidth="8" defaultRowHeight="15"/>
  <cols>
    <col width="30" customWidth="1" min="1" max="1"/>
    <col width="21" customWidth="1" min="2" max="2"/>
    <col width="22" customWidth="1" min="3" max="3"/>
    <col width="22" customWidth="1" min="4" max="4"/>
    <col width="22" customWidth="1" min="5" max="5"/>
    <col width="22" customWidth="1" min="6" max="6"/>
    <col width="23" customWidth="1" min="7" max="7"/>
    <col width="22" customWidth="1" min="8" max="8"/>
  </cols>
  <sheetData>
    <row r="1">
      <c r="A1" s="3" t="inlineStr">
        <is>
          <t>The three methods for several λ (computed in Python with scikit-learn): weight paths, loss and AUC</t>
        </is>
      </c>
    </row>
    <row r="2" ht="65" customHeight="1">
      <c r="A2" s="2" t="inlineStr">
        <is>
          <t>Each block shows, for λ at 0, 1, 3, 10, 30, 100 and 300, the 18 weights and the performance on training and testing. With λ = 0 the three methods are the same model (the base workbook). As λ grows, ridge shrinks every weight without zeroing any, lasso switches them off one by one (the row 'weights at zero' counts them) and elastic net sits in between. The charts on the right draw the path of each weight: it is the classic regularization plot, read from left to right as 'which variable survives the longest'.</t>
        </is>
      </c>
    </row>
    <row r="3" ht="80.5" customHeight="1">
      <c r="A3" s="2" t="inlineStr">
        <is>
          <t>An honest reading of the performance rows: the training loss rises with λ (necessarily, the model has less freedom) and the testing loss rises too, instead of falling. The testing AUC holds up to λ = 10 and then drops. That is, in this dataset regularization does not improve prediction: the unregularized model was not overfitting. What regularization does deliver here is a smaller model (lasso with λ = 10 uses 11 variables instead of 18 and loses one hundredth of AUC) and weights that are more stable across samples, which is the topic of the notebook. When there are far more variables than rows, or high-degree polynomials, the story changes and regularization does improve testing.</t>
        </is>
      </c>
    </row>
    <row r="4"/>
    <row r="5">
      <c r="A5" s="3" t="inlineStr">
        <is>
          <t>Ridge (L2)</t>
        </is>
      </c>
    </row>
    <row r="6">
      <c r="A6" s="4" t="inlineStr">
        <is>
          <t>λ</t>
        </is>
      </c>
      <c r="B6" s="4" t="inlineStr">
        <is>
          <t>0</t>
        </is>
      </c>
      <c r="C6" s="4" t="inlineStr">
        <is>
          <t>1</t>
        </is>
      </c>
      <c r="D6" s="4" t="inlineStr">
        <is>
          <t>3</t>
        </is>
      </c>
      <c r="E6" s="4" t="inlineStr">
        <is>
          <t>10</t>
        </is>
      </c>
      <c r="F6" s="4" t="inlineStr">
        <is>
          <t>30</t>
        </is>
      </c>
      <c r="G6" s="4" t="inlineStr">
        <is>
          <t>100</t>
        </is>
      </c>
      <c r="H6" s="4" t="inlineStr">
        <is>
          <t>300</t>
        </is>
      </c>
    </row>
    <row r="7">
      <c r="A7" t="inlineStr">
        <is>
          <t>intercept</t>
        </is>
      </c>
      <c r="B7" s="6" t="n">
        <v>-1.341270962110326</v>
      </c>
      <c r="C7" s="6" t="n">
        <v>-1.303734891841762</v>
      </c>
      <c r="D7" s="6" t="n">
        <v>-1.245074248074997</v>
      </c>
      <c r="E7" s="6" t="n">
        <v>-1.128786203267687</v>
      </c>
      <c r="F7" s="6" t="n">
        <v>-1.00195373908639</v>
      </c>
      <c r="G7" s="6" t="n">
        <v>-0.9056482523014505</v>
      </c>
      <c r="H7" s="6" t="n">
        <v>-0.8669654400247266</v>
      </c>
    </row>
    <row r="8">
      <c r="A8" t="inlineStr">
        <is>
          <t>duration</t>
        </is>
      </c>
      <c r="B8" s="6" t="n">
        <v>0.3247012549391071</v>
      </c>
      <c r="C8" s="6" t="n">
        <v>0.3194671979731972</v>
      </c>
      <c r="D8" s="6" t="n">
        <v>0.3096620918459144</v>
      </c>
      <c r="E8" s="6" t="n">
        <v>0.2893487245227952</v>
      </c>
      <c r="F8" s="6" t="n">
        <v>0.2537127335377371</v>
      </c>
      <c r="G8" s="6" t="n">
        <v>0.1896055924150865</v>
      </c>
      <c r="H8" s="6" t="n">
        <v>0.1144575830421777</v>
      </c>
    </row>
    <row r="9">
      <c r="A9" t="inlineStr">
        <is>
          <t>amount</t>
        </is>
      </c>
      <c r="B9" s="6" t="n">
        <v>0.1163535941884676</v>
      </c>
      <c r="C9" s="6" t="n">
        <v>0.1110044168190897</v>
      </c>
      <c r="D9" s="6" t="n">
        <v>0.1064826793244078</v>
      </c>
      <c r="E9" s="6" t="n">
        <v>0.1017915684909901</v>
      </c>
      <c r="F9" s="6" t="n">
        <v>0.1020091754262132</v>
      </c>
      <c r="G9" s="6" t="n">
        <v>0.09413424794602392</v>
      </c>
      <c r="H9" s="6" t="n">
        <v>0.06637981015780586</v>
      </c>
    </row>
    <row r="10">
      <c r="A10" t="inlineStr">
        <is>
          <t>age</t>
        </is>
      </c>
      <c r="B10" s="6" t="n">
        <v>-0.09914522482627074</v>
      </c>
      <c r="C10" s="6" t="n">
        <v>-0.1032087753654959</v>
      </c>
      <c r="D10" s="6" t="n">
        <v>-0.1080089491730186</v>
      </c>
      <c r="E10" s="6" t="n">
        <v>-0.1153217704738348</v>
      </c>
      <c r="F10" s="6" t="n">
        <v>-0.1155113930674288</v>
      </c>
      <c r="G10" s="6" t="n">
        <v>-0.09108769228380961</v>
      </c>
      <c r="H10" s="6" t="n">
        <v>-0.05232066853778245</v>
      </c>
    </row>
    <row r="11">
      <c r="A11" t="inlineStr">
        <is>
          <t>installment_pct_income</t>
        </is>
      </c>
      <c r="B11" s="6" t="n">
        <v>0.2872157655933926</v>
      </c>
      <c r="C11" s="6" t="n">
        <v>0.2743589204145696</v>
      </c>
      <c r="D11" s="6" t="n">
        <v>0.2570344565745194</v>
      </c>
      <c r="E11" s="6" t="n">
        <v>0.2222288724906683</v>
      </c>
      <c r="F11" s="6" t="n">
        <v>0.1744528335591087</v>
      </c>
      <c r="G11" s="6" t="n">
        <v>0.1077591941799268</v>
      </c>
      <c r="H11" s="6" t="n">
        <v>0.05251596995309001</v>
      </c>
    </row>
    <row r="12">
      <c r="A12" t="inlineStr">
        <is>
          <t>chk_negative</t>
        </is>
      </c>
      <c r="B12" s="6" t="n">
        <v>1.546402670396991</v>
      </c>
      <c r="C12" s="6" t="n">
        <v>1.419070466573654</v>
      </c>
      <c r="D12" s="6" t="n">
        <v>1.243568522881878</v>
      </c>
      <c r="E12" s="6" t="n">
        <v>0.9201763494787585</v>
      </c>
      <c r="F12" s="6" t="n">
        <v>0.5652123702555539</v>
      </c>
      <c r="G12" s="6" t="n">
        <v>0.2527725985281367</v>
      </c>
      <c r="H12" s="6" t="n">
        <v>0.099626263332214</v>
      </c>
    </row>
    <row r="13">
      <c r="A13" t="inlineStr">
        <is>
          <t>chk_0_200</t>
        </is>
      </c>
      <c r="B13" s="6" t="n">
        <v>1.294997779791349</v>
      </c>
      <c r="C13" s="6" t="n">
        <v>1.17032900329766</v>
      </c>
      <c r="D13" s="6" t="n">
        <v>1.000049756813944</v>
      </c>
      <c r="E13" s="6" t="n">
        <v>0.6915874744714144</v>
      </c>
      <c r="F13" s="6" t="n">
        <v>0.3819000987722799</v>
      </c>
      <c r="G13" s="6" t="n">
        <v>0.1526732769255655</v>
      </c>
      <c r="H13" s="6" t="n">
        <v>0.05771713853329854</v>
      </c>
    </row>
    <row r="14">
      <c r="A14" t="inlineStr">
        <is>
          <t>chk_over_200</t>
        </is>
      </c>
      <c r="B14" s="6" t="n">
        <v>0.6683615861023957</v>
      </c>
      <c r="C14" s="6" t="n">
        <v>0.4918963637671158</v>
      </c>
      <c r="D14" s="6" t="n">
        <v>0.3011840318782983</v>
      </c>
      <c r="E14" s="6" t="n">
        <v>0.08267450875076099</v>
      </c>
      <c r="F14" s="6" t="n">
        <v>-0.007273020701093145</v>
      </c>
      <c r="G14" s="6" t="n">
        <v>-0.01784191184302414</v>
      </c>
      <c r="H14" s="6" t="n">
        <v>-0.009738049074081634</v>
      </c>
    </row>
    <row r="15">
      <c r="A15" t="inlineStr">
        <is>
          <t>hist_critical</t>
        </is>
      </c>
      <c r="B15" s="6" t="n">
        <v>-0.6573449373610837</v>
      </c>
      <c r="C15" s="6" t="n">
        <v>-0.6370426777483092</v>
      </c>
      <c r="D15" s="6" t="n">
        <v>-0.6014521524297518</v>
      </c>
      <c r="E15" s="6" t="n">
        <v>-0.5028570598412625</v>
      </c>
      <c r="F15" s="6" t="n">
        <v>-0.3483602238898476</v>
      </c>
      <c r="G15" s="6" t="n">
        <v>-0.1733328289382169</v>
      </c>
      <c r="H15" s="6" t="n">
        <v>-0.07288284272095495</v>
      </c>
    </row>
    <row r="16">
      <c r="A16" t="inlineStr">
        <is>
          <t>hist_delays</t>
        </is>
      </c>
      <c r="B16" s="6" t="n">
        <v>-0.04019551911120235</v>
      </c>
      <c r="C16" s="6" t="n">
        <v>-0.04356666880694356</v>
      </c>
      <c r="D16" s="6" t="n">
        <v>-0.04150961110562047</v>
      </c>
      <c r="E16" s="6" t="n">
        <v>-0.0329890765506305</v>
      </c>
      <c r="F16" s="6" t="n">
        <v>-0.01719708691739743</v>
      </c>
      <c r="G16" s="6" t="n">
        <v>-0.00383293510800357</v>
      </c>
      <c r="H16" s="6" t="n">
        <v>0.0005444223528629755</v>
      </c>
    </row>
    <row r="17">
      <c r="A17" t="inlineStr">
        <is>
          <t>hist_no_credits</t>
        </is>
      </c>
      <c r="B17" s="6" t="n">
        <v>0.6690656278784681</v>
      </c>
      <c r="C17" s="6" t="n">
        <v>0.6388423479254338</v>
      </c>
      <c r="D17" s="6" t="n">
        <v>0.5857693995873079</v>
      </c>
      <c r="E17" s="6" t="n">
        <v>0.4566596296282059</v>
      </c>
      <c r="F17" s="6" t="n">
        <v>0.2878213331661638</v>
      </c>
      <c r="G17" s="6" t="n">
        <v>0.1299275313294914</v>
      </c>
      <c r="H17" s="6" t="n">
        <v>0.05189050605889055</v>
      </c>
    </row>
    <row r="18">
      <c r="A18" t="inlineStr">
        <is>
          <t>sav_100_1000</t>
        </is>
      </c>
      <c r="B18" s="6" t="n">
        <v>-0.3895834298458181</v>
      </c>
      <c r="C18" s="6" t="n">
        <v>-0.3502806868499037</v>
      </c>
      <c r="D18" s="6" t="n">
        <v>-0.293677446966908</v>
      </c>
      <c r="E18" s="6" t="n">
        <v>-0.1926231413667001</v>
      </c>
      <c r="F18" s="6" t="n">
        <v>-0.1003032470279569</v>
      </c>
      <c r="G18" s="6" t="n">
        <v>-0.03877697603846575</v>
      </c>
      <c r="H18" s="6" t="n">
        <v>-0.01425344844338483</v>
      </c>
    </row>
    <row r="19">
      <c r="A19" t="inlineStr">
        <is>
          <t>sav_over_1000</t>
        </is>
      </c>
      <c r="B19" s="6" t="n">
        <v>-0.8892238593761824</v>
      </c>
      <c r="C19" s="6" t="n">
        <v>-0.6942458455456874</v>
      </c>
      <c r="D19" s="6" t="n">
        <v>-0.4941291675521483</v>
      </c>
      <c r="E19" s="6" t="n">
        <v>-0.2544751864521931</v>
      </c>
      <c r="F19" s="6" t="n">
        <v>-0.1121396061696414</v>
      </c>
      <c r="G19" s="6" t="n">
        <v>-0.04037444529710948</v>
      </c>
      <c r="H19" s="6" t="n">
        <v>-0.01473828817428502</v>
      </c>
    </row>
    <row r="20">
      <c r="A20" t="inlineStr">
        <is>
          <t>sav_unknown</t>
        </is>
      </c>
      <c r="B20" s="6" t="n">
        <v>-1.076092926242446</v>
      </c>
      <c r="C20" s="6" t="n">
        <v>-0.9779279036364834</v>
      </c>
      <c r="D20" s="6" t="n">
        <v>-0.8382648519004262</v>
      </c>
      <c r="E20" s="6" t="n">
        <v>-0.5828104541232723</v>
      </c>
      <c r="F20" s="6" t="n">
        <v>-0.3303790929719312</v>
      </c>
      <c r="G20" s="6" t="n">
        <v>-0.1366214094610818</v>
      </c>
      <c r="H20" s="6" t="n">
        <v>-0.05064973986140536</v>
      </c>
    </row>
    <row r="21">
      <c r="A21" t="inlineStr">
        <is>
          <t>housing_rent</t>
        </is>
      </c>
      <c r="B21" s="6" t="n">
        <v>0.6538371780658356</v>
      </c>
      <c r="C21" s="6" t="n">
        <v>0.5982086139492164</v>
      </c>
      <c r="D21" s="6" t="n">
        <v>0.5216866869042234</v>
      </c>
      <c r="E21" s="6" t="n">
        <v>0.3838733425437118</v>
      </c>
      <c r="F21" s="6" t="n">
        <v>0.2336407434876988</v>
      </c>
      <c r="G21" s="6" t="n">
        <v>0.1034885419543842</v>
      </c>
      <c r="H21" s="6" t="n">
        <v>0.04055330365863685</v>
      </c>
    </row>
    <row r="22">
      <c r="A22" t="inlineStr">
        <is>
          <t>housing_free</t>
        </is>
      </c>
      <c r="B22" s="6" t="n">
        <v>0.1953653579159878</v>
      </c>
      <c r="C22" s="6" t="n">
        <v>0.1974837422041863</v>
      </c>
      <c r="D22" s="6" t="n">
        <v>0.1928410267914779</v>
      </c>
      <c r="E22" s="6" t="n">
        <v>0.1582688785829422</v>
      </c>
      <c r="F22" s="6" t="n">
        <v>0.1006438278349621</v>
      </c>
      <c r="G22" s="6" t="n">
        <v>0.04551995243286164</v>
      </c>
      <c r="H22" s="6" t="n">
        <v>0.01870543180947091</v>
      </c>
    </row>
    <row r="23">
      <c r="A23" t="inlineStr">
        <is>
          <t>purpose_car</t>
        </is>
      </c>
      <c r="B23" s="6" t="n">
        <v>-0.08016547581790479</v>
      </c>
      <c r="C23" s="6" t="n">
        <v>-0.04053905336287468</v>
      </c>
      <c r="D23" s="6" t="n">
        <v>-0.003745035267301402</v>
      </c>
      <c r="E23" s="6" t="n">
        <v>0.03459562593689872</v>
      </c>
      <c r="F23" s="6" t="n">
        <v>0.03854069605097274</v>
      </c>
      <c r="G23" s="6" t="n">
        <v>0.0205968455552222</v>
      </c>
      <c r="H23" s="6" t="n">
        <v>0.008519571716187058</v>
      </c>
    </row>
    <row r="24">
      <c r="A24" t="inlineStr">
        <is>
          <t>purpose_radio_tv</t>
        </is>
      </c>
      <c r="B24" s="6" t="n">
        <v>-0.5202106472417524</v>
      </c>
      <c r="C24" s="6" t="n">
        <v>-0.4639231099610841</v>
      </c>
      <c r="D24" s="6" t="n">
        <v>-0.3987332688251742</v>
      </c>
      <c r="E24" s="6" t="n">
        <v>-0.3058125039821383</v>
      </c>
      <c r="F24" s="6" t="n">
        <v>-0.2085054971318071</v>
      </c>
      <c r="G24" s="6" t="n">
        <v>-0.1049530528766714</v>
      </c>
      <c r="H24" s="6" t="n">
        <v>-0.04400905043486691</v>
      </c>
    </row>
    <row r="25">
      <c r="A25" t="inlineStr">
        <is>
          <t>purpose_furniture</t>
        </is>
      </c>
      <c r="B25" s="6" t="n">
        <v>-0.2818027438096851</v>
      </c>
      <c r="C25" s="6" t="n">
        <v>-0.2101782723107291</v>
      </c>
      <c r="D25" s="6" t="n">
        <v>-0.1314135820677145</v>
      </c>
      <c r="E25" s="6" t="n">
        <v>-0.02543647574694628</v>
      </c>
      <c r="F25" s="6" t="n">
        <v>0.02778143270893417</v>
      </c>
      <c r="G25" s="6" t="n">
        <v>0.02737728275708037</v>
      </c>
      <c r="H25" s="6" t="n">
        <v>0.01339581992384568</v>
      </c>
    </row>
    <row r="26">
      <c r="A26" s="3" t="inlineStr">
        <is>
          <t>average training loss</t>
        </is>
      </c>
      <c r="B26" s="12" t="n">
        <v>0.5003701943367364</v>
      </c>
      <c r="C26" s="12" t="n">
        <v>0.500910808986002</v>
      </c>
      <c r="D26" s="12" t="n">
        <v>0.5033427977131052</v>
      </c>
      <c r="E26" s="12" t="n">
        <v>0.5131786265735393</v>
      </c>
      <c r="F26" s="12" t="n">
        <v>0.533334268831106</v>
      </c>
      <c r="G26" s="12" t="n">
        <v>0.562327139876454</v>
      </c>
      <c r="H26" s="12" t="n">
        <v>0.584568086641342</v>
      </c>
    </row>
    <row r="27">
      <c r="A27" s="3" t="inlineStr">
        <is>
          <t>average testing loss</t>
        </is>
      </c>
      <c r="B27" s="12" t="n">
        <v>0.4690599152735907</v>
      </c>
      <c r="C27" s="12" t="n">
        <v>0.4700756983013806</v>
      </c>
      <c r="D27" s="12" t="n">
        <v>0.4732210473730203</v>
      </c>
      <c r="E27" s="12" t="n">
        <v>0.4847933105992291</v>
      </c>
      <c r="F27" s="12" t="n">
        <v>0.5081332519820453</v>
      </c>
      <c r="G27" s="12" t="n">
        <v>0.5432392165154821</v>
      </c>
      <c r="H27" s="12" t="n">
        <v>0.5729085988058077</v>
      </c>
    </row>
    <row r="28">
      <c r="A28" s="3" t="inlineStr">
        <is>
          <t>AUC training</t>
        </is>
      </c>
      <c r="B28" s="6" t="n">
        <v>0.7767541302235179</v>
      </c>
      <c r="C28" s="6" t="n">
        <v>0.7768804664723031</v>
      </c>
      <c r="D28" s="6" t="n">
        <v>0.7755490767735665</v>
      </c>
      <c r="E28" s="6" t="n">
        <v>0.7711661807580175</v>
      </c>
      <c r="F28" s="6" t="n">
        <v>0.7598347910592808</v>
      </c>
      <c r="G28" s="6" t="n">
        <v>0.7334596695821185</v>
      </c>
      <c r="H28" s="6" t="n">
        <v>0.7087074829931972</v>
      </c>
    </row>
    <row r="29">
      <c r="A29" s="3" t="inlineStr">
        <is>
          <t>AUC testing</t>
        </is>
      </c>
      <c r="B29" s="6" t="n">
        <v>0.8216931216931216</v>
      </c>
      <c r="C29" s="6" t="n">
        <v>0.8220105820105821</v>
      </c>
      <c r="D29" s="6" t="n">
        <v>0.8227513227513228</v>
      </c>
      <c r="E29" s="6" t="n">
        <v>0.8230687830687831</v>
      </c>
      <c r="F29" s="6" t="n">
        <v>0.8154497354497355</v>
      </c>
      <c r="G29" s="6" t="n">
        <v>0.793968253968254</v>
      </c>
      <c r="H29" s="6" t="n">
        <v>0.7687301587301587</v>
      </c>
    </row>
    <row r="30">
      <c r="A30" s="3" t="inlineStr">
        <is>
          <t>testing accuracy (threshold 0.5)</t>
        </is>
      </c>
      <c r="B30" s="24" t="n">
        <v>0.78</v>
      </c>
      <c r="C30" s="24" t="n">
        <v>0.7766666666666666</v>
      </c>
      <c r="D30" s="24" t="n">
        <v>0.77</v>
      </c>
      <c r="E30" s="24" t="n">
        <v>0.7633333333333333</v>
      </c>
      <c r="F30" s="24" t="n">
        <v>0.7533333333333333</v>
      </c>
      <c r="G30" s="24" t="n">
        <v>0.72</v>
      </c>
      <c r="H30" s="24" t="n">
        <v>0.7</v>
      </c>
    </row>
    <row r="31">
      <c r="A31" s="3" t="inlineStr">
        <is>
          <t>weights at zero (of 18)</t>
        </is>
      </c>
      <c r="B31" s="23" t="n">
        <v>0</v>
      </c>
      <c r="C31" s="23" t="n">
        <v>0</v>
      </c>
      <c r="D31" s="23" t="n">
        <v>0</v>
      </c>
      <c r="E31" s="23" t="n">
        <v>0</v>
      </c>
      <c r="F31" s="23" t="n">
        <v>0</v>
      </c>
      <c r="G31" s="23" t="n">
        <v>0</v>
      </c>
      <c r="H31" s="23" t="n">
        <v>0</v>
      </c>
    </row>
    <row r="32">
      <c r="A32" s="3" t="inlineStr">
        <is>
          <t>Σ |theta|</t>
        </is>
      </c>
      <c r="B32" s="22" t="n">
        <v>9.79006557850434</v>
      </c>
      <c r="C32" s="22" t="n">
        <v>8.741574066511633</v>
      </c>
      <c r="D32" s="22" t="n">
        <v>7.429212717890035</v>
      </c>
      <c r="E32" s="22" t="n">
        <v>5.353530643434123</v>
      </c>
      <c r="F32" s="22" t="n">
        <v>3.405384412676728</v>
      </c>
      <c r="G32" s="22" t="n">
        <v>1.730676315870162</v>
      </c>
      <c r="H32" s="22" t="n">
        <v>0.7828979077852413</v>
      </c>
    </row>
    <row r="33"/>
    <row r="34"/>
    <row r="35">
      <c r="A35" s="3" t="inlineStr">
        <is>
          <t>Lasso (L1)</t>
        </is>
      </c>
    </row>
    <row r="36">
      <c r="A36" s="4" t="inlineStr">
        <is>
          <t>λ</t>
        </is>
      </c>
      <c r="B36" s="4" t="inlineStr">
        <is>
          <t>0</t>
        </is>
      </c>
      <c r="C36" s="4" t="inlineStr">
        <is>
          <t>1</t>
        </is>
      </c>
      <c r="D36" s="4" t="inlineStr">
        <is>
          <t>3</t>
        </is>
      </c>
      <c r="E36" s="4" t="inlineStr">
        <is>
          <t>10</t>
        </is>
      </c>
      <c r="F36" s="4" t="inlineStr">
        <is>
          <t>30</t>
        </is>
      </c>
      <c r="G36" s="4" t="inlineStr">
        <is>
          <t>100</t>
        </is>
      </c>
      <c r="H36" s="4" t="inlineStr">
        <is>
          <t>300</t>
        </is>
      </c>
    </row>
    <row r="37">
      <c r="A37" t="inlineStr">
        <is>
          <t>intercept</t>
        </is>
      </c>
      <c r="B37" s="6" t="n">
        <v>-1.341270962110326</v>
      </c>
      <c r="C37" s="6" t="n">
        <v>-1.368573957411374</v>
      </c>
      <c r="D37" s="6" t="n">
        <v>-1.318226025338253</v>
      </c>
      <c r="E37" s="6" t="n">
        <v>-1.190471250045836</v>
      </c>
      <c r="F37" s="6" t="n">
        <v>-0.8798692024512749</v>
      </c>
      <c r="G37" s="6" t="n">
        <v>-0.8495215130312557</v>
      </c>
      <c r="H37" s="6" t="n">
        <v>-0.9533522142559866</v>
      </c>
    </row>
    <row r="38">
      <c r="A38" t="inlineStr">
        <is>
          <t>duration</t>
        </is>
      </c>
      <c r="B38" s="6" t="n">
        <v>0.3247012549391071</v>
      </c>
      <c r="C38" s="6" t="n">
        <v>0.3218730876720168</v>
      </c>
      <c r="D38" s="6" t="n">
        <v>0.3150188037602355</v>
      </c>
      <c r="E38" s="6" t="n">
        <v>0.2914423330131959</v>
      </c>
      <c r="F38" s="6" t="n">
        <v>0.1920437202097545</v>
      </c>
      <c r="G38" s="6" t="n">
        <v>0</v>
      </c>
      <c r="H38" s="6" t="n">
        <v>0</v>
      </c>
    </row>
    <row r="39">
      <c r="A39" t="inlineStr">
        <is>
          <t>amount</t>
        </is>
      </c>
      <c r="B39" s="6" t="n">
        <v>0.1163535941884676</v>
      </c>
      <c r="C39" s="6" t="n">
        <v>0.1001971328668519</v>
      </c>
      <c r="D39" s="6" t="n">
        <v>0.07713694424617815</v>
      </c>
      <c r="E39" s="6" t="n">
        <v>0.01497572060362996</v>
      </c>
      <c r="F39" s="6" t="n">
        <v>0</v>
      </c>
      <c r="G39" s="6" t="n">
        <v>0</v>
      </c>
      <c r="H39" s="6" t="n">
        <v>0</v>
      </c>
    </row>
    <row r="40">
      <c r="A40" t="inlineStr">
        <is>
          <t>age</t>
        </is>
      </c>
      <c r="B40" s="6" t="n">
        <v>-0.09914522482627074</v>
      </c>
      <c r="C40" s="6" t="n">
        <v>-0.08735739782924463</v>
      </c>
      <c r="D40" s="6" t="n">
        <v>-0.06602507553267867</v>
      </c>
      <c r="E40" s="6" t="n">
        <v>-0.04461704245398555</v>
      </c>
      <c r="F40" s="6" t="n">
        <v>0</v>
      </c>
      <c r="G40" s="6" t="n">
        <v>0</v>
      </c>
      <c r="H40" s="6" t="n">
        <v>0</v>
      </c>
    </row>
    <row r="41">
      <c r="A41" t="inlineStr">
        <is>
          <t>installment_pct_income</t>
        </is>
      </c>
      <c r="B41" s="6" t="n">
        <v>0.2872157655933926</v>
      </c>
      <c r="C41" s="6" t="n">
        <v>0.2613642503577885</v>
      </c>
      <c r="D41" s="6" t="n">
        <v>0.2136520625193024</v>
      </c>
      <c r="E41" s="6" t="n">
        <v>0.0850700905397988</v>
      </c>
      <c r="F41" s="6" t="n">
        <v>0</v>
      </c>
      <c r="G41" s="6" t="n">
        <v>0</v>
      </c>
      <c r="H41" s="6" t="n">
        <v>0</v>
      </c>
    </row>
    <row r="42">
      <c r="A42" t="inlineStr">
        <is>
          <t>chk_negative</t>
        </is>
      </c>
      <c r="B42" s="6" t="n">
        <v>1.546402670396991</v>
      </c>
      <c r="C42" s="6" t="n">
        <v>1.442021436074543</v>
      </c>
      <c r="D42" s="6" t="n">
        <v>1.288213576713533</v>
      </c>
      <c r="E42" s="6" t="n">
        <v>0.9745504645027856</v>
      </c>
      <c r="F42" s="6" t="n">
        <v>0.1016616631983072</v>
      </c>
      <c r="G42" s="6" t="n">
        <v>0</v>
      </c>
      <c r="H42" s="6" t="n">
        <v>0</v>
      </c>
    </row>
    <row r="43">
      <c r="A43" t="inlineStr">
        <is>
          <t>chk_0_200</t>
        </is>
      </c>
      <c r="B43" s="6" t="n">
        <v>1.294997779791349</v>
      </c>
      <c r="C43" s="6" t="n">
        <v>1.181518464126341</v>
      </c>
      <c r="D43" s="6" t="n">
        <v>0.992836771572426</v>
      </c>
      <c r="E43" s="6" t="n">
        <v>0.6099540859601537</v>
      </c>
      <c r="F43" s="6" t="n">
        <v>0</v>
      </c>
      <c r="G43" s="6" t="n">
        <v>0</v>
      </c>
      <c r="H43" s="6" t="n">
        <v>0</v>
      </c>
    </row>
    <row r="44">
      <c r="A44" t="inlineStr">
        <is>
          <t>chk_over_200</t>
        </is>
      </c>
      <c r="B44" s="6" t="n">
        <v>0.6683615861023957</v>
      </c>
      <c r="C44" s="6" t="n">
        <v>0.4190755926389884</v>
      </c>
      <c r="D44" s="6" t="n">
        <v>0</v>
      </c>
      <c r="E44" s="6" t="n">
        <v>0</v>
      </c>
      <c r="F44" s="6" t="n">
        <v>0</v>
      </c>
      <c r="G44" s="6" t="n">
        <v>0</v>
      </c>
      <c r="H44" s="6" t="n">
        <v>0</v>
      </c>
    </row>
    <row r="45">
      <c r="A45" t="inlineStr">
        <is>
          <t>hist_critical</t>
        </is>
      </c>
      <c r="B45" s="6" t="n">
        <v>-0.6573449373610837</v>
      </c>
      <c r="C45" s="6" t="n">
        <v>-0.6155171698398288</v>
      </c>
      <c r="D45" s="6" t="n">
        <v>-0.5509119442498842</v>
      </c>
      <c r="E45" s="6" t="n">
        <v>-0.3546961429459045</v>
      </c>
      <c r="F45" s="6" t="n">
        <v>0</v>
      </c>
      <c r="G45" s="6" t="n">
        <v>0</v>
      </c>
      <c r="H45" s="6" t="n">
        <v>0</v>
      </c>
    </row>
    <row r="46">
      <c r="A46" t="inlineStr">
        <is>
          <t>hist_delays</t>
        </is>
      </c>
      <c r="B46" s="6" t="n">
        <v>-0.04019551911120235</v>
      </c>
      <c r="C46" s="6" t="n">
        <v>0</v>
      </c>
      <c r="D46" s="6" t="n">
        <v>0</v>
      </c>
      <c r="E46" s="6" t="n">
        <v>0</v>
      </c>
      <c r="F46" s="6" t="n">
        <v>0</v>
      </c>
      <c r="G46" s="6" t="n">
        <v>0</v>
      </c>
      <c r="H46" s="6" t="n">
        <v>0</v>
      </c>
    </row>
    <row r="47">
      <c r="A47" t="inlineStr">
        <is>
          <t>hist_no_credits</t>
        </is>
      </c>
      <c r="B47" s="6" t="n">
        <v>0.6690656278784681</v>
      </c>
      <c r="C47" s="6" t="n">
        <v>0.6279959809457268</v>
      </c>
      <c r="D47" s="6" t="n">
        <v>0.5232108843060431</v>
      </c>
      <c r="E47" s="6" t="n">
        <v>0.1557054062983781</v>
      </c>
      <c r="F47" s="6" t="n">
        <v>0</v>
      </c>
      <c r="G47" s="6" t="n">
        <v>0</v>
      </c>
      <c r="H47" s="6" t="n">
        <v>0</v>
      </c>
    </row>
    <row r="48">
      <c r="A48" t="inlineStr">
        <is>
          <t>sav_100_1000</t>
        </is>
      </c>
      <c r="B48" s="6" t="n">
        <v>-0.3895834298458181</v>
      </c>
      <c r="C48" s="6" t="n">
        <v>-0.2965886036650454</v>
      </c>
      <c r="D48" s="6" t="n">
        <v>-0.1286577019391462</v>
      </c>
      <c r="E48" s="6" t="n">
        <v>0</v>
      </c>
      <c r="F48" s="6" t="n">
        <v>0</v>
      </c>
      <c r="G48" s="6" t="n">
        <v>0</v>
      </c>
      <c r="H48" s="6" t="n">
        <v>0</v>
      </c>
    </row>
    <row r="49">
      <c r="A49" t="inlineStr">
        <is>
          <t>sav_over_1000</t>
        </is>
      </c>
      <c r="B49" s="6" t="n">
        <v>-0.8892238593761824</v>
      </c>
      <c r="C49" s="6" t="n">
        <v>-0.6026720780390599</v>
      </c>
      <c r="D49" s="6" t="n">
        <v>-0.1345647878008093</v>
      </c>
      <c r="E49" s="6" t="n">
        <v>0</v>
      </c>
      <c r="F49" s="6" t="n">
        <v>0</v>
      </c>
      <c r="G49" s="6" t="n">
        <v>0</v>
      </c>
      <c r="H49" s="6" t="n">
        <v>0</v>
      </c>
    </row>
    <row r="50">
      <c r="A50" t="inlineStr">
        <is>
          <t>sav_unknown</t>
        </is>
      </c>
      <c r="B50" s="6" t="n">
        <v>-1.076092926242446</v>
      </c>
      <c r="C50" s="6" t="n">
        <v>-0.9451600537841088</v>
      </c>
      <c r="D50" s="6" t="n">
        <v>-0.7158279471175342</v>
      </c>
      <c r="E50" s="6" t="n">
        <v>-0.2330874763570114</v>
      </c>
      <c r="F50" s="6" t="n">
        <v>0</v>
      </c>
      <c r="G50" s="6" t="n">
        <v>0</v>
      </c>
      <c r="H50" s="6" t="n">
        <v>0</v>
      </c>
    </row>
    <row r="51">
      <c r="A51" t="inlineStr">
        <is>
          <t>housing_rent</t>
        </is>
      </c>
      <c r="B51" s="6" t="n">
        <v>0.6538371780658356</v>
      </c>
      <c r="C51" s="6" t="n">
        <v>0.5615883919281569</v>
      </c>
      <c r="D51" s="6" t="n">
        <v>0.4126484587254922</v>
      </c>
      <c r="E51" s="6" t="n">
        <v>0.08412865750864842</v>
      </c>
      <c r="F51" s="6" t="n">
        <v>0</v>
      </c>
      <c r="G51" s="6" t="n">
        <v>0</v>
      </c>
      <c r="H51" s="6" t="n">
        <v>0</v>
      </c>
    </row>
    <row r="52">
      <c r="A52" t="inlineStr">
        <is>
          <t>housing_free</t>
        </is>
      </c>
      <c r="B52" s="6" t="n">
        <v>0.1953653579159878</v>
      </c>
      <c r="C52" s="6" t="n">
        <v>0.1320089535459072</v>
      </c>
      <c r="D52" s="6" t="n">
        <v>0.004690867710976507</v>
      </c>
      <c r="E52" s="6" t="n">
        <v>0</v>
      </c>
      <c r="F52" s="6" t="n">
        <v>0</v>
      </c>
      <c r="G52" s="6" t="n">
        <v>0</v>
      </c>
      <c r="H52" s="6" t="n">
        <v>0</v>
      </c>
    </row>
    <row r="53">
      <c r="A53" t="inlineStr">
        <is>
          <t>purpose_car</t>
        </is>
      </c>
      <c r="B53" s="6" t="n">
        <v>-0.08016547581790479</v>
      </c>
      <c r="C53" s="6" t="n">
        <v>0</v>
      </c>
      <c r="D53" s="6" t="n">
        <v>0</v>
      </c>
      <c r="E53" s="6" t="n">
        <v>0</v>
      </c>
      <c r="F53" s="6" t="n">
        <v>0</v>
      </c>
      <c r="G53" s="6" t="n">
        <v>0</v>
      </c>
      <c r="H53" s="6" t="n">
        <v>0</v>
      </c>
    </row>
    <row r="54">
      <c r="A54" t="inlineStr">
        <is>
          <t>purpose_radio_tv</t>
        </is>
      </c>
      <c r="B54" s="6" t="n">
        <v>-0.5202106472417524</v>
      </c>
      <c r="C54" s="6" t="n">
        <v>-0.3935395431096831</v>
      </c>
      <c r="D54" s="6" t="n">
        <v>-0.2821853918666286</v>
      </c>
      <c r="E54" s="6" t="n">
        <v>-0.06493639037549413</v>
      </c>
      <c r="F54" s="6" t="n">
        <v>0</v>
      </c>
      <c r="G54" s="6" t="n">
        <v>0</v>
      </c>
      <c r="H54" s="6" t="n">
        <v>0</v>
      </c>
    </row>
    <row r="55">
      <c r="A55" t="inlineStr">
        <is>
          <t>purpose_furniture</t>
        </is>
      </c>
      <c r="B55" s="6" t="n">
        <v>-0.2818027438096851</v>
      </c>
      <c r="C55" s="6" t="n">
        <v>-0.1184692825438411</v>
      </c>
      <c r="D55" s="6" t="n">
        <v>0</v>
      </c>
      <c r="E55" s="6" t="n">
        <v>0</v>
      </c>
      <c r="F55" s="6" t="n">
        <v>0</v>
      </c>
      <c r="G55" s="6" t="n">
        <v>0</v>
      </c>
      <c r="H55" s="6" t="n">
        <v>0</v>
      </c>
    </row>
    <row r="56">
      <c r="A56" s="3" t="inlineStr">
        <is>
          <t>average training loss</t>
        </is>
      </c>
      <c r="B56" s="12" t="n">
        <v>0.5003701943367364</v>
      </c>
      <c r="C56" s="12" t="n">
        <v>0.5014642169618881</v>
      </c>
      <c r="D56" s="12" t="n">
        <v>0.5080401409135791</v>
      </c>
      <c r="E56" s="12" t="n">
        <v>0.5322027664572261</v>
      </c>
      <c r="F56" s="12" t="n">
        <v>0.5940051320476551</v>
      </c>
      <c r="G56" s="12" t="n">
        <v>0.6108648210871696</v>
      </c>
      <c r="H56" s="12" t="n">
        <v>0.6120283188531166</v>
      </c>
    </row>
    <row r="57">
      <c r="A57" s="3" t="inlineStr">
        <is>
          <t>average testing loss</t>
        </is>
      </c>
      <c r="B57" s="12" t="n">
        <v>0.4690599152735907</v>
      </c>
      <c r="C57" s="12" t="n">
        <v>0.4711822164596292</v>
      </c>
      <c r="D57" s="12" t="n">
        <v>0.4805300075289775</v>
      </c>
      <c r="E57" s="12" t="n">
        <v>0.5070761916392487</v>
      </c>
      <c r="F57" s="12" t="n">
        <v>0.5827607498065167</v>
      </c>
      <c r="G57" s="12" t="n">
        <v>0.6108648210871694</v>
      </c>
      <c r="H57" s="12" t="n">
        <v>0.6120283188531166</v>
      </c>
    </row>
    <row r="58">
      <c r="A58" s="3" t="inlineStr">
        <is>
          <t>AUC training</t>
        </is>
      </c>
      <c r="B58" s="6" t="n">
        <v>0.7767541302235179</v>
      </c>
      <c r="C58" s="6" t="n">
        <v>0.7768221574344023</v>
      </c>
      <c r="D58" s="6" t="n">
        <v>0.7732555879494655</v>
      </c>
      <c r="E58" s="6" t="n">
        <v>0.7573566569484936</v>
      </c>
      <c r="F58" s="6" t="n">
        <v>0.6494703595724004</v>
      </c>
      <c r="G58" s="6" t="n">
        <v>0.5</v>
      </c>
      <c r="H58" s="6" t="n">
        <v>0.5</v>
      </c>
    </row>
    <row r="59">
      <c r="A59" s="3" t="inlineStr">
        <is>
          <t>AUC testing</t>
        </is>
      </c>
      <c r="B59" s="6" t="n">
        <v>0.8216931216931216</v>
      </c>
      <c r="C59" s="6" t="n">
        <v>0.8220634920634922</v>
      </c>
      <c r="D59" s="6" t="n">
        <v>0.8171428571428572</v>
      </c>
      <c r="E59" s="6" t="n">
        <v>0.8111111111111111</v>
      </c>
      <c r="F59" s="6" t="n">
        <v>0.7134391534391534</v>
      </c>
      <c r="G59" s="6" t="n">
        <v>0.5</v>
      </c>
      <c r="H59" s="6" t="n">
        <v>0.5</v>
      </c>
    </row>
    <row r="60">
      <c r="A60" s="3" t="inlineStr">
        <is>
          <t>testing accuracy (threshold 0.5)</t>
        </is>
      </c>
      <c r="B60" s="24" t="n">
        <v>0.78</v>
      </c>
      <c r="C60" s="24" t="n">
        <v>0.7733333333333333</v>
      </c>
      <c r="D60" s="24" t="n">
        <v>0.7733333333333333</v>
      </c>
      <c r="E60" s="24" t="n">
        <v>0.76</v>
      </c>
      <c r="F60" s="24" t="n">
        <v>0.7</v>
      </c>
      <c r="G60" s="24" t="n">
        <v>0.7</v>
      </c>
      <c r="H60" s="24" t="n">
        <v>0.7</v>
      </c>
    </row>
    <row r="61">
      <c r="A61" s="3" t="inlineStr">
        <is>
          <t>weights at zero (of 18)</t>
        </is>
      </c>
      <c r="B61" s="23" t="n">
        <v>0</v>
      </c>
      <c r="C61" s="23" t="n">
        <v>2</v>
      </c>
      <c r="D61" s="23" t="n">
        <v>4</v>
      </c>
      <c r="E61" s="23" t="n">
        <v>7</v>
      </c>
      <c r="F61" s="23" t="n">
        <v>16</v>
      </c>
      <c r="G61" s="23" t="n">
        <v>18</v>
      </c>
      <c r="H61" s="23" t="n">
        <v>18</v>
      </c>
    </row>
    <row r="62">
      <c r="A62" s="3" t="inlineStr">
        <is>
          <t>Σ |theta|</t>
        </is>
      </c>
      <c r="B62" s="22" t="n">
        <v>9.79006557850434</v>
      </c>
      <c r="C62" s="22" t="n">
        <v>8.106947418967133</v>
      </c>
      <c r="D62" s="22" t="n">
        <v>5.705581218060868</v>
      </c>
      <c r="E62" s="22" t="n">
        <v>2.913163810558986</v>
      </c>
      <c r="F62" s="22" t="n">
        <v>0.2937053834080617</v>
      </c>
      <c r="G62" s="22" t="n">
        <v>0</v>
      </c>
      <c r="H62" s="22" t="n">
        <v>0</v>
      </c>
    </row>
    <row r="63"/>
    <row r="64"/>
    <row r="65">
      <c r="A65" s="3" t="inlineStr">
        <is>
          <t>Elastic net (α = 0.5)</t>
        </is>
      </c>
    </row>
    <row r="66">
      <c r="A66" s="4" t="inlineStr">
        <is>
          <t>λ</t>
        </is>
      </c>
      <c r="B66" s="4" t="inlineStr">
        <is>
          <t>0</t>
        </is>
      </c>
      <c r="C66" s="4" t="inlineStr">
        <is>
          <t>1</t>
        </is>
      </c>
      <c r="D66" s="4" t="inlineStr">
        <is>
          <t>3</t>
        </is>
      </c>
      <c r="E66" s="4" t="inlineStr">
        <is>
          <t>10</t>
        </is>
      </c>
      <c r="F66" s="4" t="inlineStr">
        <is>
          <t>30</t>
        </is>
      </c>
      <c r="G66" s="4" t="inlineStr">
        <is>
          <t>100</t>
        </is>
      </c>
      <c r="H66" s="4" t="inlineStr">
        <is>
          <t>300</t>
        </is>
      </c>
    </row>
    <row r="67">
      <c r="A67" t="inlineStr">
        <is>
          <t>intercept</t>
        </is>
      </c>
      <c r="B67" s="6" t="n">
        <v>-1.341270962110326</v>
      </c>
      <c r="C67" s="6" t="n">
        <v>-1.352709845531643</v>
      </c>
      <c r="D67" s="6" t="n">
        <v>-1.289781922651986</v>
      </c>
      <c r="E67" s="6" t="n">
        <v>-1.164708465097381</v>
      </c>
      <c r="F67" s="6" t="n">
        <v>-0.9661886568882448</v>
      </c>
      <c r="G67" s="6" t="n">
        <v>-0.8477291236640334</v>
      </c>
      <c r="H67" s="6" t="n">
        <v>-0.8356643024018267</v>
      </c>
    </row>
    <row r="68">
      <c r="A68" t="inlineStr">
        <is>
          <t>duration</t>
        </is>
      </c>
      <c r="B68" s="6" t="n">
        <v>0.3247012549391071</v>
      </c>
      <c r="C68" s="6" t="n">
        <v>0.3205943225307124</v>
      </c>
      <c r="D68" s="6" t="n">
        <v>0.312032817137098</v>
      </c>
      <c r="E68" s="6" t="n">
        <v>0.2883263960346477</v>
      </c>
      <c r="F68" s="6" t="n">
        <v>0.2505544110894213</v>
      </c>
      <c r="G68" s="6" t="n">
        <v>0.04670954873928053</v>
      </c>
      <c r="H68" s="6" t="n">
        <v>0</v>
      </c>
    </row>
    <row r="69">
      <c r="A69" t="inlineStr">
        <is>
          <t>amount</t>
        </is>
      </c>
      <c r="B69" s="6" t="n">
        <v>0.1163535941884676</v>
      </c>
      <c r="C69" s="6" t="n">
        <v>0.1048571894646509</v>
      </c>
      <c r="D69" s="6" t="n">
        <v>0.09110699145119981</v>
      </c>
      <c r="E69" s="6" t="n">
        <v>0.06449985705901924</v>
      </c>
      <c r="F69" s="6" t="n">
        <v>0.003812467355828824</v>
      </c>
      <c r="G69" s="6" t="n">
        <v>0</v>
      </c>
      <c r="H69" s="6" t="n">
        <v>0</v>
      </c>
    </row>
    <row r="70">
      <c r="A70" t="inlineStr">
        <is>
          <t>age</t>
        </is>
      </c>
      <c r="B70" s="6" t="n">
        <v>-0.09914522482627074</v>
      </c>
      <c r="C70" s="6" t="n">
        <v>-0.0962766470488826</v>
      </c>
      <c r="D70" s="6" t="n">
        <v>-0.0866887386947694</v>
      </c>
      <c r="E70" s="6" t="n">
        <v>-0.07104034311856461</v>
      </c>
      <c r="F70" s="6" t="n">
        <v>-0.0354572592931083</v>
      </c>
      <c r="G70" s="6" t="n">
        <v>0</v>
      </c>
      <c r="H70" s="6" t="n">
        <v>0</v>
      </c>
    </row>
    <row r="71">
      <c r="A71" t="inlineStr">
        <is>
          <t>installment_pct_income</t>
        </is>
      </c>
      <c r="B71" s="6" t="n">
        <v>0.2872157655933926</v>
      </c>
      <c r="C71" s="6" t="n">
        <v>0.2684623354882243</v>
      </c>
      <c r="D71" s="6" t="n">
        <v>0.2362108639711834</v>
      </c>
      <c r="E71" s="6" t="n">
        <v>0.160624014640062</v>
      </c>
      <c r="F71" s="6" t="n">
        <v>0.02414226615927221</v>
      </c>
      <c r="G71" s="6" t="n">
        <v>0</v>
      </c>
      <c r="H71" s="6" t="n">
        <v>0</v>
      </c>
    </row>
    <row r="72">
      <c r="A72" t="inlineStr">
        <is>
          <t>chk_negative</t>
        </is>
      </c>
      <c r="B72" s="6" t="n">
        <v>1.546402670396991</v>
      </c>
      <c r="C72" s="6" t="n">
        <v>1.430334149690627</v>
      </c>
      <c r="D72" s="6" t="n">
        <v>1.25978446067853</v>
      </c>
      <c r="E72" s="6" t="n">
        <v>0.9472921584827203</v>
      </c>
      <c r="F72" s="6" t="n">
        <v>0.4405672479263671</v>
      </c>
      <c r="G72" s="6" t="n">
        <v>0</v>
      </c>
      <c r="H72" s="6" t="n">
        <v>0</v>
      </c>
    </row>
    <row r="73">
      <c r="A73" t="inlineStr">
        <is>
          <t>chk_0_200</t>
        </is>
      </c>
      <c r="B73" s="6" t="n">
        <v>1.294997779791349</v>
      </c>
      <c r="C73" s="6" t="n">
        <v>1.175919573599892</v>
      </c>
      <c r="D73" s="6" t="n">
        <v>0.9956057509890853</v>
      </c>
      <c r="E73" s="6" t="n">
        <v>0.6456191690149486</v>
      </c>
      <c r="F73" s="6" t="n">
        <v>0.1607669719310417</v>
      </c>
      <c r="G73" s="6" t="n">
        <v>0</v>
      </c>
      <c r="H73" s="6" t="n">
        <v>0</v>
      </c>
    </row>
    <row r="74">
      <c r="A74" t="inlineStr">
        <is>
          <t>chk_over_200</t>
        </is>
      </c>
      <c r="B74" s="6" t="n">
        <v>0.6683615861023957</v>
      </c>
      <c r="C74" s="6" t="n">
        <v>0.4592452559789927</v>
      </c>
      <c r="D74" s="6" t="n">
        <v>0.157892900175347</v>
      </c>
      <c r="E74" s="6" t="n">
        <v>0</v>
      </c>
      <c r="F74" s="6" t="n">
        <v>0</v>
      </c>
      <c r="G74" s="6" t="n">
        <v>0</v>
      </c>
      <c r="H74" s="6" t="n">
        <v>0</v>
      </c>
    </row>
    <row r="75">
      <c r="A75" t="inlineStr">
        <is>
          <t>hist_critical</t>
        </is>
      </c>
      <c r="B75" s="6" t="n">
        <v>-0.6573449373610837</v>
      </c>
      <c r="C75" s="6" t="n">
        <v>-0.623430019509177</v>
      </c>
      <c r="D75" s="6" t="n">
        <v>-0.5719602860881695</v>
      </c>
      <c r="E75" s="6" t="n">
        <v>-0.4300165383272598</v>
      </c>
      <c r="F75" s="6" t="n">
        <v>-0.1813461481705524</v>
      </c>
      <c r="G75" s="6" t="n">
        <v>0</v>
      </c>
      <c r="H75" s="6" t="n">
        <v>0</v>
      </c>
    </row>
    <row r="76">
      <c r="A76" t="inlineStr">
        <is>
          <t>hist_delays</t>
        </is>
      </c>
      <c r="B76" s="6" t="n">
        <v>-0.04019551911120235</v>
      </c>
      <c r="C76" s="6" t="n">
        <v>0</v>
      </c>
      <c r="D76" s="6" t="n">
        <v>0</v>
      </c>
      <c r="E76" s="6" t="n">
        <v>0</v>
      </c>
      <c r="F76" s="6" t="n">
        <v>0</v>
      </c>
      <c r="G76" s="6" t="n">
        <v>0</v>
      </c>
      <c r="H76" s="6" t="n">
        <v>0</v>
      </c>
    </row>
    <row r="77">
      <c r="A77" t="inlineStr">
        <is>
          <t>hist_no_credits</t>
        </is>
      </c>
      <c r="B77" s="6" t="n">
        <v>0.6690656278784681</v>
      </c>
      <c r="C77" s="6" t="n">
        <v>0.6398720437461051</v>
      </c>
      <c r="D77" s="6" t="n">
        <v>0.5597581130688386</v>
      </c>
      <c r="E77" s="6" t="n">
        <v>0.3416636973187641</v>
      </c>
      <c r="F77" s="6" t="n">
        <v>0</v>
      </c>
      <c r="G77" s="6" t="n">
        <v>0</v>
      </c>
      <c r="H77" s="6" t="n">
        <v>0</v>
      </c>
    </row>
    <row r="78">
      <c r="A78" t="inlineStr">
        <is>
          <t>sav_100_1000</t>
        </is>
      </c>
      <c r="B78" s="6" t="n">
        <v>-0.3895834298458181</v>
      </c>
      <c r="C78" s="6" t="n">
        <v>-0.3240555505178195</v>
      </c>
      <c r="D78" s="6" t="n">
        <v>-0.2190578779745086</v>
      </c>
      <c r="E78" s="6" t="n">
        <v>0</v>
      </c>
      <c r="F78" s="6" t="n">
        <v>0</v>
      </c>
      <c r="G78" s="6" t="n">
        <v>0</v>
      </c>
      <c r="H78" s="6" t="n">
        <v>0</v>
      </c>
    </row>
    <row r="79">
      <c r="A79" t="inlineStr">
        <is>
          <t>sav_over_1000</t>
        </is>
      </c>
      <c r="B79" s="6" t="n">
        <v>-0.8892238593761824</v>
      </c>
      <c r="C79" s="6" t="n">
        <v>-0.6500642400009708</v>
      </c>
      <c r="D79" s="6" t="n">
        <v>-0.3500901748579561</v>
      </c>
      <c r="E79" s="6" t="n">
        <v>0</v>
      </c>
      <c r="F79" s="6" t="n">
        <v>0</v>
      </c>
      <c r="G79" s="6" t="n">
        <v>0</v>
      </c>
      <c r="H79" s="6" t="n">
        <v>0</v>
      </c>
    </row>
    <row r="80">
      <c r="A80" t="inlineStr">
        <is>
          <t>sav_unknown</t>
        </is>
      </c>
      <c r="B80" s="6" t="n">
        <v>-1.076092926242446</v>
      </c>
      <c r="C80" s="6" t="n">
        <v>-0.9626878759974103</v>
      </c>
      <c r="D80" s="6" t="n">
        <v>-0.7833621032803366</v>
      </c>
      <c r="E80" s="6" t="n">
        <v>-0.4206893661875589</v>
      </c>
      <c r="F80" s="6" t="n">
        <v>-0.01675818394489989</v>
      </c>
      <c r="G80" s="6" t="n">
        <v>0</v>
      </c>
      <c r="H80" s="6" t="n">
        <v>0</v>
      </c>
    </row>
    <row r="81">
      <c r="A81" t="inlineStr">
        <is>
          <t>housing_rent</t>
        </is>
      </c>
      <c r="B81" s="6" t="n">
        <v>0.6538371780658356</v>
      </c>
      <c r="C81" s="6" t="n">
        <v>0.5801489030256047</v>
      </c>
      <c r="D81" s="6" t="n">
        <v>0.4727270737090632</v>
      </c>
      <c r="E81" s="6" t="n">
        <v>0.2523339671160815</v>
      </c>
      <c r="F81" s="6" t="n">
        <v>0</v>
      </c>
      <c r="G81" s="6" t="n">
        <v>0</v>
      </c>
      <c r="H81" s="6" t="n">
        <v>0</v>
      </c>
    </row>
    <row r="82">
      <c r="A82" t="inlineStr">
        <is>
          <t>housing_free</t>
        </is>
      </c>
      <c r="B82" s="6" t="n">
        <v>0.1953653579159878</v>
      </c>
      <c r="C82" s="6" t="n">
        <v>0.1670263891706399</v>
      </c>
      <c r="D82" s="6" t="n">
        <v>0.1117486977901089</v>
      </c>
      <c r="E82" s="6" t="n">
        <v>0</v>
      </c>
      <c r="F82" s="6" t="n">
        <v>0</v>
      </c>
      <c r="G82" s="6" t="n">
        <v>0</v>
      </c>
      <c r="H82" s="6" t="n">
        <v>0</v>
      </c>
    </row>
    <row r="83">
      <c r="A83" t="inlineStr">
        <is>
          <t>purpose_car</t>
        </is>
      </c>
      <c r="B83" s="6" t="n">
        <v>-0.08016547581790479</v>
      </c>
      <c r="C83" s="6" t="n">
        <v>0</v>
      </c>
      <c r="D83" s="6" t="n">
        <v>0</v>
      </c>
      <c r="E83" s="6" t="n">
        <v>0</v>
      </c>
      <c r="F83" s="6" t="n">
        <v>0</v>
      </c>
      <c r="G83" s="6" t="n">
        <v>0</v>
      </c>
      <c r="H83" s="6" t="n">
        <v>0</v>
      </c>
    </row>
    <row r="84">
      <c r="A84" t="inlineStr">
        <is>
          <t>purpose_radio_tv</t>
        </is>
      </c>
      <c r="B84" s="6" t="n">
        <v>-0.5202106472417524</v>
      </c>
      <c r="C84" s="6" t="n">
        <v>-0.4160346692223714</v>
      </c>
      <c r="D84" s="6" t="n">
        <v>-0.3341921038052404</v>
      </c>
      <c r="E84" s="6" t="n">
        <v>-0.2047431145452876</v>
      </c>
      <c r="F84" s="6" t="n">
        <v>0</v>
      </c>
      <c r="G84" s="6" t="n">
        <v>0</v>
      </c>
      <c r="H84" s="6" t="n">
        <v>0</v>
      </c>
    </row>
    <row r="85">
      <c r="A85" t="inlineStr">
        <is>
          <t>purpose_furniture</t>
        </is>
      </c>
      <c r="B85" s="6" t="n">
        <v>-0.2818027438096851</v>
      </c>
      <c r="C85" s="6" t="n">
        <v>-0.1518424505776278</v>
      </c>
      <c r="D85" s="6" t="n">
        <v>-0.03355701340937212</v>
      </c>
      <c r="E85" s="6" t="n">
        <v>0</v>
      </c>
      <c r="F85" s="6" t="n">
        <v>0</v>
      </c>
      <c r="G85" s="6" t="n">
        <v>0</v>
      </c>
      <c r="H85" s="6" t="n">
        <v>0</v>
      </c>
    </row>
    <row r="86">
      <c r="A86" s="3" t="inlineStr">
        <is>
          <t>average training loss</t>
        </is>
      </c>
      <c r="B86" s="12" t="n">
        <v>0.5003701943367364</v>
      </c>
      <c r="C86" s="12" t="n">
        <v>0.5011464771119396</v>
      </c>
      <c r="D86" s="12" t="n">
        <v>0.5050594453121924</v>
      </c>
      <c r="E86" s="12" t="n">
        <v>0.5215133947324375</v>
      </c>
      <c r="F86" s="12" t="n">
        <v>0.5677088325125194</v>
      </c>
      <c r="G86" s="12" t="n">
        <v>0.6071400639350795</v>
      </c>
      <c r="H86" s="12" t="n">
        <v>0.6108785347212398</v>
      </c>
    </row>
    <row r="87">
      <c r="A87" s="3" t="inlineStr">
        <is>
          <t>average testing loss</t>
        </is>
      </c>
      <c r="B87" s="12" t="n">
        <v>0.4690599152735907</v>
      </c>
      <c r="C87" s="12" t="n">
        <v>0.4704724674737338</v>
      </c>
      <c r="D87" s="12" t="n">
        <v>0.4763637151729394</v>
      </c>
      <c r="E87" s="12" t="n">
        <v>0.4952635363125531</v>
      </c>
      <c r="F87" s="12" t="n">
        <v>0.5484900475512913</v>
      </c>
      <c r="G87" s="12" t="n">
        <v>0.6047735810437106</v>
      </c>
      <c r="H87" s="12" t="n">
        <v>0.6108785347212397</v>
      </c>
    </row>
    <row r="88">
      <c r="A88" s="3" t="inlineStr">
        <is>
          <t>AUC training</t>
        </is>
      </c>
      <c r="B88" s="6" t="n">
        <v>0.7767541302235179</v>
      </c>
      <c r="C88" s="6" t="n">
        <v>0.7769679300291545</v>
      </c>
      <c r="D88" s="6" t="n">
        <v>0.7747133138969873</v>
      </c>
      <c r="E88" s="6" t="n">
        <v>0.7684062196307094</v>
      </c>
      <c r="F88" s="6" t="n">
        <v>0.7172886297376094</v>
      </c>
      <c r="G88" s="6" t="n">
        <v>0.6122351797862002</v>
      </c>
      <c r="H88" s="6" t="n">
        <v>0.5</v>
      </c>
    </row>
    <row r="89">
      <c r="A89" s="3" t="inlineStr">
        <is>
          <t>AUC testing</t>
        </is>
      </c>
      <c r="B89" s="6" t="n">
        <v>0.8216931216931216</v>
      </c>
      <c r="C89" s="6" t="n">
        <v>0.8223809523809524</v>
      </c>
      <c r="D89" s="6" t="n">
        <v>0.8204761904761905</v>
      </c>
      <c r="E89" s="6" t="n">
        <v>0.818941798941799</v>
      </c>
      <c r="F89" s="6" t="n">
        <v>0.7777777777777778</v>
      </c>
      <c r="G89" s="6" t="n">
        <v>0.6655555555555556</v>
      </c>
      <c r="H89" s="6" t="n">
        <v>0.5</v>
      </c>
    </row>
    <row r="90">
      <c r="A90" s="3" t="inlineStr">
        <is>
          <t>testing accuracy (threshold 0.5)</t>
        </is>
      </c>
      <c r="B90" s="24" t="n">
        <v>0.78</v>
      </c>
      <c r="C90" s="24" t="n">
        <v>0.7766666666666666</v>
      </c>
      <c r="D90" s="24" t="n">
        <v>0.78</v>
      </c>
      <c r="E90" s="24" t="n">
        <v>0.7466666666666667</v>
      </c>
      <c r="F90" s="24" t="n">
        <v>0.7266666666666667</v>
      </c>
      <c r="G90" s="24" t="n">
        <v>0.7</v>
      </c>
      <c r="H90" s="24" t="n">
        <v>0.7</v>
      </c>
    </row>
    <row r="91">
      <c r="A91" s="3" t="inlineStr">
        <is>
          <t>weights at zero (of 18)</t>
        </is>
      </c>
      <c r="B91" s="23" t="n">
        <v>0</v>
      </c>
      <c r="C91" s="23" t="n">
        <v>2</v>
      </c>
      <c r="D91" s="23" t="n">
        <v>2</v>
      </c>
      <c r="E91" s="23" t="n">
        <v>7</v>
      </c>
      <c r="F91" s="23" t="n">
        <v>10</v>
      </c>
      <c r="G91" s="23" t="n">
        <v>17</v>
      </c>
      <c r="H91" s="23" t="n">
        <v>18</v>
      </c>
    </row>
    <row r="92">
      <c r="A92" s="3" t="inlineStr">
        <is>
          <t>Σ |theta|</t>
        </is>
      </c>
      <c r="B92" s="22" t="n">
        <v>9.79006557850434</v>
      </c>
      <c r="C92" s="22" t="n">
        <v>8.370851615569707</v>
      </c>
      <c r="D92" s="22" t="n">
        <v>6.575775967080807</v>
      </c>
      <c r="E92" s="22" t="n">
        <v>3.826848621844914</v>
      </c>
      <c r="F92" s="22" t="n">
        <v>1.113404955870492</v>
      </c>
      <c r="G92" s="22" t="n">
        <v>0.04670954873928053</v>
      </c>
      <c r="H92" s="22" t="n">
        <v>0</v>
      </c>
    </row>
  </sheetData>
  <mergeCells count="2">
    <mergeCell ref="A3:P3"/>
    <mergeCell ref="A2:P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2026-09-29T15:45:45Z</dcterms:created>
  <dcterms:modified xmlns:dcterms="http://purl.org/dc/terms/" xmlns:xsi="http://www.w3.org/2001/XMLSchema-instance" xsi:type="dcterms:W3CDTF">2026-09-29T15:45:48Z</dcterms:modified>
</cp:coreProperties>
</file>